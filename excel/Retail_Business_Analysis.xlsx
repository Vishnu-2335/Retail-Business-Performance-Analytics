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36cda4b634e3481/Desktop/Retail Business Analytics/excel/"/>
    </mc:Choice>
  </mc:AlternateContent>
  <xr:revisionPtr revIDLastSave="261" documentId="11_F25DC773A252ABDACC10483D0958617A5ADE58E8" xr6:coauthVersionLast="47" xr6:coauthVersionMax="47" xr10:uidLastSave="{90A08C74-163E-400F-A730-3FE6ACEAD234}"/>
  <bookViews>
    <workbookView xWindow="-108" yWindow="-108" windowWidth="23256" windowHeight="12456" activeTab="5" xr2:uid="{00000000-000D-0000-FFFF-FFFF00000000}"/>
  </bookViews>
  <sheets>
    <sheet name="Customers" sheetId="7" r:id="rId1"/>
    <sheet name="Products" sheetId="8" r:id="rId2"/>
    <sheet name="Stores" sheetId="9" r:id="rId3"/>
    <sheet name="Transactions" sheetId="10" r:id="rId4"/>
    <sheet name="Data Quality" sheetId="12" r:id="rId5"/>
    <sheet name="Exploration" sheetId="13" r:id="rId6"/>
  </sheets>
  <definedNames>
    <definedName name="ExternalData_1" localSheetId="0" hidden="1">Customers!$A$1:$H$8001</definedName>
    <definedName name="ExternalData_1" localSheetId="1" hidden="1">Products!$A$1:$F$151</definedName>
    <definedName name="ExternalData_1" localSheetId="3" hidden="1">Transactions!$A$1:$K$1001</definedName>
  </definedNames>
  <calcPr calcId="191029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S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P2" i="10"/>
  <c r="Q2" i="10" s="1"/>
  <c r="P3" i="10"/>
  <c r="Q3" i="10" s="1"/>
  <c r="P4" i="10"/>
  <c r="Q4" i="10" s="1"/>
  <c r="P5" i="10"/>
  <c r="Q5" i="10" s="1"/>
  <c r="P6" i="10"/>
  <c r="Q6" i="10" s="1"/>
  <c r="P7" i="10"/>
  <c r="Q7" i="10" s="1"/>
  <c r="P8" i="10"/>
  <c r="Q8" i="10" s="1"/>
  <c r="P9" i="10"/>
  <c r="Q9" i="10" s="1"/>
  <c r="P10" i="10"/>
  <c r="Q10" i="10" s="1"/>
  <c r="P11" i="10"/>
  <c r="Q11" i="10" s="1"/>
  <c r="P12" i="10"/>
  <c r="Q12" i="10" s="1"/>
  <c r="P13" i="10"/>
  <c r="Q13" i="10" s="1"/>
  <c r="P14" i="10"/>
  <c r="Q14" i="10" s="1"/>
  <c r="P15" i="10"/>
  <c r="Q15" i="10" s="1"/>
  <c r="P16" i="10"/>
  <c r="Q16" i="10" s="1"/>
  <c r="P17" i="10"/>
  <c r="Q17" i="10" s="1"/>
  <c r="P18" i="10"/>
  <c r="Q18" i="10" s="1"/>
  <c r="P19" i="10"/>
  <c r="Q19" i="10" s="1"/>
  <c r="P20" i="10"/>
  <c r="Q20" i="10" s="1"/>
  <c r="P21" i="10"/>
  <c r="Q21" i="10" s="1"/>
  <c r="P22" i="10"/>
  <c r="Q22" i="10" s="1"/>
  <c r="P23" i="10"/>
  <c r="Q23" i="10" s="1"/>
  <c r="P24" i="10"/>
  <c r="Q24" i="10" s="1"/>
  <c r="P25" i="10"/>
  <c r="Q25" i="10" s="1"/>
  <c r="P26" i="10"/>
  <c r="Q26" i="10" s="1"/>
  <c r="P27" i="10"/>
  <c r="Q27" i="10" s="1"/>
  <c r="P28" i="10"/>
  <c r="Q28" i="10" s="1"/>
  <c r="P29" i="10"/>
  <c r="Q29" i="10" s="1"/>
  <c r="P30" i="10"/>
  <c r="Q30" i="10" s="1"/>
  <c r="P31" i="10"/>
  <c r="Q31" i="10" s="1"/>
  <c r="P32" i="10"/>
  <c r="Q32" i="10" s="1"/>
  <c r="P33" i="10"/>
  <c r="Q33" i="10" s="1"/>
  <c r="P34" i="10"/>
  <c r="Q34" i="10" s="1"/>
  <c r="P35" i="10"/>
  <c r="Q35" i="10" s="1"/>
  <c r="P36" i="10"/>
  <c r="Q36" i="10" s="1"/>
  <c r="P37" i="10"/>
  <c r="Q37" i="10" s="1"/>
  <c r="P38" i="10"/>
  <c r="Q38" i="10" s="1"/>
  <c r="P39" i="10"/>
  <c r="Q39" i="10" s="1"/>
  <c r="P40" i="10"/>
  <c r="Q40" i="10" s="1"/>
  <c r="P41" i="10"/>
  <c r="Q41" i="10" s="1"/>
  <c r="P42" i="10"/>
  <c r="Q42" i="10" s="1"/>
  <c r="P43" i="10"/>
  <c r="Q43" i="10" s="1"/>
  <c r="P44" i="10"/>
  <c r="Q44" i="10" s="1"/>
  <c r="P45" i="10"/>
  <c r="Q45" i="10" s="1"/>
  <c r="P46" i="10"/>
  <c r="Q46" i="10" s="1"/>
  <c r="P47" i="10"/>
  <c r="Q47" i="10" s="1"/>
  <c r="P48" i="10"/>
  <c r="Q48" i="10" s="1"/>
  <c r="P49" i="10"/>
  <c r="Q49" i="10" s="1"/>
  <c r="P50" i="10"/>
  <c r="Q50" i="10" s="1"/>
  <c r="P51" i="10"/>
  <c r="Q51" i="10" s="1"/>
  <c r="P52" i="10"/>
  <c r="Q52" i="10" s="1"/>
  <c r="P53" i="10"/>
  <c r="Q53" i="10" s="1"/>
  <c r="P54" i="10"/>
  <c r="Q54" i="10" s="1"/>
  <c r="P55" i="10"/>
  <c r="Q55" i="10" s="1"/>
  <c r="P56" i="10"/>
  <c r="Q56" i="10" s="1"/>
  <c r="P57" i="10"/>
  <c r="Q57" i="10" s="1"/>
  <c r="P58" i="10"/>
  <c r="Q58" i="10" s="1"/>
  <c r="P59" i="10"/>
  <c r="Q59" i="10" s="1"/>
  <c r="P60" i="10"/>
  <c r="Q60" i="10" s="1"/>
  <c r="P61" i="10"/>
  <c r="Q61" i="10" s="1"/>
  <c r="P62" i="10"/>
  <c r="Q62" i="10" s="1"/>
  <c r="P63" i="10"/>
  <c r="Q63" i="10" s="1"/>
  <c r="P64" i="10"/>
  <c r="Q64" i="10" s="1"/>
  <c r="P65" i="10"/>
  <c r="Q65" i="10" s="1"/>
  <c r="P66" i="10"/>
  <c r="Q66" i="10" s="1"/>
  <c r="P67" i="10"/>
  <c r="Q67" i="10" s="1"/>
  <c r="P68" i="10"/>
  <c r="Q68" i="10" s="1"/>
  <c r="P69" i="10"/>
  <c r="Q69" i="10" s="1"/>
  <c r="P70" i="10"/>
  <c r="Q70" i="10" s="1"/>
  <c r="P71" i="10"/>
  <c r="Q71" i="10" s="1"/>
  <c r="P72" i="10"/>
  <c r="Q72" i="10" s="1"/>
  <c r="P73" i="10"/>
  <c r="Q73" i="10" s="1"/>
  <c r="P74" i="10"/>
  <c r="Q74" i="10" s="1"/>
  <c r="P75" i="10"/>
  <c r="Q75" i="10" s="1"/>
  <c r="P76" i="10"/>
  <c r="Q76" i="10" s="1"/>
  <c r="P77" i="10"/>
  <c r="Q77" i="10" s="1"/>
  <c r="P78" i="10"/>
  <c r="Q78" i="10" s="1"/>
  <c r="P79" i="10"/>
  <c r="Q79" i="10" s="1"/>
  <c r="P80" i="10"/>
  <c r="Q80" i="10" s="1"/>
  <c r="P81" i="10"/>
  <c r="Q81" i="10" s="1"/>
  <c r="P82" i="10"/>
  <c r="Q82" i="10" s="1"/>
  <c r="P83" i="10"/>
  <c r="Q83" i="10" s="1"/>
  <c r="P84" i="10"/>
  <c r="Q84" i="10" s="1"/>
  <c r="P85" i="10"/>
  <c r="Q85" i="10" s="1"/>
  <c r="P86" i="10"/>
  <c r="Q86" i="10" s="1"/>
  <c r="P87" i="10"/>
  <c r="Q87" i="10" s="1"/>
  <c r="P88" i="10"/>
  <c r="Q88" i="10" s="1"/>
  <c r="P89" i="10"/>
  <c r="Q89" i="10" s="1"/>
  <c r="P90" i="10"/>
  <c r="Q90" i="10" s="1"/>
  <c r="P91" i="10"/>
  <c r="Q91" i="10" s="1"/>
  <c r="P92" i="10"/>
  <c r="Q92" i="10" s="1"/>
  <c r="P93" i="10"/>
  <c r="Q93" i="10" s="1"/>
  <c r="P94" i="10"/>
  <c r="Q94" i="10" s="1"/>
  <c r="P95" i="10"/>
  <c r="Q95" i="10" s="1"/>
  <c r="P96" i="10"/>
  <c r="Q96" i="10" s="1"/>
  <c r="P97" i="10"/>
  <c r="Q97" i="10" s="1"/>
  <c r="P98" i="10"/>
  <c r="Q98" i="10" s="1"/>
  <c r="P99" i="10"/>
  <c r="Q99" i="10" s="1"/>
  <c r="P100" i="10"/>
  <c r="Q100" i="10" s="1"/>
  <c r="P101" i="10"/>
  <c r="Q101" i="10" s="1"/>
  <c r="P102" i="10"/>
  <c r="Q102" i="10" s="1"/>
  <c r="P103" i="10"/>
  <c r="Q103" i="10" s="1"/>
  <c r="P104" i="10"/>
  <c r="Q104" i="10" s="1"/>
  <c r="P105" i="10"/>
  <c r="Q105" i="10" s="1"/>
  <c r="P106" i="10"/>
  <c r="Q106" i="10" s="1"/>
  <c r="P107" i="10"/>
  <c r="Q107" i="10" s="1"/>
  <c r="P108" i="10"/>
  <c r="Q108" i="10" s="1"/>
  <c r="P109" i="10"/>
  <c r="Q109" i="10" s="1"/>
  <c r="P110" i="10"/>
  <c r="Q110" i="10" s="1"/>
  <c r="P111" i="10"/>
  <c r="Q111" i="10" s="1"/>
  <c r="P112" i="10"/>
  <c r="Q112" i="10" s="1"/>
  <c r="P113" i="10"/>
  <c r="Q113" i="10" s="1"/>
  <c r="P114" i="10"/>
  <c r="Q114" i="10" s="1"/>
  <c r="P115" i="10"/>
  <c r="Q115" i="10" s="1"/>
  <c r="P116" i="10"/>
  <c r="Q116" i="10" s="1"/>
  <c r="P117" i="10"/>
  <c r="Q117" i="10" s="1"/>
  <c r="P118" i="10"/>
  <c r="Q118" i="10" s="1"/>
  <c r="P119" i="10"/>
  <c r="Q119" i="10" s="1"/>
  <c r="P120" i="10"/>
  <c r="Q120" i="10" s="1"/>
  <c r="P121" i="10"/>
  <c r="Q121" i="10" s="1"/>
  <c r="P122" i="10"/>
  <c r="Q122" i="10" s="1"/>
  <c r="P123" i="10"/>
  <c r="Q123" i="10" s="1"/>
  <c r="P124" i="10"/>
  <c r="Q124" i="10" s="1"/>
  <c r="P125" i="10"/>
  <c r="Q125" i="10" s="1"/>
  <c r="P126" i="10"/>
  <c r="Q126" i="10" s="1"/>
  <c r="P127" i="10"/>
  <c r="Q127" i="10" s="1"/>
  <c r="P128" i="10"/>
  <c r="Q128" i="10" s="1"/>
  <c r="P129" i="10"/>
  <c r="Q129" i="10" s="1"/>
  <c r="P130" i="10"/>
  <c r="Q130" i="10" s="1"/>
  <c r="P131" i="10"/>
  <c r="Q131" i="10" s="1"/>
  <c r="P132" i="10"/>
  <c r="Q132" i="10" s="1"/>
  <c r="P133" i="10"/>
  <c r="Q133" i="10" s="1"/>
  <c r="P134" i="10"/>
  <c r="Q134" i="10" s="1"/>
  <c r="P135" i="10"/>
  <c r="Q135" i="10" s="1"/>
  <c r="P136" i="10"/>
  <c r="Q136" i="10" s="1"/>
  <c r="P137" i="10"/>
  <c r="Q137" i="10" s="1"/>
  <c r="P138" i="10"/>
  <c r="Q138" i="10" s="1"/>
  <c r="P139" i="10"/>
  <c r="Q139" i="10" s="1"/>
  <c r="P140" i="10"/>
  <c r="Q140" i="10" s="1"/>
  <c r="P141" i="10"/>
  <c r="Q141" i="10" s="1"/>
  <c r="P142" i="10"/>
  <c r="Q142" i="10" s="1"/>
  <c r="P143" i="10"/>
  <c r="Q143" i="10" s="1"/>
  <c r="P144" i="10"/>
  <c r="Q144" i="10" s="1"/>
  <c r="P145" i="10"/>
  <c r="Q145" i="10" s="1"/>
  <c r="P146" i="10"/>
  <c r="Q146" i="10" s="1"/>
  <c r="P147" i="10"/>
  <c r="Q147" i="10" s="1"/>
  <c r="P148" i="10"/>
  <c r="Q148" i="10" s="1"/>
  <c r="P149" i="10"/>
  <c r="Q149" i="10" s="1"/>
  <c r="P150" i="10"/>
  <c r="Q150" i="10" s="1"/>
  <c r="P151" i="10"/>
  <c r="Q151" i="10" s="1"/>
  <c r="P152" i="10"/>
  <c r="Q152" i="10" s="1"/>
  <c r="P153" i="10"/>
  <c r="Q153" i="10" s="1"/>
  <c r="P154" i="10"/>
  <c r="Q154" i="10" s="1"/>
  <c r="P155" i="10"/>
  <c r="Q155" i="10" s="1"/>
  <c r="P156" i="10"/>
  <c r="Q156" i="10" s="1"/>
  <c r="P157" i="10"/>
  <c r="Q157" i="10" s="1"/>
  <c r="P158" i="10"/>
  <c r="Q158" i="10" s="1"/>
  <c r="P159" i="10"/>
  <c r="Q159" i="10" s="1"/>
  <c r="P160" i="10"/>
  <c r="Q160" i="10" s="1"/>
  <c r="P161" i="10"/>
  <c r="Q161" i="10" s="1"/>
  <c r="P162" i="10"/>
  <c r="Q162" i="10" s="1"/>
  <c r="P163" i="10"/>
  <c r="Q163" i="10" s="1"/>
  <c r="P164" i="10"/>
  <c r="Q164" i="10" s="1"/>
  <c r="P165" i="10"/>
  <c r="Q165" i="10" s="1"/>
  <c r="P166" i="10"/>
  <c r="Q166" i="10" s="1"/>
  <c r="P167" i="10"/>
  <c r="Q167" i="10" s="1"/>
  <c r="P168" i="10"/>
  <c r="Q168" i="10" s="1"/>
  <c r="P169" i="10"/>
  <c r="Q169" i="10" s="1"/>
  <c r="P170" i="10"/>
  <c r="Q170" i="10" s="1"/>
  <c r="P171" i="10"/>
  <c r="Q171" i="10" s="1"/>
  <c r="P172" i="10"/>
  <c r="Q172" i="10" s="1"/>
  <c r="P173" i="10"/>
  <c r="Q173" i="10" s="1"/>
  <c r="P174" i="10"/>
  <c r="Q174" i="10" s="1"/>
  <c r="P175" i="10"/>
  <c r="Q175" i="10" s="1"/>
  <c r="P176" i="10"/>
  <c r="Q176" i="10" s="1"/>
  <c r="P177" i="10"/>
  <c r="Q177" i="10" s="1"/>
  <c r="P178" i="10"/>
  <c r="Q178" i="10" s="1"/>
  <c r="P179" i="10"/>
  <c r="Q179" i="10" s="1"/>
  <c r="P180" i="10"/>
  <c r="Q180" i="10" s="1"/>
  <c r="P181" i="10"/>
  <c r="Q181" i="10" s="1"/>
  <c r="P182" i="10"/>
  <c r="Q182" i="10" s="1"/>
  <c r="P183" i="10"/>
  <c r="Q183" i="10" s="1"/>
  <c r="P184" i="10"/>
  <c r="Q184" i="10" s="1"/>
  <c r="P185" i="10"/>
  <c r="Q185" i="10" s="1"/>
  <c r="P186" i="10"/>
  <c r="Q186" i="10" s="1"/>
  <c r="P187" i="10"/>
  <c r="Q187" i="10" s="1"/>
  <c r="P188" i="10"/>
  <c r="Q188" i="10" s="1"/>
  <c r="P189" i="10"/>
  <c r="Q189" i="10" s="1"/>
  <c r="P190" i="10"/>
  <c r="Q190" i="10" s="1"/>
  <c r="P191" i="10"/>
  <c r="Q191" i="10" s="1"/>
  <c r="P192" i="10"/>
  <c r="Q192" i="10" s="1"/>
  <c r="P193" i="10"/>
  <c r="Q193" i="10" s="1"/>
  <c r="P194" i="10"/>
  <c r="Q194" i="10" s="1"/>
  <c r="P195" i="10"/>
  <c r="Q195" i="10" s="1"/>
  <c r="P196" i="10"/>
  <c r="Q196" i="10" s="1"/>
  <c r="P197" i="10"/>
  <c r="Q197" i="10" s="1"/>
  <c r="P198" i="10"/>
  <c r="Q198" i="10" s="1"/>
  <c r="P199" i="10"/>
  <c r="Q199" i="10" s="1"/>
  <c r="P200" i="10"/>
  <c r="Q200" i="10" s="1"/>
  <c r="P201" i="10"/>
  <c r="Q201" i="10" s="1"/>
  <c r="P202" i="10"/>
  <c r="Q202" i="10" s="1"/>
  <c r="P203" i="10"/>
  <c r="Q203" i="10" s="1"/>
  <c r="P204" i="10"/>
  <c r="Q204" i="10" s="1"/>
  <c r="P205" i="10"/>
  <c r="Q205" i="10" s="1"/>
  <c r="P206" i="10"/>
  <c r="Q206" i="10" s="1"/>
  <c r="P207" i="10"/>
  <c r="Q207" i="10" s="1"/>
  <c r="P208" i="10"/>
  <c r="Q208" i="10" s="1"/>
  <c r="P209" i="10"/>
  <c r="Q209" i="10" s="1"/>
  <c r="P210" i="10"/>
  <c r="Q210" i="10" s="1"/>
  <c r="P211" i="10"/>
  <c r="Q211" i="10" s="1"/>
  <c r="P212" i="10"/>
  <c r="Q212" i="10" s="1"/>
  <c r="P213" i="10"/>
  <c r="Q213" i="10" s="1"/>
  <c r="P214" i="10"/>
  <c r="Q214" i="10" s="1"/>
  <c r="P215" i="10"/>
  <c r="Q215" i="10" s="1"/>
  <c r="P216" i="10"/>
  <c r="Q216" i="10" s="1"/>
  <c r="P217" i="10"/>
  <c r="Q217" i="10" s="1"/>
  <c r="P218" i="10"/>
  <c r="Q218" i="10" s="1"/>
  <c r="P219" i="10"/>
  <c r="Q219" i="10" s="1"/>
  <c r="P220" i="10"/>
  <c r="Q220" i="10" s="1"/>
  <c r="P221" i="10"/>
  <c r="Q221" i="10" s="1"/>
  <c r="P222" i="10"/>
  <c r="Q222" i="10" s="1"/>
  <c r="P223" i="10"/>
  <c r="Q223" i="10" s="1"/>
  <c r="P224" i="10"/>
  <c r="Q224" i="10" s="1"/>
  <c r="P225" i="10"/>
  <c r="Q225" i="10" s="1"/>
  <c r="P226" i="10"/>
  <c r="Q226" i="10" s="1"/>
  <c r="P227" i="10"/>
  <c r="Q227" i="10" s="1"/>
  <c r="P228" i="10"/>
  <c r="Q228" i="10" s="1"/>
  <c r="P229" i="10"/>
  <c r="Q229" i="10" s="1"/>
  <c r="P230" i="10"/>
  <c r="Q230" i="10" s="1"/>
  <c r="P231" i="10"/>
  <c r="Q231" i="10" s="1"/>
  <c r="P232" i="10"/>
  <c r="Q232" i="10" s="1"/>
  <c r="P233" i="10"/>
  <c r="Q233" i="10" s="1"/>
  <c r="P234" i="10"/>
  <c r="Q234" i="10" s="1"/>
  <c r="P235" i="10"/>
  <c r="Q235" i="10" s="1"/>
  <c r="P236" i="10"/>
  <c r="Q236" i="10" s="1"/>
  <c r="P237" i="10"/>
  <c r="Q237" i="10" s="1"/>
  <c r="P238" i="10"/>
  <c r="Q238" i="10" s="1"/>
  <c r="P239" i="10"/>
  <c r="Q239" i="10" s="1"/>
  <c r="P240" i="10"/>
  <c r="Q240" i="10" s="1"/>
  <c r="P241" i="10"/>
  <c r="Q241" i="10" s="1"/>
  <c r="P242" i="10"/>
  <c r="Q242" i="10" s="1"/>
  <c r="P243" i="10"/>
  <c r="Q243" i="10" s="1"/>
  <c r="P244" i="10"/>
  <c r="Q244" i="10" s="1"/>
  <c r="P245" i="10"/>
  <c r="Q245" i="10" s="1"/>
  <c r="P246" i="10"/>
  <c r="Q246" i="10" s="1"/>
  <c r="P247" i="10"/>
  <c r="Q247" i="10" s="1"/>
  <c r="P248" i="10"/>
  <c r="Q248" i="10" s="1"/>
  <c r="P249" i="10"/>
  <c r="Q249" i="10" s="1"/>
  <c r="P250" i="10"/>
  <c r="Q250" i="10" s="1"/>
  <c r="P251" i="10"/>
  <c r="Q251" i="10" s="1"/>
  <c r="P252" i="10"/>
  <c r="Q252" i="10" s="1"/>
  <c r="P253" i="10"/>
  <c r="Q253" i="10" s="1"/>
  <c r="P254" i="10"/>
  <c r="Q254" i="10" s="1"/>
  <c r="P255" i="10"/>
  <c r="Q255" i="10" s="1"/>
  <c r="P256" i="10"/>
  <c r="Q256" i="10" s="1"/>
  <c r="P257" i="10"/>
  <c r="Q257" i="10" s="1"/>
  <c r="P258" i="10"/>
  <c r="Q258" i="10" s="1"/>
  <c r="P259" i="10"/>
  <c r="Q259" i="10" s="1"/>
  <c r="P260" i="10"/>
  <c r="Q260" i="10" s="1"/>
  <c r="P261" i="10"/>
  <c r="Q261" i="10" s="1"/>
  <c r="P262" i="10"/>
  <c r="Q262" i="10" s="1"/>
  <c r="P263" i="10"/>
  <c r="Q263" i="10" s="1"/>
  <c r="P264" i="10"/>
  <c r="Q264" i="10" s="1"/>
  <c r="P265" i="10"/>
  <c r="Q265" i="10" s="1"/>
  <c r="P266" i="10"/>
  <c r="Q266" i="10" s="1"/>
  <c r="P267" i="10"/>
  <c r="Q267" i="10" s="1"/>
  <c r="P268" i="10"/>
  <c r="Q268" i="10" s="1"/>
  <c r="P269" i="10"/>
  <c r="Q269" i="10" s="1"/>
  <c r="P270" i="10"/>
  <c r="Q270" i="10" s="1"/>
  <c r="P271" i="10"/>
  <c r="Q271" i="10" s="1"/>
  <c r="P272" i="10"/>
  <c r="Q272" i="10" s="1"/>
  <c r="P273" i="10"/>
  <c r="Q273" i="10" s="1"/>
  <c r="P274" i="10"/>
  <c r="Q274" i="10" s="1"/>
  <c r="P275" i="10"/>
  <c r="Q275" i="10" s="1"/>
  <c r="P276" i="10"/>
  <c r="Q276" i="10" s="1"/>
  <c r="P277" i="10"/>
  <c r="Q277" i="10" s="1"/>
  <c r="P278" i="10"/>
  <c r="Q278" i="10" s="1"/>
  <c r="P279" i="10"/>
  <c r="Q279" i="10" s="1"/>
  <c r="P280" i="10"/>
  <c r="Q280" i="10" s="1"/>
  <c r="P281" i="10"/>
  <c r="Q281" i="10" s="1"/>
  <c r="P282" i="10"/>
  <c r="Q282" i="10" s="1"/>
  <c r="P283" i="10"/>
  <c r="Q283" i="10" s="1"/>
  <c r="P284" i="10"/>
  <c r="Q284" i="10" s="1"/>
  <c r="P285" i="10"/>
  <c r="Q285" i="10" s="1"/>
  <c r="P286" i="10"/>
  <c r="Q286" i="10" s="1"/>
  <c r="P287" i="10"/>
  <c r="Q287" i="10" s="1"/>
  <c r="P288" i="10"/>
  <c r="Q288" i="10" s="1"/>
  <c r="P289" i="10"/>
  <c r="Q289" i="10" s="1"/>
  <c r="P290" i="10"/>
  <c r="Q290" i="10" s="1"/>
  <c r="P291" i="10"/>
  <c r="Q291" i="10" s="1"/>
  <c r="P292" i="10"/>
  <c r="Q292" i="10" s="1"/>
  <c r="P293" i="10"/>
  <c r="Q293" i="10" s="1"/>
  <c r="P294" i="10"/>
  <c r="Q294" i="10" s="1"/>
  <c r="P295" i="10"/>
  <c r="Q295" i="10" s="1"/>
  <c r="P296" i="10"/>
  <c r="Q296" i="10" s="1"/>
  <c r="P297" i="10"/>
  <c r="Q297" i="10" s="1"/>
  <c r="P298" i="10"/>
  <c r="Q298" i="10" s="1"/>
  <c r="P299" i="10"/>
  <c r="Q299" i="10" s="1"/>
  <c r="P300" i="10"/>
  <c r="Q300" i="10" s="1"/>
  <c r="P301" i="10"/>
  <c r="Q301" i="10" s="1"/>
  <c r="P302" i="10"/>
  <c r="Q302" i="10" s="1"/>
  <c r="P303" i="10"/>
  <c r="Q303" i="10" s="1"/>
  <c r="P304" i="10"/>
  <c r="Q304" i="10" s="1"/>
  <c r="P305" i="10"/>
  <c r="Q305" i="10" s="1"/>
  <c r="P306" i="10"/>
  <c r="Q306" i="10" s="1"/>
  <c r="P307" i="10"/>
  <c r="Q307" i="10" s="1"/>
  <c r="P308" i="10"/>
  <c r="Q308" i="10" s="1"/>
  <c r="P309" i="10"/>
  <c r="Q309" i="10" s="1"/>
  <c r="P310" i="10"/>
  <c r="Q310" i="10" s="1"/>
  <c r="P311" i="10"/>
  <c r="Q311" i="10" s="1"/>
  <c r="P312" i="10"/>
  <c r="Q312" i="10" s="1"/>
  <c r="P313" i="10"/>
  <c r="Q313" i="10" s="1"/>
  <c r="P314" i="10"/>
  <c r="Q314" i="10" s="1"/>
  <c r="P315" i="10"/>
  <c r="Q315" i="10" s="1"/>
  <c r="P316" i="10"/>
  <c r="Q316" i="10" s="1"/>
  <c r="P317" i="10"/>
  <c r="Q317" i="10" s="1"/>
  <c r="P318" i="10"/>
  <c r="Q318" i="10" s="1"/>
  <c r="P319" i="10"/>
  <c r="Q319" i="10" s="1"/>
  <c r="P320" i="10"/>
  <c r="Q320" i="10" s="1"/>
  <c r="P321" i="10"/>
  <c r="Q321" i="10" s="1"/>
  <c r="P322" i="10"/>
  <c r="Q322" i="10" s="1"/>
  <c r="P323" i="10"/>
  <c r="Q323" i="10" s="1"/>
  <c r="P324" i="10"/>
  <c r="Q324" i="10" s="1"/>
  <c r="P325" i="10"/>
  <c r="Q325" i="10" s="1"/>
  <c r="P326" i="10"/>
  <c r="Q326" i="10" s="1"/>
  <c r="P327" i="10"/>
  <c r="Q327" i="10" s="1"/>
  <c r="P328" i="10"/>
  <c r="Q328" i="10" s="1"/>
  <c r="P329" i="10"/>
  <c r="Q329" i="10" s="1"/>
  <c r="P330" i="10"/>
  <c r="Q330" i="10" s="1"/>
  <c r="P331" i="10"/>
  <c r="Q331" i="10" s="1"/>
  <c r="P332" i="10"/>
  <c r="Q332" i="10" s="1"/>
  <c r="P333" i="10"/>
  <c r="Q333" i="10" s="1"/>
  <c r="P334" i="10"/>
  <c r="Q334" i="10" s="1"/>
  <c r="P335" i="10"/>
  <c r="Q335" i="10" s="1"/>
  <c r="P336" i="10"/>
  <c r="Q336" i="10" s="1"/>
  <c r="P337" i="10"/>
  <c r="Q337" i="10" s="1"/>
  <c r="P338" i="10"/>
  <c r="Q338" i="10" s="1"/>
  <c r="P339" i="10"/>
  <c r="Q339" i="10" s="1"/>
  <c r="P340" i="10"/>
  <c r="Q340" i="10" s="1"/>
  <c r="P341" i="10"/>
  <c r="Q341" i="10" s="1"/>
  <c r="P342" i="10"/>
  <c r="Q342" i="10" s="1"/>
  <c r="P343" i="10"/>
  <c r="Q343" i="10" s="1"/>
  <c r="P344" i="10"/>
  <c r="Q344" i="10" s="1"/>
  <c r="P345" i="10"/>
  <c r="Q345" i="10" s="1"/>
  <c r="P346" i="10"/>
  <c r="Q346" i="10" s="1"/>
  <c r="P347" i="10"/>
  <c r="Q347" i="10" s="1"/>
  <c r="P348" i="10"/>
  <c r="Q348" i="10" s="1"/>
  <c r="P349" i="10"/>
  <c r="Q349" i="10" s="1"/>
  <c r="P350" i="10"/>
  <c r="Q350" i="10" s="1"/>
  <c r="P351" i="10"/>
  <c r="Q351" i="10" s="1"/>
  <c r="P352" i="10"/>
  <c r="Q352" i="10" s="1"/>
  <c r="P353" i="10"/>
  <c r="Q353" i="10" s="1"/>
  <c r="P354" i="10"/>
  <c r="Q354" i="10" s="1"/>
  <c r="P355" i="10"/>
  <c r="Q355" i="10" s="1"/>
  <c r="P356" i="10"/>
  <c r="Q356" i="10" s="1"/>
  <c r="P357" i="10"/>
  <c r="Q357" i="10" s="1"/>
  <c r="P358" i="10"/>
  <c r="Q358" i="10" s="1"/>
  <c r="P359" i="10"/>
  <c r="Q359" i="10" s="1"/>
  <c r="P360" i="10"/>
  <c r="Q360" i="10" s="1"/>
  <c r="P361" i="10"/>
  <c r="Q361" i="10" s="1"/>
  <c r="P362" i="10"/>
  <c r="Q362" i="10" s="1"/>
  <c r="P363" i="10"/>
  <c r="Q363" i="10" s="1"/>
  <c r="P364" i="10"/>
  <c r="Q364" i="10" s="1"/>
  <c r="P365" i="10"/>
  <c r="Q365" i="10" s="1"/>
  <c r="P366" i="10"/>
  <c r="Q366" i="10" s="1"/>
  <c r="P367" i="10"/>
  <c r="Q367" i="10" s="1"/>
  <c r="P368" i="10"/>
  <c r="Q368" i="10" s="1"/>
  <c r="P369" i="10"/>
  <c r="Q369" i="10" s="1"/>
  <c r="P370" i="10"/>
  <c r="Q370" i="10" s="1"/>
  <c r="P371" i="10"/>
  <c r="Q371" i="10" s="1"/>
  <c r="P372" i="10"/>
  <c r="Q372" i="10" s="1"/>
  <c r="P373" i="10"/>
  <c r="Q373" i="10" s="1"/>
  <c r="P374" i="10"/>
  <c r="Q374" i="10" s="1"/>
  <c r="P375" i="10"/>
  <c r="Q375" i="10" s="1"/>
  <c r="P376" i="10"/>
  <c r="Q376" i="10" s="1"/>
  <c r="P377" i="10"/>
  <c r="Q377" i="10" s="1"/>
  <c r="P378" i="10"/>
  <c r="Q378" i="10" s="1"/>
  <c r="P379" i="10"/>
  <c r="Q379" i="10" s="1"/>
  <c r="P380" i="10"/>
  <c r="Q380" i="10" s="1"/>
  <c r="P381" i="10"/>
  <c r="Q381" i="10" s="1"/>
  <c r="P382" i="10"/>
  <c r="Q382" i="10" s="1"/>
  <c r="P383" i="10"/>
  <c r="Q383" i="10" s="1"/>
  <c r="P384" i="10"/>
  <c r="Q384" i="10" s="1"/>
  <c r="P385" i="10"/>
  <c r="Q385" i="10" s="1"/>
  <c r="P386" i="10"/>
  <c r="Q386" i="10" s="1"/>
  <c r="P387" i="10"/>
  <c r="Q387" i="10" s="1"/>
  <c r="P388" i="10"/>
  <c r="Q388" i="10" s="1"/>
  <c r="P389" i="10"/>
  <c r="Q389" i="10" s="1"/>
  <c r="P390" i="10"/>
  <c r="Q390" i="10" s="1"/>
  <c r="P391" i="10"/>
  <c r="Q391" i="10" s="1"/>
  <c r="P392" i="10"/>
  <c r="Q392" i="10" s="1"/>
  <c r="P393" i="10"/>
  <c r="Q393" i="10" s="1"/>
  <c r="P394" i="10"/>
  <c r="Q394" i="10" s="1"/>
  <c r="P395" i="10"/>
  <c r="Q395" i="10" s="1"/>
  <c r="P396" i="10"/>
  <c r="Q396" i="10" s="1"/>
  <c r="P397" i="10"/>
  <c r="Q397" i="10" s="1"/>
  <c r="P398" i="10"/>
  <c r="Q398" i="10" s="1"/>
  <c r="P399" i="10"/>
  <c r="Q399" i="10" s="1"/>
  <c r="P400" i="10"/>
  <c r="Q400" i="10" s="1"/>
  <c r="P401" i="10"/>
  <c r="Q401" i="10" s="1"/>
  <c r="P402" i="10"/>
  <c r="Q402" i="10" s="1"/>
  <c r="P403" i="10"/>
  <c r="Q403" i="10" s="1"/>
  <c r="P404" i="10"/>
  <c r="Q404" i="10" s="1"/>
  <c r="P405" i="10"/>
  <c r="Q405" i="10" s="1"/>
  <c r="P406" i="10"/>
  <c r="Q406" i="10" s="1"/>
  <c r="P407" i="10"/>
  <c r="Q407" i="10" s="1"/>
  <c r="P408" i="10"/>
  <c r="Q408" i="10" s="1"/>
  <c r="P409" i="10"/>
  <c r="Q409" i="10" s="1"/>
  <c r="P410" i="10"/>
  <c r="Q410" i="10" s="1"/>
  <c r="P411" i="10"/>
  <c r="Q411" i="10" s="1"/>
  <c r="P412" i="10"/>
  <c r="Q412" i="10" s="1"/>
  <c r="P413" i="10"/>
  <c r="Q413" i="10" s="1"/>
  <c r="P414" i="10"/>
  <c r="Q414" i="10" s="1"/>
  <c r="P415" i="10"/>
  <c r="Q415" i="10" s="1"/>
  <c r="P416" i="10"/>
  <c r="Q416" i="10" s="1"/>
  <c r="P417" i="10"/>
  <c r="Q417" i="10" s="1"/>
  <c r="P418" i="10"/>
  <c r="Q418" i="10" s="1"/>
  <c r="P419" i="10"/>
  <c r="Q419" i="10" s="1"/>
  <c r="P420" i="10"/>
  <c r="Q420" i="10" s="1"/>
  <c r="P421" i="10"/>
  <c r="Q421" i="10" s="1"/>
  <c r="P422" i="10"/>
  <c r="Q422" i="10" s="1"/>
  <c r="P423" i="10"/>
  <c r="Q423" i="10" s="1"/>
  <c r="P424" i="10"/>
  <c r="Q424" i="10" s="1"/>
  <c r="P425" i="10"/>
  <c r="Q425" i="10" s="1"/>
  <c r="P426" i="10"/>
  <c r="Q426" i="10" s="1"/>
  <c r="P427" i="10"/>
  <c r="Q427" i="10" s="1"/>
  <c r="P428" i="10"/>
  <c r="Q428" i="10" s="1"/>
  <c r="P429" i="10"/>
  <c r="Q429" i="10" s="1"/>
  <c r="P430" i="10"/>
  <c r="Q430" i="10" s="1"/>
  <c r="P431" i="10"/>
  <c r="Q431" i="10" s="1"/>
  <c r="P432" i="10"/>
  <c r="Q432" i="10" s="1"/>
  <c r="P433" i="10"/>
  <c r="Q433" i="10" s="1"/>
  <c r="P434" i="10"/>
  <c r="Q434" i="10" s="1"/>
  <c r="P435" i="10"/>
  <c r="Q435" i="10" s="1"/>
  <c r="P436" i="10"/>
  <c r="Q436" i="10" s="1"/>
  <c r="P437" i="10"/>
  <c r="Q437" i="10" s="1"/>
  <c r="P438" i="10"/>
  <c r="Q438" i="10" s="1"/>
  <c r="P439" i="10"/>
  <c r="Q439" i="10" s="1"/>
  <c r="P440" i="10"/>
  <c r="Q440" i="10" s="1"/>
  <c r="P441" i="10"/>
  <c r="Q441" i="10" s="1"/>
  <c r="P442" i="10"/>
  <c r="Q442" i="10" s="1"/>
  <c r="P443" i="10"/>
  <c r="Q443" i="10" s="1"/>
  <c r="P444" i="10"/>
  <c r="Q444" i="10" s="1"/>
  <c r="P445" i="10"/>
  <c r="Q445" i="10" s="1"/>
  <c r="P446" i="10"/>
  <c r="Q446" i="10" s="1"/>
  <c r="P447" i="10"/>
  <c r="Q447" i="10" s="1"/>
  <c r="P448" i="10"/>
  <c r="Q448" i="10" s="1"/>
  <c r="P449" i="10"/>
  <c r="Q449" i="10" s="1"/>
  <c r="P450" i="10"/>
  <c r="Q450" i="10" s="1"/>
  <c r="P451" i="10"/>
  <c r="Q451" i="10" s="1"/>
  <c r="P452" i="10"/>
  <c r="Q452" i="10" s="1"/>
  <c r="P453" i="10"/>
  <c r="Q453" i="10" s="1"/>
  <c r="P454" i="10"/>
  <c r="Q454" i="10" s="1"/>
  <c r="P455" i="10"/>
  <c r="Q455" i="10" s="1"/>
  <c r="P456" i="10"/>
  <c r="Q456" i="10" s="1"/>
  <c r="P457" i="10"/>
  <c r="Q457" i="10" s="1"/>
  <c r="P458" i="10"/>
  <c r="Q458" i="10" s="1"/>
  <c r="P459" i="10"/>
  <c r="Q459" i="10" s="1"/>
  <c r="P460" i="10"/>
  <c r="Q460" i="10" s="1"/>
  <c r="P461" i="10"/>
  <c r="Q461" i="10" s="1"/>
  <c r="P462" i="10"/>
  <c r="Q462" i="10" s="1"/>
  <c r="P463" i="10"/>
  <c r="Q463" i="10" s="1"/>
  <c r="P464" i="10"/>
  <c r="Q464" i="10" s="1"/>
  <c r="P465" i="10"/>
  <c r="Q465" i="10" s="1"/>
  <c r="P466" i="10"/>
  <c r="Q466" i="10" s="1"/>
  <c r="P467" i="10"/>
  <c r="Q467" i="10" s="1"/>
  <c r="P468" i="10"/>
  <c r="Q468" i="10" s="1"/>
  <c r="P469" i="10"/>
  <c r="Q469" i="10" s="1"/>
  <c r="P470" i="10"/>
  <c r="Q470" i="10" s="1"/>
  <c r="P471" i="10"/>
  <c r="Q471" i="10" s="1"/>
  <c r="P472" i="10"/>
  <c r="Q472" i="10" s="1"/>
  <c r="P473" i="10"/>
  <c r="Q473" i="10" s="1"/>
  <c r="P474" i="10"/>
  <c r="Q474" i="10" s="1"/>
  <c r="P475" i="10"/>
  <c r="Q475" i="10" s="1"/>
  <c r="P476" i="10"/>
  <c r="Q476" i="10" s="1"/>
  <c r="P477" i="10"/>
  <c r="Q477" i="10" s="1"/>
  <c r="P478" i="10"/>
  <c r="Q478" i="10" s="1"/>
  <c r="P479" i="10"/>
  <c r="Q479" i="10" s="1"/>
  <c r="P480" i="10"/>
  <c r="Q480" i="10" s="1"/>
  <c r="P481" i="10"/>
  <c r="Q481" i="10" s="1"/>
  <c r="P482" i="10"/>
  <c r="Q482" i="10" s="1"/>
  <c r="P483" i="10"/>
  <c r="Q483" i="10" s="1"/>
  <c r="P484" i="10"/>
  <c r="Q484" i="10" s="1"/>
  <c r="P485" i="10"/>
  <c r="Q485" i="10" s="1"/>
  <c r="P486" i="10"/>
  <c r="Q486" i="10" s="1"/>
  <c r="P487" i="10"/>
  <c r="Q487" i="10" s="1"/>
  <c r="P488" i="10"/>
  <c r="Q488" i="10" s="1"/>
  <c r="P489" i="10"/>
  <c r="Q489" i="10" s="1"/>
  <c r="P490" i="10"/>
  <c r="Q490" i="10" s="1"/>
  <c r="P491" i="10"/>
  <c r="Q491" i="10" s="1"/>
  <c r="P492" i="10"/>
  <c r="Q492" i="10" s="1"/>
  <c r="P493" i="10"/>
  <c r="Q493" i="10" s="1"/>
  <c r="P494" i="10"/>
  <c r="Q494" i="10" s="1"/>
  <c r="P495" i="10"/>
  <c r="Q495" i="10" s="1"/>
  <c r="P496" i="10"/>
  <c r="Q496" i="10" s="1"/>
  <c r="P497" i="10"/>
  <c r="Q497" i="10" s="1"/>
  <c r="P498" i="10"/>
  <c r="Q498" i="10" s="1"/>
  <c r="P499" i="10"/>
  <c r="Q499" i="10" s="1"/>
  <c r="P500" i="10"/>
  <c r="Q500" i="10" s="1"/>
  <c r="P501" i="10"/>
  <c r="Q501" i="10" s="1"/>
  <c r="P502" i="10"/>
  <c r="Q502" i="10" s="1"/>
  <c r="P503" i="10"/>
  <c r="Q503" i="10" s="1"/>
  <c r="P504" i="10"/>
  <c r="Q504" i="10" s="1"/>
  <c r="P505" i="10"/>
  <c r="Q505" i="10" s="1"/>
  <c r="P506" i="10"/>
  <c r="Q506" i="10" s="1"/>
  <c r="P507" i="10"/>
  <c r="Q507" i="10" s="1"/>
  <c r="P508" i="10"/>
  <c r="Q508" i="10" s="1"/>
  <c r="P509" i="10"/>
  <c r="Q509" i="10" s="1"/>
  <c r="P510" i="10"/>
  <c r="Q510" i="10" s="1"/>
  <c r="P511" i="10"/>
  <c r="Q511" i="10" s="1"/>
  <c r="P512" i="10"/>
  <c r="Q512" i="10" s="1"/>
  <c r="P513" i="10"/>
  <c r="Q513" i="10" s="1"/>
  <c r="P514" i="10"/>
  <c r="Q514" i="10" s="1"/>
  <c r="P515" i="10"/>
  <c r="Q515" i="10" s="1"/>
  <c r="P516" i="10"/>
  <c r="Q516" i="10" s="1"/>
  <c r="P517" i="10"/>
  <c r="Q517" i="10" s="1"/>
  <c r="P518" i="10"/>
  <c r="Q518" i="10" s="1"/>
  <c r="P519" i="10"/>
  <c r="Q519" i="10" s="1"/>
  <c r="P520" i="10"/>
  <c r="Q520" i="10" s="1"/>
  <c r="P521" i="10"/>
  <c r="Q521" i="10" s="1"/>
  <c r="P522" i="10"/>
  <c r="Q522" i="10" s="1"/>
  <c r="P523" i="10"/>
  <c r="Q523" i="10" s="1"/>
  <c r="P524" i="10"/>
  <c r="Q524" i="10" s="1"/>
  <c r="P525" i="10"/>
  <c r="Q525" i="10" s="1"/>
  <c r="P526" i="10"/>
  <c r="Q526" i="10" s="1"/>
  <c r="P527" i="10"/>
  <c r="Q527" i="10" s="1"/>
  <c r="P528" i="10"/>
  <c r="Q528" i="10" s="1"/>
  <c r="P529" i="10"/>
  <c r="Q529" i="10" s="1"/>
  <c r="P530" i="10"/>
  <c r="Q530" i="10" s="1"/>
  <c r="P531" i="10"/>
  <c r="Q531" i="10" s="1"/>
  <c r="P532" i="10"/>
  <c r="Q532" i="10" s="1"/>
  <c r="P533" i="10"/>
  <c r="Q533" i="10" s="1"/>
  <c r="P534" i="10"/>
  <c r="Q534" i="10" s="1"/>
  <c r="P535" i="10"/>
  <c r="Q535" i="10" s="1"/>
  <c r="P536" i="10"/>
  <c r="Q536" i="10" s="1"/>
  <c r="P537" i="10"/>
  <c r="Q537" i="10" s="1"/>
  <c r="P538" i="10"/>
  <c r="Q538" i="10" s="1"/>
  <c r="P539" i="10"/>
  <c r="Q539" i="10" s="1"/>
  <c r="P540" i="10"/>
  <c r="Q540" i="10" s="1"/>
  <c r="P541" i="10"/>
  <c r="Q541" i="10" s="1"/>
  <c r="P542" i="10"/>
  <c r="Q542" i="10" s="1"/>
  <c r="P543" i="10"/>
  <c r="Q543" i="10" s="1"/>
  <c r="P544" i="10"/>
  <c r="Q544" i="10" s="1"/>
  <c r="P545" i="10"/>
  <c r="Q545" i="10" s="1"/>
  <c r="P546" i="10"/>
  <c r="Q546" i="10" s="1"/>
  <c r="P547" i="10"/>
  <c r="Q547" i="10" s="1"/>
  <c r="P548" i="10"/>
  <c r="Q548" i="10" s="1"/>
  <c r="P549" i="10"/>
  <c r="Q549" i="10" s="1"/>
  <c r="P550" i="10"/>
  <c r="Q550" i="10" s="1"/>
  <c r="P551" i="10"/>
  <c r="Q551" i="10" s="1"/>
  <c r="P552" i="10"/>
  <c r="Q552" i="10" s="1"/>
  <c r="P553" i="10"/>
  <c r="Q553" i="10" s="1"/>
  <c r="P554" i="10"/>
  <c r="Q554" i="10" s="1"/>
  <c r="P555" i="10"/>
  <c r="Q555" i="10" s="1"/>
  <c r="P556" i="10"/>
  <c r="Q556" i="10" s="1"/>
  <c r="P557" i="10"/>
  <c r="Q557" i="10" s="1"/>
  <c r="P558" i="10"/>
  <c r="Q558" i="10" s="1"/>
  <c r="P559" i="10"/>
  <c r="Q559" i="10" s="1"/>
  <c r="P560" i="10"/>
  <c r="Q560" i="10" s="1"/>
  <c r="P561" i="10"/>
  <c r="Q561" i="10" s="1"/>
  <c r="P562" i="10"/>
  <c r="Q562" i="10" s="1"/>
  <c r="P563" i="10"/>
  <c r="Q563" i="10" s="1"/>
  <c r="P564" i="10"/>
  <c r="Q564" i="10" s="1"/>
  <c r="P565" i="10"/>
  <c r="Q565" i="10" s="1"/>
  <c r="P566" i="10"/>
  <c r="Q566" i="10" s="1"/>
  <c r="P567" i="10"/>
  <c r="Q567" i="10" s="1"/>
  <c r="P568" i="10"/>
  <c r="Q568" i="10" s="1"/>
  <c r="P569" i="10"/>
  <c r="Q569" i="10" s="1"/>
  <c r="P570" i="10"/>
  <c r="Q570" i="10" s="1"/>
  <c r="P571" i="10"/>
  <c r="Q571" i="10" s="1"/>
  <c r="P572" i="10"/>
  <c r="Q572" i="10" s="1"/>
  <c r="P573" i="10"/>
  <c r="Q573" i="10" s="1"/>
  <c r="P574" i="10"/>
  <c r="Q574" i="10" s="1"/>
  <c r="P575" i="10"/>
  <c r="Q575" i="10" s="1"/>
  <c r="P576" i="10"/>
  <c r="Q576" i="10" s="1"/>
  <c r="P577" i="10"/>
  <c r="Q577" i="10" s="1"/>
  <c r="P578" i="10"/>
  <c r="Q578" i="10" s="1"/>
  <c r="P579" i="10"/>
  <c r="Q579" i="10" s="1"/>
  <c r="P580" i="10"/>
  <c r="Q580" i="10" s="1"/>
  <c r="P581" i="10"/>
  <c r="Q581" i="10" s="1"/>
  <c r="P582" i="10"/>
  <c r="Q582" i="10" s="1"/>
  <c r="P583" i="10"/>
  <c r="Q583" i="10" s="1"/>
  <c r="P584" i="10"/>
  <c r="Q584" i="10" s="1"/>
  <c r="P585" i="10"/>
  <c r="Q585" i="10" s="1"/>
  <c r="P586" i="10"/>
  <c r="Q586" i="10" s="1"/>
  <c r="P587" i="10"/>
  <c r="Q587" i="10" s="1"/>
  <c r="P588" i="10"/>
  <c r="Q588" i="10" s="1"/>
  <c r="P589" i="10"/>
  <c r="Q589" i="10" s="1"/>
  <c r="P590" i="10"/>
  <c r="Q590" i="10" s="1"/>
  <c r="P591" i="10"/>
  <c r="Q591" i="10" s="1"/>
  <c r="P592" i="10"/>
  <c r="Q592" i="10" s="1"/>
  <c r="P593" i="10"/>
  <c r="Q593" i="10" s="1"/>
  <c r="P594" i="10"/>
  <c r="Q594" i="10" s="1"/>
  <c r="P595" i="10"/>
  <c r="Q595" i="10" s="1"/>
  <c r="P596" i="10"/>
  <c r="Q596" i="10" s="1"/>
  <c r="P597" i="10"/>
  <c r="Q597" i="10" s="1"/>
  <c r="P598" i="10"/>
  <c r="Q598" i="10" s="1"/>
  <c r="P599" i="10"/>
  <c r="Q599" i="10" s="1"/>
  <c r="P600" i="10"/>
  <c r="Q600" i="10" s="1"/>
  <c r="P601" i="10"/>
  <c r="Q601" i="10" s="1"/>
  <c r="P602" i="10"/>
  <c r="Q602" i="10" s="1"/>
  <c r="P603" i="10"/>
  <c r="Q603" i="10" s="1"/>
  <c r="P604" i="10"/>
  <c r="Q604" i="10" s="1"/>
  <c r="P605" i="10"/>
  <c r="Q605" i="10" s="1"/>
  <c r="P606" i="10"/>
  <c r="Q606" i="10" s="1"/>
  <c r="P607" i="10"/>
  <c r="Q607" i="10" s="1"/>
  <c r="P608" i="10"/>
  <c r="Q608" i="10" s="1"/>
  <c r="P609" i="10"/>
  <c r="Q609" i="10" s="1"/>
  <c r="P610" i="10"/>
  <c r="Q610" i="10" s="1"/>
  <c r="P611" i="10"/>
  <c r="Q611" i="10" s="1"/>
  <c r="P612" i="10"/>
  <c r="Q612" i="10" s="1"/>
  <c r="P613" i="10"/>
  <c r="Q613" i="10" s="1"/>
  <c r="P614" i="10"/>
  <c r="Q614" i="10" s="1"/>
  <c r="P615" i="10"/>
  <c r="Q615" i="10" s="1"/>
  <c r="P616" i="10"/>
  <c r="Q616" i="10" s="1"/>
  <c r="P617" i="10"/>
  <c r="Q617" i="10" s="1"/>
  <c r="P618" i="10"/>
  <c r="Q618" i="10" s="1"/>
  <c r="P619" i="10"/>
  <c r="Q619" i="10" s="1"/>
  <c r="P620" i="10"/>
  <c r="Q620" i="10" s="1"/>
  <c r="P621" i="10"/>
  <c r="Q621" i="10" s="1"/>
  <c r="P622" i="10"/>
  <c r="Q622" i="10" s="1"/>
  <c r="P623" i="10"/>
  <c r="Q623" i="10" s="1"/>
  <c r="P624" i="10"/>
  <c r="Q624" i="10" s="1"/>
  <c r="P625" i="10"/>
  <c r="Q625" i="10" s="1"/>
  <c r="P626" i="10"/>
  <c r="Q626" i="10" s="1"/>
  <c r="P627" i="10"/>
  <c r="Q627" i="10" s="1"/>
  <c r="P628" i="10"/>
  <c r="Q628" i="10" s="1"/>
  <c r="P629" i="10"/>
  <c r="Q629" i="10" s="1"/>
  <c r="P630" i="10"/>
  <c r="Q630" i="10" s="1"/>
  <c r="P631" i="10"/>
  <c r="Q631" i="10" s="1"/>
  <c r="P632" i="10"/>
  <c r="Q632" i="10" s="1"/>
  <c r="P633" i="10"/>
  <c r="Q633" i="10" s="1"/>
  <c r="P634" i="10"/>
  <c r="Q634" i="10" s="1"/>
  <c r="P635" i="10"/>
  <c r="Q635" i="10" s="1"/>
  <c r="P636" i="10"/>
  <c r="Q636" i="10" s="1"/>
  <c r="P637" i="10"/>
  <c r="Q637" i="10" s="1"/>
  <c r="P638" i="10"/>
  <c r="Q638" i="10" s="1"/>
  <c r="P639" i="10"/>
  <c r="Q639" i="10" s="1"/>
  <c r="P640" i="10"/>
  <c r="Q640" i="10" s="1"/>
  <c r="P641" i="10"/>
  <c r="Q641" i="10" s="1"/>
  <c r="P642" i="10"/>
  <c r="Q642" i="10" s="1"/>
  <c r="P643" i="10"/>
  <c r="Q643" i="10" s="1"/>
  <c r="P644" i="10"/>
  <c r="Q644" i="10" s="1"/>
  <c r="P645" i="10"/>
  <c r="Q645" i="10" s="1"/>
  <c r="P646" i="10"/>
  <c r="Q646" i="10" s="1"/>
  <c r="P647" i="10"/>
  <c r="Q647" i="10" s="1"/>
  <c r="P648" i="10"/>
  <c r="Q648" i="10" s="1"/>
  <c r="P649" i="10"/>
  <c r="Q649" i="10" s="1"/>
  <c r="P650" i="10"/>
  <c r="Q650" i="10" s="1"/>
  <c r="P651" i="10"/>
  <c r="Q651" i="10" s="1"/>
  <c r="P652" i="10"/>
  <c r="Q652" i="10" s="1"/>
  <c r="P653" i="10"/>
  <c r="Q653" i="10" s="1"/>
  <c r="P654" i="10"/>
  <c r="Q654" i="10" s="1"/>
  <c r="P655" i="10"/>
  <c r="Q655" i="10" s="1"/>
  <c r="P656" i="10"/>
  <c r="Q656" i="10" s="1"/>
  <c r="P657" i="10"/>
  <c r="Q657" i="10" s="1"/>
  <c r="P658" i="10"/>
  <c r="Q658" i="10" s="1"/>
  <c r="P659" i="10"/>
  <c r="Q659" i="10" s="1"/>
  <c r="P660" i="10"/>
  <c r="Q660" i="10" s="1"/>
  <c r="P661" i="10"/>
  <c r="Q661" i="10" s="1"/>
  <c r="P662" i="10"/>
  <c r="Q662" i="10" s="1"/>
  <c r="P663" i="10"/>
  <c r="Q663" i="10" s="1"/>
  <c r="P664" i="10"/>
  <c r="Q664" i="10" s="1"/>
  <c r="P665" i="10"/>
  <c r="Q665" i="10" s="1"/>
  <c r="P666" i="10"/>
  <c r="Q666" i="10" s="1"/>
  <c r="P667" i="10"/>
  <c r="Q667" i="10" s="1"/>
  <c r="P668" i="10"/>
  <c r="Q668" i="10" s="1"/>
  <c r="P669" i="10"/>
  <c r="Q669" i="10" s="1"/>
  <c r="P670" i="10"/>
  <c r="Q670" i="10" s="1"/>
  <c r="P671" i="10"/>
  <c r="Q671" i="10" s="1"/>
  <c r="P672" i="10"/>
  <c r="Q672" i="10" s="1"/>
  <c r="P673" i="10"/>
  <c r="Q673" i="10" s="1"/>
  <c r="P674" i="10"/>
  <c r="Q674" i="10" s="1"/>
  <c r="P675" i="10"/>
  <c r="Q675" i="10" s="1"/>
  <c r="P676" i="10"/>
  <c r="Q676" i="10" s="1"/>
  <c r="P677" i="10"/>
  <c r="Q677" i="10" s="1"/>
  <c r="P678" i="10"/>
  <c r="Q678" i="10" s="1"/>
  <c r="P679" i="10"/>
  <c r="Q679" i="10" s="1"/>
  <c r="P680" i="10"/>
  <c r="Q680" i="10" s="1"/>
  <c r="P681" i="10"/>
  <c r="Q681" i="10" s="1"/>
  <c r="P682" i="10"/>
  <c r="Q682" i="10" s="1"/>
  <c r="P683" i="10"/>
  <c r="Q683" i="10" s="1"/>
  <c r="P684" i="10"/>
  <c r="Q684" i="10" s="1"/>
  <c r="P685" i="10"/>
  <c r="Q685" i="10" s="1"/>
  <c r="P686" i="10"/>
  <c r="Q686" i="10" s="1"/>
  <c r="P687" i="10"/>
  <c r="Q687" i="10" s="1"/>
  <c r="P688" i="10"/>
  <c r="Q688" i="10" s="1"/>
  <c r="P689" i="10"/>
  <c r="Q689" i="10" s="1"/>
  <c r="P690" i="10"/>
  <c r="Q690" i="10" s="1"/>
  <c r="P691" i="10"/>
  <c r="Q691" i="10" s="1"/>
  <c r="P692" i="10"/>
  <c r="Q692" i="10" s="1"/>
  <c r="P693" i="10"/>
  <c r="Q693" i="10" s="1"/>
  <c r="P694" i="10"/>
  <c r="Q694" i="10" s="1"/>
  <c r="P695" i="10"/>
  <c r="Q695" i="10" s="1"/>
  <c r="P696" i="10"/>
  <c r="Q696" i="10" s="1"/>
  <c r="P697" i="10"/>
  <c r="Q697" i="10" s="1"/>
  <c r="P698" i="10"/>
  <c r="Q698" i="10" s="1"/>
  <c r="P699" i="10"/>
  <c r="Q699" i="10" s="1"/>
  <c r="P700" i="10"/>
  <c r="Q700" i="10" s="1"/>
  <c r="P701" i="10"/>
  <c r="Q701" i="10" s="1"/>
  <c r="P702" i="10"/>
  <c r="Q702" i="10" s="1"/>
  <c r="P703" i="10"/>
  <c r="Q703" i="10" s="1"/>
  <c r="P704" i="10"/>
  <c r="Q704" i="10" s="1"/>
  <c r="P705" i="10"/>
  <c r="Q705" i="10" s="1"/>
  <c r="P706" i="10"/>
  <c r="Q706" i="10" s="1"/>
  <c r="P707" i="10"/>
  <c r="Q707" i="10" s="1"/>
  <c r="P708" i="10"/>
  <c r="Q708" i="10" s="1"/>
  <c r="P709" i="10"/>
  <c r="Q709" i="10" s="1"/>
  <c r="P710" i="10"/>
  <c r="Q710" i="10" s="1"/>
  <c r="P711" i="10"/>
  <c r="Q711" i="10" s="1"/>
  <c r="P712" i="10"/>
  <c r="Q712" i="10" s="1"/>
  <c r="P713" i="10"/>
  <c r="Q713" i="10" s="1"/>
  <c r="P714" i="10"/>
  <c r="Q714" i="10" s="1"/>
  <c r="P715" i="10"/>
  <c r="Q715" i="10" s="1"/>
  <c r="P716" i="10"/>
  <c r="Q716" i="10" s="1"/>
  <c r="P717" i="10"/>
  <c r="Q717" i="10" s="1"/>
  <c r="P718" i="10"/>
  <c r="Q718" i="10" s="1"/>
  <c r="P719" i="10"/>
  <c r="Q719" i="10" s="1"/>
  <c r="P720" i="10"/>
  <c r="Q720" i="10" s="1"/>
  <c r="P721" i="10"/>
  <c r="Q721" i="10" s="1"/>
  <c r="P722" i="10"/>
  <c r="Q722" i="10" s="1"/>
  <c r="P723" i="10"/>
  <c r="Q723" i="10" s="1"/>
  <c r="P724" i="10"/>
  <c r="Q724" i="10" s="1"/>
  <c r="P725" i="10"/>
  <c r="Q725" i="10" s="1"/>
  <c r="P726" i="10"/>
  <c r="Q726" i="10" s="1"/>
  <c r="P727" i="10"/>
  <c r="Q727" i="10" s="1"/>
  <c r="P728" i="10"/>
  <c r="Q728" i="10" s="1"/>
  <c r="P729" i="10"/>
  <c r="Q729" i="10" s="1"/>
  <c r="P730" i="10"/>
  <c r="Q730" i="10" s="1"/>
  <c r="P731" i="10"/>
  <c r="Q731" i="10" s="1"/>
  <c r="P732" i="10"/>
  <c r="Q732" i="10" s="1"/>
  <c r="P733" i="10"/>
  <c r="Q733" i="10" s="1"/>
  <c r="P734" i="10"/>
  <c r="Q734" i="10" s="1"/>
  <c r="P735" i="10"/>
  <c r="Q735" i="10" s="1"/>
  <c r="P736" i="10"/>
  <c r="Q736" i="10" s="1"/>
  <c r="P737" i="10"/>
  <c r="Q737" i="10" s="1"/>
  <c r="P738" i="10"/>
  <c r="Q738" i="10" s="1"/>
  <c r="P739" i="10"/>
  <c r="Q739" i="10" s="1"/>
  <c r="P740" i="10"/>
  <c r="Q740" i="10" s="1"/>
  <c r="P741" i="10"/>
  <c r="Q741" i="10" s="1"/>
  <c r="P742" i="10"/>
  <c r="Q742" i="10" s="1"/>
  <c r="P743" i="10"/>
  <c r="Q743" i="10" s="1"/>
  <c r="P744" i="10"/>
  <c r="Q744" i="10" s="1"/>
  <c r="P745" i="10"/>
  <c r="Q745" i="10" s="1"/>
  <c r="P746" i="10"/>
  <c r="Q746" i="10" s="1"/>
  <c r="P747" i="10"/>
  <c r="Q747" i="10" s="1"/>
  <c r="P748" i="10"/>
  <c r="Q748" i="10" s="1"/>
  <c r="P749" i="10"/>
  <c r="Q749" i="10" s="1"/>
  <c r="P750" i="10"/>
  <c r="Q750" i="10" s="1"/>
  <c r="P751" i="10"/>
  <c r="Q751" i="10" s="1"/>
  <c r="P752" i="10"/>
  <c r="Q752" i="10" s="1"/>
  <c r="P753" i="10"/>
  <c r="Q753" i="10" s="1"/>
  <c r="P754" i="10"/>
  <c r="Q754" i="10" s="1"/>
  <c r="P755" i="10"/>
  <c r="Q755" i="10" s="1"/>
  <c r="P756" i="10"/>
  <c r="Q756" i="10" s="1"/>
  <c r="P757" i="10"/>
  <c r="Q757" i="10" s="1"/>
  <c r="P758" i="10"/>
  <c r="Q758" i="10" s="1"/>
  <c r="P759" i="10"/>
  <c r="Q759" i="10" s="1"/>
  <c r="P760" i="10"/>
  <c r="Q760" i="10" s="1"/>
  <c r="P761" i="10"/>
  <c r="Q761" i="10" s="1"/>
  <c r="P762" i="10"/>
  <c r="Q762" i="10" s="1"/>
  <c r="P763" i="10"/>
  <c r="Q763" i="10" s="1"/>
  <c r="P764" i="10"/>
  <c r="Q764" i="10" s="1"/>
  <c r="P765" i="10"/>
  <c r="Q765" i="10" s="1"/>
  <c r="P766" i="10"/>
  <c r="Q766" i="10" s="1"/>
  <c r="P767" i="10"/>
  <c r="Q767" i="10" s="1"/>
  <c r="P768" i="10"/>
  <c r="Q768" i="10" s="1"/>
  <c r="P769" i="10"/>
  <c r="Q769" i="10" s="1"/>
  <c r="P770" i="10"/>
  <c r="Q770" i="10" s="1"/>
  <c r="P771" i="10"/>
  <c r="Q771" i="10" s="1"/>
  <c r="P772" i="10"/>
  <c r="Q772" i="10" s="1"/>
  <c r="P773" i="10"/>
  <c r="Q773" i="10" s="1"/>
  <c r="P774" i="10"/>
  <c r="Q774" i="10" s="1"/>
  <c r="P775" i="10"/>
  <c r="Q775" i="10" s="1"/>
  <c r="P776" i="10"/>
  <c r="Q776" i="10" s="1"/>
  <c r="P777" i="10"/>
  <c r="Q777" i="10" s="1"/>
  <c r="P778" i="10"/>
  <c r="Q778" i="10" s="1"/>
  <c r="P779" i="10"/>
  <c r="Q779" i="10" s="1"/>
  <c r="P780" i="10"/>
  <c r="Q780" i="10" s="1"/>
  <c r="P781" i="10"/>
  <c r="Q781" i="10" s="1"/>
  <c r="P782" i="10"/>
  <c r="Q782" i="10" s="1"/>
  <c r="P783" i="10"/>
  <c r="Q783" i="10" s="1"/>
  <c r="P784" i="10"/>
  <c r="Q784" i="10" s="1"/>
  <c r="P785" i="10"/>
  <c r="Q785" i="10" s="1"/>
  <c r="P786" i="10"/>
  <c r="Q786" i="10" s="1"/>
  <c r="P787" i="10"/>
  <c r="Q787" i="10" s="1"/>
  <c r="P788" i="10"/>
  <c r="Q788" i="10" s="1"/>
  <c r="P789" i="10"/>
  <c r="Q789" i="10" s="1"/>
  <c r="P790" i="10"/>
  <c r="Q790" i="10" s="1"/>
  <c r="P791" i="10"/>
  <c r="Q791" i="10" s="1"/>
  <c r="P792" i="10"/>
  <c r="Q792" i="10" s="1"/>
  <c r="P793" i="10"/>
  <c r="Q793" i="10" s="1"/>
  <c r="P794" i="10"/>
  <c r="Q794" i="10" s="1"/>
  <c r="P795" i="10"/>
  <c r="Q795" i="10" s="1"/>
  <c r="P796" i="10"/>
  <c r="Q796" i="10" s="1"/>
  <c r="P797" i="10"/>
  <c r="Q797" i="10" s="1"/>
  <c r="P798" i="10"/>
  <c r="Q798" i="10" s="1"/>
  <c r="P799" i="10"/>
  <c r="Q799" i="10" s="1"/>
  <c r="P800" i="10"/>
  <c r="Q800" i="10" s="1"/>
  <c r="P801" i="10"/>
  <c r="Q801" i="10" s="1"/>
  <c r="P802" i="10"/>
  <c r="Q802" i="10" s="1"/>
  <c r="P803" i="10"/>
  <c r="Q803" i="10" s="1"/>
  <c r="P804" i="10"/>
  <c r="Q804" i="10" s="1"/>
  <c r="P805" i="10"/>
  <c r="Q805" i="10" s="1"/>
  <c r="P806" i="10"/>
  <c r="Q806" i="10" s="1"/>
  <c r="P807" i="10"/>
  <c r="Q807" i="10" s="1"/>
  <c r="P808" i="10"/>
  <c r="Q808" i="10" s="1"/>
  <c r="P809" i="10"/>
  <c r="Q809" i="10" s="1"/>
  <c r="P810" i="10"/>
  <c r="Q810" i="10" s="1"/>
  <c r="P811" i="10"/>
  <c r="Q811" i="10" s="1"/>
  <c r="P812" i="10"/>
  <c r="Q812" i="10" s="1"/>
  <c r="P813" i="10"/>
  <c r="Q813" i="10" s="1"/>
  <c r="P814" i="10"/>
  <c r="Q814" i="10" s="1"/>
  <c r="P815" i="10"/>
  <c r="Q815" i="10" s="1"/>
  <c r="P816" i="10"/>
  <c r="Q816" i="10" s="1"/>
  <c r="P817" i="10"/>
  <c r="Q817" i="10" s="1"/>
  <c r="P818" i="10"/>
  <c r="Q818" i="10" s="1"/>
  <c r="P819" i="10"/>
  <c r="Q819" i="10" s="1"/>
  <c r="P820" i="10"/>
  <c r="Q820" i="10" s="1"/>
  <c r="P821" i="10"/>
  <c r="Q821" i="10" s="1"/>
  <c r="P822" i="10"/>
  <c r="Q822" i="10" s="1"/>
  <c r="P823" i="10"/>
  <c r="Q823" i="10" s="1"/>
  <c r="P824" i="10"/>
  <c r="Q824" i="10" s="1"/>
  <c r="P825" i="10"/>
  <c r="Q825" i="10" s="1"/>
  <c r="P826" i="10"/>
  <c r="Q826" i="10" s="1"/>
  <c r="P827" i="10"/>
  <c r="Q827" i="10" s="1"/>
  <c r="P828" i="10"/>
  <c r="Q828" i="10" s="1"/>
  <c r="P829" i="10"/>
  <c r="Q829" i="10" s="1"/>
  <c r="P830" i="10"/>
  <c r="Q830" i="10" s="1"/>
  <c r="P831" i="10"/>
  <c r="Q831" i="10" s="1"/>
  <c r="P832" i="10"/>
  <c r="Q832" i="10" s="1"/>
  <c r="P833" i="10"/>
  <c r="Q833" i="10" s="1"/>
  <c r="P834" i="10"/>
  <c r="Q834" i="10" s="1"/>
  <c r="P835" i="10"/>
  <c r="Q835" i="10" s="1"/>
  <c r="P836" i="10"/>
  <c r="Q836" i="10" s="1"/>
  <c r="P837" i="10"/>
  <c r="Q837" i="10" s="1"/>
  <c r="P838" i="10"/>
  <c r="Q838" i="10" s="1"/>
  <c r="P839" i="10"/>
  <c r="Q839" i="10" s="1"/>
  <c r="P840" i="10"/>
  <c r="Q840" i="10" s="1"/>
  <c r="P841" i="10"/>
  <c r="Q841" i="10" s="1"/>
  <c r="P842" i="10"/>
  <c r="Q842" i="10" s="1"/>
  <c r="P843" i="10"/>
  <c r="Q843" i="10" s="1"/>
  <c r="P844" i="10"/>
  <c r="Q844" i="10" s="1"/>
  <c r="P845" i="10"/>
  <c r="Q845" i="10" s="1"/>
  <c r="P846" i="10"/>
  <c r="Q846" i="10" s="1"/>
  <c r="P847" i="10"/>
  <c r="Q847" i="10" s="1"/>
  <c r="P848" i="10"/>
  <c r="Q848" i="10" s="1"/>
  <c r="P849" i="10"/>
  <c r="Q849" i="10" s="1"/>
  <c r="P850" i="10"/>
  <c r="Q850" i="10" s="1"/>
  <c r="P851" i="10"/>
  <c r="Q851" i="10" s="1"/>
  <c r="P852" i="10"/>
  <c r="Q852" i="10" s="1"/>
  <c r="P853" i="10"/>
  <c r="Q853" i="10" s="1"/>
  <c r="P854" i="10"/>
  <c r="Q854" i="10" s="1"/>
  <c r="P855" i="10"/>
  <c r="Q855" i="10" s="1"/>
  <c r="P856" i="10"/>
  <c r="Q856" i="10" s="1"/>
  <c r="P857" i="10"/>
  <c r="Q857" i="10" s="1"/>
  <c r="P858" i="10"/>
  <c r="Q858" i="10" s="1"/>
  <c r="P859" i="10"/>
  <c r="Q859" i="10" s="1"/>
  <c r="P860" i="10"/>
  <c r="Q860" i="10" s="1"/>
  <c r="P861" i="10"/>
  <c r="Q861" i="10" s="1"/>
  <c r="P862" i="10"/>
  <c r="Q862" i="10" s="1"/>
  <c r="P863" i="10"/>
  <c r="Q863" i="10" s="1"/>
  <c r="P864" i="10"/>
  <c r="Q864" i="10" s="1"/>
  <c r="P865" i="10"/>
  <c r="Q865" i="10" s="1"/>
  <c r="P866" i="10"/>
  <c r="Q866" i="10" s="1"/>
  <c r="P867" i="10"/>
  <c r="Q867" i="10" s="1"/>
  <c r="P868" i="10"/>
  <c r="Q868" i="10" s="1"/>
  <c r="P869" i="10"/>
  <c r="Q869" i="10" s="1"/>
  <c r="P870" i="10"/>
  <c r="Q870" i="10" s="1"/>
  <c r="P871" i="10"/>
  <c r="Q871" i="10" s="1"/>
  <c r="P872" i="10"/>
  <c r="Q872" i="10" s="1"/>
  <c r="P873" i="10"/>
  <c r="Q873" i="10" s="1"/>
  <c r="P874" i="10"/>
  <c r="Q874" i="10" s="1"/>
  <c r="P875" i="10"/>
  <c r="Q875" i="10" s="1"/>
  <c r="P876" i="10"/>
  <c r="Q876" i="10" s="1"/>
  <c r="P877" i="10"/>
  <c r="Q877" i="10" s="1"/>
  <c r="P878" i="10"/>
  <c r="Q878" i="10" s="1"/>
  <c r="P879" i="10"/>
  <c r="Q879" i="10" s="1"/>
  <c r="P880" i="10"/>
  <c r="Q880" i="10" s="1"/>
  <c r="P881" i="10"/>
  <c r="Q881" i="10" s="1"/>
  <c r="P882" i="10"/>
  <c r="Q882" i="10" s="1"/>
  <c r="P883" i="10"/>
  <c r="Q883" i="10" s="1"/>
  <c r="P884" i="10"/>
  <c r="Q884" i="10" s="1"/>
  <c r="P885" i="10"/>
  <c r="Q885" i="10" s="1"/>
  <c r="P886" i="10"/>
  <c r="Q886" i="10" s="1"/>
  <c r="P887" i="10"/>
  <c r="Q887" i="10" s="1"/>
  <c r="P888" i="10"/>
  <c r="Q888" i="10" s="1"/>
  <c r="P889" i="10"/>
  <c r="Q889" i="10" s="1"/>
  <c r="P890" i="10"/>
  <c r="Q890" i="10" s="1"/>
  <c r="P891" i="10"/>
  <c r="Q891" i="10" s="1"/>
  <c r="P892" i="10"/>
  <c r="Q892" i="10" s="1"/>
  <c r="P893" i="10"/>
  <c r="Q893" i="10" s="1"/>
  <c r="P894" i="10"/>
  <c r="Q894" i="10" s="1"/>
  <c r="P895" i="10"/>
  <c r="Q895" i="10" s="1"/>
  <c r="P896" i="10"/>
  <c r="Q896" i="10" s="1"/>
  <c r="P897" i="10"/>
  <c r="Q897" i="10" s="1"/>
  <c r="P898" i="10"/>
  <c r="Q898" i="10" s="1"/>
  <c r="P899" i="10"/>
  <c r="Q899" i="10" s="1"/>
  <c r="P900" i="10"/>
  <c r="Q900" i="10" s="1"/>
  <c r="P901" i="10"/>
  <c r="Q901" i="10" s="1"/>
  <c r="P902" i="10"/>
  <c r="Q902" i="10" s="1"/>
  <c r="P903" i="10"/>
  <c r="Q903" i="10" s="1"/>
  <c r="P904" i="10"/>
  <c r="Q904" i="10" s="1"/>
  <c r="P905" i="10"/>
  <c r="Q905" i="10" s="1"/>
  <c r="P906" i="10"/>
  <c r="Q906" i="10" s="1"/>
  <c r="P907" i="10"/>
  <c r="Q907" i="10" s="1"/>
  <c r="P908" i="10"/>
  <c r="Q908" i="10" s="1"/>
  <c r="P909" i="10"/>
  <c r="Q909" i="10" s="1"/>
  <c r="P910" i="10"/>
  <c r="Q910" i="10" s="1"/>
  <c r="P911" i="10"/>
  <c r="Q911" i="10" s="1"/>
  <c r="P912" i="10"/>
  <c r="Q912" i="10" s="1"/>
  <c r="P913" i="10"/>
  <c r="Q913" i="10" s="1"/>
  <c r="P914" i="10"/>
  <c r="Q914" i="10" s="1"/>
  <c r="P915" i="10"/>
  <c r="Q915" i="10" s="1"/>
  <c r="P916" i="10"/>
  <c r="Q916" i="10" s="1"/>
  <c r="P917" i="10"/>
  <c r="Q917" i="10" s="1"/>
  <c r="P918" i="10"/>
  <c r="Q918" i="10" s="1"/>
  <c r="P919" i="10"/>
  <c r="Q919" i="10" s="1"/>
  <c r="P920" i="10"/>
  <c r="Q920" i="10" s="1"/>
  <c r="P921" i="10"/>
  <c r="Q921" i="10" s="1"/>
  <c r="P922" i="10"/>
  <c r="Q922" i="10" s="1"/>
  <c r="P923" i="10"/>
  <c r="Q923" i="10" s="1"/>
  <c r="P924" i="10"/>
  <c r="Q924" i="10" s="1"/>
  <c r="P925" i="10"/>
  <c r="Q925" i="10" s="1"/>
  <c r="P926" i="10"/>
  <c r="Q926" i="10" s="1"/>
  <c r="P927" i="10"/>
  <c r="Q927" i="10" s="1"/>
  <c r="P928" i="10"/>
  <c r="Q928" i="10" s="1"/>
  <c r="P929" i="10"/>
  <c r="Q929" i="10" s="1"/>
  <c r="P930" i="10"/>
  <c r="Q930" i="10" s="1"/>
  <c r="P931" i="10"/>
  <c r="Q931" i="10" s="1"/>
  <c r="P932" i="10"/>
  <c r="Q932" i="10" s="1"/>
  <c r="P933" i="10"/>
  <c r="Q933" i="10" s="1"/>
  <c r="P934" i="10"/>
  <c r="Q934" i="10" s="1"/>
  <c r="P935" i="10"/>
  <c r="Q935" i="10" s="1"/>
  <c r="P936" i="10"/>
  <c r="Q936" i="10" s="1"/>
  <c r="P937" i="10"/>
  <c r="Q937" i="10" s="1"/>
  <c r="P938" i="10"/>
  <c r="Q938" i="10" s="1"/>
  <c r="P939" i="10"/>
  <c r="Q939" i="10" s="1"/>
  <c r="P940" i="10"/>
  <c r="Q940" i="10" s="1"/>
  <c r="P941" i="10"/>
  <c r="Q941" i="10" s="1"/>
  <c r="P942" i="10"/>
  <c r="Q942" i="10" s="1"/>
  <c r="P943" i="10"/>
  <c r="Q943" i="10" s="1"/>
  <c r="P944" i="10"/>
  <c r="Q944" i="10" s="1"/>
  <c r="P945" i="10"/>
  <c r="Q945" i="10" s="1"/>
  <c r="P946" i="10"/>
  <c r="Q946" i="10" s="1"/>
  <c r="P947" i="10"/>
  <c r="Q947" i="10" s="1"/>
  <c r="P948" i="10"/>
  <c r="Q948" i="10" s="1"/>
  <c r="P949" i="10"/>
  <c r="Q949" i="10" s="1"/>
  <c r="P950" i="10"/>
  <c r="Q950" i="10" s="1"/>
  <c r="P951" i="10"/>
  <c r="Q951" i="10" s="1"/>
  <c r="P952" i="10"/>
  <c r="Q952" i="10" s="1"/>
  <c r="P953" i="10"/>
  <c r="Q953" i="10" s="1"/>
  <c r="P954" i="10"/>
  <c r="Q954" i="10" s="1"/>
  <c r="P955" i="10"/>
  <c r="Q955" i="10" s="1"/>
  <c r="P956" i="10"/>
  <c r="Q956" i="10" s="1"/>
  <c r="P957" i="10"/>
  <c r="Q957" i="10" s="1"/>
  <c r="P958" i="10"/>
  <c r="Q958" i="10" s="1"/>
  <c r="P959" i="10"/>
  <c r="Q959" i="10" s="1"/>
  <c r="P960" i="10"/>
  <c r="Q960" i="10" s="1"/>
  <c r="P961" i="10"/>
  <c r="Q961" i="10" s="1"/>
  <c r="P962" i="10"/>
  <c r="Q962" i="10" s="1"/>
  <c r="P963" i="10"/>
  <c r="Q963" i="10" s="1"/>
  <c r="P964" i="10"/>
  <c r="Q964" i="10" s="1"/>
  <c r="P965" i="10"/>
  <c r="Q965" i="10" s="1"/>
  <c r="P966" i="10"/>
  <c r="Q966" i="10" s="1"/>
  <c r="P967" i="10"/>
  <c r="Q967" i="10" s="1"/>
  <c r="P968" i="10"/>
  <c r="Q968" i="10" s="1"/>
  <c r="P969" i="10"/>
  <c r="Q969" i="10" s="1"/>
  <c r="P970" i="10"/>
  <c r="Q970" i="10" s="1"/>
  <c r="P971" i="10"/>
  <c r="Q971" i="10" s="1"/>
  <c r="P972" i="10"/>
  <c r="Q972" i="10" s="1"/>
  <c r="P973" i="10"/>
  <c r="Q973" i="10" s="1"/>
  <c r="P974" i="10"/>
  <c r="Q974" i="10" s="1"/>
  <c r="P975" i="10"/>
  <c r="Q975" i="10" s="1"/>
  <c r="P976" i="10"/>
  <c r="Q976" i="10" s="1"/>
  <c r="P977" i="10"/>
  <c r="Q977" i="10" s="1"/>
  <c r="P978" i="10"/>
  <c r="Q978" i="10" s="1"/>
  <c r="P979" i="10"/>
  <c r="Q979" i="10" s="1"/>
  <c r="P980" i="10"/>
  <c r="Q980" i="10" s="1"/>
  <c r="P981" i="10"/>
  <c r="Q981" i="10" s="1"/>
  <c r="P982" i="10"/>
  <c r="Q982" i="10" s="1"/>
  <c r="P983" i="10"/>
  <c r="Q983" i="10" s="1"/>
  <c r="P984" i="10"/>
  <c r="Q984" i="10" s="1"/>
  <c r="P985" i="10"/>
  <c r="Q985" i="10" s="1"/>
  <c r="P986" i="10"/>
  <c r="Q986" i="10" s="1"/>
  <c r="P987" i="10"/>
  <c r="Q987" i="10" s="1"/>
  <c r="P988" i="10"/>
  <c r="Q988" i="10" s="1"/>
  <c r="P989" i="10"/>
  <c r="Q989" i="10" s="1"/>
  <c r="P990" i="10"/>
  <c r="Q990" i="10" s="1"/>
  <c r="P991" i="10"/>
  <c r="Q991" i="10" s="1"/>
  <c r="P992" i="10"/>
  <c r="Q992" i="10" s="1"/>
  <c r="P993" i="10"/>
  <c r="Q993" i="10" s="1"/>
  <c r="P994" i="10"/>
  <c r="Q994" i="10" s="1"/>
  <c r="P995" i="10"/>
  <c r="Q995" i="10" s="1"/>
  <c r="P996" i="10"/>
  <c r="Q996" i="10" s="1"/>
  <c r="P997" i="10"/>
  <c r="Q997" i="10" s="1"/>
  <c r="P998" i="10"/>
  <c r="Q998" i="10" s="1"/>
  <c r="P999" i="10"/>
  <c r="Q999" i="10" s="1"/>
  <c r="P1000" i="10"/>
  <c r="Q1000" i="10" s="1"/>
  <c r="P1001" i="10"/>
  <c r="Q1001" i="10" s="1"/>
  <c r="L2" i="10"/>
  <c r="M2" i="10" s="1"/>
  <c r="L3" i="10"/>
  <c r="M3" i="10" s="1"/>
  <c r="L4" i="10"/>
  <c r="M4" i="10" s="1"/>
  <c r="L5" i="10"/>
  <c r="M5" i="10" s="1"/>
  <c r="L6" i="10"/>
  <c r="M6" i="10" s="1"/>
  <c r="L7" i="10"/>
  <c r="M7" i="10" s="1"/>
  <c r="L8" i="10"/>
  <c r="M8" i="10" s="1"/>
  <c r="L9" i="10"/>
  <c r="M9" i="10" s="1"/>
  <c r="L10" i="10"/>
  <c r="M10" i="10" s="1"/>
  <c r="L11" i="10"/>
  <c r="M11" i="10" s="1"/>
  <c r="L12" i="10"/>
  <c r="M12" i="10" s="1"/>
  <c r="L13" i="10"/>
  <c r="M13" i="10" s="1"/>
  <c r="L14" i="10"/>
  <c r="M14" i="10" s="1"/>
  <c r="L15" i="10"/>
  <c r="M15" i="10" s="1"/>
  <c r="L16" i="10"/>
  <c r="M16" i="10" s="1"/>
  <c r="L17" i="10"/>
  <c r="M17" i="10" s="1"/>
  <c r="L18" i="10"/>
  <c r="M18" i="10" s="1"/>
  <c r="L19" i="10"/>
  <c r="M19" i="10" s="1"/>
  <c r="L20" i="10"/>
  <c r="M20" i="10" s="1"/>
  <c r="L21" i="10"/>
  <c r="M21" i="10" s="1"/>
  <c r="L22" i="10"/>
  <c r="M22" i="10" s="1"/>
  <c r="L23" i="10"/>
  <c r="M23" i="10" s="1"/>
  <c r="L24" i="10"/>
  <c r="M24" i="10" s="1"/>
  <c r="L25" i="10"/>
  <c r="M25" i="10" s="1"/>
  <c r="L26" i="10"/>
  <c r="M26" i="10" s="1"/>
  <c r="L27" i="10"/>
  <c r="M27" i="10" s="1"/>
  <c r="L28" i="10"/>
  <c r="M28" i="10" s="1"/>
  <c r="L29" i="10"/>
  <c r="M29" i="10" s="1"/>
  <c r="L30" i="10"/>
  <c r="M30" i="10" s="1"/>
  <c r="L31" i="10"/>
  <c r="M31" i="10" s="1"/>
  <c r="L32" i="10"/>
  <c r="M32" i="10" s="1"/>
  <c r="L33" i="10"/>
  <c r="M33" i="10" s="1"/>
  <c r="L34" i="10"/>
  <c r="M34" i="10" s="1"/>
  <c r="L35" i="10"/>
  <c r="M35" i="10" s="1"/>
  <c r="L36" i="10"/>
  <c r="M36" i="10" s="1"/>
  <c r="L37" i="10"/>
  <c r="M37" i="10" s="1"/>
  <c r="L38" i="10"/>
  <c r="M38" i="10" s="1"/>
  <c r="L39" i="10"/>
  <c r="M39" i="10" s="1"/>
  <c r="L40" i="10"/>
  <c r="M40" i="10" s="1"/>
  <c r="L41" i="10"/>
  <c r="M41" i="10" s="1"/>
  <c r="L42" i="10"/>
  <c r="M42" i="10" s="1"/>
  <c r="L43" i="10"/>
  <c r="M43" i="10" s="1"/>
  <c r="L44" i="10"/>
  <c r="M44" i="10" s="1"/>
  <c r="L45" i="10"/>
  <c r="M45" i="10" s="1"/>
  <c r="L46" i="10"/>
  <c r="M46" i="10" s="1"/>
  <c r="L47" i="10"/>
  <c r="M47" i="10" s="1"/>
  <c r="L48" i="10"/>
  <c r="M48" i="10" s="1"/>
  <c r="L49" i="10"/>
  <c r="M49" i="10" s="1"/>
  <c r="L50" i="10"/>
  <c r="M50" i="10" s="1"/>
  <c r="L51" i="10"/>
  <c r="M51" i="10" s="1"/>
  <c r="L52" i="10"/>
  <c r="M52" i="10" s="1"/>
  <c r="L53" i="10"/>
  <c r="M53" i="10" s="1"/>
  <c r="L54" i="10"/>
  <c r="M54" i="10" s="1"/>
  <c r="L55" i="10"/>
  <c r="M55" i="10" s="1"/>
  <c r="L56" i="10"/>
  <c r="M56" i="10" s="1"/>
  <c r="L57" i="10"/>
  <c r="M57" i="10" s="1"/>
  <c r="L58" i="10"/>
  <c r="M58" i="10" s="1"/>
  <c r="L59" i="10"/>
  <c r="M59" i="10" s="1"/>
  <c r="L60" i="10"/>
  <c r="M60" i="10" s="1"/>
  <c r="L61" i="10"/>
  <c r="M61" i="10" s="1"/>
  <c r="L62" i="10"/>
  <c r="M62" i="10" s="1"/>
  <c r="L63" i="10"/>
  <c r="M63" i="10" s="1"/>
  <c r="L64" i="10"/>
  <c r="M64" i="10" s="1"/>
  <c r="L65" i="10"/>
  <c r="M65" i="10" s="1"/>
  <c r="L66" i="10"/>
  <c r="M66" i="10" s="1"/>
  <c r="L67" i="10"/>
  <c r="M67" i="10" s="1"/>
  <c r="L68" i="10"/>
  <c r="M68" i="10" s="1"/>
  <c r="L69" i="10"/>
  <c r="M69" i="10" s="1"/>
  <c r="L70" i="10"/>
  <c r="M70" i="10" s="1"/>
  <c r="L71" i="10"/>
  <c r="M71" i="10" s="1"/>
  <c r="L72" i="10"/>
  <c r="M72" i="10" s="1"/>
  <c r="L73" i="10"/>
  <c r="M73" i="10" s="1"/>
  <c r="L74" i="10"/>
  <c r="M74" i="10" s="1"/>
  <c r="L75" i="10"/>
  <c r="M75" i="10" s="1"/>
  <c r="L76" i="10"/>
  <c r="M76" i="10" s="1"/>
  <c r="L77" i="10"/>
  <c r="M77" i="10" s="1"/>
  <c r="L78" i="10"/>
  <c r="M78" i="10" s="1"/>
  <c r="L79" i="10"/>
  <c r="M79" i="10" s="1"/>
  <c r="L80" i="10"/>
  <c r="M80" i="10" s="1"/>
  <c r="L81" i="10"/>
  <c r="M81" i="10" s="1"/>
  <c r="L82" i="10"/>
  <c r="M82" i="10" s="1"/>
  <c r="L83" i="10"/>
  <c r="M83" i="10" s="1"/>
  <c r="L84" i="10"/>
  <c r="M84" i="10" s="1"/>
  <c r="L85" i="10"/>
  <c r="M85" i="10" s="1"/>
  <c r="L86" i="10"/>
  <c r="M86" i="10" s="1"/>
  <c r="L87" i="10"/>
  <c r="M87" i="10" s="1"/>
  <c r="L88" i="10"/>
  <c r="M88" i="10" s="1"/>
  <c r="L89" i="10"/>
  <c r="M89" i="10" s="1"/>
  <c r="L90" i="10"/>
  <c r="M90" i="10" s="1"/>
  <c r="L91" i="10"/>
  <c r="M91" i="10" s="1"/>
  <c r="L92" i="10"/>
  <c r="M92" i="10" s="1"/>
  <c r="L93" i="10"/>
  <c r="M93" i="10" s="1"/>
  <c r="L94" i="10"/>
  <c r="M94" i="10" s="1"/>
  <c r="L95" i="10"/>
  <c r="M95" i="10" s="1"/>
  <c r="L96" i="10"/>
  <c r="M96" i="10" s="1"/>
  <c r="L97" i="10"/>
  <c r="M97" i="10" s="1"/>
  <c r="L98" i="10"/>
  <c r="M98" i="10" s="1"/>
  <c r="L99" i="10"/>
  <c r="M99" i="10" s="1"/>
  <c r="L100" i="10"/>
  <c r="M100" i="10" s="1"/>
  <c r="L101" i="10"/>
  <c r="M101" i="10" s="1"/>
  <c r="L102" i="10"/>
  <c r="M102" i="10" s="1"/>
  <c r="L103" i="10"/>
  <c r="M103" i="10" s="1"/>
  <c r="L104" i="10"/>
  <c r="M104" i="10" s="1"/>
  <c r="L105" i="10"/>
  <c r="M105" i="10" s="1"/>
  <c r="L106" i="10"/>
  <c r="M106" i="10" s="1"/>
  <c r="L107" i="10"/>
  <c r="M107" i="10" s="1"/>
  <c r="L108" i="10"/>
  <c r="M108" i="10" s="1"/>
  <c r="L109" i="10"/>
  <c r="M109" i="10" s="1"/>
  <c r="L110" i="10"/>
  <c r="M110" i="10" s="1"/>
  <c r="L111" i="10"/>
  <c r="M111" i="10" s="1"/>
  <c r="L112" i="10"/>
  <c r="M112" i="10" s="1"/>
  <c r="L113" i="10"/>
  <c r="M113" i="10" s="1"/>
  <c r="L114" i="10"/>
  <c r="M114" i="10" s="1"/>
  <c r="L115" i="10"/>
  <c r="M115" i="10" s="1"/>
  <c r="L116" i="10"/>
  <c r="M116" i="10" s="1"/>
  <c r="L117" i="10"/>
  <c r="M117" i="10" s="1"/>
  <c r="L118" i="10"/>
  <c r="M118" i="10" s="1"/>
  <c r="L119" i="10"/>
  <c r="M119" i="10" s="1"/>
  <c r="L120" i="10"/>
  <c r="M120" i="10" s="1"/>
  <c r="L121" i="10"/>
  <c r="M121" i="10" s="1"/>
  <c r="L122" i="10"/>
  <c r="M122" i="10" s="1"/>
  <c r="L123" i="10"/>
  <c r="M123" i="10" s="1"/>
  <c r="L124" i="10"/>
  <c r="M124" i="10" s="1"/>
  <c r="L125" i="10"/>
  <c r="M125" i="10" s="1"/>
  <c r="L126" i="10"/>
  <c r="M126" i="10" s="1"/>
  <c r="L127" i="10"/>
  <c r="M127" i="10" s="1"/>
  <c r="L128" i="10"/>
  <c r="M128" i="10" s="1"/>
  <c r="L129" i="10"/>
  <c r="M129" i="10" s="1"/>
  <c r="L130" i="10"/>
  <c r="M130" i="10" s="1"/>
  <c r="L131" i="10"/>
  <c r="M131" i="10" s="1"/>
  <c r="L132" i="10"/>
  <c r="M132" i="10" s="1"/>
  <c r="L133" i="10"/>
  <c r="M133" i="10" s="1"/>
  <c r="L134" i="10"/>
  <c r="M134" i="10" s="1"/>
  <c r="L135" i="10"/>
  <c r="M135" i="10" s="1"/>
  <c r="L136" i="10"/>
  <c r="M136" i="10" s="1"/>
  <c r="L137" i="10"/>
  <c r="M137" i="10" s="1"/>
  <c r="L138" i="10"/>
  <c r="M138" i="10" s="1"/>
  <c r="L139" i="10"/>
  <c r="M139" i="10" s="1"/>
  <c r="L140" i="10"/>
  <c r="M140" i="10" s="1"/>
  <c r="L141" i="10"/>
  <c r="M141" i="10" s="1"/>
  <c r="L142" i="10"/>
  <c r="M142" i="10" s="1"/>
  <c r="L143" i="10"/>
  <c r="M143" i="10" s="1"/>
  <c r="L144" i="10"/>
  <c r="M144" i="10" s="1"/>
  <c r="L145" i="10"/>
  <c r="M145" i="10" s="1"/>
  <c r="L146" i="10"/>
  <c r="M146" i="10" s="1"/>
  <c r="L147" i="10"/>
  <c r="M147" i="10" s="1"/>
  <c r="L148" i="10"/>
  <c r="M148" i="10" s="1"/>
  <c r="L149" i="10"/>
  <c r="M149" i="10" s="1"/>
  <c r="L150" i="10"/>
  <c r="M150" i="10" s="1"/>
  <c r="L151" i="10"/>
  <c r="M151" i="10" s="1"/>
  <c r="L152" i="10"/>
  <c r="M152" i="10" s="1"/>
  <c r="L153" i="10"/>
  <c r="M153" i="10" s="1"/>
  <c r="L154" i="10"/>
  <c r="M154" i="10" s="1"/>
  <c r="L155" i="10"/>
  <c r="M155" i="10" s="1"/>
  <c r="L156" i="10"/>
  <c r="M156" i="10" s="1"/>
  <c r="L157" i="10"/>
  <c r="M157" i="10" s="1"/>
  <c r="L158" i="10"/>
  <c r="M158" i="10" s="1"/>
  <c r="L159" i="10"/>
  <c r="M159" i="10" s="1"/>
  <c r="L160" i="10"/>
  <c r="M160" i="10" s="1"/>
  <c r="L161" i="10"/>
  <c r="M161" i="10" s="1"/>
  <c r="L162" i="10"/>
  <c r="M162" i="10" s="1"/>
  <c r="L163" i="10"/>
  <c r="M163" i="10" s="1"/>
  <c r="L164" i="10"/>
  <c r="M164" i="10" s="1"/>
  <c r="L165" i="10"/>
  <c r="M165" i="10" s="1"/>
  <c r="L166" i="10"/>
  <c r="M166" i="10" s="1"/>
  <c r="L167" i="10"/>
  <c r="M167" i="10" s="1"/>
  <c r="L168" i="10"/>
  <c r="M168" i="10" s="1"/>
  <c r="L169" i="10"/>
  <c r="M169" i="10" s="1"/>
  <c r="L170" i="10"/>
  <c r="M170" i="10" s="1"/>
  <c r="L171" i="10"/>
  <c r="M171" i="10" s="1"/>
  <c r="L172" i="10"/>
  <c r="M172" i="10" s="1"/>
  <c r="L173" i="10"/>
  <c r="M173" i="10" s="1"/>
  <c r="L174" i="10"/>
  <c r="M174" i="10" s="1"/>
  <c r="L175" i="10"/>
  <c r="M175" i="10" s="1"/>
  <c r="L176" i="10"/>
  <c r="M176" i="10" s="1"/>
  <c r="L177" i="10"/>
  <c r="M177" i="10" s="1"/>
  <c r="L178" i="10"/>
  <c r="M178" i="10" s="1"/>
  <c r="L179" i="10"/>
  <c r="M179" i="10" s="1"/>
  <c r="L180" i="10"/>
  <c r="M180" i="10" s="1"/>
  <c r="L181" i="10"/>
  <c r="M181" i="10" s="1"/>
  <c r="L182" i="10"/>
  <c r="M182" i="10" s="1"/>
  <c r="L183" i="10"/>
  <c r="M183" i="10" s="1"/>
  <c r="L184" i="10"/>
  <c r="M184" i="10" s="1"/>
  <c r="L185" i="10"/>
  <c r="M185" i="10" s="1"/>
  <c r="L186" i="10"/>
  <c r="M186" i="10" s="1"/>
  <c r="L187" i="10"/>
  <c r="M187" i="10" s="1"/>
  <c r="L188" i="10"/>
  <c r="M188" i="10" s="1"/>
  <c r="L189" i="10"/>
  <c r="M189" i="10" s="1"/>
  <c r="L190" i="10"/>
  <c r="M190" i="10" s="1"/>
  <c r="L191" i="10"/>
  <c r="M191" i="10" s="1"/>
  <c r="L192" i="10"/>
  <c r="M192" i="10" s="1"/>
  <c r="L193" i="10"/>
  <c r="M193" i="10" s="1"/>
  <c r="L194" i="10"/>
  <c r="M194" i="10" s="1"/>
  <c r="L195" i="10"/>
  <c r="M195" i="10" s="1"/>
  <c r="L196" i="10"/>
  <c r="M196" i="10" s="1"/>
  <c r="L197" i="10"/>
  <c r="M197" i="10" s="1"/>
  <c r="L198" i="10"/>
  <c r="M198" i="10" s="1"/>
  <c r="L199" i="10"/>
  <c r="M199" i="10" s="1"/>
  <c r="L200" i="10"/>
  <c r="M200" i="10" s="1"/>
  <c r="L201" i="10"/>
  <c r="M201" i="10" s="1"/>
  <c r="L202" i="10"/>
  <c r="M202" i="10" s="1"/>
  <c r="L203" i="10"/>
  <c r="M203" i="10" s="1"/>
  <c r="L204" i="10"/>
  <c r="M204" i="10" s="1"/>
  <c r="L205" i="10"/>
  <c r="M205" i="10" s="1"/>
  <c r="L206" i="10"/>
  <c r="M206" i="10" s="1"/>
  <c r="L207" i="10"/>
  <c r="M207" i="10" s="1"/>
  <c r="L208" i="10"/>
  <c r="M208" i="10" s="1"/>
  <c r="L209" i="10"/>
  <c r="M209" i="10" s="1"/>
  <c r="L210" i="10"/>
  <c r="M210" i="10" s="1"/>
  <c r="L211" i="10"/>
  <c r="M211" i="10" s="1"/>
  <c r="L212" i="10"/>
  <c r="M212" i="10" s="1"/>
  <c r="L213" i="10"/>
  <c r="M213" i="10" s="1"/>
  <c r="L214" i="10"/>
  <c r="M214" i="10" s="1"/>
  <c r="L215" i="10"/>
  <c r="M215" i="10" s="1"/>
  <c r="L216" i="10"/>
  <c r="M216" i="10" s="1"/>
  <c r="L217" i="10"/>
  <c r="M217" i="10" s="1"/>
  <c r="L218" i="10"/>
  <c r="M218" i="10" s="1"/>
  <c r="L219" i="10"/>
  <c r="M219" i="10" s="1"/>
  <c r="L220" i="10"/>
  <c r="M220" i="10" s="1"/>
  <c r="L221" i="10"/>
  <c r="M221" i="10" s="1"/>
  <c r="L222" i="10"/>
  <c r="M222" i="10" s="1"/>
  <c r="L223" i="10"/>
  <c r="M223" i="10" s="1"/>
  <c r="L224" i="10"/>
  <c r="M224" i="10" s="1"/>
  <c r="L225" i="10"/>
  <c r="M225" i="10" s="1"/>
  <c r="L226" i="10"/>
  <c r="M226" i="10" s="1"/>
  <c r="L227" i="10"/>
  <c r="M227" i="10" s="1"/>
  <c r="L228" i="10"/>
  <c r="M228" i="10" s="1"/>
  <c r="L229" i="10"/>
  <c r="M229" i="10" s="1"/>
  <c r="L230" i="10"/>
  <c r="M230" i="10" s="1"/>
  <c r="L231" i="10"/>
  <c r="M231" i="10" s="1"/>
  <c r="L232" i="10"/>
  <c r="M232" i="10" s="1"/>
  <c r="L233" i="10"/>
  <c r="M233" i="10" s="1"/>
  <c r="L234" i="10"/>
  <c r="M234" i="10" s="1"/>
  <c r="L235" i="10"/>
  <c r="M235" i="10" s="1"/>
  <c r="L236" i="10"/>
  <c r="M236" i="10" s="1"/>
  <c r="L237" i="10"/>
  <c r="M237" i="10" s="1"/>
  <c r="L238" i="10"/>
  <c r="M238" i="10" s="1"/>
  <c r="L239" i="10"/>
  <c r="M239" i="10" s="1"/>
  <c r="L240" i="10"/>
  <c r="M240" i="10" s="1"/>
  <c r="L241" i="10"/>
  <c r="M241" i="10" s="1"/>
  <c r="L242" i="10"/>
  <c r="M242" i="10" s="1"/>
  <c r="L243" i="10"/>
  <c r="M243" i="10" s="1"/>
  <c r="L244" i="10"/>
  <c r="M244" i="10" s="1"/>
  <c r="L245" i="10"/>
  <c r="M245" i="10" s="1"/>
  <c r="L246" i="10"/>
  <c r="M246" i="10" s="1"/>
  <c r="L247" i="10"/>
  <c r="M247" i="10" s="1"/>
  <c r="L248" i="10"/>
  <c r="M248" i="10" s="1"/>
  <c r="L249" i="10"/>
  <c r="M249" i="10" s="1"/>
  <c r="L250" i="10"/>
  <c r="M250" i="10" s="1"/>
  <c r="L251" i="10"/>
  <c r="M251" i="10" s="1"/>
  <c r="L252" i="10"/>
  <c r="M252" i="10" s="1"/>
  <c r="L253" i="10"/>
  <c r="M253" i="10" s="1"/>
  <c r="L254" i="10"/>
  <c r="M254" i="10" s="1"/>
  <c r="L255" i="10"/>
  <c r="M255" i="10" s="1"/>
  <c r="L256" i="10"/>
  <c r="M256" i="10" s="1"/>
  <c r="L257" i="10"/>
  <c r="M257" i="10" s="1"/>
  <c r="L258" i="10"/>
  <c r="M258" i="10" s="1"/>
  <c r="L259" i="10"/>
  <c r="M259" i="10" s="1"/>
  <c r="L260" i="10"/>
  <c r="M260" i="10" s="1"/>
  <c r="L261" i="10"/>
  <c r="M261" i="10" s="1"/>
  <c r="L262" i="10"/>
  <c r="M262" i="10" s="1"/>
  <c r="L263" i="10"/>
  <c r="M263" i="10" s="1"/>
  <c r="L264" i="10"/>
  <c r="M264" i="10" s="1"/>
  <c r="L265" i="10"/>
  <c r="M265" i="10" s="1"/>
  <c r="L266" i="10"/>
  <c r="M266" i="10" s="1"/>
  <c r="L267" i="10"/>
  <c r="M267" i="10" s="1"/>
  <c r="L268" i="10"/>
  <c r="M268" i="10" s="1"/>
  <c r="L269" i="10"/>
  <c r="M269" i="10" s="1"/>
  <c r="L270" i="10"/>
  <c r="M270" i="10" s="1"/>
  <c r="L271" i="10"/>
  <c r="M271" i="10" s="1"/>
  <c r="L272" i="10"/>
  <c r="M272" i="10" s="1"/>
  <c r="L273" i="10"/>
  <c r="M273" i="10" s="1"/>
  <c r="L274" i="10"/>
  <c r="M274" i="10" s="1"/>
  <c r="L275" i="10"/>
  <c r="M275" i="10" s="1"/>
  <c r="L276" i="10"/>
  <c r="M276" i="10" s="1"/>
  <c r="L277" i="10"/>
  <c r="M277" i="10" s="1"/>
  <c r="L278" i="10"/>
  <c r="M278" i="10" s="1"/>
  <c r="L279" i="10"/>
  <c r="M279" i="10" s="1"/>
  <c r="L280" i="10"/>
  <c r="M280" i="10" s="1"/>
  <c r="L281" i="10"/>
  <c r="M281" i="10" s="1"/>
  <c r="L282" i="10"/>
  <c r="M282" i="10" s="1"/>
  <c r="L283" i="10"/>
  <c r="M283" i="10" s="1"/>
  <c r="L284" i="10"/>
  <c r="M284" i="10" s="1"/>
  <c r="L285" i="10"/>
  <c r="M285" i="10" s="1"/>
  <c r="L286" i="10"/>
  <c r="M286" i="10" s="1"/>
  <c r="L287" i="10"/>
  <c r="M287" i="10" s="1"/>
  <c r="L288" i="10"/>
  <c r="M288" i="10" s="1"/>
  <c r="L289" i="10"/>
  <c r="M289" i="10" s="1"/>
  <c r="L290" i="10"/>
  <c r="M290" i="10" s="1"/>
  <c r="L291" i="10"/>
  <c r="M291" i="10" s="1"/>
  <c r="L292" i="10"/>
  <c r="M292" i="10" s="1"/>
  <c r="L293" i="10"/>
  <c r="M293" i="10" s="1"/>
  <c r="L294" i="10"/>
  <c r="M294" i="10" s="1"/>
  <c r="L295" i="10"/>
  <c r="M295" i="10" s="1"/>
  <c r="L296" i="10"/>
  <c r="M296" i="10" s="1"/>
  <c r="L297" i="10"/>
  <c r="M297" i="10" s="1"/>
  <c r="L298" i="10"/>
  <c r="M298" i="10" s="1"/>
  <c r="L299" i="10"/>
  <c r="M299" i="10" s="1"/>
  <c r="L300" i="10"/>
  <c r="M300" i="10" s="1"/>
  <c r="L301" i="10"/>
  <c r="M301" i="10" s="1"/>
  <c r="L302" i="10"/>
  <c r="M302" i="10" s="1"/>
  <c r="L303" i="10"/>
  <c r="M303" i="10" s="1"/>
  <c r="L304" i="10"/>
  <c r="M304" i="10" s="1"/>
  <c r="L305" i="10"/>
  <c r="M305" i="10" s="1"/>
  <c r="L306" i="10"/>
  <c r="M306" i="10" s="1"/>
  <c r="L307" i="10"/>
  <c r="M307" i="10" s="1"/>
  <c r="L308" i="10"/>
  <c r="M308" i="10" s="1"/>
  <c r="L309" i="10"/>
  <c r="M309" i="10" s="1"/>
  <c r="L310" i="10"/>
  <c r="M310" i="10" s="1"/>
  <c r="L311" i="10"/>
  <c r="M311" i="10" s="1"/>
  <c r="L312" i="10"/>
  <c r="M312" i="10" s="1"/>
  <c r="L313" i="10"/>
  <c r="M313" i="10" s="1"/>
  <c r="L314" i="10"/>
  <c r="M314" i="10" s="1"/>
  <c r="L315" i="10"/>
  <c r="M315" i="10" s="1"/>
  <c r="L316" i="10"/>
  <c r="M316" i="10" s="1"/>
  <c r="L317" i="10"/>
  <c r="M317" i="10" s="1"/>
  <c r="L318" i="10"/>
  <c r="M318" i="10" s="1"/>
  <c r="L319" i="10"/>
  <c r="M319" i="10" s="1"/>
  <c r="L320" i="10"/>
  <c r="M320" i="10" s="1"/>
  <c r="L321" i="10"/>
  <c r="M321" i="10" s="1"/>
  <c r="L322" i="10"/>
  <c r="M322" i="10" s="1"/>
  <c r="L323" i="10"/>
  <c r="M323" i="10" s="1"/>
  <c r="L324" i="10"/>
  <c r="M324" i="10" s="1"/>
  <c r="L325" i="10"/>
  <c r="M325" i="10" s="1"/>
  <c r="L326" i="10"/>
  <c r="M326" i="10" s="1"/>
  <c r="L327" i="10"/>
  <c r="M327" i="10" s="1"/>
  <c r="L328" i="10"/>
  <c r="M328" i="10" s="1"/>
  <c r="L329" i="10"/>
  <c r="M329" i="10" s="1"/>
  <c r="L330" i="10"/>
  <c r="M330" i="10" s="1"/>
  <c r="L331" i="10"/>
  <c r="M331" i="10" s="1"/>
  <c r="L332" i="10"/>
  <c r="M332" i="10" s="1"/>
  <c r="L333" i="10"/>
  <c r="M333" i="10" s="1"/>
  <c r="L334" i="10"/>
  <c r="M334" i="10" s="1"/>
  <c r="L335" i="10"/>
  <c r="M335" i="10" s="1"/>
  <c r="L336" i="10"/>
  <c r="M336" i="10" s="1"/>
  <c r="L337" i="10"/>
  <c r="M337" i="10" s="1"/>
  <c r="L338" i="10"/>
  <c r="M338" i="10" s="1"/>
  <c r="L339" i="10"/>
  <c r="M339" i="10" s="1"/>
  <c r="L340" i="10"/>
  <c r="M340" i="10" s="1"/>
  <c r="L341" i="10"/>
  <c r="M341" i="10" s="1"/>
  <c r="L342" i="10"/>
  <c r="M342" i="10" s="1"/>
  <c r="L343" i="10"/>
  <c r="M343" i="10" s="1"/>
  <c r="L344" i="10"/>
  <c r="M344" i="10" s="1"/>
  <c r="L345" i="10"/>
  <c r="M345" i="10" s="1"/>
  <c r="L346" i="10"/>
  <c r="M346" i="10" s="1"/>
  <c r="L347" i="10"/>
  <c r="M347" i="10" s="1"/>
  <c r="L348" i="10"/>
  <c r="M348" i="10" s="1"/>
  <c r="L349" i="10"/>
  <c r="M349" i="10" s="1"/>
  <c r="L350" i="10"/>
  <c r="M350" i="10" s="1"/>
  <c r="L351" i="10"/>
  <c r="M351" i="10" s="1"/>
  <c r="L352" i="10"/>
  <c r="M352" i="10" s="1"/>
  <c r="L353" i="10"/>
  <c r="M353" i="10" s="1"/>
  <c r="L354" i="10"/>
  <c r="M354" i="10" s="1"/>
  <c r="L355" i="10"/>
  <c r="M355" i="10" s="1"/>
  <c r="L356" i="10"/>
  <c r="M356" i="10" s="1"/>
  <c r="L357" i="10"/>
  <c r="M357" i="10" s="1"/>
  <c r="L358" i="10"/>
  <c r="M358" i="10" s="1"/>
  <c r="L359" i="10"/>
  <c r="M359" i="10" s="1"/>
  <c r="L360" i="10"/>
  <c r="M360" i="10" s="1"/>
  <c r="L361" i="10"/>
  <c r="M361" i="10" s="1"/>
  <c r="L362" i="10"/>
  <c r="M362" i="10" s="1"/>
  <c r="L363" i="10"/>
  <c r="M363" i="10" s="1"/>
  <c r="L364" i="10"/>
  <c r="M364" i="10" s="1"/>
  <c r="L365" i="10"/>
  <c r="M365" i="10" s="1"/>
  <c r="L366" i="10"/>
  <c r="M366" i="10" s="1"/>
  <c r="L367" i="10"/>
  <c r="M367" i="10" s="1"/>
  <c r="L368" i="10"/>
  <c r="M368" i="10" s="1"/>
  <c r="L369" i="10"/>
  <c r="M369" i="10" s="1"/>
  <c r="L370" i="10"/>
  <c r="M370" i="10" s="1"/>
  <c r="L371" i="10"/>
  <c r="M371" i="10" s="1"/>
  <c r="L372" i="10"/>
  <c r="M372" i="10" s="1"/>
  <c r="L373" i="10"/>
  <c r="M373" i="10" s="1"/>
  <c r="L374" i="10"/>
  <c r="M374" i="10" s="1"/>
  <c r="L375" i="10"/>
  <c r="M375" i="10" s="1"/>
  <c r="L376" i="10"/>
  <c r="M376" i="10" s="1"/>
  <c r="L377" i="10"/>
  <c r="M377" i="10" s="1"/>
  <c r="L378" i="10"/>
  <c r="M378" i="10" s="1"/>
  <c r="L379" i="10"/>
  <c r="M379" i="10" s="1"/>
  <c r="L380" i="10"/>
  <c r="M380" i="10" s="1"/>
  <c r="L381" i="10"/>
  <c r="M381" i="10" s="1"/>
  <c r="L382" i="10"/>
  <c r="M382" i="10" s="1"/>
  <c r="L383" i="10"/>
  <c r="M383" i="10" s="1"/>
  <c r="L384" i="10"/>
  <c r="M384" i="10" s="1"/>
  <c r="L385" i="10"/>
  <c r="M385" i="10" s="1"/>
  <c r="L386" i="10"/>
  <c r="M386" i="10" s="1"/>
  <c r="L387" i="10"/>
  <c r="M387" i="10" s="1"/>
  <c r="L388" i="10"/>
  <c r="M388" i="10" s="1"/>
  <c r="L389" i="10"/>
  <c r="M389" i="10" s="1"/>
  <c r="L390" i="10"/>
  <c r="M390" i="10" s="1"/>
  <c r="L391" i="10"/>
  <c r="M391" i="10" s="1"/>
  <c r="L392" i="10"/>
  <c r="M392" i="10" s="1"/>
  <c r="L393" i="10"/>
  <c r="M393" i="10" s="1"/>
  <c r="L394" i="10"/>
  <c r="M394" i="10" s="1"/>
  <c r="L395" i="10"/>
  <c r="M395" i="10" s="1"/>
  <c r="L396" i="10"/>
  <c r="M396" i="10" s="1"/>
  <c r="L397" i="10"/>
  <c r="M397" i="10" s="1"/>
  <c r="L398" i="10"/>
  <c r="M398" i="10" s="1"/>
  <c r="L399" i="10"/>
  <c r="M399" i="10" s="1"/>
  <c r="L400" i="10"/>
  <c r="M400" i="10" s="1"/>
  <c r="L401" i="10"/>
  <c r="M401" i="10" s="1"/>
  <c r="L402" i="10"/>
  <c r="M402" i="10" s="1"/>
  <c r="L403" i="10"/>
  <c r="M403" i="10" s="1"/>
  <c r="L404" i="10"/>
  <c r="M404" i="10" s="1"/>
  <c r="L405" i="10"/>
  <c r="M405" i="10" s="1"/>
  <c r="L406" i="10"/>
  <c r="M406" i="10" s="1"/>
  <c r="L407" i="10"/>
  <c r="M407" i="10" s="1"/>
  <c r="L408" i="10"/>
  <c r="M408" i="10" s="1"/>
  <c r="L409" i="10"/>
  <c r="M409" i="10" s="1"/>
  <c r="L410" i="10"/>
  <c r="M410" i="10" s="1"/>
  <c r="L411" i="10"/>
  <c r="M411" i="10" s="1"/>
  <c r="L412" i="10"/>
  <c r="M412" i="10" s="1"/>
  <c r="L413" i="10"/>
  <c r="M413" i="10" s="1"/>
  <c r="L414" i="10"/>
  <c r="M414" i="10" s="1"/>
  <c r="L415" i="10"/>
  <c r="M415" i="10" s="1"/>
  <c r="L416" i="10"/>
  <c r="M416" i="10" s="1"/>
  <c r="L417" i="10"/>
  <c r="M417" i="10" s="1"/>
  <c r="L418" i="10"/>
  <c r="M418" i="10" s="1"/>
  <c r="L419" i="10"/>
  <c r="M419" i="10" s="1"/>
  <c r="L420" i="10"/>
  <c r="M420" i="10" s="1"/>
  <c r="L421" i="10"/>
  <c r="M421" i="10" s="1"/>
  <c r="L422" i="10"/>
  <c r="M422" i="10" s="1"/>
  <c r="L423" i="10"/>
  <c r="M423" i="10" s="1"/>
  <c r="L424" i="10"/>
  <c r="M424" i="10" s="1"/>
  <c r="L425" i="10"/>
  <c r="M425" i="10" s="1"/>
  <c r="L426" i="10"/>
  <c r="M426" i="10" s="1"/>
  <c r="L427" i="10"/>
  <c r="M427" i="10" s="1"/>
  <c r="L428" i="10"/>
  <c r="M428" i="10" s="1"/>
  <c r="L429" i="10"/>
  <c r="M429" i="10" s="1"/>
  <c r="L430" i="10"/>
  <c r="M430" i="10" s="1"/>
  <c r="L431" i="10"/>
  <c r="M431" i="10" s="1"/>
  <c r="L432" i="10"/>
  <c r="M432" i="10" s="1"/>
  <c r="L433" i="10"/>
  <c r="M433" i="10" s="1"/>
  <c r="L434" i="10"/>
  <c r="M434" i="10" s="1"/>
  <c r="L435" i="10"/>
  <c r="M435" i="10" s="1"/>
  <c r="L436" i="10"/>
  <c r="M436" i="10" s="1"/>
  <c r="L437" i="10"/>
  <c r="M437" i="10" s="1"/>
  <c r="L438" i="10"/>
  <c r="M438" i="10" s="1"/>
  <c r="L439" i="10"/>
  <c r="M439" i="10" s="1"/>
  <c r="L440" i="10"/>
  <c r="M440" i="10" s="1"/>
  <c r="L441" i="10"/>
  <c r="M441" i="10" s="1"/>
  <c r="L442" i="10"/>
  <c r="M442" i="10" s="1"/>
  <c r="L443" i="10"/>
  <c r="M443" i="10" s="1"/>
  <c r="L444" i="10"/>
  <c r="M444" i="10" s="1"/>
  <c r="L445" i="10"/>
  <c r="M445" i="10" s="1"/>
  <c r="L446" i="10"/>
  <c r="M446" i="10" s="1"/>
  <c r="L447" i="10"/>
  <c r="M447" i="10" s="1"/>
  <c r="L448" i="10"/>
  <c r="M448" i="10" s="1"/>
  <c r="L449" i="10"/>
  <c r="M449" i="10" s="1"/>
  <c r="L450" i="10"/>
  <c r="M450" i="10" s="1"/>
  <c r="L451" i="10"/>
  <c r="M451" i="10" s="1"/>
  <c r="L452" i="10"/>
  <c r="M452" i="10" s="1"/>
  <c r="L453" i="10"/>
  <c r="M453" i="10" s="1"/>
  <c r="L454" i="10"/>
  <c r="M454" i="10" s="1"/>
  <c r="L455" i="10"/>
  <c r="M455" i="10" s="1"/>
  <c r="L456" i="10"/>
  <c r="M456" i="10" s="1"/>
  <c r="L457" i="10"/>
  <c r="M457" i="10" s="1"/>
  <c r="L458" i="10"/>
  <c r="M458" i="10" s="1"/>
  <c r="L459" i="10"/>
  <c r="M459" i="10" s="1"/>
  <c r="L460" i="10"/>
  <c r="M460" i="10" s="1"/>
  <c r="L461" i="10"/>
  <c r="M461" i="10" s="1"/>
  <c r="L462" i="10"/>
  <c r="M462" i="10" s="1"/>
  <c r="L463" i="10"/>
  <c r="M463" i="10" s="1"/>
  <c r="L464" i="10"/>
  <c r="M464" i="10" s="1"/>
  <c r="L465" i="10"/>
  <c r="M465" i="10" s="1"/>
  <c r="L466" i="10"/>
  <c r="M466" i="10" s="1"/>
  <c r="L467" i="10"/>
  <c r="M467" i="10" s="1"/>
  <c r="L468" i="10"/>
  <c r="M468" i="10" s="1"/>
  <c r="L469" i="10"/>
  <c r="M469" i="10" s="1"/>
  <c r="L470" i="10"/>
  <c r="M470" i="10" s="1"/>
  <c r="L471" i="10"/>
  <c r="M471" i="10" s="1"/>
  <c r="L472" i="10"/>
  <c r="M472" i="10" s="1"/>
  <c r="L473" i="10"/>
  <c r="M473" i="10" s="1"/>
  <c r="L474" i="10"/>
  <c r="M474" i="10" s="1"/>
  <c r="L475" i="10"/>
  <c r="M475" i="10" s="1"/>
  <c r="L476" i="10"/>
  <c r="M476" i="10" s="1"/>
  <c r="L477" i="10"/>
  <c r="M477" i="10" s="1"/>
  <c r="L478" i="10"/>
  <c r="M478" i="10" s="1"/>
  <c r="L479" i="10"/>
  <c r="M479" i="10" s="1"/>
  <c r="L480" i="10"/>
  <c r="M480" i="10" s="1"/>
  <c r="L481" i="10"/>
  <c r="M481" i="10" s="1"/>
  <c r="L482" i="10"/>
  <c r="M482" i="10" s="1"/>
  <c r="L483" i="10"/>
  <c r="M483" i="10" s="1"/>
  <c r="L484" i="10"/>
  <c r="M484" i="10" s="1"/>
  <c r="L485" i="10"/>
  <c r="M485" i="10" s="1"/>
  <c r="L486" i="10"/>
  <c r="M486" i="10" s="1"/>
  <c r="L487" i="10"/>
  <c r="M487" i="10" s="1"/>
  <c r="L488" i="10"/>
  <c r="M488" i="10" s="1"/>
  <c r="L489" i="10"/>
  <c r="M489" i="10" s="1"/>
  <c r="L490" i="10"/>
  <c r="M490" i="10" s="1"/>
  <c r="L491" i="10"/>
  <c r="M491" i="10" s="1"/>
  <c r="L492" i="10"/>
  <c r="M492" i="10" s="1"/>
  <c r="L493" i="10"/>
  <c r="M493" i="10" s="1"/>
  <c r="L494" i="10"/>
  <c r="M494" i="10" s="1"/>
  <c r="L495" i="10"/>
  <c r="M495" i="10" s="1"/>
  <c r="L496" i="10"/>
  <c r="M496" i="10" s="1"/>
  <c r="L497" i="10"/>
  <c r="M497" i="10" s="1"/>
  <c r="L498" i="10"/>
  <c r="M498" i="10" s="1"/>
  <c r="L499" i="10"/>
  <c r="M499" i="10" s="1"/>
  <c r="L500" i="10"/>
  <c r="M500" i="10" s="1"/>
  <c r="L501" i="10"/>
  <c r="M501" i="10" s="1"/>
  <c r="L502" i="10"/>
  <c r="M502" i="10" s="1"/>
  <c r="L503" i="10"/>
  <c r="M503" i="10" s="1"/>
  <c r="L504" i="10"/>
  <c r="M504" i="10" s="1"/>
  <c r="L505" i="10"/>
  <c r="M505" i="10" s="1"/>
  <c r="L506" i="10"/>
  <c r="M506" i="10" s="1"/>
  <c r="L507" i="10"/>
  <c r="M507" i="10" s="1"/>
  <c r="L508" i="10"/>
  <c r="M508" i="10" s="1"/>
  <c r="L509" i="10"/>
  <c r="M509" i="10" s="1"/>
  <c r="L510" i="10"/>
  <c r="M510" i="10" s="1"/>
  <c r="L511" i="10"/>
  <c r="M511" i="10" s="1"/>
  <c r="L512" i="10"/>
  <c r="M512" i="10" s="1"/>
  <c r="L513" i="10"/>
  <c r="M513" i="10" s="1"/>
  <c r="L514" i="10"/>
  <c r="M514" i="10" s="1"/>
  <c r="L515" i="10"/>
  <c r="M515" i="10" s="1"/>
  <c r="L516" i="10"/>
  <c r="M516" i="10" s="1"/>
  <c r="L517" i="10"/>
  <c r="M517" i="10" s="1"/>
  <c r="L518" i="10"/>
  <c r="M518" i="10" s="1"/>
  <c r="L519" i="10"/>
  <c r="M519" i="10" s="1"/>
  <c r="L520" i="10"/>
  <c r="M520" i="10" s="1"/>
  <c r="L521" i="10"/>
  <c r="M521" i="10" s="1"/>
  <c r="L522" i="10"/>
  <c r="M522" i="10" s="1"/>
  <c r="L523" i="10"/>
  <c r="M523" i="10" s="1"/>
  <c r="L524" i="10"/>
  <c r="M524" i="10" s="1"/>
  <c r="L525" i="10"/>
  <c r="M525" i="10" s="1"/>
  <c r="L526" i="10"/>
  <c r="M526" i="10" s="1"/>
  <c r="L527" i="10"/>
  <c r="M527" i="10" s="1"/>
  <c r="L528" i="10"/>
  <c r="M528" i="10" s="1"/>
  <c r="L529" i="10"/>
  <c r="M529" i="10" s="1"/>
  <c r="L530" i="10"/>
  <c r="M530" i="10" s="1"/>
  <c r="L531" i="10"/>
  <c r="M531" i="10" s="1"/>
  <c r="L532" i="10"/>
  <c r="M532" i="10" s="1"/>
  <c r="L533" i="10"/>
  <c r="M533" i="10" s="1"/>
  <c r="L534" i="10"/>
  <c r="M534" i="10" s="1"/>
  <c r="L535" i="10"/>
  <c r="M535" i="10" s="1"/>
  <c r="L536" i="10"/>
  <c r="M536" i="10" s="1"/>
  <c r="L537" i="10"/>
  <c r="M537" i="10" s="1"/>
  <c r="L538" i="10"/>
  <c r="M538" i="10" s="1"/>
  <c r="L539" i="10"/>
  <c r="M539" i="10" s="1"/>
  <c r="L540" i="10"/>
  <c r="M540" i="10" s="1"/>
  <c r="L541" i="10"/>
  <c r="M541" i="10" s="1"/>
  <c r="L542" i="10"/>
  <c r="M542" i="10" s="1"/>
  <c r="L543" i="10"/>
  <c r="M543" i="10" s="1"/>
  <c r="L544" i="10"/>
  <c r="M544" i="10" s="1"/>
  <c r="L545" i="10"/>
  <c r="M545" i="10" s="1"/>
  <c r="L546" i="10"/>
  <c r="M546" i="10" s="1"/>
  <c r="L547" i="10"/>
  <c r="M547" i="10" s="1"/>
  <c r="L548" i="10"/>
  <c r="M548" i="10" s="1"/>
  <c r="L549" i="10"/>
  <c r="M549" i="10" s="1"/>
  <c r="L550" i="10"/>
  <c r="M550" i="10" s="1"/>
  <c r="L551" i="10"/>
  <c r="M551" i="10" s="1"/>
  <c r="L552" i="10"/>
  <c r="M552" i="10" s="1"/>
  <c r="L553" i="10"/>
  <c r="M553" i="10" s="1"/>
  <c r="L554" i="10"/>
  <c r="M554" i="10" s="1"/>
  <c r="L555" i="10"/>
  <c r="M555" i="10" s="1"/>
  <c r="L556" i="10"/>
  <c r="M556" i="10" s="1"/>
  <c r="L557" i="10"/>
  <c r="M557" i="10" s="1"/>
  <c r="L558" i="10"/>
  <c r="M558" i="10" s="1"/>
  <c r="L559" i="10"/>
  <c r="M559" i="10" s="1"/>
  <c r="L560" i="10"/>
  <c r="M560" i="10" s="1"/>
  <c r="L561" i="10"/>
  <c r="M561" i="10" s="1"/>
  <c r="L562" i="10"/>
  <c r="M562" i="10" s="1"/>
  <c r="L563" i="10"/>
  <c r="M563" i="10" s="1"/>
  <c r="L564" i="10"/>
  <c r="M564" i="10" s="1"/>
  <c r="L565" i="10"/>
  <c r="M565" i="10" s="1"/>
  <c r="L566" i="10"/>
  <c r="M566" i="10" s="1"/>
  <c r="L567" i="10"/>
  <c r="M567" i="10" s="1"/>
  <c r="L568" i="10"/>
  <c r="M568" i="10" s="1"/>
  <c r="L569" i="10"/>
  <c r="M569" i="10" s="1"/>
  <c r="L570" i="10"/>
  <c r="M570" i="10" s="1"/>
  <c r="L571" i="10"/>
  <c r="M571" i="10" s="1"/>
  <c r="L572" i="10"/>
  <c r="M572" i="10" s="1"/>
  <c r="L573" i="10"/>
  <c r="M573" i="10" s="1"/>
  <c r="L574" i="10"/>
  <c r="M574" i="10" s="1"/>
  <c r="L575" i="10"/>
  <c r="M575" i="10" s="1"/>
  <c r="L576" i="10"/>
  <c r="M576" i="10" s="1"/>
  <c r="L577" i="10"/>
  <c r="M577" i="10" s="1"/>
  <c r="L578" i="10"/>
  <c r="M578" i="10" s="1"/>
  <c r="L579" i="10"/>
  <c r="M579" i="10" s="1"/>
  <c r="L580" i="10"/>
  <c r="M580" i="10" s="1"/>
  <c r="L581" i="10"/>
  <c r="M581" i="10" s="1"/>
  <c r="L582" i="10"/>
  <c r="M582" i="10" s="1"/>
  <c r="L583" i="10"/>
  <c r="M583" i="10" s="1"/>
  <c r="L584" i="10"/>
  <c r="M584" i="10" s="1"/>
  <c r="L585" i="10"/>
  <c r="M585" i="10" s="1"/>
  <c r="L586" i="10"/>
  <c r="M586" i="10" s="1"/>
  <c r="L587" i="10"/>
  <c r="M587" i="10" s="1"/>
  <c r="L588" i="10"/>
  <c r="M588" i="10" s="1"/>
  <c r="L589" i="10"/>
  <c r="M589" i="10" s="1"/>
  <c r="L590" i="10"/>
  <c r="M590" i="10" s="1"/>
  <c r="L591" i="10"/>
  <c r="M591" i="10" s="1"/>
  <c r="L592" i="10"/>
  <c r="M592" i="10" s="1"/>
  <c r="L593" i="10"/>
  <c r="M593" i="10" s="1"/>
  <c r="L594" i="10"/>
  <c r="M594" i="10" s="1"/>
  <c r="L595" i="10"/>
  <c r="M595" i="10" s="1"/>
  <c r="L596" i="10"/>
  <c r="M596" i="10" s="1"/>
  <c r="L597" i="10"/>
  <c r="M597" i="10" s="1"/>
  <c r="L598" i="10"/>
  <c r="M598" i="10" s="1"/>
  <c r="L599" i="10"/>
  <c r="M599" i="10" s="1"/>
  <c r="L600" i="10"/>
  <c r="M600" i="10" s="1"/>
  <c r="L601" i="10"/>
  <c r="M601" i="10" s="1"/>
  <c r="L602" i="10"/>
  <c r="M602" i="10" s="1"/>
  <c r="L603" i="10"/>
  <c r="M603" i="10" s="1"/>
  <c r="L604" i="10"/>
  <c r="M604" i="10" s="1"/>
  <c r="L605" i="10"/>
  <c r="M605" i="10" s="1"/>
  <c r="L606" i="10"/>
  <c r="M606" i="10" s="1"/>
  <c r="L607" i="10"/>
  <c r="M607" i="10" s="1"/>
  <c r="L608" i="10"/>
  <c r="M608" i="10" s="1"/>
  <c r="L609" i="10"/>
  <c r="M609" i="10" s="1"/>
  <c r="L610" i="10"/>
  <c r="M610" i="10" s="1"/>
  <c r="L611" i="10"/>
  <c r="M611" i="10" s="1"/>
  <c r="L612" i="10"/>
  <c r="M612" i="10" s="1"/>
  <c r="L613" i="10"/>
  <c r="M613" i="10" s="1"/>
  <c r="L614" i="10"/>
  <c r="M614" i="10" s="1"/>
  <c r="L615" i="10"/>
  <c r="M615" i="10" s="1"/>
  <c r="L616" i="10"/>
  <c r="M616" i="10" s="1"/>
  <c r="L617" i="10"/>
  <c r="M617" i="10" s="1"/>
  <c r="L618" i="10"/>
  <c r="M618" i="10" s="1"/>
  <c r="L619" i="10"/>
  <c r="M619" i="10" s="1"/>
  <c r="L620" i="10"/>
  <c r="M620" i="10" s="1"/>
  <c r="L621" i="10"/>
  <c r="M621" i="10" s="1"/>
  <c r="L622" i="10"/>
  <c r="M622" i="10" s="1"/>
  <c r="L623" i="10"/>
  <c r="M623" i="10" s="1"/>
  <c r="L624" i="10"/>
  <c r="M624" i="10" s="1"/>
  <c r="L625" i="10"/>
  <c r="M625" i="10" s="1"/>
  <c r="L626" i="10"/>
  <c r="M626" i="10" s="1"/>
  <c r="L627" i="10"/>
  <c r="M627" i="10" s="1"/>
  <c r="L628" i="10"/>
  <c r="M628" i="10" s="1"/>
  <c r="L629" i="10"/>
  <c r="M629" i="10" s="1"/>
  <c r="L630" i="10"/>
  <c r="M630" i="10" s="1"/>
  <c r="L631" i="10"/>
  <c r="M631" i="10" s="1"/>
  <c r="L632" i="10"/>
  <c r="M632" i="10" s="1"/>
  <c r="L633" i="10"/>
  <c r="M633" i="10" s="1"/>
  <c r="L634" i="10"/>
  <c r="M634" i="10" s="1"/>
  <c r="L635" i="10"/>
  <c r="M635" i="10" s="1"/>
  <c r="L636" i="10"/>
  <c r="M636" i="10" s="1"/>
  <c r="L637" i="10"/>
  <c r="M637" i="10" s="1"/>
  <c r="L638" i="10"/>
  <c r="M638" i="10" s="1"/>
  <c r="L639" i="10"/>
  <c r="M639" i="10" s="1"/>
  <c r="L640" i="10"/>
  <c r="M640" i="10" s="1"/>
  <c r="L641" i="10"/>
  <c r="M641" i="10" s="1"/>
  <c r="L642" i="10"/>
  <c r="M642" i="10" s="1"/>
  <c r="L643" i="10"/>
  <c r="M643" i="10" s="1"/>
  <c r="L644" i="10"/>
  <c r="M644" i="10" s="1"/>
  <c r="L645" i="10"/>
  <c r="M645" i="10" s="1"/>
  <c r="L646" i="10"/>
  <c r="M646" i="10" s="1"/>
  <c r="L647" i="10"/>
  <c r="M647" i="10" s="1"/>
  <c r="L648" i="10"/>
  <c r="M648" i="10" s="1"/>
  <c r="L649" i="10"/>
  <c r="M649" i="10" s="1"/>
  <c r="L650" i="10"/>
  <c r="M650" i="10" s="1"/>
  <c r="L651" i="10"/>
  <c r="M651" i="10" s="1"/>
  <c r="L652" i="10"/>
  <c r="M652" i="10" s="1"/>
  <c r="L653" i="10"/>
  <c r="M653" i="10" s="1"/>
  <c r="L654" i="10"/>
  <c r="M654" i="10" s="1"/>
  <c r="L655" i="10"/>
  <c r="M655" i="10" s="1"/>
  <c r="L656" i="10"/>
  <c r="M656" i="10" s="1"/>
  <c r="L657" i="10"/>
  <c r="M657" i="10" s="1"/>
  <c r="L658" i="10"/>
  <c r="M658" i="10" s="1"/>
  <c r="L659" i="10"/>
  <c r="M659" i="10" s="1"/>
  <c r="L660" i="10"/>
  <c r="M660" i="10" s="1"/>
  <c r="L661" i="10"/>
  <c r="M661" i="10" s="1"/>
  <c r="L662" i="10"/>
  <c r="M662" i="10" s="1"/>
  <c r="L663" i="10"/>
  <c r="M663" i="10" s="1"/>
  <c r="L664" i="10"/>
  <c r="M664" i="10" s="1"/>
  <c r="L665" i="10"/>
  <c r="M665" i="10" s="1"/>
  <c r="L666" i="10"/>
  <c r="M666" i="10" s="1"/>
  <c r="L667" i="10"/>
  <c r="M667" i="10" s="1"/>
  <c r="L668" i="10"/>
  <c r="M668" i="10" s="1"/>
  <c r="L669" i="10"/>
  <c r="M669" i="10" s="1"/>
  <c r="L670" i="10"/>
  <c r="M670" i="10" s="1"/>
  <c r="L671" i="10"/>
  <c r="M671" i="10" s="1"/>
  <c r="L672" i="10"/>
  <c r="M672" i="10" s="1"/>
  <c r="L673" i="10"/>
  <c r="M673" i="10" s="1"/>
  <c r="L674" i="10"/>
  <c r="M674" i="10" s="1"/>
  <c r="L675" i="10"/>
  <c r="M675" i="10" s="1"/>
  <c r="L676" i="10"/>
  <c r="M676" i="10" s="1"/>
  <c r="L677" i="10"/>
  <c r="M677" i="10" s="1"/>
  <c r="L678" i="10"/>
  <c r="M678" i="10" s="1"/>
  <c r="L679" i="10"/>
  <c r="M679" i="10" s="1"/>
  <c r="L680" i="10"/>
  <c r="M680" i="10" s="1"/>
  <c r="L681" i="10"/>
  <c r="M681" i="10" s="1"/>
  <c r="L682" i="10"/>
  <c r="M682" i="10" s="1"/>
  <c r="L683" i="10"/>
  <c r="M683" i="10" s="1"/>
  <c r="L684" i="10"/>
  <c r="M684" i="10" s="1"/>
  <c r="L685" i="10"/>
  <c r="M685" i="10" s="1"/>
  <c r="L686" i="10"/>
  <c r="M686" i="10" s="1"/>
  <c r="L687" i="10"/>
  <c r="M687" i="10" s="1"/>
  <c r="L688" i="10"/>
  <c r="M688" i="10" s="1"/>
  <c r="L689" i="10"/>
  <c r="M689" i="10" s="1"/>
  <c r="L690" i="10"/>
  <c r="M690" i="10" s="1"/>
  <c r="L691" i="10"/>
  <c r="M691" i="10" s="1"/>
  <c r="L692" i="10"/>
  <c r="M692" i="10" s="1"/>
  <c r="L693" i="10"/>
  <c r="M693" i="10" s="1"/>
  <c r="L694" i="10"/>
  <c r="M694" i="10" s="1"/>
  <c r="L695" i="10"/>
  <c r="M695" i="10" s="1"/>
  <c r="L696" i="10"/>
  <c r="M696" i="10" s="1"/>
  <c r="L697" i="10"/>
  <c r="M697" i="10" s="1"/>
  <c r="L698" i="10"/>
  <c r="M698" i="10" s="1"/>
  <c r="L699" i="10"/>
  <c r="M699" i="10" s="1"/>
  <c r="L700" i="10"/>
  <c r="M700" i="10" s="1"/>
  <c r="L701" i="10"/>
  <c r="M701" i="10" s="1"/>
  <c r="L702" i="10"/>
  <c r="M702" i="10" s="1"/>
  <c r="L703" i="10"/>
  <c r="M703" i="10" s="1"/>
  <c r="L704" i="10"/>
  <c r="M704" i="10" s="1"/>
  <c r="L705" i="10"/>
  <c r="M705" i="10" s="1"/>
  <c r="L706" i="10"/>
  <c r="M706" i="10" s="1"/>
  <c r="L707" i="10"/>
  <c r="M707" i="10" s="1"/>
  <c r="L708" i="10"/>
  <c r="M708" i="10" s="1"/>
  <c r="L709" i="10"/>
  <c r="M709" i="10" s="1"/>
  <c r="L710" i="10"/>
  <c r="M710" i="10" s="1"/>
  <c r="L711" i="10"/>
  <c r="M711" i="10" s="1"/>
  <c r="L712" i="10"/>
  <c r="M712" i="10" s="1"/>
  <c r="L713" i="10"/>
  <c r="M713" i="10" s="1"/>
  <c r="L714" i="10"/>
  <c r="M714" i="10" s="1"/>
  <c r="L715" i="10"/>
  <c r="M715" i="10" s="1"/>
  <c r="L716" i="10"/>
  <c r="M716" i="10" s="1"/>
  <c r="L717" i="10"/>
  <c r="M717" i="10" s="1"/>
  <c r="L718" i="10"/>
  <c r="M718" i="10" s="1"/>
  <c r="L719" i="10"/>
  <c r="M719" i="10" s="1"/>
  <c r="L720" i="10"/>
  <c r="M720" i="10" s="1"/>
  <c r="L721" i="10"/>
  <c r="M721" i="10" s="1"/>
  <c r="L722" i="10"/>
  <c r="M722" i="10" s="1"/>
  <c r="L723" i="10"/>
  <c r="M723" i="10" s="1"/>
  <c r="L724" i="10"/>
  <c r="M724" i="10" s="1"/>
  <c r="L725" i="10"/>
  <c r="M725" i="10" s="1"/>
  <c r="L726" i="10"/>
  <c r="M726" i="10" s="1"/>
  <c r="L727" i="10"/>
  <c r="M727" i="10" s="1"/>
  <c r="L728" i="10"/>
  <c r="M728" i="10" s="1"/>
  <c r="L729" i="10"/>
  <c r="M729" i="10" s="1"/>
  <c r="L730" i="10"/>
  <c r="M730" i="10" s="1"/>
  <c r="L731" i="10"/>
  <c r="M731" i="10" s="1"/>
  <c r="L732" i="10"/>
  <c r="M732" i="10" s="1"/>
  <c r="L733" i="10"/>
  <c r="M733" i="10" s="1"/>
  <c r="L734" i="10"/>
  <c r="M734" i="10" s="1"/>
  <c r="L735" i="10"/>
  <c r="M735" i="10" s="1"/>
  <c r="L736" i="10"/>
  <c r="M736" i="10" s="1"/>
  <c r="L737" i="10"/>
  <c r="M737" i="10" s="1"/>
  <c r="L738" i="10"/>
  <c r="M738" i="10" s="1"/>
  <c r="L739" i="10"/>
  <c r="M739" i="10" s="1"/>
  <c r="L740" i="10"/>
  <c r="M740" i="10" s="1"/>
  <c r="L741" i="10"/>
  <c r="M741" i="10" s="1"/>
  <c r="L742" i="10"/>
  <c r="M742" i="10" s="1"/>
  <c r="L743" i="10"/>
  <c r="M743" i="10" s="1"/>
  <c r="L744" i="10"/>
  <c r="M744" i="10" s="1"/>
  <c r="L745" i="10"/>
  <c r="M745" i="10" s="1"/>
  <c r="L746" i="10"/>
  <c r="M746" i="10" s="1"/>
  <c r="L747" i="10"/>
  <c r="M747" i="10" s="1"/>
  <c r="L748" i="10"/>
  <c r="M748" i="10" s="1"/>
  <c r="L749" i="10"/>
  <c r="M749" i="10" s="1"/>
  <c r="L750" i="10"/>
  <c r="M750" i="10" s="1"/>
  <c r="L751" i="10"/>
  <c r="M751" i="10" s="1"/>
  <c r="L752" i="10"/>
  <c r="M752" i="10" s="1"/>
  <c r="L753" i="10"/>
  <c r="M753" i="10" s="1"/>
  <c r="L754" i="10"/>
  <c r="M754" i="10" s="1"/>
  <c r="L755" i="10"/>
  <c r="M755" i="10" s="1"/>
  <c r="L756" i="10"/>
  <c r="M756" i="10" s="1"/>
  <c r="L757" i="10"/>
  <c r="M757" i="10" s="1"/>
  <c r="L758" i="10"/>
  <c r="M758" i="10" s="1"/>
  <c r="L759" i="10"/>
  <c r="M759" i="10" s="1"/>
  <c r="L760" i="10"/>
  <c r="M760" i="10" s="1"/>
  <c r="L761" i="10"/>
  <c r="M761" i="10" s="1"/>
  <c r="L762" i="10"/>
  <c r="M762" i="10" s="1"/>
  <c r="L763" i="10"/>
  <c r="M763" i="10" s="1"/>
  <c r="L764" i="10"/>
  <c r="M764" i="10" s="1"/>
  <c r="L765" i="10"/>
  <c r="M765" i="10" s="1"/>
  <c r="L766" i="10"/>
  <c r="M766" i="10" s="1"/>
  <c r="L767" i="10"/>
  <c r="M767" i="10" s="1"/>
  <c r="L768" i="10"/>
  <c r="M768" i="10" s="1"/>
  <c r="L769" i="10"/>
  <c r="M769" i="10" s="1"/>
  <c r="L770" i="10"/>
  <c r="M770" i="10" s="1"/>
  <c r="L771" i="10"/>
  <c r="M771" i="10" s="1"/>
  <c r="L772" i="10"/>
  <c r="M772" i="10" s="1"/>
  <c r="L773" i="10"/>
  <c r="M773" i="10" s="1"/>
  <c r="L774" i="10"/>
  <c r="M774" i="10" s="1"/>
  <c r="L775" i="10"/>
  <c r="M775" i="10" s="1"/>
  <c r="L776" i="10"/>
  <c r="M776" i="10" s="1"/>
  <c r="L777" i="10"/>
  <c r="M777" i="10" s="1"/>
  <c r="L778" i="10"/>
  <c r="M778" i="10" s="1"/>
  <c r="L779" i="10"/>
  <c r="M779" i="10" s="1"/>
  <c r="L780" i="10"/>
  <c r="M780" i="10" s="1"/>
  <c r="L781" i="10"/>
  <c r="M781" i="10" s="1"/>
  <c r="L782" i="10"/>
  <c r="M782" i="10" s="1"/>
  <c r="L783" i="10"/>
  <c r="M783" i="10" s="1"/>
  <c r="L784" i="10"/>
  <c r="M784" i="10" s="1"/>
  <c r="L785" i="10"/>
  <c r="M785" i="10" s="1"/>
  <c r="L786" i="10"/>
  <c r="M786" i="10" s="1"/>
  <c r="L787" i="10"/>
  <c r="M787" i="10" s="1"/>
  <c r="L788" i="10"/>
  <c r="M788" i="10" s="1"/>
  <c r="L789" i="10"/>
  <c r="M789" i="10" s="1"/>
  <c r="L790" i="10"/>
  <c r="M790" i="10" s="1"/>
  <c r="L791" i="10"/>
  <c r="M791" i="10" s="1"/>
  <c r="L792" i="10"/>
  <c r="M792" i="10" s="1"/>
  <c r="L793" i="10"/>
  <c r="M793" i="10" s="1"/>
  <c r="L794" i="10"/>
  <c r="M794" i="10" s="1"/>
  <c r="L795" i="10"/>
  <c r="M795" i="10" s="1"/>
  <c r="L796" i="10"/>
  <c r="M796" i="10" s="1"/>
  <c r="L797" i="10"/>
  <c r="M797" i="10" s="1"/>
  <c r="L798" i="10"/>
  <c r="M798" i="10" s="1"/>
  <c r="L799" i="10"/>
  <c r="M799" i="10" s="1"/>
  <c r="L800" i="10"/>
  <c r="M800" i="10" s="1"/>
  <c r="L801" i="10"/>
  <c r="M801" i="10" s="1"/>
  <c r="L802" i="10"/>
  <c r="M802" i="10" s="1"/>
  <c r="L803" i="10"/>
  <c r="M803" i="10" s="1"/>
  <c r="L804" i="10"/>
  <c r="M804" i="10" s="1"/>
  <c r="L805" i="10"/>
  <c r="M805" i="10" s="1"/>
  <c r="L806" i="10"/>
  <c r="M806" i="10" s="1"/>
  <c r="L807" i="10"/>
  <c r="M807" i="10" s="1"/>
  <c r="L808" i="10"/>
  <c r="M808" i="10" s="1"/>
  <c r="L809" i="10"/>
  <c r="M809" i="10" s="1"/>
  <c r="L810" i="10"/>
  <c r="M810" i="10" s="1"/>
  <c r="L811" i="10"/>
  <c r="M811" i="10" s="1"/>
  <c r="L812" i="10"/>
  <c r="M812" i="10" s="1"/>
  <c r="L813" i="10"/>
  <c r="M813" i="10" s="1"/>
  <c r="L814" i="10"/>
  <c r="M814" i="10" s="1"/>
  <c r="L815" i="10"/>
  <c r="M815" i="10" s="1"/>
  <c r="L816" i="10"/>
  <c r="M816" i="10" s="1"/>
  <c r="L817" i="10"/>
  <c r="M817" i="10" s="1"/>
  <c r="L818" i="10"/>
  <c r="M818" i="10" s="1"/>
  <c r="L819" i="10"/>
  <c r="M819" i="10" s="1"/>
  <c r="L820" i="10"/>
  <c r="M820" i="10" s="1"/>
  <c r="L821" i="10"/>
  <c r="M821" i="10" s="1"/>
  <c r="L822" i="10"/>
  <c r="M822" i="10" s="1"/>
  <c r="L823" i="10"/>
  <c r="M823" i="10" s="1"/>
  <c r="L824" i="10"/>
  <c r="M824" i="10" s="1"/>
  <c r="L825" i="10"/>
  <c r="M825" i="10" s="1"/>
  <c r="L826" i="10"/>
  <c r="M826" i="10" s="1"/>
  <c r="L827" i="10"/>
  <c r="M827" i="10" s="1"/>
  <c r="L828" i="10"/>
  <c r="M828" i="10" s="1"/>
  <c r="L829" i="10"/>
  <c r="M829" i="10" s="1"/>
  <c r="L830" i="10"/>
  <c r="M830" i="10" s="1"/>
  <c r="L831" i="10"/>
  <c r="M831" i="10" s="1"/>
  <c r="L832" i="10"/>
  <c r="M832" i="10" s="1"/>
  <c r="L833" i="10"/>
  <c r="M833" i="10" s="1"/>
  <c r="L834" i="10"/>
  <c r="M834" i="10" s="1"/>
  <c r="L835" i="10"/>
  <c r="M835" i="10" s="1"/>
  <c r="L836" i="10"/>
  <c r="M836" i="10" s="1"/>
  <c r="L837" i="10"/>
  <c r="M837" i="10" s="1"/>
  <c r="L838" i="10"/>
  <c r="M838" i="10" s="1"/>
  <c r="L839" i="10"/>
  <c r="M839" i="10" s="1"/>
  <c r="L840" i="10"/>
  <c r="M840" i="10" s="1"/>
  <c r="L841" i="10"/>
  <c r="M841" i="10" s="1"/>
  <c r="L842" i="10"/>
  <c r="M842" i="10" s="1"/>
  <c r="L843" i="10"/>
  <c r="M843" i="10" s="1"/>
  <c r="L844" i="10"/>
  <c r="M844" i="10" s="1"/>
  <c r="L845" i="10"/>
  <c r="M845" i="10" s="1"/>
  <c r="L846" i="10"/>
  <c r="M846" i="10" s="1"/>
  <c r="L847" i="10"/>
  <c r="M847" i="10" s="1"/>
  <c r="L848" i="10"/>
  <c r="M848" i="10" s="1"/>
  <c r="L849" i="10"/>
  <c r="M849" i="10" s="1"/>
  <c r="L850" i="10"/>
  <c r="M850" i="10" s="1"/>
  <c r="L851" i="10"/>
  <c r="M851" i="10" s="1"/>
  <c r="L852" i="10"/>
  <c r="M852" i="10" s="1"/>
  <c r="L853" i="10"/>
  <c r="M853" i="10" s="1"/>
  <c r="L854" i="10"/>
  <c r="M854" i="10" s="1"/>
  <c r="L855" i="10"/>
  <c r="M855" i="10" s="1"/>
  <c r="L856" i="10"/>
  <c r="M856" i="10" s="1"/>
  <c r="L857" i="10"/>
  <c r="M857" i="10" s="1"/>
  <c r="L858" i="10"/>
  <c r="M858" i="10" s="1"/>
  <c r="L859" i="10"/>
  <c r="M859" i="10" s="1"/>
  <c r="L860" i="10"/>
  <c r="M860" i="10" s="1"/>
  <c r="L861" i="10"/>
  <c r="M861" i="10" s="1"/>
  <c r="L862" i="10"/>
  <c r="M862" i="10" s="1"/>
  <c r="L863" i="10"/>
  <c r="M863" i="10" s="1"/>
  <c r="L864" i="10"/>
  <c r="M864" i="10" s="1"/>
  <c r="L865" i="10"/>
  <c r="M865" i="10" s="1"/>
  <c r="L866" i="10"/>
  <c r="M866" i="10" s="1"/>
  <c r="L867" i="10"/>
  <c r="M867" i="10" s="1"/>
  <c r="L868" i="10"/>
  <c r="M868" i="10" s="1"/>
  <c r="L869" i="10"/>
  <c r="M869" i="10" s="1"/>
  <c r="L870" i="10"/>
  <c r="M870" i="10" s="1"/>
  <c r="L871" i="10"/>
  <c r="M871" i="10" s="1"/>
  <c r="L872" i="10"/>
  <c r="M872" i="10" s="1"/>
  <c r="L873" i="10"/>
  <c r="M873" i="10" s="1"/>
  <c r="L874" i="10"/>
  <c r="M874" i="10" s="1"/>
  <c r="L875" i="10"/>
  <c r="M875" i="10" s="1"/>
  <c r="L876" i="10"/>
  <c r="M876" i="10" s="1"/>
  <c r="L877" i="10"/>
  <c r="M877" i="10" s="1"/>
  <c r="L878" i="10"/>
  <c r="M878" i="10" s="1"/>
  <c r="L879" i="10"/>
  <c r="M879" i="10" s="1"/>
  <c r="L880" i="10"/>
  <c r="M880" i="10" s="1"/>
  <c r="L881" i="10"/>
  <c r="M881" i="10" s="1"/>
  <c r="L882" i="10"/>
  <c r="M882" i="10" s="1"/>
  <c r="L883" i="10"/>
  <c r="M883" i="10" s="1"/>
  <c r="L884" i="10"/>
  <c r="M884" i="10" s="1"/>
  <c r="L885" i="10"/>
  <c r="M885" i="10" s="1"/>
  <c r="L886" i="10"/>
  <c r="M886" i="10" s="1"/>
  <c r="L887" i="10"/>
  <c r="M887" i="10" s="1"/>
  <c r="L888" i="10"/>
  <c r="M888" i="10" s="1"/>
  <c r="L889" i="10"/>
  <c r="M889" i="10" s="1"/>
  <c r="L890" i="10"/>
  <c r="M890" i="10" s="1"/>
  <c r="L891" i="10"/>
  <c r="M891" i="10" s="1"/>
  <c r="L892" i="10"/>
  <c r="M892" i="10" s="1"/>
  <c r="L893" i="10"/>
  <c r="M893" i="10" s="1"/>
  <c r="L894" i="10"/>
  <c r="M894" i="10" s="1"/>
  <c r="L895" i="10"/>
  <c r="M895" i="10" s="1"/>
  <c r="L896" i="10"/>
  <c r="M896" i="10" s="1"/>
  <c r="L897" i="10"/>
  <c r="M897" i="10" s="1"/>
  <c r="L898" i="10"/>
  <c r="M898" i="10" s="1"/>
  <c r="L899" i="10"/>
  <c r="M899" i="10" s="1"/>
  <c r="L900" i="10"/>
  <c r="M900" i="10" s="1"/>
  <c r="L901" i="10"/>
  <c r="M901" i="10" s="1"/>
  <c r="L902" i="10"/>
  <c r="M902" i="10" s="1"/>
  <c r="L903" i="10"/>
  <c r="M903" i="10" s="1"/>
  <c r="L904" i="10"/>
  <c r="M904" i="10" s="1"/>
  <c r="L905" i="10"/>
  <c r="M905" i="10" s="1"/>
  <c r="L906" i="10"/>
  <c r="M906" i="10" s="1"/>
  <c r="L907" i="10"/>
  <c r="M907" i="10" s="1"/>
  <c r="L908" i="10"/>
  <c r="M908" i="10" s="1"/>
  <c r="L909" i="10"/>
  <c r="M909" i="10" s="1"/>
  <c r="L910" i="10"/>
  <c r="M910" i="10" s="1"/>
  <c r="L911" i="10"/>
  <c r="M911" i="10" s="1"/>
  <c r="L912" i="10"/>
  <c r="M912" i="10" s="1"/>
  <c r="L913" i="10"/>
  <c r="M913" i="10" s="1"/>
  <c r="L914" i="10"/>
  <c r="M914" i="10" s="1"/>
  <c r="L915" i="10"/>
  <c r="M915" i="10" s="1"/>
  <c r="L916" i="10"/>
  <c r="M916" i="10" s="1"/>
  <c r="L917" i="10"/>
  <c r="M917" i="10" s="1"/>
  <c r="L918" i="10"/>
  <c r="M918" i="10" s="1"/>
  <c r="L919" i="10"/>
  <c r="M919" i="10" s="1"/>
  <c r="L920" i="10"/>
  <c r="M920" i="10" s="1"/>
  <c r="L921" i="10"/>
  <c r="M921" i="10" s="1"/>
  <c r="L922" i="10"/>
  <c r="M922" i="10" s="1"/>
  <c r="L923" i="10"/>
  <c r="M923" i="10" s="1"/>
  <c r="L924" i="10"/>
  <c r="M924" i="10" s="1"/>
  <c r="L925" i="10"/>
  <c r="M925" i="10" s="1"/>
  <c r="L926" i="10"/>
  <c r="M926" i="10" s="1"/>
  <c r="L927" i="10"/>
  <c r="M927" i="10" s="1"/>
  <c r="L928" i="10"/>
  <c r="M928" i="10" s="1"/>
  <c r="L929" i="10"/>
  <c r="M929" i="10" s="1"/>
  <c r="L930" i="10"/>
  <c r="M930" i="10" s="1"/>
  <c r="L931" i="10"/>
  <c r="M931" i="10" s="1"/>
  <c r="L932" i="10"/>
  <c r="M932" i="10" s="1"/>
  <c r="L933" i="10"/>
  <c r="M933" i="10" s="1"/>
  <c r="L934" i="10"/>
  <c r="M934" i="10" s="1"/>
  <c r="L935" i="10"/>
  <c r="M935" i="10" s="1"/>
  <c r="L936" i="10"/>
  <c r="M936" i="10" s="1"/>
  <c r="L937" i="10"/>
  <c r="M937" i="10" s="1"/>
  <c r="L938" i="10"/>
  <c r="M938" i="10" s="1"/>
  <c r="L939" i="10"/>
  <c r="M939" i="10" s="1"/>
  <c r="L940" i="10"/>
  <c r="M940" i="10" s="1"/>
  <c r="L941" i="10"/>
  <c r="M941" i="10" s="1"/>
  <c r="L942" i="10"/>
  <c r="M942" i="10" s="1"/>
  <c r="L943" i="10"/>
  <c r="M943" i="10" s="1"/>
  <c r="L944" i="10"/>
  <c r="M944" i="10" s="1"/>
  <c r="L945" i="10"/>
  <c r="M945" i="10" s="1"/>
  <c r="L946" i="10"/>
  <c r="M946" i="10" s="1"/>
  <c r="L947" i="10"/>
  <c r="M947" i="10" s="1"/>
  <c r="L948" i="10"/>
  <c r="M948" i="10" s="1"/>
  <c r="L949" i="10"/>
  <c r="M949" i="10" s="1"/>
  <c r="L950" i="10"/>
  <c r="M950" i="10" s="1"/>
  <c r="L951" i="10"/>
  <c r="M951" i="10" s="1"/>
  <c r="L952" i="10"/>
  <c r="M952" i="10" s="1"/>
  <c r="L953" i="10"/>
  <c r="M953" i="10" s="1"/>
  <c r="L954" i="10"/>
  <c r="M954" i="10" s="1"/>
  <c r="L955" i="10"/>
  <c r="M955" i="10" s="1"/>
  <c r="L956" i="10"/>
  <c r="M956" i="10" s="1"/>
  <c r="L957" i="10"/>
  <c r="M957" i="10" s="1"/>
  <c r="L958" i="10"/>
  <c r="M958" i="10" s="1"/>
  <c r="L959" i="10"/>
  <c r="M959" i="10" s="1"/>
  <c r="L960" i="10"/>
  <c r="M960" i="10" s="1"/>
  <c r="L961" i="10"/>
  <c r="M961" i="10" s="1"/>
  <c r="L962" i="10"/>
  <c r="M962" i="10" s="1"/>
  <c r="L963" i="10"/>
  <c r="M963" i="10" s="1"/>
  <c r="L964" i="10"/>
  <c r="M964" i="10" s="1"/>
  <c r="L965" i="10"/>
  <c r="M965" i="10" s="1"/>
  <c r="L966" i="10"/>
  <c r="M966" i="10" s="1"/>
  <c r="L967" i="10"/>
  <c r="M967" i="10" s="1"/>
  <c r="L968" i="10"/>
  <c r="M968" i="10" s="1"/>
  <c r="L969" i="10"/>
  <c r="M969" i="10" s="1"/>
  <c r="L970" i="10"/>
  <c r="M970" i="10" s="1"/>
  <c r="L971" i="10"/>
  <c r="M971" i="10" s="1"/>
  <c r="L972" i="10"/>
  <c r="M972" i="10" s="1"/>
  <c r="L973" i="10"/>
  <c r="M973" i="10" s="1"/>
  <c r="L974" i="10"/>
  <c r="M974" i="10" s="1"/>
  <c r="L975" i="10"/>
  <c r="M975" i="10" s="1"/>
  <c r="L976" i="10"/>
  <c r="M976" i="10" s="1"/>
  <c r="L977" i="10"/>
  <c r="M977" i="10" s="1"/>
  <c r="L978" i="10"/>
  <c r="M978" i="10" s="1"/>
  <c r="L979" i="10"/>
  <c r="M979" i="10" s="1"/>
  <c r="L980" i="10"/>
  <c r="M980" i="10" s="1"/>
  <c r="L981" i="10"/>
  <c r="M981" i="10" s="1"/>
  <c r="L982" i="10"/>
  <c r="M982" i="10" s="1"/>
  <c r="L983" i="10"/>
  <c r="M983" i="10" s="1"/>
  <c r="L984" i="10"/>
  <c r="M984" i="10" s="1"/>
  <c r="L985" i="10"/>
  <c r="M985" i="10" s="1"/>
  <c r="L986" i="10"/>
  <c r="M986" i="10" s="1"/>
  <c r="L987" i="10"/>
  <c r="M987" i="10" s="1"/>
  <c r="L988" i="10"/>
  <c r="M988" i="10" s="1"/>
  <c r="L989" i="10"/>
  <c r="M989" i="10" s="1"/>
  <c r="L990" i="10"/>
  <c r="M990" i="10" s="1"/>
  <c r="L991" i="10"/>
  <c r="M991" i="10" s="1"/>
  <c r="L992" i="10"/>
  <c r="M992" i="10" s="1"/>
  <c r="L993" i="10"/>
  <c r="M993" i="10" s="1"/>
  <c r="L994" i="10"/>
  <c r="M994" i="10" s="1"/>
  <c r="L995" i="10"/>
  <c r="M995" i="10" s="1"/>
  <c r="L996" i="10"/>
  <c r="M996" i="10" s="1"/>
  <c r="L997" i="10"/>
  <c r="M997" i="10" s="1"/>
  <c r="L998" i="10"/>
  <c r="M998" i="10" s="1"/>
  <c r="L999" i="10"/>
  <c r="M999" i="10" s="1"/>
  <c r="L1000" i="10"/>
  <c r="M1000" i="10" s="1"/>
  <c r="L1001" i="10"/>
  <c r="M1001" i="10" s="1"/>
  <c r="B8" i="13"/>
  <c r="B7" i="13"/>
  <c r="B5" i="13"/>
  <c r="B4" i="13"/>
  <c r="B6" i="13"/>
  <c r="B10" i="13" l="1"/>
  <c r="N336" i="10"/>
  <c r="O336" i="10" s="1"/>
  <c r="R336" i="10" s="1"/>
  <c r="N337" i="10"/>
  <c r="O337" i="10"/>
  <c r="R337" i="10" s="1"/>
  <c r="N338" i="10"/>
  <c r="O338" i="10"/>
  <c r="R338" i="10" s="1"/>
  <c r="N339" i="10"/>
  <c r="O339" i="10"/>
  <c r="R339" i="10" s="1"/>
  <c r="N340" i="10"/>
  <c r="O340" i="10" s="1"/>
  <c r="R340" i="10" s="1"/>
  <c r="N341" i="10"/>
  <c r="O341" i="10"/>
  <c r="R341" i="10" s="1"/>
  <c r="N342" i="10"/>
  <c r="O342" i="10"/>
  <c r="R342" i="10" s="1"/>
  <c r="N343" i="10"/>
  <c r="O343" i="10"/>
  <c r="R343" i="10" s="1"/>
  <c r="N344" i="10"/>
  <c r="O344" i="10"/>
  <c r="R344" i="10" s="1"/>
  <c r="N345" i="10"/>
  <c r="O345" i="10"/>
  <c r="R345" i="10" s="1"/>
  <c r="N346" i="10"/>
  <c r="O346" i="10"/>
  <c r="R346" i="10" s="1"/>
  <c r="N347" i="10"/>
  <c r="O347" i="10"/>
  <c r="R347" i="10" s="1"/>
  <c r="N348" i="10"/>
  <c r="O348" i="10"/>
  <c r="R348" i="10" s="1"/>
  <c r="N670" i="10"/>
  <c r="O670" i="10"/>
  <c r="R670" i="10" s="1"/>
  <c r="N671" i="10"/>
  <c r="O671" i="10"/>
  <c r="R671" i="10" s="1"/>
  <c r="N672" i="10"/>
  <c r="O672" i="10"/>
  <c r="R672" i="10" s="1"/>
  <c r="N673" i="10"/>
  <c r="O673" i="10"/>
  <c r="R673" i="10" s="1"/>
  <c r="N674" i="10"/>
  <c r="O674" i="10"/>
  <c r="R674" i="10" s="1"/>
  <c r="N675" i="10"/>
  <c r="O675" i="10"/>
  <c r="R675" i="10" s="1"/>
  <c r="N165" i="10"/>
  <c r="O165" i="10"/>
  <c r="R165" i="10" s="1"/>
  <c r="N166" i="10"/>
  <c r="O166" i="10"/>
  <c r="R166" i="10" s="1"/>
  <c r="N167" i="10"/>
  <c r="O167" i="10"/>
  <c r="R167" i="10" s="1"/>
  <c r="N168" i="10"/>
  <c r="O168" i="10"/>
  <c r="R168" i="10" s="1"/>
  <c r="N2" i="10"/>
  <c r="O2" i="10" s="1"/>
  <c r="N3" i="10"/>
  <c r="O3" i="10" s="1"/>
  <c r="R3" i="10" s="1"/>
  <c r="N4" i="10"/>
  <c r="O4" i="10" s="1"/>
  <c r="R4" i="10" s="1"/>
  <c r="N5" i="10"/>
  <c r="O5" i="10" s="1"/>
  <c r="R5" i="10" s="1"/>
  <c r="N6" i="10"/>
  <c r="O6" i="10" s="1"/>
  <c r="R6" i="10" s="1"/>
  <c r="N7" i="10"/>
  <c r="O7" i="10" s="1"/>
  <c r="R7" i="10" s="1"/>
  <c r="N8" i="10"/>
  <c r="O8" i="10"/>
  <c r="R8" i="10" s="1"/>
  <c r="N9" i="10"/>
  <c r="O9" i="10"/>
  <c r="R9" i="10" s="1"/>
  <c r="N10" i="10"/>
  <c r="O10" i="10" s="1"/>
  <c r="R10" i="10" s="1"/>
  <c r="N11" i="10"/>
  <c r="O11" i="10"/>
  <c r="R11" i="10" s="1"/>
  <c r="N12" i="10"/>
  <c r="O12" i="10"/>
  <c r="R12" i="10" s="1"/>
  <c r="N13" i="10"/>
  <c r="O13" i="10"/>
  <c r="R13" i="10" s="1"/>
  <c r="N14" i="10"/>
  <c r="O14" i="10"/>
  <c r="R14" i="10" s="1"/>
  <c r="N15" i="10"/>
  <c r="O15" i="10" s="1"/>
  <c r="R15" i="10" s="1"/>
  <c r="N16" i="10"/>
  <c r="O16" i="10"/>
  <c r="R16" i="10" s="1"/>
  <c r="N17" i="10"/>
  <c r="O17" i="10"/>
  <c r="R17" i="10" s="1"/>
  <c r="N18" i="10"/>
  <c r="O18" i="10" s="1"/>
  <c r="R18" i="10" s="1"/>
  <c r="N19" i="10"/>
  <c r="O19" i="10" s="1"/>
  <c r="R19" i="10" s="1"/>
  <c r="N20" i="10"/>
  <c r="O20" i="10" s="1"/>
  <c r="R20" i="10" s="1"/>
  <c r="N21" i="10"/>
  <c r="O21" i="10"/>
  <c r="R21" i="10" s="1"/>
  <c r="N22" i="10"/>
  <c r="O22" i="10"/>
  <c r="R22" i="10" s="1"/>
  <c r="N23" i="10"/>
  <c r="O23" i="10" s="1"/>
  <c r="R23" i="10" s="1"/>
  <c r="N24" i="10"/>
  <c r="O24" i="10" s="1"/>
  <c r="R24" i="10" s="1"/>
  <c r="N25" i="10"/>
  <c r="O25" i="10" s="1"/>
  <c r="R25" i="10" s="1"/>
  <c r="N26" i="10"/>
  <c r="O26" i="10" s="1"/>
  <c r="R26" i="10" s="1"/>
  <c r="N27" i="10"/>
  <c r="O27" i="10" s="1"/>
  <c r="R27" i="10" s="1"/>
  <c r="N28" i="10"/>
  <c r="O28" i="10"/>
  <c r="R28" i="10" s="1"/>
  <c r="N29" i="10"/>
  <c r="O29" i="10"/>
  <c r="R29" i="10" s="1"/>
  <c r="N30" i="10"/>
  <c r="O30" i="10"/>
  <c r="R30" i="10" s="1"/>
  <c r="N31" i="10"/>
  <c r="O31" i="10"/>
  <c r="R31" i="10" s="1"/>
  <c r="N32" i="10"/>
  <c r="O32" i="10"/>
  <c r="R32" i="10" s="1"/>
  <c r="N33" i="10"/>
  <c r="O33" i="10"/>
  <c r="R33" i="10" s="1"/>
  <c r="N34" i="10"/>
  <c r="O34" i="10"/>
  <c r="R34" i="10" s="1"/>
  <c r="N35" i="10"/>
  <c r="O35" i="10"/>
  <c r="R35" i="10" s="1"/>
  <c r="N36" i="10"/>
  <c r="O36" i="10"/>
  <c r="R36" i="10" s="1"/>
  <c r="N37" i="10"/>
  <c r="O37" i="10"/>
  <c r="R37" i="10" s="1"/>
  <c r="N38" i="10"/>
  <c r="O38" i="10" s="1"/>
  <c r="R38" i="10" s="1"/>
  <c r="N39" i="10"/>
  <c r="O39" i="10" s="1"/>
  <c r="R39" i="10" s="1"/>
  <c r="N40" i="10"/>
  <c r="O40" i="10"/>
  <c r="R40" i="10" s="1"/>
  <c r="N41" i="10"/>
  <c r="O41" i="10"/>
  <c r="R41" i="10" s="1"/>
  <c r="N42" i="10"/>
  <c r="O42" i="10" s="1"/>
  <c r="R42" i="10" s="1"/>
  <c r="N43" i="10"/>
  <c r="O43" i="10"/>
  <c r="R43" i="10" s="1"/>
  <c r="N44" i="10"/>
  <c r="O44" i="10" s="1"/>
  <c r="R44" i="10" s="1"/>
  <c r="N45" i="10"/>
  <c r="O45" i="10"/>
  <c r="R45" i="10" s="1"/>
  <c r="N46" i="10"/>
  <c r="O46" i="10"/>
  <c r="R46" i="10" s="1"/>
  <c r="N47" i="10"/>
  <c r="O47" i="10"/>
  <c r="R47" i="10" s="1"/>
  <c r="N48" i="10"/>
  <c r="O48" i="10" s="1"/>
  <c r="R48" i="10" s="1"/>
  <c r="N49" i="10"/>
  <c r="O49" i="10"/>
  <c r="R49" i="10" s="1"/>
  <c r="N50" i="10"/>
  <c r="O50" i="10" s="1"/>
  <c r="R50" i="10" s="1"/>
  <c r="N51" i="10"/>
  <c r="O51" i="10"/>
  <c r="R51" i="10" s="1"/>
  <c r="N52" i="10"/>
  <c r="O52" i="10"/>
  <c r="R52" i="10" s="1"/>
  <c r="N53" i="10"/>
  <c r="O53" i="10" s="1"/>
  <c r="R53" i="10" s="1"/>
  <c r="N54" i="10"/>
  <c r="O54" i="10" s="1"/>
  <c r="R54" i="10" s="1"/>
  <c r="N55" i="10"/>
  <c r="O55" i="10" s="1"/>
  <c r="R55" i="10" s="1"/>
  <c r="N56" i="10"/>
  <c r="O56" i="10"/>
  <c r="R56" i="10" s="1"/>
  <c r="N57" i="10"/>
  <c r="O57" i="10"/>
  <c r="R57" i="10" s="1"/>
  <c r="N58" i="10"/>
  <c r="O58" i="10" s="1"/>
  <c r="R58" i="10" s="1"/>
  <c r="N59" i="10"/>
  <c r="O59" i="10" s="1"/>
  <c r="R59" i="10" s="1"/>
  <c r="N60" i="10"/>
  <c r="O60" i="10" s="1"/>
  <c r="R60" i="10" s="1"/>
  <c r="N61" i="10"/>
  <c r="O61" i="10" s="1"/>
  <c r="R61" i="10" s="1"/>
  <c r="N62" i="10"/>
  <c r="O62" i="10" s="1"/>
  <c r="R62" i="10" s="1"/>
  <c r="N63" i="10"/>
  <c r="O63" i="10"/>
  <c r="R63" i="10" s="1"/>
  <c r="N64" i="10"/>
  <c r="O64" i="10" s="1"/>
  <c r="R64" i="10" s="1"/>
  <c r="N65" i="10"/>
  <c r="O65" i="10" s="1"/>
  <c r="R65" i="10" s="1"/>
  <c r="N66" i="10"/>
  <c r="O66" i="10"/>
  <c r="R66" i="10" s="1"/>
  <c r="N67" i="10"/>
  <c r="O67" i="10" s="1"/>
  <c r="R67" i="10" s="1"/>
  <c r="N68" i="10"/>
  <c r="O68" i="10"/>
  <c r="R68" i="10" s="1"/>
  <c r="N69" i="10"/>
  <c r="O69" i="10"/>
  <c r="R69" i="10" s="1"/>
  <c r="N70" i="10"/>
  <c r="O70" i="10"/>
  <c r="R70" i="10" s="1"/>
  <c r="N71" i="10"/>
  <c r="O71" i="10" s="1"/>
  <c r="R71" i="10" s="1"/>
  <c r="N72" i="10"/>
  <c r="O72" i="10"/>
  <c r="R72" i="10" s="1"/>
  <c r="N73" i="10"/>
  <c r="O73" i="10" s="1"/>
  <c r="R73" i="10" s="1"/>
  <c r="N74" i="10"/>
  <c r="O74" i="10" s="1"/>
  <c r="R74" i="10" s="1"/>
  <c r="N75" i="10"/>
  <c r="O75" i="10"/>
  <c r="R75" i="10" s="1"/>
  <c r="N76" i="10"/>
  <c r="O76" i="10" s="1"/>
  <c r="R76" i="10" s="1"/>
  <c r="N77" i="10"/>
  <c r="O77" i="10"/>
  <c r="R77" i="10" s="1"/>
  <c r="N78" i="10"/>
  <c r="O78" i="10" s="1"/>
  <c r="R78" i="10" s="1"/>
  <c r="N79" i="10"/>
  <c r="O79" i="10" s="1"/>
  <c r="R79" i="10" s="1"/>
  <c r="N80" i="10"/>
  <c r="O80" i="10"/>
  <c r="R80" i="10" s="1"/>
  <c r="N81" i="10"/>
  <c r="O81" i="10" s="1"/>
  <c r="R81" i="10" s="1"/>
  <c r="N82" i="10"/>
  <c r="O82" i="10" s="1"/>
  <c r="R82" i="10" s="1"/>
  <c r="N83" i="10"/>
  <c r="O83" i="10"/>
  <c r="R83" i="10" s="1"/>
  <c r="N84" i="10"/>
  <c r="O84" i="10" s="1"/>
  <c r="R84" i="10" s="1"/>
  <c r="N85" i="10"/>
  <c r="O85" i="10"/>
  <c r="R85" i="10" s="1"/>
  <c r="N86" i="10"/>
  <c r="O86" i="10" s="1"/>
  <c r="R86" i="10" s="1"/>
  <c r="N87" i="10"/>
  <c r="O87" i="10" s="1"/>
  <c r="R87" i="10" s="1"/>
  <c r="N88" i="10"/>
  <c r="O88" i="10" s="1"/>
  <c r="R88" i="10" s="1"/>
  <c r="N89" i="10"/>
  <c r="O89" i="10" s="1"/>
  <c r="R89" i="10" s="1"/>
  <c r="N90" i="10"/>
  <c r="O90" i="10"/>
  <c r="R90" i="10" s="1"/>
  <c r="N91" i="10"/>
  <c r="O91" i="10"/>
  <c r="R91" i="10" s="1"/>
  <c r="N92" i="10"/>
  <c r="O92" i="10"/>
  <c r="R92" i="10" s="1"/>
  <c r="N93" i="10"/>
  <c r="O93" i="10" s="1"/>
  <c r="R93" i="10" s="1"/>
  <c r="N94" i="10"/>
  <c r="O94" i="10" s="1"/>
  <c r="R94" i="10" s="1"/>
  <c r="N95" i="10"/>
  <c r="O95" i="10"/>
  <c r="R95" i="10" s="1"/>
  <c r="N96" i="10"/>
  <c r="O96" i="10"/>
  <c r="R96" i="10" s="1"/>
  <c r="N97" i="10"/>
  <c r="O97" i="10" s="1"/>
  <c r="R97" i="10" s="1"/>
  <c r="N98" i="10"/>
  <c r="O98" i="10"/>
  <c r="R98" i="10" s="1"/>
  <c r="N99" i="10"/>
  <c r="O99" i="10"/>
  <c r="R99" i="10" s="1"/>
  <c r="N100" i="10"/>
  <c r="O100" i="10"/>
  <c r="R100" i="10" s="1"/>
  <c r="N101" i="10"/>
  <c r="O101" i="10" s="1"/>
  <c r="R101" i="10" s="1"/>
  <c r="N102" i="10"/>
  <c r="O102" i="10"/>
  <c r="R102" i="10" s="1"/>
  <c r="N103" i="10"/>
  <c r="O103" i="10" s="1"/>
  <c r="R103" i="10" s="1"/>
  <c r="N104" i="10"/>
  <c r="O104" i="10"/>
  <c r="R104" i="10" s="1"/>
  <c r="N105" i="10"/>
  <c r="O105" i="10" s="1"/>
  <c r="R105" i="10" s="1"/>
  <c r="N106" i="10"/>
  <c r="O106" i="10"/>
  <c r="R106" i="10" s="1"/>
  <c r="N107" i="10"/>
  <c r="O107" i="10"/>
  <c r="R107" i="10" s="1"/>
  <c r="N108" i="10"/>
  <c r="O108" i="10" s="1"/>
  <c r="R108" i="10" s="1"/>
  <c r="N109" i="10"/>
  <c r="O109" i="10" s="1"/>
  <c r="R109" i="10" s="1"/>
  <c r="N110" i="10"/>
  <c r="O110" i="10" s="1"/>
  <c r="R110" i="10" s="1"/>
  <c r="N111" i="10"/>
  <c r="O111" i="10"/>
  <c r="R111" i="10" s="1"/>
  <c r="N112" i="10"/>
  <c r="O112" i="10" s="1"/>
  <c r="R112" i="10" s="1"/>
  <c r="N113" i="10"/>
  <c r="O113" i="10" s="1"/>
  <c r="R113" i="10" s="1"/>
  <c r="N114" i="10"/>
  <c r="O114" i="10" s="1"/>
  <c r="R114" i="10" s="1"/>
  <c r="N115" i="10"/>
  <c r="O115" i="10"/>
  <c r="R115" i="10" s="1"/>
  <c r="N116" i="10"/>
  <c r="O116" i="10" s="1"/>
  <c r="R116" i="10" s="1"/>
  <c r="N117" i="10"/>
  <c r="O117" i="10"/>
  <c r="R117" i="10" s="1"/>
  <c r="N118" i="10"/>
  <c r="O118" i="10"/>
  <c r="R118" i="10" s="1"/>
  <c r="N119" i="10"/>
  <c r="O119" i="10"/>
  <c r="R119" i="10" s="1"/>
  <c r="N120" i="10"/>
  <c r="O120" i="10"/>
  <c r="R120" i="10" s="1"/>
  <c r="N121" i="10"/>
  <c r="O121" i="10" s="1"/>
  <c r="R121" i="10" s="1"/>
  <c r="N122" i="10"/>
  <c r="O122" i="10"/>
  <c r="R122" i="10" s="1"/>
  <c r="N123" i="10"/>
  <c r="O123" i="10"/>
  <c r="R123" i="10" s="1"/>
  <c r="N124" i="10"/>
  <c r="O124" i="10" s="1"/>
  <c r="R124" i="10" s="1"/>
  <c r="N125" i="10"/>
  <c r="O125" i="10" s="1"/>
  <c r="R125" i="10" s="1"/>
  <c r="N126" i="10"/>
  <c r="O126" i="10" s="1"/>
  <c r="R126" i="10" s="1"/>
  <c r="N127" i="10"/>
  <c r="O127" i="10"/>
  <c r="R127" i="10" s="1"/>
  <c r="N128" i="10"/>
  <c r="O128" i="10"/>
  <c r="R128" i="10" s="1"/>
  <c r="N129" i="10"/>
  <c r="O129" i="10"/>
  <c r="R129" i="10" s="1"/>
  <c r="N130" i="10"/>
  <c r="O130" i="10" s="1"/>
  <c r="R130" i="10" s="1"/>
  <c r="N131" i="10"/>
  <c r="O131" i="10"/>
  <c r="R131" i="10" s="1"/>
  <c r="N132" i="10"/>
  <c r="O132" i="10" s="1"/>
  <c r="R132" i="10" s="1"/>
  <c r="N133" i="10"/>
  <c r="O133" i="10"/>
  <c r="R133" i="10" s="1"/>
  <c r="N134" i="10"/>
  <c r="O134" i="10" s="1"/>
  <c r="R134" i="10" s="1"/>
  <c r="N135" i="10"/>
  <c r="O135" i="10" s="1"/>
  <c r="R135" i="10" s="1"/>
  <c r="N136" i="10"/>
  <c r="O136" i="10"/>
  <c r="R136" i="10" s="1"/>
  <c r="N137" i="10"/>
  <c r="O137" i="10"/>
  <c r="R137" i="10" s="1"/>
  <c r="N138" i="10"/>
  <c r="O138" i="10"/>
  <c r="R138" i="10" s="1"/>
  <c r="N139" i="10"/>
  <c r="O139" i="10"/>
  <c r="R139" i="10" s="1"/>
  <c r="N140" i="10"/>
  <c r="O140" i="10"/>
  <c r="R140" i="10" s="1"/>
  <c r="N141" i="10"/>
  <c r="O141" i="10" s="1"/>
  <c r="R141" i="10" s="1"/>
  <c r="N142" i="10"/>
  <c r="O142" i="10" s="1"/>
  <c r="R142" i="10" s="1"/>
  <c r="N143" i="10"/>
  <c r="O143" i="10"/>
  <c r="R143" i="10" s="1"/>
  <c r="N144" i="10"/>
  <c r="O144" i="10" s="1"/>
  <c r="R144" i="10" s="1"/>
  <c r="N145" i="10"/>
  <c r="O145" i="10"/>
  <c r="R145" i="10" s="1"/>
  <c r="N146" i="10"/>
  <c r="O146" i="10"/>
  <c r="R146" i="10" s="1"/>
  <c r="N147" i="10"/>
  <c r="O147" i="10"/>
  <c r="R147" i="10" s="1"/>
  <c r="N148" i="10"/>
  <c r="O148" i="10"/>
  <c r="R148" i="10" s="1"/>
  <c r="N149" i="10"/>
  <c r="O149" i="10"/>
  <c r="R149" i="10" s="1"/>
  <c r="N150" i="10"/>
  <c r="O150" i="10"/>
  <c r="R150" i="10" s="1"/>
  <c r="N151" i="10"/>
  <c r="O151" i="10" s="1"/>
  <c r="R151" i="10" s="1"/>
  <c r="N152" i="10"/>
  <c r="O152" i="10"/>
  <c r="R152" i="10" s="1"/>
  <c r="N153" i="10"/>
  <c r="O153" i="10" s="1"/>
  <c r="R153" i="10" s="1"/>
  <c r="N154" i="10"/>
  <c r="O154" i="10"/>
  <c r="R154" i="10" s="1"/>
  <c r="N155" i="10"/>
  <c r="O155" i="10" s="1"/>
  <c r="R155" i="10" s="1"/>
  <c r="N156" i="10"/>
  <c r="O156" i="10"/>
  <c r="R156" i="10" s="1"/>
  <c r="N157" i="10"/>
  <c r="O157" i="10" s="1"/>
  <c r="R157" i="10" s="1"/>
  <c r="N158" i="10"/>
  <c r="O158" i="10" s="1"/>
  <c r="R158" i="10" s="1"/>
  <c r="N159" i="10"/>
  <c r="O159" i="10"/>
  <c r="R159" i="10" s="1"/>
  <c r="N160" i="10"/>
  <c r="O160" i="10" s="1"/>
  <c r="R160" i="10" s="1"/>
  <c r="N161" i="10"/>
  <c r="O161" i="10" s="1"/>
  <c r="R161" i="10" s="1"/>
  <c r="N162" i="10"/>
  <c r="O162" i="10"/>
  <c r="R162" i="10" s="1"/>
  <c r="N163" i="10"/>
  <c r="O163" i="10" s="1"/>
  <c r="R163" i="10" s="1"/>
  <c r="N164" i="10"/>
  <c r="O164" i="10" s="1"/>
  <c r="R164" i="10" s="1"/>
  <c r="N169" i="10"/>
  <c r="O169" i="10"/>
  <c r="R169" i="10" s="1"/>
  <c r="N170" i="10"/>
  <c r="O170" i="10"/>
  <c r="R170" i="10" s="1"/>
  <c r="N171" i="10"/>
  <c r="O171" i="10" s="1"/>
  <c r="R171" i="10" s="1"/>
  <c r="N172" i="10"/>
  <c r="O172" i="10" s="1"/>
  <c r="R172" i="10" s="1"/>
  <c r="N173" i="10"/>
  <c r="O173" i="10" s="1"/>
  <c r="R173" i="10" s="1"/>
  <c r="N174" i="10"/>
  <c r="O174" i="10" s="1"/>
  <c r="R174" i="10" s="1"/>
  <c r="N175" i="10"/>
  <c r="O175" i="10"/>
  <c r="R175" i="10" s="1"/>
  <c r="N176" i="10"/>
  <c r="O176" i="10"/>
  <c r="R176" i="10" s="1"/>
  <c r="N177" i="10"/>
  <c r="O177" i="10"/>
  <c r="R177" i="10" s="1"/>
  <c r="N178" i="10"/>
  <c r="O178" i="10" s="1"/>
  <c r="R178" i="10" s="1"/>
  <c r="N179" i="10"/>
  <c r="O179" i="10"/>
  <c r="R179" i="10" s="1"/>
  <c r="N180" i="10"/>
  <c r="O180" i="10"/>
  <c r="R180" i="10" s="1"/>
  <c r="N181" i="10"/>
  <c r="O181" i="10" s="1"/>
  <c r="R181" i="10" s="1"/>
  <c r="N182" i="10"/>
  <c r="O182" i="10" s="1"/>
  <c r="R182" i="10" s="1"/>
  <c r="N183" i="10"/>
  <c r="O183" i="10"/>
  <c r="R183" i="10" s="1"/>
  <c r="N184" i="10"/>
  <c r="O184" i="10" s="1"/>
  <c r="R184" i="10" s="1"/>
  <c r="N185" i="10"/>
  <c r="O185" i="10" s="1"/>
  <c r="R185" i="10" s="1"/>
  <c r="N186" i="10"/>
  <c r="O186" i="10" s="1"/>
  <c r="R186" i="10" s="1"/>
  <c r="N187" i="10"/>
  <c r="O187" i="10" s="1"/>
  <c r="R187" i="10" s="1"/>
  <c r="N188" i="10"/>
  <c r="O188" i="10" s="1"/>
  <c r="R188" i="10" s="1"/>
  <c r="N189" i="10"/>
  <c r="O189" i="10" s="1"/>
  <c r="R189" i="10" s="1"/>
  <c r="N190" i="10"/>
  <c r="O190" i="10" s="1"/>
  <c r="R190" i="10" s="1"/>
  <c r="N191" i="10"/>
  <c r="O191" i="10" s="1"/>
  <c r="R191" i="10" s="1"/>
  <c r="N192" i="10"/>
  <c r="O192" i="10"/>
  <c r="R192" i="10" s="1"/>
  <c r="N193" i="10"/>
  <c r="O193" i="10"/>
  <c r="R193" i="10" s="1"/>
  <c r="N194" i="10"/>
  <c r="O194" i="10" s="1"/>
  <c r="R194" i="10" s="1"/>
  <c r="N195" i="10"/>
  <c r="O195" i="10"/>
  <c r="R195" i="10" s="1"/>
  <c r="N196" i="10"/>
  <c r="O196" i="10" s="1"/>
  <c r="R196" i="10" s="1"/>
  <c r="N197" i="10"/>
  <c r="O197" i="10"/>
  <c r="R197" i="10" s="1"/>
  <c r="N198" i="10"/>
  <c r="O198" i="10" s="1"/>
  <c r="R198" i="10" s="1"/>
  <c r="N199" i="10"/>
  <c r="O199" i="10" s="1"/>
  <c r="R199" i="10" s="1"/>
  <c r="N200" i="10"/>
  <c r="O200" i="10" s="1"/>
  <c r="R200" i="10" s="1"/>
  <c r="N201" i="10"/>
  <c r="O201" i="10"/>
  <c r="R201" i="10" s="1"/>
  <c r="N202" i="10"/>
  <c r="O202" i="10" s="1"/>
  <c r="R202" i="10" s="1"/>
  <c r="N203" i="10"/>
  <c r="O203" i="10"/>
  <c r="R203" i="10" s="1"/>
  <c r="N204" i="10"/>
  <c r="O204" i="10"/>
  <c r="R204" i="10" s="1"/>
  <c r="N205" i="10"/>
  <c r="O205" i="10" s="1"/>
  <c r="R205" i="10" s="1"/>
  <c r="N206" i="10"/>
  <c r="O206" i="10" s="1"/>
  <c r="R206" i="10" s="1"/>
  <c r="N207" i="10"/>
  <c r="O207" i="10" s="1"/>
  <c r="R207" i="10" s="1"/>
  <c r="N208" i="10"/>
  <c r="O208" i="10"/>
  <c r="R208" i="10" s="1"/>
  <c r="N209" i="10"/>
  <c r="O209" i="10"/>
  <c r="R209" i="10" s="1"/>
  <c r="N210" i="10"/>
  <c r="O210" i="10" s="1"/>
  <c r="R210" i="10" s="1"/>
  <c r="N211" i="10"/>
  <c r="O211" i="10" s="1"/>
  <c r="R211" i="10" s="1"/>
  <c r="N212" i="10"/>
  <c r="O212" i="10"/>
  <c r="R212" i="10" s="1"/>
  <c r="N213" i="10"/>
  <c r="O213" i="10" s="1"/>
  <c r="R213" i="10" s="1"/>
  <c r="N214" i="10"/>
  <c r="O214" i="10" s="1"/>
  <c r="R214" i="10" s="1"/>
  <c r="N215" i="10"/>
  <c r="O215" i="10" s="1"/>
  <c r="R215" i="10" s="1"/>
  <c r="N216" i="10"/>
  <c r="O216" i="10"/>
  <c r="R216" i="10" s="1"/>
  <c r="N217" i="10"/>
  <c r="O217" i="10"/>
  <c r="R217" i="10" s="1"/>
  <c r="N218" i="10"/>
  <c r="O218" i="10" s="1"/>
  <c r="R218" i="10" s="1"/>
  <c r="N219" i="10"/>
  <c r="O219" i="10" s="1"/>
  <c r="R219" i="10" s="1"/>
  <c r="N220" i="10"/>
  <c r="O220" i="10" s="1"/>
  <c r="R220" i="10" s="1"/>
  <c r="N221" i="10"/>
  <c r="O221" i="10"/>
  <c r="R221" i="10" s="1"/>
  <c r="N222" i="10"/>
  <c r="O222" i="10"/>
  <c r="R222" i="10" s="1"/>
  <c r="N223" i="10"/>
  <c r="O223" i="10" s="1"/>
  <c r="R223" i="10" s="1"/>
  <c r="N224" i="10"/>
  <c r="O224" i="10"/>
  <c r="R224" i="10" s="1"/>
  <c r="N225" i="10"/>
  <c r="O225" i="10" s="1"/>
  <c r="R225" i="10" s="1"/>
  <c r="N226" i="10"/>
  <c r="O226" i="10"/>
  <c r="R226" i="10" s="1"/>
  <c r="N227" i="10"/>
  <c r="O227" i="10"/>
  <c r="R227" i="10" s="1"/>
  <c r="N228" i="10"/>
  <c r="O228" i="10"/>
  <c r="R228" i="10" s="1"/>
  <c r="N229" i="10"/>
  <c r="O229" i="10" s="1"/>
  <c r="R229" i="10" s="1"/>
  <c r="N230" i="10"/>
  <c r="O230" i="10"/>
  <c r="R230" i="10" s="1"/>
  <c r="N231" i="10"/>
  <c r="O231" i="10" s="1"/>
  <c r="R231" i="10" s="1"/>
  <c r="N232" i="10"/>
  <c r="O232" i="10"/>
  <c r="R232" i="10" s="1"/>
  <c r="N233" i="10"/>
  <c r="O233" i="10" s="1"/>
  <c r="R233" i="10" s="1"/>
  <c r="N234" i="10"/>
  <c r="O234" i="10"/>
  <c r="R234" i="10" s="1"/>
  <c r="N235" i="10"/>
  <c r="O235" i="10" s="1"/>
  <c r="R235" i="10" s="1"/>
  <c r="N236" i="10"/>
  <c r="O236" i="10"/>
  <c r="R236" i="10" s="1"/>
  <c r="N237" i="10"/>
  <c r="O237" i="10"/>
  <c r="R237" i="10" s="1"/>
  <c r="N238" i="10"/>
  <c r="O238" i="10"/>
  <c r="R238" i="10" s="1"/>
  <c r="N239" i="10"/>
  <c r="O239" i="10" s="1"/>
  <c r="R239" i="10" s="1"/>
  <c r="N240" i="10"/>
  <c r="O240" i="10"/>
  <c r="R240" i="10" s="1"/>
  <c r="N241" i="10"/>
  <c r="O241" i="10" s="1"/>
  <c r="R241" i="10" s="1"/>
  <c r="N242" i="10"/>
  <c r="O242" i="10"/>
  <c r="R242" i="10" s="1"/>
  <c r="N243" i="10"/>
  <c r="O243" i="10"/>
  <c r="R243" i="10" s="1"/>
  <c r="N244" i="10"/>
  <c r="O244" i="10"/>
  <c r="R244" i="10" s="1"/>
  <c r="N245" i="10"/>
  <c r="O245" i="10"/>
  <c r="R245" i="10" s="1"/>
  <c r="N246" i="10"/>
  <c r="O246" i="10"/>
  <c r="R246" i="10" s="1"/>
  <c r="N247" i="10"/>
  <c r="O247" i="10"/>
  <c r="R247" i="10" s="1"/>
  <c r="N248" i="10"/>
  <c r="O248" i="10"/>
  <c r="R248" i="10" s="1"/>
  <c r="N249" i="10"/>
  <c r="O249" i="10"/>
  <c r="R249" i="10" s="1"/>
  <c r="N250" i="10"/>
  <c r="O250" i="10"/>
  <c r="R250" i="10" s="1"/>
  <c r="N251" i="10"/>
  <c r="O251" i="10"/>
  <c r="R251" i="10" s="1"/>
  <c r="N252" i="10"/>
  <c r="O252" i="10"/>
  <c r="R252" i="10" s="1"/>
  <c r="N253" i="10"/>
  <c r="O253" i="10"/>
  <c r="R253" i="10" s="1"/>
  <c r="N254" i="10"/>
  <c r="O254" i="10"/>
  <c r="R254" i="10" s="1"/>
  <c r="N255" i="10"/>
  <c r="O255" i="10"/>
  <c r="R255" i="10" s="1"/>
  <c r="N256" i="10"/>
  <c r="O256" i="10" s="1"/>
  <c r="R256" i="10" s="1"/>
  <c r="N257" i="10"/>
  <c r="O257" i="10"/>
  <c r="R257" i="10" s="1"/>
  <c r="N258" i="10"/>
  <c r="O258" i="10"/>
  <c r="R258" i="10" s="1"/>
  <c r="N259" i="10"/>
  <c r="O259" i="10"/>
  <c r="R259" i="10" s="1"/>
  <c r="N260" i="10"/>
  <c r="O260" i="10"/>
  <c r="R260" i="10" s="1"/>
  <c r="N261" i="10"/>
  <c r="O261" i="10"/>
  <c r="R261" i="10" s="1"/>
  <c r="N262" i="10"/>
  <c r="O262" i="10"/>
  <c r="R262" i="10" s="1"/>
  <c r="N263" i="10"/>
  <c r="O263" i="10" s="1"/>
  <c r="R263" i="10" s="1"/>
  <c r="N264" i="10"/>
  <c r="O264" i="10" s="1"/>
  <c r="R264" i="10" s="1"/>
  <c r="N265" i="10"/>
  <c r="O265" i="10"/>
  <c r="R265" i="10" s="1"/>
  <c r="N266" i="10"/>
  <c r="O266" i="10"/>
  <c r="R266" i="10" s="1"/>
  <c r="N267" i="10"/>
  <c r="O267" i="10"/>
  <c r="R267" i="10" s="1"/>
  <c r="N268" i="10"/>
  <c r="O268" i="10"/>
  <c r="R268" i="10" s="1"/>
  <c r="N269" i="10"/>
  <c r="O269" i="10"/>
  <c r="R269" i="10" s="1"/>
  <c r="N270" i="10"/>
  <c r="O270" i="10"/>
  <c r="R270" i="10" s="1"/>
  <c r="N271" i="10"/>
  <c r="O271" i="10"/>
  <c r="R271" i="10" s="1"/>
  <c r="N272" i="10"/>
  <c r="O272" i="10"/>
  <c r="R272" i="10" s="1"/>
  <c r="N273" i="10"/>
  <c r="O273" i="10"/>
  <c r="R273" i="10" s="1"/>
  <c r="N274" i="10"/>
  <c r="O274" i="10"/>
  <c r="R274" i="10" s="1"/>
  <c r="N275" i="10"/>
  <c r="O275" i="10"/>
  <c r="R275" i="10" s="1"/>
  <c r="N276" i="10"/>
  <c r="O276" i="10"/>
  <c r="R276" i="10" s="1"/>
  <c r="N277" i="10"/>
  <c r="O277" i="10"/>
  <c r="R277" i="10" s="1"/>
  <c r="N278" i="10"/>
  <c r="O278" i="10"/>
  <c r="R278" i="10" s="1"/>
  <c r="N279" i="10"/>
  <c r="O279" i="10"/>
  <c r="R279" i="10" s="1"/>
  <c r="N280" i="10"/>
  <c r="O280" i="10" s="1"/>
  <c r="R280" i="10" s="1"/>
  <c r="N281" i="10"/>
  <c r="O281" i="10"/>
  <c r="R281" i="10" s="1"/>
  <c r="N282" i="10"/>
  <c r="O282" i="10" s="1"/>
  <c r="R282" i="10" s="1"/>
  <c r="N283" i="10"/>
  <c r="O283" i="10"/>
  <c r="R283" i="10" s="1"/>
  <c r="N284" i="10"/>
  <c r="O284" i="10"/>
  <c r="R284" i="10" s="1"/>
  <c r="N285" i="10"/>
  <c r="O285" i="10" s="1"/>
  <c r="R285" i="10" s="1"/>
  <c r="N286" i="10"/>
  <c r="O286" i="10" s="1"/>
  <c r="R286" i="10" s="1"/>
  <c r="N287" i="10"/>
  <c r="O287" i="10" s="1"/>
  <c r="R287" i="10" s="1"/>
  <c r="N288" i="10"/>
  <c r="O288" i="10" s="1"/>
  <c r="R288" i="10" s="1"/>
  <c r="N289" i="10"/>
  <c r="O289" i="10"/>
  <c r="R289" i="10" s="1"/>
  <c r="N290" i="10"/>
  <c r="O290" i="10"/>
  <c r="R290" i="10" s="1"/>
  <c r="N291" i="10"/>
  <c r="O291" i="10"/>
  <c r="R291" i="10" s="1"/>
  <c r="N292" i="10"/>
  <c r="O292" i="10"/>
  <c r="R292" i="10" s="1"/>
  <c r="N293" i="10"/>
  <c r="O293" i="10"/>
  <c r="R293" i="10" s="1"/>
  <c r="N294" i="10"/>
  <c r="O294" i="10"/>
  <c r="R294" i="10" s="1"/>
  <c r="N295" i="10"/>
  <c r="O295" i="10"/>
  <c r="R295" i="10" s="1"/>
  <c r="N296" i="10"/>
  <c r="O296" i="10"/>
  <c r="R296" i="10" s="1"/>
  <c r="N297" i="10"/>
  <c r="O297" i="10"/>
  <c r="R297" i="10" s="1"/>
  <c r="N298" i="10"/>
  <c r="O298" i="10"/>
  <c r="R298" i="10" s="1"/>
  <c r="N299" i="10"/>
  <c r="O299" i="10"/>
  <c r="R299" i="10" s="1"/>
  <c r="N300" i="10"/>
  <c r="O300" i="10"/>
  <c r="R300" i="10" s="1"/>
  <c r="N301" i="10"/>
  <c r="O301" i="10"/>
  <c r="R301" i="10" s="1"/>
  <c r="N302" i="10"/>
  <c r="O302" i="10"/>
  <c r="R302" i="10" s="1"/>
  <c r="N303" i="10"/>
  <c r="O303" i="10"/>
  <c r="R303" i="10" s="1"/>
  <c r="N304" i="10"/>
  <c r="O304" i="10"/>
  <c r="R304" i="10" s="1"/>
  <c r="N305" i="10"/>
  <c r="O305" i="10"/>
  <c r="R305" i="10" s="1"/>
  <c r="N306" i="10"/>
  <c r="O306" i="10"/>
  <c r="R306" i="10" s="1"/>
  <c r="N307" i="10"/>
  <c r="O307" i="10"/>
  <c r="R307" i="10" s="1"/>
  <c r="N308" i="10"/>
  <c r="O308" i="10"/>
  <c r="R308" i="10" s="1"/>
  <c r="N309" i="10"/>
  <c r="O309" i="10"/>
  <c r="R309" i="10" s="1"/>
  <c r="N310" i="10"/>
  <c r="O310" i="10"/>
  <c r="R310" i="10" s="1"/>
  <c r="N311" i="10"/>
  <c r="O311" i="10"/>
  <c r="R311" i="10" s="1"/>
  <c r="N312" i="10"/>
  <c r="O312" i="10" s="1"/>
  <c r="R312" i="10" s="1"/>
  <c r="N313" i="10"/>
  <c r="O313" i="10" s="1"/>
  <c r="R313" i="10" s="1"/>
  <c r="N314" i="10"/>
  <c r="O314" i="10"/>
  <c r="R314" i="10" s="1"/>
  <c r="N315" i="10"/>
  <c r="O315" i="10"/>
  <c r="R315" i="10" s="1"/>
  <c r="N316" i="10"/>
  <c r="O316" i="10"/>
  <c r="R316" i="10" s="1"/>
  <c r="N317" i="10"/>
  <c r="O317" i="10"/>
  <c r="R317" i="10" s="1"/>
  <c r="N318" i="10"/>
  <c r="O318" i="10"/>
  <c r="R318" i="10" s="1"/>
  <c r="N319" i="10"/>
  <c r="O319" i="10"/>
  <c r="R319" i="10" s="1"/>
  <c r="N320" i="10"/>
  <c r="O320" i="10"/>
  <c r="R320" i="10" s="1"/>
  <c r="N321" i="10"/>
  <c r="O321" i="10"/>
  <c r="R321" i="10" s="1"/>
  <c r="N322" i="10"/>
  <c r="O322" i="10"/>
  <c r="R322" i="10" s="1"/>
  <c r="N323" i="10"/>
  <c r="O323" i="10"/>
  <c r="R323" i="10" s="1"/>
  <c r="N324" i="10"/>
  <c r="O324" i="10"/>
  <c r="R324" i="10" s="1"/>
  <c r="N325" i="10"/>
  <c r="O325" i="10"/>
  <c r="R325" i="10" s="1"/>
  <c r="N326" i="10"/>
  <c r="O326" i="10"/>
  <c r="R326" i="10" s="1"/>
  <c r="N327" i="10"/>
  <c r="O327" i="10"/>
  <c r="R327" i="10" s="1"/>
  <c r="N328" i="10"/>
  <c r="O328" i="10"/>
  <c r="R328" i="10" s="1"/>
  <c r="N329" i="10"/>
  <c r="O329" i="10"/>
  <c r="R329" i="10" s="1"/>
  <c r="N330" i="10"/>
  <c r="O330" i="10"/>
  <c r="R330" i="10" s="1"/>
  <c r="N331" i="10"/>
  <c r="O331" i="10"/>
  <c r="R331" i="10" s="1"/>
  <c r="N332" i="10"/>
  <c r="O332" i="10"/>
  <c r="R332" i="10" s="1"/>
  <c r="N333" i="10"/>
  <c r="O333" i="10" s="1"/>
  <c r="R333" i="10" s="1"/>
  <c r="N334" i="10"/>
  <c r="O334" i="10"/>
  <c r="R334" i="10" s="1"/>
  <c r="N335" i="10"/>
  <c r="O335" i="10"/>
  <c r="R335" i="10" s="1"/>
  <c r="N349" i="10"/>
  <c r="O349" i="10"/>
  <c r="R349" i="10" s="1"/>
  <c r="N350" i="10"/>
  <c r="O350" i="10"/>
  <c r="R350" i="10" s="1"/>
  <c r="N351" i="10"/>
  <c r="O351" i="10"/>
  <c r="R351" i="10" s="1"/>
  <c r="N352" i="10"/>
  <c r="O352" i="10"/>
  <c r="R352" i="10" s="1"/>
  <c r="N353" i="10"/>
  <c r="O353" i="10"/>
  <c r="R353" i="10" s="1"/>
  <c r="N354" i="10"/>
  <c r="O354" i="10"/>
  <c r="R354" i="10" s="1"/>
  <c r="N355" i="10"/>
  <c r="O355" i="10"/>
  <c r="R355" i="10" s="1"/>
  <c r="N356" i="10"/>
  <c r="O356" i="10"/>
  <c r="R356" i="10" s="1"/>
  <c r="N357" i="10"/>
  <c r="O357" i="10"/>
  <c r="R357" i="10" s="1"/>
  <c r="N358" i="10"/>
  <c r="O358" i="10"/>
  <c r="R358" i="10" s="1"/>
  <c r="N359" i="10"/>
  <c r="O359" i="10" s="1"/>
  <c r="R359" i="10" s="1"/>
  <c r="N360" i="10"/>
  <c r="O360" i="10"/>
  <c r="R360" i="10" s="1"/>
  <c r="N361" i="10"/>
  <c r="O361" i="10" s="1"/>
  <c r="R361" i="10" s="1"/>
  <c r="N362" i="10"/>
  <c r="O362" i="10" s="1"/>
  <c r="R362" i="10" s="1"/>
  <c r="N363" i="10"/>
  <c r="O363" i="10" s="1"/>
  <c r="R363" i="10" s="1"/>
  <c r="N364" i="10"/>
  <c r="O364" i="10"/>
  <c r="R364" i="10" s="1"/>
  <c r="N365" i="10"/>
  <c r="O365" i="10"/>
  <c r="R365" i="10" s="1"/>
  <c r="N366" i="10"/>
  <c r="O366" i="10"/>
  <c r="R366" i="10" s="1"/>
  <c r="N367" i="10"/>
  <c r="O367" i="10"/>
  <c r="R367" i="10" s="1"/>
  <c r="N368" i="10"/>
  <c r="O368" i="10"/>
  <c r="R368" i="10" s="1"/>
  <c r="N369" i="10"/>
  <c r="O369" i="10"/>
  <c r="R369" i="10" s="1"/>
  <c r="N370" i="10"/>
  <c r="O370" i="10"/>
  <c r="R370" i="10" s="1"/>
  <c r="N371" i="10"/>
  <c r="O371" i="10"/>
  <c r="R371" i="10" s="1"/>
  <c r="N372" i="10"/>
  <c r="O372" i="10"/>
  <c r="R372" i="10" s="1"/>
  <c r="N373" i="10"/>
  <c r="O373" i="10"/>
  <c r="R373" i="10" s="1"/>
  <c r="N374" i="10"/>
  <c r="O374" i="10"/>
  <c r="R374" i="10" s="1"/>
  <c r="N375" i="10"/>
  <c r="O375" i="10"/>
  <c r="R375" i="10" s="1"/>
  <c r="N376" i="10"/>
  <c r="O376" i="10"/>
  <c r="R376" i="10" s="1"/>
  <c r="N377" i="10"/>
  <c r="O377" i="10"/>
  <c r="R377" i="10" s="1"/>
  <c r="N378" i="10"/>
  <c r="O378" i="10"/>
  <c r="R378" i="10" s="1"/>
  <c r="N379" i="10"/>
  <c r="O379" i="10"/>
  <c r="R379" i="10" s="1"/>
  <c r="N380" i="10"/>
  <c r="O380" i="10"/>
  <c r="R380" i="10" s="1"/>
  <c r="N381" i="10"/>
  <c r="O381" i="10"/>
  <c r="R381" i="10" s="1"/>
  <c r="N382" i="10"/>
  <c r="O382" i="10" s="1"/>
  <c r="R382" i="10" s="1"/>
  <c r="N383" i="10"/>
  <c r="O383" i="10"/>
  <c r="R383" i="10" s="1"/>
  <c r="N384" i="10"/>
  <c r="O384" i="10"/>
  <c r="R384" i="10" s="1"/>
  <c r="N385" i="10"/>
  <c r="O385" i="10"/>
  <c r="R385" i="10" s="1"/>
  <c r="N386" i="10"/>
  <c r="O386" i="10"/>
  <c r="R386" i="10" s="1"/>
  <c r="N387" i="10"/>
  <c r="O387" i="10"/>
  <c r="R387" i="10" s="1"/>
  <c r="N388" i="10"/>
  <c r="O388" i="10"/>
  <c r="R388" i="10" s="1"/>
  <c r="N389" i="10"/>
  <c r="O389" i="10"/>
  <c r="R389" i="10" s="1"/>
  <c r="N390" i="10"/>
  <c r="O390" i="10"/>
  <c r="R390" i="10" s="1"/>
  <c r="N391" i="10"/>
  <c r="O391" i="10"/>
  <c r="R391" i="10" s="1"/>
  <c r="N392" i="10"/>
  <c r="O392" i="10"/>
  <c r="R392" i="10" s="1"/>
  <c r="N393" i="10"/>
  <c r="O393" i="10"/>
  <c r="R393" i="10" s="1"/>
  <c r="N394" i="10"/>
  <c r="O394" i="10"/>
  <c r="R394" i="10" s="1"/>
  <c r="N395" i="10"/>
  <c r="O395" i="10"/>
  <c r="R395" i="10" s="1"/>
  <c r="N396" i="10"/>
  <c r="O396" i="10"/>
  <c r="R396" i="10" s="1"/>
  <c r="N397" i="10"/>
  <c r="O397" i="10"/>
  <c r="R397" i="10" s="1"/>
  <c r="N398" i="10"/>
  <c r="O398" i="10"/>
  <c r="R398" i="10" s="1"/>
  <c r="N399" i="10"/>
  <c r="O399" i="10"/>
  <c r="R399" i="10" s="1"/>
  <c r="N400" i="10"/>
  <c r="O400" i="10"/>
  <c r="R400" i="10" s="1"/>
  <c r="N401" i="10"/>
  <c r="O401" i="10"/>
  <c r="R401" i="10" s="1"/>
  <c r="N402" i="10"/>
  <c r="O402" i="10"/>
  <c r="R402" i="10" s="1"/>
  <c r="N403" i="10"/>
  <c r="O403" i="10"/>
  <c r="R403" i="10" s="1"/>
  <c r="N404" i="10"/>
  <c r="O404" i="10"/>
  <c r="R404" i="10" s="1"/>
  <c r="N405" i="10"/>
  <c r="O405" i="10"/>
  <c r="R405" i="10" s="1"/>
  <c r="N406" i="10"/>
  <c r="O406" i="10"/>
  <c r="R406" i="10" s="1"/>
  <c r="N407" i="10"/>
  <c r="O407" i="10"/>
  <c r="R407" i="10" s="1"/>
  <c r="N408" i="10"/>
  <c r="O408" i="10"/>
  <c r="R408" i="10" s="1"/>
  <c r="N409" i="10"/>
  <c r="O409" i="10"/>
  <c r="R409" i="10" s="1"/>
  <c r="N410" i="10"/>
  <c r="O410" i="10"/>
  <c r="R410" i="10" s="1"/>
  <c r="N411" i="10"/>
  <c r="O411" i="10"/>
  <c r="R411" i="10" s="1"/>
  <c r="N412" i="10"/>
  <c r="O412" i="10"/>
  <c r="R412" i="10" s="1"/>
  <c r="N413" i="10"/>
  <c r="O413" i="10"/>
  <c r="R413" i="10" s="1"/>
  <c r="N414" i="10"/>
  <c r="O414" i="10"/>
  <c r="R414" i="10" s="1"/>
  <c r="N415" i="10"/>
  <c r="O415" i="10"/>
  <c r="R415" i="10" s="1"/>
  <c r="N416" i="10"/>
  <c r="O416" i="10"/>
  <c r="R416" i="10" s="1"/>
  <c r="N417" i="10"/>
  <c r="O417" i="10"/>
  <c r="R417" i="10" s="1"/>
  <c r="N418" i="10"/>
  <c r="O418" i="10"/>
  <c r="R418" i="10" s="1"/>
  <c r="N419" i="10"/>
  <c r="O419" i="10"/>
  <c r="R419" i="10" s="1"/>
  <c r="N420" i="10"/>
  <c r="O420" i="10"/>
  <c r="R420" i="10" s="1"/>
  <c r="N421" i="10"/>
  <c r="O421" i="10"/>
  <c r="R421" i="10" s="1"/>
  <c r="N422" i="10"/>
  <c r="O422" i="10" s="1"/>
  <c r="R422" i="10" s="1"/>
  <c r="N423" i="10"/>
  <c r="O423" i="10" s="1"/>
  <c r="R423" i="10" s="1"/>
  <c r="N424" i="10"/>
  <c r="O424" i="10"/>
  <c r="R424" i="10" s="1"/>
  <c r="N425" i="10"/>
  <c r="O425" i="10" s="1"/>
  <c r="R425" i="10" s="1"/>
  <c r="N426" i="10"/>
  <c r="O426" i="10"/>
  <c r="R426" i="10" s="1"/>
  <c r="N427" i="10"/>
  <c r="O427" i="10"/>
  <c r="R427" i="10" s="1"/>
  <c r="N428" i="10"/>
  <c r="O428" i="10" s="1"/>
  <c r="R428" i="10" s="1"/>
  <c r="N429" i="10"/>
  <c r="O429" i="10" s="1"/>
  <c r="R429" i="10" s="1"/>
  <c r="N430" i="10"/>
  <c r="O430" i="10"/>
  <c r="R430" i="10" s="1"/>
  <c r="N431" i="10"/>
  <c r="O431" i="10"/>
  <c r="R431" i="10" s="1"/>
  <c r="N432" i="10"/>
  <c r="O432" i="10" s="1"/>
  <c r="R432" i="10" s="1"/>
  <c r="N433" i="10"/>
  <c r="O433" i="10"/>
  <c r="R433" i="10" s="1"/>
  <c r="N434" i="10"/>
  <c r="O434" i="10" s="1"/>
  <c r="R434" i="10" s="1"/>
  <c r="N435" i="10"/>
  <c r="O435" i="10"/>
  <c r="R435" i="10" s="1"/>
  <c r="N436" i="10"/>
  <c r="O436" i="10"/>
  <c r="R436" i="10" s="1"/>
  <c r="N437" i="10"/>
  <c r="O437" i="10"/>
  <c r="R437" i="10" s="1"/>
  <c r="N438" i="10"/>
  <c r="O438" i="10" s="1"/>
  <c r="R438" i="10" s="1"/>
  <c r="N439" i="10"/>
  <c r="O439" i="10"/>
  <c r="R439" i="10" s="1"/>
  <c r="N440" i="10"/>
  <c r="O440" i="10"/>
  <c r="R440" i="10" s="1"/>
  <c r="N441" i="10"/>
  <c r="O441" i="10"/>
  <c r="R441" i="10" s="1"/>
  <c r="N442" i="10"/>
  <c r="O442" i="10" s="1"/>
  <c r="R442" i="10" s="1"/>
  <c r="N443" i="10"/>
  <c r="O443" i="10"/>
  <c r="R443" i="10" s="1"/>
  <c r="N444" i="10"/>
  <c r="O444" i="10" s="1"/>
  <c r="R444" i="10" s="1"/>
  <c r="N445" i="10"/>
  <c r="O445" i="10" s="1"/>
  <c r="R445" i="10" s="1"/>
  <c r="N446" i="10"/>
  <c r="O446" i="10"/>
  <c r="R446" i="10" s="1"/>
  <c r="N447" i="10"/>
  <c r="O447" i="10"/>
  <c r="R447" i="10" s="1"/>
  <c r="N448" i="10"/>
  <c r="O448" i="10" s="1"/>
  <c r="R448" i="10" s="1"/>
  <c r="N449" i="10"/>
  <c r="O449" i="10" s="1"/>
  <c r="R449" i="10" s="1"/>
  <c r="N450" i="10"/>
  <c r="O450" i="10"/>
  <c r="R450" i="10" s="1"/>
  <c r="N451" i="10"/>
  <c r="O451" i="10"/>
  <c r="R451" i="10" s="1"/>
  <c r="N452" i="10"/>
  <c r="O452" i="10"/>
  <c r="R452" i="10" s="1"/>
  <c r="N453" i="10"/>
  <c r="O453" i="10" s="1"/>
  <c r="R453" i="10" s="1"/>
  <c r="N454" i="10"/>
  <c r="O454" i="10" s="1"/>
  <c r="R454" i="10" s="1"/>
  <c r="N455" i="10"/>
  <c r="O455" i="10"/>
  <c r="R455" i="10" s="1"/>
  <c r="N456" i="10"/>
  <c r="O456" i="10" s="1"/>
  <c r="R456" i="10" s="1"/>
  <c r="N457" i="10"/>
  <c r="O457" i="10"/>
  <c r="R457" i="10" s="1"/>
  <c r="N458" i="10"/>
  <c r="O458" i="10" s="1"/>
  <c r="R458" i="10" s="1"/>
  <c r="N459" i="10"/>
  <c r="O459" i="10" s="1"/>
  <c r="R459" i="10" s="1"/>
  <c r="N460" i="10"/>
  <c r="O460" i="10"/>
  <c r="R460" i="10" s="1"/>
  <c r="N461" i="10"/>
  <c r="O461" i="10" s="1"/>
  <c r="R461" i="10" s="1"/>
  <c r="N462" i="10"/>
  <c r="O462" i="10"/>
  <c r="R462" i="10" s="1"/>
  <c r="N463" i="10"/>
  <c r="O463" i="10" s="1"/>
  <c r="R463" i="10" s="1"/>
  <c r="N464" i="10"/>
  <c r="O464" i="10"/>
  <c r="R464" i="10" s="1"/>
  <c r="N465" i="10"/>
  <c r="O465" i="10" s="1"/>
  <c r="R465" i="10" s="1"/>
  <c r="N466" i="10"/>
  <c r="O466" i="10"/>
  <c r="R466" i="10" s="1"/>
  <c r="N467" i="10"/>
  <c r="O467" i="10"/>
  <c r="R467" i="10" s="1"/>
  <c r="N468" i="10"/>
  <c r="O468" i="10" s="1"/>
  <c r="R468" i="10" s="1"/>
  <c r="N469" i="10"/>
  <c r="O469" i="10" s="1"/>
  <c r="R469" i="10" s="1"/>
  <c r="N470" i="10"/>
  <c r="O470" i="10"/>
  <c r="R470" i="10" s="1"/>
  <c r="N471" i="10"/>
  <c r="O471" i="10"/>
  <c r="R471" i="10" s="1"/>
  <c r="N472" i="10"/>
  <c r="O472" i="10" s="1"/>
  <c r="R472" i="10" s="1"/>
  <c r="N473" i="10"/>
  <c r="O473" i="10" s="1"/>
  <c r="R473" i="10" s="1"/>
  <c r="N474" i="10"/>
  <c r="O474" i="10"/>
  <c r="R474" i="10" s="1"/>
  <c r="N475" i="10"/>
  <c r="O475" i="10" s="1"/>
  <c r="R475" i="10" s="1"/>
  <c r="N476" i="10"/>
  <c r="O476" i="10" s="1"/>
  <c r="R476" i="10" s="1"/>
  <c r="N477" i="10"/>
  <c r="O477" i="10" s="1"/>
  <c r="R477" i="10" s="1"/>
  <c r="N478" i="10"/>
  <c r="O478" i="10" s="1"/>
  <c r="R478" i="10" s="1"/>
  <c r="N479" i="10"/>
  <c r="O479" i="10"/>
  <c r="R479" i="10" s="1"/>
  <c r="N480" i="10"/>
  <c r="O480" i="10" s="1"/>
  <c r="R480" i="10" s="1"/>
  <c r="N481" i="10"/>
  <c r="O481" i="10" s="1"/>
  <c r="R481" i="10" s="1"/>
  <c r="N482" i="10"/>
  <c r="O482" i="10"/>
  <c r="R482" i="10" s="1"/>
  <c r="N483" i="10"/>
  <c r="O483" i="10" s="1"/>
  <c r="R483" i="10" s="1"/>
  <c r="N484" i="10"/>
  <c r="O484" i="10"/>
  <c r="R484" i="10" s="1"/>
  <c r="N485" i="10"/>
  <c r="O485" i="10"/>
  <c r="R485" i="10" s="1"/>
  <c r="N486" i="10"/>
  <c r="O486" i="10"/>
  <c r="R486" i="10" s="1"/>
  <c r="N487" i="10"/>
  <c r="O487" i="10"/>
  <c r="R487" i="10" s="1"/>
  <c r="N488" i="10"/>
  <c r="O488" i="10" s="1"/>
  <c r="R488" i="10" s="1"/>
  <c r="N489" i="10"/>
  <c r="O489" i="10" s="1"/>
  <c r="R489" i="10" s="1"/>
  <c r="N490" i="10"/>
  <c r="O490" i="10" s="1"/>
  <c r="R490" i="10" s="1"/>
  <c r="N491" i="10"/>
  <c r="O491" i="10" s="1"/>
  <c r="R491" i="10" s="1"/>
  <c r="N492" i="10"/>
  <c r="O492" i="10" s="1"/>
  <c r="R492" i="10" s="1"/>
  <c r="N493" i="10"/>
  <c r="O493" i="10"/>
  <c r="R493" i="10" s="1"/>
  <c r="N494" i="10"/>
  <c r="O494" i="10"/>
  <c r="R494" i="10" s="1"/>
  <c r="N495" i="10"/>
  <c r="O495" i="10" s="1"/>
  <c r="R495" i="10" s="1"/>
  <c r="N496" i="10"/>
  <c r="O496" i="10"/>
  <c r="R496" i="10" s="1"/>
  <c r="N497" i="10"/>
  <c r="O497" i="10"/>
  <c r="R497" i="10" s="1"/>
  <c r="N498" i="10"/>
  <c r="O498" i="10"/>
  <c r="R498" i="10" s="1"/>
  <c r="N499" i="10"/>
  <c r="O499" i="10"/>
  <c r="R499" i="10" s="1"/>
  <c r="N500" i="10"/>
  <c r="O500" i="10"/>
  <c r="R500" i="10" s="1"/>
  <c r="N501" i="10"/>
  <c r="O501" i="10"/>
  <c r="R501" i="10" s="1"/>
  <c r="N502" i="10"/>
  <c r="O502" i="10"/>
  <c r="R502" i="10" s="1"/>
  <c r="N503" i="10"/>
  <c r="O503" i="10"/>
  <c r="R503" i="10" s="1"/>
  <c r="N504" i="10"/>
  <c r="O504" i="10"/>
  <c r="R504" i="10" s="1"/>
  <c r="N505" i="10"/>
  <c r="O505" i="10"/>
  <c r="R505" i="10" s="1"/>
  <c r="N506" i="10"/>
  <c r="O506" i="10"/>
  <c r="R506" i="10" s="1"/>
  <c r="N507" i="10"/>
  <c r="O507" i="10" s="1"/>
  <c r="R507" i="10" s="1"/>
  <c r="N508" i="10"/>
  <c r="O508" i="10"/>
  <c r="R508" i="10" s="1"/>
  <c r="N509" i="10"/>
  <c r="O509" i="10"/>
  <c r="R509" i="10" s="1"/>
  <c r="N510" i="10"/>
  <c r="O510" i="10" s="1"/>
  <c r="R510" i="10" s="1"/>
  <c r="N511" i="10"/>
  <c r="O511" i="10"/>
  <c r="R511" i="10" s="1"/>
  <c r="N512" i="10"/>
  <c r="O512" i="10"/>
  <c r="R512" i="10" s="1"/>
  <c r="N513" i="10"/>
  <c r="O513" i="10"/>
  <c r="R513" i="10" s="1"/>
  <c r="N514" i="10"/>
  <c r="O514" i="10"/>
  <c r="R514" i="10" s="1"/>
  <c r="N515" i="10"/>
  <c r="O515" i="10"/>
  <c r="R515" i="10" s="1"/>
  <c r="N516" i="10"/>
  <c r="O516" i="10" s="1"/>
  <c r="R516" i="10" s="1"/>
  <c r="N517" i="10"/>
  <c r="O517" i="10"/>
  <c r="R517" i="10" s="1"/>
  <c r="N518" i="10"/>
  <c r="O518" i="10"/>
  <c r="R518" i="10" s="1"/>
  <c r="N519" i="10"/>
  <c r="O519" i="10" s="1"/>
  <c r="R519" i="10" s="1"/>
  <c r="N520" i="10"/>
  <c r="O520" i="10"/>
  <c r="R520" i="10" s="1"/>
  <c r="N521" i="10"/>
  <c r="O521" i="10"/>
  <c r="R521" i="10" s="1"/>
  <c r="N522" i="10"/>
  <c r="O522" i="10"/>
  <c r="R522" i="10" s="1"/>
  <c r="N523" i="10"/>
  <c r="O523" i="10"/>
  <c r="R523" i="10" s="1"/>
  <c r="N524" i="10"/>
  <c r="O524" i="10"/>
  <c r="R524" i="10" s="1"/>
  <c r="N525" i="10"/>
  <c r="O525" i="10"/>
  <c r="R525" i="10" s="1"/>
  <c r="N526" i="10"/>
  <c r="O526" i="10"/>
  <c r="R526" i="10" s="1"/>
  <c r="N527" i="10"/>
  <c r="O527" i="10"/>
  <c r="R527" i="10" s="1"/>
  <c r="N528" i="10"/>
  <c r="O528" i="10"/>
  <c r="R528" i="10" s="1"/>
  <c r="N529" i="10"/>
  <c r="O529" i="10"/>
  <c r="R529" i="10" s="1"/>
  <c r="N530" i="10"/>
  <c r="O530" i="10"/>
  <c r="R530" i="10" s="1"/>
  <c r="N531" i="10"/>
  <c r="O531" i="10"/>
  <c r="R531" i="10" s="1"/>
  <c r="N532" i="10"/>
  <c r="O532" i="10" s="1"/>
  <c r="R532" i="10" s="1"/>
  <c r="N533" i="10"/>
  <c r="O533" i="10"/>
  <c r="R533" i="10" s="1"/>
  <c r="N534" i="10"/>
  <c r="O534" i="10"/>
  <c r="R534" i="10" s="1"/>
  <c r="N535" i="10"/>
  <c r="O535" i="10" s="1"/>
  <c r="R535" i="10" s="1"/>
  <c r="N536" i="10"/>
  <c r="O536" i="10" s="1"/>
  <c r="R536" i="10" s="1"/>
  <c r="N537" i="10"/>
  <c r="O537" i="10" s="1"/>
  <c r="R537" i="10" s="1"/>
  <c r="N538" i="10"/>
  <c r="O538" i="10"/>
  <c r="R538" i="10" s="1"/>
  <c r="N539" i="10"/>
  <c r="O539" i="10"/>
  <c r="R539" i="10" s="1"/>
  <c r="N540" i="10"/>
  <c r="O540" i="10"/>
  <c r="R540" i="10" s="1"/>
  <c r="N541" i="10"/>
  <c r="O541" i="10"/>
  <c r="R541" i="10" s="1"/>
  <c r="N542" i="10"/>
  <c r="O542" i="10"/>
  <c r="R542" i="10" s="1"/>
  <c r="N543" i="10"/>
  <c r="O543" i="10"/>
  <c r="R543" i="10" s="1"/>
  <c r="N544" i="10"/>
  <c r="O544" i="10"/>
  <c r="R544" i="10" s="1"/>
  <c r="N545" i="10"/>
  <c r="O545" i="10"/>
  <c r="R545" i="10" s="1"/>
  <c r="N546" i="10"/>
  <c r="O546" i="10"/>
  <c r="R546" i="10" s="1"/>
  <c r="N547" i="10"/>
  <c r="O547" i="10"/>
  <c r="R547" i="10" s="1"/>
  <c r="N548" i="10"/>
  <c r="O548" i="10"/>
  <c r="R548" i="10" s="1"/>
  <c r="N549" i="10"/>
  <c r="O549" i="10"/>
  <c r="R549" i="10" s="1"/>
  <c r="N550" i="10"/>
  <c r="O550" i="10"/>
  <c r="R550" i="10" s="1"/>
  <c r="N551" i="10"/>
  <c r="O551" i="10"/>
  <c r="R551" i="10" s="1"/>
  <c r="N552" i="10"/>
  <c r="O552" i="10"/>
  <c r="R552" i="10" s="1"/>
  <c r="N553" i="10"/>
  <c r="O553" i="10"/>
  <c r="R553" i="10" s="1"/>
  <c r="N554" i="10"/>
  <c r="O554" i="10"/>
  <c r="R554" i="10" s="1"/>
  <c r="N555" i="10"/>
  <c r="O555" i="10"/>
  <c r="R555" i="10" s="1"/>
  <c r="N556" i="10"/>
  <c r="O556" i="10"/>
  <c r="R556" i="10" s="1"/>
  <c r="N557" i="10"/>
  <c r="O557" i="10"/>
  <c r="R557" i="10" s="1"/>
  <c r="N558" i="10"/>
  <c r="O558" i="10"/>
  <c r="R558" i="10" s="1"/>
  <c r="N559" i="10"/>
  <c r="O559" i="10"/>
  <c r="R559" i="10" s="1"/>
  <c r="N560" i="10"/>
  <c r="O560" i="10"/>
  <c r="R560" i="10" s="1"/>
  <c r="N561" i="10"/>
  <c r="O561" i="10" s="1"/>
  <c r="R561" i="10" s="1"/>
  <c r="N562" i="10"/>
  <c r="O562" i="10"/>
  <c r="R562" i="10" s="1"/>
  <c r="N563" i="10"/>
  <c r="O563" i="10"/>
  <c r="R563" i="10" s="1"/>
  <c r="N564" i="10"/>
  <c r="O564" i="10"/>
  <c r="R564" i="10" s="1"/>
  <c r="N565" i="10"/>
  <c r="O565" i="10"/>
  <c r="R565" i="10" s="1"/>
  <c r="N566" i="10"/>
  <c r="O566" i="10"/>
  <c r="R566" i="10" s="1"/>
  <c r="N567" i="10"/>
  <c r="O567" i="10"/>
  <c r="R567" i="10" s="1"/>
  <c r="N568" i="10"/>
  <c r="O568" i="10"/>
  <c r="R568" i="10" s="1"/>
  <c r="N569" i="10"/>
  <c r="O569" i="10"/>
  <c r="R569" i="10" s="1"/>
  <c r="N570" i="10"/>
  <c r="O570" i="10"/>
  <c r="R570" i="10" s="1"/>
  <c r="N571" i="10"/>
  <c r="O571" i="10"/>
  <c r="R571" i="10" s="1"/>
  <c r="N572" i="10"/>
  <c r="O572" i="10"/>
  <c r="R572" i="10" s="1"/>
  <c r="N573" i="10"/>
  <c r="O573" i="10"/>
  <c r="R573" i="10" s="1"/>
  <c r="N574" i="10"/>
  <c r="O574" i="10"/>
  <c r="R574" i="10" s="1"/>
  <c r="N575" i="10"/>
  <c r="O575" i="10"/>
  <c r="R575" i="10" s="1"/>
  <c r="N576" i="10"/>
  <c r="O576" i="10"/>
  <c r="R576" i="10" s="1"/>
  <c r="N577" i="10"/>
  <c r="O577" i="10" s="1"/>
  <c r="R577" i="10" s="1"/>
  <c r="N578" i="10"/>
  <c r="O578" i="10"/>
  <c r="R578" i="10" s="1"/>
  <c r="N579" i="10"/>
  <c r="O579" i="10" s="1"/>
  <c r="R579" i="10" s="1"/>
  <c r="N580" i="10"/>
  <c r="O580" i="10"/>
  <c r="R580" i="10" s="1"/>
  <c r="N581" i="10"/>
  <c r="O581" i="10"/>
  <c r="R581" i="10" s="1"/>
  <c r="N582" i="10"/>
  <c r="O582" i="10" s="1"/>
  <c r="R582" i="10" s="1"/>
  <c r="N583" i="10"/>
  <c r="O583" i="10"/>
  <c r="R583" i="10" s="1"/>
  <c r="N584" i="10"/>
  <c r="O584" i="10"/>
  <c r="R584" i="10" s="1"/>
  <c r="N585" i="10"/>
  <c r="O585" i="10"/>
  <c r="R585" i="10" s="1"/>
  <c r="N586" i="10"/>
  <c r="O586" i="10"/>
  <c r="R586" i="10" s="1"/>
  <c r="N587" i="10"/>
  <c r="O587" i="10"/>
  <c r="R587" i="10" s="1"/>
  <c r="N588" i="10"/>
  <c r="O588" i="10"/>
  <c r="R588" i="10" s="1"/>
  <c r="N589" i="10"/>
  <c r="O589" i="10"/>
  <c r="R589" i="10" s="1"/>
  <c r="N590" i="10"/>
  <c r="O590" i="10"/>
  <c r="R590" i="10" s="1"/>
  <c r="N591" i="10"/>
  <c r="O591" i="10"/>
  <c r="R591" i="10" s="1"/>
  <c r="N592" i="10"/>
  <c r="O592" i="10" s="1"/>
  <c r="R592" i="10" s="1"/>
  <c r="N593" i="10"/>
  <c r="O593" i="10" s="1"/>
  <c r="R593" i="10" s="1"/>
  <c r="N594" i="10"/>
  <c r="O594" i="10"/>
  <c r="R594" i="10" s="1"/>
  <c r="N595" i="10"/>
  <c r="O595" i="10"/>
  <c r="R595" i="10" s="1"/>
  <c r="N596" i="10"/>
  <c r="O596" i="10" s="1"/>
  <c r="R596" i="10" s="1"/>
  <c r="N597" i="10"/>
  <c r="O597" i="10"/>
  <c r="R597" i="10" s="1"/>
  <c r="N598" i="10"/>
  <c r="O598" i="10" s="1"/>
  <c r="R598" i="10" s="1"/>
  <c r="N599" i="10"/>
  <c r="O599" i="10" s="1"/>
  <c r="R599" i="10" s="1"/>
  <c r="N600" i="10"/>
  <c r="O600" i="10" s="1"/>
  <c r="R600" i="10" s="1"/>
  <c r="N601" i="10"/>
  <c r="O601" i="10" s="1"/>
  <c r="R601" i="10" s="1"/>
  <c r="N602" i="10"/>
  <c r="O602" i="10"/>
  <c r="R602" i="10" s="1"/>
  <c r="N603" i="10"/>
  <c r="O603" i="10" s="1"/>
  <c r="R603" i="10" s="1"/>
  <c r="N604" i="10"/>
  <c r="O604" i="10"/>
  <c r="R604" i="10" s="1"/>
  <c r="N605" i="10"/>
  <c r="O605" i="10" s="1"/>
  <c r="R605" i="10" s="1"/>
  <c r="N606" i="10"/>
  <c r="O606" i="10"/>
  <c r="R606" i="10" s="1"/>
  <c r="N607" i="10"/>
  <c r="O607" i="10" s="1"/>
  <c r="R607" i="10" s="1"/>
  <c r="N608" i="10"/>
  <c r="O608" i="10" s="1"/>
  <c r="R608" i="10" s="1"/>
  <c r="N609" i="10"/>
  <c r="O609" i="10" s="1"/>
  <c r="R609" i="10" s="1"/>
  <c r="N610" i="10"/>
  <c r="O610" i="10" s="1"/>
  <c r="R610" i="10" s="1"/>
  <c r="N611" i="10"/>
  <c r="O611" i="10" s="1"/>
  <c r="R611" i="10" s="1"/>
  <c r="N612" i="10"/>
  <c r="O612" i="10" s="1"/>
  <c r="R612" i="10" s="1"/>
  <c r="N613" i="10"/>
  <c r="O613" i="10" s="1"/>
  <c r="R613" i="10" s="1"/>
  <c r="N614" i="10"/>
  <c r="O614" i="10"/>
  <c r="R614" i="10" s="1"/>
  <c r="N615" i="10"/>
  <c r="O615" i="10"/>
  <c r="R615" i="10" s="1"/>
  <c r="N616" i="10"/>
  <c r="O616" i="10"/>
  <c r="R616" i="10" s="1"/>
  <c r="N617" i="10"/>
  <c r="O617" i="10" s="1"/>
  <c r="R617" i="10" s="1"/>
  <c r="N618" i="10"/>
  <c r="O618" i="10"/>
  <c r="R618" i="10" s="1"/>
  <c r="N619" i="10"/>
  <c r="O619" i="10"/>
  <c r="R619" i="10" s="1"/>
  <c r="N620" i="10"/>
  <c r="O620" i="10"/>
  <c r="R620" i="10" s="1"/>
  <c r="N621" i="10"/>
  <c r="O621" i="10" s="1"/>
  <c r="R621" i="10" s="1"/>
  <c r="N622" i="10"/>
  <c r="O622" i="10"/>
  <c r="R622" i="10" s="1"/>
  <c r="N623" i="10"/>
  <c r="O623" i="10" s="1"/>
  <c r="R623" i="10" s="1"/>
  <c r="N624" i="10"/>
  <c r="O624" i="10" s="1"/>
  <c r="R624" i="10" s="1"/>
  <c r="N625" i="10"/>
  <c r="O625" i="10" s="1"/>
  <c r="R625" i="10" s="1"/>
  <c r="N626" i="10"/>
  <c r="O626" i="10"/>
  <c r="R626" i="10" s="1"/>
  <c r="N627" i="10"/>
  <c r="O627" i="10"/>
  <c r="R627" i="10" s="1"/>
  <c r="N628" i="10"/>
  <c r="O628" i="10"/>
  <c r="R628" i="10" s="1"/>
  <c r="N629" i="10"/>
  <c r="O629" i="10" s="1"/>
  <c r="R629" i="10" s="1"/>
  <c r="N630" i="10"/>
  <c r="O630" i="10"/>
  <c r="R630" i="10" s="1"/>
  <c r="N631" i="10"/>
  <c r="O631" i="10"/>
  <c r="R631" i="10" s="1"/>
  <c r="N632" i="10"/>
  <c r="O632" i="10"/>
  <c r="R632" i="10" s="1"/>
  <c r="N633" i="10"/>
  <c r="O633" i="10"/>
  <c r="R633" i="10" s="1"/>
  <c r="N634" i="10"/>
  <c r="O634" i="10"/>
  <c r="R634" i="10" s="1"/>
  <c r="N635" i="10"/>
  <c r="O635" i="10"/>
  <c r="R635" i="10" s="1"/>
  <c r="N636" i="10"/>
  <c r="O636" i="10"/>
  <c r="R636" i="10" s="1"/>
  <c r="N637" i="10"/>
  <c r="O637" i="10"/>
  <c r="R637" i="10" s="1"/>
  <c r="N638" i="10"/>
  <c r="O638" i="10"/>
  <c r="R638" i="10" s="1"/>
  <c r="N639" i="10"/>
  <c r="O639" i="10"/>
  <c r="R639" i="10" s="1"/>
  <c r="N640" i="10"/>
  <c r="O640" i="10"/>
  <c r="R640" i="10" s="1"/>
  <c r="N641" i="10"/>
  <c r="O641" i="10"/>
  <c r="R641" i="10" s="1"/>
  <c r="N642" i="10"/>
  <c r="O642" i="10"/>
  <c r="R642" i="10" s="1"/>
  <c r="N643" i="10"/>
  <c r="O643" i="10"/>
  <c r="R643" i="10" s="1"/>
  <c r="N644" i="10"/>
  <c r="O644" i="10"/>
  <c r="R644" i="10" s="1"/>
  <c r="N645" i="10"/>
  <c r="O645" i="10"/>
  <c r="R645" i="10" s="1"/>
  <c r="N646" i="10"/>
  <c r="O646" i="10"/>
  <c r="R646" i="10" s="1"/>
  <c r="N647" i="10"/>
  <c r="O647" i="10"/>
  <c r="R647" i="10" s="1"/>
  <c r="N648" i="10"/>
  <c r="O648" i="10"/>
  <c r="R648" i="10" s="1"/>
  <c r="N649" i="10"/>
  <c r="O649" i="10"/>
  <c r="R649" i="10" s="1"/>
  <c r="N650" i="10"/>
  <c r="O650" i="10"/>
  <c r="R650" i="10" s="1"/>
  <c r="N651" i="10"/>
  <c r="O651" i="10"/>
  <c r="R651" i="10" s="1"/>
  <c r="N652" i="10"/>
  <c r="O652" i="10"/>
  <c r="R652" i="10" s="1"/>
  <c r="N653" i="10"/>
  <c r="O653" i="10"/>
  <c r="R653" i="10" s="1"/>
  <c r="N654" i="10"/>
  <c r="O654" i="10"/>
  <c r="R654" i="10" s="1"/>
  <c r="N655" i="10"/>
  <c r="O655" i="10"/>
  <c r="R655" i="10" s="1"/>
  <c r="N656" i="10"/>
  <c r="O656" i="10"/>
  <c r="R656" i="10" s="1"/>
  <c r="N657" i="10"/>
  <c r="O657" i="10"/>
  <c r="R657" i="10" s="1"/>
  <c r="N658" i="10"/>
  <c r="O658" i="10"/>
  <c r="R658" i="10" s="1"/>
  <c r="N659" i="10"/>
  <c r="O659" i="10"/>
  <c r="R659" i="10" s="1"/>
  <c r="N660" i="10"/>
  <c r="O660" i="10"/>
  <c r="R660" i="10" s="1"/>
  <c r="N661" i="10"/>
  <c r="O661" i="10"/>
  <c r="R661" i="10" s="1"/>
  <c r="N662" i="10"/>
  <c r="O662" i="10"/>
  <c r="R662" i="10" s="1"/>
  <c r="N663" i="10"/>
  <c r="O663" i="10"/>
  <c r="R663" i="10" s="1"/>
  <c r="N664" i="10"/>
  <c r="O664" i="10"/>
  <c r="R664" i="10" s="1"/>
  <c r="N665" i="10"/>
  <c r="O665" i="10"/>
  <c r="R665" i="10" s="1"/>
  <c r="N666" i="10"/>
  <c r="O666" i="10"/>
  <c r="R666" i="10" s="1"/>
  <c r="N667" i="10"/>
  <c r="O667" i="10"/>
  <c r="R667" i="10" s="1"/>
  <c r="N668" i="10"/>
  <c r="O668" i="10"/>
  <c r="R668" i="10" s="1"/>
  <c r="N669" i="10"/>
  <c r="O669" i="10"/>
  <c r="R669" i="10" s="1"/>
  <c r="N676" i="10"/>
  <c r="O676" i="10"/>
  <c r="R676" i="10" s="1"/>
  <c r="N677" i="10"/>
  <c r="O677" i="10"/>
  <c r="R677" i="10" s="1"/>
  <c r="N678" i="10"/>
  <c r="O678" i="10"/>
  <c r="R678" i="10" s="1"/>
  <c r="N679" i="10"/>
  <c r="O679" i="10"/>
  <c r="R679" i="10" s="1"/>
  <c r="N680" i="10"/>
  <c r="O680" i="10"/>
  <c r="R680" i="10" s="1"/>
  <c r="N681" i="10"/>
  <c r="O681" i="10"/>
  <c r="R681" i="10" s="1"/>
  <c r="N682" i="10"/>
  <c r="O682" i="10"/>
  <c r="R682" i="10" s="1"/>
  <c r="N683" i="10"/>
  <c r="O683" i="10"/>
  <c r="R683" i="10" s="1"/>
  <c r="N684" i="10"/>
  <c r="O684" i="10"/>
  <c r="R684" i="10" s="1"/>
  <c r="N685" i="10"/>
  <c r="O685" i="10"/>
  <c r="R685" i="10" s="1"/>
  <c r="N686" i="10"/>
  <c r="O686" i="10"/>
  <c r="R686" i="10" s="1"/>
  <c r="N687" i="10"/>
  <c r="O687" i="10"/>
  <c r="R687" i="10" s="1"/>
  <c r="N688" i="10"/>
  <c r="O688" i="10"/>
  <c r="R688" i="10" s="1"/>
  <c r="N689" i="10"/>
  <c r="O689" i="10"/>
  <c r="R689" i="10" s="1"/>
  <c r="N690" i="10"/>
  <c r="O690" i="10"/>
  <c r="R690" i="10" s="1"/>
  <c r="N691" i="10"/>
  <c r="O691" i="10"/>
  <c r="R691" i="10" s="1"/>
  <c r="N692" i="10"/>
  <c r="O692" i="10"/>
  <c r="R692" i="10" s="1"/>
  <c r="N693" i="10"/>
  <c r="O693" i="10"/>
  <c r="R693" i="10" s="1"/>
  <c r="N694" i="10"/>
  <c r="O694" i="10"/>
  <c r="R694" i="10" s="1"/>
  <c r="N695" i="10"/>
  <c r="O695" i="10"/>
  <c r="R695" i="10" s="1"/>
  <c r="N696" i="10"/>
  <c r="O696" i="10"/>
  <c r="R696" i="10" s="1"/>
  <c r="N697" i="10"/>
  <c r="O697" i="10"/>
  <c r="R697" i="10" s="1"/>
  <c r="N698" i="10"/>
  <c r="O698" i="10"/>
  <c r="R698" i="10" s="1"/>
  <c r="N699" i="10"/>
  <c r="O699" i="10"/>
  <c r="R699" i="10" s="1"/>
  <c r="N700" i="10"/>
  <c r="O700" i="10"/>
  <c r="R700" i="10" s="1"/>
  <c r="N701" i="10"/>
  <c r="O701" i="10"/>
  <c r="R701" i="10" s="1"/>
  <c r="N702" i="10"/>
  <c r="O702" i="10"/>
  <c r="R702" i="10" s="1"/>
  <c r="N703" i="10"/>
  <c r="O703" i="10"/>
  <c r="R703" i="10" s="1"/>
  <c r="N704" i="10"/>
  <c r="O704" i="10"/>
  <c r="R704" i="10" s="1"/>
  <c r="N705" i="10"/>
  <c r="O705" i="10"/>
  <c r="R705" i="10" s="1"/>
  <c r="N706" i="10"/>
  <c r="O706" i="10"/>
  <c r="R706" i="10" s="1"/>
  <c r="N707" i="10"/>
  <c r="O707" i="10"/>
  <c r="R707" i="10" s="1"/>
  <c r="N708" i="10"/>
  <c r="O708" i="10"/>
  <c r="R708" i="10" s="1"/>
  <c r="N709" i="10"/>
  <c r="O709" i="10"/>
  <c r="R709" i="10" s="1"/>
  <c r="N710" i="10"/>
  <c r="O710" i="10"/>
  <c r="R710" i="10" s="1"/>
  <c r="N711" i="10"/>
  <c r="O711" i="10"/>
  <c r="R711" i="10" s="1"/>
  <c r="N712" i="10"/>
  <c r="O712" i="10"/>
  <c r="R712" i="10" s="1"/>
  <c r="N713" i="10"/>
  <c r="O713" i="10"/>
  <c r="R713" i="10" s="1"/>
  <c r="N714" i="10"/>
  <c r="O714" i="10"/>
  <c r="R714" i="10" s="1"/>
  <c r="N715" i="10"/>
  <c r="O715" i="10"/>
  <c r="R715" i="10" s="1"/>
  <c r="N716" i="10"/>
  <c r="O716" i="10"/>
  <c r="R716" i="10" s="1"/>
  <c r="N717" i="10"/>
  <c r="O717" i="10"/>
  <c r="R717" i="10" s="1"/>
  <c r="N718" i="10"/>
  <c r="O718" i="10"/>
  <c r="R718" i="10" s="1"/>
  <c r="N719" i="10"/>
  <c r="O719" i="10"/>
  <c r="R719" i="10" s="1"/>
  <c r="N720" i="10"/>
  <c r="O720" i="10"/>
  <c r="R720" i="10" s="1"/>
  <c r="N721" i="10"/>
  <c r="O721" i="10"/>
  <c r="R721" i="10" s="1"/>
  <c r="N722" i="10"/>
  <c r="O722" i="10"/>
  <c r="R722" i="10" s="1"/>
  <c r="N723" i="10"/>
  <c r="O723" i="10"/>
  <c r="R723" i="10" s="1"/>
  <c r="N724" i="10"/>
  <c r="O724" i="10"/>
  <c r="R724" i="10" s="1"/>
  <c r="N725" i="10"/>
  <c r="O725" i="10"/>
  <c r="R725" i="10" s="1"/>
  <c r="N726" i="10"/>
  <c r="O726" i="10"/>
  <c r="R726" i="10" s="1"/>
  <c r="N727" i="10"/>
  <c r="O727" i="10"/>
  <c r="R727" i="10" s="1"/>
  <c r="N728" i="10"/>
  <c r="O728" i="10"/>
  <c r="R728" i="10" s="1"/>
  <c r="N729" i="10"/>
  <c r="O729" i="10"/>
  <c r="R729" i="10" s="1"/>
  <c r="N730" i="10"/>
  <c r="O730" i="10"/>
  <c r="R730" i="10" s="1"/>
  <c r="N731" i="10"/>
  <c r="O731" i="10"/>
  <c r="R731" i="10" s="1"/>
  <c r="N732" i="10"/>
  <c r="O732" i="10"/>
  <c r="R732" i="10" s="1"/>
  <c r="N733" i="10"/>
  <c r="O733" i="10"/>
  <c r="R733" i="10" s="1"/>
  <c r="N734" i="10"/>
  <c r="O734" i="10"/>
  <c r="R734" i="10" s="1"/>
  <c r="N735" i="10"/>
  <c r="O735" i="10"/>
  <c r="R735" i="10" s="1"/>
  <c r="N736" i="10"/>
  <c r="O736" i="10"/>
  <c r="R736" i="10" s="1"/>
  <c r="N737" i="10"/>
  <c r="O737" i="10"/>
  <c r="R737" i="10" s="1"/>
  <c r="N738" i="10"/>
  <c r="O738" i="10"/>
  <c r="R738" i="10" s="1"/>
  <c r="N739" i="10"/>
  <c r="O739" i="10"/>
  <c r="R739" i="10" s="1"/>
  <c r="N740" i="10"/>
  <c r="O740" i="10"/>
  <c r="R740" i="10" s="1"/>
  <c r="N741" i="10"/>
  <c r="O741" i="10"/>
  <c r="R741" i="10" s="1"/>
  <c r="N742" i="10"/>
  <c r="O742" i="10"/>
  <c r="R742" i="10" s="1"/>
  <c r="N743" i="10"/>
  <c r="O743" i="10"/>
  <c r="R743" i="10" s="1"/>
  <c r="N744" i="10"/>
  <c r="O744" i="10"/>
  <c r="R744" i="10" s="1"/>
  <c r="N745" i="10"/>
  <c r="O745" i="10"/>
  <c r="R745" i="10" s="1"/>
  <c r="N746" i="10"/>
  <c r="O746" i="10"/>
  <c r="R746" i="10" s="1"/>
  <c r="N747" i="10"/>
  <c r="O747" i="10" s="1"/>
  <c r="R747" i="10" s="1"/>
  <c r="N748" i="10"/>
  <c r="O748" i="10"/>
  <c r="R748" i="10" s="1"/>
  <c r="N749" i="10"/>
  <c r="O749" i="10" s="1"/>
  <c r="R749" i="10" s="1"/>
  <c r="N750" i="10"/>
  <c r="O750" i="10"/>
  <c r="R750" i="10" s="1"/>
  <c r="N751" i="10"/>
  <c r="O751" i="10"/>
  <c r="R751" i="10" s="1"/>
  <c r="N752" i="10"/>
  <c r="O752" i="10"/>
  <c r="R752" i="10" s="1"/>
  <c r="N753" i="10"/>
  <c r="O753" i="10" s="1"/>
  <c r="R753" i="10" s="1"/>
  <c r="N754" i="10"/>
  <c r="O754" i="10"/>
  <c r="R754" i="10" s="1"/>
  <c r="N755" i="10"/>
  <c r="O755" i="10"/>
  <c r="R755" i="10" s="1"/>
  <c r="N756" i="10"/>
  <c r="O756" i="10" s="1"/>
  <c r="R756" i="10" s="1"/>
  <c r="N757" i="10"/>
  <c r="O757" i="10" s="1"/>
  <c r="R757" i="10" s="1"/>
  <c r="N758" i="10"/>
  <c r="O758" i="10"/>
  <c r="R758" i="10" s="1"/>
  <c r="N759" i="10"/>
  <c r="O759" i="10"/>
  <c r="R759" i="10" s="1"/>
  <c r="N760" i="10"/>
  <c r="O760" i="10"/>
  <c r="R760" i="10" s="1"/>
  <c r="N761" i="10"/>
  <c r="O761" i="10"/>
  <c r="R761" i="10" s="1"/>
  <c r="N762" i="10"/>
  <c r="O762" i="10" s="1"/>
  <c r="R762" i="10" s="1"/>
  <c r="N763" i="10"/>
  <c r="O763" i="10"/>
  <c r="R763" i="10" s="1"/>
  <c r="N764" i="10"/>
  <c r="O764" i="10"/>
  <c r="R764" i="10" s="1"/>
  <c r="N765" i="10"/>
  <c r="O765" i="10" s="1"/>
  <c r="R765" i="10" s="1"/>
  <c r="N766" i="10"/>
  <c r="O766" i="10"/>
  <c r="R766" i="10" s="1"/>
  <c r="N767" i="10"/>
  <c r="O767" i="10"/>
  <c r="R767" i="10" s="1"/>
  <c r="N768" i="10"/>
  <c r="O768" i="10"/>
  <c r="R768" i="10" s="1"/>
  <c r="N769" i="10"/>
  <c r="O769" i="10"/>
  <c r="R769" i="10" s="1"/>
  <c r="N770" i="10"/>
  <c r="O770" i="10"/>
  <c r="R770" i="10" s="1"/>
  <c r="N771" i="10"/>
  <c r="O771" i="10"/>
  <c r="R771" i="10" s="1"/>
  <c r="N772" i="10"/>
  <c r="O772" i="10" s="1"/>
  <c r="R772" i="10" s="1"/>
  <c r="N773" i="10"/>
  <c r="O773" i="10"/>
  <c r="R773" i="10" s="1"/>
  <c r="N774" i="10"/>
  <c r="O774" i="10" s="1"/>
  <c r="R774" i="10" s="1"/>
  <c r="N775" i="10"/>
  <c r="O775" i="10"/>
  <c r="R775" i="10" s="1"/>
  <c r="N776" i="10"/>
  <c r="O776" i="10"/>
  <c r="R776" i="10" s="1"/>
  <c r="N777" i="10"/>
  <c r="O777" i="10"/>
  <c r="R777" i="10" s="1"/>
  <c r="N778" i="10"/>
  <c r="O778" i="10" s="1"/>
  <c r="R778" i="10" s="1"/>
  <c r="N779" i="10"/>
  <c r="O779" i="10" s="1"/>
  <c r="R779" i="10" s="1"/>
  <c r="N780" i="10"/>
  <c r="O780" i="10" s="1"/>
  <c r="R780" i="10" s="1"/>
  <c r="N781" i="10"/>
  <c r="O781" i="10" s="1"/>
  <c r="R781" i="10" s="1"/>
  <c r="N782" i="10"/>
  <c r="O782" i="10"/>
  <c r="R782" i="10" s="1"/>
  <c r="N783" i="10"/>
  <c r="O783" i="10" s="1"/>
  <c r="R783" i="10" s="1"/>
  <c r="N784" i="10"/>
  <c r="O784" i="10" s="1"/>
  <c r="R784" i="10" s="1"/>
  <c r="N785" i="10"/>
  <c r="O785" i="10"/>
  <c r="R785" i="10" s="1"/>
  <c r="N786" i="10"/>
  <c r="O786" i="10" s="1"/>
  <c r="R786" i="10" s="1"/>
  <c r="N787" i="10"/>
  <c r="O787" i="10" s="1"/>
  <c r="R787" i="10" s="1"/>
  <c r="N788" i="10"/>
  <c r="O788" i="10"/>
  <c r="R788" i="10" s="1"/>
  <c r="N789" i="10"/>
  <c r="O789" i="10"/>
  <c r="R789" i="10" s="1"/>
  <c r="N790" i="10"/>
  <c r="O790" i="10" s="1"/>
  <c r="R790" i="10" s="1"/>
  <c r="N791" i="10"/>
  <c r="O791" i="10"/>
  <c r="R791" i="10" s="1"/>
  <c r="N792" i="10"/>
  <c r="O792" i="10" s="1"/>
  <c r="R792" i="10" s="1"/>
  <c r="N793" i="10"/>
  <c r="O793" i="10"/>
  <c r="R793" i="10" s="1"/>
  <c r="N794" i="10"/>
  <c r="O794" i="10" s="1"/>
  <c r="R794" i="10" s="1"/>
  <c r="N795" i="10"/>
  <c r="O795" i="10"/>
  <c r="R795" i="10" s="1"/>
  <c r="N796" i="10"/>
  <c r="O796" i="10"/>
  <c r="R796" i="10" s="1"/>
  <c r="N797" i="10"/>
  <c r="O797" i="10"/>
  <c r="R797" i="10" s="1"/>
  <c r="N798" i="10"/>
  <c r="O798" i="10"/>
  <c r="R798" i="10" s="1"/>
  <c r="N799" i="10"/>
  <c r="O799" i="10"/>
  <c r="R799" i="10" s="1"/>
  <c r="N800" i="10"/>
  <c r="O800" i="10"/>
  <c r="R800" i="10" s="1"/>
  <c r="N801" i="10"/>
  <c r="O801" i="10" s="1"/>
  <c r="R801" i="10" s="1"/>
  <c r="N802" i="10"/>
  <c r="O802" i="10" s="1"/>
  <c r="R802" i="10" s="1"/>
  <c r="N803" i="10"/>
  <c r="O803" i="10" s="1"/>
  <c r="R803" i="10" s="1"/>
  <c r="N804" i="10"/>
  <c r="O804" i="10"/>
  <c r="R804" i="10" s="1"/>
  <c r="N805" i="10"/>
  <c r="O805" i="10"/>
  <c r="R805" i="10" s="1"/>
  <c r="N806" i="10"/>
  <c r="O806" i="10"/>
  <c r="R806" i="10" s="1"/>
  <c r="N807" i="10"/>
  <c r="O807" i="10"/>
  <c r="R807" i="10" s="1"/>
  <c r="N808" i="10"/>
  <c r="O808" i="10"/>
  <c r="R808" i="10" s="1"/>
  <c r="N809" i="10"/>
  <c r="O809" i="10"/>
  <c r="R809" i="10" s="1"/>
  <c r="N810" i="10"/>
  <c r="O810" i="10"/>
  <c r="R810" i="10" s="1"/>
  <c r="N811" i="10"/>
  <c r="O811" i="10"/>
  <c r="R811" i="10" s="1"/>
  <c r="N812" i="10"/>
  <c r="O812" i="10" s="1"/>
  <c r="R812" i="10" s="1"/>
  <c r="N813" i="10"/>
  <c r="O813" i="10" s="1"/>
  <c r="R813" i="10" s="1"/>
  <c r="N814" i="10"/>
  <c r="O814" i="10" s="1"/>
  <c r="R814" i="10" s="1"/>
  <c r="N815" i="10"/>
  <c r="O815" i="10"/>
  <c r="R815" i="10" s="1"/>
  <c r="N816" i="10"/>
  <c r="O816" i="10"/>
  <c r="R816" i="10" s="1"/>
  <c r="N817" i="10"/>
  <c r="O817" i="10"/>
  <c r="R817" i="10" s="1"/>
  <c r="N818" i="10"/>
  <c r="O818" i="10"/>
  <c r="R818" i="10" s="1"/>
  <c r="N819" i="10"/>
  <c r="O819" i="10" s="1"/>
  <c r="R819" i="10" s="1"/>
  <c r="N820" i="10"/>
  <c r="O820" i="10"/>
  <c r="R820" i="10" s="1"/>
  <c r="N821" i="10"/>
  <c r="O821" i="10"/>
  <c r="R821" i="10" s="1"/>
  <c r="N822" i="10"/>
  <c r="O822" i="10"/>
  <c r="R822" i="10" s="1"/>
  <c r="N823" i="10"/>
  <c r="O823" i="10"/>
  <c r="R823" i="10" s="1"/>
  <c r="N824" i="10"/>
  <c r="O824" i="10"/>
  <c r="R824" i="10" s="1"/>
  <c r="N825" i="10"/>
  <c r="O825" i="10"/>
  <c r="R825" i="10" s="1"/>
  <c r="N826" i="10"/>
  <c r="O826" i="10"/>
  <c r="R826" i="10" s="1"/>
  <c r="N827" i="10"/>
  <c r="O827" i="10"/>
  <c r="R827" i="10" s="1"/>
  <c r="N828" i="10"/>
  <c r="O828" i="10"/>
  <c r="R828" i="10" s="1"/>
  <c r="N829" i="10"/>
  <c r="O829" i="10" s="1"/>
  <c r="R829" i="10" s="1"/>
  <c r="N830" i="10"/>
  <c r="O830" i="10"/>
  <c r="R830" i="10" s="1"/>
  <c r="N831" i="10"/>
  <c r="O831" i="10" s="1"/>
  <c r="R831" i="10" s="1"/>
  <c r="N832" i="10"/>
  <c r="O832" i="10"/>
  <c r="R832" i="10" s="1"/>
  <c r="N833" i="10"/>
  <c r="O833" i="10" s="1"/>
  <c r="R833" i="10" s="1"/>
  <c r="N834" i="10"/>
  <c r="O834" i="10"/>
  <c r="R834" i="10" s="1"/>
  <c r="N835" i="10"/>
  <c r="O835" i="10"/>
  <c r="R835" i="10" s="1"/>
  <c r="N836" i="10"/>
  <c r="O836" i="10" s="1"/>
  <c r="R836" i="10" s="1"/>
  <c r="N837" i="10"/>
  <c r="O837" i="10"/>
  <c r="R837" i="10" s="1"/>
  <c r="N838" i="10"/>
  <c r="O838" i="10" s="1"/>
  <c r="R838" i="10" s="1"/>
  <c r="N839" i="10"/>
  <c r="O839" i="10"/>
  <c r="R839" i="10" s="1"/>
  <c r="N840" i="10"/>
  <c r="O840" i="10" s="1"/>
  <c r="R840" i="10" s="1"/>
  <c r="N841" i="10"/>
  <c r="O841" i="10"/>
  <c r="R841" i="10" s="1"/>
  <c r="N842" i="10"/>
  <c r="O842" i="10" s="1"/>
  <c r="R842" i="10" s="1"/>
  <c r="N843" i="10"/>
  <c r="O843" i="10"/>
  <c r="R843" i="10" s="1"/>
  <c r="N844" i="10"/>
  <c r="O844" i="10" s="1"/>
  <c r="R844" i="10" s="1"/>
  <c r="N845" i="10"/>
  <c r="O845" i="10"/>
  <c r="R845" i="10" s="1"/>
  <c r="N846" i="10"/>
  <c r="O846" i="10" s="1"/>
  <c r="R846" i="10" s="1"/>
  <c r="N847" i="10"/>
  <c r="O847" i="10"/>
  <c r="R847" i="10" s="1"/>
  <c r="N848" i="10"/>
  <c r="O848" i="10"/>
  <c r="R848" i="10" s="1"/>
  <c r="N849" i="10"/>
  <c r="O849" i="10" s="1"/>
  <c r="R849" i="10" s="1"/>
  <c r="N850" i="10"/>
  <c r="O850" i="10" s="1"/>
  <c r="R850" i="10" s="1"/>
  <c r="N851" i="10"/>
  <c r="O851" i="10"/>
  <c r="R851" i="10" s="1"/>
  <c r="N852" i="10"/>
  <c r="O852" i="10"/>
  <c r="R852" i="10" s="1"/>
  <c r="N853" i="10"/>
  <c r="O853" i="10"/>
  <c r="R853" i="10" s="1"/>
  <c r="N854" i="10"/>
  <c r="O854" i="10"/>
  <c r="R854" i="10" s="1"/>
  <c r="N855" i="10"/>
  <c r="O855" i="10" s="1"/>
  <c r="R855" i="10" s="1"/>
  <c r="N856" i="10"/>
  <c r="O856" i="10"/>
  <c r="R856" i="10" s="1"/>
  <c r="N857" i="10"/>
  <c r="O857" i="10" s="1"/>
  <c r="R857" i="10" s="1"/>
  <c r="N858" i="10"/>
  <c r="O858" i="10"/>
  <c r="R858" i="10" s="1"/>
  <c r="N859" i="10"/>
  <c r="O859" i="10" s="1"/>
  <c r="R859" i="10" s="1"/>
  <c r="N860" i="10"/>
  <c r="O860" i="10"/>
  <c r="R860" i="10" s="1"/>
  <c r="N861" i="10"/>
  <c r="O861" i="10" s="1"/>
  <c r="R861" i="10" s="1"/>
  <c r="N862" i="10"/>
  <c r="O862" i="10"/>
  <c r="R862" i="10" s="1"/>
  <c r="N863" i="10"/>
  <c r="O863" i="10" s="1"/>
  <c r="R863" i="10" s="1"/>
  <c r="N864" i="10"/>
  <c r="O864" i="10"/>
  <c r="R864" i="10" s="1"/>
  <c r="N865" i="10"/>
  <c r="O865" i="10" s="1"/>
  <c r="R865" i="10" s="1"/>
  <c r="N866" i="10"/>
  <c r="O866" i="10"/>
  <c r="R866" i="10" s="1"/>
  <c r="N867" i="10"/>
  <c r="O867" i="10" s="1"/>
  <c r="R867" i="10" s="1"/>
  <c r="N868" i="10"/>
  <c r="O868" i="10" s="1"/>
  <c r="R868" i="10" s="1"/>
  <c r="N869" i="10"/>
  <c r="O869" i="10"/>
  <c r="R869" i="10" s="1"/>
  <c r="N870" i="10"/>
  <c r="O870" i="10" s="1"/>
  <c r="R870" i="10" s="1"/>
  <c r="N871" i="10"/>
  <c r="O871" i="10"/>
  <c r="R871" i="10" s="1"/>
  <c r="N872" i="10"/>
  <c r="O872" i="10"/>
  <c r="R872" i="10" s="1"/>
  <c r="N873" i="10"/>
  <c r="O873" i="10" s="1"/>
  <c r="R873" i="10" s="1"/>
  <c r="N874" i="10"/>
  <c r="O874" i="10" s="1"/>
  <c r="R874" i="10" s="1"/>
  <c r="N875" i="10"/>
  <c r="O875" i="10" s="1"/>
  <c r="R875" i="10" s="1"/>
  <c r="N876" i="10"/>
  <c r="O876" i="10" s="1"/>
  <c r="R876" i="10" s="1"/>
  <c r="N877" i="10"/>
  <c r="O877" i="10"/>
  <c r="R877" i="10" s="1"/>
  <c r="N878" i="10"/>
  <c r="O878" i="10"/>
  <c r="R878" i="10" s="1"/>
  <c r="N879" i="10"/>
  <c r="O879" i="10"/>
  <c r="R879" i="10" s="1"/>
  <c r="N880" i="10"/>
  <c r="O880" i="10"/>
  <c r="R880" i="10" s="1"/>
  <c r="N881" i="10"/>
  <c r="O881" i="10" s="1"/>
  <c r="R881" i="10" s="1"/>
  <c r="N882" i="10"/>
  <c r="O882" i="10" s="1"/>
  <c r="R882" i="10" s="1"/>
  <c r="N883" i="10"/>
  <c r="O883" i="10"/>
  <c r="R883" i="10" s="1"/>
  <c r="N884" i="10"/>
  <c r="O884" i="10"/>
  <c r="R884" i="10" s="1"/>
  <c r="N885" i="10"/>
  <c r="O885" i="10"/>
  <c r="R885" i="10" s="1"/>
  <c r="N886" i="10"/>
  <c r="O886" i="10"/>
  <c r="R886" i="10" s="1"/>
  <c r="N887" i="10"/>
  <c r="O887" i="10"/>
  <c r="R887" i="10" s="1"/>
  <c r="N888" i="10"/>
  <c r="O888" i="10"/>
  <c r="R888" i="10" s="1"/>
  <c r="N889" i="10"/>
  <c r="O889" i="10"/>
  <c r="R889" i="10" s="1"/>
  <c r="N890" i="10"/>
  <c r="O890" i="10"/>
  <c r="R890" i="10" s="1"/>
  <c r="N891" i="10"/>
  <c r="O891" i="10"/>
  <c r="R891" i="10" s="1"/>
  <c r="N892" i="10"/>
  <c r="O892" i="10" s="1"/>
  <c r="R892" i="10" s="1"/>
  <c r="N893" i="10"/>
  <c r="O893" i="10"/>
  <c r="R893" i="10" s="1"/>
  <c r="N894" i="10"/>
  <c r="O894" i="10"/>
  <c r="R894" i="10" s="1"/>
  <c r="N895" i="10"/>
  <c r="O895" i="10"/>
  <c r="R895" i="10" s="1"/>
  <c r="N896" i="10"/>
  <c r="O896" i="10"/>
  <c r="R896" i="10" s="1"/>
  <c r="N897" i="10"/>
  <c r="O897" i="10"/>
  <c r="R897" i="10" s="1"/>
  <c r="N898" i="10"/>
  <c r="O898" i="10"/>
  <c r="R898" i="10" s="1"/>
  <c r="N899" i="10"/>
  <c r="O899" i="10" s="1"/>
  <c r="R899" i="10" s="1"/>
  <c r="N900" i="10"/>
  <c r="O900" i="10"/>
  <c r="R900" i="10" s="1"/>
  <c r="N901" i="10"/>
  <c r="O901" i="10"/>
  <c r="R901" i="10" s="1"/>
  <c r="N902" i="10"/>
  <c r="O902" i="10"/>
  <c r="R902" i="10" s="1"/>
  <c r="N903" i="10"/>
  <c r="O903" i="10"/>
  <c r="R903" i="10" s="1"/>
  <c r="N904" i="10"/>
  <c r="O904" i="10"/>
  <c r="R904" i="10" s="1"/>
  <c r="N905" i="10"/>
  <c r="O905" i="10"/>
  <c r="R905" i="10" s="1"/>
  <c r="N906" i="10"/>
  <c r="O906" i="10"/>
  <c r="R906" i="10" s="1"/>
  <c r="N907" i="10"/>
  <c r="O907" i="10"/>
  <c r="R907" i="10" s="1"/>
  <c r="N908" i="10"/>
  <c r="O908" i="10"/>
  <c r="R908" i="10" s="1"/>
  <c r="N909" i="10"/>
  <c r="O909" i="10"/>
  <c r="R909" i="10" s="1"/>
  <c r="N910" i="10"/>
  <c r="O910" i="10"/>
  <c r="R910" i="10" s="1"/>
  <c r="N911" i="10"/>
  <c r="O911" i="10"/>
  <c r="R911" i="10" s="1"/>
  <c r="N912" i="10"/>
  <c r="O912" i="10"/>
  <c r="R912" i="10" s="1"/>
  <c r="N913" i="10"/>
  <c r="O913" i="10"/>
  <c r="R913" i="10" s="1"/>
  <c r="N914" i="10"/>
  <c r="O914" i="10"/>
  <c r="R914" i="10" s="1"/>
  <c r="N915" i="10"/>
  <c r="O915" i="10"/>
  <c r="R915" i="10" s="1"/>
  <c r="N916" i="10"/>
  <c r="O916" i="10"/>
  <c r="R916" i="10" s="1"/>
  <c r="N917" i="10"/>
  <c r="O917" i="10"/>
  <c r="R917" i="10" s="1"/>
  <c r="N918" i="10"/>
  <c r="O918" i="10"/>
  <c r="R918" i="10" s="1"/>
  <c r="N919" i="10"/>
  <c r="O919" i="10"/>
  <c r="R919" i="10" s="1"/>
  <c r="N920" i="10"/>
  <c r="O920" i="10"/>
  <c r="R920" i="10" s="1"/>
  <c r="N921" i="10"/>
  <c r="O921" i="10"/>
  <c r="R921" i="10" s="1"/>
  <c r="N922" i="10"/>
  <c r="O922" i="10"/>
  <c r="R922" i="10" s="1"/>
  <c r="N923" i="10"/>
  <c r="O923" i="10"/>
  <c r="R923" i="10" s="1"/>
  <c r="N924" i="10"/>
  <c r="O924" i="10"/>
  <c r="R924" i="10" s="1"/>
  <c r="N925" i="10"/>
  <c r="O925" i="10" s="1"/>
  <c r="R925" i="10" s="1"/>
  <c r="N926" i="10"/>
  <c r="O926" i="10" s="1"/>
  <c r="R926" i="10" s="1"/>
  <c r="N927" i="10"/>
  <c r="O927" i="10"/>
  <c r="R927" i="10" s="1"/>
  <c r="N928" i="10"/>
  <c r="O928" i="10"/>
  <c r="R928" i="10" s="1"/>
  <c r="N929" i="10"/>
  <c r="O929" i="10"/>
  <c r="R929" i="10" s="1"/>
  <c r="N930" i="10"/>
  <c r="O930" i="10"/>
  <c r="R930" i="10" s="1"/>
  <c r="N931" i="10"/>
  <c r="O931" i="10"/>
  <c r="R931" i="10" s="1"/>
  <c r="N932" i="10"/>
  <c r="O932" i="10"/>
  <c r="R932" i="10" s="1"/>
  <c r="N933" i="10"/>
  <c r="O933" i="10"/>
  <c r="R933" i="10" s="1"/>
  <c r="N934" i="10"/>
  <c r="O934" i="10" s="1"/>
  <c r="R934" i="10" s="1"/>
  <c r="N935" i="10"/>
  <c r="O935" i="10"/>
  <c r="R935" i="10" s="1"/>
  <c r="N936" i="10"/>
  <c r="O936" i="10"/>
  <c r="R936" i="10" s="1"/>
  <c r="N937" i="10"/>
  <c r="O937" i="10"/>
  <c r="R937" i="10" s="1"/>
  <c r="N938" i="10"/>
  <c r="O938" i="10"/>
  <c r="R938" i="10" s="1"/>
  <c r="N939" i="10"/>
  <c r="O939" i="10"/>
  <c r="R939" i="10" s="1"/>
  <c r="N940" i="10"/>
  <c r="O940" i="10"/>
  <c r="R940" i="10" s="1"/>
  <c r="N941" i="10"/>
  <c r="O941" i="10"/>
  <c r="R941" i="10" s="1"/>
  <c r="N942" i="10"/>
  <c r="O942" i="10"/>
  <c r="R942" i="10" s="1"/>
  <c r="N943" i="10"/>
  <c r="O943" i="10"/>
  <c r="R943" i="10" s="1"/>
  <c r="N944" i="10"/>
  <c r="O944" i="10"/>
  <c r="R944" i="10" s="1"/>
  <c r="N945" i="10"/>
  <c r="O945" i="10"/>
  <c r="R945" i="10" s="1"/>
  <c r="N946" i="10"/>
  <c r="O946" i="10"/>
  <c r="R946" i="10" s="1"/>
  <c r="N947" i="10"/>
  <c r="O947" i="10"/>
  <c r="R947" i="10" s="1"/>
  <c r="N948" i="10"/>
  <c r="O948" i="10"/>
  <c r="R948" i="10" s="1"/>
  <c r="N949" i="10"/>
  <c r="O949" i="10"/>
  <c r="R949" i="10" s="1"/>
  <c r="N950" i="10"/>
  <c r="O950" i="10"/>
  <c r="R950" i="10" s="1"/>
  <c r="N951" i="10"/>
  <c r="O951" i="10"/>
  <c r="R951" i="10" s="1"/>
  <c r="N952" i="10"/>
  <c r="O952" i="10"/>
  <c r="R952" i="10" s="1"/>
  <c r="N953" i="10"/>
  <c r="O953" i="10"/>
  <c r="R953" i="10" s="1"/>
  <c r="N954" i="10"/>
  <c r="O954" i="10"/>
  <c r="R954" i="10" s="1"/>
  <c r="N955" i="10"/>
  <c r="O955" i="10"/>
  <c r="R955" i="10" s="1"/>
  <c r="N956" i="10"/>
  <c r="O956" i="10"/>
  <c r="R956" i="10" s="1"/>
  <c r="N957" i="10"/>
  <c r="O957" i="10"/>
  <c r="R957" i="10" s="1"/>
  <c r="N958" i="10"/>
  <c r="O958" i="10"/>
  <c r="R958" i="10" s="1"/>
  <c r="N959" i="10"/>
  <c r="O959" i="10"/>
  <c r="R959" i="10" s="1"/>
  <c r="N960" i="10"/>
  <c r="O960" i="10"/>
  <c r="R960" i="10" s="1"/>
  <c r="N961" i="10"/>
  <c r="O961" i="10"/>
  <c r="R961" i="10" s="1"/>
  <c r="N962" i="10"/>
  <c r="O962" i="10"/>
  <c r="R962" i="10" s="1"/>
  <c r="N963" i="10"/>
  <c r="O963" i="10"/>
  <c r="R963" i="10" s="1"/>
  <c r="N964" i="10"/>
  <c r="O964" i="10"/>
  <c r="R964" i="10" s="1"/>
  <c r="N965" i="10"/>
  <c r="O965" i="10"/>
  <c r="R965" i="10" s="1"/>
  <c r="N966" i="10"/>
  <c r="O966" i="10"/>
  <c r="R966" i="10" s="1"/>
  <c r="N967" i="10"/>
  <c r="O967" i="10"/>
  <c r="R967" i="10" s="1"/>
  <c r="N968" i="10"/>
  <c r="O968" i="10"/>
  <c r="R968" i="10" s="1"/>
  <c r="N969" i="10"/>
  <c r="O969" i="10"/>
  <c r="R969" i="10" s="1"/>
  <c r="N970" i="10"/>
  <c r="O970" i="10"/>
  <c r="R970" i="10" s="1"/>
  <c r="N971" i="10"/>
  <c r="O971" i="10"/>
  <c r="R971" i="10" s="1"/>
  <c r="N972" i="10"/>
  <c r="O972" i="10"/>
  <c r="R972" i="10" s="1"/>
  <c r="N973" i="10"/>
  <c r="O973" i="10"/>
  <c r="R973" i="10" s="1"/>
  <c r="N974" i="10"/>
  <c r="O974" i="10"/>
  <c r="R974" i="10" s="1"/>
  <c r="N975" i="10"/>
  <c r="O975" i="10"/>
  <c r="R975" i="10" s="1"/>
  <c r="N976" i="10"/>
  <c r="O976" i="10"/>
  <c r="R976" i="10" s="1"/>
  <c r="N977" i="10"/>
  <c r="O977" i="10"/>
  <c r="R977" i="10" s="1"/>
  <c r="N978" i="10"/>
  <c r="O978" i="10"/>
  <c r="R978" i="10" s="1"/>
  <c r="N979" i="10"/>
  <c r="O979" i="10" s="1"/>
  <c r="R979" i="10" s="1"/>
  <c r="N980" i="10"/>
  <c r="O980" i="10"/>
  <c r="R980" i="10" s="1"/>
  <c r="N981" i="10"/>
  <c r="O981" i="10"/>
  <c r="R981" i="10" s="1"/>
  <c r="N982" i="10"/>
  <c r="O982" i="10"/>
  <c r="R982" i="10" s="1"/>
  <c r="N983" i="10"/>
  <c r="O983" i="10"/>
  <c r="R983" i="10" s="1"/>
  <c r="N984" i="10"/>
  <c r="O984" i="10"/>
  <c r="R984" i="10" s="1"/>
  <c r="N985" i="10"/>
  <c r="O985" i="10"/>
  <c r="R985" i="10" s="1"/>
  <c r="N986" i="10"/>
  <c r="O986" i="10" s="1"/>
  <c r="R986" i="10" s="1"/>
  <c r="N987" i="10"/>
  <c r="O987" i="10"/>
  <c r="R987" i="10" s="1"/>
  <c r="N988" i="10"/>
  <c r="O988" i="10"/>
  <c r="R988" i="10" s="1"/>
  <c r="N989" i="10"/>
  <c r="O989" i="10"/>
  <c r="R989" i="10" s="1"/>
  <c r="N990" i="10"/>
  <c r="O990" i="10"/>
  <c r="R990" i="10" s="1"/>
  <c r="N991" i="10"/>
  <c r="O991" i="10"/>
  <c r="R991" i="10" s="1"/>
  <c r="N992" i="10"/>
  <c r="O992" i="10"/>
  <c r="R992" i="10" s="1"/>
  <c r="N993" i="10"/>
  <c r="O993" i="10"/>
  <c r="R993" i="10" s="1"/>
  <c r="N994" i="10"/>
  <c r="O994" i="10"/>
  <c r="R994" i="10" s="1"/>
  <c r="N995" i="10"/>
  <c r="O995" i="10"/>
  <c r="R995" i="10" s="1"/>
  <c r="N996" i="10"/>
  <c r="O996" i="10" s="1"/>
  <c r="R996" i="10" s="1"/>
  <c r="N997" i="10"/>
  <c r="O997" i="10"/>
  <c r="R997" i="10" s="1"/>
  <c r="N998" i="10"/>
  <c r="O998" i="10"/>
  <c r="R998" i="10" s="1"/>
  <c r="N999" i="10"/>
  <c r="O999" i="10"/>
  <c r="R999" i="10" s="1"/>
  <c r="N1000" i="10"/>
  <c r="O1000" i="10"/>
  <c r="R1000" i="10" s="1"/>
  <c r="N1001" i="10"/>
  <c r="O1001" i="10"/>
  <c r="R1001" i="10" s="1"/>
  <c r="B9" i="13" l="1"/>
  <c r="B13" i="13" s="1"/>
  <c r="R2" i="10"/>
  <c r="B11" i="13" s="1"/>
  <c r="B12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F16A35-DF88-4C9C-AFB0-29A2349ECFEC}" keepAlive="1" name="Query - customers_clean" description="Connection to the 'customers_clean' query in the workbook." type="5" refreshedVersion="8" background="1" saveData="1">
    <dbPr connection="Provider=Microsoft.Mashup.OleDb.1;Data Source=$Workbook$;Location=customers_clean;Extended Properties=&quot;&quot;" command="SELECT * FROM [customers_clean]"/>
  </connection>
  <connection id="2" xr16:uid="{F0D39849-A914-47BB-9078-0C2A0CAAAB66}" keepAlive="1" name="Query - products_clean" description="Connection to the 'products_clean' query in the workbook." type="5" refreshedVersion="8" background="1" saveData="1">
    <dbPr connection="Provider=Microsoft.Mashup.OleDb.1;Data Source=$Workbook$;Location=products_clean;Extended Properties=&quot;&quot;" command="SELECT * FROM [products_clean]"/>
  </connection>
  <connection id="3" xr16:uid="{AF8EF969-E54D-481F-BFAD-CA79EC7EDD11}" keepAlive="1" name="Query - stores_clean" description="Connection to the 'stores_clean' query in the workbook." type="5" refreshedVersion="0" background="1" saveData="1">
    <dbPr connection="Provider=Microsoft.Mashup.OleDb.1;Data Source=$Workbook$;Location=stores_clean;Extended Properties=&quot;&quot;" command="SELECT * FROM [stores_clean]"/>
  </connection>
  <connection id="4" xr16:uid="{B5E16535-280B-45E0-A020-63AA2DEB7904}" keepAlive="1" name="Query - transactions_clean" description="Connection to the 'transactions_clean' query in the workbook." type="5" refreshedVersion="8" background="1" saveData="1">
    <dbPr connection="Provider=Microsoft.Mashup.OleDb.1;Data Source=$Workbook$;Location=transactions_clean;Extended Properties=&quot;&quot;" command="SELECT * FROM [transactions_clean]"/>
  </connection>
</connections>
</file>

<file path=xl/sharedStrings.xml><?xml version="1.0" encoding="utf-8"?>
<sst xmlns="http://schemas.openxmlformats.org/spreadsheetml/2006/main" count="54961" uniqueCount="17373">
  <si>
    <t>CustomerID</t>
  </si>
  <si>
    <t>CustomerName</t>
  </si>
  <si>
    <t>Gender</t>
  </si>
  <si>
    <t>Age</t>
  </si>
  <si>
    <t>City</t>
  </si>
  <si>
    <t>State</t>
  </si>
  <si>
    <t>Region</t>
  </si>
  <si>
    <t>SignupDate</t>
  </si>
  <si>
    <t>C00001</t>
  </si>
  <si>
    <t>Aryan Maharaj</t>
  </si>
  <si>
    <t>Male</t>
  </si>
  <si>
    <t>Delhi</t>
  </si>
  <si>
    <t>North</t>
  </si>
  <si>
    <t>C00002</t>
  </si>
  <si>
    <t>Udant Dewan</t>
  </si>
  <si>
    <t>Chennai</t>
  </si>
  <si>
    <t>Tamil Nadu</t>
  </si>
  <si>
    <t>South</t>
  </si>
  <si>
    <t>C00003</t>
  </si>
  <si>
    <t>Gagan Sami</t>
  </si>
  <si>
    <t>Mumbai</t>
  </si>
  <si>
    <t>Maharashtra</t>
  </si>
  <si>
    <t>West</t>
  </si>
  <si>
    <t>C00004</t>
  </si>
  <si>
    <t>Ayushman Chander</t>
  </si>
  <si>
    <t>C00005</t>
  </si>
  <si>
    <t>Viraj Tiwari</t>
  </si>
  <si>
    <t>Noida</t>
  </si>
  <si>
    <t>Uttar Pradesh</t>
  </si>
  <si>
    <t>C00006</t>
  </si>
  <si>
    <t>Rushil Saini</t>
  </si>
  <si>
    <t>Female</t>
  </si>
  <si>
    <t>C00007</t>
  </si>
  <si>
    <t>Saumya Mall</t>
  </si>
  <si>
    <t>Coimbatore</t>
  </si>
  <si>
    <t>C00008</t>
  </si>
  <si>
    <t>Nathaniel Sami</t>
  </si>
  <si>
    <t>Ahmedabad</t>
  </si>
  <si>
    <t>Gujarat</t>
  </si>
  <si>
    <t>C00009</t>
  </si>
  <si>
    <t>Arunima Dugal</t>
  </si>
  <si>
    <t>Bengaluru</t>
  </si>
  <si>
    <t>Karnataka</t>
  </si>
  <si>
    <t>C00010</t>
  </si>
  <si>
    <t>Gayathri Chaudry</t>
  </si>
  <si>
    <t>Kochi</t>
  </si>
  <si>
    <t>Kerala</t>
  </si>
  <si>
    <t>C00011</t>
  </si>
  <si>
    <t>Lajita Chatterjee</t>
  </si>
  <si>
    <t>Unknown</t>
  </si>
  <si>
    <t>C00012</t>
  </si>
  <si>
    <t>Hemangini Lalla</t>
  </si>
  <si>
    <t>C00013</t>
  </si>
  <si>
    <t>Tripti Yadav</t>
  </si>
  <si>
    <t>C00014</t>
  </si>
  <si>
    <t>Kritika Brar</t>
  </si>
  <si>
    <t>C00015</t>
  </si>
  <si>
    <t>Janaki Handa</t>
  </si>
  <si>
    <t>C00016</t>
  </si>
  <si>
    <t>Chakradev Kari</t>
  </si>
  <si>
    <t>Nagpur</t>
  </si>
  <si>
    <t>C00017</t>
  </si>
  <si>
    <t>Fariq Kaul</t>
  </si>
  <si>
    <t>Jaipur</t>
  </si>
  <si>
    <t>Rajasthan</t>
  </si>
  <si>
    <t>C00018</t>
  </si>
  <si>
    <t>Lajita Mall</t>
  </si>
  <si>
    <t>C00019</t>
  </si>
  <si>
    <t>Janya Gaba</t>
  </si>
  <si>
    <t>Chandigarh</t>
  </si>
  <si>
    <t>C00020</t>
  </si>
  <si>
    <t>Isha Kadakia</t>
  </si>
  <si>
    <t>C00021</t>
  </si>
  <si>
    <t>Ekbal Garg</t>
  </si>
  <si>
    <t>C00022</t>
  </si>
  <si>
    <t>Nihal Shere</t>
  </si>
  <si>
    <t>Bhubaneswar</t>
  </si>
  <si>
    <t>Odisha</t>
  </si>
  <si>
    <t>East</t>
  </si>
  <si>
    <t>C00023</t>
  </si>
  <si>
    <t>Anamika Kanda</t>
  </si>
  <si>
    <t>C00024</t>
  </si>
  <si>
    <t>Daksh Karnik</t>
  </si>
  <si>
    <t>C00025</t>
  </si>
  <si>
    <t>Diya Rattan</t>
  </si>
  <si>
    <t>C00026</t>
  </si>
  <si>
    <t>Dominic Kakar</t>
  </si>
  <si>
    <t>Kolkata</t>
  </si>
  <si>
    <t>West Bengal</t>
  </si>
  <si>
    <t>C00027</t>
  </si>
  <si>
    <t>Simon Tata</t>
  </si>
  <si>
    <t>Patna</t>
  </si>
  <si>
    <t>Bihar</t>
  </si>
  <si>
    <t>C00028</t>
  </si>
  <si>
    <t>Tara Dhar</t>
  </si>
  <si>
    <t>C00029</t>
  </si>
  <si>
    <t>Liam Koshy</t>
  </si>
  <si>
    <t>C00030</t>
  </si>
  <si>
    <t>Priya Rastogi</t>
  </si>
  <si>
    <t>C00031</t>
  </si>
  <si>
    <t>Theodore Devi</t>
  </si>
  <si>
    <t>Pune</t>
  </si>
  <si>
    <t>C00032</t>
  </si>
  <si>
    <t>Gavin Batta</t>
  </si>
  <si>
    <t>C00033</t>
  </si>
  <si>
    <t>Michael Dutta</t>
  </si>
  <si>
    <t>C00034</t>
  </si>
  <si>
    <t>Devansh Rajan</t>
  </si>
  <si>
    <t>C00035</t>
  </si>
  <si>
    <t>Upadhriti Wadhwa</t>
  </si>
  <si>
    <t>C00036</t>
  </si>
  <si>
    <t>Advay Contractor</t>
  </si>
  <si>
    <t>Guwahati</t>
  </si>
  <si>
    <t>Assam</t>
  </si>
  <si>
    <t>C00037</t>
  </si>
  <si>
    <t>Harini Choudhury</t>
  </si>
  <si>
    <t>C00038</t>
  </si>
  <si>
    <t>Radhika Dugar</t>
  </si>
  <si>
    <t>C00039</t>
  </si>
  <si>
    <t>Aarush Lall</t>
  </si>
  <si>
    <t>C00040</t>
  </si>
  <si>
    <t>Yashica Cherian</t>
  </si>
  <si>
    <t>C00041</t>
  </si>
  <si>
    <t>Yashica Issac</t>
  </si>
  <si>
    <t>C00042</t>
  </si>
  <si>
    <t>Kashvi Edwin</t>
  </si>
  <si>
    <t>C00043</t>
  </si>
  <si>
    <t>Ekiya Suresh</t>
  </si>
  <si>
    <t>Ranchi</t>
  </si>
  <si>
    <t>Jharkhand</t>
  </si>
  <si>
    <t>C00044</t>
  </si>
  <si>
    <t>Isaac Patil</t>
  </si>
  <si>
    <t>C00045</t>
  </si>
  <si>
    <t>Wriddhish Bhardwaj</t>
  </si>
  <si>
    <t>Lucknow</t>
  </si>
  <si>
    <t>C00046</t>
  </si>
  <si>
    <t>Farhan Chada</t>
  </si>
  <si>
    <t>C00047</t>
  </si>
  <si>
    <t>Ekapad Walia</t>
  </si>
  <si>
    <t>C00048</t>
  </si>
  <si>
    <t>Kabir Soman</t>
  </si>
  <si>
    <t>C00049</t>
  </si>
  <si>
    <t>Alka Wable</t>
  </si>
  <si>
    <t>C00050</t>
  </si>
  <si>
    <t>Siddharth Zacharia</t>
  </si>
  <si>
    <t>C00051</t>
  </si>
  <si>
    <t>Devika Rastogi</t>
  </si>
  <si>
    <t>C00052</t>
  </si>
  <si>
    <t>Raksha Varughese</t>
  </si>
  <si>
    <t>Surat</t>
  </si>
  <si>
    <t>C00053</t>
  </si>
  <si>
    <t>Jai Kota</t>
  </si>
  <si>
    <t>C00054</t>
  </si>
  <si>
    <t>Devansh Nigam</t>
  </si>
  <si>
    <t>C00055</t>
  </si>
  <si>
    <t>Victor Kannan</t>
  </si>
  <si>
    <t>C00056</t>
  </si>
  <si>
    <t>Ekavir Bhargava</t>
  </si>
  <si>
    <t>C00057</t>
  </si>
  <si>
    <t>Ekansh Balay</t>
  </si>
  <si>
    <t>C00058</t>
  </si>
  <si>
    <t>Ekavir Varkey</t>
  </si>
  <si>
    <t>C00059</t>
  </si>
  <si>
    <t>Arya Sunder</t>
  </si>
  <si>
    <t>C00060</t>
  </si>
  <si>
    <t>Kevin Solanki</t>
  </si>
  <si>
    <t>C00061</t>
  </si>
  <si>
    <t>Urvashi Ray</t>
  </si>
  <si>
    <t>C00062</t>
  </si>
  <si>
    <t>Girindra Chatterjee</t>
  </si>
  <si>
    <t>C00063</t>
  </si>
  <si>
    <t>Irya Sampath</t>
  </si>
  <si>
    <t>C00064</t>
  </si>
  <si>
    <t>Unni Bhagat</t>
  </si>
  <si>
    <t>C00065</t>
  </si>
  <si>
    <t>Darsh Rau</t>
  </si>
  <si>
    <t>C00066</t>
  </si>
  <si>
    <t>Ikbal Kothari</t>
  </si>
  <si>
    <t>C00067</t>
  </si>
  <si>
    <t>Ranveer Yadav</t>
  </si>
  <si>
    <t>C00068</t>
  </si>
  <si>
    <t>Logan Sami</t>
  </si>
  <si>
    <t>C00069</t>
  </si>
  <si>
    <t>Arya Shere</t>
  </si>
  <si>
    <t>C00070</t>
  </si>
  <si>
    <t>Faqid Savant</t>
  </si>
  <si>
    <t>C00071</t>
  </si>
  <si>
    <t>Chandresh Zachariah</t>
  </si>
  <si>
    <t>C00072</t>
  </si>
  <si>
    <t>Girik Khalsa</t>
  </si>
  <si>
    <t>C00073</t>
  </si>
  <si>
    <t>Niharika Sunder</t>
  </si>
  <si>
    <t>C00074</t>
  </si>
  <si>
    <t>Tanay Rattan</t>
  </si>
  <si>
    <t>C00075</t>
  </si>
  <si>
    <t>Nitesh Raghavan</t>
  </si>
  <si>
    <t>C00076</t>
  </si>
  <si>
    <t>Madhavi Lanka</t>
  </si>
  <si>
    <t>C00077</t>
  </si>
  <si>
    <t>Bhavika Sampath</t>
  </si>
  <si>
    <t>C00078</t>
  </si>
  <si>
    <t>Mohammed Gupta</t>
  </si>
  <si>
    <t>C00079</t>
  </si>
  <si>
    <t>Teerth Bhardwaj</t>
  </si>
  <si>
    <t>C00080</t>
  </si>
  <si>
    <t>Dipta Bhandari</t>
  </si>
  <si>
    <t>C00081</t>
  </si>
  <si>
    <t>Vansha Thakkar</t>
  </si>
  <si>
    <t>C00082</t>
  </si>
  <si>
    <t>Dakshesh Trivedi</t>
  </si>
  <si>
    <t>C00083</t>
  </si>
  <si>
    <t>Quincy Biswas</t>
  </si>
  <si>
    <t>C00084</t>
  </si>
  <si>
    <t>Wahab Raval</t>
  </si>
  <si>
    <t>C00085</t>
  </si>
  <si>
    <t>Yatin Baral</t>
  </si>
  <si>
    <t>C00086</t>
  </si>
  <si>
    <t>Oni Virk</t>
  </si>
  <si>
    <t>Hyderabad</t>
  </si>
  <si>
    <t>Telangana</t>
  </si>
  <si>
    <t>C00087</t>
  </si>
  <si>
    <t>Advika Jayaraman</t>
  </si>
  <si>
    <t>C00088</t>
  </si>
  <si>
    <t>William Lanka</t>
  </si>
  <si>
    <t>C00089</t>
  </si>
  <si>
    <t>Karan Mital</t>
  </si>
  <si>
    <t>C00090</t>
  </si>
  <si>
    <t>Diya Bora</t>
  </si>
  <si>
    <t>C00091</t>
  </si>
  <si>
    <t>Tara Chaudhry</t>
  </si>
  <si>
    <t>C00092</t>
  </si>
  <si>
    <t>Tanay Toor</t>
  </si>
  <si>
    <t>C00093</t>
  </si>
  <si>
    <t>Kevin Palla</t>
  </si>
  <si>
    <t>C00094</t>
  </si>
  <si>
    <t>Yash Pingle</t>
  </si>
  <si>
    <t>C00095</t>
  </si>
  <si>
    <t>Nakul Sarma</t>
  </si>
  <si>
    <t>C00096</t>
  </si>
  <si>
    <t>Abhiram Mistry</t>
  </si>
  <si>
    <t>C00097</t>
  </si>
  <si>
    <t>Krish Lalla</t>
  </si>
  <si>
    <t>C00098</t>
  </si>
  <si>
    <t>Hredhaan Dugal</t>
  </si>
  <si>
    <t>C00099</t>
  </si>
  <si>
    <t>Baghyawati Kade</t>
  </si>
  <si>
    <t>C00100</t>
  </si>
  <si>
    <t>Samar Lalla</t>
  </si>
  <si>
    <t>C00101</t>
  </si>
  <si>
    <t>Zayan Behl</t>
  </si>
  <si>
    <t>C00102</t>
  </si>
  <si>
    <t>Pallavi Malhotra</t>
  </si>
  <si>
    <t>C00103</t>
  </si>
  <si>
    <t>Aarush Nath</t>
  </si>
  <si>
    <t>C00104</t>
  </si>
  <si>
    <t>Adweta Edwin</t>
  </si>
  <si>
    <t>C00105</t>
  </si>
  <si>
    <t>Prisha Andra</t>
  </si>
  <si>
    <t>C00106</t>
  </si>
  <si>
    <t>Faqid Dixit</t>
  </si>
  <si>
    <t>C00107</t>
  </si>
  <si>
    <t>Kala Divan</t>
  </si>
  <si>
    <t>C00108</t>
  </si>
  <si>
    <t>Joshua Barman</t>
  </si>
  <si>
    <t>C00109</t>
  </si>
  <si>
    <t>Janya Baral</t>
  </si>
  <si>
    <t>C00110</t>
  </si>
  <si>
    <t>Shivansh Krish</t>
  </si>
  <si>
    <t>C00111</t>
  </si>
  <si>
    <t>Irya Ray</t>
  </si>
  <si>
    <t>C00112</t>
  </si>
  <si>
    <t>Warjas Gaba</t>
  </si>
  <si>
    <t>C00113</t>
  </si>
  <si>
    <t>Nitara Bakshi</t>
  </si>
  <si>
    <t>C00114</t>
  </si>
  <si>
    <t>Gaurangi Sabharwal</t>
  </si>
  <si>
    <t>C00115</t>
  </si>
  <si>
    <t>Amara Dutta</t>
  </si>
  <si>
    <t>C00116</t>
  </si>
  <si>
    <t>Lavanya Barad</t>
  </si>
  <si>
    <t>C00117</t>
  </si>
  <si>
    <t>Tristan Iyengar</t>
  </si>
  <si>
    <t>C00118</t>
  </si>
  <si>
    <t>Inaya Mody</t>
  </si>
  <si>
    <t>C00119</t>
  </si>
  <si>
    <t>Udant Bajwa</t>
  </si>
  <si>
    <t>C00120</t>
  </si>
  <si>
    <t>Mohini Narasimhan</t>
  </si>
  <si>
    <t>C00121</t>
  </si>
  <si>
    <t>Ekaraj Mallick</t>
  </si>
  <si>
    <t>C00122</t>
  </si>
  <si>
    <t>Yashodhara Ratta</t>
  </si>
  <si>
    <t>C00123</t>
  </si>
  <si>
    <t>Ayaan D’Alia</t>
  </si>
  <si>
    <t>C00124</t>
  </si>
  <si>
    <t>Pranav Lanka</t>
  </si>
  <si>
    <t>C00125</t>
  </si>
  <si>
    <t>Ikbal Saraf</t>
  </si>
  <si>
    <t>C00126</t>
  </si>
  <si>
    <t>Dipta Sarin</t>
  </si>
  <si>
    <t>C00127</t>
  </si>
  <si>
    <t>Lekha Gupta</t>
  </si>
  <si>
    <t>C00128</t>
  </si>
  <si>
    <t>Chaitanya Sarin</t>
  </si>
  <si>
    <t>C00129</t>
  </si>
  <si>
    <t>Zinal Yohannan</t>
  </si>
  <si>
    <t>C00130</t>
  </si>
  <si>
    <t>Januja Sankar</t>
  </si>
  <si>
    <t>C00131</t>
  </si>
  <si>
    <t>Ganga Murthy</t>
  </si>
  <si>
    <t>C00132</t>
  </si>
  <si>
    <t>Charita Tripathi</t>
  </si>
  <si>
    <t>C00133</t>
  </si>
  <si>
    <t>Nilima Narain</t>
  </si>
  <si>
    <t>C00134</t>
  </si>
  <si>
    <t>Chakrika Datta</t>
  </si>
  <si>
    <t>C00135</t>
  </si>
  <si>
    <t>Osha Raghavan</t>
  </si>
  <si>
    <t>C00136</t>
  </si>
  <si>
    <t>Charvi Ravi</t>
  </si>
  <si>
    <t>C00137</t>
  </si>
  <si>
    <t>Daksha Mangat</t>
  </si>
  <si>
    <t>C00138</t>
  </si>
  <si>
    <t>Qushi Nagy</t>
  </si>
  <si>
    <t>C00139</t>
  </si>
  <si>
    <t>Riya Sathe</t>
  </si>
  <si>
    <t>C00140</t>
  </si>
  <si>
    <t>Yasti Solanki</t>
  </si>
  <si>
    <t>C00141</t>
  </si>
  <si>
    <t>Frado Mander</t>
  </si>
  <si>
    <t>C00142</t>
  </si>
  <si>
    <t>Girik Keer</t>
  </si>
  <si>
    <t>C00143</t>
  </si>
  <si>
    <t>Umang Issac</t>
  </si>
  <si>
    <t>C00144</t>
  </si>
  <si>
    <t>Aryan Batra</t>
  </si>
  <si>
    <t>C00145</t>
  </si>
  <si>
    <t>Vaishnavi Bora</t>
  </si>
  <si>
    <t>C00146</t>
  </si>
  <si>
    <t>Oeshi Hayer</t>
  </si>
  <si>
    <t>C00147</t>
  </si>
  <si>
    <t>Warda Ratta</t>
  </si>
  <si>
    <t>C00148</t>
  </si>
  <si>
    <t>Manbir Ahluwalia</t>
  </si>
  <si>
    <t>C00149</t>
  </si>
  <si>
    <t>Pavani Kanda</t>
  </si>
  <si>
    <t>C00150</t>
  </si>
  <si>
    <t>Zarna Shetty</t>
  </si>
  <si>
    <t>C00151</t>
  </si>
  <si>
    <t>Zaid Dara</t>
  </si>
  <si>
    <t>C00152</t>
  </si>
  <si>
    <t>Kiaan Shetty</t>
  </si>
  <si>
    <t>C00153</t>
  </si>
  <si>
    <t>Saanvi Thaman</t>
  </si>
  <si>
    <t>C00154</t>
  </si>
  <si>
    <t>Sanaya Dutt</t>
  </si>
  <si>
    <t>C00155</t>
  </si>
  <si>
    <t>Shivani Lad</t>
  </si>
  <si>
    <t>C00156</t>
  </si>
  <si>
    <t>Aradhana Verma</t>
  </si>
  <si>
    <t>C00157</t>
  </si>
  <si>
    <t>William Maharaj</t>
  </si>
  <si>
    <t>C00158</t>
  </si>
  <si>
    <t>Faras Mangal</t>
  </si>
  <si>
    <t>C00159</t>
  </si>
  <si>
    <t>Anita Nayak</t>
  </si>
  <si>
    <t>C00160</t>
  </si>
  <si>
    <t>Faris Devi</t>
  </si>
  <si>
    <t>C00161</t>
  </si>
  <si>
    <t>Vihaan Rajagopal</t>
  </si>
  <si>
    <t>C00162</t>
  </si>
  <si>
    <t>Tanish Bhatt</t>
  </si>
  <si>
    <t>C00163</t>
  </si>
  <si>
    <t>Nikita Narayanan</t>
  </si>
  <si>
    <t>C00164</t>
  </si>
  <si>
    <t>Ojasvi Bhatia</t>
  </si>
  <si>
    <t>C00165</t>
  </si>
  <si>
    <t>Osha Ramachandran</t>
  </si>
  <si>
    <t>C00166</t>
  </si>
  <si>
    <t>Lajita Sood</t>
  </si>
  <si>
    <t>C00167</t>
  </si>
  <si>
    <t>Indira Misra</t>
  </si>
  <si>
    <t>C00168</t>
  </si>
  <si>
    <t>Oni Yohannan</t>
  </si>
  <si>
    <t>C00169</t>
  </si>
  <si>
    <t>Vinaya Kanda</t>
  </si>
  <si>
    <t>C00170</t>
  </si>
  <si>
    <t>Rajata Sunder</t>
  </si>
  <si>
    <t>C00171</t>
  </si>
  <si>
    <t>Lopa Nayar</t>
  </si>
  <si>
    <t>C00172</t>
  </si>
  <si>
    <t>Noah Sibal</t>
  </si>
  <si>
    <t>C00173</t>
  </si>
  <si>
    <t>Avi Ramesh</t>
  </si>
  <si>
    <t>C00174</t>
  </si>
  <si>
    <t>Fiyaz Sangha</t>
  </si>
  <si>
    <t>C00175</t>
  </si>
  <si>
    <t>Triya Gopal</t>
  </si>
  <si>
    <t>C00176</t>
  </si>
  <si>
    <t>Abha Raghavan</t>
  </si>
  <si>
    <t>C00177</t>
  </si>
  <si>
    <t>Siddharth Sha</t>
  </si>
  <si>
    <t>C00178</t>
  </si>
  <si>
    <t>Geetika Raghavan</t>
  </si>
  <si>
    <t>C00179</t>
  </si>
  <si>
    <t>Oviya Krishnan</t>
  </si>
  <si>
    <t>C00180</t>
  </si>
  <si>
    <t>Upma Bahl</t>
  </si>
  <si>
    <t>C00181</t>
  </si>
  <si>
    <t>Inaya Kapur</t>
  </si>
  <si>
    <t>C00182</t>
  </si>
  <si>
    <t>Banjeet Balasubramanian</t>
  </si>
  <si>
    <t>C00183</t>
  </si>
  <si>
    <t>Ryan Bahri</t>
  </si>
  <si>
    <t>C00184</t>
  </si>
  <si>
    <t>William Date</t>
  </si>
  <si>
    <t>C00185</t>
  </si>
  <si>
    <t>Ishwar Kamdar</t>
  </si>
  <si>
    <t>C00186</t>
  </si>
  <si>
    <t>Aahana Pillay</t>
  </si>
  <si>
    <t>C00187</t>
  </si>
  <si>
    <t>Ishwar Gade</t>
  </si>
  <si>
    <t>C00188</t>
  </si>
  <si>
    <t>Hritik Bal</t>
  </si>
  <si>
    <t>C00189</t>
  </si>
  <si>
    <t>Keya Ranganathan</t>
  </si>
  <si>
    <t>C00190</t>
  </si>
  <si>
    <t>Faqid Kibe</t>
  </si>
  <si>
    <t>C00191</t>
  </si>
  <si>
    <t>Charvi Dara</t>
  </si>
  <si>
    <t>C00192</t>
  </si>
  <si>
    <t>Idika Walia</t>
  </si>
  <si>
    <t>C00193</t>
  </si>
  <si>
    <t>Kamala Biswas</t>
  </si>
  <si>
    <t>C00194</t>
  </si>
  <si>
    <t>Advik Salvi</t>
  </si>
  <si>
    <t>C00195</t>
  </si>
  <si>
    <t>Hitesh Sant</t>
  </si>
  <si>
    <t>C00196</t>
  </si>
  <si>
    <t>Tripti Dua</t>
  </si>
  <si>
    <t>C00197</t>
  </si>
  <si>
    <t>Patrick Vig</t>
  </si>
  <si>
    <t>C00198</t>
  </si>
  <si>
    <t>Veda Shroff</t>
  </si>
  <si>
    <t>C00199</t>
  </si>
  <si>
    <t>Amrita Naidu</t>
  </si>
  <si>
    <t>C00200</t>
  </si>
  <si>
    <t>Gabriel Mallick</t>
  </si>
  <si>
    <t>C00201</t>
  </si>
  <si>
    <t>Yagnesh Shetty</t>
  </si>
  <si>
    <t>C00202</t>
  </si>
  <si>
    <t>Gayathri Balakrishnan</t>
  </si>
  <si>
    <t>C00203</t>
  </si>
  <si>
    <t>Ekta Gopal</t>
  </si>
  <si>
    <t>C00204</t>
  </si>
  <si>
    <t>Simon Pant</t>
  </si>
  <si>
    <t>C00205</t>
  </si>
  <si>
    <t>Harini Mammen</t>
  </si>
  <si>
    <t>C00206</t>
  </si>
  <si>
    <t>Advaith Varughese</t>
  </si>
  <si>
    <t>C00207</t>
  </si>
  <si>
    <t>Frederick Khurana</t>
  </si>
  <si>
    <t>C00208</t>
  </si>
  <si>
    <t>Vrinda Khosla</t>
  </si>
  <si>
    <t>C00209</t>
  </si>
  <si>
    <t>Vritti Sem</t>
  </si>
  <si>
    <t>C00210</t>
  </si>
  <si>
    <t>Girik Menon</t>
  </si>
  <si>
    <t>C00211</t>
  </si>
  <si>
    <t>Nidhi Kohli</t>
  </si>
  <si>
    <t>C00212</t>
  </si>
  <si>
    <t>Jyoti Solanki</t>
  </si>
  <si>
    <t>C00213</t>
  </si>
  <si>
    <t>Pavani Narayanan</t>
  </si>
  <si>
    <t>C00214</t>
  </si>
  <si>
    <t>Sudiksha Madan</t>
  </si>
  <si>
    <t>C00215</t>
  </si>
  <si>
    <t>Zayan Kashyap</t>
  </si>
  <si>
    <t>C00216</t>
  </si>
  <si>
    <t>Reyansh Mutti</t>
  </si>
  <si>
    <t>C00217</t>
  </si>
  <si>
    <t>Qasim Handa</t>
  </si>
  <si>
    <t>C00218</t>
  </si>
  <si>
    <t>Veda Malhotra</t>
  </si>
  <si>
    <t>C00219</t>
  </si>
  <si>
    <t>Harish Hari</t>
  </si>
  <si>
    <t>C00220</t>
  </si>
  <si>
    <t>Utkarsh Patel</t>
  </si>
  <si>
    <t>C00221</t>
  </si>
  <si>
    <t>Chasmum Atwal</t>
  </si>
  <si>
    <t>C00222</t>
  </si>
  <si>
    <t>Anusha Bath</t>
  </si>
  <si>
    <t>C00223</t>
  </si>
  <si>
    <t>Brinda Date</t>
  </si>
  <si>
    <t>C00224</t>
  </si>
  <si>
    <t>Harshil Arora</t>
  </si>
  <si>
    <t>C00225</t>
  </si>
  <si>
    <t>Upasna Srinivas</t>
  </si>
  <si>
    <t>C00226</t>
  </si>
  <si>
    <t>Harini Gour</t>
  </si>
  <si>
    <t>C00227</t>
  </si>
  <si>
    <t>Zayyan Sridhar</t>
  </si>
  <si>
    <t>C00228</t>
  </si>
  <si>
    <t>Dhruv Rattan</t>
  </si>
  <si>
    <t>C00229</t>
  </si>
  <si>
    <t>Ethan Bera</t>
  </si>
  <si>
    <t>C00230</t>
  </si>
  <si>
    <t>Manthan Modi</t>
  </si>
  <si>
    <t>C00231</t>
  </si>
  <si>
    <t>Yuvraj Dani</t>
  </si>
  <si>
    <t>C00232</t>
  </si>
  <si>
    <t>Upkaar Virk</t>
  </si>
  <si>
    <t>C00233</t>
  </si>
  <si>
    <t>Shravya Savant</t>
  </si>
  <si>
    <t>C00234</t>
  </si>
  <si>
    <t>Pushti Mody</t>
  </si>
  <si>
    <t>C00235</t>
  </si>
  <si>
    <t>Hardik Johal</t>
  </si>
  <si>
    <t>C00236</t>
  </si>
  <si>
    <t>Aishani Bumb</t>
  </si>
  <si>
    <t>C00237</t>
  </si>
  <si>
    <t>Wriddhish Ghose</t>
  </si>
  <si>
    <t>C00238</t>
  </si>
  <si>
    <t>Naksh Agate</t>
  </si>
  <si>
    <t>C00239</t>
  </si>
  <si>
    <t>Shravya Singhal</t>
  </si>
  <si>
    <t>C00240</t>
  </si>
  <si>
    <t>Bachittar Kata</t>
  </si>
  <si>
    <t>C00241</t>
  </si>
  <si>
    <t>Barkha Setty</t>
  </si>
  <si>
    <t>C00242</t>
  </si>
  <si>
    <t>Vivaan Lalla</t>
  </si>
  <si>
    <t>C00243</t>
  </si>
  <si>
    <t>Pavani Contractor</t>
  </si>
  <si>
    <t>C00244</t>
  </si>
  <si>
    <t>Manthan Lata</t>
  </si>
  <si>
    <t>C00245</t>
  </si>
  <si>
    <t>Ekbal Bhasin</t>
  </si>
  <si>
    <t>C00246</t>
  </si>
  <si>
    <t>Damyanti Mani</t>
  </si>
  <si>
    <t>C00247</t>
  </si>
  <si>
    <t>Jeet Sidhu</t>
  </si>
  <si>
    <t>C00248</t>
  </si>
  <si>
    <t>Neha Magar</t>
  </si>
  <si>
    <t>C00249</t>
  </si>
  <si>
    <t>Raksha Buch</t>
  </si>
  <si>
    <t>C00250</t>
  </si>
  <si>
    <t>Rachana Naidu</t>
  </si>
  <si>
    <t>C00251</t>
  </si>
  <si>
    <t>Atharv Chand</t>
  </si>
  <si>
    <t>C00252</t>
  </si>
  <si>
    <t>Ansh Luthra</t>
  </si>
  <si>
    <t>C00253</t>
  </si>
  <si>
    <t>Parth Singhal</t>
  </si>
  <si>
    <t>C00254</t>
  </si>
  <si>
    <t>Arunima Golla</t>
  </si>
  <si>
    <t>C00255</t>
  </si>
  <si>
    <t>Vyanjana Chand</t>
  </si>
  <si>
    <t>C00256</t>
  </si>
  <si>
    <t>Ijaya Rege</t>
  </si>
  <si>
    <t>C00257</t>
  </si>
  <si>
    <t>Ekani Cheema</t>
  </si>
  <si>
    <t>C00258</t>
  </si>
  <si>
    <t>Forum Sabharwal</t>
  </si>
  <si>
    <t>C00259</t>
  </si>
  <si>
    <t>Bhavya Rattan</t>
  </si>
  <si>
    <t>C00260</t>
  </si>
  <si>
    <t>Suhani Chakrabarti</t>
  </si>
  <si>
    <t>C00261</t>
  </si>
  <si>
    <t>Zayyan Naik</t>
  </si>
  <si>
    <t>C00262</t>
  </si>
  <si>
    <t>Netra Varkey</t>
  </si>
  <si>
    <t>C00263</t>
  </si>
  <si>
    <t>Turvi Sachdev</t>
  </si>
  <si>
    <t>C00264</t>
  </si>
  <si>
    <t>Raghav Vasa</t>
  </si>
  <si>
    <t>C00265</t>
  </si>
  <si>
    <t>Wishi Sathe</t>
  </si>
  <si>
    <t>C00266</t>
  </si>
  <si>
    <t>Samar Loke</t>
  </si>
  <si>
    <t>C00267</t>
  </si>
  <si>
    <t>Bhavna Sarma</t>
  </si>
  <si>
    <t>C00268</t>
  </si>
  <si>
    <t>Jairaj Balakrishnan</t>
  </si>
  <si>
    <t>C00269</t>
  </si>
  <si>
    <t>Nathan Mukhopadhyay</t>
  </si>
  <si>
    <t>C00270</t>
  </si>
  <si>
    <t>Nikita Chander</t>
  </si>
  <si>
    <t>C00271</t>
  </si>
  <si>
    <t>Ishaan Shenoy</t>
  </si>
  <si>
    <t>C00272</t>
  </si>
  <si>
    <t>Mitesh Tara</t>
  </si>
  <si>
    <t>C00273</t>
  </si>
  <si>
    <t>Yashodhara Mahajan</t>
  </si>
  <si>
    <t>C00274</t>
  </si>
  <si>
    <t>Vasudha Sodhi</t>
  </si>
  <si>
    <t>C00275</t>
  </si>
  <si>
    <t>Tanmayi Dhillon</t>
  </si>
  <si>
    <t>C00276</t>
  </si>
  <si>
    <t>Rayaan Trivedi</t>
  </si>
  <si>
    <t>C00277</t>
  </si>
  <si>
    <t>Ekaraj Majumdar</t>
  </si>
  <si>
    <t>C00278</t>
  </si>
  <si>
    <t>Harini Tripathi</t>
  </si>
  <si>
    <t>C00279</t>
  </si>
  <si>
    <t>Aarnav Mandal</t>
  </si>
  <si>
    <t>C00280</t>
  </si>
  <si>
    <t>Vrishti Dixit</t>
  </si>
  <si>
    <t>C00281</t>
  </si>
  <si>
    <t>Veda Pai</t>
  </si>
  <si>
    <t>C00282</t>
  </si>
  <si>
    <t>Krishna Shah</t>
  </si>
  <si>
    <t>C00283</t>
  </si>
  <si>
    <t>Ranbir Khare</t>
  </si>
  <si>
    <t>C00284</t>
  </si>
  <si>
    <t>Vivaan Roy</t>
  </si>
  <si>
    <t>C00285</t>
  </si>
  <si>
    <t>Eesha Solanki</t>
  </si>
  <si>
    <t>C00286</t>
  </si>
  <si>
    <t>Libni Doshi</t>
  </si>
  <si>
    <t>C00287</t>
  </si>
  <si>
    <t>Balhaar Date</t>
  </si>
  <si>
    <t>C00288</t>
  </si>
  <si>
    <t>Harish Sarraf</t>
  </si>
  <si>
    <t>C00289</t>
  </si>
  <si>
    <t>Tanmayi Aurora</t>
  </si>
  <si>
    <t>C00290</t>
  </si>
  <si>
    <t>Nimrat Dubey</t>
  </si>
  <si>
    <t>C00291</t>
  </si>
  <si>
    <t>Upasna Lanka</t>
  </si>
  <si>
    <t>C00292</t>
  </si>
  <si>
    <t>Mitali Buch</t>
  </si>
  <si>
    <t>C00293</t>
  </si>
  <si>
    <t>Lajita Nadig</t>
  </si>
  <si>
    <t>C00294</t>
  </si>
  <si>
    <t>Balendra Biswas</t>
  </si>
  <si>
    <t>C00295</t>
  </si>
  <si>
    <t>Bhavna Karan</t>
  </si>
  <si>
    <t>C00296</t>
  </si>
  <si>
    <t>Radha Chaudhari</t>
  </si>
  <si>
    <t>C00297</t>
  </si>
  <si>
    <t>Sachi Ganesan</t>
  </si>
  <si>
    <t>C00298</t>
  </si>
  <si>
    <t>Ayush Batra</t>
  </si>
  <si>
    <t>C00299</t>
  </si>
  <si>
    <t>Daksh Memon</t>
  </si>
  <si>
    <t>C00300</t>
  </si>
  <si>
    <t>Kavya Sankar</t>
  </si>
  <si>
    <t>C00301</t>
  </si>
  <si>
    <t>Yash Wali</t>
  </si>
  <si>
    <t>C00302</t>
  </si>
  <si>
    <t>Pranit Garde</t>
  </si>
  <si>
    <t>C00303</t>
  </si>
  <si>
    <t>Farhan Raja</t>
  </si>
  <si>
    <t>C00304</t>
  </si>
  <si>
    <t>Widisha Dhar</t>
  </si>
  <si>
    <t>C00305</t>
  </si>
  <si>
    <t>Triya Kumar</t>
  </si>
  <si>
    <t>C00306</t>
  </si>
  <si>
    <t>Aadhya Andra</t>
  </si>
  <si>
    <t>C00307</t>
  </si>
  <si>
    <t>Bhavna Dugar</t>
  </si>
  <si>
    <t>C00308</t>
  </si>
  <si>
    <t>Riya Pai</t>
  </si>
  <si>
    <t>C00309</t>
  </si>
  <si>
    <t>Panini Krishna</t>
  </si>
  <si>
    <t>C00310</t>
  </si>
  <si>
    <t>Chasmum Issac</t>
  </si>
  <si>
    <t>C00311</t>
  </si>
  <si>
    <t>Vasudha Chhabra</t>
  </si>
  <si>
    <t>C00312</t>
  </si>
  <si>
    <t>Lakshmi Parmer</t>
  </si>
  <si>
    <t>C00313</t>
  </si>
  <si>
    <t>Chakrika Bains</t>
  </si>
  <si>
    <t>C00314</t>
  </si>
  <si>
    <t>Anvi Anand</t>
  </si>
  <si>
    <t>C00315</t>
  </si>
  <si>
    <t>Watika Mangat</t>
  </si>
  <si>
    <t>C00316</t>
  </si>
  <si>
    <t>Indira Kanda</t>
  </si>
  <si>
    <t>C00317</t>
  </si>
  <si>
    <t>Zashil Devan</t>
  </si>
  <si>
    <t>C00318</t>
  </si>
  <si>
    <t>Balveer More</t>
  </si>
  <si>
    <t>C00319</t>
  </si>
  <si>
    <t>Bahadurjit Patla</t>
  </si>
  <si>
    <t>C00320</t>
  </si>
  <si>
    <t>Gautam Merchant</t>
  </si>
  <si>
    <t>C00321</t>
  </si>
  <si>
    <t>Ojasvi Gill</t>
  </si>
  <si>
    <t>C00322</t>
  </si>
  <si>
    <t>Kevin Zacharia</t>
  </si>
  <si>
    <t>C00323</t>
  </si>
  <si>
    <t>Yachana Mahajan</t>
  </si>
  <si>
    <t>C00324</t>
  </si>
  <si>
    <t>Aarini Subramaniam</t>
  </si>
  <si>
    <t>C00325</t>
  </si>
  <si>
    <t>Hamsini Contractor</t>
  </si>
  <si>
    <t>C00326</t>
  </si>
  <si>
    <t>Faqid Dhaliwal</t>
  </si>
  <si>
    <t>C00327</t>
  </si>
  <si>
    <t>Mekhala Pau</t>
  </si>
  <si>
    <t>C00328</t>
  </si>
  <si>
    <t>Megha Atwal</t>
  </si>
  <si>
    <t>C00329</t>
  </si>
  <si>
    <t>Jatin Sha</t>
  </si>
  <si>
    <t>C00330</t>
  </si>
  <si>
    <t>Adweta Raj</t>
  </si>
  <si>
    <t>C00331</t>
  </si>
  <si>
    <t>Hritik Kaur</t>
  </si>
  <si>
    <t>C00332</t>
  </si>
  <si>
    <t>Aryan Narang</t>
  </si>
  <si>
    <t>C00333</t>
  </si>
  <si>
    <t>Dev Shetty</t>
  </si>
  <si>
    <t>C00334</t>
  </si>
  <si>
    <t>Nilima Dada</t>
  </si>
  <si>
    <t>C00335</t>
  </si>
  <si>
    <t>Chakradev Barad</t>
  </si>
  <si>
    <t>C00336</t>
  </si>
  <si>
    <t>Waida D’Alia</t>
  </si>
  <si>
    <t>C00337</t>
  </si>
  <si>
    <t>Wahab Yogi</t>
  </si>
  <si>
    <t>C00338</t>
  </si>
  <si>
    <t>Lipika Setty</t>
  </si>
  <si>
    <t>C00339</t>
  </si>
  <si>
    <t>Oni Dubey</t>
  </si>
  <si>
    <t>C00340</t>
  </si>
  <si>
    <t>Hardik Suri</t>
  </si>
  <si>
    <t>C00341</t>
  </si>
  <si>
    <t>Ati Bali</t>
  </si>
  <si>
    <t>C00342</t>
  </si>
  <si>
    <t>Teerth Sawhney</t>
  </si>
  <si>
    <t>C00343</t>
  </si>
  <si>
    <t>Warinder Patil</t>
  </si>
  <si>
    <t>C00344</t>
  </si>
  <si>
    <t>Jhalak Parmer</t>
  </si>
  <si>
    <t>C00345</t>
  </si>
  <si>
    <t>Mitali Majumdar</t>
  </si>
  <si>
    <t>C00346</t>
  </si>
  <si>
    <t>Jason Sha</t>
  </si>
  <si>
    <t>C00347</t>
  </si>
  <si>
    <t>Simon Bail</t>
  </si>
  <si>
    <t>C00348</t>
  </si>
  <si>
    <t>Gauri Kohli</t>
  </si>
  <si>
    <t>C00349</t>
  </si>
  <si>
    <t>Samesh Biswas</t>
  </si>
  <si>
    <t>C00350</t>
  </si>
  <si>
    <t>Tarak Kaul</t>
  </si>
  <si>
    <t>C00351</t>
  </si>
  <si>
    <t>Manbir Agate</t>
  </si>
  <si>
    <t>C00352</t>
  </si>
  <si>
    <t>Maanav De</t>
  </si>
  <si>
    <t>C00353</t>
  </si>
  <si>
    <t>Owen Choudhary</t>
  </si>
  <si>
    <t>C00354</t>
  </si>
  <si>
    <t>Karan Aurora</t>
  </si>
  <si>
    <t>C00355</t>
  </si>
  <si>
    <t>Wazir Naik</t>
  </si>
  <si>
    <t>C00356</t>
  </si>
  <si>
    <t>Owen Lanka</t>
  </si>
  <si>
    <t>C00357</t>
  </si>
  <si>
    <t>Jonathan Sama</t>
  </si>
  <si>
    <t>C00358</t>
  </si>
  <si>
    <t>Devansh Soni</t>
  </si>
  <si>
    <t>C00359</t>
  </si>
  <si>
    <t>Janaki Varghese</t>
  </si>
  <si>
    <t>C00360</t>
  </si>
  <si>
    <t>Siya Thakur</t>
  </si>
  <si>
    <t>C00361</t>
  </si>
  <si>
    <t>Caleb Verma</t>
  </si>
  <si>
    <t>C00362</t>
  </si>
  <si>
    <t>Tara Balasubramanian</t>
  </si>
  <si>
    <t>C00363</t>
  </si>
  <si>
    <t>Varenya Ratti</t>
  </si>
  <si>
    <t>C00364</t>
  </si>
  <si>
    <t>Hritik Swaminathan</t>
  </si>
  <si>
    <t>C00365</t>
  </si>
  <si>
    <t>Ethan Buch</t>
  </si>
  <si>
    <t>C00366</t>
  </si>
  <si>
    <t>Manbir Bhatti</t>
  </si>
  <si>
    <t>C00367</t>
  </si>
  <si>
    <t>Anvi Nair</t>
  </si>
  <si>
    <t>C00368</t>
  </si>
  <si>
    <t>Chaitaly Setty</t>
  </si>
  <si>
    <t>C00369</t>
  </si>
  <si>
    <t>Hardik Contractor</t>
  </si>
  <si>
    <t>C00370</t>
  </si>
  <si>
    <t>Qushi Seth</t>
  </si>
  <si>
    <t>C00371</t>
  </si>
  <si>
    <t>Odika Nori</t>
  </si>
  <si>
    <t>C00372</t>
  </si>
  <si>
    <t>Mohini Sagar</t>
  </si>
  <si>
    <t>C00373</t>
  </si>
  <si>
    <t>Dhriti Sane</t>
  </si>
  <si>
    <t>C00374</t>
  </si>
  <si>
    <t>Aadhya Prasad</t>
  </si>
  <si>
    <t>C00375</t>
  </si>
  <si>
    <t>Urvi Bhavsar</t>
  </si>
  <si>
    <t>C00376</t>
  </si>
  <si>
    <t>Frederick Chander</t>
  </si>
  <si>
    <t>C00377</t>
  </si>
  <si>
    <t>Gopal Pradhan</t>
  </si>
  <si>
    <t>C00378</t>
  </si>
  <si>
    <t>Darpan Narayan</t>
  </si>
  <si>
    <t>C00379</t>
  </si>
  <si>
    <t>Nirja Pandya</t>
  </si>
  <si>
    <t>C00380</t>
  </si>
  <si>
    <t>Charan Mani</t>
  </si>
  <si>
    <t>C00381</t>
  </si>
  <si>
    <t>Indira Chawla</t>
  </si>
  <si>
    <t>C00382</t>
  </si>
  <si>
    <t>Mohammed Subramaniam</t>
  </si>
  <si>
    <t>C00383</t>
  </si>
  <si>
    <t>Hritik Palla</t>
  </si>
  <si>
    <t>C00384</t>
  </si>
  <si>
    <t>Ishwar Mallick</t>
  </si>
  <si>
    <t>C00385</t>
  </si>
  <si>
    <t>Pushti Bal</t>
  </si>
  <si>
    <t>C00386</t>
  </si>
  <si>
    <t>Ayush Gole</t>
  </si>
  <si>
    <t>C00387</t>
  </si>
  <si>
    <t>Dayamai Nori</t>
  </si>
  <si>
    <t>C00388</t>
  </si>
  <si>
    <t>Abeer Golla</t>
  </si>
  <si>
    <t>C00389</t>
  </si>
  <si>
    <t>Nandini Boase</t>
  </si>
  <si>
    <t>C00390</t>
  </si>
  <si>
    <t>Azaan Chand</t>
  </si>
  <si>
    <t>C00391</t>
  </si>
  <si>
    <t>Krisha Saini</t>
  </si>
  <si>
    <t>C00392</t>
  </si>
  <si>
    <t>Harita Dugar</t>
  </si>
  <si>
    <t>C00393</t>
  </si>
  <si>
    <t>Devika Nair</t>
  </si>
  <si>
    <t>C00394</t>
  </si>
  <si>
    <t>Charles Dugal</t>
  </si>
  <si>
    <t>C00395</t>
  </si>
  <si>
    <t>Chandran Bumb</t>
  </si>
  <si>
    <t>C00396</t>
  </si>
  <si>
    <t>Saanvi Samra</t>
  </si>
  <si>
    <t>C00397</t>
  </si>
  <si>
    <t>Riya Sachdeva</t>
  </si>
  <si>
    <t>C00398</t>
  </si>
  <si>
    <t>Tanveer Vala</t>
  </si>
  <si>
    <t>C00399</t>
  </si>
  <si>
    <t>Hemani Sani</t>
  </si>
  <si>
    <t>C00400</t>
  </si>
  <si>
    <t>Bhanumati Sur</t>
  </si>
  <si>
    <t>C00401</t>
  </si>
  <si>
    <t>Chakradev Kannan</t>
  </si>
  <si>
    <t>C00402</t>
  </si>
  <si>
    <t>Christopher Amble</t>
  </si>
  <si>
    <t>C00403</t>
  </si>
  <si>
    <t>Charvi Kakar</t>
  </si>
  <si>
    <t>C00404</t>
  </si>
  <si>
    <t>Aadhya Mann</t>
  </si>
  <si>
    <t>C00405</t>
  </si>
  <si>
    <t>Jagdish Amble</t>
  </si>
  <si>
    <t>C00406</t>
  </si>
  <si>
    <t>Qushi Gill</t>
  </si>
  <si>
    <t>C00407</t>
  </si>
  <si>
    <t>Lajita Walia</t>
  </si>
  <si>
    <t>C00408</t>
  </si>
  <si>
    <t>Xiti Pandya</t>
  </si>
  <si>
    <t>C00409</t>
  </si>
  <si>
    <t>Mekhala Basak</t>
  </si>
  <si>
    <t>C00410</t>
  </si>
  <si>
    <t>Anirudh Sharaf</t>
  </si>
  <si>
    <t>C00411</t>
  </si>
  <si>
    <t>Dhriti Sanghvi</t>
  </si>
  <si>
    <t>C00412</t>
  </si>
  <si>
    <t>Omisha Mann</t>
  </si>
  <si>
    <t>C00413</t>
  </si>
  <si>
    <t>Nidhi Bail</t>
  </si>
  <si>
    <t>C00414</t>
  </si>
  <si>
    <t>Onveer Sharma</t>
  </si>
  <si>
    <t>C00415</t>
  </si>
  <si>
    <t>Gaurang Sarkar</t>
  </si>
  <si>
    <t>C00416</t>
  </si>
  <si>
    <t>Yagnesh Sarin</t>
  </si>
  <si>
    <t>C00417</t>
  </si>
  <si>
    <t>Farhan Randhawa</t>
  </si>
  <si>
    <t>C00418</t>
  </si>
  <si>
    <t>Harinakshi Kant</t>
  </si>
  <si>
    <t>C00419</t>
  </si>
  <si>
    <t>Om Bose</t>
  </si>
  <si>
    <t>C00420</t>
  </si>
  <si>
    <t>Yashvi Hari</t>
  </si>
  <si>
    <t>C00421</t>
  </si>
  <si>
    <t>Indali Divan</t>
  </si>
  <si>
    <t>C00422</t>
  </si>
  <si>
    <t>Harshil Dhingra</t>
  </si>
  <si>
    <t>C00423</t>
  </si>
  <si>
    <t>Rudra Ghose</t>
  </si>
  <si>
    <t>C00424</t>
  </si>
  <si>
    <t>Faqid Goel</t>
  </si>
  <si>
    <t>C00425</t>
  </si>
  <si>
    <t>Ucchal Sen</t>
  </si>
  <si>
    <t>C00426</t>
  </si>
  <si>
    <t>Diya Dora</t>
  </si>
  <si>
    <t>C00427</t>
  </si>
  <si>
    <t>Ekansh Singh</t>
  </si>
  <si>
    <t>C00428</t>
  </si>
  <si>
    <t>Chavvi Maharaj</t>
  </si>
  <si>
    <t>C00429</t>
  </si>
  <si>
    <t>Indira Tripathi</t>
  </si>
  <si>
    <t>C00430</t>
  </si>
  <si>
    <t>Dayita Shenoy</t>
  </si>
  <si>
    <t>C00431</t>
  </si>
  <si>
    <t>Baljiwan Bhandari</t>
  </si>
  <si>
    <t>C00432</t>
  </si>
  <si>
    <t>Bhavini Bose</t>
  </si>
  <si>
    <t>C00433</t>
  </si>
  <si>
    <t>Yashica Rajagopalan</t>
  </si>
  <si>
    <t>C00434</t>
  </si>
  <si>
    <t>Benjamin Sengupta</t>
  </si>
  <si>
    <t>C00435</t>
  </si>
  <si>
    <t>Ekanta Soni</t>
  </si>
  <si>
    <t>C00436</t>
  </si>
  <si>
    <t>David Seshadri</t>
  </si>
  <si>
    <t>C00437</t>
  </si>
  <si>
    <t>Hemal Chad</t>
  </si>
  <si>
    <t>C00438</t>
  </si>
  <si>
    <t>Balveer Kota</t>
  </si>
  <si>
    <t>C00439</t>
  </si>
  <si>
    <t>Reva Viswanathan</t>
  </si>
  <si>
    <t>C00440</t>
  </si>
  <si>
    <t>Januja Pradhan</t>
  </si>
  <si>
    <t>C00441</t>
  </si>
  <si>
    <t>Lila Rege</t>
  </si>
  <si>
    <t>C00442</t>
  </si>
  <si>
    <t>Charles Natt</t>
  </si>
  <si>
    <t>C00443</t>
  </si>
  <si>
    <t>Forum Chandra</t>
  </si>
  <si>
    <t>C00444</t>
  </si>
  <si>
    <t>Bhanumati Krishnan</t>
  </si>
  <si>
    <t>C00445</t>
  </si>
  <si>
    <t>Gauri Bumb</t>
  </si>
  <si>
    <t>C00446</t>
  </si>
  <si>
    <t>Inaya Mukherjee</t>
  </si>
  <si>
    <t>C00447</t>
  </si>
  <si>
    <t>Kai Chad</t>
  </si>
  <si>
    <t>C00448</t>
  </si>
  <si>
    <t>Krisha Narasimhan</t>
  </si>
  <si>
    <t>C00449</t>
  </si>
  <si>
    <t>Girik Sampath</t>
  </si>
  <si>
    <t>C00450</t>
  </si>
  <si>
    <t>Andrew Patil</t>
  </si>
  <si>
    <t>C00451</t>
  </si>
  <si>
    <t>Pranit Kala</t>
  </si>
  <si>
    <t>C00452</t>
  </si>
  <si>
    <t>Vedika Handa</t>
  </si>
  <si>
    <t>C00453</t>
  </si>
  <si>
    <t>Laksh Dubey</t>
  </si>
  <si>
    <t>C00454</t>
  </si>
  <si>
    <t>Chakrika Chaudhuri</t>
  </si>
  <si>
    <t>C00455</t>
  </si>
  <si>
    <t>Gayathri Deep</t>
  </si>
  <si>
    <t>C00456</t>
  </si>
  <si>
    <t>Mitesh Gaba</t>
  </si>
  <si>
    <t>C00457</t>
  </si>
  <si>
    <t>Noah Sarma</t>
  </si>
  <si>
    <t>C00458</t>
  </si>
  <si>
    <t>Nirja Patla</t>
  </si>
  <si>
    <t>C00459</t>
  </si>
  <si>
    <t>Sachi Mane</t>
  </si>
  <si>
    <t>C00460</t>
  </si>
  <si>
    <t>Vivaan Walla</t>
  </si>
  <si>
    <t>C00461</t>
  </si>
  <si>
    <t>Dayamai Singh</t>
  </si>
  <si>
    <t>C00462</t>
  </si>
  <si>
    <t>Jhalak Sastry</t>
  </si>
  <si>
    <t>C00463</t>
  </si>
  <si>
    <t>Baghyawati Raja</t>
  </si>
  <si>
    <t>C00464</t>
  </si>
  <si>
    <t>Neel Iyengar</t>
  </si>
  <si>
    <t>C00465</t>
  </si>
  <si>
    <t>Zashil Ben</t>
  </si>
  <si>
    <t>C00466</t>
  </si>
  <si>
    <t>Kamya Chauhan</t>
  </si>
  <si>
    <t>C00467</t>
  </si>
  <si>
    <t>Bhavani Chacko</t>
  </si>
  <si>
    <t>C00468</t>
  </si>
  <si>
    <t>Anjali Sengupta</t>
  </si>
  <si>
    <t>C00469</t>
  </si>
  <si>
    <t>Rajeshri Chand</t>
  </si>
  <si>
    <t>C00470</t>
  </si>
  <si>
    <t>Shravya Palla</t>
  </si>
  <si>
    <t>C00471</t>
  </si>
  <si>
    <t>Oeshi Bera</t>
  </si>
  <si>
    <t>C00472</t>
  </si>
  <si>
    <t>Yadavi Prakash</t>
  </si>
  <si>
    <t>C00473</t>
  </si>
  <si>
    <t>Libni Bumb</t>
  </si>
  <si>
    <t>C00474</t>
  </si>
  <si>
    <t>Udarsh Bala</t>
  </si>
  <si>
    <t>C00475</t>
  </si>
  <si>
    <t>Hardik Nayak</t>
  </si>
  <si>
    <t>C00476</t>
  </si>
  <si>
    <t>Laksh Barad</t>
  </si>
  <si>
    <t>C00477</t>
  </si>
  <si>
    <t>Urmi Dewan</t>
  </si>
  <si>
    <t>C00478</t>
  </si>
  <si>
    <t>Saumya Ahluwalia</t>
  </si>
  <si>
    <t>C00479</t>
  </si>
  <si>
    <t>Anirudh Kunda</t>
  </si>
  <si>
    <t>C00480</t>
  </si>
  <si>
    <t>Mason Wable</t>
  </si>
  <si>
    <t>C00481</t>
  </si>
  <si>
    <t>Indrajit Mani</t>
  </si>
  <si>
    <t>C00482</t>
  </si>
  <si>
    <t>C00483</t>
  </si>
  <si>
    <t>William Saini</t>
  </si>
  <si>
    <t>C00484</t>
  </si>
  <si>
    <t>Dev Choudhry</t>
  </si>
  <si>
    <t>C00485</t>
  </si>
  <si>
    <t>Amol Varma</t>
  </si>
  <si>
    <t>C00486</t>
  </si>
  <si>
    <t>Maanas Manne</t>
  </si>
  <si>
    <t>C00487</t>
  </si>
  <si>
    <t>Aarav Pandit</t>
  </si>
  <si>
    <t>C00488</t>
  </si>
  <si>
    <t>Omaja Grover</t>
  </si>
  <si>
    <t>C00489</t>
  </si>
  <si>
    <t>Jalsa Bir</t>
  </si>
  <si>
    <t>C00490</t>
  </si>
  <si>
    <t>Madhavi Singhal</t>
  </si>
  <si>
    <t>C00491</t>
  </si>
  <si>
    <t>Lila Prakash</t>
  </si>
  <si>
    <t>C00492</t>
  </si>
  <si>
    <t>Amol Parikh</t>
  </si>
  <si>
    <t>C00493</t>
  </si>
  <si>
    <t>Hemani Khosla</t>
  </si>
  <si>
    <t>C00494</t>
  </si>
  <si>
    <t>Gaurangi Deol</t>
  </si>
  <si>
    <t>C00495</t>
  </si>
  <si>
    <t>Indira Nigam</t>
  </si>
  <si>
    <t>C00496</t>
  </si>
  <si>
    <t>Ucchal Srinivas</t>
  </si>
  <si>
    <t>C00497</t>
  </si>
  <si>
    <t>Krishna Bhatnagar</t>
  </si>
  <si>
    <t>C00498</t>
  </si>
  <si>
    <t>Balhaar Memon</t>
  </si>
  <si>
    <t>C00499</t>
  </si>
  <si>
    <t>Caleb Iyengar</t>
  </si>
  <si>
    <t>C00500</t>
  </si>
  <si>
    <t>Diya Mukherjee</t>
  </si>
  <si>
    <t>C00501</t>
  </si>
  <si>
    <t>Urvashi Kulkarni</t>
  </si>
  <si>
    <t>C00502</t>
  </si>
  <si>
    <t>Rayaan Mangal</t>
  </si>
  <si>
    <t>C00503</t>
  </si>
  <si>
    <t>Champak Narula</t>
  </si>
  <si>
    <t>C00504</t>
  </si>
  <si>
    <t>Jeet Pillai</t>
  </si>
  <si>
    <t>C00505</t>
  </si>
  <si>
    <t>Mugdha Sarraf</t>
  </si>
  <si>
    <t>C00506</t>
  </si>
  <si>
    <t>Harinakshi Grover</t>
  </si>
  <si>
    <t>C00507</t>
  </si>
  <si>
    <t>Widisha Pillai</t>
  </si>
  <si>
    <t>C00508</t>
  </si>
  <si>
    <t>Fitan Samra</t>
  </si>
  <si>
    <t>C00509</t>
  </si>
  <si>
    <t>Qushi Gole</t>
  </si>
  <si>
    <t>C00510</t>
  </si>
  <si>
    <t>Ekani Chauhan</t>
  </si>
  <si>
    <t>C00511</t>
  </si>
  <si>
    <t>Falak Merchant</t>
  </si>
  <si>
    <t>C00512</t>
  </si>
  <si>
    <t>Sanaya Sandhu</t>
  </si>
  <si>
    <t>C00513</t>
  </si>
  <si>
    <t>Sachi Panchal</t>
  </si>
  <si>
    <t>C00514</t>
  </si>
  <si>
    <t>Brijesh Pandit</t>
  </si>
  <si>
    <t>C00515</t>
  </si>
  <si>
    <t>Anvi Bhandari</t>
  </si>
  <si>
    <t>C00516</t>
  </si>
  <si>
    <t>Nidra Patla</t>
  </si>
  <si>
    <t>C00517</t>
  </si>
  <si>
    <t>Azaan Dhar</t>
  </si>
  <si>
    <t>C00518</t>
  </si>
  <si>
    <t>Bakhshi Date</t>
  </si>
  <si>
    <t>C00519</t>
  </si>
  <si>
    <t>Warinder Peri</t>
  </si>
  <si>
    <t>C00520</t>
  </si>
  <si>
    <t>Leela Bali</t>
  </si>
  <si>
    <t>C00521</t>
  </si>
  <si>
    <t>Shivani Prabhakar</t>
  </si>
  <si>
    <t>C00522</t>
  </si>
  <si>
    <t>Sachi Bose</t>
  </si>
  <si>
    <t>C00523</t>
  </si>
  <si>
    <t>Jeevika Rao</t>
  </si>
  <si>
    <t>C00524</t>
  </si>
  <si>
    <t>Arya Krish</t>
  </si>
  <si>
    <t>C00525</t>
  </si>
  <si>
    <t>Atharv Grewal</t>
  </si>
  <si>
    <t>C00526</t>
  </si>
  <si>
    <t>Zarna Ram</t>
  </si>
  <si>
    <t>C00527</t>
  </si>
  <si>
    <t>Adweta Lad</t>
  </si>
  <si>
    <t>C00528</t>
  </si>
  <si>
    <t>Tanish Mangal</t>
  </si>
  <si>
    <t>C00529</t>
  </si>
  <si>
    <t>Ryan Das</t>
  </si>
  <si>
    <t>C00530</t>
  </si>
  <si>
    <t>Ethan Seth</t>
  </si>
  <si>
    <t>C00531</t>
  </si>
  <si>
    <t>Sai Chahal</t>
  </si>
  <si>
    <t>C00532</t>
  </si>
  <si>
    <t>Idika Bhattacharyya</t>
  </si>
  <si>
    <t>C00533</t>
  </si>
  <si>
    <t>Charita Dugar</t>
  </si>
  <si>
    <t>C00534</t>
  </si>
  <si>
    <t>Janaki Trivedi</t>
  </si>
  <si>
    <t>C00535</t>
  </si>
  <si>
    <t>Jairaj Iyer</t>
  </si>
  <si>
    <t>C00536</t>
  </si>
  <si>
    <t>Warjas Tak</t>
  </si>
  <si>
    <t>C00537</t>
  </si>
  <si>
    <t>Jalsa Pillay</t>
  </si>
  <si>
    <t>C00538</t>
  </si>
  <si>
    <t>Kai Chadha</t>
  </si>
  <si>
    <t>C00539</t>
  </si>
  <si>
    <t>Dayamai Rao</t>
  </si>
  <si>
    <t>C00540</t>
  </si>
  <si>
    <t>Nirja Rout</t>
  </si>
  <si>
    <t>C00541</t>
  </si>
  <si>
    <t>Jeremiah Nadig</t>
  </si>
  <si>
    <t>C00542</t>
  </si>
  <si>
    <t>Shivani Shukla</t>
  </si>
  <si>
    <t>C00543</t>
  </si>
  <si>
    <t>Kabir Gopal</t>
  </si>
  <si>
    <t>C00544</t>
  </si>
  <si>
    <t>Rachita Thakkar</t>
  </si>
  <si>
    <t>C00545</t>
  </si>
  <si>
    <t>Jeet Vasa</t>
  </si>
  <si>
    <t>C00546</t>
  </si>
  <si>
    <t>Daksha Gala</t>
  </si>
  <si>
    <t>C00547</t>
  </si>
  <si>
    <t>Ekantika Kar</t>
  </si>
  <si>
    <t>C00548</t>
  </si>
  <si>
    <t>Zilmil Mander</t>
  </si>
  <si>
    <t>C00549</t>
  </si>
  <si>
    <t>Zashil Hegde</t>
  </si>
  <si>
    <t>C00550</t>
  </si>
  <si>
    <t>Jeremiah Mitter</t>
  </si>
  <si>
    <t>C00551</t>
  </si>
  <si>
    <t>Yadavi Ganguly</t>
  </si>
  <si>
    <t>C00552</t>
  </si>
  <si>
    <t>Onveer Nazareth</t>
  </si>
  <si>
    <t>C00553</t>
  </si>
  <si>
    <t>Ayush Bumb</t>
  </si>
  <si>
    <t>C00554</t>
  </si>
  <si>
    <t>Alka Kade</t>
  </si>
  <si>
    <t>C00555</t>
  </si>
  <si>
    <t>Azaan Tank</t>
  </si>
  <si>
    <t>C00556</t>
  </si>
  <si>
    <t>Chasmum Subramanian</t>
  </si>
  <si>
    <t>C00557</t>
  </si>
  <si>
    <t>Nidra Mishra</t>
  </si>
  <si>
    <t>C00558</t>
  </si>
  <si>
    <t>Elijah Bhasin</t>
  </si>
  <si>
    <t>C00559</t>
  </si>
  <si>
    <t>Ria Sagar</t>
  </si>
  <si>
    <t>C00560</t>
  </si>
  <si>
    <t>Ucchal Jani</t>
  </si>
  <si>
    <t>C00561</t>
  </si>
  <si>
    <t>Maanas Munshi</t>
  </si>
  <si>
    <t>C00562</t>
  </si>
  <si>
    <t>Hemani Rastogi</t>
  </si>
  <si>
    <t>C00563</t>
  </si>
  <si>
    <t>Kamala Varma</t>
  </si>
  <si>
    <t>C00564</t>
  </si>
  <si>
    <t>Eiravati Khurana</t>
  </si>
  <si>
    <t>C00565</t>
  </si>
  <si>
    <t>Jason Loke</t>
  </si>
  <si>
    <t>C00566</t>
  </si>
  <si>
    <t>Yug Dhaliwal</t>
  </si>
  <si>
    <t>C00567</t>
  </si>
  <si>
    <t>Chandresh Mannan</t>
  </si>
  <si>
    <t>C00568</t>
  </si>
  <si>
    <t>Omya Kothari</t>
  </si>
  <si>
    <t>C00569</t>
  </si>
  <si>
    <t>Falak Munshi</t>
  </si>
  <si>
    <t>C00570</t>
  </si>
  <si>
    <t>Nathaniel Tara</t>
  </si>
  <si>
    <t>C00571</t>
  </si>
  <si>
    <t>Wishi Morar</t>
  </si>
  <si>
    <t>C00572</t>
  </si>
  <si>
    <t>Arin Chana</t>
  </si>
  <si>
    <t>C00573</t>
  </si>
  <si>
    <t>Yashasvi Shankar</t>
  </si>
  <si>
    <t>C00574</t>
  </si>
  <si>
    <t>Tanveer Pandit</t>
  </si>
  <si>
    <t>C00575</t>
  </si>
  <si>
    <t>Chandresh Manda</t>
  </si>
  <si>
    <t>C00576</t>
  </si>
  <si>
    <t>Upma Mangal</t>
  </si>
  <si>
    <t>C00577</t>
  </si>
  <si>
    <t>Hritik Sankar</t>
  </si>
  <si>
    <t>C00578</t>
  </si>
  <si>
    <t>Aishani Pau</t>
  </si>
  <si>
    <t>C00579</t>
  </si>
  <si>
    <t>Jasmit Bath</t>
  </si>
  <si>
    <t>C00580</t>
  </si>
  <si>
    <t>Charan Hayer</t>
  </si>
  <si>
    <t>C00581</t>
  </si>
  <si>
    <t>Bhavya Borah</t>
  </si>
  <si>
    <t>C00582</t>
  </si>
  <si>
    <t>Yamini Seshadri</t>
  </si>
  <si>
    <t>C00583</t>
  </si>
  <si>
    <t>Jagat Dave</t>
  </si>
  <si>
    <t>C00584</t>
  </si>
  <si>
    <t>Meera Prakash</t>
  </si>
  <si>
    <t>C00585</t>
  </si>
  <si>
    <t>Jasmit Dhawan</t>
  </si>
  <si>
    <t>C00586</t>
  </si>
  <si>
    <t>Yashodhara Ratti</t>
  </si>
  <si>
    <t>C00587</t>
  </si>
  <si>
    <t>C00588</t>
  </si>
  <si>
    <t>Gauri Som</t>
  </si>
  <si>
    <t>C00589</t>
  </si>
  <si>
    <t>Manthan Varma</t>
  </si>
  <si>
    <t>C00590</t>
  </si>
  <si>
    <t>Falak Nagar</t>
  </si>
  <si>
    <t>C00591</t>
  </si>
  <si>
    <t>Maya Mistry</t>
  </si>
  <si>
    <t>C00592</t>
  </si>
  <si>
    <t>Yashica Upadhyay</t>
  </si>
  <si>
    <t>C00593</t>
  </si>
  <si>
    <t>Chandani Soman</t>
  </si>
  <si>
    <t>C00594</t>
  </si>
  <si>
    <t>Jyoti Narula</t>
  </si>
  <si>
    <t>C00595</t>
  </si>
  <si>
    <t>Omaja Morar</t>
  </si>
  <si>
    <t>C00596</t>
  </si>
  <si>
    <t>Urvi Lanka</t>
  </si>
  <si>
    <t>C00597</t>
  </si>
  <si>
    <t>Charan Srinivasan</t>
  </si>
  <si>
    <t>C00598</t>
  </si>
  <si>
    <t>Lajita Divan</t>
  </si>
  <si>
    <t>C00599</t>
  </si>
  <si>
    <t>Azad Choudhary</t>
  </si>
  <si>
    <t>C00600</t>
  </si>
  <si>
    <t>Anirudh Sastry</t>
  </si>
  <si>
    <t>C00601</t>
  </si>
  <si>
    <t>Omya Doshi</t>
  </si>
  <si>
    <t>C00602</t>
  </si>
  <si>
    <t>Samar Roy</t>
  </si>
  <si>
    <t>C00603</t>
  </si>
  <si>
    <t>David Devi</t>
  </si>
  <si>
    <t>C00604</t>
  </si>
  <si>
    <t>Ekta Sridhar</t>
  </si>
  <si>
    <t>C00605</t>
  </si>
  <si>
    <t>Dipta Ghose</t>
  </si>
  <si>
    <t>C00606</t>
  </si>
  <si>
    <t>Hema Pandya</t>
  </si>
  <si>
    <t>C00607</t>
  </si>
  <si>
    <t>Veda Handa</t>
  </si>
  <si>
    <t>C00608</t>
  </si>
  <si>
    <t>Arya Misra</t>
  </si>
  <si>
    <t>C00609</t>
  </si>
  <si>
    <t>Chameli Mani</t>
  </si>
  <si>
    <t>C00610</t>
  </si>
  <si>
    <t>Vrinda Nadig</t>
  </si>
  <si>
    <t>C00611</t>
  </si>
  <si>
    <t>Ikshita Mahal</t>
  </si>
  <si>
    <t>C00612</t>
  </si>
  <si>
    <t>Jairaj Raghavan</t>
  </si>
  <si>
    <t>C00613</t>
  </si>
  <si>
    <t>Hemani Dhingra</t>
  </si>
  <si>
    <t>C00614</t>
  </si>
  <si>
    <t>Brijesh Mani</t>
  </si>
  <si>
    <t>C00615</t>
  </si>
  <si>
    <t>Hiral Sathe</t>
  </si>
  <si>
    <t>C00616</t>
  </si>
  <si>
    <t>Varenya Kala</t>
  </si>
  <si>
    <t>C00617</t>
  </si>
  <si>
    <t>Anika Magar</t>
  </si>
  <si>
    <t>C00618</t>
  </si>
  <si>
    <t>Ikbal Khatri</t>
  </si>
  <si>
    <t>C00619</t>
  </si>
  <si>
    <t>Chandresh Wali</t>
  </si>
  <si>
    <t>C00620</t>
  </si>
  <si>
    <t>Viraj Ben</t>
  </si>
  <si>
    <t>C00621</t>
  </si>
  <si>
    <t>Odika Narayanan</t>
  </si>
  <si>
    <t>C00622</t>
  </si>
  <si>
    <t>Harish Devan</t>
  </si>
  <si>
    <t>C00623</t>
  </si>
  <si>
    <t>Nakul Ray</t>
  </si>
  <si>
    <t>C00624</t>
  </si>
  <si>
    <t>Vansha Iyengar</t>
  </si>
  <si>
    <t>C00625</t>
  </si>
  <si>
    <t>Ekani Mangal</t>
  </si>
  <si>
    <t>C00626</t>
  </si>
  <si>
    <t>Gaurav Kata</t>
  </si>
  <si>
    <t>C00627</t>
  </si>
  <si>
    <t>Parth Sahni</t>
  </si>
  <si>
    <t>C00628</t>
  </si>
  <si>
    <t>Balhaar Ranganathan</t>
  </si>
  <si>
    <t>C00629</t>
  </si>
  <si>
    <t>Quincy Mann</t>
  </si>
  <si>
    <t>C00630</t>
  </si>
  <si>
    <t>Aditya Misra</t>
  </si>
  <si>
    <t>C00631</t>
  </si>
  <si>
    <t>Gautami Mane</t>
  </si>
  <si>
    <t>C00632</t>
  </si>
  <si>
    <t>Wakeeta Desai</t>
  </si>
  <si>
    <t>C00633</t>
  </si>
  <si>
    <t>Anjali Hans</t>
  </si>
  <si>
    <t>C00634</t>
  </si>
  <si>
    <t>Ganga Gaba</t>
  </si>
  <si>
    <t>C00635</t>
  </si>
  <si>
    <t>Aarini Grewal</t>
  </si>
  <si>
    <t>C00636</t>
  </si>
  <si>
    <t>Geetika Merchant</t>
  </si>
  <si>
    <t>C00637</t>
  </si>
  <si>
    <t>Parth Ravi</t>
  </si>
  <si>
    <t>C00638</t>
  </si>
  <si>
    <t>Yutika Narang</t>
  </si>
  <si>
    <t>C00639</t>
  </si>
  <si>
    <t>Nandini Chandran</t>
  </si>
  <si>
    <t>C00640</t>
  </si>
  <si>
    <t>Logan Sood</t>
  </si>
  <si>
    <t>C00641</t>
  </si>
  <si>
    <t>Yuvraj Ahuja</t>
  </si>
  <si>
    <t>C00642</t>
  </si>
  <si>
    <t>Leela Keer</t>
  </si>
  <si>
    <t>C00643</t>
  </si>
  <si>
    <t>Amara Narayan</t>
  </si>
  <si>
    <t>C00644</t>
  </si>
  <si>
    <t>Advay Lal</t>
  </si>
  <si>
    <t>C00645</t>
  </si>
  <si>
    <t>Warinder Bhatia</t>
  </si>
  <si>
    <t>C00646</t>
  </si>
  <si>
    <t>Udyati Mohanty</t>
  </si>
  <si>
    <t>C00647</t>
  </si>
  <si>
    <t>Nidra Thakkar</t>
  </si>
  <si>
    <t>C00648</t>
  </si>
  <si>
    <t>Jacob Merchant</t>
  </si>
  <si>
    <t>C00649</t>
  </si>
  <si>
    <t>Timothy Kanda</t>
  </si>
  <si>
    <t>C00650</t>
  </si>
  <si>
    <t>Vanya Dua</t>
  </si>
  <si>
    <t>C00651</t>
  </si>
  <si>
    <t>Kashvi Sagar</t>
  </si>
  <si>
    <t>C00652</t>
  </si>
  <si>
    <t>Tejas Kota</t>
  </si>
  <si>
    <t>C00653</t>
  </si>
  <si>
    <t>Sanya Wable</t>
  </si>
  <si>
    <t>C00654</t>
  </si>
  <si>
    <t>Faras Choudhury</t>
  </si>
  <si>
    <t>C00655</t>
  </si>
  <si>
    <t>Yashasvi Jain</t>
  </si>
  <si>
    <t>C00656</t>
  </si>
  <si>
    <t>Nitesh Narang</t>
  </si>
  <si>
    <t>C00657</t>
  </si>
  <si>
    <t>Jackson Jha</t>
  </si>
  <si>
    <t>C00658</t>
  </si>
  <si>
    <t>Gavin Uppal</t>
  </si>
  <si>
    <t>C00659</t>
  </si>
  <si>
    <t>Christopher Setty</t>
  </si>
  <si>
    <t>C00660</t>
  </si>
  <si>
    <t>Yochana Sagar</t>
  </si>
  <si>
    <t>C00661</t>
  </si>
  <si>
    <t>Dalbir Shere</t>
  </si>
  <si>
    <t>C00662</t>
  </si>
  <si>
    <t>Anthony Randhawa</t>
  </si>
  <si>
    <t>C00663</t>
  </si>
  <si>
    <t>Aarush Kamdar</t>
  </si>
  <si>
    <t>C00664</t>
  </si>
  <si>
    <t>Chakradev Sampath</t>
  </si>
  <si>
    <t>C00665</t>
  </si>
  <si>
    <t>Devansh Bhasin</t>
  </si>
  <si>
    <t>C00666</t>
  </si>
  <si>
    <t>Urmi Balay</t>
  </si>
  <si>
    <t>C00667</t>
  </si>
  <si>
    <t>Nilima Gole</t>
  </si>
  <si>
    <t>C00668</t>
  </si>
  <si>
    <t>Osha Prasad</t>
  </si>
  <si>
    <t>C00669</t>
  </si>
  <si>
    <t>Saumya Purohit</t>
  </si>
  <si>
    <t>C00670</t>
  </si>
  <si>
    <t>Faris Zacharia</t>
  </si>
  <si>
    <t>C00671</t>
  </si>
  <si>
    <t>Ijaya Dani</t>
  </si>
  <si>
    <t>C00672</t>
  </si>
  <si>
    <t>Maya Wadhwa</t>
  </si>
  <si>
    <t>C00673</t>
  </si>
  <si>
    <t>Udant Aggarwal</t>
  </si>
  <si>
    <t>C00674</t>
  </si>
  <si>
    <t>Chanchal Sheth</t>
  </si>
  <si>
    <t>C00675</t>
  </si>
  <si>
    <t>Ladli Karpe</t>
  </si>
  <si>
    <t>C00676</t>
  </si>
  <si>
    <t>Triveni Pal</t>
  </si>
  <si>
    <t>C00677</t>
  </si>
  <si>
    <t>Anya Gulati</t>
  </si>
  <si>
    <t>C00678</t>
  </si>
  <si>
    <t>Azad Saini</t>
  </si>
  <si>
    <t>C00679</t>
  </si>
  <si>
    <t>Wridesh Jhaveri</t>
  </si>
  <si>
    <t>C00680</t>
  </si>
  <si>
    <t>Harrison Bandi</t>
  </si>
  <si>
    <t>C00681</t>
  </si>
  <si>
    <t>Chanakya Konda</t>
  </si>
  <si>
    <t>C00682</t>
  </si>
  <si>
    <t>Neelima Sarna</t>
  </si>
  <si>
    <t>C00683</t>
  </si>
  <si>
    <t>Teerth Bhalla</t>
  </si>
  <si>
    <t>C00684</t>
  </si>
  <si>
    <t>Yahvi Mann</t>
  </si>
  <si>
    <t>C00685</t>
  </si>
  <si>
    <t>Eiravati Nagi</t>
  </si>
  <si>
    <t>C00686</t>
  </si>
  <si>
    <t>Chasmum Dhar</t>
  </si>
  <si>
    <t>C00687</t>
  </si>
  <si>
    <t>Odika Mital</t>
  </si>
  <si>
    <t>C00688</t>
  </si>
  <si>
    <t>Darsh Gill</t>
  </si>
  <si>
    <t>C00689</t>
  </si>
  <si>
    <t>Warhi Batta</t>
  </si>
  <si>
    <t>C00690</t>
  </si>
  <si>
    <t>Lakshmi Vohra</t>
  </si>
  <si>
    <t>C00691</t>
  </si>
  <si>
    <t>Omaja Rege</t>
  </si>
  <si>
    <t>C00692</t>
  </si>
  <si>
    <t>Charita Puri</t>
  </si>
  <si>
    <t>C00693</t>
  </si>
  <si>
    <t>Urvashi Khosla</t>
  </si>
  <si>
    <t>C00694</t>
  </si>
  <si>
    <t>Charita Dhawan</t>
  </si>
  <si>
    <t>C00695</t>
  </si>
  <si>
    <t>Dalbir Sachar</t>
  </si>
  <si>
    <t>C00696</t>
  </si>
  <si>
    <t>Krish Rama</t>
  </si>
  <si>
    <t>C00697</t>
  </si>
  <si>
    <t>Aadhya Jani</t>
  </si>
  <si>
    <t>C00698</t>
  </si>
  <si>
    <t>Farhan Sengupta</t>
  </si>
  <si>
    <t>C00699</t>
  </si>
  <si>
    <t>George Wason</t>
  </si>
  <si>
    <t>C00700</t>
  </si>
  <si>
    <t>Charan Loyal</t>
  </si>
  <si>
    <t>C00701</t>
  </si>
  <si>
    <t>Balveer Bora</t>
  </si>
  <si>
    <t>C00702</t>
  </si>
  <si>
    <t>Teerth Srinivas</t>
  </si>
  <si>
    <t>C00703</t>
  </si>
  <si>
    <t>Gaurangi Mitter</t>
  </si>
  <si>
    <t>C00704</t>
  </si>
  <si>
    <t>Siddharth Gupta</t>
  </si>
  <si>
    <t>C00705</t>
  </si>
  <si>
    <t>Varenya Kibe</t>
  </si>
  <si>
    <t>C00706</t>
  </si>
  <si>
    <t>Mekhala Khatri</t>
  </si>
  <si>
    <t>C00707</t>
  </si>
  <si>
    <t>Barkha Rai</t>
  </si>
  <si>
    <t>C00708</t>
  </si>
  <si>
    <t>Jagrati Morar</t>
  </si>
  <si>
    <t>C00709</t>
  </si>
  <si>
    <t>Jagvi Varghese</t>
  </si>
  <si>
    <t>C00710</t>
  </si>
  <si>
    <t>Unnati Chaudhari</t>
  </si>
  <si>
    <t>C00711</t>
  </si>
  <si>
    <t>Ekaja Jani</t>
  </si>
  <si>
    <t>C00712</t>
  </si>
  <si>
    <t>Dhriti Sachdev</t>
  </si>
  <si>
    <t>C00713</t>
  </si>
  <si>
    <t>Timothy Dhingra</t>
  </si>
  <si>
    <t>C00714</t>
  </si>
  <si>
    <t>Advika Sahni</t>
  </si>
  <si>
    <t>C00715</t>
  </si>
  <si>
    <t>Michael Hayre</t>
  </si>
  <si>
    <t>C00716</t>
  </si>
  <si>
    <t>Victor Raghavan</t>
  </si>
  <si>
    <t>C00717</t>
  </si>
  <si>
    <t>Xalak Nazareth</t>
  </si>
  <si>
    <t>C00718</t>
  </si>
  <si>
    <t>Vrinda Swaminathan</t>
  </si>
  <si>
    <t>C00719</t>
  </si>
  <si>
    <t>Om Pandey</t>
  </si>
  <si>
    <t>C00720</t>
  </si>
  <si>
    <t>Logan Suresh</t>
  </si>
  <si>
    <t>C00721</t>
  </si>
  <si>
    <t>Daniel Viswanathan</t>
  </si>
  <si>
    <t>C00722</t>
  </si>
  <si>
    <t>Falan Bava</t>
  </si>
  <si>
    <t>C00723</t>
  </si>
  <si>
    <t>Nitara Devan</t>
  </si>
  <si>
    <t>C00724</t>
  </si>
  <si>
    <t>Ekansh Dora</t>
  </si>
  <si>
    <t>C00725</t>
  </si>
  <si>
    <t>Tejas Tiwari</t>
  </si>
  <si>
    <t>C00726</t>
  </si>
  <si>
    <t>Kashvi Bhasin</t>
  </si>
  <si>
    <t>C00727</t>
  </si>
  <si>
    <t>Vinaya Babu</t>
  </si>
  <si>
    <t>C00728</t>
  </si>
  <si>
    <t>Nisha Arora</t>
  </si>
  <si>
    <t>C00729</t>
  </si>
  <si>
    <t>Anvi Wason</t>
  </si>
  <si>
    <t>C00730</t>
  </si>
  <si>
    <t>Anay Thakkar</t>
  </si>
  <si>
    <t>C00731</t>
  </si>
  <si>
    <t>Praneel Chhabra</t>
  </si>
  <si>
    <t>C00732</t>
  </si>
  <si>
    <t>Manthan Khosla</t>
  </si>
  <si>
    <t>C00733</t>
  </si>
  <si>
    <t>Zayyan Pandya</t>
  </si>
  <si>
    <t>C00734</t>
  </si>
  <si>
    <t>Mekhala Brar</t>
  </si>
  <si>
    <t>C00735</t>
  </si>
  <si>
    <t>Nidra Sharaf</t>
  </si>
  <si>
    <t>C00736</t>
  </si>
  <si>
    <t>Upkaar Mital</t>
  </si>
  <si>
    <t>C00737</t>
  </si>
  <si>
    <t>Azad Chander</t>
  </si>
  <si>
    <t>C00738</t>
  </si>
  <si>
    <t>Ladli Purohit</t>
  </si>
  <si>
    <t>C00739</t>
  </si>
  <si>
    <t>Daksh Andra</t>
  </si>
  <si>
    <t>C00740</t>
  </si>
  <si>
    <t>Fitan Tata</t>
  </si>
  <si>
    <t>C00741</t>
  </si>
  <si>
    <t>Garima Chandran</t>
  </si>
  <si>
    <t>C00742</t>
  </si>
  <si>
    <t>Victor Kakar</t>
  </si>
  <si>
    <t>C00743</t>
  </si>
  <si>
    <t>Anika Batra</t>
  </si>
  <si>
    <t>C00744</t>
  </si>
  <si>
    <t>Avni Bali</t>
  </si>
  <si>
    <t>C00745</t>
  </si>
  <si>
    <t>Divya Babu</t>
  </si>
  <si>
    <t>C00746</t>
  </si>
  <si>
    <t>Maanas Rao</t>
  </si>
  <si>
    <t>C00747</t>
  </si>
  <si>
    <t>Chandani Gaba</t>
  </si>
  <si>
    <t>C00748</t>
  </si>
  <si>
    <t>Lopa Zachariah</t>
  </si>
  <si>
    <t>C00749</t>
  </si>
  <si>
    <t>Leena Dey</t>
  </si>
  <si>
    <t>C00750</t>
  </si>
  <si>
    <t>Xiti Pal</t>
  </si>
  <si>
    <t>C00751</t>
  </si>
  <si>
    <t>Guneet Sarkar</t>
  </si>
  <si>
    <t>C00752</t>
  </si>
  <si>
    <t>Faqid Oak</t>
  </si>
  <si>
    <t>C00753</t>
  </si>
  <si>
    <t>Eta Balan</t>
  </si>
  <si>
    <t>C00754</t>
  </si>
  <si>
    <t>Shravya Swaminathan</t>
  </si>
  <si>
    <t>C00755</t>
  </si>
  <si>
    <t>Ishani Prashad</t>
  </si>
  <si>
    <t>C00756</t>
  </si>
  <si>
    <t>Quincy Rai</t>
  </si>
  <si>
    <t>C00757</t>
  </si>
  <si>
    <t>Chakrika Koshy</t>
  </si>
  <si>
    <t>C00758</t>
  </si>
  <si>
    <t>Fitan Loyal</t>
  </si>
  <si>
    <t>C00759</t>
  </si>
  <si>
    <t>Lajita Dube</t>
  </si>
  <si>
    <t>C00760</t>
  </si>
  <si>
    <t>Edhitha Patel</t>
  </si>
  <si>
    <t>C00761</t>
  </si>
  <si>
    <t>Gavin Ahluwalia</t>
  </si>
  <si>
    <t>C00762</t>
  </si>
  <si>
    <t>Sai Parsa</t>
  </si>
  <si>
    <t>C00763</t>
  </si>
  <si>
    <t>Harsh Deo</t>
  </si>
  <si>
    <t>C00764</t>
  </si>
  <si>
    <t>Rachit Sankar</t>
  </si>
  <si>
    <t>C00765</t>
  </si>
  <si>
    <t>Yauvani Reddy</t>
  </si>
  <si>
    <t>C00766</t>
  </si>
  <si>
    <t>Atharv Chakraborty</t>
  </si>
  <si>
    <t>C00767</t>
  </si>
  <si>
    <t>Girik Nair</t>
  </si>
  <si>
    <t>C00768</t>
  </si>
  <si>
    <t>Advik Manne</t>
  </si>
  <si>
    <t>C00769</t>
  </si>
  <si>
    <t>Lipika Chad</t>
  </si>
  <si>
    <t>C00770</t>
  </si>
  <si>
    <t>Omkaar Rai</t>
  </si>
  <si>
    <t>C00771</t>
  </si>
  <si>
    <t>Liam Luthra</t>
  </si>
  <si>
    <t>C00772</t>
  </si>
  <si>
    <t>Amrita Tailor</t>
  </si>
  <si>
    <t>C00773</t>
  </si>
  <si>
    <t>Dev Ganesh</t>
  </si>
  <si>
    <t>C00774</t>
  </si>
  <si>
    <t>Anya Sama</t>
  </si>
  <si>
    <t>C00775</t>
  </si>
  <si>
    <t>Veda Bose</t>
  </si>
  <si>
    <t>C00776</t>
  </si>
  <si>
    <t>Zayan Koshy</t>
  </si>
  <si>
    <t>C00777</t>
  </si>
  <si>
    <t>Rohan Shankar</t>
  </si>
  <si>
    <t>C00778</t>
  </si>
  <si>
    <t>Krishna Modi</t>
  </si>
  <si>
    <t>C00779</t>
  </si>
  <si>
    <t>Meghana Natarajan</t>
  </si>
  <si>
    <t>C00780</t>
  </si>
  <si>
    <t>Forum Sarraf</t>
  </si>
  <si>
    <t>C00781</t>
  </si>
  <si>
    <t>Qushi Deshpande</t>
  </si>
  <si>
    <t>C00782</t>
  </si>
  <si>
    <t>Ekani Iyer</t>
  </si>
  <si>
    <t>C00783</t>
  </si>
  <si>
    <t>Dipta Goel</t>
  </si>
  <si>
    <t>C00784</t>
  </si>
  <si>
    <t>Eiravati Manne</t>
  </si>
  <si>
    <t>C00785</t>
  </si>
  <si>
    <t>Xavier Nanda</t>
  </si>
  <si>
    <t>C00786</t>
  </si>
  <si>
    <t>Avni Ramaswamy</t>
  </si>
  <si>
    <t>C00787</t>
  </si>
  <si>
    <t>Ishaan Iyengar</t>
  </si>
  <si>
    <t>C00788</t>
  </si>
  <si>
    <t>Avi Shenoy</t>
  </si>
  <si>
    <t>C00789</t>
  </si>
  <si>
    <t>Raksha Manne</t>
  </si>
  <si>
    <t>C00790</t>
  </si>
  <si>
    <t>Nilima Tata</t>
  </si>
  <si>
    <t>C00791</t>
  </si>
  <si>
    <t>Chavvi Khurana</t>
  </si>
  <si>
    <t>C00792</t>
  </si>
  <si>
    <t>Mitesh Sampath</t>
  </si>
  <si>
    <t>C00793</t>
  </si>
  <si>
    <t>Ethan Sen</t>
  </si>
  <si>
    <t>C00794</t>
  </si>
  <si>
    <t>Nandini Warrior</t>
  </si>
  <si>
    <t>C00795</t>
  </si>
  <si>
    <t>Balhaar Parsa</t>
  </si>
  <si>
    <t>C00796</t>
  </si>
  <si>
    <t>C00797</t>
  </si>
  <si>
    <t>Ojas Basu</t>
  </si>
  <si>
    <t>C00798</t>
  </si>
  <si>
    <t>Garima Sani</t>
  </si>
  <si>
    <t>C00799</t>
  </si>
  <si>
    <t>Advaith Chaudhari</t>
  </si>
  <si>
    <t>C00800</t>
  </si>
  <si>
    <t>Tristan Uppal</t>
  </si>
  <si>
    <t>C00801</t>
  </si>
  <si>
    <t>Sanaya Prasad</t>
  </si>
  <si>
    <t>C00802</t>
  </si>
  <si>
    <t>Ubika Tella</t>
  </si>
  <si>
    <t>C00803</t>
  </si>
  <si>
    <t>Hemani Bakshi</t>
  </si>
  <si>
    <t>C00804</t>
  </si>
  <si>
    <t>Henry Merchant</t>
  </si>
  <si>
    <t>C00805</t>
  </si>
  <si>
    <t>Frederick D’Alia</t>
  </si>
  <si>
    <t>C00806</t>
  </si>
  <si>
    <t>Ijaya Muni</t>
  </si>
  <si>
    <t>C00807</t>
  </si>
  <si>
    <t>Tamanna Jhaveri</t>
  </si>
  <si>
    <t>C00808</t>
  </si>
  <si>
    <t>Ijaya Soni</t>
  </si>
  <si>
    <t>C00809</t>
  </si>
  <si>
    <t>Raksha Sethi</t>
  </si>
  <si>
    <t>C00810</t>
  </si>
  <si>
    <t>Ekalinga Mital</t>
  </si>
  <si>
    <t>C00811</t>
  </si>
  <si>
    <t>Ishwar Bajaj</t>
  </si>
  <si>
    <t>C00812</t>
  </si>
  <si>
    <t>Ikbal Gala</t>
  </si>
  <si>
    <t>C00813</t>
  </si>
  <si>
    <t>Zaitra Ghosh</t>
  </si>
  <si>
    <t>C00814</t>
  </si>
  <si>
    <t>Ganga Sandhu</t>
  </si>
  <si>
    <t>C00815</t>
  </si>
  <si>
    <t>Vincent Ravel</t>
  </si>
  <si>
    <t>C00816</t>
  </si>
  <si>
    <t>Quincy Sankaran</t>
  </si>
  <si>
    <t>C00817</t>
  </si>
  <si>
    <t>Ayush Hora</t>
  </si>
  <si>
    <t>C00818</t>
  </si>
  <si>
    <t>Pushti Ramachandran</t>
  </si>
  <si>
    <t>C00819</t>
  </si>
  <si>
    <t>Tanish Jha</t>
  </si>
  <si>
    <t>C00820</t>
  </si>
  <si>
    <t>Dev Chaudry</t>
  </si>
  <si>
    <t>C00821</t>
  </si>
  <si>
    <t>Jasmit Nanda</t>
  </si>
  <si>
    <t>C00822</t>
  </si>
  <si>
    <t>Tanvi Comar</t>
  </si>
  <si>
    <t>C00823</t>
  </si>
  <si>
    <t>Vrishti Wable</t>
  </si>
  <si>
    <t>C00824</t>
  </si>
  <si>
    <t>Lipika Ramanathan</t>
  </si>
  <si>
    <t>C00825</t>
  </si>
  <si>
    <t>Ijaya Pandey</t>
  </si>
  <si>
    <t>C00826</t>
  </si>
  <si>
    <t>Orinder Mishra</t>
  </si>
  <si>
    <t>C00827</t>
  </si>
  <si>
    <t>Krish Munshi</t>
  </si>
  <si>
    <t>C00828</t>
  </si>
  <si>
    <t>William Mody</t>
  </si>
  <si>
    <t>C00829</t>
  </si>
  <si>
    <t>Qadim Prakash</t>
  </si>
  <si>
    <t>C00830</t>
  </si>
  <si>
    <t>Yasti Rama</t>
  </si>
  <si>
    <t>C00831</t>
  </si>
  <si>
    <t>Lakshit Rajagopal</t>
  </si>
  <si>
    <t>C00832</t>
  </si>
  <si>
    <t>Quincy Sur</t>
  </si>
  <si>
    <t>C00833</t>
  </si>
  <si>
    <t>Ojas Suri</t>
  </si>
  <si>
    <t>C00834</t>
  </si>
  <si>
    <t>Logan Grover</t>
  </si>
  <si>
    <t>C00835</t>
  </si>
  <si>
    <t>Shravya Bera</t>
  </si>
  <si>
    <t>C00836</t>
  </si>
  <si>
    <t>Aditya Sundaram</t>
  </si>
  <si>
    <t>C00837</t>
  </si>
  <si>
    <t>Robert Rajagopalan</t>
  </si>
  <si>
    <t>C00838</t>
  </si>
  <si>
    <t>Nilima Swamy</t>
  </si>
  <si>
    <t>C00839</t>
  </si>
  <si>
    <t>Sachi Suresh</t>
  </si>
  <si>
    <t>C00840</t>
  </si>
  <si>
    <t>Fitan Balasubramanian</t>
  </si>
  <si>
    <t>C00841</t>
  </si>
  <si>
    <t>Brinda Bali</t>
  </si>
  <si>
    <t>C00842</t>
  </si>
  <si>
    <t>Umang Yogi</t>
  </si>
  <si>
    <t>C00843</t>
  </si>
  <si>
    <t>Om Shankar</t>
  </si>
  <si>
    <t>C00844</t>
  </si>
  <si>
    <t>Yasti Chowdhury</t>
  </si>
  <si>
    <t>C00845</t>
  </si>
  <si>
    <t>Amrita Peri</t>
  </si>
  <si>
    <t>C00846</t>
  </si>
  <si>
    <t>Ridhi Kamdar</t>
  </si>
  <si>
    <t>C00847</t>
  </si>
  <si>
    <t>Harsh Kota</t>
  </si>
  <si>
    <t>C00848</t>
  </si>
  <si>
    <t>Bachittar Sengupta</t>
  </si>
  <si>
    <t>C00849</t>
  </si>
  <si>
    <t>Ijaya Chahal</t>
  </si>
  <si>
    <t>C00850</t>
  </si>
  <si>
    <t>Jacob Khalsa</t>
  </si>
  <si>
    <t>C00851</t>
  </si>
  <si>
    <t>Indali Sangha</t>
  </si>
  <si>
    <t>C00852</t>
  </si>
  <si>
    <t>Liam Jhaveri</t>
  </si>
  <si>
    <t>C00853</t>
  </si>
  <si>
    <t>Daniel Panchal</t>
  </si>
  <si>
    <t>C00854</t>
  </si>
  <si>
    <t>Om Naik</t>
  </si>
  <si>
    <t>C00855</t>
  </si>
  <si>
    <t>Bimala Loke</t>
  </si>
  <si>
    <t>C00856</t>
  </si>
  <si>
    <t>Krishna Sabharwal</t>
  </si>
  <si>
    <t>C00857</t>
  </si>
  <si>
    <t>Aradhana Date</t>
  </si>
  <si>
    <t>C00858</t>
  </si>
  <si>
    <t>Zaid Dhingra</t>
  </si>
  <si>
    <t>C00859</t>
  </si>
  <si>
    <t>Yug Ramaswamy</t>
  </si>
  <si>
    <t>C00860</t>
  </si>
  <si>
    <t>Lucky Luthra</t>
  </si>
  <si>
    <t>C00861</t>
  </si>
  <si>
    <t>Keya Seth</t>
  </si>
  <si>
    <t>C00862</t>
  </si>
  <si>
    <t>Girik Rau</t>
  </si>
  <si>
    <t>C00863</t>
  </si>
  <si>
    <t>Jyoti Sha</t>
  </si>
  <si>
    <t>C00864</t>
  </si>
  <si>
    <t>Falak Agate</t>
  </si>
  <si>
    <t>C00865</t>
  </si>
  <si>
    <t>Tara Parmar</t>
  </si>
  <si>
    <t>C00866</t>
  </si>
  <si>
    <t>Mitali Kamdar</t>
  </si>
  <si>
    <t>C00867</t>
  </si>
  <si>
    <t>Siddharth Talwar</t>
  </si>
  <si>
    <t>C00868</t>
  </si>
  <si>
    <t>Ekantika Mander</t>
  </si>
  <si>
    <t>C00869</t>
  </si>
  <si>
    <t>Kalpit Sundaram</t>
  </si>
  <si>
    <t>C00870</t>
  </si>
  <si>
    <t>Chanakya Batra</t>
  </si>
  <si>
    <t>C00871</t>
  </si>
  <si>
    <t>Tripti Babu</t>
  </si>
  <si>
    <t>C00872</t>
  </si>
  <si>
    <t>Nakul Sastry</t>
  </si>
  <si>
    <t>C00873</t>
  </si>
  <si>
    <t>Aadi Sangha</t>
  </si>
  <si>
    <t>C00874</t>
  </si>
  <si>
    <t>Kevin Mittal</t>
  </si>
  <si>
    <t>C00875</t>
  </si>
  <si>
    <t>Anusha Chander</t>
  </si>
  <si>
    <t>C00876</t>
  </si>
  <si>
    <t>Zashil Butala</t>
  </si>
  <si>
    <t>C00877</t>
  </si>
  <si>
    <t>Noah Ben</t>
  </si>
  <si>
    <t>C00878</t>
  </si>
  <si>
    <t>Dalaja Kaur</t>
  </si>
  <si>
    <t>C00879</t>
  </si>
  <si>
    <t>Gavin Chandran</t>
  </si>
  <si>
    <t>C00880</t>
  </si>
  <si>
    <t>Tanay Sood</t>
  </si>
  <si>
    <t>C00881</t>
  </si>
  <si>
    <t>Kevin Kara</t>
  </si>
  <si>
    <t>C00882</t>
  </si>
  <si>
    <t>Aditya Anand</t>
  </si>
  <si>
    <t>C00883</t>
  </si>
  <si>
    <t>Jai Sami</t>
  </si>
  <si>
    <t>C00884</t>
  </si>
  <si>
    <t>Vanya Bobal</t>
  </si>
  <si>
    <t>C00885</t>
  </si>
  <si>
    <t>Leela Chakraborty</t>
  </si>
  <si>
    <t>C00886</t>
  </si>
  <si>
    <t>Harshil Munshi</t>
  </si>
  <si>
    <t>C00887</t>
  </si>
  <si>
    <t>Chandani Devan</t>
  </si>
  <si>
    <t>C00888</t>
  </si>
  <si>
    <t>Kiaan Dhar</t>
  </si>
  <si>
    <t>C00889</t>
  </si>
  <si>
    <t>Abhiram Gala</t>
  </si>
  <si>
    <t>C00890</t>
  </si>
  <si>
    <t>Indali Kala</t>
  </si>
  <si>
    <t>C00891</t>
  </si>
  <si>
    <t>Nisha Savant</t>
  </si>
  <si>
    <t>C00892</t>
  </si>
  <si>
    <t>Gabriel Chaudhry</t>
  </si>
  <si>
    <t>C00893</t>
  </si>
  <si>
    <t>Jatin Rajagopalan</t>
  </si>
  <si>
    <t>C00894</t>
  </si>
  <si>
    <t>Pushti Murty</t>
  </si>
  <si>
    <t>C00895</t>
  </si>
  <si>
    <t>Yug Malhotra</t>
  </si>
  <si>
    <t>C00896</t>
  </si>
  <si>
    <t>Yuvraj Mane</t>
  </si>
  <si>
    <t>C00897</t>
  </si>
  <si>
    <t>Charvi Jha</t>
  </si>
  <si>
    <t>C00898</t>
  </si>
  <si>
    <t>Manya Merchant</t>
  </si>
  <si>
    <t>C00899</t>
  </si>
  <si>
    <t>Wriddhish Talwar</t>
  </si>
  <si>
    <t>C00900</t>
  </si>
  <si>
    <t>Isaiah Khosla</t>
  </si>
  <si>
    <t>C00901</t>
  </si>
  <si>
    <t>Ekavir Wable</t>
  </si>
  <si>
    <t>C00902</t>
  </si>
  <si>
    <t>Jalsa Nadig</t>
  </si>
  <si>
    <t>C00903</t>
  </si>
  <si>
    <t>Lila Salvi</t>
  </si>
  <si>
    <t>C00904</t>
  </si>
  <si>
    <t>Orinder Sinha</t>
  </si>
  <si>
    <t>C00905</t>
  </si>
  <si>
    <t>Anay Bir</t>
  </si>
  <si>
    <t>C00906</t>
  </si>
  <si>
    <t>Adweta Kale</t>
  </si>
  <si>
    <t>C00907</t>
  </si>
  <si>
    <t>Darpan Rao</t>
  </si>
  <si>
    <t>C00908</t>
  </si>
  <si>
    <t>Yachana Sagar</t>
  </si>
  <si>
    <t>C00909</t>
  </si>
  <si>
    <t>Neelima Butala</t>
  </si>
  <si>
    <t>C00910</t>
  </si>
  <si>
    <t>Arunima Chacko</t>
  </si>
  <si>
    <t>C00911</t>
  </si>
  <si>
    <t>Farhan Vaidya</t>
  </si>
  <si>
    <t>C00912</t>
  </si>
  <si>
    <t>Nachiket Yadav</t>
  </si>
  <si>
    <t>C00913</t>
  </si>
  <si>
    <t>Mahika Bhatti</t>
  </si>
  <si>
    <t>C00914</t>
  </si>
  <si>
    <t>Rajeshri Khare</t>
  </si>
  <si>
    <t>C00915</t>
  </si>
  <si>
    <t>Yash Chadha</t>
  </si>
  <si>
    <t>C00916</t>
  </si>
  <si>
    <t>Jack Setty</t>
  </si>
  <si>
    <t>C00917</t>
  </si>
  <si>
    <t>Dayamai Gill</t>
  </si>
  <si>
    <t>C00918</t>
  </si>
  <si>
    <t>Advik Devan</t>
  </si>
  <si>
    <t>C00919</t>
  </si>
  <si>
    <t>Nihal Taneja</t>
  </si>
  <si>
    <t>C00920</t>
  </si>
  <si>
    <t>Zansi Lad</t>
  </si>
  <si>
    <t>C00921</t>
  </si>
  <si>
    <t>Kamya Date</t>
  </si>
  <si>
    <t>C00922</t>
  </si>
  <si>
    <t>Jacob Balan</t>
  </si>
  <si>
    <t>C00923</t>
  </si>
  <si>
    <t>Pushti Magar</t>
  </si>
  <si>
    <t>C00924</t>
  </si>
  <si>
    <t>Adya Bose</t>
  </si>
  <si>
    <t>C00925</t>
  </si>
  <si>
    <t>Tamanna Vaidya</t>
  </si>
  <si>
    <t>C00926</t>
  </si>
  <si>
    <t>Christopher Tata</t>
  </si>
  <si>
    <t>C00927</t>
  </si>
  <si>
    <t>Jhalak Dugar</t>
  </si>
  <si>
    <t>C00928</t>
  </si>
  <si>
    <t>Harshil D’Alia</t>
  </si>
  <si>
    <t>C00929</t>
  </si>
  <si>
    <t>Yashodhara Agate</t>
  </si>
  <si>
    <t>C00930</t>
  </si>
  <si>
    <t>Advik Konda</t>
  </si>
  <si>
    <t>C00931</t>
  </si>
  <si>
    <t>Urmi Patla</t>
  </si>
  <si>
    <t>C00932</t>
  </si>
  <si>
    <t>Mason Gola</t>
  </si>
  <si>
    <t>C00933</t>
  </si>
  <si>
    <t>Oni Kapur</t>
  </si>
  <si>
    <t>C00934</t>
  </si>
  <si>
    <t>Yuvraj Saha</t>
  </si>
  <si>
    <t>C00935</t>
  </si>
  <si>
    <t>Anika Brahmbhatt</t>
  </si>
  <si>
    <t>C00936</t>
  </si>
  <si>
    <t>Jagdish Thakkar</t>
  </si>
  <si>
    <t>C00937</t>
  </si>
  <si>
    <t>Praneel Kapoor</t>
  </si>
  <si>
    <t>C00938</t>
  </si>
  <si>
    <t>Nandini Biswas</t>
  </si>
  <si>
    <t>C00939</t>
  </si>
  <si>
    <t>Barkha Mukhopadhyay</t>
  </si>
  <si>
    <t>C00940</t>
  </si>
  <si>
    <t>Gabriel Shan</t>
  </si>
  <si>
    <t>C00941</t>
  </si>
  <si>
    <t>Jyoti Iyer</t>
  </si>
  <si>
    <t>C00942</t>
  </si>
  <si>
    <t>Daksha Kibe</t>
  </si>
  <si>
    <t>C00943</t>
  </si>
  <si>
    <t>Jyoti Tak</t>
  </si>
  <si>
    <t>C00944</t>
  </si>
  <si>
    <t>Yatan Dora</t>
  </si>
  <si>
    <t>C00945</t>
  </si>
  <si>
    <t>Nimrat Bajwa</t>
  </si>
  <si>
    <t>C00946</t>
  </si>
  <si>
    <t>Hiral Andra</t>
  </si>
  <si>
    <t>C00947</t>
  </si>
  <si>
    <t>Aarav Puri</t>
  </si>
  <si>
    <t>C00948</t>
  </si>
  <si>
    <t>Hemang Jha</t>
  </si>
  <si>
    <t>C00949</t>
  </si>
  <si>
    <t>Oni Swamy</t>
  </si>
  <si>
    <t>C00950</t>
  </si>
  <si>
    <t>Lucky Mammen</t>
  </si>
  <si>
    <t>C00951</t>
  </si>
  <si>
    <t>Caleb Kata</t>
  </si>
  <si>
    <t>C00952</t>
  </si>
  <si>
    <t>Kashish Shanker</t>
  </si>
  <si>
    <t>C00953</t>
  </si>
  <si>
    <t>Girish Tiwari</t>
  </si>
  <si>
    <t>C00954</t>
  </si>
  <si>
    <t>Meera Borde</t>
  </si>
  <si>
    <t>C00955</t>
  </si>
  <si>
    <t>Radhika De</t>
  </si>
  <si>
    <t>C00956</t>
  </si>
  <si>
    <t>Bishakha Lal</t>
  </si>
  <si>
    <t>C00957</t>
  </si>
  <si>
    <t>Maya Narain</t>
  </si>
  <si>
    <t>C00958</t>
  </si>
  <si>
    <t>Sneha Magar</t>
  </si>
  <si>
    <t>C00959</t>
  </si>
  <si>
    <t>Falan Jain</t>
  </si>
  <si>
    <t>C00960</t>
  </si>
  <si>
    <t>Ikbal Dugal</t>
  </si>
  <si>
    <t>C00961</t>
  </si>
  <si>
    <t>Nitesh Sengupta</t>
  </si>
  <si>
    <t>C00962</t>
  </si>
  <si>
    <t>Dipta Ray</t>
  </si>
  <si>
    <t>C00963</t>
  </si>
  <si>
    <t>Ishita Johal</t>
  </si>
  <si>
    <t>C00964</t>
  </si>
  <si>
    <t>Darika Sheth</t>
  </si>
  <si>
    <t>C00965</t>
  </si>
  <si>
    <t>Jagdish Chana</t>
  </si>
  <si>
    <t>C00966</t>
  </si>
  <si>
    <t>Daksha Baria</t>
  </si>
  <si>
    <t>C00967</t>
  </si>
  <si>
    <t>Falak Divan</t>
  </si>
  <si>
    <t>C00968</t>
  </si>
  <si>
    <t>Yuvraj Parekh</t>
  </si>
  <si>
    <t>C00969</t>
  </si>
  <si>
    <t>Yochana Bawa</t>
  </si>
  <si>
    <t>C00970</t>
  </si>
  <si>
    <t>Abha Ghosh</t>
  </si>
  <si>
    <t>C00971</t>
  </si>
  <si>
    <t>Nidhi Sethi</t>
  </si>
  <si>
    <t>C00972</t>
  </si>
  <si>
    <t>Girindra Shere</t>
  </si>
  <si>
    <t>C00973</t>
  </si>
  <si>
    <t>Logan Dara</t>
  </si>
  <si>
    <t>C00974</t>
  </si>
  <si>
    <t>David Kapadia</t>
  </si>
  <si>
    <t>C00975</t>
  </si>
  <si>
    <t>Rudra Rattan</t>
  </si>
  <si>
    <t>C00976</t>
  </si>
  <si>
    <t>Frado Lad</t>
  </si>
  <si>
    <t>C00977</t>
  </si>
  <si>
    <t>Anthony Bhattacharyya</t>
  </si>
  <si>
    <t>C00978</t>
  </si>
  <si>
    <t>Sachi Dave</t>
  </si>
  <si>
    <t>C00979</t>
  </si>
  <si>
    <t>Garima Das</t>
  </si>
  <si>
    <t>C00980</t>
  </si>
  <si>
    <t>Triya Bedi</t>
  </si>
  <si>
    <t>C00981</t>
  </si>
  <si>
    <t>Rachita Rana</t>
  </si>
  <si>
    <t>C00982</t>
  </si>
  <si>
    <t>Ayushman Raja</t>
  </si>
  <si>
    <t>C00983</t>
  </si>
  <si>
    <t>Orinder Pandya</t>
  </si>
  <si>
    <t>C00984</t>
  </si>
  <si>
    <t>Rachit Maharaj</t>
  </si>
  <si>
    <t>C00985</t>
  </si>
  <si>
    <t>Sanaya Dixit</t>
  </si>
  <si>
    <t>C00986</t>
  </si>
  <si>
    <t>Yatan Merchant</t>
  </si>
  <si>
    <t>C00987</t>
  </si>
  <si>
    <t>Nisha Srinivas</t>
  </si>
  <si>
    <t>C00988</t>
  </si>
  <si>
    <t>Gagan Mammen</t>
  </si>
  <si>
    <t>C00989</t>
  </si>
  <si>
    <t>Laksh Saini</t>
  </si>
  <si>
    <t>C00990</t>
  </si>
  <si>
    <t>Zaid Bahl</t>
  </si>
  <si>
    <t>C00991</t>
  </si>
  <si>
    <t>Jagrati Srinivasan</t>
  </si>
  <si>
    <t>C00992</t>
  </si>
  <si>
    <t>Hemangini Thakkar</t>
  </si>
  <si>
    <t>C00993</t>
  </si>
  <si>
    <t>Lipika Madan</t>
  </si>
  <si>
    <t>C00994</t>
  </si>
  <si>
    <t>Atharv Nagar</t>
  </si>
  <si>
    <t>C00995</t>
  </si>
  <si>
    <t>Ayushman Mand</t>
  </si>
  <si>
    <t>C00996</t>
  </si>
  <si>
    <t>Urmi Wagle</t>
  </si>
  <si>
    <t>C00997</t>
  </si>
  <si>
    <t>Viraj Dutta</t>
  </si>
  <si>
    <t>C00998</t>
  </si>
  <si>
    <t>Yug Khosla</t>
  </si>
  <si>
    <t>C00999</t>
  </si>
  <si>
    <t>Daksh Kanda</t>
  </si>
  <si>
    <t>C01000</t>
  </si>
  <si>
    <t>Isha Ghose</t>
  </si>
  <si>
    <t>C01001</t>
  </si>
  <si>
    <t>Warjas Nadkarni</t>
  </si>
  <si>
    <t>C01002</t>
  </si>
  <si>
    <t>Ayaan Pandey</t>
  </si>
  <si>
    <t>C01003</t>
  </si>
  <si>
    <t>Raghav Tailor</t>
  </si>
  <si>
    <t>C01004</t>
  </si>
  <si>
    <t>Parth Swaminathan</t>
  </si>
  <si>
    <t>C01005</t>
  </si>
  <si>
    <t>Gautam Bhalla</t>
  </si>
  <si>
    <t>C01006</t>
  </si>
  <si>
    <t>Theodore Bahri</t>
  </si>
  <si>
    <t>C01007</t>
  </si>
  <si>
    <t>Aadi Narula</t>
  </si>
  <si>
    <t>C01008</t>
  </si>
  <si>
    <t>Kalpit Oak</t>
  </si>
  <si>
    <t>C01009</t>
  </si>
  <si>
    <t>Ekiya Bhargava</t>
  </si>
  <si>
    <t>C01010</t>
  </si>
  <si>
    <t>Manbir Dhar</t>
  </si>
  <si>
    <t>C01011</t>
  </si>
  <si>
    <t>Janya Bora</t>
  </si>
  <si>
    <t>C01012</t>
  </si>
  <si>
    <t>Meghana Chaudhuri</t>
  </si>
  <si>
    <t>C01013</t>
  </si>
  <si>
    <t>Chasmum Naidu</t>
  </si>
  <si>
    <t>C01014</t>
  </si>
  <si>
    <t>Nakul Sarkar</t>
  </si>
  <si>
    <t>C01015</t>
  </si>
  <si>
    <t>Edhitha Ghosh</t>
  </si>
  <si>
    <t>C01016</t>
  </si>
  <si>
    <t>Udant Gill</t>
  </si>
  <si>
    <t>C01017</t>
  </si>
  <si>
    <t>Damyanti Menon</t>
  </si>
  <si>
    <t>C01018</t>
  </si>
  <si>
    <t>Peter Agarwal</t>
  </si>
  <si>
    <t>C01019</t>
  </si>
  <si>
    <t>Bachittar Gopal</t>
  </si>
  <si>
    <t>C01020</t>
  </si>
  <si>
    <t>Timothy Chawla</t>
  </si>
  <si>
    <t>C01021</t>
  </si>
  <si>
    <t>Lohit Narula</t>
  </si>
  <si>
    <t>C01022</t>
  </si>
  <si>
    <t>Wazir Palan</t>
  </si>
  <si>
    <t>C01023</t>
  </si>
  <si>
    <t>Oliver Chakrabarti</t>
  </si>
  <si>
    <t>C01024</t>
  </si>
  <si>
    <t>Sanya Apte</t>
  </si>
  <si>
    <t>C01025</t>
  </si>
  <si>
    <t>Shaurya Krish</t>
  </si>
  <si>
    <t>C01026</t>
  </si>
  <si>
    <t>Inaya Kunda</t>
  </si>
  <si>
    <t>C01027</t>
  </si>
  <si>
    <t>Aarav Bava</t>
  </si>
  <si>
    <t>C01028</t>
  </si>
  <si>
    <t>Raksha Saini</t>
  </si>
  <si>
    <t>C01029</t>
  </si>
  <si>
    <t>Odika Tailor</t>
  </si>
  <si>
    <t>C01030</t>
  </si>
  <si>
    <t>Indali Prashad</t>
  </si>
  <si>
    <t>C01031</t>
  </si>
  <si>
    <t>Varenya Kar</t>
  </si>
  <si>
    <t>C01032</t>
  </si>
  <si>
    <t>Siya Borah</t>
  </si>
  <si>
    <t>C01033</t>
  </si>
  <si>
    <t>Chaitaly Bahri</t>
  </si>
  <si>
    <t>C01034</t>
  </si>
  <si>
    <t>Advika Cheema</t>
  </si>
  <si>
    <t>C01035</t>
  </si>
  <si>
    <t>Hema Garde</t>
  </si>
  <si>
    <t>C01036</t>
  </si>
  <si>
    <t>Naveen Borde</t>
  </si>
  <si>
    <t>C01037</t>
  </si>
  <si>
    <t>Hamsini Subramanian</t>
  </si>
  <si>
    <t>C01038</t>
  </si>
  <si>
    <t>Raagini Gala</t>
  </si>
  <si>
    <t>C01039</t>
  </si>
  <si>
    <t>Naksh Bera</t>
  </si>
  <si>
    <t>C01040</t>
  </si>
  <si>
    <t>Garima Jha</t>
  </si>
  <si>
    <t>C01041</t>
  </si>
  <si>
    <t>Nimrat Zachariah</t>
  </si>
  <si>
    <t>C01042</t>
  </si>
  <si>
    <t>Baghyawati Mishra</t>
  </si>
  <si>
    <t>C01043</t>
  </si>
  <si>
    <t>Gopal Bawa</t>
  </si>
  <si>
    <t>C01044</t>
  </si>
  <si>
    <t>Vritti Dube</t>
  </si>
  <si>
    <t>C01045</t>
  </si>
  <si>
    <t>Jalsa Aggarwal</t>
  </si>
  <si>
    <t>C01046</t>
  </si>
  <si>
    <t>Gagan Menon</t>
  </si>
  <si>
    <t>C01047</t>
  </si>
  <si>
    <t>Ryan Chatterjee</t>
  </si>
  <si>
    <t>C01048</t>
  </si>
  <si>
    <t>Samuel Garde</t>
  </si>
  <si>
    <t>C01049</t>
  </si>
  <si>
    <t>Finn Solanki</t>
  </si>
  <si>
    <t>C01050</t>
  </si>
  <si>
    <t>Darika Rao</t>
  </si>
  <si>
    <t>C01051</t>
  </si>
  <si>
    <t>Vrinda Lanka</t>
  </si>
  <si>
    <t>C01052</t>
  </si>
  <si>
    <t>Lila Goyal</t>
  </si>
  <si>
    <t>C01053</t>
  </si>
  <si>
    <t>Lakshmi Pingle</t>
  </si>
  <si>
    <t>C01054</t>
  </si>
  <si>
    <t>Sanaya Basu</t>
  </si>
  <si>
    <t>C01055</t>
  </si>
  <si>
    <t>Ria Shroff</t>
  </si>
  <si>
    <t>C01056</t>
  </si>
  <si>
    <t>Upkaar Luthra</t>
  </si>
  <si>
    <t>C01057</t>
  </si>
  <si>
    <t>Matthew Chatterjee</t>
  </si>
  <si>
    <t>C01058</t>
  </si>
  <si>
    <t>Hemangini Sachdev</t>
  </si>
  <si>
    <t>C01059</t>
  </si>
  <si>
    <t>Darsh Ram</t>
  </si>
  <si>
    <t>C01060</t>
  </si>
  <si>
    <t>Vaishnavi Keer</t>
  </si>
  <si>
    <t>C01061</t>
  </si>
  <si>
    <t>Chandani Brar</t>
  </si>
  <si>
    <t>C01062</t>
  </si>
  <si>
    <t>Bakhshi Thakkar</t>
  </si>
  <si>
    <t>C01063</t>
  </si>
  <si>
    <t>Jai Sen</t>
  </si>
  <si>
    <t>C01064</t>
  </si>
  <si>
    <t>Oliver Kakar</t>
  </si>
  <si>
    <t>C01065</t>
  </si>
  <si>
    <t>Jonathan Basak</t>
  </si>
  <si>
    <t>C01066</t>
  </si>
  <si>
    <t>Farhan Saran</t>
  </si>
  <si>
    <t>C01067</t>
  </si>
  <si>
    <t>Manbir Kuruvilla</t>
  </si>
  <si>
    <t>C01068</t>
  </si>
  <si>
    <t>Ekalinga Chahal</t>
  </si>
  <si>
    <t>C01069</t>
  </si>
  <si>
    <t>Mekhala Nanda</t>
  </si>
  <si>
    <t>C01070</t>
  </si>
  <si>
    <t>Zinal Shanker</t>
  </si>
  <si>
    <t>C01071</t>
  </si>
  <si>
    <t>Oni Chowdhury</t>
  </si>
  <si>
    <t>C01072</t>
  </si>
  <si>
    <t>Mason Divan</t>
  </si>
  <si>
    <t>C01073</t>
  </si>
  <si>
    <t>Hitesh Chaudhuri</t>
  </si>
  <si>
    <t>C01074</t>
  </si>
  <si>
    <t>Hemangini Roy</t>
  </si>
  <si>
    <t>C01075</t>
  </si>
  <si>
    <t>Leela Sunder</t>
  </si>
  <si>
    <t>C01076</t>
  </si>
  <si>
    <t>Baljiwan Gera</t>
  </si>
  <si>
    <t>C01077</t>
  </si>
  <si>
    <t>Neha Dhawan</t>
  </si>
  <si>
    <t>C01078</t>
  </si>
  <si>
    <t>Balvan Randhawa</t>
  </si>
  <si>
    <t>C01079</t>
  </si>
  <si>
    <t>Wazir Bawa</t>
  </si>
  <si>
    <t>C01080</t>
  </si>
  <si>
    <t>Amruta Pradhan</t>
  </si>
  <si>
    <t>C01081</t>
  </si>
  <si>
    <t>Geetika Mitter</t>
  </si>
  <si>
    <t>C01082</t>
  </si>
  <si>
    <t>Avni Swamy</t>
  </si>
  <si>
    <t>C01083</t>
  </si>
  <si>
    <t>Vedant Desai</t>
  </si>
  <si>
    <t>C01084</t>
  </si>
  <si>
    <t>Saanvi Nagi</t>
  </si>
  <si>
    <t>C01085</t>
  </si>
  <si>
    <t>Omaja Chakraborty</t>
  </si>
  <si>
    <t>C01086</t>
  </si>
  <si>
    <t>Riya Kakar</t>
  </si>
  <si>
    <t>C01087</t>
  </si>
  <si>
    <t>Vedhika Varty</t>
  </si>
  <si>
    <t>C01088</t>
  </si>
  <si>
    <t>Daksh Varma</t>
  </si>
  <si>
    <t>C01089</t>
  </si>
  <si>
    <t>Dominic Mukhopadhyay</t>
  </si>
  <si>
    <t>C01090</t>
  </si>
  <si>
    <t>Krishna Viswanathan</t>
  </si>
  <si>
    <t>C01091</t>
  </si>
  <si>
    <t>Oscar Hans</t>
  </si>
  <si>
    <t>C01092</t>
  </si>
  <si>
    <t>Dalbir Krish</t>
  </si>
  <si>
    <t>C01093</t>
  </si>
  <si>
    <t>Tanmayi Bedi</t>
  </si>
  <si>
    <t>C01094</t>
  </si>
  <si>
    <t>Rushil Mahal</t>
  </si>
  <si>
    <t>C01095</t>
  </si>
  <si>
    <t>Ucchal Tiwari</t>
  </si>
  <si>
    <t>C01096</t>
  </si>
  <si>
    <t>Jatin Balasubramanian</t>
  </si>
  <si>
    <t>C01097</t>
  </si>
  <si>
    <t>Kashish Suresh</t>
  </si>
  <si>
    <t>C01098</t>
  </si>
  <si>
    <t>Peter Som</t>
  </si>
  <si>
    <t>C01099</t>
  </si>
  <si>
    <t>Hemangini Gade</t>
  </si>
  <si>
    <t>C01100</t>
  </si>
  <si>
    <t>Gautam Mane</t>
  </si>
  <si>
    <t>C01101</t>
  </si>
  <si>
    <t>Libni Bawa</t>
  </si>
  <si>
    <t>C01102</t>
  </si>
  <si>
    <t>Tanish Kant</t>
  </si>
  <si>
    <t>C01103</t>
  </si>
  <si>
    <t>Samuel Luthra</t>
  </si>
  <si>
    <t>C01104</t>
  </si>
  <si>
    <t>Yochana Bahri</t>
  </si>
  <si>
    <t>C01105</t>
  </si>
  <si>
    <t>Urvi Deo</t>
  </si>
  <si>
    <t>C01106</t>
  </si>
  <si>
    <t>Abhiram Kapur</t>
  </si>
  <si>
    <t>C01107</t>
  </si>
  <si>
    <t>Dalaja Maharaj</t>
  </si>
  <si>
    <t>C01108</t>
  </si>
  <si>
    <t>Krisha Palla</t>
  </si>
  <si>
    <t>C01109</t>
  </si>
  <si>
    <t>Zayyan Kamdar</t>
  </si>
  <si>
    <t>C01110</t>
  </si>
  <si>
    <t>Chasmum Verma</t>
  </si>
  <si>
    <t>C01111</t>
  </si>
  <si>
    <t>Harsh Amble</t>
  </si>
  <si>
    <t>C01112</t>
  </si>
  <si>
    <t>Barkha Misra</t>
  </si>
  <si>
    <t>C01113</t>
  </si>
  <si>
    <t>Vasatika Bhatt</t>
  </si>
  <si>
    <t>C01114</t>
  </si>
  <si>
    <t>Aradhana Nair</t>
  </si>
  <si>
    <t>C01115</t>
  </si>
  <si>
    <t>Advika Misra</t>
  </si>
  <si>
    <t>C01116</t>
  </si>
  <si>
    <t>Mason Varughese</t>
  </si>
  <si>
    <t>C01117</t>
  </si>
  <si>
    <t>Dakshesh Raval</t>
  </si>
  <si>
    <t>C01118</t>
  </si>
  <si>
    <t>Logan Bal</t>
  </si>
  <si>
    <t>C01119</t>
  </si>
  <si>
    <t>Chakrika Lad</t>
  </si>
  <si>
    <t>C01120</t>
  </si>
  <si>
    <t>Nidhi Rama</t>
  </si>
  <si>
    <t>C01121</t>
  </si>
  <si>
    <t>Ranveer Oza</t>
  </si>
  <si>
    <t>C01122</t>
  </si>
  <si>
    <t>Vamakshi Parmer</t>
  </si>
  <si>
    <t>C01123</t>
  </si>
  <si>
    <t>Onkar Golla</t>
  </si>
  <si>
    <t>C01124</t>
  </si>
  <si>
    <t>Gunbir Sinha</t>
  </si>
  <si>
    <t>C01125</t>
  </si>
  <si>
    <t>Aarna Goswami</t>
  </si>
  <si>
    <t>C01126</t>
  </si>
  <si>
    <t>Gaurav Kapadia</t>
  </si>
  <si>
    <t>C01127</t>
  </si>
  <si>
    <t>Udant Mohanty</t>
  </si>
  <si>
    <t>C01128</t>
  </si>
  <si>
    <t>Garima Prabhu</t>
  </si>
  <si>
    <t>C01129</t>
  </si>
  <si>
    <t>Chaitaly Sheth</t>
  </si>
  <si>
    <t>C01130</t>
  </si>
  <si>
    <t>Upma Bera</t>
  </si>
  <si>
    <t>C01131</t>
  </si>
  <si>
    <t>Urmi Hayer</t>
  </si>
  <si>
    <t>C01132</t>
  </si>
  <si>
    <t>Lakshmi Wagle</t>
  </si>
  <si>
    <t>C01133</t>
  </si>
  <si>
    <t>Odika Bhagat</t>
  </si>
  <si>
    <t>C01134</t>
  </si>
  <si>
    <t>Laksh Iyer</t>
  </si>
  <si>
    <t>C01135</t>
  </si>
  <si>
    <t>Nimrat Shankar</t>
  </si>
  <si>
    <t>C01136</t>
  </si>
  <si>
    <t>Diya Gole</t>
  </si>
  <si>
    <t>C01137</t>
  </si>
  <si>
    <t>Vinaya Natarajan</t>
  </si>
  <si>
    <t>C01138</t>
  </si>
  <si>
    <t>Dhriti Bhardwaj</t>
  </si>
  <si>
    <t>C01139</t>
  </si>
  <si>
    <t>Siya Mahal</t>
  </si>
  <si>
    <t>C01140</t>
  </si>
  <si>
    <t>Om Dutt</t>
  </si>
  <si>
    <t>C01141</t>
  </si>
  <si>
    <t>Gaurang Dayal</t>
  </si>
  <si>
    <t>C01142</t>
  </si>
  <si>
    <t>Pushti Raval</t>
  </si>
  <si>
    <t>C01143</t>
  </si>
  <si>
    <t>Vansha Rajagopal</t>
  </si>
  <si>
    <t>C01144</t>
  </si>
  <si>
    <t>Baljiwan Walla</t>
  </si>
  <si>
    <t>C01145</t>
  </si>
  <si>
    <t>Kashvi Atwal</t>
  </si>
  <si>
    <t>C01146</t>
  </si>
  <si>
    <t>Rayaan Badami</t>
  </si>
  <si>
    <t>C01147</t>
  </si>
  <si>
    <t>Yuvraj Kara</t>
  </si>
  <si>
    <t>C01148</t>
  </si>
  <si>
    <t>Devika Dayal</t>
  </si>
  <si>
    <t>C01149</t>
  </si>
  <si>
    <t>Leela Thakur</t>
  </si>
  <si>
    <t>C01150</t>
  </si>
  <si>
    <t>Oliver Bhattacharyya</t>
  </si>
  <si>
    <t>C01151</t>
  </si>
  <si>
    <t>Chanchal Mannan</t>
  </si>
  <si>
    <t>C01152</t>
  </si>
  <si>
    <t>Zinal Viswanathan</t>
  </si>
  <si>
    <t>C01153</t>
  </si>
  <si>
    <t>Radha Desai</t>
  </si>
  <si>
    <t>C01154</t>
  </si>
  <si>
    <t>Vrishti Parmer</t>
  </si>
  <si>
    <t>C01155</t>
  </si>
  <si>
    <t>Nitesh Raval</t>
  </si>
  <si>
    <t>C01156</t>
  </si>
  <si>
    <t>Vedant Kapur</t>
  </si>
  <si>
    <t>C01157</t>
  </si>
  <si>
    <t>Siddharth Bains</t>
  </si>
  <si>
    <t>C01158</t>
  </si>
  <si>
    <t>Jatin Peri</t>
  </si>
  <si>
    <t>C01159</t>
  </si>
  <si>
    <t>Keya Kumer</t>
  </si>
  <si>
    <t>C01160</t>
  </si>
  <si>
    <t>Chanakya Chokshi</t>
  </si>
  <si>
    <t>C01161</t>
  </si>
  <si>
    <t>Chanakya D’Alia</t>
  </si>
  <si>
    <t>C01162</t>
  </si>
  <si>
    <t>Sachi Rai</t>
  </si>
  <si>
    <t>C01163</t>
  </si>
  <si>
    <t>Zayyan Som</t>
  </si>
  <si>
    <t>C01164</t>
  </si>
  <si>
    <t>Samesh Andra</t>
  </si>
  <si>
    <t>C01165</t>
  </si>
  <si>
    <t>Osha Chaudhuri</t>
  </si>
  <si>
    <t>C01166</t>
  </si>
  <si>
    <t>Laksh Sahota</t>
  </si>
  <si>
    <t>C01167</t>
  </si>
  <si>
    <t>Yasti Dalal</t>
  </si>
  <si>
    <t>C01168</t>
  </si>
  <si>
    <t>Ishaan Cherian</t>
  </si>
  <si>
    <t>C01169</t>
  </si>
  <si>
    <t>Rushil Iyengar</t>
  </si>
  <si>
    <t>C01170</t>
  </si>
  <si>
    <t>Saksham Parmar</t>
  </si>
  <si>
    <t>C01171</t>
  </si>
  <si>
    <t>Chakrika Dyal</t>
  </si>
  <si>
    <t>C01172</t>
  </si>
  <si>
    <t>Watika Johal</t>
  </si>
  <si>
    <t>C01173</t>
  </si>
  <si>
    <t>Ganga Keer</t>
  </si>
  <si>
    <t>C01174</t>
  </si>
  <si>
    <t>Agastya Chakraborty</t>
  </si>
  <si>
    <t>C01175</t>
  </si>
  <si>
    <t>Wakeeta Dixit</t>
  </si>
  <si>
    <t>C01176</t>
  </si>
  <si>
    <t>Yasti Borde</t>
  </si>
  <si>
    <t>C01177</t>
  </si>
  <si>
    <t>Aahana Kashyap</t>
  </si>
  <si>
    <t>C01178</t>
  </si>
  <si>
    <t>Chaman Lalla</t>
  </si>
  <si>
    <t>C01179</t>
  </si>
  <si>
    <t>Chandresh Chaudhry</t>
  </si>
  <si>
    <t>C01180</t>
  </si>
  <si>
    <t>Balveer Mannan</t>
  </si>
  <si>
    <t>C01181</t>
  </si>
  <si>
    <t>Dhriti Sandhu</t>
  </si>
  <si>
    <t>C01182</t>
  </si>
  <si>
    <t>Girish Bath</t>
  </si>
  <si>
    <t>C01183</t>
  </si>
  <si>
    <t>Lakshit Garde</t>
  </si>
  <si>
    <t>C01184</t>
  </si>
  <si>
    <t>Ishita Sarma</t>
  </si>
  <si>
    <t>C01185</t>
  </si>
  <si>
    <t>Girik Pradhan</t>
  </si>
  <si>
    <t>C01186</t>
  </si>
  <si>
    <t>Qadim Comar</t>
  </si>
  <si>
    <t>C01187</t>
  </si>
  <si>
    <t>Mugdha Shan</t>
  </si>
  <si>
    <t>C01188</t>
  </si>
  <si>
    <t>Lekha Sridhar</t>
  </si>
  <si>
    <t>C01189</t>
  </si>
  <si>
    <t>Ojas Chowdhury</t>
  </si>
  <si>
    <t>C01190</t>
  </si>
  <si>
    <t>Daniel Dutta</t>
  </si>
  <si>
    <t>C01191</t>
  </si>
  <si>
    <t>Omaja Subramanian</t>
  </si>
  <si>
    <t>C01192</t>
  </si>
  <si>
    <t>Pratyush Raghavan</t>
  </si>
  <si>
    <t>C01193</t>
  </si>
  <si>
    <t>Ayush De</t>
  </si>
  <si>
    <t>C01194</t>
  </si>
  <si>
    <t>Vinaya Chowdhury</t>
  </si>
  <si>
    <t>C01195</t>
  </si>
  <si>
    <t>Ridhi Batra</t>
  </si>
  <si>
    <t>C01196</t>
  </si>
  <si>
    <t>Advika Murthy</t>
  </si>
  <si>
    <t>C01197</t>
  </si>
  <si>
    <t>Udarsh Nigam</t>
  </si>
  <si>
    <t>C01198</t>
  </si>
  <si>
    <t>Rachita Kothari</t>
  </si>
  <si>
    <t>C01199</t>
  </si>
  <si>
    <t>Hiral Rajan</t>
  </si>
  <si>
    <t>C01200</t>
  </si>
  <si>
    <t>Chatura Apte</t>
  </si>
  <si>
    <t>C01201</t>
  </si>
  <si>
    <t>Yashasvi Singh</t>
  </si>
  <si>
    <t>C01202</t>
  </si>
  <si>
    <t>Noah Borde</t>
  </si>
  <si>
    <t>C01203</t>
  </si>
  <si>
    <t>Ekani Khosla</t>
  </si>
  <si>
    <t>C01204</t>
  </si>
  <si>
    <t>Arunima Bedi</t>
  </si>
  <si>
    <t>C01205</t>
  </si>
  <si>
    <t>Kritika Rau</t>
  </si>
  <si>
    <t>C01206</t>
  </si>
  <si>
    <t>Farhan Sharaf</t>
  </si>
  <si>
    <t>C01207</t>
  </si>
  <si>
    <t>Sara Chakrabarti</t>
  </si>
  <si>
    <t>C01208</t>
  </si>
  <si>
    <t>Sanya Mutti</t>
  </si>
  <si>
    <t>C01209</t>
  </si>
  <si>
    <t>Widisha Badami</t>
  </si>
  <si>
    <t>C01210</t>
  </si>
  <si>
    <t>Netra Sachar</t>
  </si>
  <si>
    <t>C01211</t>
  </si>
  <si>
    <t>Aadi Chand</t>
  </si>
  <si>
    <t>C01212</t>
  </si>
  <si>
    <t>Yashoda Jhaveri</t>
  </si>
  <si>
    <t>C01213</t>
  </si>
  <si>
    <t>Harita Patla</t>
  </si>
  <si>
    <t>C01214</t>
  </si>
  <si>
    <t>Udant Sha</t>
  </si>
  <si>
    <t>C01215</t>
  </si>
  <si>
    <t>Urvashi Patla</t>
  </si>
  <si>
    <t>C01216</t>
  </si>
  <si>
    <t>Ishaan Chatterjee</t>
  </si>
  <si>
    <t>C01217</t>
  </si>
  <si>
    <t>Aarnav Om</t>
  </si>
  <si>
    <t>C01218</t>
  </si>
  <si>
    <t>Bishakha Vig</t>
  </si>
  <si>
    <t>C01219</t>
  </si>
  <si>
    <t>Hitesh Bath</t>
  </si>
  <si>
    <t>C01220</t>
  </si>
  <si>
    <t>Waida Dey</t>
  </si>
  <si>
    <t>C01221</t>
  </si>
  <si>
    <t>Hredhaan Kumar</t>
  </si>
  <si>
    <t>C01222</t>
  </si>
  <si>
    <t>Raghav Dara</t>
  </si>
  <si>
    <t>C01223</t>
  </si>
  <si>
    <t>Tanveer Shankar</t>
  </si>
  <si>
    <t>C01224</t>
  </si>
  <si>
    <t>Hamsini Chokshi</t>
  </si>
  <si>
    <t>C01225</t>
  </si>
  <si>
    <t>Chakradhar Dasgupta</t>
  </si>
  <si>
    <t>C01226</t>
  </si>
  <si>
    <t>Tanvi Thaman</t>
  </si>
  <si>
    <t>C01227</t>
  </si>
  <si>
    <t>Wishi Agrawal</t>
  </si>
  <si>
    <t>C01228</t>
  </si>
  <si>
    <t>Rachita Subramanian</t>
  </si>
  <si>
    <t>C01229</t>
  </si>
  <si>
    <t>Oscar Dave</t>
  </si>
  <si>
    <t>C01230</t>
  </si>
  <si>
    <t>Lila Nagy</t>
  </si>
  <si>
    <t>C01231</t>
  </si>
  <si>
    <t>C01232</t>
  </si>
  <si>
    <t>Mitali Oza</t>
  </si>
  <si>
    <t>C01233</t>
  </si>
  <si>
    <t>Sneha Deol</t>
  </si>
  <si>
    <t>C01234</t>
  </si>
  <si>
    <t>Nitara Vala</t>
  </si>
  <si>
    <t>C01235</t>
  </si>
  <si>
    <t>Dipta Kalla</t>
  </si>
  <si>
    <t>C01236</t>
  </si>
  <si>
    <t>Shaurya Mannan</t>
  </si>
  <si>
    <t>C01237</t>
  </si>
  <si>
    <t>Kevin Gokhale</t>
  </si>
  <si>
    <t>C01238</t>
  </si>
  <si>
    <t>Jack Pandey</t>
  </si>
  <si>
    <t>C01239</t>
  </si>
  <si>
    <t>Omisha Walla</t>
  </si>
  <si>
    <t>C01240</t>
  </si>
  <si>
    <t>Pahal Arya</t>
  </si>
  <si>
    <t>C01241</t>
  </si>
  <si>
    <t>Aryan Raj</t>
  </si>
  <si>
    <t>C01242</t>
  </si>
  <si>
    <t>Chatresh Bhalla</t>
  </si>
  <si>
    <t>C01243</t>
  </si>
  <si>
    <t>Amara Dyal</t>
  </si>
  <si>
    <t>C01244</t>
  </si>
  <si>
    <t>Zashil Dhingra</t>
  </si>
  <si>
    <t>C01245</t>
  </si>
  <si>
    <t>Chakrika Jani</t>
  </si>
  <si>
    <t>C01246</t>
  </si>
  <si>
    <t>Jagrati Sethi</t>
  </si>
  <si>
    <t>C01247</t>
  </si>
  <si>
    <t>Udarsh Ramachandran</t>
  </si>
  <si>
    <t>C01248</t>
  </si>
  <si>
    <t>Yasti Mani</t>
  </si>
  <si>
    <t>C01249</t>
  </si>
  <si>
    <t>Lakshmi Ram</t>
  </si>
  <si>
    <t>C01250</t>
  </si>
  <si>
    <t>Dhriti Bhagat</t>
  </si>
  <si>
    <t>C01251</t>
  </si>
  <si>
    <t>Zayan Jain</t>
  </si>
  <si>
    <t>C01252</t>
  </si>
  <si>
    <t>Umang Pillai</t>
  </si>
  <si>
    <t>C01253</t>
  </si>
  <si>
    <t>Rishi Menon</t>
  </si>
  <si>
    <t>C01254</t>
  </si>
  <si>
    <t>Peter Borde</t>
  </si>
  <si>
    <t>C01255</t>
  </si>
  <si>
    <t>Oscar Varkey</t>
  </si>
  <si>
    <t>C01256</t>
  </si>
  <si>
    <t>Krishna Baria</t>
  </si>
  <si>
    <t>C01257</t>
  </si>
  <si>
    <t>Arya Lalla</t>
  </si>
  <si>
    <t>C01258</t>
  </si>
  <si>
    <t>Naveen Kumer</t>
  </si>
  <si>
    <t>C01259</t>
  </si>
  <si>
    <t>Ganga Shukla</t>
  </si>
  <si>
    <t>C01260</t>
  </si>
  <si>
    <t>Balveer Dube</t>
  </si>
  <si>
    <t>C01261</t>
  </si>
  <si>
    <t>Charan Mitra</t>
  </si>
  <si>
    <t>C01262</t>
  </si>
  <si>
    <t>Ishita Bora</t>
  </si>
  <si>
    <t>C01263</t>
  </si>
  <si>
    <t>Thomas Gour</t>
  </si>
  <si>
    <t>C01264</t>
  </si>
  <si>
    <t>Yashasvi Dutta</t>
  </si>
  <si>
    <t>C01265</t>
  </si>
  <si>
    <t>Netra Chanda</t>
  </si>
  <si>
    <t>C01266</t>
  </si>
  <si>
    <t>Timothy Kala</t>
  </si>
  <si>
    <t>C01267</t>
  </si>
  <si>
    <t>Garima Patel</t>
  </si>
  <si>
    <t>C01268</t>
  </si>
  <si>
    <t>Tejas Wali</t>
  </si>
  <si>
    <t>C01269</t>
  </si>
  <si>
    <t>Aditya Contractor</t>
  </si>
  <si>
    <t>C01270</t>
  </si>
  <si>
    <t>Sanaya Khosla</t>
  </si>
  <si>
    <t>C01271</t>
  </si>
  <si>
    <t>Balveer Nagi</t>
  </si>
  <si>
    <t>C01272</t>
  </si>
  <si>
    <t>Ishaan Raju</t>
  </si>
  <si>
    <t>C01273</t>
  </si>
  <si>
    <t>Barkha Bakshi</t>
  </si>
  <si>
    <t>C01274</t>
  </si>
  <si>
    <t>Yoshita Trivedi</t>
  </si>
  <si>
    <t>C01275</t>
  </si>
  <si>
    <t>Vidhi Bassi</t>
  </si>
  <si>
    <t>C01276</t>
  </si>
  <si>
    <t>Reyansh Nagi</t>
  </si>
  <si>
    <t>C01277</t>
  </si>
  <si>
    <t>Gopal Ganesh</t>
  </si>
  <si>
    <t>C01278</t>
  </si>
  <si>
    <t>Dominic Kade</t>
  </si>
  <si>
    <t>C01279</t>
  </si>
  <si>
    <t>Panini Chawla</t>
  </si>
  <si>
    <t>C01280</t>
  </si>
  <si>
    <t>Radhika Bora</t>
  </si>
  <si>
    <t>C01281</t>
  </si>
  <si>
    <t>Arjun Sharaf</t>
  </si>
  <si>
    <t>C01282</t>
  </si>
  <si>
    <t>Baljiwan Chahal</t>
  </si>
  <si>
    <t>C01283</t>
  </si>
  <si>
    <t>Chatura Gokhale</t>
  </si>
  <si>
    <t>C01284</t>
  </si>
  <si>
    <t>Ekavir Kari</t>
  </si>
  <si>
    <t>C01285</t>
  </si>
  <si>
    <t>Nikita Rama</t>
  </si>
  <si>
    <t>C01286</t>
  </si>
  <si>
    <t>Nidhi Sant</t>
  </si>
  <si>
    <t>C01287</t>
  </si>
  <si>
    <t>Anay Ramachandran</t>
  </si>
  <si>
    <t>C01288</t>
  </si>
  <si>
    <t>Abeer Bhatnagar</t>
  </si>
  <si>
    <t>C01289</t>
  </si>
  <si>
    <t>Elijah Parmar</t>
  </si>
  <si>
    <t>C01290</t>
  </si>
  <si>
    <t>Bimala Mitra</t>
  </si>
  <si>
    <t>C01291</t>
  </si>
  <si>
    <t>Baghyawati Sarma</t>
  </si>
  <si>
    <t>C01292</t>
  </si>
  <si>
    <t>Megha Balasubramanian</t>
  </si>
  <si>
    <t>C01293</t>
  </si>
  <si>
    <t>Naksh Walla</t>
  </si>
  <si>
    <t>C01294</t>
  </si>
  <si>
    <t>Laban Raman</t>
  </si>
  <si>
    <t>C01295</t>
  </si>
  <si>
    <t>Maanas Misra</t>
  </si>
  <si>
    <t>C01296</t>
  </si>
  <si>
    <t>Advay Dhaliwal</t>
  </si>
  <si>
    <t>C01297</t>
  </si>
  <si>
    <t>Benjamin Ahluwalia</t>
  </si>
  <si>
    <t>C01298</t>
  </si>
  <si>
    <t>Frederick Mody</t>
  </si>
  <si>
    <t>C01299</t>
  </si>
  <si>
    <t>Hemangini Kakar</t>
  </si>
  <si>
    <t>C01300</t>
  </si>
  <si>
    <t>Yauvani Dhar</t>
  </si>
  <si>
    <t>C01301</t>
  </si>
  <si>
    <t>Qarin Kant</t>
  </si>
  <si>
    <t>C01302</t>
  </si>
  <si>
    <t>Rishi Contractor</t>
  </si>
  <si>
    <t>C01303</t>
  </si>
  <si>
    <t>Chatura Shenoy</t>
  </si>
  <si>
    <t>C01304</t>
  </si>
  <si>
    <t>Bina Bhavsar</t>
  </si>
  <si>
    <t>C01305</t>
  </si>
  <si>
    <t>Guneet Hora</t>
  </si>
  <si>
    <t>C01306</t>
  </si>
  <si>
    <t>Ganga Parikh</t>
  </si>
  <si>
    <t>C01307</t>
  </si>
  <si>
    <t>Wahab Chaudhry</t>
  </si>
  <si>
    <t>C01308</t>
  </si>
  <si>
    <t>Ekaraj Hari</t>
  </si>
  <si>
    <t>C01309</t>
  </si>
  <si>
    <t>Vedika Seshadri</t>
  </si>
  <si>
    <t>C01310</t>
  </si>
  <si>
    <t>Damini Dua</t>
  </si>
  <si>
    <t>C01311</t>
  </si>
  <si>
    <t>Diya Sangha</t>
  </si>
  <si>
    <t>C01312</t>
  </si>
  <si>
    <t>Aayush Munshi</t>
  </si>
  <si>
    <t>C01313</t>
  </si>
  <si>
    <t>Timothy Sarin</t>
  </si>
  <si>
    <t>C01314</t>
  </si>
  <si>
    <t>Jagvi Desai</t>
  </si>
  <si>
    <t>C01315</t>
  </si>
  <si>
    <t>Varsha Shere</t>
  </si>
  <si>
    <t>C01316</t>
  </si>
  <si>
    <t>Jagrati Mody</t>
  </si>
  <si>
    <t>C01317</t>
  </si>
  <si>
    <t>Ikbal Gill</t>
  </si>
  <si>
    <t>C01318</t>
  </si>
  <si>
    <t>Avni Dey</t>
  </si>
  <si>
    <t>C01319</t>
  </si>
  <si>
    <t>C01320</t>
  </si>
  <si>
    <t>Anirudh Tripathi</t>
  </si>
  <si>
    <t>C01321</t>
  </si>
  <si>
    <t>Nidhi Kala</t>
  </si>
  <si>
    <t>C01322</t>
  </si>
  <si>
    <t>Abha Zacharia</t>
  </si>
  <si>
    <t>C01323</t>
  </si>
  <si>
    <t>Manthan Pau</t>
  </si>
  <si>
    <t>C01324</t>
  </si>
  <si>
    <t>Udant Mannan</t>
  </si>
  <si>
    <t>C01325</t>
  </si>
  <si>
    <t>Ucchal Thaker</t>
  </si>
  <si>
    <t>C01326</t>
  </si>
  <si>
    <t>Mekhala Patla</t>
  </si>
  <si>
    <t>C01327</t>
  </si>
  <si>
    <t>William Gandhi</t>
  </si>
  <si>
    <t>C01328</t>
  </si>
  <si>
    <t>Sanaya Dutta</t>
  </si>
  <si>
    <t>C01329</t>
  </si>
  <si>
    <t>Madhav Sule</t>
  </si>
  <si>
    <t>C01330</t>
  </si>
  <si>
    <t>Banjeet Kanda</t>
  </si>
  <si>
    <t>C01331</t>
  </si>
  <si>
    <t>Vincent Bhatnagar</t>
  </si>
  <si>
    <t>C01332</t>
  </si>
  <si>
    <t>Kala Kaur</t>
  </si>
  <si>
    <t>C01333</t>
  </si>
  <si>
    <t>Samuel Vasa</t>
  </si>
  <si>
    <t>C01334</t>
  </si>
  <si>
    <t>Lipika Singh</t>
  </si>
  <si>
    <t>C01335</t>
  </si>
  <si>
    <t>Chakradhar Baral</t>
  </si>
  <si>
    <t>C01336</t>
  </si>
  <si>
    <t>Harshil Verma</t>
  </si>
  <si>
    <t>C01337</t>
  </si>
  <si>
    <t>Adya Ghosh</t>
  </si>
  <si>
    <t>C01338</t>
  </si>
  <si>
    <t>Kritika Pau</t>
  </si>
  <si>
    <t>C01339</t>
  </si>
  <si>
    <t>Zansi Krishnamurthy</t>
  </si>
  <si>
    <t>C01340</t>
  </si>
  <si>
    <t>Udant Varty</t>
  </si>
  <si>
    <t>C01341</t>
  </si>
  <si>
    <t>Ira Pai</t>
  </si>
  <si>
    <t>C01342</t>
  </si>
  <si>
    <t>Vasatika Ahuja</t>
  </si>
  <si>
    <t>C01343</t>
  </si>
  <si>
    <t>Ria Gandhi</t>
  </si>
  <si>
    <t>C01344</t>
  </si>
  <si>
    <t>Faraj Varkey</t>
  </si>
  <si>
    <t>C01345</t>
  </si>
  <si>
    <t>Siddharth Doctor</t>
  </si>
  <si>
    <t>C01346</t>
  </si>
  <si>
    <t>Nakul Pathak</t>
  </si>
  <si>
    <t>C01347</t>
  </si>
  <si>
    <t>Victor Sachdeva</t>
  </si>
  <si>
    <t>C01348</t>
  </si>
  <si>
    <t>Ishaan Subramaniam</t>
  </si>
  <si>
    <t>C01349</t>
  </si>
  <si>
    <t>Varenya Kade</t>
  </si>
  <si>
    <t>C01350</t>
  </si>
  <si>
    <t>Nirja Bains</t>
  </si>
  <si>
    <t>C01351</t>
  </si>
  <si>
    <t>Caleb Datta</t>
  </si>
  <si>
    <t>C01352</t>
  </si>
  <si>
    <t>Krish Vala</t>
  </si>
  <si>
    <t>C01353</t>
  </si>
  <si>
    <t>Manan Bhalla</t>
  </si>
  <si>
    <t>C01354</t>
  </si>
  <si>
    <t>Aarna Gole</t>
  </si>
  <si>
    <t>C01355</t>
  </si>
  <si>
    <t>Anirudh Mander</t>
  </si>
  <si>
    <t>C01356</t>
  </si>
  <si>
    <t>Tarak Sen</t>
  </si>
  <si>
    <t>C01357</t>
  </si>
  <si>
    <t>Vasatika Garde</t>
  </si>
  <si>
    <t>C01358</t>
  </si>
  <si>
    <t>Nirja Dhar</t>
  </si>
  <si>
    <t>C01359</t>
  </si>
  <si>
    <t>Yasti Lalla</t>
  </si>
  <si>
    <t>C01360</t>
  </si>
  <si>
    <t>Hema Setty</t>
  </si>
  <si>
    <t>C01361</t>
  </si>
  <si>
    <t>Victor Radhakrishnan</t>
  </si>
  <si>
    <t>C01362</t>
  </si>
  <si>
    <t>Kevin Chopra</t>
  </si>
  <si>
    <t>C01363</t>
  </si>
  <si>
    <t>Samaksh Virk</t>
  </si>
  <si>
    <t>C01364</t>
  </si>
  <si>
    <t>Mason Char</t>
  </si>
  <si>
    <t>C01365</t>
  </si>
  <si>
    <t>Vamakshi Barad</t>
  </si>
  <si>
    <t>C01366</t>
  </si>
  <si>
    <t>Girik Subramaniam</t>
  </si>
  <si>
    <t>C01367</t>
  </si>
  <si>
    <t>Aarav Sankar</t>
  </si>
  <si>
    <t>C01368</t>
  </si>
  <si>
    <t>Kamala Bassi</t>
  </si>
  <si>
    <t>C01369</t>
  </si>
  <si>
    <t>Veer Subramaniam</t>
  </si>
  <si>
    <t>C01370</t>
  </si>
  <si>
    <t>Inaya Chaudhari</t>
  </si>
  <si>
    <t>C01371</t>
  </si>
  <si>
    <t>Krish Kumar</t>
  </si>
  <si>
    <t>C01372</t>
  </si>
  <si>
    <t>Viraj Chacko</t>
  </si>
  <si>
    <t>C01373</t>
  </si>
  <si>
    <t>Nilima Kurian</t>
  </si>
  <si>
    <t>C01374</t>
  </si>
  <si>
    <t>Abdul Amble</t>
  </si>
  <si>
    <t>C01375</t>
  </si>
  <si>
    <t>Zinal Amble</t>
  </si>
  <si>
    <t>C01376</t>
  </si>
  <si>
    <t>Samesh Mutti</t>
  </si>
  <si>
    <t>C01377</t>
  </si>
  <si>
    <t>Janaki Chhabra</t>
  </si>
  <si>
    <t>C01378</t>
  </si>
  <si>
    <t>Pooja Kulkarni</t>
  </si>
  <si>
    <t>C01379</t>
  </si>
  <si>
    <t>Pallavi Pau</t>
  </si>
  <si>
    <t>C01380</t>
  </si>
  <si>
    <t>Mekhala Jani</t>
  </si>
  <si>
    <t>C01381</t>
  </si>
  <si>
    <t>Vasudha Gola</t>
  </si>
  <si>
    <t>C01382</t>
  </si>
  <si>
    <t>Veda Kulkarni</t>
  </si>
  <si>
    <t>C01383</t>
  </si>
  <si>
    <t>Hemangini Rao</t>
  </si>
  <si>
    <t>C01384</t>
  </si>
  <si>
    <t>Jagat Karpe</t>
  </si>
  <si>
    <t>C01385</t>
  </si>
  <si>
    <t>Neel Chaudhry</t>
  </si>
  <si>
    <t>C01386</t>
  </si>
  <si>
    <t>Yashoda Rattan</t>
  </si>
  <si>
    <t>C01387</t>
  </si>
  <si>
    <t>Charles Dyal</t>
  </si>
  <si>
    <t>C01388</t>
  </si>
  <si>
    <t>Abdul Chand</t>
  </si>
  <si>
    <t>C01389</t>
  </si>
  <si>
    <t>Urishilla Saran</t>
  </si>
  <si>
    <t>C01390</t>
  </si>
  <si>
    <t>Devansh Lall</t>
  </si>
  <si>
    <t>C01391</t>
  </si>
  <si>
    <t>Kamala Buch</t>
  </si>
  <si>
    <t>C01392</t>
  </si>
  <si>
    <t>Leena Rattan</t>
  </si>
  <si>
    <t>C01393</t>
  </si>
  <si>
    <t>Dakshesh Gill</t>
  </si>
  <si>
    <t>C01394</t>
  </si>
  <si>
    <t>Reva Anne</t>
  </si>
  <si>
    <t>C01395</t>
  </si>
  <si>
    <t>Zarna Mangal</t>
  </si>
  <si>
    <t>C01396</t>
  </si>
  <si>
    <t>Bahadurjit Uppal</t>
  </si>
  <si>
    <t>C01397</t>
  </si>
  <si>
    <t>Omkaar Banik</t>
  </si>
  <si>
    <t>C01398</t>
  </si>
  <si>
    <t>William Acharya</t>
  </si>
  <si>
    <t>C01399</t>
  </si>
  <si>
    <t>Gabriel Majumdar</t>
  </si>
  <si>
    <t>C01400</t>
  </si>
  <si>
    <t>Ira Rana</t>
  </si>
  <si>
    <t>C01401</t>
  </si>
  <si>
    <t>Sai Vasa</t>
  </si>
  <si>
    <t>C01402</t>
  </si>
  <si>
    <t>Ekapad Chana</t>
  </si>
  <si>
    <t>C01403</t>
  </si>
  <si>
    <t>Ijaya Palan</t>
  </si>
  <si>
    <t>C01404</t>
  </si>
  <si>
    <t>Upkaar Hayer</t>
  </si>
  <si>
    <t>C01405</t>
  </si>
  <si>
    <t>Netra Agrawal</t>
  </si>
  <si>
    <t>C01406</t>
  </si>
  <si>
    <t>Parth Ray</t>
  </si>
  <si>
    <t>C01407</t>
  </si>
  <si>
    <t>Elijah Thakur</t>
  </si>
  <si>
    <t>C01408</t>
  </si>
  <si>
    <t>Harini Dada</t>
  </si>
  <si>
    <t>C01409</t>
  </si>
  <si>
    <t>Zashil Savant</t>
  </si>
  <si>
    <t>C01410</t>
  </si>
  <si>
    <t>Veda Kohli</t>
  </si>
  <si>
    <t>C01411</t>
  </si>
  <si>
    <t>Tara Sharma</t>
  </si>
  <si>
    <t>C01412</t>
  </si>
  <si>
    <t>Vasatika Dada</t>
  </si>
  <si>
    <t>C01413</t>
  </si>
  <si>
    <t>Ekansh Raja</t>
  </si>
  <si>
    <t>C01414</t>
  </si>
  <si>
    <t>Victor Mutti</t>
  </si>
  <si>
    <t>C01415</t>
  </si>
  <si>
    <t>Ira Varty</t>
  </si>
  <si>
    <t>C01416</t>
  </si>
  <si>
    <t>Adya Kothari</t>
  </si>
  <si>
    <t>C01417</t>
  </si>
  <si>
    <t>Girik Rastogi</t>
  </si>
  <si>
    <t>C01418</t>
  </si>
  <si>
    <t>Faqid Gokhale</t>
  </si>
  <si>
    <t>C01419</t>
  </si>
  <si>
    <t>Dipta Pandya</t>
  </si>
  <si>
    <t>C01420</t>
  </si>
  <si>
    <t>Amruta Goswami</t>
  </si>
  <si>
    <t>C01421</t>
  </si>
  <si>
    <t>Wishi Iyengar</t>
  </si>
  <si>
    <t>C01422</t>
  </si>
  <si>
    <t>Wyatt Lanka</t>
  </si>
  <si>
    <t>C01423</t>
  </si>
  <si>
    <t>Veer Jain</t>
  </si>
  <si>
    <t>C01424</t>
  </si>
  <si>
    <t>Ishani Dugal</t>
  </si>
  <si>
    <t>C01425</t>
  </si>
  <si>
    <t>Jagdish Brar</t>
  </si>
  <si>
    <t>C01426</t>
  </si>
  <si>
    <t>Abeer Basak</t>
  </si>
  <si>
    <t>C01427</t>
  </si>
  <si>
    <t>Kamya Murty</t>
  </si>
  <si>
    <t>C01428</t>
  </si>
  <si>
    <t>Anvi Swaminathan</t>
  </si>
  <si>
    <t>C01429</t>
  </si>
  <si>
    <t>Yasti Mammen</t>
  </si>
  <si>
    <t>C01430</t>
  </si>
  <si>
    <t>Tristan Dave</t>
  </si>
  <si>
    <t>C01431</t>
  </si>
  <si>
    <t>Pallavi Sridhar</t>
  </si>
  <si>
    <t>C01432</t>
  </si>
  <si>
    <t>Yadavi Palan</t>
  </si>
  <si>
    <t>C01433</t>
  </si>
  <si>
    <t>Owen Shankar</t>
  </si>
  <si>
    <t>C01434</t>
  </si>
  <si>
    <t>Zarna Sharma</t>
  </si>
  <si>
    <t>C01435</t>
  </si>
  <si>
    <t>Abhiram Arora</t>
  </si>
  <si>
    <t>C01436</t>
  </si>
  <si>
    <t>Ladli Chaudhuri</t>
  </si>
  <si>
    <t>C01437</t>
  </si>
  <si>
    <t>Janaki Lad</t>
  </si>
  <si>
    <t>C01438</t>
  </si>
  <si>
    <t>Adya Khalsa</t>
  </si>
  <si>
    <t>C01439</t>
  </si>
  <si>
    <t>Urishilla Oza</t>
  </si>
  <si>
    <t>C01440</t>
  </si>
  <si>
    <t>Qarin Tara</t>
  </si>
  <si>
    <t>C01441</t>
  </si>
  <si>
    <t>Shivansh Saini</t>
  </si>
  <si>
    <t>C01442</t>
  </si>
  <si>
    <t>Janya Rattan</t>
  </si>
  <si>
    <t>C01443</t>
  </si>
  <si>
    <t>Shravya Gole</t>
  </si>
  <si>
    <t>C01444</t>
  </si>
  <si>
    <t>Veer Chaudhry</t>
  </si>
  <si>
    <t>C01445</t>
  </si>
  <si>
    <t>Warinder Sankaran</t>
  </si>
  <si>
    <t>C01446</t>
  </si>
  <si>
    <t>Rohan Dhingra</t>
  </si>
  <si>
    <t>C01447</t>
  </si>
  <si>
    <t>Urvashi Andra</t>
  </si>
  <si>
    <t>C01448</t>
  </si>
  <si>
    <t>Oviya Tata</t>
  </si>
  <si>
    <t>C01449</t>
  </si>
  <si>
    <t>Zansi Walla</t>
  </si>
  <si>
    <t>C01450</t>
  </si>
  <si>
    <t>Vidhi Mital</t>
  </si>
  <si>
    <t>C01451</t>
  </si>
  <si>
    <t>Champak Rao</t>
  </si>
  <si>
    <t>C01452</t>
  </si>
  <si>
    <t>Nihal Bhasin</t>
  </si>
  <si>
    <t>C01453</t>
  </si>
  <si>
    <t>Aachal Soni</t>
  </si>
  <si>
    <t>C01454</t>
  </si>
  <si>
    <t>Shivani Natt</t>
  </si>
  <si>
    <t>C01455</t>
  </si>
  <si>
    <t>Jalsa Parsa</t>
  </si>
  <si>
    <t>C01456</t>
  </si>
  <si>
    <t>Hemangini Bahri</t>
  </si>
  <si>
    <t>C01457</t>
  </si>
  <si>
    <t>Jairaj Panchal</t>
  </si>
  <si>
    <t>C01458</t>
  </si>
  <si>
    <t>Owen Mane</t>
  </si>
  <si>
    <t>C01459</t>
  </si>
  <si>
    <t>Ekta Uppal</t>
  </si>
  <si>
    <t>C01460</t>
  </si>
  <si>
    <t>Sanya Brar</t>
  </si>
  <si>
    <t>C01461</t>
  </si>
  <si>
    <t>Bhavini Sheth</t>
  </si>
  <si>
    <t>C01462</t>
  </si>
  <si>
    <t>Oliver Nazareth</t>
  </si>
  <si>
    <t>C01463</t>
  </si>
  <si>
    <t>Nidhi Bora</t>
  </si>
  <si>
    <t>C01464</t>
  </si>
  <si>
    <t>Neel Oza</t>
  </si>
  <si>
    <t>C01465</t>
  </si>
  <si>
    <t>Dipta Nadig</t>
  </si>
  <si>
    <t>C01466</t>
  </si>
  <si>
    <t>Amara Rana</t>
  </si>
  <si>
    <t>C01467</t>
  </si>
  <si>
    <t>Sai Patil</t>
  </si>
  <si>
    <t>C01468</t>
  </si>
  <si>
    <t>Odika Ganesh</t>
  </si>
  <si>
    <t>C01469</t>
  </si>
  <si>
    <t>Arin Dass</t>
  </si>
  <si>
    <t>C01470</t>
  </si>
  <si>
    <t>Zayan Buch</t>
  </si>
  <si>
    <t>C01471</t>
  </si>
  <si>
    <t>Ojas Ranganathan</t>
  </si>
  <si>
    <t>C01472</t>
  </si>
  <si>
    <t>Girish Bhatt</t>
  </si>
  <si>
    <t>C01473</t>
  </si>
  <si>
    <t>Chatura Bal</t>
  </si>
  <si>
    <t>C01474</t>
  </si>
  <si>
    <t>Fiyaz Chawla</t>
  </si>
  <si>
    <t>C01475</t>
  </si>
  <si>
    <t>Nachiket Chad</t>
  </si>
  <si>
    <t>C01476</t>
  </si>
  <si>
    <t>Dayamai Karnik</t>
  </si>
  <si>
    <t>C01477</t>
  </si>
  <si>
    <t>Bhanumati Savant</t>
  </si>
  <si>
    <t>C01478</t>
  </si>
  <si>
    <t>Karan Vyas</t>
  </si>
  <si>
    <t>C01479</t>
  </si>
  <si>
    <t>Ayush Banerjee</t>
  </si>
  <si>
    <t>C01480</t>
  </si>
  <si>
    <t>Eshana Soni</t>
  </si>
  <si>
    <t>C01481</t>
  </si>
  <si>
    <t>Anita Saxena</t>
  </si>
  <si>
    <t>C01482</t>
  </si>
  <si>
    <t>Peter Shan</t>
  </si>
  <si>
    <t>C01483</t>
  </si>
  <si>
    <t>Dayita Palan</t>
  </si>
  <si>
    <t>C01484</t>
  </si>
  <si>
    <t>Utkarsh Chakraborty</t>
  </si>
  <si>
    <t>C01485</t>
  </si>
  <si>
    <t>Darika Pau</t>
  </si>
  <si>
    <t>C01486</t>
  </si>
  <si>
    <t>Abha Dugal</t>
  </si>
  <si>
    <t>C01487</t>
  </si>
  <si>
    <t>Advaith Acharya</t>
  </si>
  <si>
    <t>C01488</t>
  </si>
  <si>
    <t>Hemangini Mangat</t>
  </si>
  <si>
    <t>C01489</t>
  </si>
  <si>
    <t>Abhiram Swamy</t>
  </si>
  <si>
    <t>C01490</t>
  </si>
  <si>
    <t>Chandani Andra</t>
  </si>
  <si>
    <t>C01491</t>
  </si>
  <si>
    <t>Brinda Kashyap</t>
  </si>
  <si>
    <t>C01492</t>
  </si>
  <si>
    <t>Kashvi Gulati</t>
  </si>
  <si>
    <t>C01493</t>
  </si>
  <si>
    <t>Rajeshri Rana</t>
  </si>
  <si>
    <t>C01494</t>
  </si>
  <si>
    <t>Nihal Ramakrishnan</t>
  </si>
  <si>
    <t>C01495</t>
  </si>
  <si>
    <t>Thomas Lall</t>
  </si>
  <si>
    <t>C01496</t>
  </si>
  <si>
    <t>Pahal Khatri</t>
  </si>
  <si>
    <t>C01497</t>
  </si>
  <si>
    <t>Bhavani Wali</t>
  </si>
  <si>
    <t>C01498</t>
  </si>
  <si>
    <t>Nitara Guha</t>
  </si>
  <si>
    <t>C01499</t>
  </si>
  <si>
    <t>Qabil Deshpande</t>
  </si>
  <si>
    <t>C01500</t>
  </si>
  <si>
    <t>Indrajit Shah</t>
  </si>
  <si>
    <t>C01501</t>
  </si>
  <si>
    <t>Anita Swamy</t>
  </si>
  <si>
    <t>C01502</t>
  </si>
  <si>
    <t>Ekani Bahl</t>
  </si>
  <si>
    <t>C01503</t>
  </si>
  <si>
    <t>Chandran Warrior</t>
  </si>
  <si>
    <t>C01504</t>
  </si>
  <si>
    <t>Quincy Chaudry</t>
  </si>
  <si>
    <t>C01505</t>
  </si>
  <si>
    <t>Amruta Dass</t>
  </si>
  <si>
    <t>C01506</t>
  </si>
  <si>
    <t>Abhiram Kaul</t>
  </si>
  <si>
    <t>C01507</t>
  </si>
  <si>
    <t>Matthew Aurora</t>
  </si>
  <si>
    <t>C01508</t>
  </si>
  <si>
    <t>Teerth Oommen</t>
  </si>
  <si>
    <t>C01509</t>
  </si>
  <si>
    <t>Devika Tara</t>
  </si>
  <si>
    <t>C01510</t>
  </si>
  <si>
    <t>Ubika Balay</t>
  </si>
  <si>
    <t>C01511</t>
  </si>
  <si>
    <t>Faris Dhingra</t>
  </si>
  <si>
    <t>C01512</t>
  </si>
  <si>
    <t>Amaira Ramanathan</t>
  </si>
  <si>
    <t>C01513</t>
  </si>
  <si>
    <t>Upma Golla</t>
  </si>
  <si>
    <t>C01514</t>
  </si>
  <si>
    <t>Zashil Raj</t>
  </si>
  <si>
    <t>C01515</t>
  </si>
  <si>
    <t>Jairaj Kothari</t>
  </si>
  <si>
    <t>C01516</t>
  </si>
  <si>
    <t>Saanvi Kota</t>
  </si>
  <si>
    <t>C01517</t>
  </si>
  <si>
    <t>Rushil Sharma</t>
  </si>
  <si>
    <t>C01518</t>
  </si>
  <si>
    <t>Sathvik Solanki</t>
  </si>
  <si>
    <t>C01519</t>
  </si>
  <si>
    <t>Devika Naidu</t>
  </si>
  <si>
    <t>C01520</t>
  </si>
  <si>
    <t>Brijesh Verma</t>
  </si>
  <si>
    <t>C01521</t>
  </si>
  <si>
    <t>Zehaan Srivastava</t>
  </si>
  <si>
    <t>C01522</t>
  </si>
  <si>
    <t>Rushil Patel</t>
  </si>
  <si>
    <t>C01523</t>
  </si>
  <si>
    <t>Tejas Chowdhury</t>
  </si>
  <si>
    <t>C01524</t>
  </si>
  <si>
    <t>Radha Nair</t>
  </si>
  <si>
    <t>C01525</t>
  </si>
  <si>
    <t>Oliver Majumdar</t>
  </si>
  <si>
    <t>C01526</t>
  </si>
  <si>
    <t>Meghana Kibe</t>
  </si>
  <si>
    <t>C01527</t>
  </si>
  <si>
    <t>Brijesh Soman</t>
  </si>
  <si>
    <t>C01528</t>
  </si>
  <si>
    <t>Kamya Chakraborty</t>
  </si>
  <si>
    <t>C01529</t>
  </si>
  <si>
    <t>Nakul Tata</t>
  </si>
  <si>
    <t>C01530</t>
  </si>
  <si>
    <t>Hamsini Bhasin</t>
  </si>
  <si>
    <t>C01531</t>
  </si>
  <si>
    <t>Ishani Dube</t>
  </si>
  <si>
    <t>C01532</t>
  </si>
  <si>
    <t>Jeremiah Sura</t>
  </si>
  <si>
    <t>C01533</t>
  </si>
  <si>
    <t>Edhitha Palan</t>
  </si>
  <si>
    <t>C01534</t>
  </si>
  <si>
    <t>Reyansh Bail</t>
  </si>
  <si>
    <t>C01535</t>
  </si>
  <si>
    <t>Ishita Desai</t>
  </si>
  <si>
    <t>C01536</t>
  </si>
  <si>
    <t>Balveer Sundaram</t>
  </si>
  <si>
    <t>C01537</t>
  </si>
  <si>
    <t>Chaitaly Suri</t>
  </si>
  <si>
    <t>C01538</t>
  </si>
  <si>
    <t>Rachit Pall</t>
  </si>
  <si>
    <t>C01539</t>
  </si>
  <si>
    <t>Upadhriti Maharaj</t>
  </si>
  <si>
    <t>C01540</t>
  </si>
  <si>
    <t>Ekapad Wali</t>
  </si>
  <si>
    <t>C01541</t>
  </si>
  <si>
    <t>Shivani Merchant</t>
  </si>
  <si>
    <t>C01542</t>
  </si>
  <si>
    <t>Jeevika Setty</t>
  </si>
  <si>
    <t>C01543</t>
  </si>
  <si>
    <t>Yashawini Raghavan</t>
  </si>
  <si>
    <t>C01544</t>
  </si>
  <si>
    <t>Anirudh Patla</t>
  </si>
  <si>
    <t>C01545</t>
  </si>
  <si>
    <t>Ekani Bhatnagar</t>
  </si>
  <si>
    <t>C01546</t>
  </si>
  <si>
    <t>Ranveer Viswanathan</t>
  </si>
  <si>
    <t>C01547</t>
  </si>
  <si>
    <t>Mitesh Mandal</t>
  </si>
  <si>
    <t>C01548</t>
  </si>
  <si>
    <t>Nimrat Nagy</t>
  </si>
  <si>
    <t>C01549</t>
  </si>
  <si>
    <t>Gopal Virk</t>
  </si>
  <si>
    <t>C01550</t>
  </si>
  <si>
    <t>Caleb Dayal</t>
  </si>
  <si>
    <t>C01551</t>
  </si>
  <si>
    <t>Azad Jaggi</t>
  </si>
  <si>
    <t>C01552</t>
  </si>
  <si>
    <t>C01553</t>
  </si>
  <si>
    <t>Azad Rama</t>
  </si>
  <si>
    <t>C01554</t>
  </si>
  <si>
    <t>Aahana Bawa</t>
  </si>
  <si>
    <t>C01555</t>
  </si>
  <si>
    <t>Timothy Bobal</t>
  </si>
  <si>
    <t>C01556</t>
  </si>
  <si>
    <t>Sathvik Swamy</t>
  </si>
  <si>
    <t>C01557</t>
  </si>
  <si>
    <t>Upadhriti Bhat</t>
  </si>
  <si>
    <t>C01558</t>
  </si>
  <si>
    <t>Ojasvi Pillay</t>
  </si>
  <si>
    <t>C01559</t>
  </si>
  <si>
    <t>Amaira Wadhwa</t>
  </si>
  <si>
    <t>C01560</t>
  </si>
  <si>
    <t>Ekavir Modi</t>
  </si>
  <si>
    <t>C01561</t>
  </si>
  <si>
    <t>Tarak Venkataraman</t>
  </si>
  <si>
    <t>C01562</t>
  </si>
  <si>
    <t>Harrison Kashyap</t>
  </si>
  <si>
    <t>C01563</t>
  </si>
  <si>
    <t>Ranveer Hans</t>
  </si>
  <si>
    <t>C01564</t>
  </si>
  <si>
    <t>Praneel Sagar</t>
  </si>
  <si>
    <t>C01565</t>
  </si>
  <si>
    <t>Ishita Shanker</t>
  </si>
  <si>
    <t>C01566</t>
  </si>
  <si>
    <t>Hemang Ganesan</t>
  </si>
  <si>
    <t>C01567</t>
  </si>
  <si>
    <t>Neelima Thaman</t>
  </si>
  <si>
    <t>C01568</t>
  </si>
  <si>
    <t>Nakul Walla</t>
  </si>
  <si>
    <t>C01569</t>
  </si>
  <si>
    <t>Indira Murty</t>
  </si>
  <si>
    <t>C01570</t>
  </si>
  <si>
    <t>Kamya Sachar</t>
  </si>
  <si>
    <t>C01571</t>
  </si>
  <si>
    <t>Ekiya Khosla</t>
  </si>
  <si>
    <t>C01572</t>
  </si>
  <si>
    <t>Keya Kumar</t>
  </si>
  <si>
    <t>C01573</t>
  </si>
  <si>
    <t>Sneha Sem</t>
  </si>
  <si>
    <t>C01574</t>
  </si>
  <si>
    <t>Aadi Banerjee</t>
  </si>
  <si>
    <t>C01575</t>
  </si>
  <si>
    <t>Amol Vasa</t>
  </si>
  <si>
    <t>C01576</t>
  </si>
  <si>
    <t>Chasmum Ahuja</t>
  </si>
  <si>
    <t>C01577</t>
  </si>
  <si>
    <t>Tristan Kala</t>
  </si>
  <si>
    <t>C01578</t>
  </si>
  <si>
    <t>Anthony Majumdar</t>
  </si>
  <si>
    <t>C01579</t>
  </si>
  <si>
    <t>Girindra Barad</t>
  </si>
  <si>
    <t>C01580</t>
  </si>
  <si>
    <t>C01581</t>
  </si>
  <si>
    <t>Alka Peri</t>
  </si>
  <si>
    <t>C01582</t>
  </si>
  <si>
    <t>Viraj Kunda</t>
  </si>
  <si>
    <t>C01583</t>
  </si>
  <si>
    <t>George Ratta</t>
  </si>
  <si>
    <t>C01584</t>
  </si>
  <si>
    <t>Faras Nair</t>
  </si>
  <si>
    <t>C01585</t>
  </si>
  <si>
    <t>Oscar Sura</t>
  </si>
  <si>
    <t>C01586</t>
  </si>
  <si>
    <t>Charita Barad</t>
  </si>
  <si>
    <t>C01587</t>
  </si>
  <si>
    <t>Farhan Bhalla</t>
  </si>
  <si>
    <t>C01588</t>
  </si>
  <si>
    <t>Ijaya Saraf</t>
  </si>
  <si>
    <t>C01589</t>
  </si>
  <si>
    <t>Jai Karan</t>
  </si>
  <si>
    <t>C01590</t>
  </si>
  <si>
    <t>Lavanya Bhagat</t>
  </si>
  <si>
    <t>C01591</t>
  </si>
  <si>
    <t>Benjamin Nagar</t>
  </si>
  <si>
    <t>C01592</t>
  </si>
  <si>
    <t>Eta Thakkar</t>
  </si>
  <si>
    <t>C01593</t>
  </si>
  <si>
    <t>Michael Bedi</t>
  </si>
  <si>
    <t>C01594</t>
  </si>
  <si>
    <t>Sanaya Thaman</t>
  </si>
  <si>
    <t>C01595</t>
  </si>
  <si>
    <t>Tristan Sankaran</t>
  </si>
  <si>
    <t>C01596</t>
  </si>
  <si>
    <t>Meera Divan</t>
  </si>
  <si>
    <t>C01597</t>
  </si>
  <si>
    <t>Gayathri Butala</t>
  </si>
  <si>
    <t>C01598</t>
  </si>
  <si>
    <t>Chandran Rastogi</t>
  </si>
  <si>
    <t>C01599</t>
  </si>
  <si>
    <t>Frederick Rastogi</t>
  </si>
  <si>
    <t>C01600</t>
  </si>
  <si>
    <t>Kalpit Deshmukh</t>
  </si>
  <si>
    <t>C01601</t>
  </si>
  <si>
    <t>Rudra Sura</t>
  </si>
  <si>
    <t>C01602</t>
  </si>
  <si>
    <t>Rohan Viswanathan</t>
  </si>
  <si>
    <t>C01603</t>
  </si>
  <si>
    <t>Xavier Bora</t>
  </si>
  <si>
    <t>C01604</t>
  </si>
  <si>
    <t>Qushi Naik</t>
  </si>
  <si>
    <t>C01605</t>
  </si>
  <si>
    <t>Isaiah Sachdev</t>
  </si>
  <si>
    <t>C01606</t>
  </si>
  <si>
    <t>Jasmit Pall</t>
  </si>
  <si>
    <t>C01607</t>
  </si>
  <si>
    <t>Ekani Padmanabhan</t>
  </si>
  <si>
    <t>C01608</t>
  </si>
  <si>
    <t>Dalaja Gara</t>
  </si>
  <si>
    <t>C01609</t>
  </si>
  <si>
    <t>Riya Dhingra</t>
  </si>
  <si>
    <t>C01610</t>
  </si>
  <si>
    <t>Chaitanya Kaur</t>
  </si>
  <si>
    <t>C01611</t>
  </si>
  <si>
    <t>Kashvi Dugal</t>
  </si>
  <si>
    <t>C01612</t>
  </si>
  <si>
    <t>Isaiah Bhagat</t>
  </si>
  <si>
    <t>C01613</t>
  </si>
  <si>
    <t>Manbir Mani</t>
  </si>
  <si>
    <t>C01614</t>
  </si>
  <si>
    <t>Hemal Choudhry</t>
  </si>
  <si>
    <t>C01615</t>
  </si>
  <si>
    <t>Shivani Sinha</t>
  </si>
  <si>
    <t>C01616</t>
  </si>
  <si>
    <t>Garima Kadakia</t>
  </si>
  <si>
    <t>C01617</t>
  </si>
  <si>
    <t>Samar Virk</t>
  </si>
  <si>
    <t>C01618</t>
  </si>
  <si>
    <t>Vasudha Dhaliwal</t>
  </si>
  <si>
    <t>C01619</t>
  </si>
  <si>
    <t>Krisha Vyas</t>
  </si>
  <si>
    <t>C01620</t>
  </si>
  <si>
    <t>Aadhya Garde</t>
  </si>
  <si>
    <t>C01621</t>
  </si>
  <si>
    <t>Bhanumati Iyer</t>
  </si>
  <si>
    <t>C01622</t>
  </si>
  <si>
    <t>Chatresh Shroff</t>
  </si>
  <si>
    <t>C01623</t>
  </si>
  <si>
    <t>Ekalinga Rama</t>
  </si>
  <si>
    <t>C01624</t>
  </si>
  <si>
    <t>Jagvi Chokshi</t>
  </si>
  <si>
    <t>C01625</t>
  </si>
  <si>
    <t>Brinda Raju</t>
  </si>
  <si>
    <t>C01626</t>
  </si>
  <si>
    <t>Lajita Trivedi</t>
  </si>
  <si>
    <t>C01627</t>
  </si>
  <si>
    <t>Diya Sundaram</t>
  </si>
  <si>
    <t>C01628</t>
  </si>
  <si>
    <t>Quincy Issac</t>
  </si>
  <si>
    <t>C01629</t>
  </si>
  <si>
    <t>Anthony Baral</t>
  </si>
  <si>
    <t>C01630</t>
  </si>
  <si>
    <t>Dalaja Nath</t>
  </si>
  <si>
    <t>C01631</t>
  </si>
  <si>
    <t>Maya Dugar</t>
  </si>
  <si>
    <t>C01632</t>
  </si>
  <si>
    <t>Idika Pandey</t>
  </si>
  <si>
    <t>C01633</t>
  </si>
  <si>
    <t>Chasmum Keer</t>
  </si>
  <si>
    <t>C01634</t>
  </si>
  <si>
    <t>David Kurian</t>
  </si>
  <si>
    <t>C01635</t>
  </si>
  <si>
    <t>Ayushman Mammen</t>
  </si>
  <si>
    <t>C01636</t>
  </si>
  <si>
    <t>Max Om</t>
  </si>
  <si>
    <t>C01637</t>
  </si>
  <si>
    <t>Laksh Chahal</t>
  </si>
  <si>
    <t>C01638</t>
  </si>
  <si>
    <t>Utkarsh Sahni</t>
  </si>
  <si>
    <t>C01639</t>
  </si>
  <si>
    <t>Michael Sandhu</t>
  </si>
  <si>
    <t>C01640</t>
  </si>
  <si>
    <t>Forum Sen</t>
  </si>
  <si>
    <t>C01641</t>
  </si>
  <si>
    <t>Samuel Devi</t>
  </si>
  <si>
    <t>C01642</t>
  </si>
  <si>
    <t>Lakshit More</t>
  </si>
  <si>
    <t>C01643</t>
  </si>
  <si>
    <t>Qushi Dhillon</t>
  </si>
  <si>
    <t>C01644</t>
  </si>
  <si>
    <t>Eesha Bir</t>
  </si>
  <si>
    <t>C01645</t>
  </si>
  <si>
    <t>Qarin Nadkarni</t>
  </si>
  <si>
    <t>C01646</t>
  </si>
  <si>
    <t>Ayushman Nagar</t>
  </si>
  <si>
    <t>C01647</t>
  </si>
  <si>
    <t>Nisha Mitter</t>
  </si>
  <si>
    <t>C01648</t>
  </si>
  <si>
    <t>Anusha Doshi</t>
  </si>
  <si>
    <t>C01649</t>
  </si>
  <si>
    <t>Hredhaan Deep</t>
  </si>
  <si>
    <t>C01650</t>
  </si>
  <si>
    <t>Atharv Loke</t>
  </si>
  <si>
    <t>C01651</t>
  </si>
  <si>
    <t>Vincent Kashyap</t>
  </si>
  <si>
    <t>C01652</t>
  </si>
  <si>
    <t>Jagrati Buch</t>
  </si>
  <si>
    <t>C01653</t>
  </si>
  <si>
    <t>Krish Thakkar</t>
  </si>
  <si>
    <t>C01654</t>
  </si>
  <si>
    <t>Kashvi Gour</t>
  </si>
  <si>
    <t>C01655</t>
  </si>
  <si>
    <t>Vyanjana Som</t>
  </si>
  <si>
    <t>C01656</t>
  </si>
  <si>
    <t>Nihal Hans</t>
  </si>
  <si>
    <t>C01657</t>
  </si>
  <si>
    <t>Bachittar Rege</t>
  </si>
  <si>
    <t>C01658</t>
  </si>
  <si>
    <t>Anamika Sachar</t>
  </si>
  <si>
    <t>C01659</t>
  </si>
  <si>
    <t>Samaksh Jayaraman</t>
  </si>
  <si>
    <t>C01660</t>
  </si>
  <si>
    <t>Peter Sarna</t>
  </si>
  <si>
    <t>C01661</t>
  </si>
  <si>
    <t>Ekta Shankar</t>
  </si>
  <si>
    <t>C01662</t>
  </si>
  <si>
    <t>Prisha Ravel</t>
  </si>
  <si>
    <t>C01663</t>
  </si>
  <si>
    <t>Lajita Munshi</t>
  </si>
  <si>
    <t>C01664</t>
  </si>
  <si>
    <t>Balvan Verma</t>
  </si>
  <si>
    <t>C01665</t>
  </si>
  <si>
    <t>Siya Shan</t>
  </si>
  <si>
    <t>C01666</t>
  </si>
  <si>
    <t>Yatan Venkataraman</t>
  </si>
  <si>
    <t>C01667</t>
  </si>
  <si>
    <t>Balveer Ram</t>
  </si>
  <si>
    <t>C01668</t>
  </si>
  <si>
    <t>Ranveer Manne</t>
  </si>
  <si>
    <t>C01669</t>
  </si>
  <si>
    <t>Mitali Modi</t>
  </si>
  <si>
    <t>C01670</t>
  </si>
  <si>
    <t>Triya Ganesan</t>
  </si>
  <si>
    <t>C01671</t>
  </si>
  <si>
    <t>Chaitaly Bhagat</t>
  </si>
  <si>
    <t>C01672</t>
  </si>
  <si>
    <t>Ubika Seth</t>
  </si>
  <si>
    <t>C01673</t>
  </si>
  <si>
    <t>Xiti Chowdhury</t>
  </si>
  <si>
    <t>C01674</t>
  </si>
  <si>
    <t>Krishna Ramaswamy</t>
  </si>
  <si>
    <t>C01675</t>
  </si>
  <si>
    <t>Ekiya Seshadri</t>
  </si>
  <si>
    <t>C01676</t>
  </si>
  <si>
    <t>Praneel Setty</t>
  </si>
  <si>
    <t>C01677</t>
  </si>
  <si>
    <t>Suhani Chana</t>
  </si>
  <si>
    <t>C01678</t>
  </si>
  <si>
    <t>Ekiya Gade</t>
  </si>
  <si>
    <t>C01679</t>
  </si>
  <si>
    <t>Gavin Comar</t>
  </si>
  <si>
    <t>C01680</t>
  </si>
  <si>
    <t>Janani Chada</t>
  </si>
  <si>
    <t>C01681</t>
  </si>
  <si>
    <t>Yasti Dutta</t>
  </si>
  <si>
    <t>C01682</t>
  </si>
  <si>
    <t>Lajita Bassi</t>
  </si>
  <si>
    <t>C01683</t>
  </si>
  <si>
    <t>Gautami Doctor</t>
  </si>
  <si>
    <t>C01684</t>
  </si>
  <si>
    <t>Maanav Gola</t>
  </si>
  <si>
    <t>C01685</t>
  </si>
  <si>
    <t>Oni Morar</t>
  </si>
  <si>
    <t>C01686</t>
  </si>
  <si>
    <t>Sanaya Mani</t>
  </si>
  <si>
    <t>C01687</t>
  </si>
  <si>
    <t>Jacob Deep</t>
  </si>
  <si>
    <t>C01688</t>
  </si>
  <si>
    <t>Aarush Kulkarni</t>
  </si>
  <si>
    <t>C01689</t>
  </si>
  <si>
    <t>Tara Tank</t>
  </si>
  <si>
    <t>C01690</t>
  </si>
  <si>
    <t>Abdul Tak</t>
  </si>
  <si>
    <t>C01691</t>
  </si>
  <si>
    <t>Teerth Soni</t>
  </si>
  <si>
    <t>C01692</t>
  </si>
  <si>
    <t>Nimrat Sathe</t>
  </si>
  <si>
    <t>C01693</t>
  </si>
  <si>
    <t>Abeer Konda</t>
  </si>
  <si>
    <t>C01694</t>
  </si>
  <si>
    <t>Sarthak Bawa</t>
  </si>
  <si>
    <t>C01695</t>
  </si>
  <si>
    <t>Manbir Bhakta</t>
  </si>
  <si>
    <t>C01696</t>
  </si>
  <si>
    <t>Balhaar Dhillon</t>
  </si>
  <si>
    <t>C01697</t>
  </si>
  <si>
    <t>Chanchal Narula</t>
  </si>
  <si>
    <t>C01698</t>
  </si>
  <si>
    <t>Chandran Chopra</t>
  </si>
  <si>
    <t>C01699</t>
  </si>
  <si>
    <t>Pranav Edwin</t>
  </si>
  <si>
    <t>C01700</t>
  </si>
  <si>
    <t>Peter Shah</t>
  </si>
  <si>
    <t>C01701</t>
  </si>
  <si>
    <t>Balendra Chander</t>
  </si>
  <si>
    <t>C01702</t>
  </si>
  <si>
    <t>Ekantika Pillay</t>
  </si>
  <si>
    <t>C01703</t>
  </si>
  <si>
    <t>Ekansh Sane</t>
  </si>
  <si>
    <t>C01704</t>
  </si>
  <si>
    <t>Brinda Sinha</t>
  </si>
  <si>
    <t>C01705</t>
  </si>
  <si>
    <t>Jairaj Maharaj</t>
  </si>
  <si>
    <t>C01706</t>
  </si>
  <si>
    <t>Odika Vohra</t>
  </si>
  <si>
    <t>C01707</t>
  </si>
  <si>
    <t>Shaurya Bhardwaj</t>
  </si>
  <si>
    <t>C01708</t>
  </si>
  <si>
    <t>Gagan Sule</t>
  </si>
  <si>
    <t>C01709</t>
  </si>
  <si>
    <t>Prisha Nadig</t>
  </si>
  <si>
    <t>C01710</t>
  </si>
  <si>
    <t>Irya Dayal</t>
  </si>
  <si>
    <t>C01711</t>
  </si>
  <si>
    <t>Zinal Tank</t>
  </si>
  <si>
    <t>C01712</t>
  </si>
  <si>
    <t>Pranit Kaul</t>
  </si>
  <si>
    <t>C01713</t>
  </si>
  <si>
    <t>Rishi Agarwal</t>
  </si>
  <si>
    <t>C01714</t>
  </si>
  <si>
    <t>Arjun Shroff</t>
  </si>
  <si>
    <t>C01715</t>
  </si>
  <si>
    <t>Sarthak Sachdeva</t>
  </si>
  <si>
    <t>C01716</t>
  </si>
  <si>
    <t>Chakradev Nath</t>
  </si>
  <si>
    <t>C01717</t>
  </si>
  <si>
    <t>Simon Apte</t>
  </si>
  <si>
    <t>C01718</t>
  </si>
  <si>
    <t>Baghyawati Kumar</t>
  </si>
  <si>
    <t>C01719</t>
  </si>
  <si>
    <t>Darika Mital</t>
  </si>
  <si>
    <t>C01720</t>
  </si>
  <si>
    <t>Abeer Comar</t>
  </si>
  <si>
    <t>C01721</t>
  </si>
  <si>
    <t>Harita Randhawa</t>
  </si>
  <si>
    <t>C01722</t>
  </si>
  <si>
    <t>Parth Hari</t>
  </si>
  <si>
    <t>C01723</t>
  </si>
  <si>
    <t>Hamsini Srinivas</t>
  </si>
  <si>
    <t>C01724</t>
  </si>
  <si>
    <t>Balendra Deshpande</t>
  </si>
  <si>
    <t>C01725</t>
  </si>
  <si>
    <t>Nachiket Sharma</t>
  </si>
  <si>
    <t>C01726</t>
  </si>
  <si>
    <t>C01727</t>
  </si>
  <si>
    <t>Chandani Mutti</t>
  </si>
  <si>
    <t>C01728</t>
  </si>
  <si>
    <t>Sathvik Narula</t>
  </si>
  <si>
    <t>C01729</t>
  </si>
  <si>
    <t>Dominic Dixit</t>
  </si>
  <si>
    <t>C01730</t>
  </si>
  <si>
    <t>Azaan Nori</t>
  </si>
  <si>
    <t>C01731</t>
  </si>
  <si>
    <t>Noah Ramachandran</t>
  </si>
  <si>
    <t>C01732</t>
  </si>
  <si>
    <t>Jackson Morar</t>
  </si>
  <si>
    <t>C01733</t>
  </si>
  <si>
    <t>Azad Magar</t>
  </si>
  <si>
    <t>C01734</t>
  </si>
  <si>
    <t>Gabriel Taneja</t>
  </si>
  <si>
    <t>C01735</t>
  </si>
  <si>
    <t>Kamya Seth</t>
  </si>
  <si>
    <t>C01736</t>
  </si>
  <si>
    <t>Tarak Vohra</t>
  </si>
  <si>
    <t>C01737</t>
  </si>
  <si>
    <t>Parth Choudhury</t>
  </si>
  <si>
    <t>C01738</t>
  </si>
  <si>
    <t>Baljiwan Jaggi</t>
  </si>
  <si>
    <t>C01739</t>
  </si>
  <si>
    <t>Sachi Toor</t>
  </si>
  <si>
    <t>C01740</t>
  </si>
  <si>
    <t>Vasudha Tella</t>
  </si>
  <si>
    <t>C01741</t>
  </si>
  <si>
    <t>Ranveer Oak</t>
  </si>
  <si>
    <t>C01742</t>
  </si>
  <si>
    <t>Dayita Narang</t>
  </si>
  <si>
    <t>C01743</t>
  </si>
  <si>
    <t>Guneet Varty</t>
  </si>
  <si>
    <t>C01744</t>
  </si>
  <si>
    <t>Samesh Bansal</t>
  </si>
  <si>
    <t>C01745</t>
  </si>
  <si>
    <t>Lila Vig</t>
  </si>
  <si>
    <t>C01746</t>
  </si>
  <si>
    <t>Aayush Mukhopadhyay</t>
  </si>
  <si>
    <t>C01747</t>
  </si>
  <si>
    <t>Gagan Nath</t>
  </si>
  <si>
    <t>C01748</t>
  </si>
  <si>
    <t>Chakradhar Chauhan</t>
  </si>
  <si>
    <t>C01749</t>
  </si>
  <si>
    <t>Arin Muni</t>
  </si>
  <si>
    <t>C01750</t>
  </si>
  <si>
    <t>C01751</t>
  </si>
  <si>
    <t>Bhavini Malhotra</t>
  </si>
  <si>
    <t>C01752</t>
  </si>
  <si>
    <t>Ridhi Dalal</t>
  </si>
  <si>
    <t>C01753</t>
  </si>
  <si>
    <t>Manthan Dugar</t>
  </si>
  <si>
    <t>C01754</t>
  </si>
  <si>
    <t>Ishwar Aurora</t>
  </si>
  <si>
    <t>C01755</t>
  </si>
  <si>
    <t>Samuel Palla</t>
  </si>
  <si>
    <t>C01756</t>
  </si>
  <si>
    <t>Anika Dhaliwal</t>
  </si>
  <si>
    <t>C01757</t>
  </si>
  <si>
    <t>Yash Garg</t>
  </si>
  <si>
    <t>C01758</t>
  </si>
  <si>
    <t>Deepa Nigam</t>
  </si>
  <si>
    <t>C01759</t>
  </si>
  <si>
    <t>Chandresh De</t>
  </si>
  <si>
    <t>C01760</t>
  </si>
  <si>
    <t>Urishilla Bedi</t>
  </si>
  <si>
    <t>C01761</t>
  </si>
  <si>
    <t>Leela Bhagat</t>
  </si>
  <si>
    <t>C01762</t>
  </si>
  <si>
    <t>Pooja Ramanathan</t>
  </si>
  <si>
    <t>C01763</t>
  </si>
  <si>
    <t>Sanaya Parekh</t>
  </si>
  <si>
    <t>C01764</t>
  </si>
  <si>
    <t>Gaurangi Hora</t>
  </si>
  <si>
    <t>C01765</t>
  </si>
  <si>
    <t>Udyati Deep</t>
  </si>
  <si>
    <t>C01766</t>
  </si>
  <si>
    <t>Upadhriti Chatterjee</t>
  </si>
  <si>
    <t>C01767</t>
  </si>
  <si>
    <t>Dayita Shroff</t>
  </si>
  <si>
    <t>C01768</t>
  </si>
  <si>
    <t>Vincent Kapur</t>
  </si>
  <si>
    <t>C01769</t>
  </si>
  <si>
    <t>Aarna Patla</t>
  </si>
  <si>
    <t>C01770</t>
  </si>
  <si>
    <t>Qadim Narayanan</t>
  </si>
  <si>
    <t>C01771</t>
  </si>
  <si>
    <t>Sudiksha Sura</t>
  </si>
  <si>
    <t>C01772</t>
  </si>
  <si>
    <t>Dhruv Soman</t>
  </si>
  <si>
    <t>C01773</t>
  </si>
  <si>
    <t>Indali Srinivas</t>
  </si>
  <si>
    <t>C01774</t>
  </si>
  <si>
    <t>Onkar Mandal</t>
  </si>
  <si>
    <t>C01775</t>
  </si>
  <si>
    <t>Joshua Trivedi</t>
  </si>
  <si>
    <t>C01776</t>
  </si>
  <si>
    <t>Nidra Chhabra</t>
  </si>
  <si>
    <t>C01777</t>
  </si>
  <si>
    <t>Ekavir Mittal</t>
  </si>
  <si>
    <t>C01778</t>
  </si>
  <si>
    <t>Nandini Sachdev</t>
  </si>
  <si>
    <t>C01779</t>
  </si>
  <si>
    <t>Yagnesh Dutt</t>
  </si>
  <si>
    <t>C01780</t>
  </si>
  <si>
    <t>Leena Bhatti</t>
  </si>
  <si>
    <t>C01781</t>
  </si>
  <si>
    <t>Sathvik Sankar</t>
  </si>
  <si>
    <t>C01782</t>
  </si>
  <si>
    <t>Hema Keer</t>
  </si>
  <si>
    <t>C01783</t>
  </si>
  <si>
    <t>Faras Sur</t>
  </si>
  <si>
    <t>C01784</t>
  </si>
  <si>
    <t>Ubika Nanda</t>
  </si>
  <si>
    <t>C01785</t>
  </si>
  <si>
    <t>Sai Goda</t>
  </si>
  <si>
    <t>C01786</t>
  </si>
  <si>
    <t>Nidra Boase</t>
  </si>
  <si>
    <t>C01787</t>
  </si>
  <si>
    <t>Ladli Narang</t>
  </si>
  <si>
    <t>C01788</t>
  </si>
  <si>
    <t>Darsh Chana</t>
  </si>
  <si>
    <t>C01789</t>
  </si>
  <si>
    <t>Liam Acharya</t>
  </si>
  <si>
    <t>C01790</t>
  </si>
  <si>
    <t>Manthan Sethi</t>
  </si>
  <si>
    <t>C01791</t>
  </si>
  <si>
    <t>Madhavi Sekhon</t>
  </si>
  <si>
    <t>C01792</t>
  </si>
  <si>
    <t>Samesh Nadig</t>
  </si>
  <si>
    <t>C01793</t>
  </si>
  <si>
    <t>Daksha Saran</t>
  </si>
  <si>
    <t>C01794</t>
  </si>
  <si>
    <t>Gaurav Anand</t>
  </si>
  <si>
    <t>C01795</t>
  </si>
  <si>
    <t>Joshua Menon</t>
  </si>
  <si>
    <t>C01796</t>
  </si>
  <si>
    <t>Kala Bera</t>
  </si>
  <si>
    <t>C01797</t>
  </si>
  <si>
    <t>Jagrati Choudhary</t>
  </si>
  <si>
    <t>C01798</t>
  </si>
  <si>
    <t>Azaan Keer</t>
  </si>
  <si>
    <t>C01799</t>
  </si>
  <si>
    <t>Meera Nadkarni</t>
  </si>
  <si>
    <t>C01800</t>
  </si>
  <si>
    <t>Nidra Raj</t>
  </si>
  <si>
    <t>C01801</t>
  </si>
  <si>
    <t>Siddharth Ghose</t>
  </si>
  <si>
    <t>C01802</t>
  </si>
  <si>
    <t>Liam Guha</t>
  </si>
  <si>
    <t>C01803</t>
  </si>
  <si>
    <t>Jagvi Sahni</t>
  </si>
  <si>
    <t>C01804</t>
  </si>
  <si>
    <t>Bhavya Dass</t>
  </si>
  <si>
    <t>C01805</t>
  </si>
  <si>
    <t>Advay Bora</t>
  </si>
  <si>
    <t>C01806</t>
  </si>
  <si>
    <t>Maanas Sur</t>
  </si>
  <si>
    <t>C01807</t>
  </si>
  <si>
    <t>Laban Chad</t>
  </si>
  <si>
    <t>C01808</t>
  </si>
  <si>
    <t>Ojasvi Shah</t>
  </si>
  <si>
    <t>C01809</t>
  </si>
  <si>
    <t>Pranit Sha</t>
  </si>
  <si>
    <t>C01810</t>
  </si>
  <si>
    <t>Shivani Rajagopalan</t>
  </si>
  <si>
    <t>C01811</t>
  </si>
  <si>
    <t>Upkaar Grewal</t>
  </si>
  <si>
    <t>C01812</t>
  </si>
  <si>
    <t>Abhimanyu Tara</t>
  </si>
  <si>
    <t>C01813</t>
  </si>
  <si>
    <t>Yachana Luthra</t>
  </si>
  <si>
    <t>C01814</t>
  </si>
  <si>
    <t>Jeevika Bandi</t>
  </si>
  <si>
    <t>C01815</t>
  </si>
  <si>
    <t>Vasudha Pillay</t>
  </si>
  <si>
    <t>C01816</t>
  </si>
  <si>
    <t>Vasatika Buch</t>
  </si>
  <si>
    <t>C01817</t>
  </si>
  <si>
    <t>Ati Shroff</t>
  </si>
  <si>
    <t>C01818</t>
  </si>
  <si>
    <t>Gaurang Korpal</t>
  </si>
  <si>
    <t>C01819</t>
  </si>
  <si>
    <t>Faras Zacharia</t>
  </si>
  <si>
    <t>C01820</t>
  </si>
  <si>
    <t>Chatresh Oza</t>
  </si>
  <si>
    <t>C01821</t>
  </si>
  <si>
    <t>Upasna Setty</t>
  </si>
  <si>
    <t>C01822</t>
  </si>
  <si>
    <t>Garima Sama</t>
  </si>
  <si>
    <t>C01823</t>
  </si>
  <si>
    <t>Chaitaly Mann</t>
  </si>
  <si>
    <t>C01824</t>
  </si>
  <si>
    <t>Balendra Modi</t>
  </si>
  <si>
    <t>C01825</t>
  </si>
  <si>
    <t>Darsh Solanki</t>
  </si>
  <si>
    <t>C01826</t>
  </si>
  <si>
    <t>Charan Manne</t>
  </si>
  <si>
    <t>C01827</t>
  </si>
  <si>
    <t>Bhavini Sundaram</t>
  </si>
  <si>
    <t>C01828</t>
  </si>
  <si>
    <t>Jonathan Tiwari</t>
  </si>
  <si>
    <t>C01829</t>
  </si>
  <si>
    <t>Arunima Krishnan</t>
  </si>
  <si>
    <t>C01830</t>
  </si>
  <si>
    <t>Avni Maharaj</t>
  </si>
  <si>
    <t>C01831</t>
  </si>
  <si>
    <t>Akshay Choudhury</t>
  </si>
  <si>
    <t>C01832</t>
  </si>
  <si>
    <t>Matthew Sekhon</t>
  </si>
  <si>
    <t>C01833</t>
  </si>
  <si>
    <t>Parth Lal</t>
  </si>
  <si>
    <t>C01834</t>
  </si>
  <si>
    <t>Vedhika Golla</t>
  </si>
  <si>
    <t>C01835</t>
  </si>
  <si>
    <t>C01836</t>
  </si>
  <si>
    <t>Mitesh Tandon</t>
  </si>
  <si>
    <t>C01837</t>
  </si>
  <si>
    <t>Leela Khanna</t>
  </si>
  <si>
    <t>C01838</t>
  </si>
  <si>
    <t>Oliver Kade</t>
  </si>
  <si>
    <t>C01839</t>
  </si>
  <si>
    <t>Chatura Lalla</t>
  </si>
  <si>
    <t>C01840</t>
  </si>
  <si>
    <t>Charles Ganesh</t>
  </si>
  <si>
    <t>C01841</t>
  </si>
  <si>
    <t>Mohini Soni</t>
  </si>
  <si>
    <t>C01842</t>
  </si>
  <si>
    <t>Vamakshi Walia</t>
  </si>
  <si>
    <t>C01843</t>
  </si>
  <si>
    <t>Ladli Ramakrishnan</t>
  </si>
  <si>
    <t>C01844</t>
  </si>
  <si>
    <t>Adweta Dhillon</t>
  </si>
  <si>
    <t>C01845</t>
  </si>
  <si>
    <t>Advik Mani</t>
  </si>
  <si>
    <t>C01846</t>
  </si>
  <si>
    <t>Lavanya Mutti</t>
  </si>
  <si>
    <t>C01847</t>
  </si>
  <si>
    <t>Gunbir Wali</t>
  </si>
  <si>
    <t>C01848</t>
  </si>
  <si>
    <t>Rachana Mahajan</t>
  </si>
  <si>
    <t>C01849</t>
  </si>
  <si>
    <t>Anamika Loke</t>
  </si>
  <si>
    <t>C01850</t>
  </si>
  <si>
    <t>Aadhya Raman</t>
  </si>
  <si>
    <t>C01851</t>
  </si>
  <si>
    <t>Wyatt Hayer</t>
  </si>
  <si>
    <t>C01852</t>
  </si>
  <si>
    <t>Pranit Munshi</t>
  </si>
  <si>
    <t>C01853</t>
  </si>
  <si>
    <t>Abhiram Bir</t>
  </si>
  <si>
    <t>C01854</t>
  </si>
  <si>
    <t>Nisha Chaudhari</t>
  </si>
  <si>
    <t>C01855</t>
  </si>
  <si>
    <t>Sanaya Panchal</t>
  </si>
  <si>
    <t>C01856</t>
  </si>
  <si>
    <t>Bhanumati Krishnamurthy</t>
  </si>
  <si>
    <t>C01857</t>
  </si>
  <si>
    <t>Bahadurjit Bajwa</t>
  </si>
  <si>
    <t>C01858</t>
  </si>
  <si>
    <t>Dakshesh Kalla</t>
  </si>
  <si>
    <t>C01859</t>
  </si>
  <si>
    <t>Jagdish Chadha</t>
  </si>
  <si>
    <t>C01860</t>
  </si>
  <si>
    <t>Keya Goyal</t>
  </si>
  <si>
    <t>C01861</t>
  </si>
  <si>
    <t>Qarin Kulkarni</t>
  </si>
  <si>
    <t>C01862</t>
  </si>
  <si>
    <t>Unni Borra</t>
  </si>
  <si>
    <t>C01863</t>
  </si>
  <si>
    <t>Aradhana Sane</t>
  </si>
  <si>
    <t>C01864</t>
  </si>
  <si>
    <t>Aarini Edwin</t>
  </si>
  <si>
    <t>C01865</t>
  </si>
  <si>
    <t>Aradhana Bhatia</t>
  </si>
  <si>
    <t>C01866</t>
  </si>
  <si>
    <t>Lipika Natarajan</t>
  </si>
  <si>
    <t>C01867</t>
  </si>
  <si>
    <t>Aarna Lanka</t>
  </si>
  <si>
    <t>C01868</t>
  </si>
  <si>
    <t>Ridhi Boase</t>
  </si>
  <si>
    <t>C01869</t>
  </si>
  <si>
    <t>Sai Ramaswamy</t>
  </si>
  <si>
    <t>C01870</t>
  </si>
  <si>
    <t>Vyanjana Chopra</t>
  </si>
  <si>
    <t>C01871</t>
  </si>
  <si>
    <t>Raagini Kamdar</t>
  </si>
  <si>
    <t>C01872</t>
  </si>
  <si>
    <t>Riya Lad</t>
  </si>
  <si>
    <t>C01873</t>
  </si>
  <si>
    <t>Bakhshi Bora</t>
  </si>
  <si>
    <t>C01874</t>
  </si>
  <si>
    <t>Zashil Sehgal</t>
  </si>
  <si>
    <t>C01875</t>
  </si>
  <si>
    <t>Widisha Dixit</t>
  </si>
  <si>
    <t>C01876</t>
  </si>
  <si>
    <t>Baljiwan Ramakrishnan</t>
  </si>
  <si>
    <t>C01877</t>
  </si>
  <si>
    <t>Max Narayan</t>
  </si>
  <si>
    <t>C01878</t>
  </si>
  <si>
    <t>Aarush Varma</t>
  </si>
  <si>
    <t>C01879</t>
  </si>
  <si>
    <t>Vanya Sarin</t>
  </si>
  <si>
    <t>C01880</t>
  </si>
  <si>
    <t>Ekaraj Zachariah</t>
  </si>
  <si>
    <t>C01881</t>
  </si>
  <si>
    <t>Aarush Rajagopalan</t>
  </si>
  <si>
    <t>C01882</t>
  </si>
  <si>
    <t>Jairaj Wason</t>
  </si>
  <si>
    <t>C01883</t>
  </si>
  <si>
    <t>Gauri Mitter</t>
  </si>
  <si>
    <t>C01884</t>
  </si>
  <si>
    <t>Christopher Chana</t>
  </si>
  <si>
    <t>C01885</t>
  </si>
  <si>
    <t>Harini Buch</t>
  </si>
  <si>
    <t>C01886</t>
  </si>
  <si>
    <t>Bimala Jain</t>
  </si>
  <si>
    <t>C01887</t>
  </si>
  <si>
    <t>Balveer Rajagopalan</t>
  </si>
  <si>
    <t>C01888</t>
  </si>
  <si>
    <t>Chandani Ramakrishnan</t>
  </si>
  <si>
    <t>C01889</t>
  </si>
  <si>
    <t>Jagrati Sur</t>
  </si>
  <si>
    <t>C01890</t>
  </si>
  <si>
    <t>Raksha Gupta</t>
  </si>
  <si>
    <t>C01891</t>
  </si>
  <si>
    <t>Balendra Hans</t>
  </si>
  <si>
    <t>C01892</t>
  </si>
  <si>
    <t>William Suresh</t>
  </si>
  <si>
    <t>C01893</t>
  </si>
  <si>
    <t>Dev Zachariah</t>
  </si>
  <si>
    <t>C01894</t>
  </si>
  <si>
    <t>Xalak Walla</t>
  </si>
  <si>
    <t>C01895</t>
  </si>
  <si>
    <t>Amol Bansal</t>
  </si>
  <si>
    <t>C01896</t>
  </si>
  <si>
    <t>Daksh Nazareth</t>
  </si>
  <si>
    <t>C01897</t>
  </si>
  <si>
    <t>Nidra Dani</t>
  </si>
  <si>
    <t>C01898</t>
  </si>
  <si>
    <t>Tara Yadav</t>
  </si>
  <si>
    <t>C01899</t>
  </si>
  <si>
    <t>Viraj Bora</t>
  </si>
  <si>
    <t>C01900</t>
  </si>
  <si>
    <t>Lohit Suresh</t>
  </si>
  <si>
    <t>C01901</t>
  </si>
  <si>
    <t>Urishilla Bath</t>
  </si>
  <si>
    <t>C01902</t>
  </si>
  <si>
    <t>Kalpit Atwal</t>
  </si>
  <si>
    <t>C01903</t>
  </si>
  <si>
    <t>Chandresh Mohanty</t>
  </si>
  <si>
    <t>C01904</t>
  </si>
  <si>
    <t>Tanmayi Garde</t>
  </si>
  <si>
    <t>C01905</t>
  </si>
  <si>
    <t>Hitesh Comar</t>
  </si>
  <si>
    <t>C01906</t>
  </si>
  <si>
    <t>Thomas Bhatnagar</t>
  </si>
  <si>
    <t>C01907</t>
  </si>
  <si>
    <t>Pooja Nazareth</t>
  </si>
  <si>
    <t>C01908</t>
  </si>
  <si>
    <t>Ekta Dara</t>
  </si>
  <si>
    <t>C01909</t>
  </si>
  <si>
    <t>Ekanta Kala</t>
  </si>
  <si>
    <t>C01910</t>
  </si>
  <si>
    <t>Oscar Nayak</t>
  </si>
  <si>
    <t>C01911</t>
  </si>
  <si>
    <t>Jai Mahal</t>
  </si>
  <si>
    <t>C01912</t>
  </si>
  <si>
    <t>Ojasvi Ganguly</t>
  </si>
  <si>
    <t>C01913</t>
  </si>
  <si>
    <t>Nitesh Sarna</t>
  </si>
  <si>
    <t>C01914</t>
  </si>
  <si>
    <t>Banjeet Deol</t>
  </si>
  <si>
    <t>C01915</t>
  </si>
  <si>
    <t>Krisha Dugar</t>
  </si>
  <si>
    <t>C01916</t>
  </si>
  <si>
    <t>Vidhi Buch</t>
  </si>
  <si>
    <t>C01917</t>
  </si>
  <si>
    <t>Abhimanyu Gola</t>
  </si>
  <si>
    <t>C01918</t>
  </si>
  <si>
    <t>Bhanumati Saha</t>
  </si>
  <si>
    <t>C01919</t>
  </si>
  <si>
    <t>Jonathan Jhaveri</t>
  </si>
  <si>
    <t>C01920</t>
  </si>
  <si>
    <t>Anika Virk</t>
  </si>
  <si>
    <t>C01921</t>
  </si>
  <si>
    <t>Nisha Khare</t>
  </si>
  <si>
    <t>C01922</t>
  </si>
  <si>
    <t>Baljiwan Gole</t>
  </si>
  <si>
    <t>C01923</t>
  </si>
  <si>
    <t>Gaurang Mitra</t>
  </si>
  <si>
    <t>C01924</t>
  </si>
  <si>
    <t>Omya Agrawal</t>
  </si>
  <si>
    <t>C01925</t>
  </si>
  <si>
    <t>Rehaan Dalal</t>
  </si>
  <si>
    <t>C01926</t>
  </si>
  <si>
    <t>Janaki Zacharia</t>
  </si>
  <si>
    <t>C01927</t>
  </si>
  <si>
    <t>Ucchal Joshi</t>
  </si>
  <si>
    <t>C01928</t>
  </si>
  <si>
    <t>Chatresh Hari</t>
  </si>
  <si>
    <t>C01929</t>
  </si>
  <si>
    <t>Manthan Som</t>
  </si>
  <si>
    <t>C01930</t>
  </si>
  <si>
    <t>Patrick Dutta</t>
  </si>
  <si>
    <t>C01931</t>
  </si>
  <si>
    <t>Chatura Patla</t>
  </si>
  <si>
    <t>C01932</t>
  </si>
  <si>
    <t>Shaurya Saran</t>
  </si>
  <si>
    <t>C01933</t>
  </si>
  <si>
    <t>Gaurika Setty</t>
  </si>
  <si>
    <t>C01934</t>
  </si>
  <si>
    <t>Hemang Ben</t>
  </si>
  <si>
    <t>C01935</t>
  </si>
  <si>
    <t>Nakul Balakrishnan</t>
  </si>
  <si>
    <t>C01936</t>
  </si>
  <si>
    <t>Yutika D’Alia</t>
  </si>
  <si>
    <t>C01937</t>
  </si>
  <si>
    <t>Wahab Saxena</t>
  </si>
  <si>
    <t>C01938</t>
  </si>
  <si>
    <t>Oni Issac</t>
  </si>
  <si>
    <t>C01939</t>
  </si>
  <si>
    <t>Victor Choudhary</t>
  </si>
  <si>
    <t>C01940</t>
  </si>
  <si>
    <t>Vedant Chaudhari</t>
  </si>
  <si>
    <t>C01941</t>
  </si>
  <si>
    <t>Nitara Iyengar</t>
  </si>
  <si>
    <t>C01942</t>
  </si>
  <si>
    <t>Thomas Borah</t>
  </si>
  <si>
    <t>C01943</t>
  </si>
  <si>
    <t>Vedhika Bhagat</t>
  </si>
  <si>
    <t>C01944</t>
  </si>
  <si>
    <t>Maanav Kalita</t>
  </si>
  <si>
    <t>C01945</t>
  </si>
  <si>
    <t>Pranav Ram</t>
  </si>
  <si>
    <t>C01946</t>
  </si>
  <si>
    <t>Laban Shankar</t>
  </si>
  <si>
    <t>C01947</t>
  </si>
  <si>
    <t>Jagrati Madan</t>
  </si>
  <si>
    <t>C01948</t>
  </si>
  <si>
    <t>Gautami Datta</t>
  </si>
  <si>
    <t>C01949</t>
  </si>
  <si>
    <t>Darpan Mand</t>
  </si>
  <si>
    <t>C01950</t>
  </si>
  <si>
    <t>Indrajit Shroff</t>
  </si>
  <si>
    <t>C01951</t>
  </si>
  <si>
    <t>Omya Garg</t>
  </si>
  <si>
    <t>C01952</t>
  </si>
  <si>
    <t>Thomas Merchant</t>
  </si>
  <si>
    <t>C01953</t>
  </si>
  <si>
    <t>Onkar Karpe</t>
  </si>
  <si>
    <t>C01954</t>
  </si>
  <si>
    <t>Nisha Vig</t>
  </si>
  <si>
    <t>C01955</t>
  </si>
  <si>
    <t>Tarak Solanki</t>
  </si>
  <si>
    <t>C01956</t>
  </si>
  <si>
    <t>Arya Atwal</t>
  </si>
  <si>
    <t>C01957</t>
  </si>
  <si>
    <t>Yatin Kota</t>
  </si>
  <si>
    <t>C01958</t>
  </si>
  <si>
    <t>Radha Kapadia</t>
  </si>
  <si>
    <t>C01959</t>
  </si>
  <si>
    <t>Abdul Sahni</t>
  </si>
  <si>
    <t>C01960</t>
  </si>
  <si>
    <t>Banjeet Singhal</t>
  </si>
  <si>
    <t>C01961</t>
  </si>
  <si>
    <t>Pavani Wali</t>
  </si>
  <si>
    <t>C01962</t>
  </si>
  <si>
    <t>Varenya Chaudhari</t>
  </si>
  <si>
    <t>C01963</t>
  </si>
  <si>
    <t>Warhi Khosla</t>
  </si>
  <si>
    <t>C01964</t>
  </si>
  <si>
    <t>Advik Ray</t>
  </si>
  <si>
    <t>C01965</t>
  </si>
  <si>
    <t>Kevin Parmer</t>
  </si>
  <si>
    <t>C01966</t>
  </si>
  <si>
    <t>William Chana</t>
  </si>
  <si>
    <t>C01967</t>
  </si>
  <si>
    <t>Varsha Mody</t>
  </si>
  <si>
    <t>C01968</t>
  </si>
  <si>
    <t>Tripti Bajwa</t>
  </si>
  <si>
    <t>C01969</t>
  </si>
  <si>
    <t>Ubika Devi</t>
  </si>
  <si>
    <t>C01970</t>
  </si>
  <si>
    <t>Qasim Prabhakar</t>
  </si>
  <si>
    <t>C01971</t>
  </si>
  <si>
    <t>Aarav Bobal</t>
  </si>
  <si>
    <t>C01972</t>
  </si>
  <si>
    <t>Gaurangi Wali</t>
  </si>
  <si>
    <t>C01973</t>
  </si>
  <si>
    <t>Chaman Sandhu</t>
  </si>
  <si>
    <t>C01974</t>
  </si>
  <si>
    <t>Sarthak Buch</t>
  </si>
  <si>
    <t>C01975</t>
  </si>
  <si>
    <t>Christopher Varma</t>
  </si>
  <si>
    <t>C01976</t>
  </si>
  <si>
    <t>Charan Choudhry</t>
  </si>
  <si>
    <t>C01977</t>
  </si>
  <si>
    <t>Jasmit Shroff</t>
  </si>
  <si>
    <t>C01978</t>
  </si>
  <si>
    <t>Jasmit Peri</t>
  </si>
  <si>
    <t>C01979</t>
  </si>
  <si>
    <t>Ekalinga Jayaraman</t>
  </si>
  <si>
    <t>C01980</t>
  </si>
  <si>
    <t>Gaurika Khare</t>
  </si>
  <si>
    <t>C01981</t>
  </si>
  <si>
    <t>Vanya Kadakia</t>
  </si>
  <si>
    <t>C01982</t>
  </si>
  <si>
    <t>Ekani Pandit</t>
  </si>
  <si>
    <t>C01983</t>
  </si>
  <si>
    <t>Yahvi Sampath</t>
  </si>
  <si>
    <t>C01984</t>
  </si>
  <si>
    <t>Chatura Bhatnagar</t>
  </si>
  <si>
    <t>C01985</t>
  </si>
  <si>
    <t>Hemani Sethi</t>
  </si>
  <si>
    <t>C01986</t>
  </si>
  <si>
    <t>Yachana Vyas</t>
  </si>
  <si>
    <t>C01987</t>
  </si>
  <si>
    <t>Upma Wali</t>
  </si>
  <si>
    <t>C01988</t>
  </si>
  <si>
    <t>Siya Pillai</t>
  </si>
  <si>
    <t>C01989</t>
  </si>
  <si>
    <t>Raghav Shankar</t>
  </si>
  <si>
    <t>C01990</t>
  </si>
  <si>
    <t>Faris Raman</t>
  </si>
  <si>
    <t>C01991</t>
  </si>
  <si>
    <t>Bhavya Bose</t>
  </si>
  <si>
    <t>C01992</t>
  </si>
  <si>
    <t>Nitesh Majumdar</t>
  </si>
  <si>
    <t>C01993</t>
  </si>
  <si>
    <t>Manbir Taneja</t>
  </si>
  <si>
    <t>C01994</t>
  </si>
  <si>
    <t>Samarth Verma</t>
  </si>
  <si>
    <t>C01995</t>
  </si>
  <si>
    <t>Chaaya Saha</t>
  </si>
  <si>
    <t>C01996</t>
  </si>
  <si>
    <t>Urvi Palan</t>
  </si>
  <si>
    <t>C01997</t>
  </si>
  <si>
    <t>Sachi Bail</t>
  </si>
  <si>
    <t>C01998</t>
  </si>
  <si>
    <t>Ranbir Bhatnagar</t>
  </si>
  <si>
    <t>C01999</t>
  </si>
  <si>
    <t>Vincent Venkatesh</t>
  </si>
  <si>
    <t>C02000</t>
  </si>
  <si>
    <t>Nisha Oza</t>
  </si>
  <si>
    <t>C02001</t>
  </si>
  <si>
    <t>Vedika Wagle</t>
  </si>
  <si>
    <t>C02002</t>
  </si>
  <si>
    <t>Tanvi Modi</t>
  </si>
  <si>
    <t>C02003</t>
  </si>
  <si>
    <t>Damini Garg</t>
  </si>
  <si>
    <t>C02004</t>
  </si>
  <si>
    <t>Utkarsh Sule</t>
  </si>
  <si>
    <t>C02005</t>
  </si>
  <si>
    <t>Bhavya Batta</t>
  </si>
  <si>
    <t>C02006</t>
  </si>
  <si>
    <t>Ira Mane</t>
  </si>
  <si>
    <t>C02007</t>
  </si>
  <si>
    <t>Ojas Dyal</t>
  </si>
  <si>
    <t>C02008</t>
  </si>
  <si>
    <t>Qabil Gill</t>
  </si>
  <si>
    <t>C02009</t>
  </si>
  <si>
    <t>Neel Khanna</t>
  </si>
  <si>
    <t>C02010</t>
  </si>
  <si>
    <t>Benjamin Nadig</t>
  </si>
  <si>
    <t>C02011</t>
  </si>
  <si>
    <t>Ridhi Lad</t>
  </si>
  <si>
    <t>C02012</t>
  </si>
  <si>
    <t>Qarin Jha</t>
  </si>
  <si>
    <t>C02013</t>
  </si>
  <si>
    <t>Edhitha Padmanabhan</t>
  </si>
  <si>
    <t>C02014</t>
  </si>
  <si>
    <t>Kashish Sen</t>
  </si>
  <si>
    <t>C02015</t>
  </si>
  <si>
    <t>C02016</t>
  </si>
  <si>
    <t>Nidhi Tata</t>
  </si>
  <si>
    <t>C02017</t>
  </si>
  <si>
    <t>Tara Nagarajan</t>
  </si>
  <si>
    <t>C02018</t>
  </si>
  <si>
    <t>Aayush Tripathi</t>
  </si>
  <si>
    <t>C02019</t>
  </si>
  <si>
    <t>Chakrika Som</t>
  </si>
  <si>
    <t>C02020</t>
  </si>
  <si>
    <t>Manan Sathe</t>
  </si>
  <si>
    <t>C02021</t>
  </si>
  <si>
    <t>Isaiah Srinivas</t>
  </si>
  <si>
    <t>C02022</t>
  </si>
  <si>
    <t>Liam Dada</t>
  </si>
  <si>
    <t>C02023</t>
  </si>
  <si>
    <t>Aryan Ratti</t>
  </si>
  <si>
    <t>C02024</t>
  </si>
  <si>
    <t>Sanaya Parikh</t>
  </si>
  <si>
    <t>C02025</t>
  </si>
  <si>
    <t>Eta Bhakta</t>
  </si>
  <si>
    <t>C02026</t>
  </si>
  <si>
    <t>Tristan Mall</t>
  </si>
  <si>
    <t>C02027</t>
  </si>
  <si>
    <t>Arin Chacko</t>
  </si>
  <si>
    <t>C02028</t>
  </si>
  <si>
    <t>Gagan Vala</t>
  </si>
  <si>
    <t>C02029</t>
  </si>
  <si>
    <t>Robert Swaminathan</t>
  </si>
  <si>
    <t>C02030</t>
  </si>
  <si>
    <t>Yasti Bhalla</t>
  </si>
  <si>
    <t>C02031</t>
  </si>
  <si>
    <t>Mitali Divan</t>
  </si>
  <si>
    <t>C02032</t>
  </si>
  <si>
    <t>Kala Raju</t>
  </si>
  <si>
    <t>C02033</t>
  </si>
  <si>
    <t>Advik Mane</t>
  </si>
  <si>
    <t>C02034</t>
  </si>
  <si>
    <t>Indali Morar</t>
  </si>
  <si>
    <t>C02035</t>
  </si>
  <si>
    <t>Gagan Kale</t>
  </si>
  <si>
    <t>C02036</t>
  </si>
  <si>
    <t>Ojasvi Savant</t>
  </si>
  <si>
    <t>C02037</t>
  </si>
  <si>
    <t>Nihal Samra</t>
  </si>
  <si>
    <t>C02038</t>
  </si>
  <si>
    <t>Liam Chadha</t>
  </si>
  <si>
    <t>C02039</t>
  </si>
  <si>
    <t>Sarthak Mitter</t>
  </si>
  <si>
    <t>C02040</t>
  </si>
  <si>
    <t>Gautami Bhatti</t>
  </si>
  <si>
    <t>C02041</t>
  </si>
  <si>
    <t>Gaurang Ahuja</t>
  </si>
  <si>
    <t>C02042</t>
  </si>
  <si>
    <t>Anjali Sachdeva</t>
  </si>
  <si>
    <t>C02043</t>
  </si>
  <si>
    <t>Turvi Devan</t>
  </si>
  <si>
    <t>C02044</t>
  </si>
  <si>
    <t>Quincy Raj</t>
  </si>
  <si>
    <t>C02045</t>
  </si>
  <si>
    <t>Vritti Basak</t>
  </si>
  <si>
    <t>C02046</t>
  </si>
  <si>
    <t>Daksha Tak</t>
  </si>
  <si>
    <t>C02047</t>
  </si>
  <si>
    <t>C02048</t>
  </si>
  <si>
    <t>Mitesh Lala</t>
  </si>
  <si>
    <t>C02049</t>
  </si>
  <si>
    <t>Urmi Dash</t>
  </si>
  <si>
    <t>C02050</t>
  </si>
  <si>
    <t>Omisha Gola</t>
  </si>
  <si>
    <t>C02051</t>
  </si>
  <si>
    <t>Yash Balakrishnan</t>
  </si>
  <si>
    <t>C02052</t>
  </si>
  <si>
    <t>Aradhana Tailor</t>
  </si>
  <si>
    <t>C02053</t>
  </si>
  <si>
    <t>Janaki Srivastava</t>
  </si>
  <si>
    <t>C02054</t>
  </si>
  <si>
    <t>Aarna Soni</t>
  </si>
  <si>
    <t>C02055</t>
  </si>
  <si>
    <t>Kashvi Vala</t>
  </si>
  <si>
    <t>C02056</t>
  </si>
  <si>
    <t>Aashi Gaba</t>
  </si>
  <si>
    <t>C02057</t>
  </si>
  <si>
    <t>Madhav Nagarajan</t>
  </si>
  <si>
    <t>C02058</t>
  </si>
  <si>
    <t>Krishna Parikh</t>
  </si>
  <si>
    <t>C02059</t>
  </si>
  <si>
    <t>Chatresh Mahajan</t>
  </si>
  <si>
    <t>C02060</t>
  </si>
  <si>
    <t>Oni Parekh</t>
  </si>
  <si>
    <t>C02061</t>
  </si>
  <si>
    <t>Bimala Manne</t>
  </si>
  <si>
    <t>C02062</t>
  </si>
  <si>
    <t>Yoshita Hari</t>
  </si>
  <si>
    <t>C02063</t>
  </si>
  <si>
    <t>Girindra Ganesh</t>
  </si>
  <si>
    <t>C02064</t>
  </si>
  <si>
    <t>Diya Mitra</t>
  </si>
  <si>
    <t>C02065</t>
  </si>
  <si>
    <t>Janani Char</t>
  </si>
  <si>
    <t>C02066</t>
  </si>
  <si>
    <t>Maanas Arya</t>
  </si>
  <si>
    <t>C02067</t>
  </si>
  <si>
    <t>Zarna Manda</t>
  </si>
  <si>
    <t>C02068</t>
  </si>
  <si>
    <t>Vedhika Sabharwal</t>
  </si>
  <si>
    <t>C02069</t>
  </si>
  <si>
    <t>Nicholas Chaudry</t>
  </si>
  <si>
    <t>C02070</t>
  </si>
  <si>
    <t>Mohammed Thakur</t>
  </si>
  <si>
    <t>C02071</t>
  </si>
  <si>
    <t>Raghav Vora</t>
  </si>
  <si>
    <t>C02072</t>
  </si>
  <si>
    <t>Omisha Sharma</t>
  </si>
  <si>
    <t>C02073</t>
  </si>
  <si>
    <t>Jackson Deep</t>
  </si>
  <si>
    <t>C02074</t>
  </si>
  <si>
    <t>Varsha Pall</t>
  </si>
  <si>
    <t>C02075</t>
  </si>
  <si>
    <t>Janani Dewan</t>
  </si>
  <si>
    <t>C02076</t>
  </si>
  <si>
    <t>Hema Gera</t>
  </si>
  <si>
    <t>C02077</t>
  </si>
  <si>
    <t>Ayush Dani</t>
  </si>
  <si>
    <t>C02078</t>
  </si>
  <si>
    <t>Kabir Dhar</t>
  </si>
  <si>
    <t>C02079</t>
  </si>
  <si>
    <t>Damyanti Dass</t>
  </si>
  <si>
    <t>C02080</t>
  </si>
  <si>
    <t>Kalpit Brar</t>
  </si>
  <si>
    <t>C02081</t>
  </si>
  <si>
    <t>Isaac Brahmbhatt</t>
  </si>
  <si>
    <t>C02082</t>
  </si>
  <si>
    <t>Veda Sankar</t>
  </si>
  <si>
    <t>C02083</t>
  </si>
  <si>
    <t>Ronith Chokshi</t>
  </si>
  <si>
    <t>C02084</t>
  </si>
  <si>
    <t>Yochana Bhargava</t>
  </si>
  <si>
    <t>C02085</t>
  </si>
  <si>
    <t>Jagat Kulkarni</t>
  </si>
  <si>
    <t>C02086</t>
  </si>
  <si>
    <t>Dominic Mitra</t>
  </si>
  <si>
    <t>C02087</t>
  </si>
  <si>
    <t>Gopal Dasgupta</t>
  </si>
  <si>
    <t>C02088</t>
  </si>
  <si>
    <t>Ryan Goyal</t>
  </si>
  <si>
    <t>C02089</t>
  </si>
  <si>
    <t>Ayush Chana</t>
  </si>
  <si>
    <t>C02090</t>
  </si>
  <si>
    <t>Arunima Pall</t>
  </si>
  <si>
    <t>C02091</t>
  </si>
  <si>
    <t>Naveen Tella</t>
  </si>
  <si>
    <t>C02092</t>
  </si>
  <si>
    <t>Yashasvi Bir</t>
  </si>
  <si>
    <t>C02093</t>
  </si>
  <si>
    <t>Akshay Wadhwa</t>
  </si>
  <si>
    <t>C02094</t>
  </si>
  <si>
    <t>Rehaan Manda</t>
  </si>
  <si>
    <t>C02095</t>
  </si>
  <si>
    <t>Aayush Chaudhary</t>
  </si>
  <si>
    <t>C02096</t>
  </si>
  <si>
    <t>Yamini Soman</t>
  </si>
  <si>
    <t>C02097</t>
  </si>
  <si>
    <t>Qasim Sarraf</t>
  </si>
  <si>
    <t>C02098</t>
  </si>
  <si>
    <t>Pratyush Pant</t>
  </si>
  <si>
    <t>C02099</t>
  </si>
  <si>
    <t>Panini Kala</t>
  </si>
  <si>
    <t>C02100</t>
  </si>
  <si>
    <t>Nikita Chowdhury</t>
  </si>
  <si>
    <t>C02101</t>
  </si>
  <si>
    <t>Jatin Shukla</t>
  </si>
  <si>
    <t>C02102</t>
  </si>
  <si>
    <t>Zinal Deshpande</t>
  </si>
  <si>
    <t>C02103</t>
  </si>
  <si>
    <t>Jalsa Mani</t>
  </si>
  <si>
    <t>C02104</t>
  </si>
  <si>
    <t>Fitan Narang</t>
  </si>
  <si>
    <t>C02105</t>
  </si>
  <si>
    <t>Jack Rajan</t>
  </si>
  <si>
    <t>C02106</t>
  </si>
  <si>
    <t>Tanmayi Muni</t>
  </si>
  <si>
    <t>C02107</t>
  </si>
  <si>
    <t>Upkaar Reddy</t>
  </si>
  <si>
    <t>C02108</t>
  </si>
  <si>
    <t>Priya Gulati</t>
  </si>
  <si>
    <t>C02109</t>
  </si>
  <si>
    <t>Vamakshi Pillai</t>
  </si>
  <si>
    <t>C02110</t>
  </si>
  <si>
    <t>Agastya Swamy</t>
  </si>
  <si>
    <t>C02111</t>
  </si>
  <si>
    <t>Meghana Sarma</t>
  </si>
  <si>
    <t>C02112</t>
  </si>
  <si>
    <t>Jagdish Dhar</t>
  </si>
  <si>
    <t>C02113</t>
  </si>
  <si>
    <t>Nandini Chaudry</t>
  </si>
  <si>
    <t>C02114</t>
  </si>
  <si>
    <t>Dhruv Patla</t>
  </si>
  <si>
    <t>C02115</t>
  </si>
  <si>
    <t>Hamsini Iyer</t>
  </si>
  <si>
    <t>C02116</t>
  </si>
  <si>
    <t>Jason Kaul</t>
  </si>
  <si>
    <t>C02117</t>
  </si>
  <si>
    <t>Xalak Mallick</t>
  </si>
  <si>
    <t>C02118</t>
  </si>
  <si>
    <t>Mugdha Parekh</t>
  </si>
  <si>
    <t>C02119</t>
  </si>
  <si>
    <t>Nidhi Sundaram</t>
  </si>
  <si>
    <t>C02120</t>
  </si>
  <si>
    <t>Manan Sha</t>
  </si>
  <si>
    <t>C02121</t>
  </si>
  <si>
    <t>Jason Krishna</t>
  </si>
  <si>
    <t>C02122</t>
  </si>
  <si>
    <t>Widisha Kashyap</t>
  </si>
  <si>
    <t>C02123</t>
  </si>
  <si>
    <t>Ayushman Chaudhary</t>
  </si>
  <si>
    <t>C02124</t>
  </si>
  <si>
    <t>Ekansh Tara</t>
  </si>
  <si>
    <t>C02125</t>
  </si>
  <si>
    <t>Praneel Raja</t>
  </si>
  <si>
    <t>C02126</t>
  </si>
  <si>
    <t>Michael Mitter</t>
  </si>
  <si>
    <t>C02127</t>
  </si>
  <si>
    <t>Faraj Venkatesh</t>
  </si>
  <si>
    <t>C02128</t>
  </si>
  <si>
    <t>Unnati Jaggi</t>
  </si>
  <si>
    <t>C02129</t>
  </si>
  <si>
    <t>Widisha Swaminathan</t>
  </si>
  <si>
    <t>C02130</t>
  </si>
  <si>
    <t>Hemal Zachariah</t>
  </si>
  <si>
    <t>C02131</t>
  </si>
  <si>
    <t>Azad Sani</t>
  </si>
  <si>
    <t>C02132</t>
  </si>
  <si>
    <t>Leela Sengupta</t>
  </si>
  <si>
    <t>C02133</t>
  </si>
  <si>
    <t>Krisha Savant</t>
  </si>
  <si>
    <t>C02134</t>
  </si>
  <si>
    <t>Balendra Bali</t>
  </si>
  <si>
    <t>C02135</t>
  </si>
  <si>
    <t>Chavvi Gala</t>
  </si>
  <si>
    <t>C02136</t>
  </si>
  <si>
    <t>Raagini Desai</t>
  </si>
  <si>
    <t>C02137</t>
  </si>
  <si>
    <t>Lopa Sura</t>
  </si>
  <si>
    <t>C02138</t>
  </si>
  <si>
    <t>Vritti Zacharia</t>
  </si>
  <si>
    <t>C02139</t>
  </si>
  <si>
    <t>Vamakshi Dugar</t>
  </si>
  <si>
    <t>C02140</t>
  </si>
  <si>
    <t>Mahika Lall</t>
  </si>
  <si>
    <t>C02141</t>
  </si>
  <si>
    <t>Krishna Pandit</t>
  </si>
  <si>
    <t>C02142</t>
  </si>
  <si>
    <t>Ekani Bhat</t>
  </si>
  <si>
    <t>C02143</t>
  </si>
  <si>
    <t>Chakradev Dave</t>
  </si>
  <si>
    <t>C02144</t>
  </si>
  <si>
    <t>Ikshita Bala</t>
  </si>
  <si>
    <t>C02145</t>
  </si>
  <si>
    <t>C02146</t>
  </si>
  <si>
    <t>Hemani Parikh</t>
  </si>
  <si>
    <t>C02147</t>
  </si>
  <si>
    <t>Indali Bhalla</t>
  </si>
  <si>
    <t>C02148</t>
  </si>
  <si>
    <t>Yug Keer</t>
  </si>
  <si>
    <t>C02149</t>
  </si>
  <si>
    <t>Frado Bhatti</t>
  </si>
  <si>
    <t>C02150</t>
  </si>
  <si>
    <t>Ishwar Nazareth</t>
  </si>
  <si>
    <t>C02151</t>
  </si>
  <si>
    <t>Anmol Yohannan</t>
  </si>
  <si>
    <t>C02152</t>
  </si>
  <si>
    <t>Baljiwan Sharma</t>
  </si>
  <si>
    <t>C02153</t>
  </si>
  <si>
    <t>Yutika Sama</t>
  </si>
  <si>
    <t>C02154</t>
  </si>
  <si>
    <t>Anmol Singh</t>
  </si>
  <si>
    <t>C02155</t>
  </si>
  <si>
    <t>Edhitha Purohit</t>
  </si>
  <si>
    <t>C02156</t>
  </si>
  <si>
    <t>Ekantika Chaudhari</t>
  </si>
  <si>
    <t>C02157</t>
  </si>
  <si>
    <t>Harish Jha</t>
  </si>
  <si>
    <t>C02158</t>
  </si>
  <si>
    <t>Watika Thakkar</t>
  </si>
  <si>
    <t>C02159</t>
  </si>
  <si>
    <t>Ojas Mistry</t>
  </si>
  <si>
    <t>C02160</t>
  </si>
  <si>
    <t>Rajata Jaggi</t>
  </si>
  <si>
    <t>C02161</t>
  </si>
  <si>
    <t>Faqid Wason</t>
  </si>
  <si>
    <t>C02162</t>
  </si>
  <si>
    <t>Bhavna Lanka</t>
  </si>
  <si>
    <t>C02163</t>
  </si>
  <si>
    <t>Chameli Ratti</t>
  </si>
  <si>
    <t>C02164</t>
  </si>
  <si>
    <t>George Chandran</t>
  </si>
  <si>
    <t>C02165</t>
  </si>
  <si>
    <t>Anjali Bhavsar</t>
  </si>
  <si>
    <t>C02166</t>
  </si>
  <si>
    <t>Prisha Kadakia</t>
  </si>
  <si>
    <t>C02167</t>
  </si>
  <si>
    <t>Faraj Mittal</t>
  </si>
  <si>
    <t>C02168</t>
  </si>
  <si>
    <t>Rachita Zacharia</t>
  </si>
  <si>
    <t>C02169</t>
  </si>
  <si>
    <t>Ryan Sachdeva</t>
  </si>
  <si>
    <t>C02170</t>
  </si>
  <si>
    <t>Zayan Varma</t>
  </si>
  <si>
    <t>C02171</t>
  </si>
  <si>
    <t>Pranit Bahl</t>
  </si>
  <si>
    <t>C02172</t>
  </si>
  <si>
    <t>Xalak Kala</t>
  </si>
  <si>
    <t>C02173</t>
  </si>
  <si>
    <t>Amrita Walia</t>
  </si>
  <si>
    <t>C02174</t>
  </si>
  <si>
    <t>Darpan Vig</t>
  </si>
  <si>
    <t>C02175</t>
  </si>
  <si>
    <t>Janya Shere</t>
  </si>
  <si>
    <t>C02176</t>
  </si>
  <si>
    <t>Wridesh Dora</t>
  </si>
  <si>
    <t>C02177</t>
  </si>
  <si>
    <t>Radhika Roy</t>
  </si>
  <si>
    <t>C02178</t>
  </si>
  <si>
    <t>Devansh Jani</t>
  </si>
  <si>
    <t>C02179</t>
  </si>
  <si>
    <t>Amara Mangat</t>
  </si>
  <si>
    <t>C02180</t>
  </si>
  <si>
    <t>Aahana Keer</t>
  </si>
  <si>
    <t>C02181</t>
  </si>
  <si>
    <t>William Comar</t>
  </si>
  <si>
    <t>C02182</t>
  </si>
  <si>
    <t>Rehaan Bala</t>
  </si>
  <si>
    <t>C02183</t>
  </si>
  <si>
    <t>Dayita Shetty</t>
  </si>
  <si>
    <t>C02184</t>
  </si>
  <si>
    <t>Rajata Sami</t>
  </si>
  <si>
    <t>C02185</t>
  </si>
  <si>
    <t>Saksham Dutta</t>
  </si>
  <si>
    <t>C02186</t>
  </si>
  <si>
    <t>Laban Balakrishnan</t>
  </si>
  <si>
    <t>C02187</t>
  </si>
  <si>
    <t>Arunima Goda</t>
  </si>
  <si>
    <t>C02188</t>
  </si>
  <si>
    <t>Vedika Bahri</t>
  </si>
  <si>
    <t>C02189</t>
  </si>
  <si>
    <t>Fiyaz Murthy</t>
  </si>
  <si>
    <t>C02190</t>
  </si>
  <si>
    <t>Devansh Ray</t>
  </si>
  <si>
    <t>C02191</t>
  </si>
  <si>
    <t>Gautam Ranganathan</t>
  </si>
  <si>
    <t>C02192</t>
  </si>
  <si>
    <t>Warinder Choudhury</t>
  </si>
  <si>
    <t>C02193</t>
  </si>
  <si>
    <t>Zayan Taneja</t>
  </si>
  <si>
    <t>C02194</t>
  </si>
  <si>
    <t>Wazir Das</t>
  </si>
  <si>
    <t>C02195</t>
  </si>
  <si>
    <t>Forum Ramakrishnan</t>
  </si>
  <si>
    <t>C02196</t>
  </si>
  <si>
    <t>Pallavi Kamdar</t>
  </si>
  <si>
    <t>C02197</t>
  </si>
  <si>
    <t>Hredhaan Gill</t>
  </si>
  <si>
    <t>C02198</t>
  </si>
  <si>
    <t>Anvi Sarraf</t>
  </si>
  <si>
    <t>C02199</t>
  </si>
  <si>
    <t>Aachal Bhalla</t>
  </si>
  <si>
    <t>C02200</t>
  </si>
  <si>
    <t>Kavya Chowdhury</t>
  </si>
  <si>
    <t>C02201</t>
  </si>
  <si>
    <t>Pallavi Soman</t>
  </si>
  <si>
    <t>C02202</t>
  </si>
  <si>
    <t>Arunima Dhillon</t>
  </si>
  <si>
    <t>C02203</t>
  </si>
  <si>
    <t>Vaishnavi Pillai</t>
  </si>
  <si>
    <t>C02204</t>
  </si>
  <si>
    <t>Ansh Banerjee</t>
  </si>
  <si>
    <t>C02205</t>
  </si>
  <si>
    <t>Wriddhish Kulkarni</t>
  </si>
  <si>
    <t>C02206</t>
  </si>
  <si>
    <t>Dayamai Patil</t>
  </si>
  <si>
    <t>C02207</t>
  </si>
  <si>
    <t>Warjas Savant</t>
  </si>
  <si>
    <t>C02208</t>
  </si>
  <si>
    <t>Abhiram Ramaswamy</t>
  </si>
  <si>
    <t>C02209</t>
  </si>
  <si>
    <t>Charvi Chana</t>
  </si>
  <si>
    <t>C02210</t>
  </si>
  <si>
    <t>Chameli Kade</t>
  </si>
  <si>
    <t>C02211</t>
  </si>
  <si>
    <t>Reva Nadig</t>
  </si>
  <si>
    <t>C02212</t>
  </si>
  <si>
    <t>Bahadurjit Mahal</t>
  </si>
  <si>
    <t>C02213</t>
  </si>
  <si>
    <t>Vyanjana Sinha</t>
  </si>
  <si>
    <t>C02214</t>
  </si>
  <si>
    <t>Gaurangi Sami</t>
  </si>
  <si>
    <t>C02215</t>
  </si>
  <si>
    <t>Naveen Lal</t>
  </si>
  <si>
    <t>C02216</t>
  </si>
  <si>
    <t>Indira Salvi</t>
  </si>
  <si>
    <t>C02217</t>
  </si>
  <si>
    <t>Sudiksha Bala</t>
  </si>
  <si>
    <t>C02218</t>
  </si>
  <si>
    <t>Qarin Sawhney</t>
  </si>
  <si>
    <t>C02219</t>
  </si>
  <si>
    <t>Aarush Rattan</t>
  </si>
  <si>
    <t>C02220</t>
  </si>
  <si>
    <t>Dalaja Murthy</t>
  </si>
  <si>
    <t>C02221</t>
  </si>
  <si>
    <t>Indrajit Dugar</t>
  </si>
  <si>
    <t>C02222</t>
  </si>
  <si>
    <t>Zaitra De</t>
  </si>
  <si>
    <t>C02223</t>
  </si>
  <si>
    <t>Ekaja Seth</t>
  </si>
  <si>
    <t>C02224</t>
  </si>
  <si>
    <t>Kiaan Lad</t>
  </si>
  <si>
    <t>C02225</t>
  </si>
  <si>
    <t>Falak Manda</t>
  </si>
  <si>
    <t>C02226</t>
  </si>
  <si>
    <t>Frado Sachdeva</t>
  </si>
  <si>
    <t>C02227</t>
  </si>
  <si>
    <t>Qabil Ramaswamy</t>
  </si>
  <si>
    <t>C02228</t>
  </si>
  <si>
    <t>Udarsh Bail</t>
  </si>
  <si>
    <t>C02229</t>
  </si>
  <si>
    <t>Veer Chakraborty</t>
  </si>
  <si>
    <t>C02230</t>
  </si>
  <si>
    <t>Rushil Lala</t>
  </si>
  <si>
    <t>C02231</t>
  </si>
  <si>
    <t>Chandran Rattan</t>
  </si>
  <si>
    <t>C02232</t>
  </si>
  <si>
    <t>Abha Dixit</t>
  </si>
  <si>
    <t>C02233</t>
  </si>
  <si>
    <t>Jhalak Garde</t>
  </si>
  <si>
    <t>C02234</t>
  </si>
  <si>
    <t>Akshay Vora</t>
  </si>
  <si>
    <t>C02235</t>
  </si>
  <si>
    <t>Sudiksha Talwar</t>
  </si>
  <si>
    <t>C02236</t>
  </si>
  <si>
    <t>Udarsh Jani</t>
  </si>
  <si>
    <t>C02237</t>
  </si>
  <si>
    <t>Amaira Mani</t>
  </si>
  <si>
    <t>C02238</t>
  </si>
  <si>
    <t>Lavanya De</t>
  </si>
  <si>
    <t>C02239</t>
  </si>
  <si>
    <t>Samuel Kale</t>
  </si>
  <si>
    <t>C02240</t>
  </si>
  <si>
    <t>Ranbir Sahota</t>
  </si>
  <si>
    <t>C02241</t>
  </si>
  <si>
    <t>Nilima Dhingra</t>
  </si>
  <si>
    <t>C02242</t>
  </si>
  <si>
    <t>Bina Lala</t>
  </si>
  <si>
    <t>C02243</t>
  </si>
  <si>
    <t>Shravya Kothari</t>
  </si>
  <si>
    <t>C02244</t>
  </si>
  <si>
    <t>Tara Chada</t>
  </si>
  <si>
    <t>C02245</t>
  </si>
  <si>
    <t>Upasna Deol</t>
  </si>
  <si>
    <t>C02246</t>
  </si>
  <si>
    <t>Mitali Kala</t>
  </si>
  <si>
    <t>C02247</t>
  </si>
  <si>
    <t>Pallavi Kunda</t>
  </si>
  <si>
    <t>C02248</t>
  </si>
  <si>
    <t>Girish Bhargava</t>
  </si>
  <si>
    <t>C02249</t>
  </si>
  <si>
    <t>Gaurangi Keer</t>
  </si>
  <si>
    <t>C02250</t>
  </si>
  <si>
    <t>Irya Bath</t>
  </si>
  <si>
    <t>C02251</t>
  </si>
  <si>
    <t>Zehaan Thaman</t>
  </si>
  <si>
    <t>C02252</t>
  </si>
  <si>
    <t>Chasmum Rana</t>
  </si>
  <si>
    <t>C02253</t>
  </si>
  <si>
    <t>Kevin Barman</t>
  </si>
  <si>
    <t>C02254</t>
  </si>
  <si>
    <t>Abha Gara</t>
  </si>
  <si>
    <t>C02255</t>
  </si>
  <si>
    <t>Harinakshi Sidhu</t>
  </si>
  <si>
    <t>C02256</t>
  </si>
  <si>
    <t>Gaurav Nadig</t>
  </si>
  <si>
    <t>C02257</t>
  </si>
  <si>
    <t>Lucky Lad</t>
  </si>
  <si>
    <t>C02258</t>
  </si>
  <si>
    <t>Dhriti Basu</t>
  </si>
  <si>
    <t>C02259</t>
  </si>
  <si>
    <t>Xalak Mand</t>
  </si>
  <si>
    <t>C02260</t>
  </si>
  <si>
    <t>Qushi Mandal</t>
  </si>
  <si>
    <t>C02261</t>
  </si>
  <si>
    <t>Aishani Varughese</t>
  </si>
  <si>
    <t>C02262</t>
  </si>
  <si>
    <t>Rajata Gala</t>
  </si>
  <si>
    <t>C02263</t>
  </si>
  <si>
    <t>Vyanjana Dora</t>
  </si>
  <si>
    <t>C02264</t>
  </si>
  <si>
    <t>Chatresh Gulati</t>
  </si>
  <si>
    <t>C02265</t>
  </si>
  <si>
    <t>Chatura Karpe</t>
  </si>
  <si>
    <t>C02266</t>
  </si>
  <si>
    <t>Balendra Singhal</t>
  </si>
  <si>
    <t>C02267</t>
  </si>
  <si>
    <t>Nihal Sibal</t>
  </si>
  <si>
    <t>C02268</t>
  </si>
  <si>
    <t>Jack Talwar</t>
  </si>
  <si>
    <t>C02269</t>
  </si>
  <si>
    <t>Riya Parikh</t>
  </si>
  <si>
    <t>C02270</t>
  </si>
  <si>
    <t>Tanvi Tailor</t>
  </si>
  <si>
    <t>C02271</t>
  </si>
  <si>
    <t>Manbir Dasgupta</t>
  </si>
  <si>
    <t>C02272</t>
  </si>
  <si>
    <t>Girik Jani</t>
  </si>
  <si>
    <t>C02273</t>
  </si>
  <si>
    <t>Pranit Ganguly</t>
  </si>
  <si>
    <t>C02274</t>
  </si>
  <si>
    <t>Simon Agrawal</t>
  </si>
  <si>
    <t>C02275</t>
  </si>
  <si>
    <t>Omaja Bose</t>
  </si>
  <si>
    <t>C02276</t>
  </si>
  <si>
    <t>Wishi Chandra</t>
  </si>
  <si>
    <t>C02277</t>
  </si>
  <si>
    <t>Atharv Mane</t>
  </si>
  <si>
    <t>C02278</t>
  </si>
  <si>
    <t>C02279</t>
  </si>
  <si>
    <t>Ekiya Dube</t>
  </si>
  <si>
    <t>C02280</t>
  </si>
  <si>
    <t>Finn Sharma</t>
  </si>
  <si>
    <t>C02281</t>
  </si>
  <si>
    <t>Sudiksha Luthra</t>
  </si>
  <si>
    <t>C02282</t>
  </si>
  <si>
    <t>Forum Bassi</t>
  </si>
  <si>
    <t>C02283</t>
  </si>
  <si>
    <t>Ekta Dayal</t>
  </si>
  <si>
    <t>C02284</t>
  </si>
  <si>
    <t>Chanakya Mandal</t>
  </si>
  <si>
    <t>C02285</t>
  </si>
  <si>
    <t>Christopher Bobal</t>
  </si>
  <si>
    <t>C02286</t>
  </si>
  <si>
    <t>George Rastogi</t>
  </si>
  <si>
    <t>C02287</t>
  </si>
  <si>
    <t>Pranav Khatri</t>
  </si>
  <si>
    <t>C02288</t>
  </si>
  <si>
    <t>Gaurav Bail</t>
  </si>
  <si>
    <t>C02289</t>
  </si>
  <si>
    <t>Nicholas Rama</t>
  </si>
  <si>
    <t>C02290</t>
  </si>
  <si>
    <t>Bhavani Dube</t>
  </si>
  <si>
    <t>C02291</t>
  </si>
  <si>
    <t>Chanchal Swaminathan</t>
  </si>
  <si>
    <t>C02292</t>
  </si>
  <si>
    <t>Dayita Deep</t>
  </si>
  <si>
    <t>C02293</t>
  </si>
  <si>
    <t>Gopal Pillai</t>
  </si>
  <si>
    <t>C02294</t>
  </si>
  <si>
    <t>Vrishti Sehgal</t>
  </si>
  <si>
    <t>C02295</t>
  </si>
  <si>
    <t>Vamakshi Loyal</t>
  </si>
  <si>
    <t>C02296</t>
  </si>
  <si>
    <t>Gautam Sami</t>
  </si>
  <si>
    <t>C02297</t>
  </si>
  <si>
    <t>Quincy Saraf</t>
  </si>
  <si>
    <t>C02298</t>
  </si>
  <si>
    <t>Girik Baria</t>
  </si>
  <si>
    <t>C02299</t>
  </si>
  <si>
    <t>Ubika Kapur</t>
  </si>
  <si>
    <t>C02300</t>
  </si>
  <si>
    <t>Warhi Vyas</t>
  </si>
  <si>
    <t>C02301</t>
  </si>
  <si>
    <t>Bina Sidhu</t>
  </si>
  <si>
    <t>C02302</t>
  </si>
  <si>
    <t>Fariq Sridhar</t>
  </si>
  <si>
    <t>C02303</t>
  </si>
  <si>
    <t>Manthan Datta</t>
  </si>
  <si>
    <t>C02304</t>
  </si>
  <si>
    <t>Yuvraj Virk</t>
  </si>
  <si>
    <t>C02305</t>
  </si>
  <si>
    <t>Chakrika Batta</t>
  </si>
  <si>
    <t>C02306</t>
  </si>
  <si>
    <t>Chakradev Varghese</t>
  </si>
  <si>
    <t>C02307</t>
  </si>
  <si>
    <t>Yashvi Sandal</t>
  </si>
  <si>
    <t>C02308</t>
  </si>
  <si>
    <t>Girindra Shetty</t>
  </si>
  <si>
    <t>C02309</t>
  </si>
  <si>
    <t>Isha Kumar</t>
  </si>
  <si>
    <t>C02310</t>
  </si>
  <si>
    <t>Yahvi Babu</t>
  </si>
  <si>
    <t>C02311</t>
  </si>
  <si>
    <t>Turvi Gola</t>
  </si>
  <si>
    <t>C02312</t>
  </si>
  <si>
    <t>Maya Bath</t>
  </si>
  <si>
    <t>C02313</t>
  </si>
  <si>
    <t>Omaja Mishra</t>
  </si>
  <si>
    <t>C02314</t>
  </si>
  <si>
    <t>Suhani Sengupta</t>
  </si>
  <si>
    <t>C02315</t>
  </si>
  <si>
    <t>Harita Grover</t>
  </si>
  <si>
    <t>C02316</t>
  </si>
  <si>
    <t>Qasim Brar</t>
  </si>
  <si>
    <t>C02317</t>
  </si>
  <si>
    <t>Hitesh Saraf</t>
  </si>
  <si>
    <t>C02318</t>
  </si>
  <si>
    <t>Abdul Rana</t>
  </si>
  <si>
    <t>C02319</t>
  </si>
  <si>
    <t>Agastya Garg</t>
  </si>
  <si>
    <t>C02320</t>
  </si>
  <si>
    <t>Triveni Ravel</t>
  </si>
  <si>
    <t>C02321</t>
  </si>
  <si>
    <t>Chavvi Patel</t>
  </si>
  <si>
    <t>C02322</t>
  </si>
  <si>
    <t>Chasmum Chahal</t>
  </si>
  <si>
    <t>C02323</t>
  </si>
  <si>
    <t>Krishna Atwal</t>
  </si>
  <si>
    <t>C02324</t>
  </si>
  <si>
    <t>Isaac Babu</t>
  </si>
  <si>
    <t>C02325</t>
  </si>
  <si>
    <t>Avi Kadakia</t>
  </si>
  <si>
    <t>C02326</t>
  </si>
  <si>
    <t>Maanav Khurana</t>
  </si>
  <si>
    <t>C02327</t>
  </si>
  <si>
    <t>Rayaan Chadha</t>
  </si>
  <si>
    <t>C02328</t>
  </si>
  <si>
    <t>Ubika Divan</t>
  </si>
  <si>
    <t>C02329</t>
  </si>
  <si>
    <t>Pahal Bains</t>
  </si>
  <si>
    <t>C02330</t>
  </si>
  <si>
    <t>Ojas Dua</t>
  </si>
  <si>
    <t>C02331</t>
  </si>
  <si>
    <t>Vedhika Sinha</t>
  </si>
  <si>
    <t>C02332</t>
  </si>
  <si>
    <t>Shivani Kibe</t>
  </si>
  <si>
    <t>C02333</t>
  </si>
  <si>
    <t>Chaitaly Ramanathan</t>
  </si>
  <si>
    <t>C02334</t>
  </si>
  <si>
    <t>Gauri Anand</t>
  </si>
  <si>
    <t>C02335</t>
  </si>
  <si>
    <t>Rachana Sagar</t>
  </si>
  <si>
    <t>C02336</t>
  </si>
  <si>
    <t>Bina Bansal</t>
  </si>
  <si>
    <t>C02337</t>
  </si>
  <si>
    <t>Mugdha Sunder</t>
  </si>
  <si>
    <t>C02338</t>
  </si>
  <si>
    <t>Vincent Bhat</t>
  </si>
  <si>
    <t>C02339</t>
  </si>
  <si>
    <t>Pahal Mutti</t>
  </si>
  <si>
    <t>C02340</t>
  </si>
  <si>
    <t>Amrita Sahni</t>
  </si>
  <si>
    <t>C02341</t>
  </si>
  <si>
    <t>Jackson Talwar</t>
  </si>
  <si>
    <t>C02342</t>
  </si>
  <si>
    <t>Saumya Sarin</t>
  </si>
  <si>
    <t>C02343</t>
  </si>
  <si>
    <t>Neel Mani</t>
  </si>
  <si>
    <t>C02344</t>
  </si>
  <si>
    <t>Upasna Padmanabhan</t>
  </si>
  <si>
    <t>C02345</t>
  </si>
  <si>
    <t>Vincent Tripathi</t>
  </si>
  <si>
    <t>C02346</t>
  </si>
  <si>
    <t>C02347</t>
  </si>
  <si>
    <t>Chaaya Ramakrishnan</t>
  </si>
  <si>
    <t>C02348</t>
  </si>
  <si>
    <t>Jagvi Sodhi</t>
  </si>
  <si>
    <t>C02349</t>
  </si>
  <si>
    <t>Sarthak Mandal</t>
  </si>
  <si>
    <t>C02350</t>
  </si>
  <si>
    <t>Vasudha Dayal</t>
  </si>
  <si>
    <t>C02351</t>
  </si>
  <si>
    <t>Ryan Dugar</t>
  </si>
  <si>
    <t>C02352</t>
  </si>
  <si>
    <t>Harrison Sagar</t>
  </si>
  <si>
    <t>C02353</t>
  </si>
  <si>
    <t>Chavvi Keer</t>
  </si>
  <si>
    <t>C02354</t>
  </si>
  <si>
    <t>Champak Badami</t>
  </si>
  <si>
    <t>C02355</t>
  </si>
  <si>
    <t>Advika Parikh</t>
  </si>
  <si>
    <t>C02356</t>
  </si>
  <si>
    <t>Owen Thakur</t>
  </si>
  <si>
    <t>C02357</t>
  </si>
  <si>
    <t>Devansh Nazareth</t>
  </si>
  <si>
    <t>C02358</t>
  </si>
  <si>
    <t>Ishaan Karan</t>
  </si>
  <si>
    <t>C02359</t>
  </si>
  <si>
    <t>Udarsh Sur</t>
  </si>
  <si>
    <t>C02360</t>
  </si>
  <si>
    <t>Harini Pant</t>
  </si>
  <si>
    <t>C02361</t>
  </si>
  <si>
    <t>Amara Dora</t>
  </si>
  <si>
    <t>C02362</t>
  </si>
  <si>
    <t>Chandresh Sarma</t>
  </si>
  <si>
    <t>C02363</t>
  </si>
  <si>
    <t>Indrajit Cherian</t>
  </si>
  <si>
    <t>C02364</t>
  </si>
  <si>
    <t>Benjamin Tripathi</t>
  </si>
  <si>
    <t>C02365</t>
  </si>
  <si>
    <t>Oliver Dalal</t>
  </si>
  <si>
    <t>C02366</t>
  </si>
  <si>
    <t>Janaki Dugar</t>
  </si>
  <si>
    <t>C02367</t>
  </si>
  <si>
    <t>Riya Toor</t>
  </si>
  <si>
    <t>C02368</t>
  </si>
  <si>
    <t>Hardik Dube</t>
  </si>
  <si>
    <t>C02369</t>
  </si>
  <si>
    <t>Gaurika Devi</t>
  </si>
  <si>
    <t>C02370</t>
  </si>
  <si>
    <t>Saksham Sarna</t>
  </si>
  <si>
    <t>C02371</t>
  </si>
  <si>
    <t>Abeer Korpal</t>
  </si>
  <si>
    <t>C02372</t>
  </si>
  <si>
    <t>Harita Mangat</t>
  </si>
  <si>
    <t>C02373</t>
  </si>
  <si>
    <t>Frederick Lata</t>
  </si>
  <si>
    <t>C02374</t>
  </si>
  <si>
    <t>Oeshi Patel</t>
  </si>
  <si>
    <t>C02375</t>
  </si>
  <si>
    <t>Max Wagle</t>
  </si>
  <si>
    <t>C02376</t>
  </si>
  <si>
    <t>Vedant Devi</t>
  </si>
  <si>
    <t>C02377</t>
  </si>
  <si>
    <t>Odika Rout</t>
  </si>
  <si>
    <t>C02378</t>
  </si>
  <si>
    <t>Zaitra Pathak</t>
  </si>
  <si>
    <t>C02379</t>
  </si>
  <si>
    <t>Saanvi Dhingra</t>
  </si>
  <si>
    <t>C02380</t>
  </si>
  <si>
    <t>Zansi Boase</t>
  </si>
  <si>
    <t>C02381</t>
  </si>
  <si>
    <t>Hamsini Murty</t>
  </si>
  <si>
    <t>C02382</t>
  </si>
  <si>
    <t>Nitesh Saraf</t>
  </si>
  <si>
    <t>C02383</t>
  </si>
  <si>
    <t>Maya Bansal</t>
  </si>
  <si>
    <t>C02384</t>
  </si>
  <si>
    <t>Dalbir Venkatesh</t>
  </si>
  <si>
    <t>C02385</t>
  </si>
  <si>
    <t>Oni Ratti</t>
  </si>
  <si>
    <t>C02386</t>
  </si>
  <si>
    <t>Dipta Padmanabhan</t>
  </si>
  <si>
    <t>C02387</t>
  </si>
  <si>
    <t>Ati Wable</t>
  </si>
  <si>
    <t>C02388</t>
  </si>
  <si>
    <t>Netra Sehgal</t>
  </si>
  <si>
    <t>C02389</t>
  </si>
  <si>
    <t>C02390</t>
  </si>
  <si>
    <t>Rudra Mitra</t>
  </si>
  <si>
    <t>C02391</t>
  </si>
  <si>
    <t>Balhaar Yogi</t>
  </si>
  <si>
    <t>C02392</t>
  </si>
  <si>
    <t>Madhavi Date</t>
  </si>
  <si>
    <t>C02393</t>
  </si>
  <si>
    <t>Tanay Chander</t>
  </si>
  <si>
    <t>C02394</t>
  </si>
  <si>
    <t>Harini Dutta</t>
  </si>
  <si>
    <t>C02395</t>
  </si>
  <si>
    <t>Ayaan Zacharia</t>
  </si>
  <si>
    <t>C02396</t>
  </si>
  <si>
    <t>Wyatt Modi</t>
  </si>
  <si>
    <t>C02397</t>
  </si>
  <si>
    <t>Yashasvi Choudhry</t>
  </si>
  <si>
    <t>C02398</t>
  </si>
  <si>
    <t>Kashish Lad</t>
  </si>
  <si>
    <t>C02399</t>
  </si>
  <si>
    <t>Jatin Batta</t>
  </si>
  <si>
    <t>C02400</t>
  </si>
  <si>
    <t>Saumya Misra</t>
  </si>
  <si>
    <t>C02401</t>
  </si>
  <si>
    <t>Sudiksha Nori</t>
  </si>
  <si>
    <t>C02402</t>
  </si>
  <si>
    <t>Vivaan Palla</t>
  </si>
  <si>
    <t>C02403</t>
  </si>
  <si>
    <t>Bhavani Dey</t>
  </si>
  <si>
    <t>C02404</t>
  </si>
  <si>
    <t>Zinal Kota</t>
  </si>
  <si>
    <t>C02405</t>
  </si>
  <si>
    <t>Falak Varty</t>
  </si>
  <si>
    <t>C02406</t>
  </si>
  <si>
    <t>Jalsa Sha</t>
  </si>
  <si>
    <t>C02407</t>
  </si>
  <si>
    <t>Manan Sandal</t>
  </si>
  <si>
    <t>C02408</t>
  </si>
  <si>
    <t>Finn Chanda</t>
  </si>
  <si>
    <t>C02409</t>
  </si>
  <si>
    <t>Pavani De</t>
  </si>
  <si>
    <t>C02410</t>
  </si>
  <si>
    <t>Tanish Sehgal</t>
  </si>
  <si>
    <t>C02411</t>
  </si>
  <si>
    <t>Kala Vora</t>
  </si>
  <si>
    <t>C02412</t>
  </si>
  <si>
    <t>Zilmil Rana</t>
  </si>
  <si>
    <t>C02413</t>
  </si>
  <si>
    <t>Wishi Sampath</t>
  </si>
  <si>
    <t>C02414</t>
  </si>
  <si>
    <t>Vrishti Saha</t>
  </si>
  <si>
    <t>C02415</t>
  </si>
  <si>
    <t>Maanas Tiwari</t>
  </si>
  <si>
    <t>C02416</t>
  </si>
  <si>
    <t>Vedhika Shankar</t>
  </si>
  <si>
    <t>C02417</t>
  </si>
  <si>
    <t>Yochana Wadhwa</t>
  </si>
  <si>
    <t>C02418</t>
  </si>
  <si>
    <t>Simon Shah</t>
  </si>
  <si>
    <t>C02419</t>
  </si>
  <si>
    <t>Bachittar Dugar</t>
  </si>
  <si>
    <t>C02420</t>
  </si>
  <si>
    <t>Jagat Rege</t>
  </si>
  <si>
    <t>C02421</t>
  </si>
  <si>
    <t>Jai Pingle</t>
  </si>
  <si>
    <t>C02422</t>
  </si>
  <si>
    <t>Banjeet Virk</t>
  </si>
  <si>
    <t>C02423</t>
  </si>
  <si>
    <t>Jacob Prabhu</t>
  </si>
  <si>
    <t>C02424</t>
  </si>
  <si>
    <t>Kavya Mitter</t>
  </si>
  <si>
    <t>C02425</t>
  </si>
  <si>
    <t>Vedika Bala</t>
  </si>
  <si>
    <t>C02426</t>
  </si>
  <si>
    <t>Lucky Sama</t>
  </si>
  <si>
    <t>C02427</t>
  </si>
  <si>
    <t>Dalaja Mander</t>
  </si>
  <si>
    <t>C02428</t>
  </si>
  <si>
    <t>Qadim Suresh</t>
  </si>
  <si>
    <t>C02429</t>
  </si>
  <si>
    <t>Jason Palla</t>
  </si>
  <si>
    <t>C02430</t>
  </si>
  <si>
    <t>Chaitanya Sahni</t>
  </si>
  <si>
    <t>C02431</t>
  </si>
  <si>
    <t>Dayita Sethi</t>
  </si>
  <si>
    <t>C02432</t>
  </si>
  <si>
    <t>Krishna Soman</t>
  </si>
  <si>
    <t>C02433</t>
  </si>
  <si>
    <t>Lakshit Thaman</t>
  </si>
  <si>
    <t>C02434</t>
  </si>
  <si>
    <t>Shivani Sen</t>
  </si>
  <si>
    <t>C02435</t>
  </si>
  <si>
    <t>Eshana Chakraborty</t>
  </si>
  <si>
    <t>C02436</t>
  </si>
  <si>
    <t>Lila Kaul</t>
  </si>
  <si>
    <t>C02437</t>
  </si>
  <si>
    <t>Harinakshi Zachariah</t>
  </si>
  <si>
    <t>C02438</t>
  </si>
  <si>
    <t>Saanvi Mall</t>
  </si>
  <si>
    <t>C02439</t>
  </si>
  <si>
    <t>Noah Bakshi</t>
  </si>
  <si>
    <t>C02440</t>
  </si>
  <si>
    <t>Jatin Chada</t>
  </si>
  <si>
    <t>C02441</t>
  </si>
  <si>
    <t>Chatresh Vig</t>
  </si>
  <si>
    <t>C02442</t>
  </si>
  <si>
    <t>Vamakshi Thakkar</t>
  </si>
  <si>
    <t>C02443</t>
  </si>
  <si>
    <t>Jai Wali</t>
  </si>
  <si>
    <t>C02444</t>
  </si>
  <si>
    <t>Anirudh Maharaj</t>
  </si>
  <si>
    <t>C02445</t>
  </si>
  <si>
    <t>Yatan Sawhney</t>
  </si>
  <si>
    <t>C02446</t>
  </si>
  <si>
    <t>Ekani Ratti</t>
  </si>
  <si>
    <t>C02447</t>
  </si>
  <si>
    <t>Vyanjana Bajaj</t>
  </si>
  <si>
    <t>C02448</t>
  </si>
  <si>
    <t>Rajeshri Gole</t>
  </si>
  <si>
    <t>C02449</t>
  </si>
  <si>
    <t>Arjun Wable</t>
  </si>
  <si>
    <t>C02450</t>
  </si>
  <si>
    <t>Lavanya Kurian</t>
  </si>
  <si>
    <t>C02451</t>
  </si>
  <si>
    <t>Ishwar Chaudhary</t>
  </si>
  <si>
    <t>C02452</t>
  </si>
  <si>
    <t>Bhavika Dhawan</t>
  </si>
  <si>
    <t>C02453</t>
  </si>
  <si>
    <t>Aadhya Chakraborty</t>
  </si>
  <si>
    <t>C02454</t>
  </si>
  <si>
    <t>Damyanti Reddy</t>
  </si>
  <si>
    <t>C02455</t>
  </si>
  <si>
    <t>Daniel Nanda</t>
  </si>
  <si>
    <t>C02456</t>
  </si>
  <si>
    <t>Avi Bhardwaj</t>
  </si>
  <si>
    <t>C02457</t>
  </si>
  <si>
    <t>Madhavi Chaudhary</t>
  </si>
  <si>
    <t>C02458</t>
  </si>
  <si>
    <t>Lucky Sachar</t>
  </si>
  <si>
    <t>C02459</t>
  </si>
  <si>
    <t>Aarna Prashad</t>
  </si>
  <si>
    <t>C02460</t>
  </si>
  <si>
    <t>Charles Jain</t>
  </si>
  <si>
    <t>C02461</t>
  </si>
  <si>
    <t>Warjas Tailor</t>
  </si>
  <si>
    <t>C02462</t>
  </si>
  <si>
    <t>Ishwar Luthra</t>
  </si>
  <si>
    <t>C02463</t>
  </si>
  <si>
    <t>Eesha Shetty</t>
  </si>
  <si>
    <t>C02464</t>
  </si>
  <si>
    <t>Dominic Sule</t>
  </si>
  <si>
    <t>C02465</t>
  </si>
  <si>
    <t>Nikita Kaur</t>
  </si>
  <si>
    <t>C02466</t>
  </si>
  <si>
    <t>Amruta Chaudhuri</t>
  </si>
  <si>
    <t>C02467</t>
  </si>
  <si>
    <t>Jeremiah Modi</t>
  </si>
  <si>
    <t>C02468</t>
  </si>
  <si>
    <t>Sanaya Chacko</t>
  </si>
  <si>
    <t>C02469</t>
  </si>
  <si>
    <t>Lucky Prakash</t>
  </si>
  <si>
    <t>C02470</t>
  </si>
  <si>
    <t>Yatan Yogi</t>
  </si>
  <si>
    <t>C02471</t>
  </si>
  <si>
    <t>Siya Barman</t>
  </si>
  <si>
    <t>C02472</t>
  </si>
  <si>
    <t>Ucchal Mann</t>
  </si>
  <si>
    <t>C02473</t>
  </si>
  <si>
    <t>Aadi Bhasin</t>
  </si>
  <si>
    <t>C02474</t>
  </si>
  <si>
    <t>Anjali Krishna</t>
  </si>
  <si>
    <t>C02475</t>
  </si>
  <si>
    <t>C02476</t>
  </si>
  <si>
    <t>Chakradev Edwin</t>
  </si>
  <si>
    <t>C02477</t>
  </si>
  <si>
    <t>Charita Chakraborty</t>
  </si>
  <si>
    <t>C02478</t>
  </si>
  <si>
    <t>Jason Dey</t>
  </si>
  <si>
    <t>C02479</t>
  </si>
  <si>
    <t>Rachana Kade</t>
  </si>
  <si>
    <t>C02480</t>
  </si>
  <si>
    <t>Hema Lal</t>
  </si>
  <si>
    <t>C02481</t>
  </si>
  <si>
    <t>Anjali Korpal</t>
  </si>
  <si>
    <t>C02482</t>
  </si>
  <si>
    <t>Harita Kade</t>
  </si>
  <si>
    <t>C02483</t>
  </si>
  <si>
    <t>Falguni Babu</t>
  </si>
  <si>
    <t>C02484</t>
  </si>
  <si>
    <t>Aarnav Soni</t>
  </si>
  <si>
    <t>C02485</t>
  </si>
  <si>
    <t>Aditya Ghose</t>
  </si>
  <si>
    <t>C02486</t>
  </si>
  <si>
    <t>Vrinda Ramaswamy</t>
  </si>
  <si>
    <t>C02487</t>
  </si>
  <si>
    <t>Faras Yohannan</t>
  </si>
  <si>
    <t>C02488</t>
  </si>
  <si>
    <t>Sai Dasgupta</t>
  </si>
  <si>
    <t>C02489</t>
  </si>
  <si>
    <t>Krisha Parmar</t>
  </si>
  <si>
    <t>C02490</t>
  </si>
  <si>
    <t>Peter Anand</t>
  </si>
  <si>
    <t>C02491</t>
  </si>
  <si>
    <t>Turvi Prabhakar</t>
  </si>
  <si>
    <t>C02492</t>
  </si>
  <si>
    <t>Sai Andra</t>
  </si>
  <si>
    <t>C02493</t>
  </si>
  <si>
    <t>Anmol Mand</t>
  </si>
  <si>
    <t>C02494</t>
  </si>
  <si>
    <t>Rehaan Chana</t>
  </si>
  <si>
    <t>C02495</t>
  </si>
  <si>
    <t>Timothy Kaur</t>
  </si>
  <si>
    <t>C02496</t>
  </si>
  <si>
    <t>Janani Bansal</t>
  </si>
  <si>
    <t>C02497</t>
  </si>
  <si>
    <t>Waida Kadakia</t>
  </si>
  <si>
    <t>C02498</t>
  </si>
  <si>
    <t>Rohan Randhawa</t>
  </si>
  <si>
    <t>C02499</t>
  </si>
  <si>
    <t>Arunima Tella</t>
  </si>
  <si>
    <t>C02500</t>
  </si>
  <si>
    <t>Onkar Hari</t>
  </si>
  <si>
    <t>C02501</t>
  </si>
  <si>
    <t>Dhruv Dave</t>
  </si>
  <si>
    <t>C02502</t>
  </si>
  <si>
    <t>Joshua Lad</t>
  </si>
  <si>
    <t>C02503</t>
  </si>
  <si>
    <t>Anusha Handa</t>
  </si>
  <si>
    <t>C02504</t>
  </si>
  <si>
    <t>Zayyan Setty</t>
  </si>
  <si>
    <t>C02505</t>
  </si>
  <si>
    <t>Prisha Ben</t>
  </si>
  <si>
    <t>C02506</t>
  </si>
  <si>
    <t>Rachana Ray</t>
  </si>
  <si>
    <t>C02507</t>
  </si>
  <si>
    <t>Jairaj Vasa</t>
  </si>
  <si>
    <t>C02508</t>
  </si>
  <si>
    <t>Warhi Pathak</t>
  </si>
  <si>
    <t>C02509</t>
  </si>
  <si>
    <t>Udarsh Batta</t>
  </si>
  <si>
    <t>C02510</t>
  </si>
  <si>
    <t>Osha Walia</t>
  </si>
  <si>
    <t>C02511</t>
  </si>
  <si>
    <t>Diya Ahluwalia</t>
  </si>
  <si>
    <t>C02512</t>
  </si>
  <si>
    <t>Robert Natt</t>
  </si>
  <si>
    <t>C02513</t>
  </si>
  <si>
    <t>Aryan Kara</t>
  </si>
  <si>
    <t>C02514</t>
  </si>
  <si>
    <t>Falan Krish</t>
  </si>
  <si>
    <t>C02515</t>
  </si>
  <si>
    <t>Nitesh Narayan</t>
  </si>
  <si>
    <t>C02516</t>
  </si>
  <si>
    <t>Dev Chatterjee</t>
  </si>
  <si>
    <t>C02517</t>
  </si>
  <si>
    <t>Varsha Sankaran</t>
  </si>
  <si>
    <t>C02518</t>
  </si>
  <si>
    <t>Gaurika Krishna</t>
  </si>
  <si>
    <t>C02519</t>
  </si>
  <si>
    <t>Hritik Solanki</t>
  </si>
  <si>
    <t>C02520</t>
  </si>
  <si>
    <t>Harini Bhagat</t>
  </si>
  <si>
    <t>C02521</t>
  </si>
  <si>
    <t>Zinal Khalsa</t>
  </si>
  <si>
    <t>C02522</t>
  </si>
  <si>
    <t>Reva Chandran</t>
  </si>
  <si>
    <t>C02523</t>
  </si>
  <si>
    <t>Jeet Chada</t>
  </si>
  <si>
    <t>C02524</t>
  </si>
  <si>
    <t>Bahadurjit Purohit</t>
  </si>
  <si>
    <t>C02525</t>
  </si>
  <si>
    <t>Dhruv Datta</t>
  </si>
  <si>
    <t>C02526</t>
  </si>
  <si>
    <t>Riya Bhakta</t>
  </si>
  <si>
    <t>C02527</t>
  </si>
  <si>
    <t>Rachana Bhatti</t>
  </si>
  <si>
    <t>C02528</t>
  </si>
  <si>
    <t>Daksh Ben</t>
  </si>
  <si>
    <t>C02529</t>
  </si>
  <si>
    <t>Lakshmi Ratti</t>
  </si>
  <si>
    <t>C02530</t>
  </si>
  <si>
    <t>Nirja Kaul</t>
  </si>
  <si>
    <t>C02531</t>
  </si>
  <si>
    <t>Sudiksha Rajagopalan</t>
  </si>
  <si>
    <t>C02532</t>
  </si>
  <si>
    <t>Priya Chaudhuri</t>
  </si>
  <si>
    <t>C02533</t>
  </si>
  <si>
    <t>Atharv Setty</t>
  </si>
  <si>
    <t>C02534</t>
  </si>
  <si>
    <t>Reyansh Chokshi</t>
  </si>
  <si>
    <t>C02535</t>
  </si>
  <si>
    <t>Advik Bir</t>
  </si>
  <si>
    <t>C02536</t>
  </si>
  <si>
    <t>Jonathan Upadhyay</t>
  </si>
  <si>
    <t>C02537</t>
  </si>
  <si>
    <t>Isha Sama</t>
  </si>
  <si>
    <t>C02538</t>
  </si>
  <si>
    <t>Sai Grewal</t>
  </si>
  <si>
    <t>C02539</t>
  </si>
  <si>
    <t>Laksh Basu</t>
  </si>
  <si>
    <t>C02540</t>
  </si>
  <si>
    <t>Joshua Muni</t>
  </si>
  <si>
    <t>C02541</t>
  </si>
  <si>
    <t>Yochana Parmar</t>
  </si>
  <si>
    <t>C02542</t>
  </si>
  <si>
    <t>Madhav Din</t>
  </si>
  <si>
    <t>C02543</t>
  </si>
  <si>
    <t>Dayamai Oza</t>
  </si>
  <si>
    <t>C02544</t>
  </si>
  <si>
    <t>Jyoti Anand</t>
  </si>
  <si>
    <t>C02545</t>
  </si>
  <si>
    <t>Dakshesh Khanna</t>
  </si>
  <si>
    <t>C02546</t>
  </si>
  <si>
    <t>Pahal Padmanabhan</t>
  </si>
  <si>
    <t>C02547</t>
  </si>
  <si>
    <t>Sai Jaggi</t>
  </si>
  <si>
    <t>C02548</t>
  </si>
  <si>
    <t>Harita Gulati</t>
  </si>
  <si>
    <t>C02549</t>
  </si>
  <si>
    <t>Unni Narula</t>
  </si>
  <si>
    <t>C02550</t>
  </si>
  <si>
    <t>Chandani Sahota</t>
  </si>
  <si>
    <t>C02551</t>
  </si>
  <si>
    <t>Nicholas Cheema</t>
  </si>
  <si>
    <t>C02552</t>
  </si>
  <si>
    <t>Brijesh Tandon</t>
  </si>
  <si>
    <t>C02553</t>
  </si>
  <si>
    <t>Aarush Kapoor</t>
  </si>
  <si>
    <t>C02554</t>
  </si>
  <si>
    <t>Unnati Kala</t>
  </si>
  <si>
    <t>C02555</t>
  </si>
  <si>
    <t>Vasana Narula</t>
  </si>
  <si>
    <t>C02556</t>
  </si>
  <si>
    <t>Samesh Ratta</t>
  </si>
  <si>
    <t>C02557</t>
  </si>
  <si>
    <t>Abeer Patil</t>
  </si>
  <si>
    <t>C02558</t>
  </si>
  <si>
    <t>Ethan Parmar</t>
  </si>
  <si>
    <t>C02559</t>
  </si>
  <si>
    <t>Ishwar Dhar</t>
  </si>
  <si>
    <t>C02560</t>
  </si>
  <si>
    <t>Ria Hayer</t>
  </si>
  <si>
    <t>C02561</t>
  </si>
  <si>
    <t>Caleb Balan</t>
  </si>
  <si>
    <t>C02562</t>
  </si>
  <si>
    <t>Rudra Mander</t>
  </si>
  <si>
    <t>C02563</t>
  </si>
  <si>
    <t>Theodore Lala</t>
  </si>
  <si>
    <t>C02564</t>
  </si>
  <si>
    <t>Harinakshi Korpal</t>
  </si>
  <si>
    <t>C02565</t>
  </si>
  <si>
    <t>Rohan Bains</t>
  </si>
  <si>
    <t>C02566</t>
  </si>
  <si>
    <t>Adweta Chaudhuri</t>
  </si>
  <si>
    <t>C02567</t>
  </si>
  <si>
    <t>Laksh Raghavan</t>
  </si>
  <si>
    <t>C02568</t>
  </si>
  <si>
    <t>Hamsini Kade</t>
  </si>
  <si>
    <t>C02569</t>
  </si>
  <si>
    <t>Tanmayi Khatri</t>
  </si>
  <si>
    <t>C02570</t>
  </si>
  <si>
    <t>Kashish Garg</t>
  </si>
  <si>
    <t>C02571</t>
  </si>
  <si>
    <t>Dhruv Dani</t>
  </si>
  <si>
    <t>C02572</t>
  </si>
  <si>
    <t>Kalpit Gupta</t>
  </si>
  <si>
    <t>C02573</t>
  </si>
  <si>
    <t>Kritika Prasad</t>
  </si>
  <si>
    <t>C02574</t>
  </si>
  <si>
    <t>Pushti Konda</t>
  </si>
  <si>
    <t>C02575</t>
  </si>
  <si>
    <t>Ranbir Wason</t>
  </si>
  <si>
    <t>C02576</t>
  </si>
  <si>
    <t>Manthan Narang</t>
  </si>
  <si>
    <t>C02577</t>
  </si>
  <si>
    <t>Chatresh Mammen</t>
  </si>
  <si>
    <t>C02578</t>
  </si>
  <si>
    <t>Yashoda Suresh</t>
  </si>
  <si>
    <t>C02579</t>
  </si>
  <si>
    <t>Finn Singhal</t>
  </si>
  <si>
    <t>C02580</t>
  </si>
  <si>
    <t>Oliver Trivedi</t>
  </si>
  <si>
    <t>C02581</t>
  </si>
  <si>
    <t>Yashodhara Prasad</t>
  </si>
  <si>
    <t>C02582</t>
  </si>
  <si>
    <t>Zilmil Shetty</t>
  </si>
  <si>
    <t>C02583</t>
  </si>
  <si>
    <t>Ekanta Prakash</t>
  </si>
  <si>
    <t>C02584</t>
  </si>
  <si>
    <t>Warda Som</t>
  </si>
  <si>
    <t>C02585</t>
  </si>
  <si>
    <t>Nandini Bansal</t>
  </si>
  <si>
    <t>C02586</t>
  </si>
  <si>
    <t>Theodore Jain</t>
  </si>
  <si>
    <t>C02587</t>
  </si>
  <si>
    <t>Wahab Randhawa</t>
  </si>
  <si>
    <t>C02588</t>
  </si>
  <si>
    <t>Damini Sandal</t>
  </si>
  <si>
    <t>C02589</t>
  </si>
  <si>
    <t>Naksh Prasad</t>
  </si>
  <si>
    <t>C02590</t>
  </si>
  <si>
    <t>Frado Desai</t>
  </si>
  <si>
    <t>C02591</t>
  </si>
  <si>
    <t>Chakrika Saxena</t>
  </si>
  <si>
    <t>C02592</t>
  </si>
  <si>
    <t>Victor Barman</t>
  </si>
  <si>
    <t>C02593</t>
  </si>
  <si>
    <t>Yauvani Nayar</t>
  </si>
  <si>
    <t>C02594</t>
  </si>
  <si>
    <t>Shravya Sibal</t>
  </si>
  <si>
    <t>C02595</t>
  </si>
  <si>
    <t>Nilima Pillai</t>
  </si>
  <si>
    <t>C02596</t>
  </si>
  <si>
    <t>Edhitha Mahajan</t>
  </si>
  <si>
    <t>C02597</t>
  </si>
  <si>
    <t>Aryan Gola</t>
  </si>
  <si>
    <t>C02598</t>
  </si>
  <si>
    <t>Vivaan Lanka</t>
  </si>
  <si>
    <t>C02599</t>
  </si>
  <si>
    <t>Jagrati Butala</t>
  </si>
  <si>
    <t>C02600</t>
  </si>
  <si>
    <t>Yachana Varghese</t>
  </si>
  <si>
    <t>C02601</t>
  </si>
  <si>
    <t>Aradhana Kari</t>
  </si>
  <si>
    <t>C02602</t>
  </si>
  <si>
    <t>Jagat Bora</t>
  </si>
  <si>
    <t>C02603</t>
  </si>
  <si>
    <t>Balvan Iyer</t>
  </si>
  <si>
    <t>C02604</t>
  </si>
  <si>
    <t>Ronith Narayan</t>
  </si>
  <si>
    <t>C02605</t>
  </si>
  <si>
    <t>Chasmum Maharaj</t>
  </si>
  <si>
    <t>C02606</t>
  </si>
  <si>
    <t>Lakshit Lal</t>
  </si>
  <si>
    <t>C02607</t>
  </si>
  <si>
    <t>Chandani Manda</t>
  </si>
  <si>
    <t>C02608</t>
  </si>
  <si>
    <t>Netra Ravi</t>
  </si>
  <si>
    <t>C02609</t>
  </si>
  <si>
    <t>Urmi Vala</t>
  </si>
  <si>
    <t>C02610</t>
  </si>
  <si>
    <t>Mitali Kari</t>
  </si>
  <si>
    <t>C02611</t>
  </si>
  <si>
    <t>Shaurya Som</t>
  </si>
  <si>
    <t>C02612</t>
  </si>
  <si>
    <t>Zaitra Sidhu</t>
  </si>
  <si>
    <t>C02613</t>
  </si>
  <si>
    <t>Harini Chada</t>
  </si>
  <si>
    <t>C02614</t>
  </si>
  <si>
    <t>Raghav Sanghvi</t>
  </si>
  <si>
    <t>C02615</t>
  </si>
  <si>
    <t>Shaurya Sarna</t>
  </si>
  <si>
    <t>C02616</t>
  </si>
  <si>
    <t>Ayushman Prasad</t>
  </si>
  <si>
    <t>C02617</t>
  </si>
  <si>
    <t>Kabir Mody</t>
  </si>
  <si>
    <t>C02618</t>
  </si>
  <si>
    <t>Xalak Pant</t>
  </si>
  <si>
    <t>C02619</t>
  </si>
  <si>
    <t>Umang Saini</t>
  </si>
  <si>
    <t>C02620</t>
  </si>
  <si>
    <t>Netra Yogi</t>
  </si>
  <si>
    <t>C02621</t>
  </si>
  <si>
    <t>Eshana Bajaj</t>
  </si>
  <si>
    <t>C02622</t>
  </si>
  <si>
    <t>Liam Dube</t>
  </si>
  <si>
    <t>C02623</t>
  </si>
  <si>
    <t>Mahika Raj</t>
  </si>
  <si>
    <t>C02624</t>
  </si>
  <si>
    <t>Mahika Bhatt</t>
  </si>
  <si>
    <t>C02625</t>
  </si>
  <si>
    <t>Raghav Soman</t>
  </si>
  <si>
    <t>C02626</t>
  </si>
  <si>
    <t>Falguni Seth</t>
  </si>
  <si>
    <t>C02627</t>
  </si>
  <si>
    <t>Girik Garg</t>
  </si>
  <si>
    <t>C02628</t>
  </si>
  <si>
    <t>Peter Balay</t>
  </si>
  <si>
    <t>C02629</t>
  </si>
  <si>
    <t>Avi Grover</t>
  </si>
  <si>
    <t>C02630</t>
  </si>
  <si>
    <t>Ekaraj Raju</t>
  </si>
  <si>
    <t>C02631</t>
  </si>
  <si>
    <t>Samesh Kaul</t>
  </si>
  <si>
    <t>C02632</t>
  </si>
  <si>
    <t>Ekaraj Sha</t>
  </si>
  <si>
    <t>C02633</t>
  </si>
  <si>
    <t>Jyoti Vasa</t>
  </si>
  <si>
    <t>C02634</t>
  </si>
  <si>
    <t>Onveer Narain</t>
  </si>
  <si>
    <t>C02635</t>
  </si>
  <si>
    <t>Mahika Dugar</t>
  </si>
  <si>
    <t>C02636</t>
  </si>
  <si>
    <t>Kai Yadav</t>
  </si>
  <si>
    <t>C02637</t>
  </si>
  <si>
    <t>Vanya Biswas</t>
  </si>
  <si>
    <t>C02638</t>
  </si>
  <si>
    <t>Samuel De</t>
  </si>
  <si>
    <t>C02639</t>
  </si>
  <si>
    <t>Dayita Sankaran</t>
  </si>
  <si>
    <t>C02640</t>
  </si>
  <si>
    <t>Nathan Mukherjee</t>
  </si>
  <si>
    <t>C02641</t>
  </si>
  <si>
    <t>Yadavi Shanker</t>
  </si>
  <si>
    <t>C02642</t>
  </si>
  <si>
    <t>Saksham Amble</t>
  </si>
  <si>
    <t>C02643</t>
  </si>
  <si>
    <t>Sanaya Bhatt</t>
  </si>
  <si>
    <t>C02644</t>
  </si>
  <si>
    <t>Yatin Vora</t>
  </si>
  <si>
    <t>C02645</t>
  </si>
  <si>
    <t>Vritti Sharma</t>
  </si>
  <si>
    <t>C02646</t>
  </si>
  <si>
    <t>Balveer Chand</t>
  </si>
  <si>
    <t>C02647</t>
  </si>
  <si>
    <t>Tanmayi Palan</t>
  </si>
  <si>
    <t>C02648</t>
  </si>
  <si>
    <t>Mahika Gill</t>
  </si>
  <si>
    <t>C02649</t>
  </si>
  <si>
    <t>Zaid Gola</t>
  </si>
  <si>
    <t>C02650</t>
  </si>
  <si>
    <t>Tanvi Rajagopalan</t>
  </si>
  <si>
    <t>C02651</t>
  </si>
  <si>
    <t>Girish Ramaswamy</t>
  </si>
  <si>
    <t>C02652</t>
  </si>
  <si>
    <t>Wriddhish Dugar</t>
  </si>
  <si>
    <t>C02653</t>
  </si>
  <si>
    <t>Bishakha Bhavsar</t>
  </si>
  <si>
    <t>C02654</t>
  </si>
  <si>
    <t>Wakeeta Sabharwal</t>
  </si>
  <si>
    <t>C02655</t>
  </si>
  <si>
    <t>Jyoti Bose</t>
  </si>
  <si>
    <t>C02656</t>
  </si>
  <si>
    <t>Yamini Nanda</t>
  </si>
  <si>
    <t>C02657</t>
  </si>
  <si>
    <t>Shravya Gala</t>
  </si>
  <si>
    <t>C02658</t>
  </si>
  <si>
    <t>Sarthak Toor</t>
  </si>
  <si>
    <t>C02659</t>
  </si>
  <si>
    <t>Turvi Bala</t>
  </si>
  <si>
    <t>C02660</t>
  </si>
  <si>
    <t>Triya Raj</t>
  </si>
  <si>
    <t>C02661</t>
  </si>
  <si>
    <t>Mohini Hayer</t>
  </si>
  <si>
    <t>C02662</t>
  </si>
  <si>
    <t>Baljiwan Anne</t>
  </si>
  <si>
    <t>C02663</t>
  </si>
  <si>
    <t>Ishwar Deshpande</t>
  </si>
  <si>
    <t>C02664</t>
  </si>
  <si>
    <t>Ucchal Sundaram</t>
  </si>
  <si>
    <t>C02665</t>
  </si>
  <si>
    <t>Ekansh Butala</t>
  </si>
  <si>
    <t>C02666</t>
  </si>
  <si>
    <t>Raksha Dey</t>
  </si>
  <si>
    <t>C02667</t>
  </si>
  <si>
    <t>Arya Edwin</t>
  </si>
  <si>
    <t>C02668</t>
  </si>
  <si>
    <t>Andrew Chaudhry</t>
  </si>
  <si>
    <t>C02669</t>
  </si>
  <si>
    <t>Chaitaly Dash</t>
  </si>
  <si>
    <t>C02670</t>
  </si>
  <si>
    <t>Om Brahmbhatt</t>
  </si>
  <si>
    <t>C02671</t>
  </si>
  <si>
    <t>Anjali Dube</t>
  </si>
  <si>
    <t>C02672</t>
  </si>
  <si>
    <t>Ishita Gokhale</t>
  </si>
  <si>
    <t>C02673</t>
  </si>
  <si>
    <t>Bakhshi Walia</t>
  </si>
  <si>
    <t>C02674</t>
  </si>
  <si>
    <t>Riya Batta</t>
  </si>
  <si>
    <t>C02675</t>
  </si>
  <si>
    <t>Madhavi Morar</t>
  </si>
  <si>
    <t>C02676</t>
  </si>
  <si>
    <t>Charles Agrawal</t>
  </si>
  <si>
    <t>C02677</t>
  </si>
  <si>
    <t>Krishna Jaggi</t>
  </si>
  <si>
    <t>C02678</t>
  </si>
  <si>
    <t>Kavya Khare</t>
  </si>
  <si>
    <t>C02679</t>
  </si>
  <si>
    <t>Gavin Babu</t>
  </si>
  <si>
    <t>C02680</t>
  </si>
  <si>
    <t>Ayaan Atwal</t>
  </si>
  <si>
    <t>C02681</t>
  </si>
  <si>
    <t>Rehaan Bhatnagar</t>
  </si>
  <si>
    <t>C02682</t>
  </si>
  <si>
    <t>C02683</t>
  </si>
  <si>
    <t>Chaitanya Sagar</t>
  </si>
  <si>
    <t>C02684</t>
  </si>
  <si>
    <t>Eta Naidu</t>
  </si>
  <si>
    <t>C02685</t>
  </si>
  <si>
    <t>Sarthak Rana</t>
  </si>
  <si>
    <t>C02686</t>
  </si>
  <si>
    <t>Jai Kata</t>
  </si>
  <si>
    <t>C02687</t>
  </si>
  <si>
    <t>Hitesh Parikh</t>
  </si>
  <si>
    <t>C02688</t>
  </si>
  <si>
    <t>Oscar Aurora</t>
  </si>
  <si>
    <t>C02689</t>
  </si>
  <si>
    <t>Diya Arora</t>
  </si>
  <si>
    <t>C02690</t>
  </si>
  <si>
    <t>Simon Shanker</t>
  </si>
  <si>
    <t>C02691</t>
  </si>
  <si>
    <t>Dominic Mallick</t>
  </si>
  <si>
    <t>C02692</t>
  </si>
  <si>
    <t>Caleb Bhavsar</t>
  </si>
  <si>
    <t>C02693</t>
  </si>
  <si>
    <t>Nirja Mitra</t>
  </si>
  <si>
    <t>C02694</t>
  </si>
  <si>
    <t>Harsh Yadav</t>
  </si>
  <si>
    <t>C02695</t>
  </si>
  <si>
    <t>Zayan Chandran</t>
  </si>
  <si>
    <t>C02696</t>
  </si>
  <si>
    <t>Lipika Deol</t>
  </si>
  <si>
    <t>C02697</t>
  </si>
  <si>
    <t>Parth Nadkarni</t>
  </si>
  <si>
    <t>C02698</t>
  </si>
  <si>
    <t>Ekansh Nayak</t>
  </si>
  <si>
    <t>C02699</t>
  </si>
  <si>
    <t>Saumya Raja</t>
  </si>
  <si>
    <t>C02700</t>
  </si>
  <si>
    <t>Yahvi Arya</t>
  </si>
  <si>
    <t>C02701</t>
  </si>
  <si>
    <t>Ansh Dash</t>
  </si>
  <si>
    <t>C02702</t>
  </si>
  <si>
    <t>Warjas Sangha</t>
  </si>
  <si>
    <t>C02703</t>
  </si>
  <si>
    <t>Fariq Bhasin</t>
  </si>
  <si>
    <t>C02704</t>
  </si>
  <si>
    <t>Kavya Tara</t>
  </si>
  <si>
    <t>C02705</t>
  </si>
  <si>
    <t>Saksham Doshi</t>
  </si>
  <si>
    <t>C02706</t>
  </si>
  <si>
    <t>Samarth Barad</t>
  </si>
  <si>
    <t>C02707</t>
  </si>
  <si>
    <t>Sachi Narasimhan</t>
  </si>
  <si>
    <t>C02708</t>
  </si>
  <si>
    <t>Arunima Nadkarni</t>
  </si>
  <si>
    <t>C02709</t>
  </si>
  <si>
    <t>Oeshi Mani</t>
  </si>
  <si>
    <t>C02710</t>
  </si>
  <si>
    <t>Veer Narula</t>
  </si>
  <si>
    <t>C02711</t>
  </si>
  <si>
    <t>Xavier Jha</t>
  </si>
  <si>
    <t>C02712</t>
  </si>
  <si>
    <t>Yuvraj Kapadia</t>
  </si>
  <si>
    <t>C02713</t>
  </si>
  <si>
    <t>Ekanta Goswami</t>
  </si>
  <si>
    <t>C02714</t>
  </si>
  <si>
    <t>Abeer Bhattacharyya</t>
  </si>
  <si>
    <t>C02715</t>
  </si>
  <si>
    <t>Ekaraj Hans</t>
  </si>
  <si>
    <t>C02716</t>
  </si>
  <si>
    <t>Lohit Jayaraman</t>
  </si>
  <si>
    <t>C02717</t>
  </si>
  <si>
    <t>Gavin Ghose</t>
  </si>
  <si>
    <t>C02718</t>
  </si>
  <si>
    <t>Warinder Tripathi</t>
  </si>
  <si>
    <t>C02719</t>
  </si>
  <si>
    <t>Pooja Sibal</t>
  </si>
  <si>
    <t>C02720</t>
  </si>
  <si>
    <t>Nitesh Hora</t>
  </si>
  <si>
    <t>C02721</t>
  </si>
  <si>
    <t>Panini Goda</t>
  </si>
  <si>
    <t>C02722</t>
  </si>
  <si>
    <t>Chavvi Mangal</t>
  </si>
  <si>
    <t>C02723</t>
  </si>
  <si>
    <t>Saksham Magar</t>
  </si>
  <si>
    <t>C02724</t>
  </si>
  <si>
    <t>Fariq Parsa</t>
  </si>
  <si>
    <t>C02725</t>
  </si>
  <si>
    <t>Krishna Ganesh</t>
  </si>
  <si>
    <t>C02726</t>
  </si>
  <si>
    <t>Ridhi Sami</t>
  </si>
  <si>
    <t>C02727</t>
  </si>
  <si>
    <t>Nachiket Subramaniam</t>
  </si>
  <si>
    <t>C02728</t>
  </si>
  <si>
    <t>Lakshmi Sane</t>
  </si>
  <si>
    <t>C02729</t>
  </si>
  <si>
    <t>Charita Yogi</t>
  </si>
  <si>
    <t>C02730</t>
  </si>
  <si>
    <t>Parth Kurian</t>
  </si>
  <si>
    <t>C02731</t>
  </si>
  <si>
    <t>Ubika Mohan</t>
  </si>
  <si>
    <t>C02732</t>
  </si>
  <si>
    <t>Bhanumati Prashad</t>
  </si>
  <si>
    <t>C02733</t>
  </si>
  <si>
    <t>Ekbal Nath</t>
  </si>
  <si>
    <t>C02734</t>
  </si>
  <si>
    <t>Upasna Hayre</t>
  </si>
  <si>
    <t>C02735</t>
  </si>
  <si>
    <t>Ranveer Agrawal</t>
  </si>
  <si>
    <t>C02736</t>
  </si>
  <si>
    <t>Xiti Prasad</t>
  </si>
  <si>
    <t>C02737</t>
  </si>
  <si>
    <t>Nidhi Sagar</t>
  </si>
  <si>
    <t>C02738</t>
  </si>
  <si>
    <t>Kashvi Rajagopalan</t>
  </si>
  <si>
    <t>C02739</t>
  </si>
  <si>
    <t>Darika Bobal</t>
  </si>
  <si>
    <t>C02740</t>
  </si>
  <si>
    <t>Balvan Dash</t>
  </si>
  <si>
    <t>C02741</t>
  </si>
  <si>
    <t>Nicholas Hari</t>
  </si>
  <si>
    <t>C02742</t>
  </si>
  <si>
    <t>Aadhya Pall</t>
  </si>
  <si>
    <t>C02743</t>
  </si>
  <si>
    <t>Jyoti Bhardwaj</t>
  </si>
  <si>
    <t>C02744</t>
  </si>
  <si>
    <t>Panini Koshy</t>
  </si>
  <si>
    <t>C02745</t>
  </si>
  <si>
    <t>Vanya Banerjee</t>
  </si>
  <si>
    <t>C02746</t>
  </si>
  <si>
    <t>Ayaan Divan</t>
  </si>
  <si>
    <t>C02747</t>
  </si>
  <si>
    <t>Tamanna Din</t>
  </si>
  <si>
    <t>C02748</t>
  </si>
  <si>
    <t>Yug Edwin</t>
  </si>
  <si>
    <t>C02749</t>
  </si>
  <si>
    <t>Jackson Chanda</t>
  </si>
  <si>
    <t>C02750</t>
  </si>
  <si>
    <t>C02751</t>
  </si>
  <si>
    <t>Pallavi Gandhi</t>
  </si>
  <si>
    <t>C02752</t>
  </si>
  <si>
    <t>Zayyan Mittal</t>
  </si>
  <si>
    <t>C02753</t>
  </si>
  <si>
    <t>Darika Sabharwal</t>
  </si>
  <si>
    <t>C02754</t>
  </si>
  <si>
    <t>Ikbal Padmanabhan</t>
  </si>
  <si>
    <t>C02755</t>
  </si>
  <si>
    <t>Amruta Kadakia</t>
  </si>
  <si>
    <t>C02756</t>
  </si>
  <si>
    <t>Darika Ahuja</t>
  </si>
  <si>
    <t>C02757</t>
  </si>
  <si>
    <t>Vyanjana Agarwal</t>
  </si>
  <si>
    <t>C02758</t>
  </si>
  <si>
    <t>Ekaraj Sahni</t>
  </si>
  <si>
    <t>C02759</t>
  </si>
  <si>
    <t>Bhavya Sankar</t>
  </si>
  <si>
    <t>C02760</t>
  </si>
  <si>
    <t>Patrick Prasad</t>
  </si>
  <si>
    <t>C02761</t>
  </si>
  <si>
    <t>Krish Hora</t>
  </si>
  <si>
    <t>C02762</t>
  </si>
  <si>
    <t>Qabil Thakkar</t>
  </si>
  <si>
    <t>C02763</t>
  </si>
  <si>
    <t>Shravya Kala</t>
  </si>
  <si>
    <t>C02764</t>
  </si>
  <si>
    <t>Sai Bhargava</t>
  </si>
  <si>
    <t>C02765</t>
  </si>
  <si>
    <t>Rehaan Lad</t>
  </si>
  <si>
    <t>C02766</t>
  </si>
  <si>
    <t>Ridhi Chopra</t>
  </si>
  <si>
    <t>C02767</t>
  </si>
  <si>
    <t>Fariq Memon</t>
  </si>
  <si>
    <t>C02768</t>
  </si>
  <si>
    <t>Krishna Dash</t>
  </si>
  <si>
    <t>C02769</t>
  </si>
  <si>
    <t>Devansh Oommen</t>
  </si>
  <si>
    <t>C02770</t>
  </si>
  <si>
    <t>Wahab Sridhar</t>
  </si>
  <si>
    <t>C02771</t>
  </si>
  <si>
    <t>Harrison Andra</t>
  </si>
  <si>
    <t>C02772</t>
  </si>
  <si>
    <t>Amaira Amble</t>
  </si>
  <si>
    <t>C02773</t>
  </si>
  <si>
    <t>Gunbir Kakar</t>
  </si>
  <si>
    <t>C02774</t>
  </si>
  <si>
    <t>Keya Venkatesh</t>
  </si>
  <si>
    <t>C02775</t>
  </si>
  <si>
    <t>Vedika Solanki</t>
  </si>
  <si>
    <t>C02776</t>
  </si>
  <si>
    <t>Pushti Nayar</t>
  </si>
  <si>
    <t>C02777</t>
  </si>
  <si>
    <t>Hemal Murty</t>
  </si>
  <si>
    <t>C02778</t>
  </si>
  <si>
    <t>Jalsa Rastogi</t>
  </si>
  <si>
    <t>C02779</t>
  </si>
  <si>
    <t>Dakshesh Parekh</t>
  </si>
  <si>
    <t>C02780</t>
  </si>
  <si>
    <t>Harish Aggarwal</t>
  </si>
  <si>
    <t>C02781</t>
  </si>
  <si>
    <t>Neelima Dewan</t>
  </si>
  <si>
    <t>C02782</t>
  </si>
  <si>
    <t>Jason Wali</t>
  </si>
  <si>
    <t>C02783</t>
  </si>
  <si>
    <t>Yuvraj Pillay</t>
  </si>
  <si>
    <t>C02784</t>
  </si>
  <si>
    <t>Vaishnavi Varma</t>
  </si>
  <si>
    <t>C02785</t>
  </si>
  <si>
    <t>Raghav Aggarwal</t>
  </si>
  <si>
    <t>C02786</t>
  </si>
  <si>
    <t>Anay Parsa</t>
  </si>
  <si>
    <t>C02787</t>
  </si>
  <si>
    <t>Eshana Sawhney</t>
  </si>
  <si>
    <t>C02788</t>
  </si>
  <si>
    <t>Vedhika Ratta</t>
  </si>
  <si>
    <t>C02789</t>
  </si>
  <si>
    <t>Ijaya Sangha</t>
  </si>
  <si>
    <t>C02790</t>
  </si>
  <si>
    <t>Harish Rajan</t>
  </si>
  <si>
    <t>C02791</t>
  </si>
  <si>
    <t>Robert Dhar</t>
  </si>
  <si>
    <t>C02792</t>
  </si>
  <si>
    <t>Joshua Tank</t>
  </si>
  <si>
    <t>C02793</t>
  </si>
  <si>
    <t>Charvi Sibal</t>
  </si>
  <si>
    <t>C02794</t>
  </si>
  <si>
    <t>Sanaya D’Alia</t>
  </si>
  <si>
    <t>C02795</t>
  </si>
  <si>
    <t>Wridesh Kohli</t>
  </si>
  <si>
    <t>C02796</t>
  </si>
  <si>
    <t>Onkar Chakraborty</t>
  </si>
  <si>
    <t>C02797</t>
  </si>
  <si>
    <t>Radhika Balakrishnan</t>
  </si>
  <si>
    <t>C02798</t>
  </si>
  <si>
    <t>Eta Rajagopal</t>
  </si>
  <si>
    <t>C02799</t>
  </si>
  <si>
    <t>Thomas Kurian</t>
  </si>
  <si>
    <t>C02800</t>
  </si>
  <si>
    <t>Jatin Deshpande</t>
  </si>
  <si>
    <t>C02801</t>
  </si>
  <si>
    <t>Gautam Natarajan</t>
  </si>
  <si>
    <t>C02802</t>
  </si>
  <si>
    <t>Dhruv Oza</t>
  </si>
  <si>
    <t>C02803</t>
  </si>
  <si>
    <t>Lakshmi Sarkar</t>
  </si>
  <si>
    <t>C02804</t>
  </si>
  <si>
    <t>Udant Lad</t>
  </si>
  <si>
    <t>C02805</t>
  </si>
  <si>
    <t>Bina Chahal</t>
  </si>
  <si>
    <t>C02806</t>
  </si>
  <si>
    <t>Gaurav Oak</t>
  </si>
  <si>
    <t>C02807</t>
  </si>
  <si>
    <t>Jack Pillai</t>
  </si>
  <si>
    <t>C02808</t>
  </si>
  <si>
    <t>Dhriti Rai</t>
  </si>
  <si>
    <t>C02809</t>
  </si>
  <si>
    <t>Deepa Bhatia</t>
  </si>
  <si>
    <t>C02810</t>
  </si>
  <si>
    <t>Lipika Sampath</t>
  </si>
  <si>
    <t>C02811</t>
  </si>
  <si>
    <t>Janya Date</t>
  </si>
  <si>
    <t>C02812</t>
  </si>
  <si>
    <t>Hredhaan Rana</t>
  </si>
  <si>
    <t>C02813</t>
  </si>
  <si>
    <t>Triveni Mutti</t>
  </si>
  <si>
    <t>C02814</t>
  </si>
  <si>
    <t>Chaman Kanda</t>
  </si>
  <si>
    <t>C02815</t>
  </si>
  <si>
    <t>C02816</t>
  </si>
  <si>
    <t>Madhav Banerjee</t>
  </si>
  <si>
    <t>C02817</t>
  </si>
  <si>
    <t>Dayamai Thakkar</t>
  </si>
  <si>
    <t>C02818</t>
  </si>
  <si>
    <t>Anusha Sridhar</t>
  </si>
  <si>
    <t>C02819</t>
  </si>
  <si>
    <t>Warda Manne</t>
  </si>
  <si>
    <t>C02820</t>
  </si>
  <si>
    <t>Daniel Nath</t>
  </si>
  <si>
    <t>C02821</t>
  </si>
  <si>
    <t>Shivansh Kar</t>
  </si>
  <si>
    <t>C02822</t>
  </si>
  <si>
    <t>Praneel Sura</t>
  </si>
  <si>
    <t>C02823</t>
  </si>
  <si>
    <t>Chandani Dutta</t>
  </si>
  <si>
    <t>C02824</t>
  </si>
  <si>
    <t>Manya Nazareth</t>
  </si>
  <si>
    <t>C02825</t>
  </si>
  <si>
    <t>Urvashi Pall</t>
  </si>
  <si>
    <t>C02826</t>
  </si>
  <si>
    <t>Mahika Bora</t>
  </si>
  <si>
    <t>C02827</t>
  </si>
  <si>
    <t>Barkha Hayer</t>
  </si>
  <si>
    <t>C02828</t>
  </si>
  <si>
    <t>Gunbir Deep</t>
  </si>
  <si>
    <t>C02829</t>
  </si>
  <si>
    <t>Chatura Modi</t>
  </si>
  <si>
    <t>C02830</t>
  </si>
  <si>
    <t>Nihal Devan</t>
  </si>
  <si>
    <t>C02831</t>
  </si>
  <si>
    <t>Vasudha Manne</t>
  </si>
  <si>
    <t>C02832</t>
  </si>
  <si>
    <t>Shaurya Kamdar</t>
  </si>
  <si>
    <t>C02833</t>
  </si>
  <si>
    <t>Aditya Pathak</t>
  </si>
  <si>
    <t>C02834</t>
  </si>
  <si>
    <t>Manbir Puri</t>
  </si>
  <si>
    <t>C02835</t>
  </si>
  <si>
    <t>Om Bhalla</t>
  </si>
  <si>
    <t>C02836</t>
  </si>
  <si>
    <t>Ishani Som</t>
  </si>
  <si>
    <t>C02837</t>
  </si>
  <si>
    <t>Charles Dalal</t>
  </si>
  <si>
    <t>C02838</t>
  </si>
  <si>
    <t>Radha Dixit</t>
  </si>
  <si>
    <t>C02839</t>
  </si>
  <si>
    <t>Yash Bandi</t>
  </si>
  <si>
    <t>C02840</t>
  </si>
  <si>
    <t>Wridesh Ranganathan</t>
  </si>
  <si>
    <t>C02841</t>
  </si>
  <si>
    <t>Chasmum Gera</t>
  </si>
  <si>
    <t>C02842</t>
  </si>
  <si>
    <t>Gaurav Sheth</t>
  </si>
  <si>
    <t>C02843</t>
  </si>
  <si>
    <t>Anvi Saxena</t>
  </si>
  <si>
    <t>C02844</t>
  </si>
  <si>
    <t>Advay Dar</t>
  </si>
  <si>
    <t>C02845</t>
  </si>
  <si>
    <t>Fitan Dara</t>
  </si>
  <si>
    <t>C02846</t>
  </si>
  <si>
    <t>Yashodhara Kar</t>
  </si>
  <si>
    <t>C02847</t>
  </si>
  <si>
    <t>Varsha Mahal</t>
  </si>
  <si>
    <t>C02848</t>
  </si>
  <si>
    <t>Pratyush Rajagopalan</t>
  </si>
  <si>
    <t>C02849</t>
  </si>
  <si>
    <t>Radha Misra</t>
  </si>
  <si>
    <t>C02850</t>
  </si>
  <si>
    <t>Hardik Nanda</t>
  </si>
  <si>
    <t>C02851</t>
  </si>
  <si>
    <t>Qasim Ravi</t>
  </si>
  <si>
    <t>C02852</t>
  </si>
  <si>
    <t>Meera Yadav</t>
  </si>
  <si>
    <t>C02853</t>
  </si>
  <si>
    <t>Devansh Venkataraman</t>
  </si>
  <si>
    <t>C02854</t>
  </si>
  <si>
    <t>Sarthak Dalal</t>
  </si>
  <si>
    <t>C02855</t>
  </si>
  <si>
    <t>Pranit Ahluwalia</t>
  </si>
  <si>
    <t>C02856</t>
  </si>
  <si>
    <t>Dipta Das</t>
  </si>
  <si>
    <t>C02857</t>
  </si>
  <si>
    <t>Kabir Jhaveri</t>
  </si>
  <si>
    <t>C02858</t>
  </si>
  <si>
    <t>Gagan Kunda</t>
  </si>
  <si>
    <t>C02859</t>
  </si>
  <si>
    <t>Frado Dash</t>
  </si>
  <si>
    <t>C02860</t>
  </si>
  <si>
    <t>Januja Garg</t>
  </si>
  <si>
    <t>C02861</t>
  </si>
  <si>
    <t>Aadi Kothari</t>
  </si>
  <si>
    <t>C02862</t>
  </si>
  <si>
    <t>Chakradhar Venkataraman</t>
  </si>
  <si>
    <t>C02863</t>
  </si>
  <si>
    <t>Sai Dey</t>
  </si>
  <si>
    <t>C02864</t>
  </si>
  <si>
    <t>Dhriti Virk</t>
  </si>
  <si>
    <t>C02865</t>
  </si>
  <si>
    <t>Yashvi Kadakia</t>
  </si>
  <si>
    <t>C02866</t>
  </si>
  <si>
    <t>Chaitanya Khalsa</t>
  </si>
  <si>
    <t>C02867</t>
  </si>
  <si>
    <t>Raghav Dhar</t>
  </si>
  <si>
    <t>C02868</t>
  </si>
  <si>
    <t>Tanveer Desai</t>
  </si>
  <si>
    <t>C02869</t>
  </si>
  <si>
    <t>Jagrati Mall</t>
  </si>
  <si>
    <t>C02870</t>
  </si>
  <si>
    <t>Pahal Borde</t>
  </si>
  <si>
    <t>C02871</t>
  </si>
  <si>
    <t>Abha Raj</t>
  </si>
  <si>
    <t>C02872</t>
  </si>
  <si>
    <t>C02873</t>
  </si>
  <si>
    <t>Aachal Sandal</t>
  </si>
  <si>
    <t>C02874</t>
  </si>
  <si>
    <t>Samar Bobal</t>
  </si>
  <si>
    <t>C02875</t>
  </si>
  <si>
    <t>Reyansh Pradhan</t>
  </si>
  <si>
    <t>C02876</t>
  </si>
  <si>
    <t>Oni Dube</t>
  </si>
  <si>
    <t>C02877</t>
  </si>
  <si>
    <t>Radha Raghavan</t>
  </si>
  <si>
    <t>C02878</t>
  </si>
  <si>
    <t>Yug Brahmbhatt</t>
  </si>
  <si>
    <t>C02879</t>
  </si>
  <si>
    <t>Jeet Wali</t>
  </si>
  <si>
    <t>C02880</t>
  </si>
  <si>
    <t>Niharika Bhatti</t>
  </si>
  <si>
    <t>C02881</t>
  </si>
  <si>
    <t>Gaurav Patil</t>
  </si>
  <si>
    <t>C02882</t>
  </si>
  <si>
    <t>Anjali Dhingra</t>
  </si>
  <si>
    <t>C02883</t>
  </si>
  <si>
    <t>Anusha Anne</t>
  </si>
  <si>
    <t>C02884</t>
  </si>
  <si>
    <t>Krishna Kapadia</t>
  </si>
  <si>
    <t>C02885</t>
  </si>
  <si>
    <t>Henry Dasgupta</t>
  </si>
  <si>
    <t>C02886</t>
  </si>
  <si>
    <t>Damini Suri</t>
  </si>
  <si>
    <t>C02887</t>
  </si>
  <si>
    <t>Ikshita Manda</t>
  </si>
  <si>
    <t>C02888</t>
  </si>
  <si>
    <t>Hardik Bava</t>
  </si>
  <si>
    <t>C02889</t>
  </si>
  <si>
    <t>Eesha Ramachandran</t>
  </si>
  <si>
    <t>C02890</t>
  </si>
  <si>
    <t>Hemani Wali</t>
  </si>
  <si>
    <t>C02891</t>
  </si>
  <si>
    <t>Vansha Datta</t>
  </si>
  <si>
    <t>C02892</t>
  </si>
  <si>
    <t>Aditya Varghese</t>
  </si>
  <si>
    <t>C02893</t>
  </si>
  <si>
    <t>Jonathan Dhar</t>
  </si>
  <si>
    <t>C02894</t>
  </si>
  <si>
    <t>Amara Bera</t>
  </si>
  <si>
    <t>C02895</t>
  </si>
  <si>
    <t>Zaid Sahota</t>
  </si>
  <si>
    <t>C02896</t>
  </si>
  <si>
    <t>Qadim Sarna</t>
  </si>
  <si>
    <t>C02897</t>
  </si>
  <si>
    <t>Upadhriti Thakkar</t>
  </si>
  <si>
    <t>C02898</t>
  </si>
  <si>
    <t>Anya Sangha</t>
  </si>
  <si>
    <t>C02899</t>
  </si>
  <si>
    <t>Dalaja Chahal</t>
  </si>
  <si>
    <t>C02900</t>
  </si>
  <si>
    <t>Niharika Munshi</t>
  </si>
  <si>
    <t>C02901</t>
  </si>
  <si>
    <t>Fariq Bose</t>
  </si>
  <si>
    <t>C02902</t>
  </si>
  <si>
    <t>Girik Gandhi</t>
  </si>
  <si>
    <t>C02903</t>
  </si>
  <si>
    <t>Frado Mangal</t>
  </si>
  <si>
    <t>C02904</t>
  </si>
  <si>
    <t>Advaith Samra</t>
  </si>
  <si>
    <t>C02905</t>
  </si>
  <si>
    <t>Varsha Tank</t>
  </si>
  <si>
    <t>C02906</t>
  </si>
  <si>
    <t>Nidra Atwal</t>
  </si>
  <si>
    <t>C02907</t>
  </si>
  <si>
    <t>Abhimanyu Sandal</t>
  </si>
  <si>
    <t>C02908</t>
  </si>
  <si>
    <t>Yash Wable</t>
  </si>
  <si>
    <t>C02909</t>
  </si>
  <si>
    <t>Saumya Ganguly</t>
  </si>
  <si>
    <t>C02910</t>
  </si>
  <si>
    <t>Parth Borde</t>
  </si>
  <si>
    <t>C02911</t>
  </si>
  <si>
    <t>Kiaan Varkey</t>
  </si>
  <si>
    <t>C02912</t>
  </si>
  <si>
    <t>Charan Sami</t>
  </si>
  <si>
    <t>C02913</t>
  </si>
  <si>
    <t>Ladli Garde</t>
  </si>
  <si>
    <t>C02914</t>
  </si>
  <si>
    <t>Isaiah Nigam</t>
  </si>
  <si>
    <t>C02915</t>
  </si>
  <si>
    <t>Jacob Mannan</t>
  </si>
  <si>
    <t>C02916</t>
  </si>
  <si>
    <t>Vasudha Memon</t>
  </si>
  <si>
    <t>C02917</t>
  </si>
  <si>
    <t>Tanay Agate</t>
  </si>
  <si>
    <t>C02918</t>
  </si>
  <si>
    <t>Teerth Mody</t>
  </si>
  <si>
    <t>C02919</t>
  </si>
  <si>
    <t>Ubika Sura</t>
  </si>
  <si>
    <t>C02920</t>
  </si>
  <si>
    <t>Ishani Ahuja</t>
  </si>
  <si>
    <t>C02921</t>
  </si>
  <si>
    <t>Falguni Misra</t>
  </si>
  <si>
    <t>C02922</t>
  </si>
  <si>
    <t>Hredhaan Ahluwalia</t>
  </si>
  <si>
    <t>C02923</t>
  </si>
  <si>
    <t>Quincy Ratti</t>
  </si>
  <si>
    <t>C02924</t>
  </si>
  <si>
    <t>Aditya Chaudhuri</t>
  </si>
  <si>
    <t>C02925</t>
  </si>
  <si>
    <t>Vyanjana Hora</t>
  </si>
  <si>
    <t>C02926</t>
  </si>
  <si>
    <t>Yoshita Dube</t>
  </si>
  <si>
    <t>C02927</t>
  </si>
  <si>
    <t>Jatin Sura</t>
  </si>
  <si>
    <t>C02928</t>
  </si>
  <si>
    <t>Nachiket Krishna</t>
  </si>
  <si>
    <t>C02929</t>
  </si>
  <si>
    <t>Upma Rana</t>
  </si>
  <si>
    <t>C02930</t>
  </si>
  <si>
    <t>Chandani Patla</t>
  </si>
  <si>
    <t>C02931</t>
  </si>
  <si>
    <t>Qabil Yadav</t>
  </si>
  <si>
    <t>C02932</t>
  </si>
  <si>
    <t>Ikbal Sarna</t>
  </si>
  <si>
    <t>C02933</t>
  </si>
  <si>
    <t>Neel Dey</t>
  </si>
  <si>
    <t>C02934</t>
  </si>
  <si>
    <t>Radha Ahluwalia</t>
  </si>
  <si>
    <t>C02935</t>
  </si>
  <si>
    <t>Rushil Choudhry</t>
  </si>
  <si>
    <t>C02936</t>
  </si>
  <si>
    <t>Bhavani Baria</t>
  </si>
  <si>
    <t>C02937</t>
  </si>
  <si>
    <t>Megha Sama</t>
  </si>
  <si>
    <t>C02938</t>
  </si>
  <si>
    <t>Azad Dyal</t>
  </si>
  <si>
    <t>C02939</t>
  </si>
  <si>
    <t>Varenya Lata</t>
  </si>
  <si>
    <t>C02940</t>
  </si>
  <si>
    <t>Oviya Suresh</t>
  </si>
  <si>
    <t>C02941</t>
  </si>
  <si>
    <t>Joshua Nair</t>
  </si>
  <si>
    <t>C02942</t>
  </si>
  <si>
    <t>Yachana Ramachandran</t>
  </si>
  <si>
    <t>C02943</t>
  </si>
  <si>
    <t>Imaran Chokshi</t>
  </si>
  <si>
    <t>C02944</t>
  </si>
  <si>
    <t>Jonathan Dugal</t>
  </si>
  <si>
    <t>C02945</t>
  </si>
  <si>
    <t>Xiti Arya</t>
  </si>
  <si>
    <t>C02946</t>
  </si>
  <si>
    <t>Charles Oommen</t>
  </si>
  <si>
    <t>C02947</t>
  </si>
  <si>
    <t>Abhiram Saraf</t>
  </si>
  <si>
    <t>C02948</t>
  </si>
  <si>
    <t>Bimala Manda</t>
  </si>
  <si>
    <t>C02949</t>
  </si>
  <si>
    <t>Fitan Sanghvi</t>
  </si>
  <si>
    <t>C02950</t>
  </si>
  <si>
    <t>Michael Vaidya</t>
  </si>
  <si>
    <t>C02951</t>
  </si>
  <si>
    <t>Zaid Mand</t>
  </si>
  <si>
    <t>C02952</t>
  </si>
  <si>
    <t>Adya Kota</t>
  </si>
  <si>
    <t>C02953</t>
  </si>
  <si>
    <t>Rushil Som</t>
  </si>
  <si>
    <t>C02954</t>
  </si>
  <si>
    <t>Yadavi Golla</t>
  </si>
  <si>
    <t>C02955</t>
  </si>
  <si>
    <t>Manthan Karnik</t>
  </si>
  <si>
    <t>C02956</t>
  </si>
  <si>
    <t>Kevin Rattan</t>
  </si>
  <si>
    <t>C02957</t>
  </si>
  <si>
    <t>C02958</t>
  </si>
  <si>
    <t>Pooja Badami</t>
  </si>
  <si>
    <t>C02959</t>
  </si>
  <si>
    <t>Gavin Behl</t>
  </si>
  <si>
    <t>C02960</t>
  </si>
  <si>
    <t>Nikita Vohra</t>
  </si>
  <si>
    <t>C02961</t>
  </si>
  <si>
    <t>Vihaan Kapadia</t>
  </si>
  <si>
    <t>C02962</t>
  </si>
  <si>
    <t>Pooja Srinivas</t>
  </si>
  <si>
    <t>C02963</t>
  </si>
  <si>
    <t>Yashvi Sane</t>
  </si>
  <si>
    <t>C02964</t>
  </si>
  <si>
    <t>Daksha Choudhary</t>
  </si>
  <si>
    <t>C02965</t>
  </si>
  <si>
    <t>Januja Mand</t>
  </si>
  <si>
    <t>C02966</t>
  </si>
  <si>
    <t>Omya Koshy</t>
  </si>
  <si>
    <t>C02967</t>
  </si>
  <si>
    <t>Champak Gopal</t>
  </si>
  <si>
    <t>C02968</t>
  </si>
  <si>
    <t>Aadi Ben</t>
  </si>
  <si>
    <t>C02969</t>
  </si>
  <si>
    <t>Simon Mangal</t>
  </si>
  <si>
    <t>C02970</t>
  </si>
  <si>
    <t>Ati Chaudhuri</t>
  </si>
  <si>
    <t>C02971</t>
  </si>
  <si>
    <t>Qasim Krishnan</t>
  </si>
  <si>
    <t>C02972</t>
  </si>
  <si>
    <t>Januja Natt</t>
  </si>
  <si>
    <t>C02973</t>
  </si>
  <si>
    <t>Isaac Chatterjee</t>
  </si>
  <si>
    <t>C02974</t>
  </si>
  <si>
    <t>Kalpit Narula</t>
  </si>
  <si>
    <t>C02975</t>
  </si>
  <si>
    <t>Janaki Wadhwa</t>
  </si>
  <si>
    <t>C02976</t>
  </si>
  <si>
    <t>Wazir Majumdar</t>
  </si>
  <si>
    <t>C02977</t>
  </si>
  <si>
    <t>Leena Chahal</t>
  </si>
  <si>
    <t>C02978</t>
  </si>
  <si>
    <t>Kalpit Dara</t>
  </si>
  <si>
    <t>C02979</t>
  </si>
  <si>
    <t>Rayaan Hans</t>
  </si>
  <si>
    <t>C02980</t>
  </si>
  <si>
    <t>Hardik Borde</t>
  </si>
  <si>
    <t>C02981</t>
  </si>
  <si>
    <t>Charvi Som</t>
  </si>
  <si>
    <t>C02982</t>
  </si>
  <si>
    <t>Mitesh Bassi</t>
  </si>
  <si>
    <t>C02983</t>
  </si>
  <si>
    <t>Rehaan Sahota</t>
  </si>
  <si>
    <t>C02984</t>
  </si>
  <si>
    <t>Idika Pau</t>
  </si>
  <si>
    <t>C02985</t>
  </si>
  <si>
    <t>Jacob Sarin</t>
  </si>
  <si>
    <t>C02986</t>
  </si>
  <si>
    <t>Vasudha Saini</t>
  </si>
  <si>
    <t>C02987</t>
  </si>
  <si>
    <t>Ojas Mahal</t>
  </si>
  <si>
    <t>C02988</t>
  </si>
  <si>
    <t>Bimala Bath</t>
  </si>
  <si>
    <t>C02989</t>
  </si>
  <si>
    <t>Ranveer Rao</t>
  </si>
  <si>
    <t>C02990</t>
  </si>
  <si>
    <t>Yochana Borde</t>
  </si>
  <si>
    <t>C02991</t>
  </si>
  <si>
    <t>Raksha Upadhyay</t>
  </si>
  <si>
    <t>C02992</t>
  </si>
  <si>
    <t>Madhavi Rattan</t>
  </si>
  <si>
    <t>C02993</t>
  </si>
  <si>
    <t>Samuel Gour</t>
  </si>
  <si>
    <t>C02994</t>
  </si>
  <si>
    <t>Nathaniel Kamdar</t>
  </si>
  <si>
    <t>C02995</t>
  </si>
  <si>
    <t>Yochana Shah</t>
  </si>
  <si>
    <t>C02996</t>
  </si>
  <si>
    <t>Chavvi Kannan</t>
  </si>
  <si>
    <t>C02997</t>
  </si>
  <si>
    <t>Amrita Dani</t>
  </si>
  <si>
    <t>C02998</t>
  </si>
  <si>
    <t>Udarsh Bath</t>
  </si>
  <si>
    <t>C02999</t>
  </si>
  <si>
    <t>Bishakha Baral</t>
  </si>
  <si>
    <t>C03000</t>
  </si>
  <si>
    <t>Arunima Deol</t>
  </si>
  <si>
    <t>C03001</t>
  </si>
  <si>
    <t>Charan Kothari</t>
  </si>
  <si>
    <t>C03002</t>
  </si>
  <si>
    <t>Jack Agarwal</t>
  </si>
  <si>
    <t>C03003</t>
  </si>
  <si>
    <t>Jyoti Nair</t>
  </si>
  <si>
    <t>C03004</t>
  </si>
  <si>
    <t>Aishani Deol</t>
  </si>
  <si>
    <t>C03005</t>
  </si>
  <si>
    <t>Chaitaly Nair</t>
  </si>
  <si>
    <t>C03006</t>
  </si>
  <si>
    <t>Advaith Parekh</t>
  </si>
  <si>
    <t>C03007</t>
  </si>
  <si>
    <t>Ati Goda</t>
  </si>
  <si>
    <t>C03008</t>
  </si>
  <si>
    <t>Amol Yogi</t>
  </si>
  <si>
    <t>C03009</t>
  </si>
  <si>
    <t>C03010</t>
  </si>
  <si>
    <t>Riya Kannan</t>
  </si>
  <si>
    <t>C03011</t>
  </si>
  <si>
    <t>Amruta Jani</t>
  </si>
  <si>
    <t>C03012</t>
  </si>
  <si>
    <t>Nachiket Sehgal</t>
  </si>
  <si>
    <t>C03013</t>
  </si>
  <si>
    <t>Radha Pillay</t>
  </si>
  <si>
    <t>C03014</t>
  </si>
  <si>
    <t>Varenya Chander</t>
  </si>
  <si>
    <t>C03015</t>
  </si>
  <si>
    <t>Pratyush Sharaf</t>
  </si>
  <si>
    <t>C03016</t>
  </si>
  <si>
    <t>Patrick Gulati</t>
  </si>
  <si>
    <t>C03017</t>
  </si>
  <si>
    <t>Pranit Manda</t>
  </si>
  <si>
    <t>C03018</t>
  </si>
  <si>
    <t>Dayita Gaba</t>
  </si>
  <si>
    <t>C03019</t>
  </si>
  <si>
    <t>Meera Guha</t>
  </si>
  <si>
    <t>C03020</t>
  </si>
  <si>
    <t>Luke Bora</t>
  </si>
  <si>
    <t>C03021</t>
  </si>
  <si>
    <t>Yatan Sha</t>
  </si>
  <si>
    <t>C03022</t>
  </si>
  <si>
    <t>Harish Vyas</t>
  </si>
  <si>
    <t>C03023</t>
  </si>
  <si>
    <t>Advik Chaudhry</t>
  </si>
  <si>
    <t>C03024</t>
  </si>
  <si>
    <t>Leena Bail</t>
  </si>
  <si>
    <t>C03025</t>
  </si>
  <si>
    <t>Agastya Bassi</t>
  </si>
  <si>
    <t>C03026</t>
  </si>
  <si>
    <t>Yuvraj Chacko</t>
  </si>
  <si>
    <t>C03027</t>
  </si>
  <si>
    <t>Luke Arya</t>
  </si>
  <si>
    <t>C03028</t>
  </si>
  <si>
    <t>Hitesh Nigam</t>
  </si>
  <si>
    <t>C03029</t>
  </si>
  <si>
    <t>Samaksh Dewan</t>
  </si>
  <si>
    <t>C03030</t>
  </si>
  <si>
    <t>Sachi Gade</t>
  </si>
  <si>
    <t>C03031</t>
  </si>
  <si>
    <t>Garima Srinivas</t>
  </si>
  <si>
    <t>C03032</t>
  </si>
  <si>
    <t>Yagnesh Bhalla</t>
  </si>
  <si>
    <t>C03033</t>
  </si>
  <si>
    <t>Jatin Bail</t>
  </si>
  <si>
    <t>C03034</t>
  </si>
  <si>
    <t>Harshil Minhas</t>
  </si>
  <si>
    <t>C03035</t>
  </si>
  <si>
    <t>Yasti Sagar</t>
  </si>
  <si>
    <t>C03036</t>
  </si>
  <si>
    <t>Aarav Kapur</t>
  </si>
  <si>
    <t>C03037</t>
  </si>
  <si>
    <t>Utkarsh Sane</t>
  </si>
  <si>
    <t>C03038</t>
  </si>
  <si>
    <t>Manan Pandit</t>
  </si>
  <si>
    <t>C03039</t>
  </si>
  <si>
    <t>Upkaar Rajagopalan</t>
  </si>
  <si>
    <t>C03040</t>
  </si>
  <si>
    <t>Vyanjana Gara</t>
  </si>
  <si>
    <t>C03041</t>
  </si>
  <si>
    <t>Udarsh Chaudry</t>
  </si>
  <si>
    <t>C03042</t>
  </si>
  <si>
    <t>Ishanvi Bose</t>
  </si>
  <si>
    <t>C03043</t>
  </si>
  <si>
    <t>Jagat Patel</t>
  </si>
  <si>
    <t>C03044</t>
  </si>
  <si>
    <t>Caleb Dora</t>
  </si>
  <si>
    <t>C03045</t>
  </si>
  <si>
    <t>Priya Wali</t>
  </si>
  <si>
    <t>C03046</t>
  </si>
  <si>
    <t>Pratyush Sandal</t>
  </si>
  <si>
    <t>C03047</t>
  </si>
  <si>
    <t>Charvi Mangat</t>
  </si>
  <si>
    <t>C03048</t>
  </si>
  <si>
    <t>Hemang Madan</t>
  </si>
  <si>
    <t>C03049</t>
  </si>
  <si>
    <t>Jyoti Lanka</t>
  </si>
  <si>
    <t>C03050</t>
  </si>
  <si>
    <t>Aarnav Dixit</t>
  </si>
  <si>
    <t>C03051</t>
  </si>
  <si>
    <t>Ekaja Divan</t>
  </si>
  <si>
    <t>C03052</t>
  </si>
  <si>
    <t>Sanya Sridhar</t>
  </si>
  <si>
    <t>C03053</t>
  </si>
  <si>
    <t>Isaiah Sane</t>
  </si>
  <si>
    <t>C03054</t>
  </si>
  <si>
    <t>Maanav Chana</t>
  </si>
  <si>
    <t>C03055</t>
  </si>
  <si>
    <t>Joshua Gopal</t>
  </si>
  <si>
    <t>C03056</t>
  </si>
  <si>
    <t>Ira Nagar</t>
  </si>
  <si>
    <t>C03057</t>
  </si>
  <si>
    <t>Panini Srivastava</t>
  </si>
  <si>
    <t>C03058</t>
  </si>
  <si>
    <t>Gauri Devi</t>
  </si>
  <si>
    <t>C03059</t>
  </si>
  <si>
    <t>Leela Sahota</t>
  </si>
  <si>
    <t>C03060</t>
  </si>
  <si>
    <t>Waida Walia</t>
  </si>
  <si>
    <t>C03061</t>
  </si>
  <si>
    <t>Leena Chacko</t>
  </si>
  <si>
    <t>C03062</t>
  </si>
  <si>
    <t>Theodore Chahal</t>
  </si>
  <si>
    <t>C03063</t>
  </si>
  <si>
    <t>Janaki Agate</t>
  </si>
  <si>
    <t>C03064</t>
  </si>
  <si>
    <t>Anay Patil</t>
  </si>
  <si>
    <t>C03065</t>
  </si>
  <si>
    <t>Kiaan Choudhary</t>
  </si>
  <si>
    <t>C03066</t>
  </si>
  <si>
    <t>Ikshita Patel</t>
  </si>
  <si>
    <t>C03067</t>
  </si>
  <si>
    <t>Chaitaly Sharma</t>
  </si>
  <si>
    <t>C03068</t>
  </si>
  <si>
    <t>Oviya Kibe</t>
  </si>
  <si>
    <t>C03069</t>
  </si>
  <si>
    <t>Udarsh Bhalla</t>
  </si>
  <si>
    <t>C03070</t>
  </si>
  <si>
    <t>Jacob Dhar</t>
  </si>
  <si>
    <t>C03071</t>
  </si>
  <si>
    <t>Atharv Samra</t>
  </si>
  <si>
    <t>C03072</t>
  </si>
  <si>
    <t>Chatura Cherian</t>
  </si>
  <si>
    <t>C03073</t>
  </si>
  <si>
    <t>Vansha Dugar</t>
  </si>
  <si>
    <t>C03074</t>
  </si>
  <si>
    <t>Manan Pau</t>
  </si>
  <si>
    <t>C03075</t>
  </si>
  <si>
    <t>Farhan Konda</t>
  </si>
  <si>
    <t>C03076</t>
  </si>
  <si>
    <t>Advik Saha</t>
  </si>
  <si>
    <t>C03077</t>
  </si>
  <si>
    <t>Qabil Singhal</t>
  </si>
  <si>
    <t>C03078</t>
  </si>
  <si>
    <t>Chandani Singhal</t>
  </si>
  <si>
    <t>C03079</t>
  </si>
  <si>
    <t>Geetika Sawhney</t>
  </si>
  <si>
    <t>C03080</t>
  </si>
  <si>
    <t>Bhavini Choudhry</t>
  </si>
  <si>
    <t>C03081</t>
  </si>
  <si>
    <t>Darpan Balay</t>
  </si>
  <si>
    <t>C03082</t>
  </si>
  <si>
    <t>Yahvi Dyal</t>
  </si>
  <si>
    <t>C03083</t>
  </si>
  <si>
    <t>Meghana Sampath</t>
  </si>
  <si>
    <t>C03084</t>
  </si>
  <si>
    <t>Aarna Thaker</t>
  </si>
  <si>
    <t>C03085</t>
  </si>
  <si>
    <t>Utkarsh Sampath</t>
  </si>
  <si>
    <t>C03086</t>
  </si>
  <si>
    <t>Anita Chanda</t>
  </si>
  <si>
    <t>C03087</t>
  </si>
  <si>
    <t>Jeremiah Kakar</t>
  </si>
  <si>
    <t>C03088</t>
  </si>
  <si>
    <t>C03089</t>
  </si>
  <si>
    <t>Qarin Brahmbhatt</t>
  </si>
  <si>
    <t>C03090</t>
  </si>
  <si>
    <t>Vansha Munshi</t>
  </si>
  <si>
    <t>C03091</t>
  </si>
  <si>
    <t>Lajita Gala</t>
  </si>
  <si>
    <t>C03092</t>
  </si>
  <si>
    <t>Kamya Samra</t>
  </si>
  <si>
    <t>C03093</t>
  </si>
  <si>
    <t>Anamika Chopra</t>
  </si>
  <si>
    <t>C03094</t>
  </si>
  <si>
    <t>Faras Patil</t>
  </si>
  <si>
    <t>C03095</t>
  </si>
  <si>
    <t>Ayaan Khatri</t>
  </si>
  <si>
    <t>C03096</t>
  </si>
  <si>
    <t>Nicholas Chhabra</t>
  </si>
  <si>
    <t>C03097</t>
  </si>
  <si>
    <t>Siddharth Apte</t>
  </si>
  <si>
    <t>C03098</t>
  </si>
  <si>
    <t>Raghav Jaggi</t>
  </si>
  <si>
    <t>C03099</t>
  </si>
  <si>
    <t>Wridesh Luthra</t>
  </si>
  <si>
    <t>C03100</t>
  </si>
  <si>
    <t>Chaitanya Sule</t>
  </si>
  <si>
    <t>C03101</t>
  </si>
  <si>
    <t>Chanakya Murty</t>
  </si>
  <si>
    <t>C03102</t>
  </si>
  <si>
    <t>Dayamai Anand</t>
  </si>
  <si>
    <t>C03103</t>
  </si>
  <si>
    <t>Barkha Rao</t>
  </si>
  <si>
    <t>C03104</t>
  </si>
  <si>
    <t>Divya Raman</t>
  </si>
  <si>
    <t>C03105</t>
  </si>
  <si>
    <t>Kai Chatterjee</t>
  </si>
  <si>
    <t>C03106</t>
  </si>
  <si>
    <t>Nikita Thakur</t>
  </si>
  <si>
    <t>C03107</t>
  </si>
  <si>
    <t>Yadavi Doctor</t>
  </si>
  <si>
    <t>C03108</t>
  </si>
  <si>
    <t>Lavanya Sood</t>
  </si>
  <si>
    <t>C03109</t>
  </si>
  <si>
    <t>Bina Edwin</t>
  </si>
  <si>
    <t>C03110</t>
  </si>
  <si>
    <t>Ubika Brar</t>
  </si>
  <si>
    <t>C03111</t>
  </si>
  <si>
    <t>Vincent Kale</t>
  </si>
  <si>
    <t>C03112</t>
  </si>
  <si>
    <t>Naveen Thaker</t>
  </si>
  <si>
    <t>C03113</t>
  </si>
  <si>
    <t>Sara Deep</t>
  </si>
  <si>
    <t>C03114</t>
  </si>
  <si>
    <t>Bina Parsa</t>
  </si>
  <si>
    <t>C03115</t>
  </si>
  <si>
    <t>C03116</t>
  </si>
  <si>
    <t>Sathvik Borde</t>
  </si>
  <si>
    <t>C03117</t>
  </si>
  <si>
    <t>Widisha Chatterjee</t>
  </si>
  <si>
    <t>C03118</t>
  </si>
  <si>
    <t>Luke More</t>
  </si>
  <si>
    <t>C03119</t>
  </si>
  <si>
    <t>C03120</t>
  </si>
  <si>
    <t>Dipta Gara</t>
  </si>
  <si>
    <t>C03121</t>
  </si>
  <si>
    <t>Neel Bir</t>
  </si>
  <si>
    <t>C03122</t>
  </si>
  <si>
    <t>Januja Pandit</t>
  </si>
  <si>
    <t>C03123</t>
  </si>
  <si>
    <t>Ekavir Gola</t>
  </si>
  <si>
    <t>C03124</t>
  </si>
  <si>
    <t>Aarna Solanki</t>
  </si>
  <si>
    <t>C03125</t>
  </si>
  <si>
    <t>Riya Dey</t>
  </si>
  <si>
    <t>C03126</t>
  </si>
  <si>
    <t>Vinaya Baral</t>
  </si>
  <si>
    <t>C03127</t>
  </si>
  <si>
    <t>Bhavini Rattan</t>
  </si>
  <si>
    <t>C03128</t>
  </si>
  <si>
    <t>Kai Sastry</t>
  </si>
  <si>
    <t>C03129</t>
  </si>
  <si>
    <t>Yauvani Murthy</t>
  </si>
  <si>
    <t>C03130</t>
  </si>
  <si>
    <t>Fiyaz Sachdev</t>
  </si>
  <si>
    <t>C03131</t>
  </si>
  <si>
    <t>Adya Basak</t>
  </si>
  <si>
    <t>C03132</t>
  </si>
  <si>
    <t>Yash Anand</t>
  </si>
  <si>
    <t>C03133</t>
  </si>
  <si>
    <t>Henry Mannan</t>
  </si>
  <si>
    <t>C03134</t>
  </si>
  <si>
    <t>Nathan Rastogi</t>
  </si>
  <si>
    <t>C03135</t>
  </si>
  <si>
    <t>Udant Rama</t>
  </si>
  <si>
    <t>C03136</t>
  </si>
  <si>
    <t>Girik Palla</t>
  </si>
  <si>
    <t>C03137</t>
  </si>
  <si>
    <t>Upadhriti Warrior</t>
  </si>
  <si>
    <t>C03138</t>
  </si>
  <si>
    <t>Ikbal Chada</t>
  </si>
  <si>
    <t>C03139</t>
  </si>
  <si>
    <t>Hritik Ranganathan</t>
  </si>
  <si>
    <t>C03140</t>
  </si>
  <si>
    <t>Ryan Ratti</t>
  </si>
  <si>
    <t>C03141</t>
  </si>
  <si>
    <t>Dhruv Nadig</t>
  </si>
  <si>
    <t>C03142</t>
  </si>
  <si>
    <t>Vedika Kala</t>
  </si>
  <si>
    <t>C03143</t>
  </si>
  <si>
    <t>C03144</t>
  </si>
  <si>
    <t>Balvan Dugal</t>
  </si>
  <si>
    <t>C03145</t>
  </si>
  <si>
    <t>Madhav Kala</t>
  </si>
  <si>
    <t>C03146</t>
  </si>
  <si>
    <t>Azad Rai</t>
  </si>
  <si>
    <t>C03147</t>
  </si>
  <si>
    <t>Janaki Sani</t>
  </si>
  <si>
    <t>C03148</t>
  </si>
  <si>
    <t>Tanay Bhagat</t>
  </si>
  <si>
    <t>C03149</t>
  </si>
  <si>
    <t>Arin Sampath</t>
  </si>
  <si>
    <t>C03150</t>
  </si>
  <si>
    <t>Zayyan Goda</t>
  </si>
  <si>
    <t>C03151</t>
  </si>
  <si>
    <t>Lucky Biswas</t>
  </si>
  <si>
    <t>C03152</t>
  </si>
  <si>
    <t>Nidhi Bumb</t>
  </si>
  <si>
    <t>C03153</t>
  </si>
  <si>
    <t>Siya Saini</t>
  </si>
  <si>
    <t>C03154</t>
  </si>
  <si>
    <t>Aashi Gour</t>
  </si>
  <si>
    <t>C03155</t>
  </si>
  <si>
    <t>George Sangha</t>
  </si>
  <si>
    <t>C03156</t>
  </si>
  <si>
    <t>Chameli Gala</t>
  </si>
  <si>
    <t>C03157</t>
  </si>
  <si>
    <t>Ikshita Saini</t>
  </si>
  <si>
    <t>C03158</t>
  </si>
  <si>
    <t>Vaishnavi Wason</t>
  </si>
  <si>
    <t>C03159</t>
  </si>
  <si>
    <t>Rajeshri Pant</t>
  </si>
  <si>
    <t>C03160</t>
  </si>
  <si>
    <t>Advaith Issac</t>
  </si>
  <si>
    <t>C03161</t>
  </si>
  <si>
    <t>Maanav Naik</t>
  </si>
  <si>
    <t>C03162</t>
  </si>
  <si>
    <t>Akshay Dora</t>
  </si>
  <si>
    <t>C03163</t>
  </si>
  <si>
    <t>Manbir Tata</t>
  </si>
  <si>
    <t>C03164</t>
  </si>
  <si>
    <t>Ishaan Ray</t>
  </si>
  <si>
    <t>C03165</t>
  </si>
  <si>
    <t>Aarush Seshadri</t>
  </si>
  <si>
    <t>C03166</t>
  </si>
  <si>
    <t>Shivani Chatterjee</t>
  </si>
  <si>
    <t>C03167</t>
  </si>
  <si>
    <t>Tejas Guha</t>
  </si>
  <si>
    <t>C03168</t>
  </si>
  <si>
    <t>Ojas Purohit</t>
  </si>
  <si>
    <t>C03169</t>
  </si>
  <si>
    <t>Ijaya Kadakia</t>
  </si>
  <si>
    <t>C03170</t>
  </si>
  <si>
    <t>Akshay Prabhakar</t>
  </si>
  <si>
    <t>C03171</t>
  </si>
  <si>
    <t>Amol Mittal</t>
  </si>
  <si>
    <t>C03172</t>
  </si>
  <si>
    <t>Yadavi Dash</t>
  </si>
  <si>
    <t>C03173</t>
  </si>
  <si>
    <t>Tamanna Sachdev</t>
  </si>
  <si>
    <t>C03174</t>
  </si>
  <si>
    <t>Indira Pandey</t>
  </si>
  <si>
    <t>C03175</t>
  </si>
  <si>
    <t>Gautami Comar</t>
  </si>
  <si>
    <t>C03176</t>
  </si>
  <si>
    <t>Tara Sangha</t>
  </si>
  <si>
    <t>C03177</t>
  </si>
  <si>
    <t>Peter Gaba</t>
  </si>
  <si>
    <t>C03178</t>
  </si>
  <si>
    <t>Lakshmi Mane</t>
  </si>
  <si>
    <t>C03179</t>
  </si>
  <si>
    <t>Bhanumati Chaudhary</t>
  </si>
  <si>
    <t>C03180</t>
  </si>
  <si>
    <t>Hemang Chakraborty</t>
  </si>
  <si>
    <t>C03181</t>
  </si>
  <si>
    <t>Nisha Chawla</t>
  </si>
  <si>
    <t>C03182</t>
  </si>
  <si>
    <t>Harish Sawhney</t>
  </si>
  <si>
    <t>C03183</t>
  </si>
  <si>
    <t>Bimala Salvi</t>
  </si>
  <si>
    <t>C03184</t>
  </si>
  <si>
    <t>C03185</t>
  </si>
  <si>
    <t>Ishwar Hayre</t>
  </si>
  <si>
    <t>C03186</t>
  </si>
  <si>
    <t>Jeet Panchal</t>
  </si>
  <si>
    <t>C03187</t>
  </si>
  <si>
    <t>Nitara Randhawa</t>
  </si>
  <si>
    <t>C03188</t>
  </si>
  <si>
    <t>Kavya Kapur</t>
  </si>
  <si>
    <t>C03189</t>
  </si>
  <si>
    <t>Amrita Lalla</t>
  </si>
  <si>
    <t>C03190</t>
  </si>
  <si>
    <t>Oeshi Khurana</t>
  </si>
  <si>
    <t>C03191</t>
  </si>
  <si>
    <t>Oeshi Bali</t>
  </si>
  <si>
    <t>C03192</t>
  </si>
  <si>
    <t>Atharv Dube</t>
  </si>
  <si>
    <t>C03193</t>
  </si>
  <si>
    <t>Zilmil Nadkarni</t>
  </si>
  <si>
    <t>C03194</t>
  </si>
  <si>
    <t>Onkar Sani</t>
  </si>
  <si>
    <t>C03195</t>
  </si>
  <si>
    <t>Mahika Hans</t>
  </si>
  <si>
    <t>C03196</t>
  </si>
  <si>
    <t>Charan Sanghvi</t>
  </si>
  <si>
    <t>C03197</t>
  </si>
  <si>
    <t>Madhavi Ghose</t>
  </si>
  <si>
    <t>C03198</t>
  </si>
  <si>
    <t>Eesha Varughese</t>
  </si>
  <si>
    <t>C03199</t>
  </si>
  <si>
    <t>Rajeshri Kashyap</t>
  </si>
  <si>
    <t>C03200</t>
  </si>
  <si>
    <t>Jonathan Thaman</t>
  </si>
  <si>
    <t>C03201</t>
  </si>
  <si>
    <t>Manya Lad</t>
  </si>
  <si>
    <t>C03202</t>
  </si>
  <si>
    <t>Ekantika Jani</t>
  </si>
  <si>
    <t>C03203</t>
  </si>
  <si>
    <t>Girik Bal</t>
  </si>
  <si>
    <t>C03204</t>
  </si>
  <si>
    <t>Advay Dua</t>
  </si>
  <si>
    <t>C03205</t>
  </si>
  <si>
    <t>C03206</t>
  </si>
  <si>
    <t>Kalpit Setty</t>
  </si>
  <si>
    <t>C03207</t>
  </si>
  <si>
    <t>Rachit Khatri</t>
  </si>
  <si>
    <t>C03208</t>
  </si>
  <si>
    <t>Chameli Hari</t>
  </si>
  <si>
    <t>C03209</t>
  </si>
  <si>
    <t>Kritika Lad</t>
  </si>
  <si>
    <t>C03210</t>
  </si>
  <si>
    <t>Anvi Butala</t>
  </si>
  <si>
    <t>C03211</t>
  </si>
  <si>
    <t>Arin Chauhan</t>
  </si>
  <si>
    <t>C03212</t>
  </si>
  <si>
    <t>Tripti Das</t>
  </si>
  <si>
    <t>C03213</t>
  </si>
  <si>
    <t>Lucky Mandal</t>
  </si>
  <si>
    <t>C03214</t>
  </si>
  <si>
    <t>Pranit Chander</t>
  </si>
  <si>
    <t>C03215</t>
  </si>
  <si>
    <t>Warda Pathak</t>
  </si>
  <si>
    <t>C03216</t>
  </si>
  <si>
    <t>Mahika Chaudhuri</t>
  </si>
  <si>
    <t>C03217</t>
  </si>
  <si>
    <t>Anthony Sachdev</t>
  </si>
  <si>
    <t>C03218</t>
  </si>
  <si>
    <t>Vidhi Bose</t>
  </si>
  <si>
    <t>C03219</t>
  </si>
  <si>
    <t>Oni Prashad</t>
  </si>
  <si>
    <t>C03220</t>
  </si>
  <si>
    <t>Shravya Dyal</t>
  </si>
  <si>
    <t>C03221</t>
  </si>
  <si>
    <t>Chanchal Anne</t>
  </si>
  <si>
    <t>C03222</t>
  </si>
  <si>
    <t>Azad Dalal</t>
  </si>
  <si>
    <t>C03223</t>
  </si>
  <si>
    <t>Idika Sule</t>
  </si>
  <si>
    <t>C03224</t>
  </si>
  <si>
    <t>Nathan Vig</t>
  </si>
  <si>
    <t>C03225</t>
  </si>
  <si>
    <t>Jairaj Hans</t>
  </si>
  <si>
    <t>C03226</t>
  </si>
  <si>
    <t>Arin Vasa</t>
  </si>
  <si>
    <t>C03227</t>
  </si>
  <si>
    <t>Tarak Patla</t>
  </si>
  <si>
    <t>C03228</t>
  </si>
  <si>
    <t>Teerth Balan</t>
  </si>
  <si>
    <t>C03229</t>
  </si>
  <si>
    <t>Lakshit Kannan</t>
  </si>
  <si>
    <t>C03230</t>
  </si>
  <si>
    <t>Jonathan Loyal</t>
  </si>
  <si>
    <t>C03231</t>
  </si>
  <si>
    <t>Vasatika Iyengar</t>
  </si>
  <si>
    <t>C03232</t>
  </si>
  <si>
    <t>Ijaya Menon</t>
  </si>
  <si>
    <t>C03233</t>
  </si>
  <si>
    <t>Warhi Sarin</t>
  </si>
  <si>
    <t>C03234</t>
  </si>
  <si>
    <t>Reyansh Krishna</t>
  </si>
  <si>
    <t>C03235</t>
  </si>
  <si>
    <t>Rudra Mand</t>
  </si>
  <si>
    <t>C03236</t>
  </si>
  <si>
    <t>Harshil Muni</t>
  </si>
  <si>
    <t>C03237</t>
  </si>
  <si>
    <t>Samesh Sura</t>
  </si>
  <si>
    <t>C03238</t>
  </si>
  <si>
    <t>Sanaya Sampath</t>
  </si>
  <si>
    <t>C03239</t>
  </si>
  <si>
    <t>Eiravati Chokshi</t>
  </si>
  <si>
    <t>C03240</t>
  </si>
  <si>
    <t>Pushti Iyengar</t>
  </si>
  <si>
    <t>C03241</t>
  </si>
  <si>
    <t>Kashvi Bhatt</t>
  </si>
  <si>
    <t>C03242</t>
  </si>
  <si>
    <t>Oliver Bandi</t>
  </si>
  <si>
    <t>C03243</t>
  </si>
  <si>
    <t>Nimrat Memon</t>
  </si>
  <si>
    <t>C03244</t>
  </si>
  <si>
    <t>Mitali Balan</t>
  </si>
  <si>
    <t>C03245</t>
  </si>
  <si>
    <t>Pranit Naidu</t>
  </si>
  <si>
    <t>C03246</t>
  </si>
  <si>
    <t>Quincy Parmar</t>
  </si>
  <si>
    <t>C03247</t>
  </si>
  <si>
    <t>Elijah Kale</t>
  </si>
  <si>
    <t>C03248</t>
  </si>
  <si>
    <t>Kamya Dhillon</t>
  </si>
  <si>
    <t>C03249</t>
  </si>
  <si>
    <t>Jason Andra</t>
  </si>
  <si>
    <t>C03250</t>
  </si>
  <si>
    <t>Advay Narasimhan</t>
  </si>
  <si>
    <t>C03251</t>
  </si>
  <si>
    <t>Udyati Nagy</t>
  </si>
  <si>
    <t>C03252</t>
  </si>
  <si>
    <t>Dominic Rajan</t>
  </si>
  <si>
    <t>C03253</t>
  </si>
  <si>
    <t>Simon Vyas</t>
  </si>
  <si>
    <t>C03254</t>
  </si>
  <si>
    <t>Harshil Mall</t>
  </si>
  <si>
    <t>C03255</t>
  </si>
  <si>
    <t>Oviya Saran</t>
  </si>
  <si>
    <t>C03256</t>
  </si>
  <si>
    <t>Ekaja Hora</t>
  </si>
  <si>
    <t>C03257</t>
  </si>
  <si>
    <t>Chandran Tak</t>
  </si>
  <si>
    <t>C03258</t>
  </si>
  <si>
    <t>Chakradhar Maharaj</t>
  </si>
  <si>
    <t>C03259</t>
  </si>
  <si>
    <t>Jagdish Dash</t>
  </si>
  <si>
    <t>C03260</t>
  </si>
  <si>
    <t>C03261</t>
  </si>
  <si>
    <t>Warjas Bail</t>
  </si>
  <si>
    <t>C03262</t>
  </si>
  <si>
    <t>Andrew Agrawal</t>
  </si>
  <si>
    <t>C03263</t>
  </si>
  <si>
    <t>Bhavani Deep</t>
  </si>
  <si>
    <t>C03264</t>
  </si>
  <si>
    <t>Balhaar Walla</t>
  </si>
  <si>
    <t>C03265</t>
  </si>
  <si>
    <t>Geetika Babu</t>
  </si>
  <si>
    <t>C03266</t>
  </si>
  <si>
    <t>Upma Chandran</t>
  </si>
  <si>
    <t>C03267</t>
  </si>
  <si>
    <t>Charvi Maharaj</t>
  </si>
  <si>
    <t>C03268</t>
  </si>
  <si>
    <t>Hiral Ratta</t>
  </si>
  <si>
    <t>C03269</t>
  </si>
  <si>
    <t>Dhriti Tak</t>
  </si>
  <si>
    <t>C03270</t>
  </si>
  <si>
    <t>Maya Misra</t>
  </si>
  <si>
    <t>C03271</t>
  </si>
  <si>
    <t>Wakeeta Dara</t>
  </si>
  <si>
    <t>C03272</t>
  </si>
  <si>
    <t>Harshil Balakrishnan</t>
  </si>
  <si>
    <t>C03273</t>
  </si>
  <si>
    <t>Champak Anne</t>
  </si>
  <si>
    <t>C03274</t>
  </si>
  <si>
    <t>Henry Naidu</t>
  </si>
  <si>
    <t>C03275</t>
  </si>
  <si>
    <t>Upkaar Garde</t>
  </si>
  <si>
    <t>C03276</t>
  </si>
  <si>
    <t>Rayaan Pillay</t>
  </si>
  <si>
    <t>C03277</t>
  </si>
  <si>
    <t>Charles Lad</t>
  </si>
  <si>
    <t>C03278</t>
  </si>
  <si>
    <t>Indrajit Bava</t>
  </si>
  <si>
    <t>C03279</t>
  </si>
  <si>
    <t>Falan Lalla</t>
  </si>
  <si>
    <t>C03280</t>
  </si>
  <si>
    <t>Ladli Madan</t>
  </si>
  <si>
    <t>C03281</t>
  </si>
  <si>
    <t>Lakshit Sharma</t>
  </si>
  <si>
    <t>C03282</t>
  </si>
  <si>
    <t>Jonathan Nagar</t>
  </si>
  <si>
    <t>C03283</t>
  </si>
  <si>
    <t>Odika Sekhon</t>
  </si>
  <si>
    <t>C03284</t>
  </si>
  <si>
    <t>Wridesh Sridhar</t>
  </si>
  <si>
    <t>C03285</t>
  </si>
  <si>
    <t>Avni Nagy</t>
  </si>
  <si>
    <t>C03286</t>
  </si>
  <si>
    <t>Upkaar Chanda</t>
  </si>
  <si>
    <t>C03287</t>
  </si>
  <si>
    <t>Chaman Butala</t>
  </si>
  <si>
    <t>C03288</t>
  </si>
  <si>
    <t>C03289</t>
  </si>
  <si>
    <t>Falan Talwar</t>
  </si>
  <si>
    <t>C03290</t>
  </si>
  <si>
    <t>Simon Arya</t>
  </si>
  <si>
    <t>C03291</t>
  </si>
  <si>
    <t>Upadhriti Rajan</t>
  </si>
  <si>
    <t>C03292</t>
  </si>
  <si>
    <t>Vinaya Cheema</t>
  </si>
  <si>
    <t>C03293</t>
  </si>
  <si>
    <t>Sathvik Wable</t>
  </si>
  <si>
    <t>C03294</t>
  </si>
  <si>
    <t>Devika Setty</t>
  </si>
  <si>
    <t>C03295</t>
  </si>
  <si>
    <t>Yamini Cherian</t>
  </si>
  <si>
    <t>C03296</t>
  </si>
  <si>
    <t>Theodore Patla</t>
  </si>
  <si>
    <t>C03297</t>
  </si>
  <si>
    <t>Sneha Varghese</t>
  </si>
  <si>
    <t>C03298</t>
  </si>
  <si>
    <t>Mugdha Guha</t>
  </si>
  <si>
    <t>C03299</t>
  </si>
  <si>
    <t>Arunima Sampath</t>
  </si>
  <si>
    <t>C03300</t>
  </si>
  <si>
    <t>Damyanti Chaudry</t>
  </si>
  <si>
    <t>C03301</t>
  </si>
  <si>
    <t>Triya Chhabra</t>
  </si>
  <si>
    <t>C03302</t>
  </si>
  <si>
    <t>Wridesh Babu</t>
  </si>
  <si>
    <t>C03303</t>
  </si>
  <si>
    <t>Rachit Loke</t>
  </si>
  <si>
    <t>C03304</t>
  </si>
  <si>
    <t>Vamakshi Wali</t>
  </si>
  <si>
    <t>C03305</t>
  </si>
  <si>
    <t>Indira Lanka</t>
  </si>
  <si>
    <t>C03306</t>
  </si>
  <si>
    <t>Frado Pandya</t>
  </si>
  <si>
    <t>C03307</t>
  </si>
  <si>
    <t>Simon Dora</t>
  </si>
  <si>
    <t>C03308</t>
  </si>
  <si>
    <t>Yadavi Sankar</t>
  </si>
  <si>
    <t>C03309</t>
  </si>
  <si>
    <t>Chatresh Sastry</t>
  </si>
  <si>
    <t>C03310</t>
  </si>
  <si>
    <t>Kala Chaudhari</t>
  </si>
  <si>
    <t>C03311</t>
  </si>
  <si>
    <t>Lavanya Sami</t>
  </si>
  <si>
    <t>C03312</t>
  </si>
  <si>
    <t>Chaitaly Gulati</t>
  </si>
  <si>
    <t>C03313</t>
  </si>
  <si>
    <t>Patrick Majumdar</t>
  </si>
  <si>
    <t>C03314</t>
  </si>
  <si>
    <t>Zilmil Sant</t>
  </si>
  <si>
    <t>C03315</t>
  </si>
  <si>
    <t>Chandresh Kothari</t>
  </si>
  <si>
    <t>C03316</t>
  </si>
  <si>
    <t>Theodore Contractor</t>
  </si>
  <si>
    <t>C03317</t>
  </si>
  <si>
    <t>Balendra Lata</t>
  </si>
  <si>
    <t>C03318</t>
  </si>
  <si>
    <t>Dominic Wali</t>
  </si>
  <si>
    <t>C03319</t>
  </si>
  <si>
    <t>Anya Kara</t>
  </si>
  <si>
    <t>C03320</t>
  </si>
  <si>
    <t>Manya Ramaswamy</t>
  </si>
  <si>
    <t>C03321</t>
  </si>
  <si>
    <t>Thomas Loyal</t>
  </si>
  <si>
    <t>C03322</t>
  </si>
  <si>
    <t>Samesh Garg</t>
  </si>
  <si>
    <t>C03323</t>
  </si>
  <si>
    <t>Idika Mani</t>
  </si>
  <si>
    <t>C03324</t>
  </si>
  <si>
    <t>Aarush Chandra</t>
  </si>
  <si>
    <t>C03325</t>
  </si>
  <si>
    <t>Yahvi Sood</t>
  </si>
  <si>
    <t>C03326</t>
  </si>
  <si>
    <t>William Garde</t>
  </si>
  <si>
    <t>C03327</t>
  </si>
  <si>
    <t>Ekaraj Ganesan</t>
  </si>
  <si>
    <t>C03328</t>
  </si>
  <si>
    <t>Gaurangi Shah</t>
  </si>
  <si>
    <t>C03329</t>
  </si>
  <si>
    <t>Agastya Som</t>
  </si>
  <si>
    <t>C03330</t>
  </si>
  <si>
    <t>Gaurika Bail</t>
  </si>
  <si>
    <t>C03331</t>
  </si>
  <si>
    <t>Aishani Bose</t>
  </si>
  <si>
    <t>C03332</t>
  </si>
  <si>
    <t>Aditya Pandey</t>
  </si>
  <si>
    <t>C03333</t>
  </si>
  <si>
    <t>Aarav Suresh</t>
  </si>
  <si>
    <t>C03334</t>
  </si>
  <si>
    <t>Urmi Choudhary</t>
  </si>
  <si>
    <t>C03335</t>
  </si>
  <si>
    <t>Anay Mannan</t>
  </si>
  <si>
    <t>C03336</t>
  </si>
  <si>
    <t>Yahvi Ganesh</t>
  </si>
  <si>
    <t>C03337</t>
  </si>
  <si>
    <t>Girindra Chaudhry</t>
  </si>
  <si>
    <t>C03338</t>
  </si>
  <si>
    <t>Gautami Sethi</t>
  </si>
  <si>
    <t>C03339</t>
  </si>
  <si>
    <t>Indali Kurian</t>
  </si>
  <si>
    <t>C03340</t>
  </si>
  <si>
    <t>Zehaan Patla</t>
  </si>
  <si>
    <t>C03341</t>
  </si>
  <si>
    <t>Agastya Pandit</t>
  </si>
  <si>
    <t>C03342</t>
  </si>
  <si>
    <t>Gauri Vasa</t>
  </si>
  <si>
    <t>C03343</t>
  </si>
  <si>
    <t>Isaiah Madan</t>
  </si>
  <si>
    <t>C03344</t>
  </si>
  <si>
    <t>Manbir Roy</t>
  </si>
  <si>
    <t>C03345</t>
  </si>
  <si>
    <t>Lucky Parikh</t>
  </si>
  <si>
    <t>C03346</t>
  </si>
  <si>
    <t>Azaan Konda</t>
  </si>
  <si>
    <t>C03347</t>
  </si>
  <si>
    <t>Jagvi Jhaveri</t>
  </si>
  <si>
    <t>C03348</t>
  </si>
  <si>
    <t>Rishi Purohit</t>
  </si>
  <si>
    <t>C03349</t>
  </si>
  <si>
    <t>Anusha Sengupta</t>
  </si>
  <si>
    <t>C03350</t>
  </si>
  <si>
    <t>Alka Palla</t>
  </si>
  <si>
    <t>C03351</t>
  </si>
  <si>
    <t>Mahika Sahni</t>
  </si>
  <si>
    <t>C03352</t>
  </si>
  <si>
    <t>Dayamai Halder</t>
  </si>
  <si>
    <t>C03353</t>
  </si>
  <si>
    <t>Zinal Oza</t>
  </si>
  <si>
    <t>C03354</t>
  </si>
  <si>
    <t>Rachita Sha</t>
  </si>
  <si>
    <t>C03355</t>
  </si>
  <si>
    <t>Bhavya Choudhary</t>
  </si>
  <si>
    <t>C03356</t>
  </si>
  <si>
    <t>Wishi Din</t>
  </si>
  <si>
    <t>C03357</t>
  </si>
  <si>
    <t>Mason Virk</t>
  </si>
  <si>
    <t>C03358</t>
  </si>
  <si>
    <t>Nicholas Mitter</t>
  </si>
  <si>
    <t>C03359</t>
  </si>
  <si>
    <t>Bhavya Bhattacharyya</t>
  </si>
  <si>
    <t>C03360</t>
  </si>
  <si>
    <t>Alexander Setty</t>
  </si>
  <si>
    <t>C03361</t>
  </si>
  <si>
    <t>Teerth Mandal</t>
  </si>
  <si>
    <t>C03362</t>
  </si>
  <si>
    <t>Chatresh Suresh</t>
  </si>
  <si>
    <t>C03363</t>
  </si>
  <si>
    <t>Abdul Sani</t>
  </si>
  <si>
    <t>C03364</t>
  </si>
  <si>
    <t>Aadi Bedi</t>
  </si>
  <si>
    <t>C03365</t>
  </si>
  <si>
    <t>Lakshit Palla</t>
  </si>
  <si>
    <t>C03366</t>
  </si>
  <si>
    <t>Yadavi Dubey</t>
  </si>
  <si>
    <t>C03367</t>
  </si>
  <si>
    <t>Anika Dhar</t>
  </si>
  <si>
    <t>C03368</t>
  </si>
  <si>
    <t>Rachana Buch</t>
  </si>
  <si>
    <t>C03369</t>
  </si>
  <si>
    <t>Theodore Balay</t>
  </si>
  <si>
    <t>C03370</t>
  </si>
  <si>
    <t>Isha Kothari</t>
  </si>
  <si>
    <t>C03371</t>
  </si>
  <si>
    <t>Pahal Rastogi</t>
  </si>
  <si>
    <t>C03372</t>
  </si>
  <si>
    <t>Advika Mittal</t>
  </si>
  <si>
    <t>C03373</t>
  </si>
  <si>
    <t>Oscar Sarin</t>
  </si>
  <si>
    <t>C03374</t>
  </si>
  <si>
    <t>Liam Iyengar</t>
  </si>
  <si>
    <t>C03375</t>
  </si>
  <si>
    <t>Krishna Saha</t>
  </si>
  <si>
    <t>C03376</t>
  </si>
  <si>
    <t>Charvi Mody</t>
  </si>
  <si>
    <t>C03377</t>
  </si>
  <si>
    <t>Chameli Shenoy</t>
  </si>
  <si>
    <t>C03378</t>
  </si>
  <si>
    <t>Keya Sarkar</t>
  </si>
  <si>
    <t>C03379</t>
  </si>
  <si>
    <t>Lakshit Vyas</t>
  </si>
  <si>
    <t>C03380</t>
  </si>
  <si>
    <t>Dhriti Thakur</t>
  </si>
  <si>
    <t>C03381</t>
  </si>
  <si>
    <t>Upadhriti Pandya</t>
  </si>
  <si>
    <t>C03382</t>
  </si>
  <si>
    <t>Unnati Salvi</t>
  </si>
  <si>
    <t>C03383</t>
  </si>
  <si>
    <t>Triya Bala</t>
  </si>
  <si>
    <t>C03384</t>
  </si>
  <si>
    <t>Oviya Chakrabarti</t>
  </si>
  <si>
    <t>C03385</t>
  </si>
  <si>
    <t>Chasmum Kibe</t>
  </si>
  <si>
    <t>C03386</t>
  </si>
  <si>
    <t>Joshua Memon</t>
  </si>
  <si>
    <t>C03387</t>
  </si>
  <si>
    <t>Maya Dass</t>
  </si>
  <si>
    <t>C03388</t>
  </si>
  <si>
    <t>Abeer Shere</t>
  </si>
  <si>
    <t>C03389</t>
  </si>
  <si>
    <t>Chatura Chad</t>
  </si>
  <si>
    <t>C03390</t>
  </si>
  <si>
    <t>Anamika Chhabra</t>
  </si>
  <si>
    <t>C03391</t>
  </si>
  <si>
    <t>Gunbir Mannan</t>
  </si>
  <si>
    <t>C03392</t>
  </si>
  <si>
    <t>Garima Bhat</t>
  </si>
  <si>
    <t>C03393</t>
  </si>
  <si>
    <t>Yasti Bera</t>
  </si>
  <si>
    <t>C03394</t>
  </si>
  <si>
    <t>Zaitra Dhawan</t>
  </si>
  <si>
    <t>C03395</t>
  </si>
  <si>
    <t>Laban Kapoor</t>
  </si>
  <si>
    <t>C03396</t>
  </si>
  <si>
    <t>Charvi Mukhopadhyay</t>
  </si>
  <si>
    <t>C03397</t>
  </si>
  <si>
    <t>Vedhika Iyer</t>
  </si>
  <si>
    <t>C03398</t>
  </si>
  <si>
    <t>Ekalinga Acharya</t>
  </si>
  <si>
    <t>C03399</t>
  </si>
  <si>
    <t>Jai Venkatesh</t>
  </si>
  <si>
    <t>C03400</t>
  </si>
  <si>
    <t>Yug Jayaraman</t>
  </si>
  <si>
    <t>C03401</t>
  </si>
  <si>
    <t>Urvi Bakshi</t>
  </si>
  <si>
    <t>C03402</t>
  </si>
  <si>
    <t>Mahika Bhakta</t>
  </si>
  <si>
    <t>C03403</t>
  </si>
  <si>
    <t>Charita Ravel</t>
  </si>
  <si>
    <t>C03404</t>
  </si>
  <si>
    <t>Qarin Keer</t>
  </si>
  <si>
    <t>C03405</t>
  </si>
  <si>
    <t>Reva Dasgupta</t>
  </si>
  <si>
    <t>C03406</t>
  </si>
  <si>
    <t>Madhav Bains</t>
  </si>
  <si>
    <t>C03407</t>
  </si>
  <si>
    <t>Lucky Khosla</t>
  </si>
  <si>
    <t>C03408</t>
  </si>
  <si>
    <t>Yasti Iyer</t>
  </si>
  <si>
    <t>C03409</t>
  </si>
  <si>
    <t>Varsha Mann</t>
  </si>
  <si>
    <t>C03410</t>
  </si>
  <si>
    <t>Harish Tailor</t>
  </si>
  <si>
    <t>C03411</t>
  </si>
  <si>
    <t>Anvi Raman</t>
  </si>
  <si>
    <t>C03412</t>
  </si>
  <si>
    <t>Hredhaan Shetty</t>
  </si>
  <si>
    <t>C03413</t>
  </si>
  <si>
    <t>Pavani Divan</t>
  </si>
  <si>
    <t>C03414</t>
  </si>
  <si>
    <t>Bhanumati Shankar</t>
  </si>
  <si>
    <t>C03415</t>
  </si>
  <si>
    <t>Lopa Apte</t>
  </si>
  <si>
    <t>C03416</t>
  </si>
  <si>
    <t>Bahadurjit Saxena</t>
  </si>
  <si>
    <t>C03417</t>
  </si>
  <si>
    <t>Isha Dewan</t>
  </si>
  <si>
    <t>C03418</t>
  </si>
  <si>
    <t>Tara Malhotra</t>
  </si>
  <si>
    <t>C03419</t>
  </si>
  <si>
    <t>Nathan Parmar</t>
  </si>
  <si>
    <t>C03420</t>
  </si>
  <si>
    <t>Ikshita Vohra</t>
  </si>
  <si>
    <t>C03421</t>
  </si>
  <si>
    <t>Yochana Bhatnagar</t>
  </si>
  <si>
    <t>C03422</t>
  </si>
  <si>
    <t>Max Pandey</t>
  </si>
  <si>
    <t>C03423</t>
  </si>
  <si>
    <t>Tripti Dey</t>
  </si>
  <si>
    <t>C03424</t>
  </si>
  <si>
    <t>Chavvi Ramesh</t>
  </si>
  <si>
    <t>C03425</t>
  </si>
  <si>
    <t>Veda Puri</t>
  </si>
  <si>
    <t>C03426</t>
  </si>
  <si>
    <t>Pranit Tripathi</t>
  </si>
  <si>
    <t>C03427</t>
  </si>
  <si>
    <t>Kai Naik</t>
  </si>
  <si>
    <t>C03428</t>
  </si>
  <si>
    <t>Netra Bir</t>
  </si>
  <si>
    <t>C03429</t>
  </si>
  <si>
    <t>Ayushman Dutt</t>
  </si>
  <si>
    <t>C03430</t>
  </si>
  <si>
    <t>Gopal Cherian</t>
  </si>
  <si>
    <t>C03431</t>
  </si>
  <si>
    <t>Vamakshi Naik</t>
  </si>
  <si>
    <t>C03432</t>
  </si>
  <si>
    <t>Warjas Cheema</t>
  </si>
  <si>
    <t>C03433</t>
  </si>
  <si>
    <t>Leena Salvi</t>
  </si>
  <si>
    <t>C03434</t>
  </si>
  <si>
    <t>David Krishna</t>
  </si>
  <si>
    <t>C03435</t>
  </si>
  <si>
    <t>Baljiwan Bora</t>
  </si>
  <si>
    <t>C03436</t>
  </si>
  <si>
    <t>Kavya Balan</t>
  </si>
  <si>
    <t>C03437</t>
  </si>
  <si>
    <t>Ekani Chokshi</t>
  </si>
  <si>
    <t>C03438</t>
  </si>
  <si>
    <t>Krishna Deol</t>
  </si>
  <si>
    <t>C03439</t>
  </si>
  <si>
    <t>Rohan Krishnan</t>
  </si>
  <si>
    <t>C03440</t>
  </si>
  <si>
    <t>Raksha Mangal</t>
  </si>
  <si>
    <t>C03441</t>
  </si>
  <si>
    <t>Saksham Edwin</t>
  </si>
  <si>
    <t>C03442</t>
  </si>
  <si>
    <t>Rehaan Chadha</t>
  </si>
  <si>
    <t>C03443</t>
  </si>
  <si>
    <t>Gopal Jani</t>
  </si>
  <si>
    <t>C03444</t>
  </si>
  <si>
    <t>Logan Ahluwalia</t>
  </si>
  <si>
    <t>C03445</t>
  </si>
  <si>
    <t>Nikita Bora</t>
  </si>
  <si>
    <t>C03446</t>
  </si>
  <si>
    <t>Qasim Wable</t>
  </si>
  <si>
    <t>C03447</t>
  </si>
  <si>
    <t>Ranveer Johal</t>
  </si>
  <si>
    <t>C03448</t>
  </si>
  <si>
    <t>Xiti Pandey</t>
  </si>
  <si>
    <t>C03449</t>
  </si>
  <si>
    <t>Lakshit Bhavsar</t>
  </si>
  <si>
    <t>C03450</t>
  </si>
  <si>
    <t>Prisha Puri</t>
  </si>
  <si>
    <t>C03451</t>
  </si>
  <si>
    <t>Farhan Datta</t>
  </si>
  <si>
    <t>C03452</t>
  </si>
  <si>
    <t>Harrison Dalal</t>
  </si>
  <si>
    <t>C03453</t>
  </si>
  <si>
    <t>Vihaan Behl</t>
  </si>
  <si>
    <t>C03454</t>
  </si>
  <si>
    <t>Arin Kapur</t>
  </si>
  <si>
    <t>C03455</t>
  </si>
  <si>
    <t>Zayan Ramakrishnan</t>
  </si>
  <si>
    <t>C03456</t>
  </si>
  <si>
    <t>Ekansh Dugar</t>
  </si>
  <si>
    <t>C03457</t>
  </si>
  <si>
    <t>Falan Warrior</t>
  </si>
  <si>
    <t>C03458</t>
  </si>
  <si>
    <t>Zarna Tella</t>
  </si>
  <si>
    <t>C03459</t>
  </si>
  <si>
    <t>Mohini Bhandari</t>
  </si>
  <si>
    <t>C03460</t>
  </si>
  <si>
    <t>Urishilla Lall</t>
  </si>
  <si>
    <t>C03461</t>
  </si>
  <si>
    <t>Bachittar Nigam</t>
  </si>
  <si>
    <t>C03462</t>
  </si>
  <si>
    <t>Advika Iyer</t>
  </si>
  <si>
    <t>C03463</t>
  </si>
  <si>
    <t>Daniel Dewan</t>
  </si>
  <si>
    <t>C03464</t>
  </si>
  <si>
    <t>Forum Bhatia</t>
  </si>
  <si>
    <t>C03465</t>
  </si>
  <si>
    <t>Wakeeta Bora</t>
  </si>
  <si>
    <t>C03466</t>
  </si>
  <si>
    <t>Hiral Bobal</t>
  </si>
  <si>
    <t>C03467</t>
  </si>
  <si>
    <t>Faris Srinivas</t>
  </si>
  <si>
    <t>C03468</t>
  </si>
  <si>
    <t>Anika Barman</t>
  </si>
  <si>
    <t>C03469</t>
  </si>
  <si>
    <t>Balendra Taneja</t>
  </si>
  <si>
    <t>C03470</t>
  </si>
  <si>
    <t>Inaya Sankar</t>
  </si>
  <si>
    <t>C03471</t>
  </si>
  <si>
    <t>Chavvi Kari</t>
  </si>
  <si>
    <t>C03472</t>
  </si>
  <si>
    <t>Christopher Bal</t>
  </si>
  <si>
    <t>C03473</t>
  </si>
  <si>
    <t>Ladli Badami</t>
  </si>
  <si>
    <t>C03474</t>
  </si>
  <si>
    <t>Charles Ram</t>
  </si>
  <si>
    <t>C03475</t>
  </si>
  <si>
    <t>Jeremiah Sani</t>
  </si>
  <si>
    <t>C03476</t>
  </si>
  <si>
    <t>Lakshit D’Alia</t>
  </si>
  <si>
    <t>C03477</t>
  </si>
  <si>
    <t>Jacob Pillai</t>
  </si>
  <si>
    <t>C03478</t>
  </si>
  <si>
    <t>Rishi Oza</t>
  </si>
  <si>
    <t>C03479</t>
  </si>
  <si>
    <t>Dalbir Khanna</t>
  </si>
  <si>
    <t>C03480</t>
  </si>
  <si>
    <t>George Anne</t>
  </si>
  <si>
    <t>C03481</t>
  </si>
  <si>
    <t>Nitara Yadav</t>
  </si>
  <si>
    <t>C03482</t>
  </si>
  <si>
    <t>Alexander Krish</t>
  </si>
  <si>
    <t>C03483</t>
  </si>
  <si>
    <t>Faraj Bhandari</t>
  </si>
  <si>
    <t>C03484</t>
  </si>
  <si>
    <t>Reva Gole</t>
  </si>
  <si>
    <t>C03485</t>
  </si>
  <si>
    <t>Caleb Murthy</t>
  </si>
  <si>
    <t>C03486</t>
  </si>
  <si>
    <t>Yash Master</t>
  </si>
  <si>
    <t>C03487</t>
  </si>
  <si>
    <t>Mitali Srinivas</t>
  </si>
  <si>
    <t>C03488</t>
  </si>
  <si>
    <t>Faraj Bose</t>
  </si>
  <si>
    <t>C03489</t>
  </si>
  <si>
    <t>Samesh Talwar</t>
  </si>
  <si>
    <t>C03490</t>
  </si>
  <si>
    <t>Thomas Sawhney</t>
  </si>
  <si>
    <t>C03491</t>
  </si>
  <si>
    <t>Jeevika Master</t>
  </si>
  <si>
    <t>C03492</t>
  </si>
  <si>
    <t>Amara Nagar</t>
  </si>
  <si>
    <t>C03493</t>
  </si>
  <si>
    <t>Chatura Pal</t>
  </si>
  <si>
    <t>C03494</t>
  </si>
  <si>
    <t>Vedika Mammen</t>
  </si>
  <si>
    <t>C03495</t>
  </si>
  <si>
    <t>Samar Devan</t>
  </si>
  <si>
    <t>C03496</t>
  </si>
  <si>
    <t>Dalaja Kade</t>
  </si>
  <si>
    <t>C03497</t>
  </si>
  <si>
    <t>Kashish Dhar</t>
  </si>
  <si>
    <t>C03498</t>
  </si>
  <si>
    <t>Wahab Sarraf</t>
  </si>
  <si>
    <t>C03499</t>
  </si>
  <si>
    <t>Ishaan Bail</t>
  </si>
  <si>
    <t>C03500</t>
  </si>
  <si>
    <t>Bahadurjit Madan</t>
  </si>
  <si>
    <t>C03501</t>
  </si>
  <si>
    <t>Leena Mital</t>
  </si>
  <si>
    <t>C03502</t>
  </si>
  <si>
    <t>Darpan Mallick</t>
  </si>
  <si>
    <t>C03503</t>
  </si>
  <si>
    <t>Warhi Bahl</t>
  </si>
  <si>
    <t>C03504</t>
  </si>
  <si>
    <t>Leena Sawhney</t>
  </si>
  <si>
    <t>C03505</t>
  </si>
  <si>
    <t>Udarsh Jha</t>
  </si>
  <si>
    <t>C03506</t>
  </si>
  <si>
    <t>Qarin Sankar</t>
  </si>
  <si>
    <t>C03507</t>
  </si>
  <si>
    <t>Dalaja Balay</t>
  </si>
  <si>
    <t>C03508</t>
  </si>
  <si>
    <t>Atharv Nayar</t>
  </si>
  <si>
    <t>C03509</t>
  </si>
  <si>
    <t>Tarak Bala</t>
  </si>
  <si>
    <t>C03510</t>
  </si>
  <si>
    <t>Radha Sane</t>
  </si>
  <si>
    <t>C03511</t>
  </si>
  <si>
    <t>Ikbal Rama</t>
  </si>
  <si>
    <t>C03512</t>
  </si>
  <si>
    <t>Ubika Samra</t>
  </si>
  <si>
    <t>C03513</t>
  </si>
  <si>
    <t>Nicholas Raj</t>
  </si>
  <si>
    <t>C03514</t>
  </si>
  <si>
    <t>Wazir Deo</t>
  </si>
  <si>
    <t>C03515</t>
  </si>
  <si>
    <t>Avni Mahal</t>
  </si>
  <si>
    <t>C03516</t>
  </si>
  <si>
    <t>Zaid Merchant</t>
  </si>
  <si>
    <t>C03517</t>
  </si>
  <si>
    <t>Megha Barad</t>
  </si>
  <si>
    <t>C03518</t>
  </si>
  <si>
    <t>Janaki Luthra</t>
  </si>
  <si>
    <t>C03519</t>
  </si>
  <si>
    <t>Advik Dash</t>
  </si>
  <si>
    <t>C03520</t>
  </si>
  <si>
    <t>Ekani Lalla</t>
  </si>
  <si>
    <t>C03521</t>
  </si>
  <si>
    <t>Sachi Shere</t>
  </si>
  <si>
    <t>C03522</t>
  </si>
  <si>
    <t>Ria Andra</t>
  </si>
  <si>
    <t>C03523</t>
  </si>
  <si>
    <t>Balhaar Parmer</t>
  </si>
  <si>
    <t>C03524</t>
  </si>
  <si>
    <t>Tejas Rege</t>
  </si>
  <si>
    <t>C03525</t>
  </si>
  <si>
    <t>Fariq Malhotra</t>
  </si>
  <si>
    <t>C03526</t>
  </si>
  <si>
    <t>Devansh Sastry</t>
  </si>
  <si>
    <t>C03527</t>
  </si>
  <si>
    <t>Aarna Majumdar</t>
  </si>
  <si>
    <t>C03528</t>
  </si>
  <si>
    <t>Warda Datta</t>
  </si>
  <si>
    <t>C03529</t>
  </si>
  <si>
    <t>Owen Din</t>
  </si>
  <si>
    <t>C03530</t>
  </si>
  <si>
    <t>Viraj Contractor</t>
  </si>
  <si>
    <t>C03531</t>
  </si>
  <si>
    <t>Qarin Toor</t>
  </si>
  <si>
    <t>C03532</t>
  </si>
  <si>
    <t>Edhitha Barman</t>
  </si>
  <si>
    <t>C03533</t>
  </si>
  <si>
    <t>Darsh Lad</t>
  </si>
  <si>
    <t>C03534</t>
  </si>
  <si>
    <t>Amol Pandit</t>
  </si>
  <si>
    <t>C03535</t>
  </si>
  <si>
    <t>Wahab Palla</t>
  </si>
  <si>
    <t>C03536</t>
  </si>
  <si>
    <t>Faras Tripathi</t>
  </si>
  <si>
    <t>C03537</t>
  </si>
  <si>
    <t>Isaiah Vaidya</t>
  </si>
  <si>
    <t>C03538</t>
  </si>
  <si>
    <t>Warjas Jani</t>
  </si>
  <si>
    <t>C03539</t>
  </si>
  <si>
    <t>Kamya Sagar</t>
  </si>
  <si>
    <t>C03540</t>
  </si>
  <si>
    <t>Pooja Mandal</t>
  </si>
  <si>
    <t>C03541</t>
  </si>
  <si>
    <t>Aryan Narain</t>
  </si>
  <si>
    <t>C03542</t>
  </si>
  <si>
    <t>Gautami Reddy</t>
  </si>
  <si>
    <t>C03543</t>
  </si>
  <si>
    <t>Upma Menon</t>
  </si>
  <si>
    <t>C03544</t>
  </si>
  <si>
    <t>Naveen Pillay</t>
  </si>
  <si>
    <t>C03545</t>
  </si>
  <si>
    <t>Bina Doctor</t>
  </si>
  <si>
    <t>C03546</t>
  </si>
  <si>
    <t>Hitesh Kakar</t>
  </si>
  <si>
    <t>C03547</t>
  </si>
  <si>
    <t>Yasti Trivedi</t>
  </si>
  <si>
    <t>C03548</t>
  </si>
  <si>
    <t>Tanveer Radhakrishnan</t>
  </si>
  <si>
    <t>C03549</t>
  </si>
  <si>
    <t>Mason Raj</t>
  </si>
  <si>
    <t>C03550</t>
  </si>
  <si>
    <t>Faras Kapur</t>
  </si>
  <si>
    <t>C03551</t>
  </si>
  <si>
    <t>Jairaj Wable</t>
  </si>
  <si>
    <t>C03552</t>
  </si>
  <si>
    <t>Urmi Vohra</t>
  </si>
  <si>
    <t>C03553</t>
  </si>
  <si>
    <t>Edhitha Luthra</t>
  </si>
  <si>
    <t>C03554</t>
  </si>
  <si>
    <t>Chaaya Kohli</t>
  </si>
  <si>
    <t>C03555</t>
  </si>
  <si>
    <t>Xavier Pathak</t>
  </si>
  <si>
    <t>C03556</t>
  </si>
  <si>
    <t>Tamanna Murty</t>
  </si>
  <si>
    <t>C03557</t>
  </si>
  <si>
    <t>Wridesh Saxena</t>
  </si>
  <si>
    <t>C03558</t>
  </si>
  <si>
    <t>Janaki Buch</t>
  </si>
  <si>
    <t>C03559</t>
  </si>
  <si>
    <t>Yashasvi Bose</t>
  </si>
  <si>
    <t>C03560</t>
  </si>
  <si>
    <t>Veda Karpe</t>
  </si>
  <si>
    <t>C03561</t>
  </si>
  <si>
    <t>Omya Karpe</t>
  </si>
  <si>
    <t>C03562</t>
  </si>
  <si>
    <t>Yash Reddy</t>
  </si>
  <si>
    <t>C03563</t>
  </si>
  <si>
    <t>Abha Mangat</t>
  </si>
  <si>
    <t>C03564</t>
  </si>
  <si>
    <t>Dipta Dalal</t>
  </si>
  <si>
    <t>C03565</t>
  </si>
  <si>
    <t>Nilima Sama</t>
  </si>
  <si>
    <t>C03566</t>
  </si>
  <si>
    <t>Warda Hora</t>
  </si>
  <si>
    <t>C03567</t>
  </si>
  <si>
    <t>Sudiksha Aurora</t>
  </si>
  <si>
    <t>C03568</t>
  </si>
  <si>
    <t>Jai Sahota</t>
  </si>
  <si>
    <t>C03569</t>
  </si>
  <si>
    <t>Upma Chaudhuri</t>
  </si>
  <si>
    <t>C03570</t>
  </si>
  <si>
    <t>Bahadurjit Sankar</t>
  </si>
  <si>
    <t>C03571</t>
  </si>
  <si>
    <t>Ojas Bora</t>
  </si>
  <si>
    <t>C03572</t>
  </si>
  <si>
    <t>Yutika Wagle</t>
  </si>
  <si>
    <t>C03573</t>
  </si>
  <si>
    <t>Pahal Pandya</t>
  </si>
  <si>
    <t>C03574</t>
  </si>
  <si>
    <t>Neelima Khurana</t>
  </si>
  <si>
    <t>C03575</t>
  </si>
  <si>
    <t>Jagat Nayar</t>
  </si>
  <si>
    <t>C03576</t>
  </si>
  <si>
    <t>Hritik Bath</t>
  </si>
  <si>
    <t>C03577</t>
  </si>
  <si>
    <t>Isha Sen</t>
  </si>
  <si>
    <t>C03578</t>
  </si>
  <si>
    <t>Shivani Sarin</t>
  </si>
  <si>
    <t>C03579</t>
  </si>
  <si>
    <t>Vansha Desai</t>
  </si>
  <si>
    <t>C03580</t>
  </si>
  <si>
    <t>Yashodhara Chacko</t>
  </si>
  <si>
    <t>C03581</t>
  </si>
  <si>
    <t>Abhimanyu Pingle</t>
  </si>
  <si>
    <t>C03582</t>
  </si>
  <si>
    <t>Ladli Nagi</t>
  </si>
  <si>
    <t>C03583</t>
  </si>
  <si>
    <t>Patrick Trivedi</t>
  </si>
  <si>
    <t>C03584</t>
  </si>
  <si>
    <t>Gunbir Kata</t>
  </si>
  <si>
    <t>C03585</t>
  </si>
  <si>
    <t>Wakeeta Om</t>
  </si>
  <si>
    <t>C03586</t>
  </si>
  <si>
    <t>Zarna Vohra</t>
  </si>
  <si>
    <t>C03587</t>
  </si>
  <si>
    <t>Bhavika Naidu</t>
  </si>
  <si>
    <t>C03588</t>
  </si>
  <si>
    <t>Eiravati Gokhale</t>
  </si>
  <si>
    <t>C03589</t>
  </si>
  <si>
    <t>Benjamin Kade</t>
  </si>
  <si>
    <t>C03590</t>
  </si>
  <si>
    <t>Zilmil Mall</t>
  </si>
  <si>
    <t>C03591</t>
  </si>
  <si>
    <t>Hardik Palan</t>
  </si>
  <si>
    <t>C03592</t>
  </si>
  <si>
    <t>Noah Dani</t>
  </si>
  <si>
    <t>C03593</t>
  </si>
  <si>
    <t>Anusha Sur</t>
  </si>
  <si>
    <t>C03594</t>
  </si>
  <si>
    <t>Udarsh Gara</t>
  </si>
  <si>
    <t>C03595</t>
  </si>
  <si>
    <t>Aashi Cherian</t>
  </si>
  <si>
    <t>C03596</t>
  </si>
  <si>
    <t>Arya Dhaliwal</t>
  </si>
  <si>
    <t>C03597</t>
  </si>
  <si>
    <t>Samuel Trivedi</t>
  </si>
  <si>
    <t>C03598</t>
  </si>
  <si>
    <t>Ayaan Baral</t>
  </si>
  <si>
    <t>C03599</t>
  </si>
  <si>
    <t>Abeer Suresh</t>
  </si>
  <si>
    <t>C03600</t>
  </si>
  <si>
    <t>Kala Jani</t>
  </si>
  <si>
    <t>C03601</t>
  </si>
  <si>
    <t>Pooja Saxena</t>
  </si>
  <si>
    <t>C03602</t>
  </si>
  <si>
    <t>Sudiksha Merchant</t>
  </si>
  <si>
    <t>C03603</t>
  </si>
  <si>
    <t>Jagdish Saxena</t>
  </si>
  <si>
    <t>C03604</t>
  </si>
  <si>
    <t>Wakeeta Lall</t>
  </si>
  <si>
    <t>C03605</t>
  </si>
  <si>
    <t>Laksh Mallick</t>
  </si>
  <si>
    <t>C03606</t>
  </si>
  <si>
    <t>Irya Brar</t>
  </si>
  <si>
    <t>C03607</t>
  </si>
  <si>
    <t>Falan Narain</t>
  </si>
  <si>
    <t>C03608</t>
  </si>
  <si>
    <t>Yashica Nayak</t>
  </si>
  <si>
    <t>C03609</t>
  </si>
  <si>
    <t>Sudiksha Varghese</t>
  </si>
  <si>
    <t>C03610</t>
  </si>
  <si>
    <t>Divya Barad</t>
  </si>
  <si>
    <t>C03611</t>
  </si>
  <si>
    <t>Harish Verma</t>
  </si>
  <si>
    <t>C03612</t>
  </si>
  <si>
    <t>Ranveer Banik</t>
  </si>
  <si>
    <t>C03613</t>
  </si>
  <si>
    <t>Yatan Devan</t>
  </si>
  <si>
    <t>C03614</t>
  </si>
  <si>
    <t>Thomas Hayre</t>
  </si>
  <si>
    <t>C03615</t>
  </si>
  <si>
    <t>Upma Doshi</t>
  </si>
  <si>
    <t>C03616</t>
  </si>
  <si>
    <t>Rachit Taneja</t>
  </si>
  <si>
    <t>C03617</t>
  </si>
  <si>
    <t>Karan Issac</t>
  </si>
  <si>
    <t>C03618</t>
  </si>
  <si>
    <t>Zaitra Kala</t>
  </si>
  <si>
    <t>C03619</t>
  </si>
  <si>
    <t>Radha Bhavsar</t>
  </si>
  <si>
    <t>C03620</t>
  </si>
  <si>
    <t>Sathvik Gokhale</t>
  </si>
  <si>
    <t>C03621</t>
  </si>
  <si>
    <t>Omya Lall</t>
  </si>
  <si>
    <t>C03622</t>
  </si>
  <si>
    <t>C03623</t>
  </si>
  <si>
    <t>Pranit Mital</t>
  </si>
  <si>
    <t>C03624</t>
  </si>
  <si>
    <t>Brinda Sundaram</t>
  </si>
  <si>
    <t>C03625</t>
  </si>
  <si>
    <t>Manya Parikh</t>
  </si>
  <si>
    <t>C03626</t>
  </si>
  <si>
    <t>Chakrika Char</t>
  </si>
  <si>
    <t>C03627</t>
  </si>
  <si>
    <t>Isaiah Mani</t>
  </si>
  <si>
    <t>C03628</t>
  </si>
  <si>
    <t>Sanya Nanda</t>
  </si>
  <si>
    <t>C03629</t>
  </si>
  <si>
    <t>Pavani D’Alia</t>
  </si>
  <si>
    <t>C03630</t>
  </si>
  <si>
    <t>Ucchal Nagar</t>
  </si>
  <si>
    <t>C03631</t>
  </si>
  <si>
    <t>Idika Rao</t>
  </si>
  <si>
    <t>C03632</t>
  </si>
  <si>
    <t>Veda Suresh</t>
  </si>
  <si>
    <t>C03633</t>
  </si>
  <si>
    <t>Wahab Balakrishnan</t>
  </si>
  <si>
    <t>C03634</t>
  </si>
  <si>
    <t>Amrita Tripathi</t>
  </si>
  <si>
    <t>C03635</t>
  </si>
  <si>
    <t>Nilima Bhat</t>
  </si>
  <si>
    <t>C03636</t>
  </si>
  <si>
    <t>Advika Nadkarni</t>
  </si>
  <si>
    <t>C03637</t>
  </si>
  <si>
    <t>Mahika Sathe</t>
  </si>
  <si>
    <t>C03638</t>
  </si>
  <si>
    <t>Mohini Lad</t>
  </si>
  <si>
    <t>C03639</t>
  </si>
  <si>
    <t>Amrita Sunder</t>
  </si>
  <si>
    <t>C03640</t>
  </si>
  <si>
    <t>Harinakshi Bath</t>
  </si>
  <si>
    <t>C03641</t>
  </si>
  <si>
    <t>Sara Rout</t>
  </si>
  <si>
    <t>C03642</t>
  </si>
  <si>
    <t>Ojas Wason</t>
  </si>
  <si>
    <t>C03643</t>
  </si>
  <si>
    <t>Imaran Narayan</t>
  </si>
  <si>
    <t>C03644</t>
  </si>
  <si>
    <t>Anmol Bail</t>
  </si>
  <si>
    <t>C03645</t>
  </si>
  <si>
    <t>Gautam Nath</t>
  </si>
  <si>
    <t>C03646</t>
  </si>
  <si>
    <t>Dev Bawa</t>
  </si>
  <si>
    <t>C03647</t>
  </si>
  <si>
    <t>Janaki Wason</t>
  </si>
  <si>
    <t>C03648</t>
  </si>
  <si>
    <t>Naksh Wason</t>
  </si>
  <si>
    <t>C03649</t>
  </si>
  <si>
    <t>Veer Mannan</t>
  </si>
  <si>
    <t>C03650</t>
  </si>
  <si>
    <t>Kashvi Narula</t>
  </si>
  <si>
    <t>C03651</t>
  </si>
  <si>
    <t>Tanveer Kothari</t>
  </si>
  <si>
    <t>C03652</t>
  </si>
  <si>
    <t>Balendra Bahri</t>
  </si>
  <si>
    <t>C03653</t>
  </si>
  <si>
    <t>Yachana Rao</t>
  </si>
  <si>
    <t>C03654</t>
  </si>
  <si>
    <t>Brijesh Dugar</t>
  </si>
  <si>
    <t>C03655</t>
  </si>
  <si>
    <t>Charvi Bajwa</t>
  </si>
  <si>
    <t>C03656</t>
  </si>
  <si>
    <t>Yug Bandi</t>
  </si>
  <si>
    <t>C03657</t>
  </si>
  <si>
    <t>Jatin Purohit</t>
  </si>
  <si>
    <t>C03658</t>
  </si>
  <si>
    <t>Karan Madan</t>
  </si>
  <si>
    <t>C03659</t>
  </si>
  <si>
    <t>Faraj Borah</t>
  </si>
  <si>
    <t>C03660</t>
  </si>
  <si>
    <t>Anmol Aurora</t>
  </si>
  <si>
    <t>C03661</t>
  </si>
  <si>
    <t>Girish Raman</t>
  </si>
  <si>
    <t>C03662</t>
  </si>
  <si>
    <t>Devika Naik</t>
  </si>
  <si>
    <t>C03663</t>
  </si>
  <si>
    <t>Yauvani Bajaj</t>
  </si>
  <si>
    <t>C03664</t>
  </si>
  <si>
    <t>Anusha Shanker</t>
  </si>
  <si>
    <t>C03665</t>
  </si>
  <si>
    <t>Harish Lalla</t>
  </si>
  <si>
    <t>C03666</t>
  </si>
  <si>
    <t>Krisha Manne</t>
  </si>
  <si>
    <t>C03667</t>
  </si>
  <si>
    <t>Girik Kapadia</t>
  </si>
  <si>
    <t>C03668</t>
  </si>
  <si>
    <t>Arya Subramanian</t>
  </si>
  <si>
    <t>C03669</t>
  </si>
  <si>
    <t>Yashawini Konda</t>
  </si>
  <si>
    <t>C03670</t>
  </si>
  <si>
    <t>Anay Taneja</t>
  </si>
  <si>
    <t>C03671</t>
  </si>
  <si>
    <t>Kashish Chokshi</t>
  </si>
  <si>
    <t>C03672</t>
  </si>
  <si>
    <t>Udarsh Bakshi</t>
  </si>
  <si>
    <t>C03673</t>
  </si>
  <si>
    <t>Vincent Sekhon</t>
  </si>
  <si>
    <t>C03674</t>
  </si>
  <si>
    <t>Vansha Chopra</t>
  </si>
  <si>
    <t>C03675</t>
  </si>
  <si>
    <t>Gaurangi Dhawan</t>
  </si>
  <si>
    <t>C03676</t>
  </si>
  <si>
    <t>Girish Gara</t>
  </si>
  <si>
    <t>C03677</t>
  </si>
  <si>
    <t>Vrishti Krish</t>
  </si>
  <si>
    <t>C03678</t>
  </si>
  <si>
    <t>Lohit Rau</t>
  </si>
  <si>
    <t>C03679</t>
  </si>
  <si>
    <t>Viraj Bhargava</t>
  </si>
  <si>
    <t>C03680</t>
  </si>
  <si>
    <t>Zayyan Sabharwal</t>
  </si>
  <si>
    <t>C03681</t>
  </si>
  <si>
    <t>Geetika Dora</t>
  </si>
  <si>
    <t>C03682</t>
  </si>
  <si>
    <t>Ekanta Ray</t>
  </si>
  <si>
    <t>C03683</t>
  </si>
  <si>
    <t>Amrita Kadakia</t>
  </si>
  <si>
    <t>C03684</t>
  </si>
  <si>
    <t>Xalak Munshi</t>
  </si>
  <si>
    <t>C03685</t>
  </si>
  <si>
    <t>Ekanta Shenoy</t>
  </si>
  <si>
    <t>C03686</t>
  </si>
  <si>
    <t>Yoshita Bumb</t>
  </si>
  <si>
    <t>C03687</t>
  </si>
  <si>
    <t>Pavani Brahmbhatt</t>
  </si>
  <si>
    <t>C03688</t>
  </si>
  <si>
    <t>Joshua Arya</t>
  </si>
  <si>
    <t>C03689</t>
  </si>
  <si>
    <t>Zinal Dara</t>
  </si>
  <si>
    <t>C03690</t>
  </si>
  <si>
    <t>Rudra Sarma</t>
  </si>
  <si>
    <t>C03691</t>
  </si>
  <si>
    <t>Balvan Samra</t>
  </si>
  <si>
    <t>C03692</t>
  </si>
  <si>
    <t>Onkar Vohra</t>
  </si>
  <si>
    <t>C03693</t>
  </si>
  <si>
    <t>Logan Sahota</t>
  </si>
  <si>
    <t>C03694</t>
  </si>
  <si>
    <t>Aditya Minhas</t>
  </si>
  <si>
    <t>C03695</t>
  </si>
  <si>
    <t>Radhika Menon</t>
  </si>
  <si>
    <t>C03696</t>
  </si>
  <si>
    <t>Ekantika Prabhu</t>
  </si>
  <si>
    <t>C03697</t>
  </si>
  <si>
    <t>Lohit Mannan</t>
  </si>
  <si>
    <t>C03698</t>
  </si>
  <si>
    <t>Kamya Venkataraman</t>
  </si>
  <si>
    <t>C03699</t>
  </si>
  <si>
    <t>Urmi Shere</t>
  </si>
  <si>
    <t>C03700</t>
  </si>
  <si>
    <t>Ganga Deshmukh</t>
  </si>
  <si>
    <t>C03701</t>
  </si>
  <si>
    <t>Urvi Anne</t>
  </si>
  <si>
    <t>C03702</t>
  </si>
  <si>
    <t>Omaja Gola</t>
  </si>
  <si>
    <t>C03703</t>
  </si>
  <si>
    <t>Upma Bhavsar</t>
  </si>
  <si>
    <t>C03704</t>
  </si>
  <si>
    <t>Devika Guha</t>
  </si>
  <si>
    <t>C03705</t>
  </si>
  <si>
    <t>Girindra Yogi</t>
  </si>
  <si>
    <t>C03706</t>
  </si>
  <si>
    <t>Ganga Chandra</t>
  </si>
  <si>
    <t>C03707</t>
  </si>
  <si>
    <t>Upadhriti Dugar</t>
  </si>
  <si>
    <t>C03708</t>
  </si>
  <si>
    <t>Inaya Kara</t>
  </si>
  <si>
    <t>C03709</t>
  </si>
  <si>
    <t>Akshay Hans</t>
  </si>
  <si>
    <t>C03710</t>
  </si>
  <si>
    <t>Bhavani Sandhu</t>
  </si>
  <si>
    <t>C03711</t>
  </si>
  <si>
    <t>Jhalak Rau</t>
  </si>
  <si>
    <t>C03712</t>
  </si>
  <si>
    <t>Samaksh Brahmbhatt</t>
  </si>
  <si>
    <t>C03713</t>
  </si>
  <si>
    <t>Harshil Kalita</t>
  </si>
  <si>
    <t>C03714</t>
  </si>
  <si>
    <t>Pranav Lall</t>
  </si>
  <si>
    <t>C03715</t>
  </si>
  <si>
    <t>Jonathan Vig</t>
  </si>
  <si>
    <t>C03716</t>
  </si>
  <si>
    <t>Ganga Malhotra</t>
  </si>
  <si>
    <t>C03717</t>
  </si>
  <si>
    <t>Shaurya Ganguly</t>
  </si>
  <si>
    <t>C03718</t>
  </si>
  <si>
    <t>Vincent Kalita</t>
  </si>
  <si>
    <t>C03719</t>
  </si>
  <si>
    <t>Manan Dhar</t>
  </si>
  <si>
    <t>C03720</t>
  </si>
  <si>
    <t>Vaishnavi Acharya</t>
  </si>
  <si>
    <t>C03721</t>
  </si>
  <si>
    <t>Faras Ben</t>
  </si>
  <si>
    <t>C03722</t>
  </si>
  <si>
    <t>Yasti Sarraf</t>
  </si>
  <si>
    <t>C03723</t>
  </si>
  <si>
    <t>Urmi Narain</t>
  </si>
  <si>
    <t>C03724</t>
  </si>
  <si>
    <t>Xiti Dalal</t>
  </si>
  <si>
    <t>C03725</t>
  </si>
  <si>
    <t>Maya Purohit</t>
  </si>
  <si>
    <t>C03726</t>
  </si>
  <si>
    <t>Urvi Pant</t>
  </si>
  <si>
    <t>C03727</t>
  </si>
  <si>
    <t>Edhitha Wali</t>
  </si>
  <si>
    <t>C03728</t>
  </si>
  <si>
    <t>Tanish Ganesan</t>
  </si>
  <si>
    <t>C03729</t>
  </si>
  <si>
    <t>Luke Sarkar</t>
  </si>
  <si>
    <t>C03730</t>
  </si>
  <si>
    <t>Vrishti Krishna</t>
  </si>
  <si>
    <t>C03731</t>
  </si>
  <si>
    <t>Radhika Pall</t>
  </si>
  <si>
    <t>C03732</t>
  </si>
  <si>
    <t>Aryan Pau</t>
  </si>
  <si>
    <t>C03733</t>
  </si>
  <si>
    <t>Hiral Samra</t>
  </si>
  <si>
    <t>C03734</t>
  </si>
  <si>
    <t>Rayaan Raja</t>
  </si>
  <si>
    <t>C03735</t>
  </si>
  <si>
    <t>Praneel Anne</t>
  </si>
  <si>
    <t>C03736</t>
  </si>
  <si>
    <t>Riya Patel</t>
  </si>
  <si>
    <t>C03737</t>
  </si>
  <si>
    <t>Abdul Mukherjee</t>
  </si>
  <si>
    <t>C03738</t>
  </si>
  <si>
    <t>Girindra Pillay</t>
  </si>
  <si>
    <t>C03739</t>
  </si>
  <si>
    <t>Yadavi Arya</t>
  </si>
  <si>
    <t>C03740</t>
  </si>
  <si>
    <t>Bahadurjit Maharaj</t>
  </si>
  <si>
    <t>C03741</t>
  </si>
  <si>
    <t>Mitali Bassi</t>
  </si>
  <si>
    <t>C03742</t>
  </si>
  <si>
    <t>Anusha Bhandari</t>
  </si>
  <si>
    <t>C03743</t>
  </si>
  <si>
    <t>Urishilla Sha</t>
  </si>
  <si>
    <t>C03744</t>
  </si>
  <si>
    <t>Oscar Solanki</t>
  </si>
  <si>
    <t>C03745</t>
  </si>
  <si>
    <t>Balvan Pingle</t>
  </si>
  <si>
    <t>C03746</t>
  </si>
  <si>
    <t>Michael Goel</t>
  </si>
  <si>
    <t>C03747</t>
  </si>
  <si>
    <t>Fitan Saini</t>
  </si>
  <si>
    <t>C03748</t>
  </si>
  <si>
    <t>Daksh Sawhney</t>
  </si>
  <si>
    <t>C03749</t>
  </si>
  <si>
    <t>Dipta Chatterjee</t>
  </si>
  <si>
    <t>C03750</t>
  </si>
  <si>
    <t>Rishi Badal</t>
  </si>
  <si>
    <t>C03751</t>
  </si>
  <si>
    <t>Edhitha Gara</t>
  </si>
  <si>
    <t>C03752</t>
  </si>
  <si>
    <t>Zaitra Atwal</t>
  </si>
  <si>
    <t>C03753</t>
  </si>
  <si>
    <t>Omaja Bhat</t>
  </si>
  <si>
    <t>C03754</t>
  </si>
  <si>
    <t>Reyansh Thaker</t>
  </si>
  <si>
    <t>C03755</t>
  </si>
  <si>
    <t>Amara Chacko</t>
  </si>
  <si>
    <t>C03756</t>
  </si>
  <si>
    <t>Sachi Basu</t>
  </si>
  <si>
    <t>C03757</t>
  </si>
  <si>
    <t>Rushil Tiwari</t>
  </si>
  <si>
    <t>C03758</t>
  </si>
  <si>
    <t>Oscar Aggarwal</t>
  </si>
  <si>
    <t>C03759</t>
  </si>
  <si>
    <t>Anusha Panchal</t>
  </si>
  <si>
    <t>C03760</t>
  </si>
  <si>
    <t>Harita Shukla</t>
  </si>
  <si>
    <t>C03761</t>
  </si>
  <si>
    <t>Ubika Chakrabarti</t>
  </si>
  <si>
    <t>C03762</t>
  </si>
  <si>
    <t>Gautam Gopal</t>
  </si>
  <si>
    <t>C03763</t>
  </si>
  <si>
    <t>Quincy Nadkarni</t>
  </si>
  <si>
    <t>C03764</t>
  </si>
  <si>
    <t>Omkaar Anne</t>
  </si>
  <si>
    <t>C03765</t>
  </si>
  <si>
    <t>Kavya Sharma</t>
  </si>
  <si>
    <t>C03766</t>
  </si>
  <si>
    <t>Yatin Morar</t>
  </si>
  <si>
    <t>C03767</t>
  </si>
  <si>
    <t>Kevin Mukherjee</t>
  </si>
  <si>
    <t>C03768</t>
  </si>
  <si>
    <t>Ladli Mangat</t>
  </si>
  <si>
    <t>C03769</t>
  </si>
  <si>
    <t>Arya Dey</t>
  </si>
  <si>
    <t>C03770</t>
  </si>
  <si>
    <t>Odika Kara</t>
  </si>
  <si>
    <t>C03771</t>
  </si>
  <si>
    <t>Anjali Iyengar</t>
  </si>
  <si>
    <t>C03772</t>
  </si>
  <si>
    <t>C03773</t>
  </si>
  <si>
    <t>Aishani Chanda</t>
  </si>
  <si>
    <t>C03774</t>
  </si>
  <si>
    <t>Isha Patla</t>
  </si>
  <si>
    <t>C03775</t>
  </si>
  <si>
    <t>Shivani Garde</t>
  </si>
  <si>
    <t>C03776</t>
  </si>
  <si>
    <t>Lekha Dugal</t>
  </si>
  <si>
    <t>C03777</t>
  </si>
  <si>
    <t>Radha Palan</t>
  </si>
  <si>
    <t>C03778</t>
  </si>
  <si>
    <t>Sarthak Oommen</t>
  </si>
  <si>
    <t>C03779</t>
  </si>
  <si>
    <t>Gautam Varghese</t>
  </si>
  <si>
    <t>C03780</t>
  </si>
  <si>
    <t>Aarna Kamdar</t>
  </si>
  <si>
    <t>C03781</t>
  </si>
  <si>
    <t>Advika Balay</t>
  </si>
  <si>
    <t>C03782</t>
  </si>
  <si>
    <t>Zansi Grewal</t>
  </si>
  <si>
    <t>C03783</t>
  </si>
  <si>
    <t>Logan Sibal</t>
  </si>
  <si>
    <t>C03784</t>
  </si>
  <si>
    <t>Kashish Purohit</t>
  </si>
  <si>
    <t>C03785</t>
  </si>
  <si>
    <t>Ekantika Cheema</t>
  </si>
  <si>
    <t>C03786</t>
  </si>
  <si>
    <t>Abhiram Dutt</t>
  </si>
  <si>
    <t>C03787</t>
  </si>
  <si>
    <t>Vaishnavi Natt</t>
  </si>
  <si>
    <t>C03788</t>
  </si>
  <si>
    <t>Harish Grover</t>
  </si>
  <si>
    <t>C03789</t>
  </si>
  <si>
    <t>Damini Gaba</t>
  </si>
  <si>
    <t>C03790</t>
  </si>
  <si>
    <t>Quincy Bains</t>
  </si>
  <si>
    <t>C03791</t>
  </si>
  <si>
    <t>Tanmayi Saran</t>
  </si>
  <si>
    <t>C03792</t>
  </si>
  <si>
    <t>Urvashi Kohli</t>
  </si>
  <si>
    <t>C03793</t>
  </si>
  <si>
    <t>Kashvi Nazareth</t>
  </si>
  <si>
    <t>C03794</t>
  </si>
  <si>
    <t>Nandini Mital</t>
  </si>
  <si>
    <t>C03795</t>
  </si>
  <si>
    <t>Vivaan Tripathi</t>
  </si>
  <si>
    <t>C03796</t>
  </si>
  <si>
    <t>Oviya Sandhu</t>
  </si>
  <si>
    <t>C03797</t>
  </si>
  <si>
    <t>Nandini Balakrishnan</t>
  </si>
  <si>
    <t>C03798</t>
  </si>
  <si>
    <t>Yauvani Ganesan</t>
  </si>
  <si>
    <t>C03799</t>
  </si>
  <si>
    <t>Rushil Dewan</t>
  </si>
  <si>
    <t>C03800</t>
  </si>
  <si>
    <t>Gauri Bhagat</t>
  </si>
  <si>
    <t>C03801</t>
  </si>
  <si>
    <t>Dayamai Dhaliwal</t>
  </si>
  <si>
    <t>C03802</t>
  </si>
  <si>
    <t>Tara Randhawa</t>
  </si>
  <si>
    <t>C03803</t>
  </si>
  <si>
    <t>Triveni Acharya</t>
  </si>
  <si>
    <t>C03804</t>
  </si>
  <si>
    <t>Sai Gera</t>
  </si>
  <si>
    <t>C03805</t>
  </si>
  <si>
    <t>Damyanti Buch</t>
  </si>
  <si>
    <t>C03806</t>
  </si>
  <si>
    <t>Warinder Jani</t>
  </si>
  <si>
    <t>C03807</t>
  </si>
  <si>
    <t>Gautam Konda</t>
  </si>
  <si>
    <t>C03808</t>
  </si>
  <si>
    <t>Kavya Ahluwalia</t>
  </si>
  <si>
    <t>C03809</t>
  </si>
  <si>
    <t>Nathaniel Padmanabhan</t>
  </si>
  <si>
    <t>C03810</t>
  </si>
  <si>
    <t>Urishilla Ramesh</t>
  </si>
  <si>
    <t>C03811</t>
  </si>
  <si>
    <t>Urmi Puri</t>
  </si>
  <si>
    <t>C03812</t>
  </si>
  <si>
    <t>Xavier Char</t>
  </si>
  <si>
    <t>C03813</t>
  </si>
  <si>
    <t>Kabir Nadkarni</t>
  </si>
  <si>
    <t>C03814</t>
  </si>
  <si>
    <t>Mugdha Narain</t>
  </si>
  <si>
    <t>C03815</t>
  </si>
  <si>
    <t>Panini Ramesh</t>
  </si>
  <si>
    <t>C03816</t>
  </si>
  <si>
    <t>Idika Suresh</t>
  </si>
  <si>
    <t>C03817</t>
  </si>
  <si>
    <t>Tristan Gokhale</t>
  </si>
  <si>
    <t>C03818</t>
  </si>
  <si>
    <t>Jyoti Pathak</t>
  </si>
  <si>
    <t>C03819</t>
  </si>
  <si>
    <t>Yachana Agarwal</t>
  </si>
  <si>
    <t>C03820</t>
  </si>
  <si>
    <t>Faras Karpe</t>
  </si>
  <si>
    <t>C03821</t>
  </si>
  <si>
    <t>Xalak Guha</t>
  </si>
  <si>
    <t>C03822</t>
  </si>
  <si>
    <t>Siddharth Mittal</t>
  </si>
  <si>
    <t>C03823</t>
  </si>
  <si>
    <t>Girik Nori</t>
  </si>
  <si>
    <t>C03824</t>
  </si>
  <si>
    <t>Pranit Sandal</t>
  </si>
  <si>
    <t>C03825</t>
  </si>
  <si>
    <t>Bhavani Mukhopadhyay</t>
  </si>
  <si>
    <t>C03826</t>
  </si>
  <si>
    <t>Vasana Banerjee</t>
  </si>
  <si>
    <t>C03827</t>
  </si>
  <si>
    <t>Oviya Gola</t>
  </si>
  <si>
    <t>C03828</t>
  </si>
  <si>
    <t>Mitali Varughese</t>
  </si>
  <si>
    <t>C03829</t>
  </si>
  <si>
    <t>Udyati Butala</t>
  </si>
  <si>
    <t>C03830</t>
  </si>
  <si>
    <t>Harrison Ravel</t>
  </si>
  <si>
    <t>C03831</t>
  </si>
  <si>
    <t>Naveen Nagar</t>
  </si>
  <si>
    <t>C03832</t>
  </si>
  <si>
    <t>C03833</t>
  </si>
  <si>
    <t>Advay Sunder</t>
  </si>
  <si>
    <t>C03834</t>
  </si>
  <si>
    <t>Pahal Bhagat</t>
  </si>
  <si>
    <t>C03835</t>
  </si>
  <si>
    <t>Pavani Kuruvilla</t>
  </si>
  <si>
    <t>C03836</t>
  </si>
  <si>
    <t>Shravya Thakkar</t>
  </si>
  <si>
    <t>C03837</t>
  </si>
  <si>
    <t>Urvashi Nayak</t>
  </si>
  <si>
    <t>C03838</t>
  </si>
  <si>
    <t>Isaac Gola</t>
  </si>
  <si>
    <t>C03839</t>
  </si>
  <si>
    <t>Leela Buch</t>
  </si>
  <si>
    <t>C03840</t>
  </si>
  <si>
    <t>Abhimanyu Nazareth</t>
  </si>
  <si>
    <t>C03841</t>
  </si>
  <si>
    <t>Rudra Varma</t>
  </si>
  <si>
    <t>C03842</t>
  </si>
  <si>
    <t>Radhika Bava</t>
  </si>
  <si>
    <t>C03843</t>
  </si>
  <si>
    <t>Baghyawati Baral</t>
  </si>
  <si>
    <t>C03844</t>
  </si>
  <si>
    <t>Vrishti Sharma</t>
  </si>
  <si>
    <t>C03845</t>
  </si>
  <si>
    <t>Chandresh Pingle</t>
  </si>
  <si>
    <t>C03846</t>
  </si>
  <si>
    <t>Pavani Nazareth</t>
  </si>
  <si>
    <t>C03847</t>
  </si>
  <si>
    <t>Arjun Loke</t>
  </si>
  <si>
    <t>C03848</t>
  </si>
  <si>
    <t>Chaaya Parikh</t>
  </si>
  <si>
    <t>C03849</t>
  </si>
  <si>
    <t>Anay Sekhon</t>
  </si>
  <si>
    <t>C03850</t>
  </si>
  <si>
    <t>Chameli Banik</t>
  </si>
  <si>
    <t>C03851</t>
  </si>
  <si>
    <t>Ishanvi Bansal</t>
  </si>
  <si>
    <t>C03852</t>
  </si>
  <si>
    <t>Yuvraj Gill</t>
  </si>
  <si>
    <t>C03853</t>
  </si>
  <si>
    <t>Girindra Date</t>
  </si>
  <si>
    <t>C03854</t>
  </si>
  <si>
    <t>Wakeeta Sankar</t>
  </si>
  <si>
    <t>C03855</t>
  </si>
  <si>
    <t>Hemani Shanker</t>
  </si>
  <si>
    <t>C03856</t>
  </si>
  <si>
    <t>Tara Baria</t>
  </si>
  <si>
    <t>C03857</t>
  </si>
  <si>
    <t>Eta Pradhan</t>
  </si>
  <si>
    <t>C03858</t>
  </si>
  <si>
    <t>Manan Chaudhuri</t>
  </si>
  <si>
    <t>C03859</t>
  </si>
  <si>
    <t>Yauvani Brar</t>
  </si>
  <si>
    <t>C03860</t>
  </si>
  <si>
    <t>Chasmum Sami</t>
  </si>
  <si>
    <t>C03861</t>
  </si>
  <si>
    <t>Anthony Gour</t>
  </si>
  <si>
    <t>C03862</t>
  </si>
  <si>
    <t>Fariq Sant</t>
  </si>
  <si>
    <t>C03863</t>
  </si>
  <si>
    <t>Rehaan Lal</t>
  </si>
  <si>
    <t>C03864</t>
  </si>
  <si>
    <t>Yoshita Zacharia</t>
  </si>
  <si>
    <t>C03865</t>
  </si>
  <si>
    <t>Chandran Prasad</t>
  </si>
  <si>
    <t>C03866</t>
  </si>
  <si>
    <t>Tanveer Sarkar</t>
  </si>
  <si>
    <t>C03867</t>
  </si>
  <si>
    <t>Quincy Malhotra</t>
  </si>
  <si>
    <t>C03868</t>
  </si>
  <si>
    <t>Mohini Golla</t>
  </si>
  <si>
    <t>C03869</t>
  </si>
  <si>
    <t>Anjali Ahluwalia</t>
  </si>
  <si>
    <t>C03870</t>
  </si>
  <si>
    <t>Sarthak Bahl</t>
  </si>
  <si>
    <t>C03871</t>
  </si>
  <si>
    <t>Kai Maharaj</t>
  </si>
  <si>
    <t>C03872</t>
  </si>
  <si>
    <t>Turvi Nadkarni</t>
  </si>
  <si>
    <t>C03873</t>
  </si>
  <si>
    <t>Timothy Kar</t>
  </si>
  <si>
    <t>C03874</t>
  </si>
  <si>
    <t>Ekta Kant</t>
  </si>
  <si>
    <t>C03875</t>
  </si>
  <si>
    <t>Bhavna Sharma</t>
  </si>
  <si>
    <t>C03876</t>
  </si>
  <si>
    <t>Falguni Ramachandran</t>
  </si>
  <si>
    <t>C03877</t>
  </si>
  <si>
    <t>Advik Oza</t>
  </si>
  <si>
    <t>C03878</t>
  </si>
  <si>
    <t>Ekaja Pal</t>
  </si>
  <si>
    <t>C03879</t>
  </si>
  <si>
    <t>Max Shere</t>
  </si>
  <si>
    <t>C03880</t>
  </si>
  <si>
    <t>Shivansh Walia</t>
  </si>
  <si>
    <t>C03881</t>
  </si>
  <si>
    <t>Madhavi Kumer</t>
  </si>
  <si>
    <t>C03882</t>
  </si>
  <si>
    <t>Bachittar Brar</t>
  </si>
  <si>
    <t>C03883</t>
  </si>
  <si>
    <t>Hemani Chacko</t>
  </si>
  <si>
    <t>C03884</t>
  </si>
  <si>
    <t>Kala Modi</t>
  </si>
  <si>
    <t>C03885</t>
  </si>
  <si>
    <t>Divya Seth</t>
  </si>
  <si>
    <t>C03886</t>
  </si>
  <si>
    <t>Ayushman Dugal</t>
  </si>
  <si>
    <t>C03887</t>
  </si>
  <si>
    <t>Indira Sankar</t>
  </si>
  <si>
    <t>C03888</t>
  </si>
  <si>
    <t>Arin Mander</t>
  </si>
  <si>
    <t>C03889</t>
  </si>
  <si>
    <t>Wahab Prashad</t>
  </si>
  <si>
    <t>C03890</t>
  </si>
  <si>
    <t>Kritika Dasgupta</t>
  </si>
  <si>
    <t>C03891</t>
  </si>
  <si>
    <t>Meghana Kamdar</t>
  </si>
  <si>
    <t>C03892</t>
  </si>
  <si>
    <t>Indrajit Mann</t>
  </si>
  <si>
    <t>C03893</t>
  </si>
  <si>
    <t>Nathan Rattan</t>
  </si>
  <si>
    <t>C03894</t>
  </si>
  <si>
    <t>Indira Kalla</t>
  </si>
  <si>
    <t>C03895</t>
  </si>
  <si>
    <t>Arya Nagarajan</t>
  </si>
  <si>
    <t>C03896</t>
  </si>
  <si>
    <t>Hitesh Nadkarni</t>
  </si>
  <si>
    <t>C03897</t>
  </si>
  <si>
    <t>Umang Raval</t>
  </si>
  <si>
    <t>C03898</t>
  </si>
  <si>
    <t>Ucchal Mangat</t>
  </si>
  <si>
    <t>C03899</t>
  </si>
  <si>
    <t>Naksh Goel</t>
  </si>
  <si>
    <t>C03900</t>
  </si>
  <si>
    <t>Bhavya Aggarwal</t>
  </si>
  <si>
    <t>C03901</t>
  </si>
  <si>
    <t>Ucchal Gera</t>
  </si>
  <si>
    <t>C03902</t>
  </si>
  <si>
    <t>C03903</t>
  </si>
  <si>
    <t>Nirja Gulati</t>
  </si>
  <si>
    <t>C03904</t>
  </si>
  <si>
    <t>Udarsh Devi</t>
  </si>
  <si>
    <t>C03905</t>
  </si>
  <si>
    <t>Nilima Bajaj</t>
  </si>
  <si>
    <t>C03906</t>
  </si>
  <si>
    <t>Zaid Ganesan</t>
  </si>
  <si>
    <t>C03907</t>
  </si>
  <si>
    <t>Gavin Prabhakar</t>
  </si>
  <si>
    <t>C03908</t>
  </si>
  <si>
    <t>Lopa Vaidya</t>
  </si>
  <si>
    <t>C03909</t>
  </si>
  <si>
    <t>Neel Shankar</t>
  </si>
  <si>
    <t>C03910</t>
  </si>
  <si>
    <t>Wriddhish Gill</t>
  </si>
  <si>
    <t>C03911</t>
  </si>
  <si>
    <t>Ryan Naidu</t>
  </si>
  <si>
    <t>C03912</t>
  </si>
  <si>
    <t>Chaaya Bhattacharyya</t>
  </si>
  <si>
    <t>C03913</t>
  </si>
  <si>
    <t>Samuel Shenoy</t>
  </si>
  <si>
    <t>C03914</t>
  </si>
  <si>
    <t>Yash Sawhney</t>
  </si>
  <si>
    <t>C03915</t>
  </si>
  <si>
    <t>Peter Shenoy</t>
  </si>
  <si>
    <t>C03916</t>
  </si>
  <si>
    <t>Garima Dutta</t>
  </si>
  <si>
    <t>C03917</t>
  </si>
  <si>
    <t>Turvi Boase</t>
  </si>
  <si>
    <t>C03918</t>
  </si>
  <si>
    <t>Bachittar Ray</t>
  </si>
  <si>
    <t>C03919</t>
  </si>
  <si>
    <t>Lekha Bobal</t>
  </si>
  <si>
    <t>C03920</t>
  </si>
  <si>
    <t>Abha Yogi</t>
  </si>
  <si>
    <t>C03921</t>
  </si>
  <si>
    <t>Arjun Sarna</t>
  </si>
  <si>
    <t>C03922</t>
  </si>
  <si>
    <t>Darpan Master</t>
  </si>
  <si>
    <t>C03923</t>
  </si>
  <si>
    <t>Balveer Patla</t>
  </si>
  <si>
    <t>C03924</t>
  </si>
  <si>
    <t>C03925</t>
  </si>
  <si>
    <t>Jeet Chawla</t>
  </si>
  <si>
    <t>C03926</t>
  </si>
  <si>
    <t>Adweta Choudhury</t>
  </si>
  <si>
    <t>C03927</t>
  </si>
  <si>
    <t>Jeevika Sachar</t>
  </si>
  <si>
    <t>C03928</t>
  </si>
  <si>
    <t>Lucky Kibe</t>
  </si>
  <si>
    <t>C03929</t>
  </si>
  <si>
    <t>Shivansh Lalla</t>
  </si>
  <si>
    <t>C03930</t>
  </si>
  <si>
    <t>Forum Borah</t>
  </si>
  <si>
    <t>C03931</t>
  </si>
  <si>
    <t>Vyanjana Konda</t>
  </si>
  <si>
    <t>C03932</t>
  </si>
  <si>
    <t>Hema Merchant</t>
  </si>
  <si>
    <t>C03933</t>
  </si>
  <si>
    <t>Ganga Seshadri</t>
  </si>
  <si>
    <t>C03934</t>
  </si>
  <si>
    <t>Anvi Banik</t>
  </si>
  <si>
    <t>C03935</t>
  </si>
  <si>
    <t>Manbir Vig</t>
  </si>
  <si>
    <t>C03936</t>
  </si>
  <si>
    <t>Atharv Kant</t>
  </si>
  <si>
    <t>C03937</t>
  </si>
  <si>
    <t>Janani Manne</t>
  </si>
  <si>
    <t>C03938</t>
  </si>
  <si>
    <t>Nathan Mody</t>
  </si>
  <si>
    <t>C03939</t>
  </si>
  <si>
    <t>Ria Menon</t>
  </si>
  <si>
    <t>C03940</t>
  </si>
  <si>
    <t>Kabir Din</t>
  </si>
  <si>
    <t>C03941</t>
  </si>
  <si>
    <t>Leena Kurian</t>
  </si>
  <si>
    <t>C03942</t>
  </si>
  <si>
    <t>Ayaan Kakar</t>
  </si>
  <si>
    <t>C03943</t>
  </si>
  <si>
    <t>Manbir Arora</t>
  </si>
  <si>
    <t>C03944</t>
  </si>
  <si>
    <t>Januja Trivedi</t>
  </si>
  <si>
    <t>C03945</t>
  </si>
  <si>
    <t>Vansha Garde</t>
  </si>
  <si>
    <t>C03946</t>
  </si>
  <si>
    <t>Nachiket Thaker</t>
  </si>
  <si>
    <t>C03947</t>
  </si>
  <si>
    <t>Kavya Radhakrishnan</t>
  </si>
  <si>
    <t>C03948</t>
  </si>
  <si>
    <t>Omkaar Vohra</t>
  </si>
  <si>
    <t>C03949</t>
  </si>
  <si>
    <t>Parth Sule</t>
  </si>
  <si>
    <t>C03950</t>
  </si>
  <si>
    <t>Akshay Bhattacharyya</t>
  </si>
  <si>
    <t>C03951</t>
  </si>
  <si>
    <t>Umang More</t>
  </si>
  <si>
    <t>C03952</t>
  </si>
  <si>
    <t>Udarsh Doctor</t>
  </si>
  <si>
    <t>C03953</t>
  </si>
  <si>
    <t>Jagdish Hegde</t>
  </si>
  <si>
    <t>C03954</t>
  </si>
  <si>
    <t>Wishi Sharaf</t>
  </si>
  <si>
    <t>C03955</t>
  </si>
  <si>
    <t>Vedant Jain</t>
  </si>
  <si>
    <t>C03956</t>
  </si>
  <si>
    <t>Bachittar Rastogi</t>
  </si>
  <si>
    <t>C03957</t>
  </si>
  <si>
    <t>Forum Tripathi</t>
  </si>
  <si>
    <t>C03958</t>
  </si>
  <si>
    <t>Anika Warrior</t>
  </si>
  <si>
    <t>C03959</t>
  </si>
  <si>
    <t>Daksh Sekhon</t>
  </si>
  <si>
    <t>C03960</t>
  </si>
  <si>
    <t>Yash Kunda</t>
  </si>
  <si>
    <t>C03961</t>
  </si>
  <si>
    <t>Yash Kari</t>
  </si>
  <si>
    <t>C03962</t>
  </si>
  <si>
    <t>Peter Baria</t>
  </si>
  <si>
    <t>C03963</t>
  </si>
  <si>
    <t>Arunima Chand</t>
  </si>
  <si>
    <t>C03964</t>
  </si>
  <si>
    <t>Devansh Deo</t>
  </si>
  <si>
    <t>C03965</t>
  </si>
  <si>
    <t>Darsh Johal</t>
  </si>
  <si>
    <t>C03966</t>
  </si>
  <si>
    <t>Yagnesh Sood</t>
  </si>
  <si>
    <t>C03967</t>
  </si>
  <si>
    <t>Guneet Yadav</t>
  </si>
  <si>
    <t>C03968</t>
  </si>
  <si>
    <t>Eiravati Bora</t>
  </si>
  <si>
    <t>C03969</t>
  </si>
  <si>
    <t>Vanya Dada</t>
  </si>
  <si>
    <t>C03970</t>
  </si>
  <si>
    <t>Fiyaz Soni</t>
  </si>
  <si>
    <t>C03971</t>
  </si>
  <si>
    <t>Harish Kale</t>
  </si>
  <si>
    <t>C03972</t>
  </si>
  <si>
    <t>Charita Andra</t>
  </si>
  <si>
    <t>C03973</t>
  </si>
  <si>
    <t>Isaac Savant</t>
  </si>
  <si>
    <t>C03974</t>
  </si>
  <si>
    <t>Tanmayi Acharya</t>
  </si>
  <si>
    <t>C03975</t>
  </si>
  <si>
    <t>Niharika Madan</t>
  </si>
  <si>
    <t>C03976</t>
  </si>
  <si>
    <t>Patrick Narasimhan</t>
  </si>
  <si>
    <t>C03977</t>
  </si>
  <si>
    <t>Yoshita Mander</t>
  </si>
  <si>
    <t>C03978</t>
  </si>
  <si>
    <t>Aishani Wali</t>
  </si>
  <si>
    <t>C03979</t>
  </si>
  <si>
    <t>Harita Maharaj</t>
  </si>
  <si>
    <t>C03980</t>
  </si>
  <si>
    <t>Ria Choudhury</t>
  </si>
  <si>
    <t>C03981</t>
  </si>
  <si>
    <t>Vinaya Ahuja</t>
  </si>
  <si>
    <t>C03982</t>
  </si>
  <si>
    <t>Yashodhara Singhal</t>
  </si>
  <si>
    <t>C03983</t>
  </si>
  <si>
    <t>Nihal Gola</t>
  </si>
  <si>
    <t>C03984</t>
  </si>
  <si>
    <t>Rachana Modi</t>
  </si>
  <si>
    <t>C03985</t>
  </si>
  <si>
    <t>Saanvi Oommen</t>
  </si>
  <si>
    <t>C03986</t>
  </si>
  <si>
    <t>Rishi Chopra</t>
  </si>
  <si>
    <t>C03987</t>
  </si>
  <si>
    <t>Tanay Mohanty</t>
  </si>
  <si>
    <t>C03988</t>
  </si>
  <si>
    <t>Ekaja Wali</t>
  </si>
  <si>
    <t>C03989</t>
  </si>
  <si>
    <t>Harshil Mital</t>
  </si>
  <si>
    <t>C03990</t>
  </si>
  <si>
    <t>Mohammed Naik</t>
  </si>
  <si>
    <t>C03991</t>
  </si>
  <si>
    <t>Rehaan Randhawa</t>
  </si>
  <si>
    <t>C03992</t>
  </si>
  <si>
    <t>Nakul Dugar</t>
  </si>
  <si>
    <t>C03993</t>
  </si>
  <si>
    <t>Zaitra Som</t>
  </si>
  <si>
    <t>C03994</t>
  </si>
  <si>
    <t>Amruta Karnik</t>
  </si>
  <si>
    <t>C03995</t>
  </si>
  <si>
    <t>Urmi Mitter</t>
  </si>
  <si>
    <t>C03996</t>
  </si>
  <si>
    <t>Maanav Mohan</t>
  </si>
  <si>
    <t>C03997</t>
  </si>
  <si>
    <t>Irya Murty</t>
  </si>
  <si>
    <t>C03998</t>
  </si>
  <si>
    <t>Darika Sandal</t>
  </si>
  <si>
    <t>C03999</t>
  </si>
  <si>
    <t>Omisha Ahluwalia</t>
  </si>
  <si>
    <t>C04000</t>
  </si>
  <si>
    <t>Christopher Rege</t>
  </si>
  <si>
    <t>C04001</t>
  </si>
  <si>
    <t>Logan Shan</t>
  </si>
  <si>
    <t>C04002</t>
  </si>
  <si>
    <t>Anirudh Jain</t>
  </si>
  <si>
    <t>C04003</t>
  </si>
  <si>
    <t>Aahana Menon</t>
  </si>
  <si>
    <t>C04004</t>
  </si>
  <si>
    <t>Arjun Nagy</t>
  </si>
  <si>
    <t>C04005</t>
  </si>
  <si>
    <t>Lavanya Nanda</t>
  </si>
  <si>
    <t>C04006</t>
  </si>
  <si>
    <t>Tanveer Thakur</t>
  </si>
  <si>
    <t>C04007</t>
  </si>
  <si>
    <t>Anusha Chhabra</t>
  </si>
  <si>
    <t>C04008</t>
  </si>
  <si>
    <t>Xavier Dyal</t>
  </si>
  <si>
    <t>C04009</t>
  </si>
  <si>
    <t>Varsha Singhal</t>
  </si>
  <si>
    <t>C04010</t>
  </si>
  <si>
    <t>Madhavi Sur</t>
  </si>
  <si>
    <t>C04011</t>
  </si>
  <si>
    <t>Ati Prashad</t>
  </si>
  <si>
    <t>C04012</t>
  </si>
  <si>
    <t>Harrison Bhalla</t>
  </si>
  <si>
    <t>C04013</t>
  </si>
  <si>
    <t>Anya Yogi</t>
  </si>
  <si>
    <t>C04014</t>
  </si>
  <si>
    <t>Raksha Mane</t>
  </si>
  <si>
    <t>C04015</t>
  </si>
  <si>
    <t>Urmi Desai</t>
  </si>
  <si>
    <t>C04016</t>
  </si>
  <si>
    <t>Ekta Sachdev</t>
  </si>
  <si>
    <t>C04017</t>
  </si>
  <si>
    <t>Matthew Mistry</t>
  </si>
  <si>
    <t>C04018</t>
  </si>
  <si>
    <t>Gaurang Sarma</t>
  </si>
  <si>
    <t>C04019</t>
  </si>
  <si>
    <t>Falak Lad</t>
  </si>
  <si>
    <t>C04020</t>
  </si>
  <si>
    <t>Anthony Dey</t>
  </si>
  <si>
    <t>C04021</t>
  </si>
  <si>
    <t>Dipta Patel</t>
  </si>
  <si>
    <t>C04022</t>
  </si>
  <si>
    <t>Tanish Gour</t>
  </si>
  <si>
    <t>C04023</t>
  </si>
  <si>
    <t>Upadhriti Kari</t>
  </si>
  <si>
    <t>C04024</t>
  </si>
  <si>
    <t>Janaki Nath</t>
  </si>
  <si>
    <t>C04025</t>
  </si>
  <si>
    <t>Aashi Kumer</t>
  </si>
  <si>
    <t>C04026</t>
  </si>
  <si>
    <t>Logan Dar</t>
  </si>
  <si>
    <t>C04027</t>
  </si>
  <si>
    <t>Prisha Randhawa</t>
  </si>
  <si>
    <t>C04028</t>
  </si>
  <si>
    <t>Chanakya Wadhwa</t>
  </si>
  <si>
    <t>C04029</t>
  </si>
  <si>
    <t>Yauvani Prakash</t>
  </si>
  <si>
    <t>C04030</t>
  </si>
  <si>
    <t>Rajeshri Balay</t>
  </si>
  <si>
    <t>C04031</t>
  </si>
  <si>
    <t>Vyanjana Mandal</t>
  </si>
  <si>
    <t>C04032</t>
  </si>
  <si>
    <t>Ekalinga Borra</t>
  </si>
  <si>
    <t>C04033</t>
  </si>
  <si>
    <t>Isaiah Wali</t>
  </si>
  <si>
    <t>C04034</t>
  </si>
  <si>
    <t>Yochana Chahal</t>
  </si>
  <si>
    <t>C04035</t>
  </si>
  <si>
    <t>Rayaan Bora</t>
  </si>
  <si>
    <t>C04036</t>
  </si>
  <si>
    <t>Aradhana Shroff</t>
  </si>
  <si>
    <t>C04037</t>
  </si>
  <si>
    <t>Max Narayanan</t>
  </si>
  <si>
    <t>C04038</t>
  </si>
  <si>
    <t>Qabil Nori</t>
  </si>
  <si>
    <t>C04039</t>
  </si>
  <si>
    <t>Rachana Bail</t>
  </si>
  <si>
    <t>C04040</t>
  </si>
  <si>
    <t>Chaaya Ahuja</t>
  </si>
  <si>
    <t>C04041</t>
  </si>
  <si>
    <t>Anirudh Anand</t>
  </si>
  <si>
    <t>C04042</t>
  </si>
  <si>
    <t>Ekantika Sane</t>
  </si>
  <si>
    <t>C04043</t>
  </si>
  <si>
    <t>Aashi Kapoor</t>
  </si>
  <si>
    <t>C04044</t>
  </si>
  <si>
    <t>Tanvi Iyer</t>
  </si>
  <si>
    <t>C04045</t>
  </si>
  <si>
    <t>Michael Gulati</t>
  </si>
  <si>
    <t>C04046</t>
  </si>
  <si>
    <t>Samuel Morar</t>
  </si>
  <si>
    <t>C04047</t>
  </si>
  <si>
    <t>Harrison Bal</t>
  </si>
  <si>
    <t>C04048</t>
  </si>
  <si>
    <t>Joshua Zachariah</t>
  </si>
  <si>
    <t>C04049</t>
  </si>
  <si>
    <t>Ekapad Narang</t>
  </si>
  <si>
    <t>C04050</t>
  </si>
  <si>
    <t>Victor Joshi</t>
  </si>
  <si>
    <t>C04051</t>
  </si>
  <si>
    <t>Chavvi Gade</t>
  </si>
  <si>
    <t>C04052</t>
  </si>
  <si>
    <t>Anika Kaul</t>
  </si>
  <si>
    <t>C04053</t>
  </si>
  <si>
    <t>Isha Bala</t>
  </si>
  <si>
    <t>C04054</t>
  </si>
  <si>
    <t>Ria Dasgupta</t>
  </si>
  <si>
    <t>C04055</t>
  </si>
  <si>
    <t>Atharv Sawhney</t>
  </si>
  <si>
    <t>C04056</t>
  </si>
  <si>
    <t>Lajita Bawa</t>
  </si>
  <si>
    <t>C04057</t>
  </si>
  <si>
    <t>Reva Rastogi</t>
  </si>
  <si>
    <t>C04058</t>
  </si>
  <si>
    <t>Samesh Rai</t>
  </si>
  <si>
    <t>C04059</t>
  </si>
  <si>
    <t>Girik Gill</t>
  </si>
  <si>
    <t>C04060</t>
  </si>
  <si>
    <t>Nicholas Kadakia</t>
  </si>
  <si>
    <t>C04061</t>
  </si>
  <si>
    <t>Vrinda Parmar</t>
  </si>
  <si>
    <t>C04062</t>
  </si>
  <si>
    <t>Ojasvi Halder</t>
  </si>
  <si>
    <t>C04063</t>
  </si>
  <si>
    <t>Gautam Tripathi</t>
  </si>
  <si>
    <t>C04064</t>
  </si>
  <si>
    <t>Vanya Kumer</t>
  </si>
  <si>
    <t>C04065</t>
  </si>
  <si>
    <t>Tanmayi Babu</t>
  </si>
  <si>
    <t>C04066</t>
  </si>
  <si>
    <t>Lajita Salvi</t>
  </si>
  <si>
    <t>C04067</t>
  </si>
  <si>
    <t>Harish Pant</t>
  </si>
  <si>
    <t>C04068</t>
  </si>
  <si>
    <t>Dayita Bhattacharyya</t>
  </si>
  <si>
    <t>C04069</t>
  </si>
  <si>
    <t>Charita Karnik</t>
  </si>
  <si>
    <t>C04070</t>
  </si>
  <si>
    <t>Madhavi Sinha</t>
  </si>
  <si>
    <t>C04071</t>
  </si>
  <si>
    <t>Anvi Naik</t>
  </si>
  <si>
    <t>C04072</t>
  </si>
  <si>
    <t>Lohit Kothari</t>
  </si>
  <si>
    <t>C04073</t>
  </si>
  <si>
    <t>Aditya Dave</t>
  </si>
  <si>
    <t>C04074</t>
  </si>
  <si>
    <t>Logan Singhal</t>
  </si>
  <si>
    <t>C04075</t>
  </si>
  <si>
    <t>Darsh Kadakia</t>
  </si>
  <si>
    <t>C04076</t>
  </si>
  <si>
    <t>Kamya Sachdeva</t>
  </si>
  <si>
    <t>C04077</t>
  </si>
  <si>
    <t>Oni Gera</t>
  </si>
  <si>
    <t>C04078</t>
  </si>
  <si>
    <t>Zilmil Doshi</t>
  </si>
  <si>
    <t>C04079</t>
  </si>
  <si>
    <t>Janya Choudhary</t>
  </si>
  <si>
    <t>C04080</t>
  </si>
  <si>
    <t>Ayushman Tank</t>
  </si>
  <si>
    <t>C04081</t>
  </si>
  <si>
    <t>Damini Raval</t>
  </si>
  <si>
    <t>C04082</t>
  </si>
  <si>
    <t>Alka Nagi</t>
  </si>
  <si>
    <t>C04083</t>
  </si>
  <si>
    <t>Atharv Narula</t>
  </si>
  <si>
    <t>C04084</t>
  </si>
  <si>
    <t>Upma Banerjee</t>
  </si>
  <si>
    <t>C04085</t>
  </si>
  <si>
    <t>Nikita Batra</t>
  </si>
  <si>
    <t>C04086</t>
  </si>
  <si>
    <t>Omkaar Dugar</t>
  </si>
  <si>
    <t>C04087</t>
  </si>
  <si>
    <t>Alexander Palla</t>
  </si>
  <si>
    <t>C04088</t>
  </si>
  <si>
    <t>George Saini</t>
  </si>
  <si>
    <t>C04089</t>
  </si>
  <si>
    <t>Isaiah Soni</t>
  </si>
  <si>
    <t>C04090</t>
  </si>
  <si>
    <t>Ojasvi Yadav</t>
  </si>
  <si>
    <t>C04091</t>
  </si>
  <si>
    <t>Krish Acharya</t>
  </si>
  <si>
    <t>C04092</t>
  </si>
  <si>
    <t>Vamakshi Singh</t>
  </si>
  <si>
    <t>C04093</t>
  </si>
  <si>
    <t>Kabir Naidu</t>
  </si>
  <si>
    <t>C04094</t>
  </si>
  <si>
    <t>Gopal Sridhar</t>
  </si>
  <si>
    <t>C04095</t>
  </si>
  <si>
    <t>Rohan Dass</t>
  </si>
  <si>
    <t>C04096</t>
  </si>
  <si>
    <t>Yutika Dayal</t>
  </si>
  <si>
    <t>C04097</t>
  </si>
  <si>
    <t>Umang Butala</t>
  </si>
  <si>
    <t>C04098</t>
  </si>
  <si>
    <t>Netra Mandal</t>
  </si>
  <si>
    <t>C04099</t>
  </si>
  <si>
    <t>Zaid Kara</t>
  </si>
  <si>
    <t>C04100</t>
  </si>
  <si>
    <t>Qasim Mitra</t>
  </si>
  <si>
    <t>C04101</t>
  </si>
  <si>
    <t>Turvi Venkatesh</t>
  </si>
  <si>
    <t>C04102</t>
  </si>
  <si>
    <t>Karan Narang</t>
  </si>
  <si>
    <t>C04103</t>
  </si>
  <si>
    <t>Kavya Dhillon</t>
  </si>
  <si>
    <t>C04104</t>
  </si>
  <si>
    <t>Lekha Bava</t>
  </si>
  <si>
    <t>C04105</t>
  </si>
  <si>
    <t>Qabil Atwal</t>
  </si>
  <si>
    <t>C04106</t>
  </si>
  <si>
    <t>Bahadurjit Khanna</t>
  </si>
  <si>
    <t>C04107</t>
  </si>
  <si>
    <t>Mekhala Naidu</t>
  </si>
  <si>
    <t>C04108</t>
  </si>
  <si>
    <t>Vasana Sule</t>
  </si>
  <si>
    <t>C04109</t>
  </si>
  <si>
    <t>Raghav Ravi</t>
  </si>
  <si>
    <t>C04110</t>
  </si>
  <si>
    <t>Tanish Setty</t>
  </si>
  <si>
    <t>C04111</t>
  </si>
  <si>
    <t>Ria Dalal</t>
  </si>
  <si>
    <t>C04112</t>
  </si>
  <si>
    <t>Yoshita Nazareth</t>
  </si>
  <si>
    <t>C04113</t>
  </si>
  <si>
    <t>Quincy Kumer</t>
  </si>
  <si>
    <t>C04114</t>
  </si>
  <si>
    <t>Vinaya Shan</t>
  </si>
  <si>
    <t>C04115</t>
  </si>
  <si>
    <t>Hema Venkataraman</t>
  </si>
  <si>
    <t>C04116</t>
  </si>
  <si>
    <t>Dev Pau</t>
  </si>
  <si>
    <t>C04117</t>
  </si>
  <si>
    <t>Atharv Date</t>
  </si>
  <si>
    <t>C04118</t>
  </si>
  <si>
    <t>Utkarsh Shankar</t>
  </si>
  <si>
    <t>C04119</t>
  </si>
  <si>
    <t>Jai Merchant</t>
  </si>
  <si>
    <t>C04120</t>
  </si>
  <si>
    <t>Idika Mohanty</t>
  </si>
  <si>
    <t>C04121</t>
  </si>
  <si>
    <t>Rajata Butala</t>
  </si>
  <si>
    <t>C04122</t>
  </si>
  <si>
    <t>Mitali Vaidya</t>
  </si>
  <si>
    <t>C04123</t>
  </si>
  <si>
    <t>Lucky Kapadia</t>
  </si>
  <si>
    <t>C04124</t>
  </si>
  <si>
    <t>Rushil Pandya</t>
  </si>
  <si>
    <t>C04125</t>
  </si>
  <si>
    <t>Champak Walia</t>
  </si>
  <si>
    <t>C04126</t>
  </si>
  <si>
    <t>Victor Wali</t>
  </si>
  <si>
    <t>C04127</t>
  </si>
  <si>
    <t>Kavya Dutt</t>
  </si>
  <si>
    <t>C04128</t>
  </si>
  <si>
    <t>Noah Kara</t>
  </si>
  <si>
    <t>C04129</t>
  </si>
  <si>
    <t>Panini Jain</t>
  </si>
  <si>
    <t>C04130</t>
  </si>
  <si>
    <t>C04131</t>
  </si>
  <si>
    <t>Madhavi Vig</t>
  </si>
  <si>
    <t>C04132</t>
  </si>
  <si>
    <t>Vamakshi Sidhu</t>
  </si>
  <si>
    <t>C04133</t>
  </si>
  <si>
    <t>Laban Mital</t>
  </si>
  <si>
    <t>C04134</t>
  </si>
  <si>
    <t>Falan Krishnamurthy</t>
  </si>
  <si>
    <t>C04135</t>
  </si>
  <si>
    <t>Sathvik Bhavsar</t>
  </si>
  <si>
    <t>C04136</t>
  </si>
  <si>
    <t>Nirja Dey</t>
  </si>
  <si>
    <t>C04137</t>
  </si>
  <si>
    <t>Vasana Dyal</t>
  </si>
  <si>
    <t>C04138</t>
  </si>
  <si>
    <t>Mahika Dutta</t>
  </si>
  <si>
    <t>C04139</t>
  </si>
  <si>
    <t>Mahika Hari</t>
  </si>
  <si>
    <t>C04140</t>
  </si>
  <si>
    <t>Inaya Bobal</t>
  </si>
  <si>
    <t>C04141</t>
  </si>
  <si>
    <t>Anya Dey</t>
  </si>
  <si>
    <t>C04142</t>
  </si>
  <si>
    <t>Jatin Doshi</t>
  </si>
  <si>
    <t>C04143</t>
  </si>
  <si>
    <t>Sachi Dhar</t>
  </si>
  <si>
    <t>C04144</t>
  </si>
  <si>
    <t>Falak Apte</t>
  </si>
  <si>
    <t>C04145</t>
  </si>
  <si>
    <t>Deepa Viswanathan</t>
  </si>
  <si>
    <t>C04146</t>
  </si>
  <si>
    <t>Urishilla Kata</t>
  </si>
  <si>
    <t>C04147</t>
  </si>
  <si>
    <t>Chanchal Dash</t>
  </si>
  <si>
    <t>C04148</t>
  </si>
  <si>
    <t>Mitesh Bobal</t>
  </si>
  <si>
    <t>C04149</t>
  </si>
  <si>
    <t>Anita Baria</t>
  </si>
  <si>
    <t>C04150</t>
  </si>
  <si>
    <t>Aadhya Chowdhury</t>
  </si>
  <si>
    <t>C04151</t>
  </si>
  <si>
    <t>Pooja Ganguly</t>
  </si>
  <si>
    <t>C04152</t>
  </si>
  <si>
    <t>Bishakha Kar</t>
  </si>
  <si>
    <t>C04153</t>
  </si>
  <si>
    <t>Gaurang Patil</t>
  </si>
  <si>
    <t>C04154</t>
  </si>
  <si>
    <t>Warda Sankaran</t>
  </si>
  <si>
    <t>C04155</t>
  </si>
  <si>
    <t>Dakshesh Cheema</t>
  </si>
  <si>
    <t>C04156</t>
  </si>
  <si>
    <t>Anya Krishnamurthy</t>
  </si>
  <si>
    <t>C04157</t>
  </si>
  <si>
    <t>Oni Krishnamurthy</t>
  </si>
  <si>
    <t>C04158</t>
  </si>
  <si>
    <t>Fiyaz Arya</t>
  </si>
  <si>
    <t>C04159</t>
  </si>
  <si>
    <t>Vedika Kibe</t>
  </si>
  <si>
    <t>C04160</t>
  </si>
  <si>
    <t>Timothy Saraf</t>
  </si>
  <si>
    <t>C04161</t>
  </si>
  <si>
    <t>Hemang Sura</t>
  </si>
  <si>
    <t>C04162</t>
  </si>
  <si>
    <t>Zilmil Raja</t>
  </si>
  <si>
    <t>C04163</t>
  </si>
  <si>
    <t>Hritik Chaudhari</t>
  </si>
  <si>
    <t>C04164</t>
  </si>
  <si>
    <t>Jacob Khare</t>
  </si>
  <si>
    <t>C04165</t>
  </si>
  <si>
    <t>Oviya Ramesh</t>
  </si>
  <si>
    <t>C04166</t>
  </si>
  <si>
    <t>Idika Sarraf</t>
  </si>
  <si>
    <t>C04167</t>
  </si>
  <si>
    <t>Baljiwan Rastogi</t>
  </si>
  <si>
    <t>C04168</t>
  </si>
  <si>
    <t>Atharv Kalita</t>
  </si>
  <si>
    <t>C04169</t>
  </si>
  <si>
    <t>Arjun Narasimhan</t>
  </si>
  <si>
    <t>C04170</t>
  </si>
  <si>
    <t>Brinda Sachar</t>
  </si>
  <si>
    <t>C04171</t>
  </si>
  <si>
    <t>Tanmayi Kulkarni</t>
  </si>
  <si>
    <t>C04172</t>
  </si>
  <si>
    <t>Hemangini Pandey</t>
  </si>
  <si>
    <t>C04173</t>
  </si>
  <si>
    <t>Aradhana Sehgal</t>
  </si>
  <si>
    <t>C04174</t>
  </si>
  <si>
    <t>Ekta Shanker</t>
  </si>
  <si>
    <t>C04175</t>
  </si>
  <si>
    <t>Naveen Kadakia</t>
  </si>
  <si>
    <t>C04176</t>
  </si>
  <si>
    <t>Nandini Pall</t>
  </si>
  <si>
    <t>C04177</t>
  </si>
  <si>
    <t>Xalak Chakraborty</t>
  </si>
  <si>
    <t>C04178</t>
  </si>
  <si>
    <t>Indira Yohannan</t>
  </si>
  <si>
    <t>C04179</t>
  </si>
  <si>
    <t>Edhitha Mohan</t>
  </si>
  <si>
    <t>C04180</t>
  </si>
  <si>
    <t>Gautam Ravi</t>
  </si>
  <si>
    <t>C04181</t>
  </si>
  <si>
    <t>Widisha Grewal</t>
  </si>
  <si>
    <t>C04182</t>
  </si>
  <si>
    <t>Samaksh Lanka</t>
  </si>
  <si>
    <t>C04183</t>
  </si>
  <si>
    <t>Indali Nazareth</t>
  </si>
  <si>
    <t>C04184</t>
  </si>
  <si>
    <t>Janaki Dutta</t>
  </si>
  <si>
    <t>C04185</t>
  </si>
  <si>
    <t>Ekantika Babu</t>
  </si>
  <si>
    <t>C04186</t>
  </si>
  <si>
    <t>Ranveer Mukherjee</t>
  </si>
  <si>
    <t>C04187</t>
  </si>
  <si>
    <t>Pranav Rao</t>
  </si>
  <si>
    <t>C04188</t>
  </si>
  <si>
    <t>Rushil Chander</t>
  </si>
  <si>
    <t>C04189</t>
  </si>
  <si>
    <t>Nidhi Lall</t>
  </si>
  <si>
    <t>C04190</t>
  </si>
  <si>
    <t>Harini Walia</t>
  </si>
  <si>
    <t>C04191</t>
  </si>
  <si>
    <t>Mekhala Deol</t>
  </si>
  <si>
    <t>C04192</t>
  </si>
  <si>
    <t>Hemang Memon</t>
  </si>
  <si>
    <t>C04193</t>
  </si>
  <si>
    <t>Ekiya Kar</t>
  </si>
  <si>
    <t>C04194</t>
  </si>
  <si>
    <t>Banjeet Korpal</t>
  </si>
  <si>
    <t>C04195</t>
  </si>
  <si>
    <t>Anusha Bal</t>
  </si>
  <si>
    <t>C04196</t>
  </si>
  <si>
    <t>Udarsh Kanda</t>
  </si>
  <si>
    <t>C04197</t>
  </si>
  <si>
    <t>Upkaar Sarraf</t>
  </si>
  <si>
    <t>C04198</t>
  </si>
  <si>
    <t>Maanav Arora</t>
  </si>
  <si>
    <t>C04199</t>
  </si>
  <si>
    <t>Yagnesh Bail</t>
  </si>
  <si>
    <t>C04200</t>
  </si>
  <si>
    <t>Reva Sachdeva</t>
  </si>
  <si>
    <t>C04201</t>
  </si>
  <si>
    <t>Nitara Grewal</t>
  </si>
  <si>
    <t>C04202</t>
  </si>
  <si>
    <t>Lila Lal</t>
  </si>
  <si>
    <t>C04203</t>
  </si>
  <si>
    <t>Adya Sankar</t>
  </si>
  <si>
    <t>C04204</t>
  </si>
  <si>
    <t>Janya Keer</t>
  </si>
  <si>
    <t>C04205</t>
  </si>
  <si>
    <t>C04206</t>
  </si>
  <si>
    <t>Ekanta Koshy</t>
  </si>
  <si>
    <t>C04207</t>
  </si>
  <si>
    <t>Gopal Tripathi</t>
  </si>
  <si>
    <t>C04208</t>
  </si>
  <si>
    <t>Dipta Cheema</t>
  </si>
  <si>
    <t>C04209</t>
  </si>
  <si>
    <t>Ijaya Kapur</t>
  </si>
  <si>
    <t>C04210</t>
  </si>
  <si>
    <t>Amruta Bera</t>
  </si>
  <si>
    <t>C04211</t>
  </si>
  <si>
    <t>Raksha Tank</t>
  </si>
  <si>
    <t>C04212</t>
  </si>
  <si>
    <t>Dhruv Garg</t>
  </si>
  <si>
    <t>C04213</t>
  </si>
  <si>
    <t>Saumya Bhandari</t>
  </si>
  <si>
    <t>C04214</t>
  </si>
  <si>
    <t>Vansha Divan</t>
  </si>
  <si>
    <t>C04215</t>
  </si>
  <si>
    <t>Irya Bhattacharyya</t>
  </si>
  <si>
    <t>C04216</t>
  </si>
  <si>
    <t>Zayyan Bala</t>
  </si>
  <si>
    <t>C04217</t>
  </si>
  <si>
    <t>Raagini Deol</t>
  </si>
  <si>
    <t>C04218</t>
  </si>
  <si>
    <t>Tanveer Seth</t>
  </si>
  <si>
    <t>C04219</t>
  </si>
  <si>
    <t>Daksha Narayanan</t>
  </si>
  <si>
    <t>C04220</t>
  </si>
  <si>
    <t>Yashoda Ray</t>
  </si>
  <si>
    <t>C04221</t>
  </si>
  <si>
    <t>Divya Ahuja</t>
  </si>
  <si>
    <t>C04222</t>
  </si>
  <si>
    <t>Ishita Dar</t>
  </si>
  <si>
    <t>C04223</t>
  </si>
  <si>
    <t>Devansh Wagle</t>
  </si>
  <si>
    <t>C04224</t>
  </si>
  <si>
    <t>Neel Hayer</t>
  </si>
  <si>
    <t>C04225</t>
  </si>
  <si>
    <t>Praneel Golla</t>
  </si>
  <si>
    <t>C04226</t>
  </si>
  <si>
    <t>Warda Dar</t>
  </si>
  <si>
    <t>C04227</t>
  </si>
  <si>
    <t>Gaurav Chandra</t>
  </si>
  <si>
    <t>C04228</t>
  </si>
  <si>
    <t>Lila Reddy</t>
  </si>
  <si>
    <t>C04229</t>
  </si>
  <si>
    <t>Urvi Devi</t>
  </si>
  <si>
    <t>C04230</t>
  </si>
  <si>
    <t>Qadim Char</t>
  </si>
  <si>
    <t>C04231</t>
  </si>
  <si>
    <t>Isha Goel</t>
  </si>
  <si>
    <t>C04232</t>
  </si>
  <si>
    <t>Zayyan Tata</t>
  </si>
  <si>
    <t>C04233</t>
  </si>
  <si>
    <t>Qarin Lad</t>
  </si>
  <si>
    <t>C04234</t>
  </si>
  <si>
    <t>Sai Karan</t>
  </si>
  <si>
    <t>C04235</t>
  </si>
  <si>
    <t>Finn Nori</t>
  </si>
  <si>
    <t>C04236</t>
  </si>
  <si>
    <t>Girindra Viswanathan</t>
  </si>
  <si>
    <t>C04237</t>
  </si>
  <si>
    <t>Anmol Bhat</t>
  </si>
  <si>
    <t>C04238</t>
  </si>
  <si>
    <t>Kashvi Chandran</t>
  </si>
  <si>
    <t>C04239</t>
  </si>
  <si>
    <t>Aarav Wadhwa</t>
  </si>
  <si>
    <t>C04240</t>
  </si>
  <si>
    <t>Aayush Narain</t>
  </si>
  <si>
    <t>C04241</t>
  </si>
  <si>
    <t>Damini Bala</t>
  </si>
  <si>
    <t>C04242</t>
  </si>
  <si>
    <t>Ekaraj Gera</t>
  </si>
  <si>
    <t>C04243</t>
  </si>
  <si>
    <t>Wishi Gopal</t>
  </si>
  <si>
    <t>C04244</t>
  </si>
  <si>
    <t>Hemani Chatterjee</t>
  </si>
  <si>
    <t>C04245</t>
  </si>
  <si>
    <t>Kavya Goel</t>
  </si>
  <si>
    <t>C04246</t>
  </si>
  <si>
    <t>Peter Tripathi</t>
  </si>
  <si>
    <t>C04247</t>
  </si>
  <si>
    <t>Sai Balasubramanian</t>
  </si>
  <si>
    <t>C04248</t>
  </si>
  <si>
    <t>Jai Muni</t>
  </si>
  <si>
    <t>C04249</t>
  </si>
  <si>
    <t>C04250</t>
  </si>
  <si>
    <t>Zarna Ganesh</t>
  </si>
  <si>
    <t>C04251</t>
  </si>
  <si>
    <t>Widisha Hans</t>
  </si>
  <si>
    <t>C04252</t>
  </si>
  <si>
    <t>Geetika Sha</t>
  </si>
  <si>
    <t>C04253</t>
  </si>
  <si>
    <t>Sara Dada</t>
  </si>
  <si>
    <t>C04254</t>
  </si>
  <si>
    <t>Hamsini Koshy</t>
  </si>
  <si>
    <t>C04255</t>
  </si>
  <si>
    <t>Lohit Khatri</t>
  </si>
  <si>
    <t>C04256</t>
  </si>
  <si>
    <t>Raghav Raval</t>
  </si>
  <si>
    <t>C04257</t>
  </si>
  <si>
    <t>Ishita Bhargava</t>
  </si>
  <si>
    <t>C04258</t>
  </si>
  <si>
    <t>Hardik Venkatesh</t>
  </si>
  <si>
    <t>C04259</t>
  </si>
  <si>
    <t>Ekani Vyas</t>
  </si>
  <si>
    <t>C04260</t>
  </si>
  <si>
    <t>Sai Mandal</t>
  </si>
  <si>
    <t>C04261</t>
  </si>
  <si>
    <t>Krishna Sem</t>
  </si>
  <si>
    <t>C04262</t>
  </si>
  <si>
    <t>Brinda Sandhu</t>
  </si>
  <si>
    <t>C04263</t>
  </si>
  <si>
    <t>Radhika Purohit</t>
  </si>
  <si>
    <t>C04264</t>
  </si>
  <si>
    <t>Vritti Bajwa</t>
  </si>
  <si>
    <t>C04265</t>
  </si>
  <si>
    <t>Hemang Nagy</t>
  </si>
  <si>
    <t>C04266</t>
  </si>
  <si>
    <t>Lopa Mohan</t>
  </si>
  <si>
    <t>C04267</t>
  </si>
  <si>
    <t>Bhavna Bhakta</t>
  </si>
  <si>
    <t>C04268</t>
  </si>
  <si>
    <t>Raghav Chakraborty</t>
  </si>
  <si>
    <t>C04269</t>
  </si>
  <si>
    <t>Oscar Murthy</t>
  </si>
  <si>
    <t>C04270</t>
  </si>
  <si>
    <t>Ayaan Batta</t>
  </si>
  <si>
    <t>C04271</t>
  </si>
  <si>
    <t>Lekha Guha</t>
  </si>
  <si>
    <t>C04272</t>
  </si>
  <si>
    <t>Charles Saraf</t>
  </si>
  <si>
    <t>C04273</t>
  </si>
  <si>
    <t>Yashoda Prabhakar</t>
  </si>
  <si>
    <t>C04274</t>
  </si>
  <si>
    <t>Tanish Chaudhary</t>
  </si>
  <si>
    <t>C04275</t>
  </si>
  <si>
    <t>Quincy Kant</t>
  </si>
  <si>
    <t>C04276</t>
  </si>
  <si>
    <t>Elijah Jani</t>
  </si>
  <si>
    <t>C04277</t>
  </si>
  <si>
    <t>Samuel Aurora</t>
  </si>
  <si>
    <t>C04278</t>
  </si>
  <si>
    <t>Lakshmi Jha</t>
  </si>
  <si>
    <t>C04279</t>
  </si>
  <si>
    <t>Bina Agrawal</t>
  </si>
  <si>
    <t>C04280</t>
  </si>
  <si>
    <t>Ganga Goel</t>
  </si>
  <si>
    <t>C04281</t>
  </si>
  <si>
    <t>Vedant Prabhu</t>
  </si>
  <si>
    <t>C04282</t>
  </si>
  <si>
    <t>Chaitanya Dugal</t>
  </si>
  <si>
    <t>C04283</t>
  </si>
  <si>
    <t>Yatin Kuruvilla</t>
  </si>
  <si>
    <t>C04284</t>
  </si>
  <si>
    <t>Dayita Jayaraman</t>
  </si>
  <si>
    <t>C04285</t>
  </si>
  <si>
    <t>Nimrat Anne</t>
  </si>
  <si>
    <t>C04286</t>
  </si>
  <si>
    <t>Odika Purohit</t>
  </si>
  <si>
    <t>C04287</t>
  </si>
  <si>
    <t>Ranveer Sura</t>
  </si>
  <si>
    <t>C04288</t>
  </si>
  <si>
    <t>Advaith Rana</t>
  </si>
  <si>
    <t>C04289</t>
  </si>
  <si>
    <t>Saumya Dave</t>
  </si>
  <si>
    <t>C04290</t>
  </si>
  <si>
    <t>Ekavir Contractor</t>
  </si>
  <si>
    <t>C04291</t>
  </si>
  <si>
    <t>Nathan Suresh</t>
  </si>
  <si>
    <t>C04292</t>
  </si>
  <si>
    <t>Qadim Yadav</t>
  </si>
  <si>
    <t>C04293</t>
  </si>
  <si>
    <t>Oliver Kunda</t>
  </si>
  <si>
    <t>C04294</t>
  </si>
  <si>
    <t>Bhavani Yadav</t>
  </si>
  <si>
    <t>C04295</t>
  </si>
  <si>
    <t>Bhavani Lal</t>
  </si>
  <si>
    <t>C04296</t>
  </si>
  <si>
    <t>Jagdish Rana</t>
  </si>
  <si>
    <t>C04297</t>
  </si>
  <si>
    <t>Gabriel Tank</t>
  </si>
  <si>
    <t>C04298</t>
  </si>
  <si>
    <t>Joshua Vasa</t>
  </si>
  <si>
    <t>C04299</t>
  </si>
  <si>
    <t>C04300</t>
  </si>
  <si>
    <t>Isaac Karnik</t>
  </si>
  <si>
    <t>C04301</t>
  </si>
  <si>
    <t>Lipika Gour</t>
  </si>
  <si>
    <t>C04302</t>
  </si>
  <si>
    <t>Ekansh Khurana</t>
  </si>
  <si>
    <t>C04303</t>
  </si>
  <si>
    <t>Kamala Sarma</t>
  </si>
  <si>
    <t>C04304</t>
  </si>
  <si>
    <t>Riya Barman</t>
  </si>
  <si>
    <t>C04305</t>
  </si>
  <si>
    <t>Shivansh Nadkarni</t>
  </si>
  <si>
    <t>C04306</t>
  </si>
  <si>
    <t>Akshay Dua</t>
  </si>
  <si>
    <t>C04307</t>
  </si>
  <si>
    <t>Zashil Gill</t>
  </si>
  <si>
    <t>C04308</t>
  </si>
  <si>
    <t>Turvi Iyer</t>
  </si>
  <si>
    <t>C04309</t>
  </si>
  <si>
    <t>Mahika Rai</t>
  </si>
  <si>
    <t>C04310</t>
  </si>
  <si>
    <t>Bishakha Tiwari</t>
  </si>
  <si>
    <t>C04311</t>
  </si>
  <si>
    <t>Umang Gour</t>
  </si>
  <si>
    <t>C04312</t>
  </si>
  <si>
    <t>Gautami Sarna</t>
  </si>
  <si>
    <t>C04313</t>
  </si>
  <si>
    <t>C04314</t>
  </si>
  <si>
    <t>Bhavna Dyal</t>
  </si>
  <si>
    <t>C04315</t>
  </si>
  <si>
    <t>Eesha Bhandari</t>
  </si>
  <si>
    <t>C04316</t>
  </si>
  <si>
    <t>Dhruv Rout</t>
  </si>
  <si>
    <t>C04317</t>
  </si>
  <si>
    <t>Omkaar Nagy</t>
  </si>
  <si>
    <t>C04318</t>
  </si>
  <si>
    <t>Balvan Dhar</t>
  </si>
  <si>
    <t>C04319</t>
  </si>
  <si>
    <t>Vivaan Ahuja</t>
  </si>
  <si>
    <t>C04320</t>
  </si>
  <si>
    <t>Aarush Bhardwaj</t>
  </si>
  <si>
    <t>C04321</t>
  </si>
  <si>
    <t>Jagdish Kapur</t>
  </si>
  <si>
    <t>C04322</t>
  </si>
  <si>
    <t>Ethan Bahri</t>
  </si>
  <si>
    <t>C04323</t>
  </si>
  <si>
    <t>Libni Mandal</t>
  </si>
  <si>
    <t>C04324</t>
  </si>
  <si>
    <t>Shivani Khanna</t>
  </si>
  <si>
    <t>C04325</t>
  </si>
  <si>
    <t>Zashil Pai</t>
  </si>
  <si>
    <t>C04326</t>
  </si>
  <si>
    <t>Varenya Dua</t>
  </si>
  <si>
    <t>C04327</t>
  </si>
  <si>
    <t>Jagvi Kapur</t>
  </si>
  <si>
    <t>C04328</t>
  </si>
  <si>
    <t>Bhavini Ghosh</t>
  </si>
  <si>
    <t>C04329</t>
  </si>
  <si>
    <t>Aarini Dyal</t>
  </si>
  <si>
    <t>C04330</t>
  </si>
  <si>
    <t>Ansh Sankaran</t>
  </si>
  <si>
    <t>C04331</t>
  </si>
  <si>
    <t>Maanas Basak</t>
  </si>
  <si>
    <t>C04332</t>
  </si>
  <si>
    <t>Nirja Karan</t>
  </si>
  <si>
    <t>C04333</t>
  </si>
  <si>
    <t>Jeremiah Pandit</t>
  </si>
  <si>
    <t>C04334</t>
  </si>
  <si>
    <t>Nidra Sama</t>
  </si>
  <si>
    <t>C04335</t>
  </si>
  <si>
    <t>Triveni Sethi</t>
  </si>
  <si>
    <t>C04336</t>
  </si>
  <si>
    <t>Lipika Sheth</t>
  </si>
  <si>
    <t>C04337</t>
  </si>
  <si>
    <t>Geetika Nanda</t>
  </si>
  <si>
    <t>C04338</t>
  </si>
  <si>
    <t>Kiaan Wagle</t>
  </si>
  <si>
    <t>C04339</t>
  </si>
  <si>
    <t>Yatan Kalla</t>
  </si>
  <si>
    <t>C04340</t>
  </si>
  <si>
    <t>Robert Patla</t>
  </si>
  <si>
    <t>C04341</t>
  </si>
  <si>
    <t>Nilima Prasad</t>
  </si>
  <si>
    <t>C04342</t>
  </si>
  <si>
    <t>Tanay Ramaswamy</t>
  </si>
  <si>
    <t>C04343</t>
  </si>
  <si>
    <t>Upma Chopra</t>
  </si>
  <si>
    <t>C04344</t>
  </si>
  <si>
    <t>Charita Sachar</t>
  </si>
  <si>
    <t>C04345</t>
  </si>
  <si>
    <t>Ryan Kalla</t>
  </si>
  <si>
    <t>C04346</t>
  </si>
  <si>
    <t>Naksh Rajagopalan</t>
  </si>
  <si>
    <t>C04347</t>
  </si>
  <si>
    <t>Pranit Savant</t>
  </si>
  <si>
    <t>C04348</t>
  </si>
  <si>
    <t>Samuel Raju</t>
  </si>
  <si>
    <t>C04349</t>
  </si>
  <si>
    <t>Anjali Dugal</t>
  </si>
  <si>
    <t>C04350</t>
  </si>
  <si>
    <t>Rudra Dora</t>
  </si>
  <si>
    <t>C04351</t>
  </si>
  <si>
    <t>Edhitha Sidhu</t>
  </si>
  <si>
    <t>C04352</t>
  </si>
  <si>
    <t>Kalpit Sur</t>
  </si>
  <si>
    <t>C04353</t>
  </si>
  <si>
    <t>Balendra Chatterjee</t>
  </si>
  <si>
    <t>C04354</t>
  </si>
  <si>
    <t>Frederick Bail</t>
  </si>
  <si>
    <t>C04355</t>
  </si>
  <si>
    <t>Chatresh Narula</t>
  </si>
  <si>
    <t>C04356</t>
  </si>
  <si>
    <t>Dhriti Parikh</t>
  </si>
  <si>
    <t>C04357</t>
  </si>
  <si>
    <t>Matthew Kala</t>
  </si>
  <si>
    <t>C04358</t>
  </si>
  <si>
    <t>Dominic Patil</t>
  </si>
  <si>
    <t>C04359</t>
  </si>
  <si>
    <t>Sanya Soman</t>
  </si>
  <si>
    <t>C04360</t>
  </si>
  <si>
    <t>Parth Mann</t>
  </si>
  <si>
    <t>C04361</t>
  </si>
  <si>
    <t>Harrison Dutta</t>
  </si>
  <si>
    <t>C04362</t>
  </si>
  <si>
    <t>Nihal Sagar</t>
  </si>
  <si>
    <t>C04363</t>
  </si>
  <si>
    <t>Nimrat Dutt</t>
  </si>
  <si>
    <t>C04364</t>
  </si>
  <si>
    <t>Avni Krish</t>
  </si>
  <si>
    <t>C04365</t>
  </si>
  <si>
    <t>Manan Saxena</t>
  </si>
  <si>
    <t>C04366</t>
  </si>
  <si>
    <t>Balveer Deshmukh</t>
  </si>
  <si>
    <t>C04367</t>
  </si>
  <si>
    <t>Urvashi Raghavan</t>
  </si>
  <si>
    <t>C04368</t>
  </si>
  <si>
    <t>Onkar Bahri</t>
  </si>
  <si>
    <t>C04369</t>
  </si>
  <si>
    <t>Ridhi Gopal</t>
  </si>
  <si>
    <t>C04370</t>
  </si>
  <si>
    <t>Anmol Swamy</t>
  </si>
  <si>
    <t>C04371</t>
  </si>
  <si>
    <t>Harinakshi Chada</t>
  </si>
  <si>
    <t>C04372</t>
  </si>
  <si>
    <t>Ekapad Goel</t>
  </si>
  <si>
    <t>C04373</t>
  </si>
  <si>
    <t>Charita Ramesh</t>
  </si>
  <si>
    <t>C04374</t>
  </si>
  <si>
    <t>Indrajit Hegde</t>
  </si>
  <si>
    <t>C04375</t>
  </si>
  <si>
    <t>Brinda Chacko</t>
  </si>
  <si>
    <t>C04376</t>
  </si>
  <si>
    <t>Warda Babu</t>
  </si>
  <si>
    <t>C04377</t>
  </si>
  <si>
    <t>Omkaar Patla</t>
  </si>
  <si>
    <t>C04378</t>
  </si>
  <si>
    <t>Rehaan Varghese</t>
  </si>
  <si>
    <t>C04379</t>
  </si>
  <si>
    <t>Zinal Bajwa</t>
  </si>
  <si>
    <t>C04380</t>
  </si>
  <si>
    <t>Eiravati Ganesan</t>
  </si>
  <si>
    <t>C04381</t>
  </si>
  <si>
    <t>William Mohan</t>
  </si>
  <si>
    <t>C04382</t>
  </si>
  <si>
    <t>Saumya Sant</t>
  </si>
  <si>
    <t>C04383</t>
  </si>
  <si>
    <t>Banjeet Mahajan</t>
  </si>
  <si>
    <t>C04384</t>
  </si>
  <si>
    <t>Faris Natarajan</t>
  </si>
  <si>
    <t>C04385</t>
  </si>
  <si>
    <t>Kalpit Anne</t>
  </si>
  <si>
    <t>C04386</t>
  </si>
  <si>
    <t>Chasmum Rai</t>
  </si>
  <si>
    <t>C04387</t>
  </si>
  <si>
    <t>Upma Rai</t>
  </si>
  <si>
    <t>C04388</t>
  </si>
  <si>
    <t>Balendra Madan</t>
  </si>
  <si>
    <t>C04389</t>
  </si>
  <si>
    <t>Gautami Peri</t>
  </si>
  <si>
    <t>C04390</t>
  </si>
  <si>
    <t>Niharika Oommen</t>
  </si>
  <si>
    <t>C04391</t>
  </si>
  <si>
    <t>Hiral Lal</t>
  </si>
  <si>
    <t>C04392</t>
  </si>
  <si>
    <t>Vrinda Manda</t>
  </si>
  <si>
    <t>C04393</t>
  </si>
  <si>
    <t>Fiyaz Sengupta</t>
  </si>
  <si>
    <t>C04394</t>
  </si>
  <si>
    <t>Eiravati Upadhyay</t>
  </si>
  <si>
    <t>C04395</t>
  </si>
  <si>
    <t>Arin Dave</t>
  </si>
  <si>
    <t>C04396</t>
  </si>
  <si>
    <t>Xavier Borde</t>
  </si>
  <si>
    <t>C04397</t>
  </si>
  <si>
    <t>Kashvi Bhattacharyya</t>
  </si>
  <si>
    <t>C04398</t>
  </si>
  <si>
    <t>Warjas Chahal</t>
  </si>
  <si>
    <t>C04399</t>
  </si>
  <si>
    <t>Aditya Arya</t>
  </si>
  <si>
    <t>C04400</t>
  </si>
  <si>
    <t>Ekavir Dugal</t>
  </si>
  <si>
    <t>C04401</t>
  </si>
  <si>
    <t>Ganga Cherian</t>
  </si>
  <si>
    <t>C04402</t>
  </si>
  <si>
    <t>Daksh Dewan</t>
  </si>
  <si>
    <t>C04403</t>
  </si>
  <si>
    <t>Finn Grewal</t>
  </si>
  <si>
    <t>C04404</t>
  </si>
  <si>
    <t>Gavin Aggarwal</t>
  </si>
  <si>
    <t>C04405</t>
  </si>
  <si>
    <t>Viraj Kade</t>
  </si>
  <si>
    <t>C04406</t>
  </si>
  <si>
    <t>Fariq Ram</t>
  </si>
  <si>
    <t>C04407</t>
  </si>
  <si>
    <t>Reyansh Soni</t>
  </si>
  <si>
    <t>C04408</t>
  </si>
  <si>
    <t>Warhi Grewal</t>
  </si>
  <si>
    <t>C04409</t>
  </si>
  <si>
    <t>Bhavna Bhat</t>
  </si>
  <si>
    <t>C04410</t>
  </si>
  <si>
    <t>Qasim Tripathi</t>
  </si>
  <si>
    <t>C04411</t>
  </si>
  <si>
    <t>Fariq Goda</t>
  </si>
  <si>
    <t>C04412</t>
  </si>
  <si>
    <t>Adya Dhawan</t>
  </si>
  <si>
    <t>C04413</t>
  </si>
  <si>
    <t>Jatin Borra</t>
  </si>
  <si>
    <t>C04414</t>
  </si>
  <si>
    <t>Rachit Nagy</t>
  </si>
  <si>
    <t>C04415</t>
  </si>
  <si>
    <t>Nicholas Rana</t>
  </si>
  <si>
    <t>C04416</t>
  </si>
  <si>
    <t>Nitara Toor</t>
  </si>
  <si>
    <t>C04417</t>
  </si>
  <si>
    <t>Tejas Sandhu</t>
  </si>
  <si>
    <t>C04418</t>
  </si>
  <si>
    <t>C04419</t>
  </si>
  <si>
    <t>Zayan Manda</t>
  </si>
  <si>
    <t>C04420</t>
  </si>
  <si>
    <t>Dhruv Bhatia</t>
  </si>
  <si>
    <t>C04421</t>
  </si>
  <si>
    <t>Wakeeta Padmanabhan</t>
  </si>
  <si>
    <t>C04422</t>
  </si>
  <si>
    <t>Qushi Buch</t>
  </si>
  <si>
    <t>C04423</t>
  </si>
  <si>
    <t>Advik Chakrabarti</t>
  </si>
  <si>
    <t>C04424</t>
  </si>
  <si>
    <t>Janaki Bhatti</t>
  </si>
  <si>
    <t>C04425</t>
  </si>
  <si>
    <t>Eiravati Seshadri</t>
  </si>
  <si>
    <t>C04426</t>
  </si>
  <si>
    <t>Varsha Prabhakar</t>
  </si>
  <si>
    <t>C04427</t>
  </si>
  <si>
    <t>Charita Suresh</t>
  </si>
  <si>
    <t>C04428</t>
  </si>
  <si>
    <t>Ranveer Kari</t>
  </si>
  <si>
    <t>C04429</t>
  </si>
  <si>
    <t>C04430</t>
  </si>
  <si>
    <t>Udyati Shenoy</t>
  </si>
  <si>
    <t>C04431</t>
  </si>
  <si>
    <t>Neha Sheth</t>
  </si>
  <si>
    <t>C04432</t>
  </si>
  <si>
    <t>Sneha Dua</t>
  </si>
  <si>
    <t>C04433</t>
  </si>
  <si>
    <t>Lekha Saini</t>
  </si>
  <si>
    <t>C04434</t>
  </si>
  <si>
    <t>Liam Nadig</t>
  </si>
  <si>
    <t>C04435</t>
  </si>
  <si>
    <t>Manthan Ratta</t>
  </si>
  <si>
    <t>C04436</t>
  </si>
  <si>
    <t>Akshay Saraf</t>
  </si>
  <si>
    <t>C04437</t>
  </si>
  <si>
    <t>Matthew Gour</t>
  </si>
  <si>
    <t>C04438</t>
  </si>
  <si>
    <t>Girish Babu</t>
  </si>
  <si>
    <t>C04439</t>
  </si>
  <si>
    <t>Urmi Doctor</t>
  </si>
  <si>
    <t>C04440</t>
  </si>
  <si>
    <t>Geetika Hora</t>
  </si>
  <si>
    <t>C04441</t>
  </si>
  <si>
    <t>Widisha Ramanathan</t>
  </si>
  <si>
    <t>C04442</t>
  </si>
  <si>
    <t>Chavvi Mall</t>
  </si>
  <si>
    <t>C04443</t>
  </si>
  <si>
    <t>Ranveer Sur</t>
  </si>
  <si>
    <t>C04444</t>
  </si>
  <si>
    <t>Rachita Saran</t>
  </si>
  <si>
    <t>C04445</t>
  </si>
  <si>
    <t>Vinaya Bhasin</t>
  </si>
  <si>
    <t>C04446</t>
  </si>
  <si>
    <t>Hitesh Bhavsar</t>
  </si>
  <si>
    <t>C04447</t>
  </si>
  <si>
    <t>Vansha Mann</t>
  </si>
  <si>
    <t>C04448</t>
  </si>
  <si>
    <t>Wahab Venkataraman</t>
  </si>
  <si>
    <t>C04449</t>
  </si>
  <si>
    <t>Tarak Saha</t>
  </si>
  <si>
    <t>C04450</t>
  </si>
  <si>
    <t>Agastya Morar</t>
  </si>
  <si>
    <t>C04451</t>
  </si>
  <si>
    <t>Hamsini Mukhopadhyay</t>
  </si>
  <si>
    <t>C04452</t>
  </si>
  <si>
    <t>Jairaj Dayal</t>
  </si>
  <si>
    <t>C04453</t>
  </si>
  <si>
    <t>Harita Prakash</t>
  </si>
  <si>
    <t>C04454</t>
  </si>
  <si>
    <t>Kala Solanki</t>
  </si>
  <si>
    <t>C04455</t>
  </si>
  <si>
    <t>Andrew Sekhon</t>
  </si>
  <si>
    <t>C04456</t>
  </si>
  <si>
    <t>Omisha Koshy</t>
  </si>
  <si>
    <t>C04457</t>
  </si>
  <si>
    <t>Eta Kaur</t>
  </si>
  <si>
    <t>C04458</t>
  </si>
  <si>
    <t>Vamakshi Mand</t>
  </si>
  <si>
    <t>C04459</t>
  </si>
  <si>
    <t>Garima Hayer</t>
  </si>
  <si>
    <t>C04460</t>
  </si>
  <si>
    <t>Ekanta Karnik</t>
  </si>
  <si>
    <t>C04461</t>
  </si>
  <si>
    <t>Zaid Suresh</t>
  </si>
  <si>
    <t>C04462</t>
  </si>
  <si>
    <t>Anirudh Munshi</t>
  </si>
  <si>
    <t>C04463</t>
  </si>
  <si>
    <t>Leena Divan</t>
  </si>
  <si>
    <t>C04464</t>
  </si>
  <si>
    <t>Finn Wadhwa</t>
  </si>
  <si>
    <t>C04465</t>
  </si>
  <si>
    <t>Turvi Lata</t>
  </si>
  <si>
    <t>C04466</t>
  </si>
  <si>
    <t>Shivani Ramachandran</t>
  </si>
  <si>
    <t>C04467</t>
  </si>
  <si>
    <t>Anya Dhar</t>
  </si>
  <si>
    <t>C04468</t>
  </si>
  <si>
    <t>Daniel Som</t>
  </si>
  <si>
    <t>C04469</t>
  </si>
  <si>
    <t>C04470</t>
  </si>
  <si>
    <t>Ishani Subramanian</t>
  </si>
  <si>
    <t>C04471</t>
  </si>
  <si>
    <t>Anjali Nagarajan</t>
  </si>
  <si>
    <t>C04472</t>
  </si>
  <si>
    <t>Dipta Yadav</t>
  </si>
  <si>
    <t>C04473</t>
  </si>
  <si>
    <t>C04474</t>
  </si>
  <si>
    <t>Darsh Hayer</t>
  </si>
  <si>
    <t>C04475</t>
  </si>
  <si>
    <t>Yuvraj Puri</t>
  </si>
  <si>
    <t>C04476</t>
  </si>
  <si>
    <t>Advay Misra</t>
  </si>
  <si>
    <t>C04477</t>
  </si>
  <si>
    <t>Samarth Dhawan</t>
  </si>
  <si>
    <t>C04478</t>
  </si>
  <si>
    <t>Aryan Balakrishnan</t>
  </si>
  <si>
    <t>C04479</t>
  </si>
  <si>
    <t>Farhan Pillay</t>
  </si>
  <si>
    <t>C04480</t>
  </si>
  <si>
    <t>Manbir Sekhon</t>
  </si>
  <si>
    <t>C04481</t>
  </si>
  <si>
    <t>Naksh Sawhney</t>
  </si>
  <si>
    <t>C04482</t>
  </si>
  <si>
    <t>Hritik Mahal</t>
  </si>
  <si>
    <t>C04483</t>
  </si>
  <si>
    <t>Anya Hora</t>
  </si>
  <si>
    <t>C04484</t>
  </si>
  <si>
    <t>Bhavani Gaba</t>
  </si>
  <si>
    <t>C04485</t>
  </si>
  <si>
    <t>Ekantika Badal</t>
  </si>
  <si>
    <t>C04486</t>
  </si>
  <si>
    <t>Charles Narain</t>
  </si>
  <si>
    <t>C04487</t>
  </si>
  <si>
    <t>Jyoti Dhar</t>
  </si>
  <si>
    <t>C04488</t>
  </si>
  <si>
    <t>Keya Bal</t>
  </si>
  <si>
    <t>C04489</t>
  </si>
  <si>
    <t>Ekiya Randhawa</t>
  </si>
  <si>
    <t>C04490</t>
  </si>
  <si>
    <t>Eta Banerjee</t>
  </si>
  <si>
    <t>C04491</t>
  </si>
  <si>
    <t>Ekiya Baral</t>
  </si>
  <si>
    <t>C04492</t>
  </si>
  <si>
    <t>Kevin Taneja</t>
  </si>
  <si>
    <t>C04493</t>
  </si>
  <si>
    <t>Ekansh Dey</t>
  </si>
  <si>
    <t>C04494</t>
  </si>
  <si>
    <t>Harsh Virk</t>
  </si>
  <si>
    <t>C04495</t>
  </si>
  <si>
    <t>Wahab Chanda</t>
  </si>
  <si>
    <t>C04496</t>
  </si>
  <si>
    <t>Ishanvi Nigam</t>
  </si>
  <si>
    <t>C04497</t>
  </si>
  <si>
    <t>Nitara Oza</t>
  </si>
  <si>
    <t>C04498</t>
  </si>
  <si>
    <t>Waida Rattan</t>
  </si>
  <si>
    <t>C04499</t>
  </si>
  <si>
    <t>Omaja Randhawa</t>
  </si>
  <si>
    <t>C04500</t>
  </si>
  <si>
    <t>Gaurav Johal</t>
  </si>
  <si>
    <t>C04501</t>
  </si>
  <si>
    <t>Nathan D’Alia</t>
  </si>
  <si>
    <t>C04502</t>
  </si>
  <si>
    <t>Utkarsh Khatri</t>
  </si>
  <si>
    <t>C04503</t>
  </si>
  <si>
    <t>Arjun Ben</t>
  </si>
  <si>
    <t>C04504</t>
  </si>
  <si>
    <t>Varenya Basak</t>
  </si>
  <si>
    <t>C04505</t>
  </si>
  <si>
    <t>Theodore Kaul</t>
  </si>
  <si>
    <t>C04506</t>
  </si>
  <si>
    <t>Laksh Tella</t>
  </si>
  <si>
    <t>C04507</t>
  </si>
  <si>
    <t>Ekantika Ram</t>
  </si>
  <si>
    <t>C04508</t>
  </si>
  <si>
    <t>Anirudh Uppal</t>
  </si>
  <si>
    <t>C04509</t>
  </si>
  <si>
    <t>Waida Bajwa</t>
  </si>
  <si>
    <t>C04510</t>
  </si>
  <si>
    <t>Ekansh Baria</t>
  </si>
  <si>
    <t>C04511</t>
  </si>
  <si>
    <t>Balendra Joshi</t>
  </si>
  <si>
    <t>C04512</t>
  </si>
  <si>
    <t>Vyanjana Amble</t>
  </si>
  <si>
    <t>C04513</t>
  </si>
  <si>
    <t>Faris Pillai</t>
  </si>
  <si>
    <t>C04514</t>
  </si>
  <si>
    <t>Mekhala Kala</t>
  </si>
  <si>
    <t>C04515</t>
  </si>
  <si>
    <t>Abhimanyu Manda</t>
  </si>
  <si>
    <t>C04516</t>
  </si>
  <si>
    <t>Kavya Vaidya</t>
  </si>
  <si>
    <t>C04517</t>
  </si>
  <si>
    <t>Nathaniel Jaggi</t>
  </si>
  <si>
    <t>C04518</t>
  </si>
  <si>
    <t>Gaurika Hayre</t>
  </si>
  <si>
    <t>C04519</t>
  </si>
  <si>
    <t>Abha Ramaswamy</t>
  </si>
  <si>
    <t>C04520</t>
  </si>
  <si>
    <t>Bhavika Seth</t>
  </si>
  <si>
    <t>C04521</t>
  </si>
  <si>
    <t>Sanaya Vala</t>
  </si>
  <si>
    <t>C04522</t>
  </si>
  <si>
    <t>Samarth Goyal</t>
  </si>
  <si>
    <t>C04523</t>
  </si>
  <si>
    <t>Benjamin Ram</t>
  </si>
  <si>
    <t>C04524</t>
  </si>
  <si>
    <t>Samesh Iyengar</t>
  </si>
  <si>
    <t>C04525</t>
  </si>
  <si>
    <t>Tanish Mitter</t>
  </si>
  <si>
    <t>C04526</t>
  </si>
  <si>
    <t>Ubika Bhagat</t>
  </si>
  <si>
    <t>C04527</t>
  </si>
  <si>
    <t>Zayyan Kalla</t>
  </si>
  <si>
    <t>C04528</t>
  </si>
  <si>
    <t>Dayita Arora</t>
  </si>
  <si>
    <t>C04529</t>
  </si>
  <si>
    <t>Pratyush Nath</t>
  </si>
  <si>
    <t>C04530</t>
  </si>
  <si>
    <t>Xalak Rama</t>
  </si>
  <si>
    <t>C04531</t>
  </si>
  <si>
    <t>Tanvi Raman</t>
  </si>
  <si>
    <t>C04532</t>
  </si>
  <si>
    <t>Vyanjana Srinivasan</t>
  </si>
  <si>
    <t>C04533</t>
  </si>
  <si>
    <t>Yuvraj Brahmbhatt</t>
  </si>
  <si>
    <t>C04534</t>
  </si>
  <si>
    <t>Aadi Balasubramanian</t>
  </si>
  <si>
    <t>C04535</t>
  </si>
  <si>
    <t>Advay Mahal</t>
  </si>
  <si>
    <t>C04536</t>
  </si>
  <si>
    <t>Chavvi Saxena</t>
  </si>
  <si>
    <t>C04537</t>
  </si>
  <si>
    <t>Nathaniel Chatterjee</t>
  </si>
  <si>
    <t>C04538</t>
  </si>
  <si>
    <t>Jhalak Kale</t>
  </si>
  <si>
    <t>C04539</t>
  </si>
  <si>
    <t>Pallavi Pradhan</t>
  </si>
  <si>
    <t>C04540</t>
  </si>
  <si>
    <t>Ati Sahni</t>
  </si>
  <si>
    <t>C04541</t>
  </si>
  <si>
    <t>Chameli Banerjee</t>
  </si>
  <si>
    <t>C04542</t>
  </si>
  <si>
    <t>C04543</t>
  </si>
  <si>
    <t>Tanmayi Jayaraman</t>
  </si>
  <si>
    <t>C04544</t>
  </si>
  <si>
    <t>Azaan Soni</t>
  </si>
  <si>
    <t>C04545</t>
  </si>
  <si>
    <t>Akshay Chowdhury</t>
  </si>
  <si>
    <t>C04546</t>
  </si>
  <si>
    <t>Wahab Shah</t>
  </si>
  <si>
    <t>C04547</t>
  </si>
  <si>
    <t>Anamika Bajaj</t>
  </si>
  <si>
    <t>C04548</t>
  </si>
  <si>
    <t>Dev Dua</t>
  </si>
  <si>
    <t>C04549</t>
  </si>
  <si>
    <t>Dhruv Rao</t>
  </si>
  <si>
    <t>C04550</t>
  </si>
  <si>
    <t>Ayushman Barad</t>
  </si>
  <si>
    <t>C04551</t>
  </si>
  <si>
    <t>Rachana Shroff</t>
  </si>
  <si>
    <t>C04552</t>
  </si>
  <si>
    <t>Parth Arya</t>
  </si>
  <si>
    <t>C04553</t>
  </si>
  <si>
    <t>Dev Mand</t>
  </si>
  <si>
    <t>C04554</t>
  </si>
  <si>
    <t>Varenya Jain</t>
  </si>
  <si>
    <t>C04555</t>
  </si>
  <si>
    <t>Arjun Magar</t>
  </si>
  <si>
    <t>C04556</t>
  </si>
  <si>
    <t>Wahab Sem</t>
  </si>
  <si>
    <t>C04557</t>
  </si>
  <si>
    <t>Chaitanya Saran</t>
  </si>
  <si>
    <t>C04558</t>
  </si>
  <si>
    <t>Vincent Batta</t>
  </si>
  <si>
    <t>C04559</t>
  </si>
  <si>
    <t>Januja Chakrabarti</t>
  </si>
  <si>
    <t>C04560</t>
  </si>
  <si>
    <t>Tanmayi Sodhi</t>
  </si>
  <si>
    <t>C04561</t>
  </si>
  <si>
    <t>Kashvi Prabhu</t>
  </si>
  <si>
    <t>C04562</t>
  </si>
  <si>
    <t>Ekani Palan</t>
  </si>
  <si>
    <t>C04563</t>
  </si>
  <si>
    <t>Owen Ratti</t>
  </si>
  <si>
    <t>C04564</t>
  </si>
  <si>
    <t>Unni Palan</t>
  </si>
  <si>
    <t>C04565</t>
  </si>
  <si>
    <t>Manbir Talwar</t>
  </si>
  <si>
    <t>C04566</t>
  </si>
  <si>
    <t>Jagvi Sankaran</t>
  </si>
  <si>
    <t>C04567</t>
  </si>
  <si>
    <t>Zehaan Devan</t>
  </si>
  <si>
    <t>C04568</t>
  </si>
  <si>
    <t>Jagrati Shukla</t>
  </si>
  <si>
    <t>C04569</t>
  </si>
  <si>
    <t>Nitesh Basak</t>
  </si>
  <si>
    <t>C04570</t>
  </si>
  <si>
    <t>Yashawini Dhillon</t>
  </si>
  <si>
    <t>C04571</t>
  </si>
  <si>
    <t>Nathaniel Dewan</t>
  </si>
  <si>
    <t>C04572</t>
  </si>
  <si>
    <t>Meghana Bumb</t>
  </si>
  <si>
    <t>C04573</t>
  </si>
  <si>
    <t>Isaac Thaker</t>
  </si>
  <si>
    <t>C04574</t>
  </si>
  <si>
    <t>Zinal Chawla</t>
  </si>
  <si>
    <t>C04575</t>
  </si>
  <si>
    <t>Aachal Gala</t>
  </si>
  <si>
    <t>C04576</t>
  </si>
  <si>
    <t>Gaurika Suresh</t>
  </si>
  <si>
    <t>C04577</t>
  </si>
  <si>
    <t>Eshana Prakash</t>
  </si>
  <si>
    <t>C04578</t>
  </si>
  <si>
    <t>Maya Kanda</t>
  </si>
  <si>
    <t>C04579</t>
  </si>
  <si>
    <t>Nikita Cherian</t>
  </si>
  <si>
    <t>C04580</t>
  </si>
  <si>
    <t>Sudiksha Dugal</t>
  </si>
  <si>
    <t>C04581</t>
  </si>
  <si>
    <t>Aadi Thaman</t>
  </si>
  <si>
    <t>C04582</t>
  </si>
  <si>
    <t>Warhi Dhawan</t>
  </si>
  <si>
    <t>C04583</t>
  </si>
  <si>
    <t>Damini Khurana</t>
  </si>
  <si>
    <t>C04584</t>
  </si>
  <si>
    <t>Chavvi Kadakia</t>
  </si>
  <si>
    <t>C04585</t>
  </si>
  <si>
    <t>Rayaan Bajwa</t>
  </si>
  <si>
    <t>C04586</t>
  </si>
  <si>
    <t>Azaan Merchant</t>
  </si>
  <si>
    <t>C04587</t>
  </si>
  <si>
    <t>Sarthak Grewal</t>
  </si>
  <si>
    <t>C04588</t>
  </si>
  <si>
    <t>Ekalinga Kulkarni</t>
  </si>
  <si>
    <t>C04589</t>
  </si>
  <si>
    <t>Jagat Sami</t>
  </si>
  <si>
    <t>C04590</t>
  </si>
  <si>
    <t>Neha Anne</t>
  </si>
  <si>
    <t>C04591</t>
  </si>
  <si>
    <t>Hemal Rama</t>
  </si>
  <si>
    <t>C04592</t>
  </si>
  <si>
    <t>Sathvik Modi</t>
  </si>
  <si>
    <t>C04593</t>
  </si>
  <si>
    <t>Vanya Barman</t>
  </si>
  <si>
    <t>C04594</t>
  </si>
  <si>
    <t>Azad Tata</t>
  </si>
  <si>
    <t>C04595</t>
  </si>
  <si>
    <t>Indali Balasubramanian</t>
  </si>
  <si>
    <t>C04596</t>
  </si>
  <si>
    <t>Urvashi Rajagopal</t>
  </si>
  <si>
    <t>C04597</t>
  </si>
  <si>
    <t>Pahal Panchal</t>
  </si>
  <si>
    <t>C04598</t>
  </si>
  <si>
    <t>Avi Rai</t>
  </si>
  <si>
    <t>C04599</t>
  </si>
  <si>
    <t>Vinaya Chadha</t>
  </si>
  <si>
    <t>C04600</t>
  </si>
  <si>
    <t>Zayyan Chanda</t>
  </si>
  <si>
    <t>C04601</t>
  </si>
  <si>
    <t>Yatan Chandra</t>
  </si>
  <si>
    <t>C04602</t>
  </si>
  <si>
    <t>Ladli Nazareth</t>
  </si>
  <si>
    <t>C04603</t>
  </si>
  <si>
    <t>Upasna Banerjee</t>
  </si>
  <si>
    <t>C04604</t>
  </si>
  <si>
    <t>Dayita Seth</t>
  </si>
  <si>
    <t>C04605</t>
  </si>
  <si>
    <t>Nirja Chandran</t>
  </si>
  <si>
    <t>C04606</t>
  </si>
  <si>
    <t>Kabir Bala</t>
  </si>
  <si>
    <t>C04607</t>
  </si>
  <si>
    <t>Ekapad Thakkar</t>
  </si>
  <si>
    <t>C04608</t>
  </si>
  <si>
    <t>Ubika Maharaj</t>
  </si>
  <si>
    <t>C04609</t>
  </si>
  <si>
    <t>Chanakya Kulkarni</t>
  </si>
  <si>
    <t>C04610</t>
  </si>
  <si>
    <t>Zansi Swaminathan</t>
  </si>
  <si>
    <t>C04611</t>
  </si>
  <si>
    <t>Siya Memon</t>
  </si>
  <si>
    <t>C04612</t>
  </si>
  <si>
    <t>C04613</t>
  </si>
  <si>
    <t>Pooja Choudhary</t>
  </si>
  <si>
    <t>C04614</t>
  </si>
  <si>
    <t>Faraj Issac</t>
  </si>
  <si>
    <t>C04615</t>
  </si>
  <si>
    <t>Vedika Krish</t>
  </si>
  <si>
    <t>C04616</t>
  </si>
  <si>
    <t>Lila Goda</t>
  </si>
  <si>
    <t>C04617</t>
  </si>
  <si>
    <t>Caleb Mittal</t>
  </si>
  <si>
    <t>C04618</t>
  </si>
  <si>
    <t>Udant Oak</t>
  </si>
  <si>
    <t>C04619</t>
  </si>
  <si>
    <t>Veer Saxena</t>
  </si>
  <si>
    <t>C04620</t>
  </si>
  <si>
    <t>Harrison Gala</t>
  </si>
  <si>
    <t>C04621</t>
  </si>
  <si>
    <t>Kevin Bajwa</t>
  </si>
  <si>
    <t>C04622</t>
  </si>
  <si>
    <t>Watika Peri</t>
  </si>
  <si>
    <t>C04623</t>
  </si>
  <si>
    <t>Ansh Vohra</t>
  </si>
  <si>
    <t>C04624</t>
  </si>
  <si>
    <t>Hitesh Sahota</t>
  </si>
  <si>
    <t>C04625</t>
  </si>
  <si>
    <t>Bahadurjit Mallick</t>
  </si>
  <si>
    <t>C04626</t>
  </si>
  <si>
    <t>Pahal Bhavsar</t>
  </si>
  <si>
    <t>C04627</t>
  </si>
  <si>
    <t>Gagan Lall</t>
  </si>
  <si>
    <t>C04628</t>
  </si>
  <si>
    <t>Vaishnavi Rattan</t>
  </si>
  <si>
    <t>C04629</t>
  </si>
  <si>
    <t>Laksh Dara</t>
  </si>
  <si>
    <t>C04630</t>
  </si>
  <si>
    <t>Neel Chadha</t>
  </si>
  <si>
    <t>C04631</t>
  </si>
  <si>
    <t>Ronith Sehgal</t>
  </si>
  <si>
    <t>C04632</t>
  </si>
  <si>
    <t>Adya Sridhar</t>
  </si>
  <si>
    <t>C04633</t>
  </si>
  <si>
    <t>Qasim Sachdev</t>
  </si>
  <si>
    <t>C04634</t>
  </si>
  <si>
    <t>Balveer Kata</t>
  </si>
  <si>
    <t>C04635</t>
  </si>
  <si>
    <t>Manan Mital</t>
  </si>
  <si>
    <t>C04636</t>
  </si>
  <si>
    <t>Mahika Apte</t>
  </si>
  <si>
    <t>C04637</t>
  </si>
  <si>
    <t>Darpan Uppal</t>
  </si>
  <si>
    <t>C04638</t>
  </si>
  <si>
    <t>Isaiah Vohra</t>
  </si>
  <si>
    <t>C04639</t>
  </si>
  <si>
    <t>Aditya Mitter</t>
  </si>
  <si>
    <t>C04640</t>
  </si>
  <si>
    <t>Ekaja Kohli</t>
  </si>
  <si>
    <t>C04641</t>
  </si>
  <si>
    <t>Tanay Gulati</t>
  </si>
  <si>
    <t>C04642</t>
  </si>
  <si>
    <t>Vanya Srinivas</t>
  </si>
  <si>
    <t>C04643</t>
  </si>
  <si>
    <t>Hardik Gera</t>
  </si>
  <si>
    <t>C04644</t>
  </si>
  <si>
    <t>Ekavir Dhingra</t>
  </si>
  <si>
    <t>C04645</t>
  </si>
  <si>
    <t>Yashvi Dhillon</t>
  </si>
  <si>
    <t>C04646</t>
  </si>
  <si>
    <t>Vanya Varghese</t>
  </si>
  <si>
    <t>C04647</t>
  </si>
  <si>
    <t>Nitesh Koshy</t>
  </si>
  <si>
    <t>C04648</t>
  </si>
  <si>
    <t>Janaki Kar</t>
  </si>
  <si>
    <t>C04649</t>
  </si>
  <si>
    <t>Niharika Bhasin</t>
  </si>
  <si>
    <t>C04650</t>
  </si>
  <si>
    <t>Brijesh Nagi</t>
  </si>
  <si>
    <t>C04651</t>
  </si>
  <si>
    <t>Ayaan Hans</t>
  </si>
  <si>
    <t>C04652</t>
  </si>
  <si>
    <t>Mahika Sengupta</t>
  </si>
  <si>
    <t>C04653</t>
  </si>
  <si>
    <t>Joshua Srinivas</t>
  </si>
  <si>
    <t>C04654</t>
  </si>
  <si>
    <t>Nakul Khurana</t>
  </si>
  <si>
    <t>C04655</t>
  </si>
  <si>
    <t>Widisha Borde</t>
  </si>
  <si>
    <t>C04656</t>
  </si>
  <si>
    <t>Azaan Sahni</t>
  </si>
  <si>
    <t>C04657</t>
  </si>
  <si>
    <t>Frado Dhingra</t>
  </si>
  <si>
    <t>C04658</t>
  </si>
  <si>
    <t>Kala Mall</t>
  </si>
  <si>
    <t>C04659</t>
  </si>
  <si>
    <t>Avni Shetty</t>
  </si>
  <si>
    <t>C04660</t>
  </si>
  <si>
    <t>Chavvi Wason</t>
  </si>
  <si>
    <t>C04661</t>
  </si>
  <si>
    <t>Darika Singhal</t>
  </si>
  <si>
    <t>C04662</t>
  </si>
  <si>
    <t>Libni Devan</t>
  </si>
  <si>
    <t>C04663</t>
  </si>
  <si>
    <t>Geetika Chand</t>
  </si>
  <si>
    <t>C04664</t>
  </si>
  <si>
    <t>Hema Walia</t>
  </si>
  <si>
    <t>C04665</t>
  </si>
  <si>
    <t>Zayan Loyal</t>
  </si>
  <si>
    <t>C04666</t>
  </si>
  <si>
    <t>Bhavya Varghese</t>
  </si>
  <si>
    <t>C04667</t>
  </si>
  <si>
    <t>Dhriti Naik</t>
  </si>
  <si>
    <t>C04668</t>
  </si>
  <si>
    <t>Rayaan Pall</t>
  </si>
  <si>
    <t>C04669</t>
  </si>
  <si>
    <t>Rehaan Nayak</t>
  </si>
  <si>
    <t>C04670</t>
  </si>
  <si>
    <t>C04671</t>
  </si>
  <si>
    <t>Raghav Dewan</t>
  </si>
  <si>
    <t>C04672</t>
  </si>
  <si>
    <t>Ranveer Pathak</t>
  </si>
  <si>
    <t>C04673</t>
  </si>
  <si>
    <t>Samarth Shere</t>
  </si>
  <si>
    <t>C04674</t>
  </si>
  <si>
    <t>Jacob Manne</t>
  </si>
  <si>
    <t>C04675</t>
  </si>
  <si>
    <t>Samesh Nazareth</t>
  </si>
  <si>
    <t>C04676</t>
  </si>
  <si>
    <t>Watika Prasad</t>
  </si>
  <si>
    <t>C04677</t>
  </si>
  <si>
    <t>Manya Sule</t>
  </si>
  <si>
    <t>C04678</t>
  </si>
  <si>
    <t>Tripti Yogi</t>
  </si>
  <si>
    <t>C04679</t>
  </si>
  <si>
    <t>Madhav Kumar</t>
  </si>
  <si>
    <t>C04680</t>
  </si>
  <si>
    <t>Zayyan Dash</t>
  </si>
  <si>
    <t>C04681</t>
  </si>
  <si>
    <t>Maya Aggarwal</t>
  </si>
  <si>
    <t>C04682</t>
  </si>
  <si>
    <t>Ranbir Kumar</t>
  </si>
  <si>
    <t>C04683</t>
  </si>
  <si>
    <t>Suhani Malhotra</t>
  </si>
  <si>
    <t>C04684</t>
  </si>
  <si>
    <t>Rushil Lata</t>
  </si>
  <si>
    <t>C04685</t>
  </si>
  <si>
    <t>Prisha Suri</t>
  </si>
  <si>
    <t>C04686</t>
  </si>
  <si>
    <t>Vamakshi Sarkar</t>
  </si>
  <si>
    <t>C04687</t>
  </si>
  <si>
    <t>Dhriti Dar</t>
  </si>
  <si>
    <t>C04688</t>
  </si>
  <si>
    <t>Pratyush Das</t>
  </si>
  <si>
    <t>C04689</t>
  </si>
  <si>
    <t>Chatura Barman</t>
  </si>
  <si>
    <t>C04690</t>
  </si>
  <si>
    <t>Arunima Chokshi</t>
  </si>
  <si>
    <t>C04691</t>
  </si>
  <si>
    <t>Joshua Char</t>
  </si>
  <si>
    <t>C04692</t>
  </si>
  <si>
    <t>Samarth Baral</t>
  </si>
  <si>
    <t>C04693</t>
  </si>
  <si>
    <t>Advaith Choudhury</t>
  </si>
  <si>
    <t>C04694</t>
  </si>
  <si>
    <t>Aradhana Mane</t>
  </si>
  <si>
    <t>C04695</t>
  </si>
  <si>
    <t>Wridesh Kashyap</t>
  </si>
  <si>
    <t>C04696</t>
  </si>
  <si>
    <t>Amara Pandya</t>
  </si>
  <si>
    <t>C04697</t>
  </si>
  <si>
    <t>Max Bajaj</t>
  </si>
  <si>
    <t>C04698</t>
  </si>
  <si>
    <t>Thomas Garg</t>
  </si>
  <si>
    <t>C04699</t>
  </si>
  <si>
    <t>Samar Badal</t>
  </si>
  <si>
    <t>C04700</t>
  </si>
  <si>
    <t>Gavin Madan</t>
  </si>
  <si>
    <t>C04701</t>
  </si>
  <si>
    <t>Jeet Chandran</t>
  </si>
  <si>
    <t>C04702</t>
  </si>
  <si>
    <t>Niharika Kant</t>
  </si>
  <si>
    <t>C04703</t>
  </si>
  <si>
    <t>Tripti Gandhi</t>
  </si>
  <si>
    <t>C04704</t>
  </si>
  <si>
    <t>Thomas Mammen</t>
  </si>
  <si>
    <t>C04705</t>
  </si>
  <si>
    <t>Aarush Khare</t>
  </si>
  <si>
    <t>C04706</t>
  </si>
  <si>
    <t>Radhika Raju</t>
  </si>
  <si>
    <t>C04707</t>
  </si>
  <si>
    <t>Tanay Kata</t>
  </si>
  <si>
    <t>C04708</t>
  </si>
  <si>
    <t>Finn Rege</t>
  </si>
  <si>
    <t>C04709</t>
  </si>
  <si>
    <t>Saanvi Doctor</t>
  </si>
  <si>
    <t>C04710</t>
  </si>
  <si>
    <t>Lajita Bajaj</t>
  </si>
  <si>
    <t>C04711</t>
  </si>
  <si>
    <t>Samesh Swamy</t>
  </si>
  <si>
    <t>C04712</t>
  </si>
  <si>
    <t>Hema Nagy</t>
  </si>
  <si>
    <t>C04713</t>
  </si>
  <si>
    <t>Xalak Tripathi</t>
  </si>
  <si>
    <t>C04714</t>
  </si>
  <si>
    <t>Riya Jha</t>
  </si>
  <si>
    <t>C04715</t>
  </si>
  <si>
    <t>Maanas Brahmbhatt</t>
  </si>
  <si>
    <t>C04716</t>
  </si>
  <si>
    <t>Om Raval</t>
  </si>
  <si>
    <t>C04717</t>
  </si>
  <si>
    <t>Tejas Murthy</t>
  </si>
  <si>
    <t>C04718</t>
  </si>
  <si>
    <t>Nidhi Mahal</t>
  </si>
  <si>
    <t>C04719</t>
  </si>
  <si>
    <t>Bina Kashyap</t>
  </si>
  <si>
    <t>C04720</t>
  </si>
  <si>
    <t>Upasna Bajwa</t>
  </si>
  <si>
    <t>C04721</t>
  </si>
  <si>
    <t>Dhruv Sethi</t>
  </si>
  <si>
    <t>C04722</t>
  </si>
  <si>
    <t>Lopa Pai</t>
  </si>
  <si>
    <t>C04723</t>
  </si>
  <si>
    <t>Lakshmi Bahri</t>
  </si>
  <si>
    <t>C04724</t>
  </si>
  <si>
    <t>Rajata Sehgal</t>
  </si>
  <si>
    <t>C04725</t>
  </si>
  <si>
    <t>Gaurav Sarkar</t>
  </si>
  <si>
    <t>C04726</t>
  </si>
  <si>
    <t>Ijaya Karnik</t>
  </si>
  <si>
    <t>C04727</t>
  </si>
  <si>
    <t>Jeevika Lad</t>
  </si>
  <si>
    <t>C04728</t>
  </si>
  <si>
    <t>Nakul Ganguly</t>
  </si>
  <si>
    <t>C04729</t>
  </si>
  <si>
    <t>Zansi Wali</t>
  </si>
  <si>
    <t>C04730</t>
  </si>
  <si>
    <t>Balhaar Raj</t>
  </si>
  <si>
    <t>C04731</t>
  </si>
  <si>
    <t>Chanakya Karnik</t>
  </si>
  <si>
    <t>C04732</t>
  </si>
  <si>
    <t>Nathan Chanda</t>
  </si>
  <si>
    <t>C04733</t>
  </si>
  <si>
    <t>Zashil Buch</t>
  </si>
  <si>
    <t>C04734</t>
  </si>
  <si>
    <t>Sneha Dixit</t>
  </si>
  <si>
    <t>C04735</t>
  </si>
  <si>
    <t>Lucky Sarin</t>
  </si>
  <si>
    <t>C04736</t>
  </si>
  <si>
    <t>Quincy Karnik</t>
  </si>
  <si>
    <t>C04737</t>
  </si>
  <si>
    <t>Devika Ganesan</t>
  </si>
  <si>
    <t>C04738</t>
  </si>
  <si>
    <t>Vincent Chanda</t>
  </si>
  <si>
    <t>C04739</t>
  </si>
  <si>
    <t>Patrick Mani</t>
  </si>
  <si>
    <t>C04740</t>
  </si>
  <si>
    <t>Pallavi Ganesh</t>
  </si>
  <si>
    <t>C04741</t>
  </si>
  <si>
    <t>Anay Hayre</t>
  </si>
  <si>
    <t>C04742</t>
  </si>
  <si>
    <t>Ekalinga Chaudhuri</t>
  </si>
  <si>
    <t>C04743</t>
  </si>
  <si>
    <t>Praneel Walla</t>
  </si>
  <si>
    <t>C04744</t>
  </si>
  <si>
    <t>Turvi Pillay</t>
  </si>
  <si>
    <t>C04745</t>
  </si>
  <si>
    <t>Michael Walla</t>
  </si>
  <si>
    <t>C04746</t>
  </si>
  <si>
    <t>Yatan Anand</t>
  </si>
  <si>
    <t>C04747</t>
  </si>
  <si>
    <t>Onveer Magar</t>
  </si>
  <si>
    <t>C04748</t>
  </si>
  <si>
    <t>Xiti Thaman</t>
  </si>
  <si>
    <t>C04749</t>
  </si>
  <si>
    <t>Meera Deshmukh</t>
  </si>
  <si>
    <t>C04750</t>
  </si>
  <si>
    <t>Chanakya Singh</t>
  </si>
  <si>
    <t>C04751</t>
  </si>
  <si>
    <t>Kevin Khurana</t>
  </si>
  <si>
    <t>C04752</t>
  </si>
  <si>
    <t>C04753</t>
  </si>
  <si>
    <t>Suhani Gill</t>
  </si>
  <si>
    <t>C04754</t>
  </si>
  <si>
    <t>Yuvraj Edwin</t>
  </si>
  <si>
    <t>C04755</t>
  </si>
  <si>
    <t>Ekalinga Purohit</t>
  </si>
  <si>
    <t>C04756</t>
  </si>
  <si>
    <t>Aadi Mani</t>
  </si>
  <si>
    <t>C04757</t>
  </si>
  <si>
    <t>Vrishti Rana</t>
  </si>
  <si>
    <t>C04758</t>
  </si>
  <si>
    <t>Unnati Venkatesh</t>
  </si>
  <si>
    <t>C04759</t>
  </si>
  <si>
    <t>Nidhi Krishnamurthy</t>
  </si>
  <si>
    <t>C04760</t>
  </si>
  <si>
    <t>Ojas Thakur</t>
  </si>
  <si>
    <t>C04761</t>
  </si>
  <si>
    <t>Jonathan Bansal</t>
  </si>
  <si>
    <t>C04762</t>
  </si>
  <si>
    <t>Ethan Pillai</t>
  </si>
  <si>
    <t>C04763</t>
  </si>
  <si>
    <t>Jack Sachar</t>
  </si>
  <si>
    <t>C04764</t>
  </si>
  <si>
    <t>Keya Mistry</t>
  </si>
  <si>
    <t>C04765</t>
  </si>
  <si>
    <t>Arjun Murty</t>
  </si>
  <si>
    <t>C04766</t>
  </si>
  <si>
    <t>Rushil Babu</t>
  </si>
  <si>
    <t>C04767</t>
  </si>
  <si>
    <t>Radhika Din</t>
  </si>
  <si>
    <t>C04768</t>
  </si>
  <si>
    <t>Logan Mittal</t>
  </si>
  <si>
    <t>C04769</t>
  </si>
  <si>
    <t>Yash Dhar</t>
  </si>
  <si>
    <t>C04770</t>
  </si>
  <si>
    <t>Utkarsh Sarna</t>
  </si>
  <si>
    <t>C04771</t>
  </si>
  <si>
    <t>Vidhi Rastogi</t>
  </si>
  <si>
    <t>C04772</t>
  </si>
  <si>
    <t>Udyati Prabhu</t>
  </si>
  <si>
    <t>C04773</t>
  </si>
  <si>
    <t>Ubika De</t>
  </si>
  <si>
    <t>C04774</t>
  </si>
  <si>
    <t>Charan Korpal</t>
  </si>
  <si>
    <t>C04775</t>
  </si>
  <si>
    <t>Harrison Merchant</t>
  </si>
  <si>
    <t>C04776</t>
  </si>
  <si>
    <t>Chatresh Palla</t>
  </si>
  <si>
    <t>C04777</t>
  </si>
  <si>
    <t>Libni Sant</t>
  </si>
  <si>
    <t>C04778</t>
  </si>
  <si>
    <t>Chaitaly Pant</t>
  </si>
  <si>
    <t>C04779</t>
  </si>
  <si>
    <t>Banjeet Srinivas</t>
  </si>
  <si>
    <t>C04780</t>
  </si>
  <si>
    <t>Indira Narula</t>
  </si>
  <si>
    <t>C04781</t>
  </si>
  <si>
    <t>Dayita Toor</t>
  </si>
  <si>
    <t>C04782</t>
  </si>
  <si>
    <t>Advay Chaudhuri</t>
  </si>
  <si>
    <t>C04783</t>
  </si>
  <si>
    <t>Anamika Bhasin</t>
  </si>
  <si>
    <t>C04784</t>
  </si>
  <si>
    <t>Yashodhara Kamdar</t>
  </si>
  <si>
    <t>C04785</t>
  </si>
  <si>
    <t>Arjun Sen</t>
  </si>
  <si>
    <t>C04786</t>
  </si>
  <si>
    <t>Gaurika Sharma</t>
  </si>
  <si>
    <t>C04787</t>
  </si>
  <si>
    <t>Eta Mane</t>
  </si>
  <si>
    <t>C04788</t>
  </si>
  <si>
    <t>Charan Varughese</t>
  </si>
  <si>
    <t>C04789</t>
  </si>
  <si>
    <t>Raksha Sura</t>
  </si>
  <si>
    <t>C04790</t>
  </si>
  <si>
    <t>Yoshita Bansal</t>
  </si>
  <si>
    <t>C04791</t>
  </si>
  <si>
    <t>Mitesh Purohit</t>
  </si>
  <si>
    <t>C04792</t>
  </si>
  <si>
    <t>Ria Loke</t>
  </si>
  <si>
    <t>C04793</t>
  </si>
  <si>
    <t>Lucky Hegde</t>
  </si>
  <si>
    <t>C04794</t>
  </si>
  <si>
    <t>Leena Majumdar</t>
  </si>
  <si>
    <t>C04795</t>
  </si>
  <si>
    <t>Thomas Barman</t>
  </si>
  <si>
    <t>C04796</t>
  </si>
  <si>
    <t>Chavvi Arora</t>
  </si>
  <si>
    <t>C04797</t>
  </si>
  <si>
    <t>Robert Sahota</t>
  </si>
  <si>
    <t>C04798</t>
  </si>
  <si>
    <t>Omisha Doshi</t>
  </si>
  <si>
    <t>C04799</t>
  </si>
  <si>
    <t>Aadhya Kade</t>
  </si>
  <si>
    <t>C04800</t>
  </si>
  <si>
    <t>Dominic Gade</t>
  </si>
  <si>
    <t>C04801</t>
  </si>
  <si>
    <t>Alka Subramanian</t>
  </si>
  <si>
    <t>C04802</t>
  </si>
  <si>
    <t>Theodore Sidhu</t>
  </si>
  <si>
    <t>C04803</t>
  </si>
  <si>
    <t>Wakeeta Comar</t>
  </si>
  <si>
    <t>C04804</t>
  </si>
  <si>
    <t>Tripti Oommen</t>
  </si>
  <si>
    <t>C04805</t>
  </si>
  <si>
    <t>Upasna Kuruvilla</t>
  </si>
  <si>
    <t>C04806</t>
  </si>
  <si>
    <t>Eta Vyas</t>
  </si>
  <si>
    <t>C04807</t>
  </si>
  <si>
    <t>Zinal Mallick</t>
  </si>
  <si>
    <t>C04808</t>
  </si>
  <si>
    <t>Upkaar Bains</t>
  </si>
  <si>
    <t>C04809</t>
  </si>
  <si>
    <t>Vasudha Magar</t>
  </si>
  <si>
    <t>C04810</t>
  </si>
  <si>
    <t>Yashodhara Mital</t>
  </si>
  <si>
    <t>C04811</t>
  </si>
  <si>
    <t>Nidhi Behl</t>
  </si>
  <si>
    <t>C04812</t>
  </si>
  <si>
    <t>Aarini Chhabra</t>
  </si>
  <si>
    <t>C04813</t>
  </si>
  <si>
    <t>Udant Kanda</t>
  </si>
  <si>
    <t>C04814</t>
  </si>
  <si>
    <t>Ucchal Dua</t>
  </si>
  <si>
    <t>C04815</t>
  </si>
  <si>
    <t>Yashasvi Patil</t>
  </si>
  <si>
    <t>C04816</t>
  </si>
  <si>
    <t>Mugdha Saini</t>
  </si>
  <si>
    <t>C04817</t>
  </si>
  <si>
    <t>Chandani Bumb</t>
  </si>
  <si>
    <t>C04818</t>
  </si>
  <si>
    <t>Nicholas Srivastava</t>
  </si>
  <si>
    <t>C04819</t>
  </si>
  <si>
    <t>C04820</t>
  </si>
  <si>
    <t>Nidra Sankaran</t>
  </si>
  <si>
    <t>C04821</t>
  </si>
  <si>
    <t>Oeshi Solanki</t>
  </si>
  <si>
    <t>C04822</t>
  </si>
  <si>
    <t>Gauri Prabhakar</t>
  </si>
  <si>
    <t>C04823</t>
  </si>
  <si>
    <t>Darika Keer</t>
  </si>
  <si>
    <t>C04824</t>
  </si>
  <si>
    <t>Vyanjana Randhawa</t>
  </si>
  <si>
    <t>C04825</t>
  </si>
  <si>
    <t>Nidra Sani</t>
  </si>
  <si>
    <t>C04826</t>
  </si>
  <si>
    <t>Bhavini Kohli</t>
  </si>
  <si>
    <t>C04827</t>
  </si>
  <si>
    <t>Gayathri Dutta</t>
  </si>
  <si>
    <t>C04828</t>
  </si>
  <si>
    <t>Krisha Butala</t>
  </si>
  <si>
    <t>C04829</t>
  </si>
  <si>
    <t>Fitan Butala</t>
  </si>
  <si>
    <t>C04830</t>
  </si>
  <si>
    <t>Mason Zachariah</t>
  </si>
  <si>
    <t>C04831</t>
  </si>
  <si>
    <t>Waida Chanda</t>
  </si>
  <si>
    <t>C04832</t>
  </si>
  <si>
    <t>Charan Agate</t>
  </si>
  <si>
    <t>C04833</t>
  </si>
  <si>
    <t>Peter Bali</t>
  </si>
  <si>
    <t>C04834</t>
  </si>
  <si>
    <t>Bishakha Peri</t>
  </si>
  <si>
    <t>C04835</t>
  </si>
  <si>
    <t>Gagan Baria</t>
  </si>
  <si>
    <t>C04836</t>
  </si>
  <si>
    <t>Dayita Narayanan</t>
  </si>
  <si>
    <t>C04837</t>
  </si>
  <si>
    <t>Balvan Butala</t>
  </si>
  <si>
    <t>C04838</t>
  </si>
  <si>
    <t>Aadi Handa</t>
  </si>
  <si>
    <t>C04839</t>
  </si>
  <si>
    <t>Mahika Swaminathan</t>
  </si>
  <si>
    <t>C04840</t>
  </si>
  <si>
    <t>Amara Manne</t>
  </si>
  <si>
    <t>C04841</t>
  </si>
  <si>
    <t>Bhavani Devi</t>
  </si>
  <si>
    <t>C04842</t>
  </si>
  <si>
    <t>Turvi Lad</t>
  </si>
  <si>
    <t>C04843</t>
  </si>
  <si>
    <t>Yutika Char</t>
  </si>
  <si>
    <t>C04844</t>
  </si>
  <si>
    <t>Udarsh Mander</t>
  </si>
  <si>
    <t>C04845</t>
  </si>
  <si>
    <t>Maya Nigam</t>
  </si>
  <si>
    <t>C04846</t>
  </si>
  <si>
    <t>Urvashi Sethi</t>
  </si>
  <si>
    <t>C04847</t>
  </si>
  <si>
    <t>Yashodhara Mohan</t>
  </si>
  <si>
    <t>C04848</t>
  </si>
  <si>
    <t>Nandini Sahota</t>
  </si>
  <si>
    <t>C04849</t>
  </si>
  <si>
    <t>Dayamai Narain</t>
  </si>
  <si>
    <t>C04850</t>
  </si>
  <si>
    <t>Wridesh Shenoy</t>
  </si>
  <si>
    <t>C04851</t>
  </si>
  <si>
    <t>Mohammed Bansal</t>
  </si>
  <si>
    <t>C04852</t>
  </si>
  <si>
    <t>Daniel Dalal</t>
  </si>
  <si>
    <t>C04853</t>
  </si>
  <si>
    <t>Hritik Sen</t>
  </si>
  <si>
    <t>C04854</t>
  </si>
  <si>
    <t>Manthan Borah</t>
  </si>
  <si>
    <t>C04855</t>
  </si>
  <si>
    <t>Gaurangi Nagarajan</t>
  </si>
  <si>
    <t>C04856</t>
  </si>
  <si>
    <t>Vasatika Saran</t>
  </si>
  <si>
    <t>C04857</t>
  </si>
  <si>
    <t>Jason Mittal</t>
  </si>
  <si>
    <t>C04858</t>
  </si>
  <si>
    <t>Urvashi Bandi</t>
  </si>
  <si>
    <t>C04859</t>
  </si>
  <si>
    <t>Naksh Raman</t>
  </si>
  <si>
    <t>C04860</t>
  </si>
  <si>
    <t>Hemani Bhatti</t>
  </si>
  <si>
    <t>C04861</t>
  </si>
  <si>
    <t>Azad Krishnan</t>
  </si>
  <si>
    <t>C04862</t>
  </si>
  <si>
    <t>Rachit Tank</t>
  </si>
  <si>
    <t>C04863</t>
  </si>
  <si>
    <t>Mitali Naik</t>
  </si>
  <si>
    <t>C04864</t>
  </si>
  <si>
    <t>Kiaan Narain</t>
  </si>
  <si>
    <t>C04865</t>
  </si>
  <si>
    <t>Divya Gour</t>
  </si>
  <si>
    <t>C04866</t>
  </si>
  <si>
    <t>Nitesh Krishna</t>
  </si>
  <si>
    <t>C04867</t>
  </si>
  <si>
    <t>Girik Sur</t>
  </si>
  <si>
    <t>C04868</t>
  </si>
  <si>
    <t>Manbir Basak</t>
  </si>
  <si>
    <t>C04869</t>
  </si>
  <si>
    <t>Wriddhish Varghese</t>
  </si>
  <si>
    <t>C04870</t>
  </si>
  <si>
    <t>Arunima Jain</t>
  </si>
  <si>
    <t>C04871</t>
  </si>
  <si>
    <t>Omisha Barad</t>
  </si>
  <si>
    <t>C04872</t>
  </si>
  <si>
    <t>Jalsa Oza</t>
  </si>
  <si>
    <t>C04873</t>
  </si>
  <si>
    <t>Geetika Agate</t>
  </si>
  <si>
    <t>C04874</t>
  </si>
  <si>
    <t>Vasudha Thaker</t>
  </si>
  <si>
    <t>C04875</t>
  </si>
  <si>
    <t>Siddharth Divan</t>
  </si>
  <si>
    <t>C04876</t>
  </si>
  <si>
    <t>Yashasvi Mahal</t>
  </si>
  <si>
    <t>C04877</t>
  </si>
  <si>
    <t>Ronith Saran</t>
  </si>
  <si>
    <t>C04878</t>
  </si>
  <si>
    <t>Suhani Mannan</t>
  </si>
  <si>
    <t>C04879</t>
  </si>
  <si>
    <t>Chaitanya Mane</t>
  </si>
  <si>
    <t>C04880</t>
  </si>
  <si>
    <t>Andrew Reddy</t>
  </si>
  <si>
    <t>C04881</t>
  </si>
  <si>
    <t>Urvi Sahni</t>
  </si>
  <si>
    <t>C04882</t>
  </si>
  <si>
    <t>Vihaan Murty</t>
  </si>
  <si>
    <t>C04883</t>
  </si>
  <si>
    <t>Shivani Lanka</t>
  </si>
  <si>
    <t>C04884</t>
  </si>
  <si>
    <t>Balvan Karnik</t>
  </si>
  <si>
    <t>C04885</t>
  </si>
  <si>
    <t>Megha Lanka</t>
  </si>
  <si>
    <t>C04886</t>
  </si>
  <si>
    <t>Veer Baria</t>
  </si>
  <si>
    <t>C04887</t>
  </si>
  <si>
    <t>Shivani Khare</t>
  </si>
  <si>
    <t>C04888</t>
  </si>
  <si>
    <t>Aarnav Sani</t>
  </si>
  <si>
    <t>C04889</t>
  </si>
  <si>
    <t>Faqid Mahal</t>
  </si>
  <si>
    <t>C04890</t>
  </si>
  <si>
    <t>Amol Thaker</t>
  </si>
  <si>
    <t>C04891</t>
  </si>
  <si>
    <t>Charan Taneja</t>
  </si>
  <si>
    <t>C04892</t>
  </si>
  <si>
    <t>Bhavna D’Alia</t>
  </si>
  <si>
    <t>C04893</t>
  </si>
  <si>
    <t>Lopa Narasimhan</t>
  </si>
  <si>
    <t>C04894</t>
  </si>
  <si>
    <t>Sai Atwal</t>
  </si>
  <si>
    <t>C04895</t>
  </si>
  <si>
    <t>Fariq Narasimhan</t>
  </si>
  <si>
    <t>C04896</t>
  </si>
  <si>
    <t>Varsha Bail</t>
  </si>
  <si>
    <t>C04897</t>
  </si>
  <si>
    <t>Kai Kuruvilla</t>
  </si>
  <si>
    <t>C04898</t>
  </si>
  <si>
    <t>Brinda Kurian</t>
  </si>
  <si>
    <t>C04899</t>
  </si>
  <si>
    <t>Neel Sandhu</t>
  </si>
  <si>
    <t>C04900</t>
  </si>
  <si>
    <t>Nihal Pathak</t>
  </si>
  <si>
    <t>C04901</t>
  </si>
  <si>
    <t>Bhavya More</t>
  </si>
  <si>
    <t>C04902</t>
  </si>
  <si>
    <t>Faraj Dugal</t>
  </si>
  <si>
    <t>C04903</t>
  </si>
  <si>
    <t>Aarush Khatri</t>
  </si>
  <si>
    <t>C04904</t>
  </si>
  <si>
    <t>Anamika Gola</t>
  </si>
  <si>
    <t>C04905</t>
  </si>
  <si>
    <t>Siya Nazareth</t>
  </si>
  <si>
    <t>C04906</t>
  </si>
  <si>
    <t>Xiti Warrior</t>
  </si>
  <si>
    <t>C04907</t>
  </si>
  <si>
    <t>Yasti Das</t>
  </si>
  <si>
    <t>C04908</t>
  </si>
  <si>
    <t>C04909</t>
  </si>
  <si>
    <t>George Pandit</t>
  </si>
  <si>
    <t>C04910</t>
  </si>
  <si>
    <t>Lipika Gulati</t>
  </si>
  <si>
    <t>C04911</t>
  </si>
  <si>
    <t>Andrew Chadha</t>
  </si>
  <si>
    <t>C04912</t>
  </si>
  <si>
    <t>Nicholas Dhingra</t>
  </si>
  <si>
    <t>C04913</t>
  </si>
  <si>
    <t>Naveen Vig</t>
  </si>
  <si>
    <t>C04914</t>
  </si>
  <si>
    <t>Varenya Panchal</t>
  </si>
  <si>
    <t>C04915</t>
  </si>
  <si>
    <t>Harini Ramachandran</t>
  </si>
  <si>
    <t>C04916</t>
  </si>
  <si>
    <t>Hemang Vala</t>
  </si>
  <si>
    <t>C04917</t>
  </si>
  <si>
    <t>Simon Ganesh</t>
  </si>
  <si>
    <t>C04918</t>
  </si>
  <si>
    <t>Veda Bhavsar</t>
  </si>
  <si>
    <t>C04919</t>
  </si>
  <si>
    <t>Warda Shankar</t>
  </si>
  <si>
    <t>C04920</t>
  </si>
  <si>
    <t>Ekanta Pillay</t>
  </si>
  <si>
    <t>C04921</t>
  </si>
  <si>
    <t>Benjamin Bansal</t>
  </si>
  <si>
    <t>C04922</t>
  </si>
  <si>
    <t>C04923</t>
  </si>
  <si>
    <t>Anay Pradhan</t>
  </si>
  <si>
    <t>C04924</t>
  </si>
  <si>
    <t>Ojasvi Amble</t>
  </si>
  <si>
    <t>C04925</t>
  </si>
  <si>
    <t>Ubika Chada</t>
  </si>
  <si>
    <t>C04926</t>
  </si>
  <si>
    <t>Gopal Verma</t>
  </si>
  <si>
    <t>C04927</t>
  </si>
  <si>
    <t>Laban Solanki</t>
  </si>
  <si>
    <t>C04928</t>
  </si>
  <si>
    <t>Harini Dar</t>
  </si>
  <si>
    <t>C04929</t>
  </si>
  <si>
    <t>Edhitha Korpal</t>
  </si>
  <si>
    <t>C04930</t>
  </si>
  <si>
    <t>Pavani Memon</t>
  </si>
  <si>
    <t>C04931</t>
  </si>
  <si>
    <t>Hredhaan Bhakta</t>
  </si>
  <si>
    <t>C04932</t>
  </si>
  <si>
    <t>Laksh Kuruvilla</t>
  </si>
  <si>
    <t>C04933</t>
  </si>
  <si>
    <t>Michael Mand</t>
  </si>
  <si>
    <t>C04934</t>
  </si>
  <si>
    <t>Nisha Borde</t>
  </si>
  <si>
    <t>C04935</t>
  </si>
  <si>
    <t>Falan Tara</t>
  </si>
  <si>
    <t>C04936</t>
  </si>
  <si>
    <t>Charita Ray</t>
  </si>
  <si>
    <t>C04937</t>
  </si>
  <si>
    <t>C04938</t>
  </si>
  <si>
    <t>Qasim Chander</t>
  </si>
  <si>
    <t>C04939</t>
  </si>
  <si>
    <t>Harish Patil</t>
  </si>
  <si>
    <t>C04940</t>
  </si>
  <si>
    <t>Girish Lalla</t>
  </si>
  <si>
    <t>C04941</t>
  </si>
  <si>
    <t>Eesha Dasgupta</t>
  </si>
  <si>
    <t>C04942</t>
  </si>
  <si>
    <t>Simon Brar</t>
  </si>
  <si>
    <t>C04943</t>
  </si>
  <si>
    <t>Chandran Malhotra</t>
  </si>
  <si>
    <t>C04944</t>
  </si>
  <si>
    <t>Fariq Mishra</t>
  </si>
  <si>
    <t>C04945</t>
  </si>
  <si>
    <t>Harish Raval</t>
  </si>
  <si>
    <t>C04946</t>
  </si>
  <si>
    <t>Devika Salvi</t>
  </si>
  <si>
    <t>C04947</t>
  </si>
  <si>
    <t>Gauri Luthra</t>
  </si>
  <si>
    <t>C04948</t>
  </si>
  <si>
    <t>Laksh Biswas</t>
  </si>
  <si>
    <t>C04949</t>
  </si>
  <si>
    <t>Aayush Chhabra</t>
  </si>
  <si>
    <t>C04950</t>
  </si>
  <si>
    <t>Brijesh Singh</t>
  </si>
  <si>
    <t>C04951</t>
  </si>
  <si>
    <t>C04952</t>
  </si>
  <si>
    <t>Nathan Kota</t>
  </si>
  <si>
    <t>C04953</t>
  </si>
  <si>
    <t>Gaurika Ganguly</t>
  </si>
  <si>
    <t>C04954</t>
  </si>
  <si>
    <t>Hemang Badal</t>
  </si>
  <si>
    <t>C04955</t>
  </si>
  <si>
    <t>Tejas Date</t>
  </si>
  <si>
    <t>C04956</t>
  </si>
  <si>
    <t>Yashodhara Khare</t>
  </si>
  <si>
    <t>C04957</t>
  </si>
  <si>
    <t>Abdul Virk</t>
  </si>
  <si>
    <t>C04958</t>
  </si>
  <si>
    <t>C04959</t>
  </si>
  <si>
    <t>Daniel Sani</t>
  </si>
  <si>
    <t>C04960</t>
  </si>
  <si>
    <t>Lipika Hans</t>
  </si>
  <si>
    <t>C04961</t>
  </si>
  <si>
    <t>Hemangini Deshpande</t>
  </si>
  <si>
    <t>C04962</t>
  </si>
  <si>
    <t>Nisha Mani</t>
  </si>
  <si>
    <t>C04963</t>
  </si>
  <si>
    <t>Zaid Dash</t>
  </si>
  <si>
    <t>C04964</t>
  </si>
  <si>
    <t>Aadhya Tank</t>
  </si>
  <si>
    <t>C04965</t>
  </si>
  <si>
    <t>Ishwar Ravi</t>
  </si>
  <si>
    <t>C04966</t>
  </si>
  <si>
    <t>Zehaan Dave</t>
  </si>
  <si>
    <t>C04967</t>
  </si>
  <si>
    <t>Jagdish Kothari</t>
  </si>
  <si>
    <t>C04968</t>
  </si>
  <si>
    <t>Banjeet Kashyap</t>
  </si>
  <si>
    <t>C04969</t>
  </si>
  <si>
    <t>Chakradhar Bora</t>
  </si>
  <si>
    <t>C04970</t>
  </si>
  <si>
    <t>Kiaan Kamdar</t>
  </si>
  <si>
    <t>C04971</t>
  </si>
  <si>
    <t>Isaiah Agate</t>
  </si>
  <si>
    <t>C04972</t>
  </si>
  <si>
    <t>Indrajit Atwal</t>
  </si>
  <si>
    <t>C04973</t>
  </si>
  <si>
    <t>Hredhaan Om</t>
  </si>
  <si>
    <t>C04974</t>
  </si>
  <si>
    <t>Sanya Dhawan</t>
  </si>
  <si>
    <t>C04975</t>
  </si>
  <si>
    <t>Jatin Pillay</t>
  </si>
  <si>
    <t>C04976</t>
  </si>
  <si>
    <t>Nirja Radhakrishnan</t>
  </si>
  <si>
    <t>C04977</t>
  </si>
  <si>
    <t>Sachi Jaggi</t>
  </si>
  <si>
    <t>C04978</t>
  </si>
  <si>
    <t>Samuel Ramachandran</t>
  </si>
  <si>
    <t>C04979</t>
  </si>
  <si>
    <t>Raghav Kibe</t>
  </si>
  <si>
    <t>C04980</t>
  </si>
  <si>
    <t>Vrinda Mahal</t>
  </si>
  <si>
    <t>C04981</t>
  </si>
  <si>
    <t>Chandran Krishnan</t>
  </si>
  <si>
    <t>C04982</t>
  </si>
  <si>
    <t>Rachita Sheth</t>
  </si>
  <si>
    <t>C04983</t>
  </si>
  <si>
    <t>Darsh Bhasin</t>
  </si>
  <si>
    <t>C04984</t>
  </si>
  <si>
    <t>Bimala Jani</t>
  </si>
  <si>
    <t>C04985</t>
  </si>
  <si>
    <t>C04986</t>
  </si>
  <si>
    <t>Bhanumati Mammen</t>
  </si>
  <si>
    <t>C04987</t>
  </si>
  <si>
    <t>Pooja Atwal</t>
  </si>
  <si>
    <t>C04988</t>
  </si>
  <si>
    <t>Dhruv Sha</t>
  </si>
  <si>
    <t>C04989</t>
  </si>
  <si>
    <t>Chavvi Kapur</t>
  </si>
  <si>
    <t>C04990</t>
  </si>
  <si>
    <t>Sai Majumdar</t>
  </si>
  <si>
    <t>C04991</t>
  </si>
  <si>
    <t>Madhavi Madan</t>
  </si>
  <si>
    <t>C04992</t>
  </si>
  <si>
    <t>Varsha Kannan</t>
  </si>
  <si>
    <t>C04993</t>
  </si>
  <si>
    <t>Kiaan Badal</t>
  </si>
  <si>
    <t>C04994</t>
  </si>
  <si>
    <t>Vedika Rajagopalan</t>
  </si>
  <si>
    <t>C04995</t>
  </si>
  <si>
    <t>Yashodhara Dhillon</t>
  </si>
  <si>
    <t>C04996</t>
  </si>
  <si>
    <t>Amrita Prabhakar</t>
  </si>
  <si>
    <t>C04997</t>
  </si>
  <si>
    <t>Hardik Magar</t>
  </si>
  <si>
    <t>C04998</t>
  </si>
  <si>
    <t>Netra Bahri</t>
  </si>
  <si>
    <t>C04999</t>
  </si>
  <si>
    <t>Hredhaan Khurana</t>
  </si>
  <si>
    <t>C05000</t>
  </si>
  <si>
    <t>Zayyan Konda</t>
  </si>
  <si>
    <t>C05001</t>
  </si>
  <si>
    <t>Watika Wadhwa</t>
  </si>
  <si>
    <t>C05002</t>
  </si>
  <si>
    <t>Manthan Bahri</t>
  </si>
  <si>
    <t>C05003</t>
  </si>
  <si>
    <t>Oni Om</t>
  </si>
  <si>
    <t>C05004</t>
  </si>
  <si>
    <t>Vasana Hari</t>
  </si>
  <si>
    <t>C05005</t>
  </si>
  <si>
    <t>Ikbal Mohan</t>
  </si>
  <si>
    <t>C05006</t>
  </si>
  <si>
    <t>Zayan Magar</t>
  </si>
  <si>
    <t>C05007</t>
  </si>
  <si>
    <t>Neelima Parikh</t>
  </si>
  <si>
    <t>C05008</t>
  </si>
  <si>
    <t>Lajita Sodhi</t>
  </si>
  <si>
    <t>C05009</t>
  </si>
  <si>
    <t>Yash Nair</t>
  </si>
  <si>
    <t>C05010</t>
  </si>
  <si>
    <t>Gayathri Parikh</t>
  </si>
  <si>
    <t>C05011</t>
  </si>
  <si>
    <t>Wridesh Walia</t>
  </si>
  <si>
    <t>C05012</t>
  </si>
  <si>
    <t>Waida Kari</t>
  </si>
  <si>
    <t>C05013</t>
  </si>
  <si>
    <t>Amol Bose</t>
  </si>
  <si>
    <t>C05014</t>
  </si>
  <si>
    <t>Laksh Kashyap</t>
  </si>
  <si>
    <t>C05015</t>
  </si>
  <si>
    <t>Caleb Jayaraman</t>
  </si>
  <si>
    <t>C05016</t>
  </si>
  <si>
    <t>Nitara Warrior</t>
  </si>
  <si>
    <t>C05017</t>
  </si>
  <si>
    <t>Harshil Sastry</t>
  </si>
  <si>
    <t>C05018</t>
  </si>
  <si>
    <t>C05019</t>
  </si>
  <si>
    <t>Kamala Chatterjee</t>
  </si>
  <si>
    <t>C05020</t>
  </si>
  <si>
    <t>Aahana Apte</t>
  </si>
  <si>
    <t>C05021</t>
  </si>
  <si>
    <t>Jai Mand</t>
  </si>
  <si>
    <t>C05022</t>
  </si>
  <si>
    <t>Shaurya Chander</t>
  </si>
  <si>
    <t>C05023</t>
  </si>
  <si>
    <t>Warjas Dani</t>
  </si>
  <si>
    <t>C05024</t>
  </si>
  <si>
    <t>Zashil Yadav</t>
  </si>
  <si>
    <t>C05025</t>
  </si>
  <si>
    <t>Chaitanya Soni</t>
  </si>
  <si>
    <t>C05026</t>
  </si>
  <si>
    <t>Oliver Ahuja</t>
  </si>
  <si>
    <t>C05027</t>
  </si>
  <si>
    <t>Tarak Sabharwal</t>
  </si>
  <si>
    <t>C05028</t>
  </si>
  <si>
    <t>Harish Chakrabarti</t>
  </si>
  <si>
    <t>C05029</t>
  </si>
  <si>
    <t>Arunima Acharya</t>
  </si>
  <si>
    <t>C05030</t>
  </si>
  <si>
    <t>Ikshita Parikh</t>
  </si>
  <si>
    <t>C05031</t>
  </si>
  <si>
    <t>Nitesh Bala</t>
  </si>
  <si>
    <t>C05032</t>
  </si>
  <si>
    <t>Ansh Maharaj</t>
  </si>
  <si>
    <t>C05033</t>
  </si>
  <si>
    <t>Orinder Dugar</t>
  </si>
  <si>
    <t>C05034</t>
  </si>
  <si>
    <t>Chakradev Gola</t>
  </si>
  <si>
    <t>C05035</t>
  </si>
  <si>
    <t>Shaurya Hora</t>
  </si>
  <si>
    <t>C05036</t>
  </si>
  <si>
    <t>Chakrika Sharma</t>
  </si>
  <si>
    <t>C05037</t>
  </si>
  <si>
    <t>Shivani Kara</t>
  </si>
  <si>
    <t>C05038</t>
  </si>
  <si>
    <t>C05039</t>
  </si>
  <si>
    <t>Jeevika Mistry</t>
  </si>
  <si>
    <t>C05040</t>
  </si>
  <si>
    <t>Mitesh Bhatnagar</t>
  </si>
  <si>
    <t>C05041</t>
  </si>
  <si>
    <t>Urvi Radhakrishnan</t>
  </si>
  <si>
    <t>C05042</t>
  </si>
  <si>
    <t>Onveer Prasad</t>
  </si>
  <si>
    <t>C05043</t>
  </si>
  <si>
    <t>Parth Salvi</t>
  </si>
  <si>
    <t>C05044</t>
  </si>
  <si>
    <t>Frado Dugar</t>
  </si>
  <si>
    <t>C05045</t>
  </si>
  <si>
    <t>Elijah Dube</t>
  </si>
  <si>
    <t>C05046</t>
  </si>
  <si>
    <t>Ikbal Saran</t>
  </si>
  <si>
    <t>C05047</t>
  </si>
  <si>
    <t>Ojas Lata</t>
  </si>
  <si>
    <t>C05048</t>
  </si>
  <si>
    <t>Sneha Dugar</t>
  </si>
  <si>
    <t>C05049</t>
  </si>
  <si>
    <t>Saumya Sandal</t>
  </si>
  <si>
    <t>C05050</t>
  </si>
  <si>
    <t>Sai Mallick</t>
  </si>
  <si>
    <t>C05051</t>
  </si>
  <si>
    <t>Abha Kala</t>
  </si>
  <si>
    <t>C05052</t>
  </si>
  <si>
    <t>Rohan Ravi</t>
  </si>
  <si>
    <t>C05053</t>
  </si>
  <si>
    <t>Keya Wason</t>
  </si>
  <si>
    <t>C05054</t>
  </si>
  <si>
    <t>Gavin D’Alia</t>
  </si>
  <si>
    <t>C05055</t>
  </si>
  <si>
    <t>C05056</t>
  </si>
  <si>
    <t>Varenya Rana</t>
  </si>
  <si>
    <t>C05057</t>
  </si>
  <si>
    <t>Chatresh Vasa</t>
  </si>
  <si>
    <t>C05058</t>
  </si>
  <si>
    <t>Vincent Date</t>
  </si>
  <si>
    <t>C05059</t>
  </si>
  <si>
    <t>Chandresh Trivedi</t>
  </si>
  <si>
    <t>C05060</t>
  </si>
  <si>
    <t>Wyatt Yohannan</t>
  </si>
  <si>
    <t>C05061</t>
  </si>
  <si>
    <t>Harinakshi Vohra</t>
  </si>
  <si>
    <t>C05062</t>
  </si>
  <si>
    <t>Aashi Lal</t>
  </si>
  <si>
    <t>C05063</t>
  </si>
  <si>
    <t>Laban Gokhale</t>
  </si>
  <si>
    <t>C05064</t>
  </si>
  <si>
    <t>Prisha Swaminathan</t>
  </si>
  <si>
    <t>C05065</t>
  </si>
  <si>
    <t>Logan Kannan</t>
  </si>
  <si>
    <t>C05066</t>
  </si>
  <si>
    <t>Zarna Divan</t>
  </si>
  <si>
    <t>C05067</t>
  </si>
  <si>
    <t>Ekbal Sami</t>
  </si>
  <si>
    <t>C05068</t>
  </si>
  <si>
    <t>Ekanta Sharma</t>
  </si>
  <si>
    <t>C05069</t>
  </si>
  <si>
    <t>Anya Nazareth</t>
  </si>
  <si>
    <t>C05070</t>
  </si>
  <si>
    <t>Bachittar Apte</t>
  </si>
  <si>
    <t>C05071</t>
  </si>
  <si>
    <t>Arjun Balasubramanian</t>
  </si>
  <si>
    <t>C05072</t>
  </si>
  <si>
    <t>Ekantika Gala</t>
  </si>
  <si>
    <t>C05073</t>
  </si>
  <si>
    <t>Fitan Gupta</t>
  </si>
  <si>
    <t>C05074</t>
  </si>
  <si>
    <t>Guneet Sarna</t>
  </si>
  <si>
    <t>C05075</t>
  </si>
  <si>
    <t>Dakshesh Bal</t>
  </si>
  <si>
    <t>C05076</t>
  </si>
  <si>
    <t>Ira Munshi</t>
  </si>
  <si>
    <t>C05077</t>
  </si>
  <si>
    <t>Ishwar Thaman</t>
  </si>
  <si>
    <t>C05078</t>
  </si>
  <si>
    <t>Brinda Lal</t>
  </si>
  <si>
    <t>C05079</t>
  </si>
  <si>
    <t>Frederick Divan</t>
  </si>
  <si>
    <t>C05080</t>
  </si>
  <si>
    <t>Bhavna Swaminathan</t>
  </si>
  <si>
    <t>C05081</t>
  </si>
  <si>
    <t>Matthew Gill</t>
  </si>
  <si>
    <t>C05082</t>
  </si>
  <si>
    <t>Yachana Basak</t>
  </si>
  <si>
    <t>C05083</t>
  </si>
  <si>
    <t>Ladli Singh</t>
  </si>
  <si>
    <t>C05084</t>
  </si>
  <si>
    <t>Yashica Saran</t>
  </si>
  <si>
    <t>C05085</t>
  </si>
  <si>
    <t>Atharv Basu</t>
  </si>
  <si>
    <t>C05086</t>
  </si>
  <si>
    <t>Aarnav Lal</t>
  </si>
  <si>
    <t>C05087</t>
  </si>
  <si>
    <t>Krishna Pai</t>
  </si>
  <si>
    <t>C05088</t>
  </si>
  <si>
    <t>Gaurang Pathak</t>
  </si>
  <si>
    <t>C05089</t>
  </si>
  <si>
    <t>Mason Ravel</t>
  </si>
  <si>
    <t>C05090</t>
  </si>
  <si>
    <t>Jason Keer</t>
  </si>
  <si>
    <t>C05091</t>
  </si>
  <si>
    <t>Manthan Luthra</t>
  </si>
  <si>
    <t>C05092</t>
  </si>
  <si>
    <t>Ekanta Pingle</t>
  </si>
  <si>
    <t>C05093</t>
  </si>
  <si>
    <t>Jasmit Mukherjee</t>
  </si>
  <si>
    <t>C05094</t>
  </si>
  <si>
    <t>Keya Barman</t>
  </si>
  <si>
    <t>C05095</t>
  </si>
  <si>
    <t>C05096</t>
  </si>
  <si>
    <t>Sarthak Khosla</t>
  </si>
  <si>
    <t>C05097</t>
  </si>
  <si>
    <t>Triveni Pant</t>
  </si>
  <si>
    <t>C05098</t>
  </si>
  <si>
    <t>Qasim Dass</t>
  </si>
  <si>
    <t>C05099</t>
  </si>
  <si>
    <t>Darsh Loyal</t>
  </si>
  <si>
    <t>C05100</t>
  </si>
  <si>
    <t>Jason Ramanathan</t>
  </si>
  <si>
    <t>C05101</t>
  </si>
  <si>
    <t>Jeet Wadhwa</t>
  </si>
  <si>
    <t>C05102</t>
  </si>
  <si>
    <t>Advika Kuruvilla</t>
  </si>
  <si>
    <t>C05103</t>
  </si>
  <si>
    <t>Urvi Tara</t>
  </si>
  <si>
    <t>C05104</t>
  </si>
  <si>
    <t>Zaitra Hari</t>
  </si>
  <si>
    <t>C05105</t>
  </si>
  <si>
    <t>Raghav Wadhwa</t>
  </si>
  <si>
    <t>C05106</t>
  </si>
  <si>
    <t>Mugdha Loyal</t>
  </si>
  <si>
    <t>C05107</t>
  </si>
  <si>
    <t>Mohammed Bhatti</t>
  </si>
  <si>
    <t>C05108</t>
  </si>
  <si>
    <t>Mugdha Merchant</t>
  </si>
  <si>
    <t>C05109</t>
  </si>
  <si>
    <t>C05110</t>
  </si>
  <si>
    <t>Nathan Bail</t>
  </si>
  <si>
    <t>C05111</t>
  </si>
  <si>
    <t>Oni De</t>
  </si>
  <si>
    <t>C05112</t>
  </si>
  <si>
    <t>Raagini Kala</t>
  </si>
  <si>
    <t>C05113</t>
  </si>
  <si>
    <t>Dayita Krishnamurthy</t>
  </si>
  <si>
    <t>C05114</t>
  </si>
  <si>
    <t>Turvi Baria</t>
  </si>
  <si>
    <t>C05115</t>
  </si>
  <si>
    <t>Bishakha Ramakrishnan</t>
  </si>
  <si>
    <t>C05116</t>
  </si>
  <si>
    <t>Isha Prakash</t>
  </si>
  <si>
    <t>C05117</t>
  </si>
  <si>
    <t>Brijesh Grover</t>
  </si>
  <si>
    <t>C05118</t>
  </si>
  <si>
    <t>Veer Pillay</t>
  </si>
  <si>
    <t>C05119</t>
  </si>
  <si>
    <t>Rachit Memon</t>
  </si>
  <si>
    <t>C05120</t>
  </si>
  <si>
    <t>Arin Chad</t>
  </si>
  <si>
    <t>C05121</t>
  </si>
  <si>
    <t>Krishna Morar</t>
  </si>
  <si>
    <t>C05122</t>
  </si>
  <si>
    <t>Ati Mannan</t>
  </si>
  <si>
    <t>C05123</t>
  </si>
  <si>
    <t>Upkaar Chopra</t>
  </si>
  <si>
    <t>C05124</t>
  </si>
  <si>
    <t>Wyatt Tella</t>
  </si>
  <si>
    <t>C05125</t>
  </si>
  <si>
    <t>Anya Narula</t>
  </si>
  <si>
    <t>C05126</t>
  </si>
  <si>
    <t>Udyati Bhatia</t>
  </si>
  <si>
    <t>C05127</t>
  </si>
  <si>
    <t>Baljiwan Mann</t>
  </si>
  <si>
    <t>C05128</t>
  </si>
  <si>
    <t>Bishakha Khare</t>
  </si>
  <si>
    <t>C05129</t>
  </si>
  <si>
    <t>Tarak Joshi</t>
  </si>
  <si>
    <t>C05130</t>
  </si>
  <si>
    <t>Rishi Vora</t>
  </si>
  <si>
    <t>C05131</t>
  </si>
  <si>
    <t>Divya Das</t>
  </si>
  <si>
    <t>C05132</t>
  </si>
  <si>
    <t>Tristan Dhaliwal</t>
  </si>
  <si>
    <t>C05133</t>
  </si>
  <si>
    <t>Gautam Chandra</t>
  </si>
  <si>
    <t>C05134</t>
  </si>
  <si>
    <t>Unnati Dasgupta</t>
  </si>
  <si>
    <t>C05135</t>
  </si>
  <si>
    <t>Rushil Khosla</t>
  </si>
  <si>
    <t>C05136</t>
  </si>
  <si>
    <t>Rudra Tailor</t>
  </si>
  <si>
    <t>C05137</t>
  </si>
  <si>
    <t>Krish Ravel</t>
  </si>
  <si>
    <t>C05138</t>
  </si>
  <si>
    <t>Upkaar Baral</t>
  </si>
  <si>
    <t>C05139</t>
  </si>
  <si>
    <t>Bakhshi Bose</t>
  </si>
  <si>
    <t>C05140</t>
  </si>
  <si>
    <t>Yashasvi Taneja</t>
  </si>
  <si>
    <t>C05141</t>
  </si>
  <si>
    <t>Lopa Chandran</t>
  </si>
  <si>
    <t>C05142</t>
  </si>
  <si>
    <t>Xiti Ray</t>
  </si>
  <si>
    <t>C05143</t>
  </si>
  <si>
    <t>Advaith Goyal</t>
  </si>
  <si>
    <t>C05144</t>
  </si>
  <si>
    <t>Avi Balan</t>
  </si>
  <si>
    <t>C05145</t>
  </si>
  <si>
    <t>Gaurika Sachdeva</t>
  </si>
  <si>
    <t>C05146</t>
  </si>
  <si>
    <t>Joshua Viswanathan</t>
  </si>
  <si>
    <t>C05147</t>
  </si>
  <si>
    <t>Yash Purohit</t>
  </si>
  <si>
    <t>C05148</t>
  </si>
  <si>
    <t>Urmi Tank</t>
  </si>
  <si>
    <t>C05149</t>
  </si>
  <si>
    <t>Bhanumati Dar</t>
  </si>
  <si>
    <t>C05150</t>
  </si>
  <si>
    <t>Aarush Kala</t>
  </si>
  <si>
    <t>C05151</t>
  </si>
  <si>
    <t>Jhalak Pal</t>
  </si>
  <si>
    <t>C05152</t>
  </si>
  <si>
    <t>Dalbir Bose</t>
  </si>
  <si>
    <t>C05153</t>
  </si>
  <si>
    <t>Ekavir Dasgupta</t>
  </si>
  <si>
    <t>C05154</t>
  </si>
  <si>
    <t>Ikbal Zacharia</t>
  </si>
  <si>
    <t>C05155</t>
  </si>
  <si>
    <t>Upkaar Kashyap</t>
  </si>
  <si>
    <t>C05156</t>
  </si>
  <si>
    <t>Vansha Oza</t>
  </si>
  <si>
    <t>C05157</t>
  </si>
  <si>
    <t>Liam Reddy</t>
  </si>
  <si>
    <t>C05158</t>
  </si>
  <si>
    <t>Onkar Dugar</t>
  </si>
  <si>
    <t>C05159</t>
  </si>
  <si>
    <t>Yashasvi Divan</t>
  </si>
  <si>
    <t>C05160</t>
  </si>
  <si>
    <t>Wriddhish Seth</t>
  </si>
  <si>
    <t>C05161</t>
  </si>
  <si>
    <t>Gautami Nazareth</t>
  </si>
  <si>
    <t>C05162</t>
  </si>
  <si>
    <t>Faraj Chanda</t>
  </si>
  <si>
    <t>C05163</t>
  </si>
  <si>
    <t>Balhaar Menon</t>
  </si>
  <si>
    <t>C05164</t>
  </si>
  <si>
    <t>Zinal Wason</t>
  </si>
  <si>
    <t>C05165</t>
  </si>
  <si>
    <t>Brijesh Peri</t>
  </si>
  <si>
    <t>C05166</t>
  </si>
  <si>
    <t>Geetika Khanna</t>
  </si>
  <si>
    <t>C05167</t>
  </si>
  <si>
    <t>Megha Sangha</t>
  </si>
  <si>
    <t>C05168</t>
  </si>
  <si>
    <t>C05169</t>
  </si>
  <si>
    <t>Jackson Dave</t>
  </si>
  <si>
    <t>C05170</t>
  </si>
  <si>
    <t>Andrew Basak</t>
  </si>
  <si>
    <t>C05171</t>
  </si>
  <si>
    <t>Christopher Venkatesh</t>
  </si>
  <si>
    <t>C05172</t>
  </si>
  <si>
    <t>Jalsa Ramakrishnan</t>
  </si>
  <si>
    <t>C05173</t>
  </si>
  <si>
    <t>Gaurang Bala</t>
  </si>
  <si>
    <t>C05174</t>
  </si>
  <si>
    <t>Mitesh Shah</t>
  </si>
  <si>
    <t>C05175</t>
  </si>
  <si>
    <t>Ekani Kala</t>
  </si>
  <si>
    <t>C05176</t>
  </si>
  <si>
    <t>Parth Kamdar</t>
  </si>
  <si>
    <t>C05177</t>
  </si>
  <si>
    <t>Harini Parekh</t>
  </si>
  <si>
    <t>C05178</t>
  </si>
  <si>
    <t>Qushi Upadhyay</t>
  </si>
  <si>
    <t>C05179</t>
  </si>
  <si>
    <t>Rajata Chopra</t>
  </si>
  <si>
    <t>C05180</t>
  </si>
  <si>
    <t>Vedhika Samra</t>
  </si>
  <si>
    <t>C05181</t>
  </si>
  <si>
    <t>Shivansh Vohra</t>
  </si>
  <si>
    <t>C05182</t>
  </si>
  <si>
    <t>Bina Baria</t>
  </si>
  <si>
    <t>C05183</t>
  </si>
  <si>
    <t>C05184</t>
  </si>
  <si>
    <t>Sara Hari</t>
  </si>
  <si>
    <t>C05185</t>
  </si>
  <si>
    <t>Chanchal Khanna</t>
  </si>
  <si>
    <t>C05186</t>
  </si>
  <si>
    <t>Laban Reddy</t>
  </si>
  <si>
    <t>C05187</t>
  </si>
  <si>
    <t>Simon Kaur</t>
  </si>
  <si>
    <t>C05188</t>
  </si>
  <si>
    <t>Jeet Bera</t>
  </si>
  <si>
    <t>C05189</t>
  </si>
  <si>
    <t>Kamala Seth</t>
  </si>
  <si>
    <t>C05190</t>
  </si>
  <si>
    <t>Champak Tripathi</t>
  </si>
  <si>
    <t>C05191</t>
  </si>
  <si>
    <t>Dhruv Mann</t>
  </si>
  <si>
    <t>C05192</t>
  </si>
  <si>
    <t>Qabil Babu</t>
  </si>
  <si>
    <t>C05193</t>
  </si>
  <si>
    <t>Aadhya Gandhi</t>
  </si>
  <si>
    <t>C05194</t>
  </si>
  <si>
    <t>Osha Prashad</t>
  </si>
  <si>
    <t>C05195</t>
  </si>
  <si>
    <t>Tanmayi Chakraborty</t>
  </si>
  <si>
    <t>C05196</t>
  </si>
  <si>
    <t>Maanav Wason</t>
  </si>
  <si>
    <t>C05197</t>
  </si>
  <si>
    <t>Leena Kothari</t>
  </si>
  <si>
    <t>C05198</t>
  </si>
  <si>
    <t>Ganga Chauhan</t>
  </si>
  <si>
    <t>C05199</t>
  </si>
  <si>
    <t>Ansh Tella</t>
  </si>
  <si>
    <t>C05200</t>
  </si>
  <si>
    <t>Robert Gill</t>
  </si>
  <si>
    <t>C05201</t>
  </si>
  <si>
    <t>Hritik Goyal</t>
  </si>
  <si>
    <t>C05202</t>
  </si>
  <si>
    <t>Chaitaly Dhaliwal</t>
  </si>
  <si>
    <t>C05203</t>
  </si>
  <si>
    <t>Netra Bhakta</t>
  </si>
  <si>
    <t>C05204</t>
  </si>
  <si>
    <t>Arin Solanki</t>
  </si>
  <si>
    <t>C05205</t>
  </si>
  <si>
    <t>Mitali Dalal</t>
  </si>
  <si>
    <t>C05206</t>
  </si>
  <si>
    <t>Omisha Balasubramanian</t>
  </si>
  <si>
    <t>C05207</t>
  </si>
  <si>
    <t>Owen Kalita</t>
  </si>
  <si>
    <t>C05208</t>
  </si>
  <si>
    <t>Vedant Venkatesh</t>
  </si>
  <si>
    <t>C05209</t>
  </si>
  <si>
    <t>Eshana Pathak</t>
  </si>
  <si>
    <t>C05210</t>
  </si>
  <si>
    <t>Zinal Devi</t>
  </si>
  <si>
    <t>C05211</t>
  </si>
  <si>
    <t>Bhavani Aggarwal</t>
  </si>
  <si>
    <t>C05212</t>
  </si>
  <si>
    <t>Nikita Dalal</t>
  </si>
  <si>
    <t>C05213</t>
  </si>
  <si>
    <t>Radha Om</t>
  </si>
  <si>
    <t>C05214</t>
  </si>
  <si>
    <t>Manan Ravi</t>
  </si>
  <si>
    <t>C05215</t>
  </si>
  <si>
    <t>Manan Saraf</t>
  </si>
  <si>
    <t>C05216</t>
  </si>
  <si>
    <t>Girik Raja</t>
  </si>
  <si>
    <t>C05217</t>
  </si>
  <si>
    <t>Hemangini Ray</t>
  </si>
  <si>
    <t>C05218</t>
  </si>
  <si>
    <t>Tarak Aurora</t>
  </si>
  <si>
    <t>C05219</t>
  </si>
  <si>
    <t>Pooja Chaudhari</t>
  </si>
  <si>
    <t>C05220</t>
  </si>
  <si>
    <t>Ranveer Wadhwa</t>
  </si>
  <si>
    <t>C05221</t>
  </si>
  <si>
    <t>Gayathri Dara</t>
  </si>
  <si>
    <t>C05222</t>
  </si>
  <si>
    <t>Rehaan Loke</t>
  </si>
  <si>
    <t>C05223</t>
  </si>
  <si>
    <t>C05224</t>
  </si>
  <si>
    <t>Yashodhara Magar</t>
  </si>
  <si>
    <t>C05225</t>
  </si>
  <si>
    <t>Ayushman Gala</t>
  </si>
  <si>
    <t>C05226</t>
  </si>
  <si>
    <t>Udarsh Agarwal</t>
  </si>
  <si>
    <t>C05227</t>
  </si>
  <si>
    <t>Yoshita Saraf</t>
  </si>
  <si>
    <t>C05228</t>
  </si>
  <si>
    <t>Lopa Bhatnagar</t>
  </si>
  <si>
    <t>C05229</t>
  </si>
  <si>
    <t>Jackson Ram</t>
  </si>
  <si>
    <t>C05230</t>
  </si>
  <si>
    <t>Falan Bumb</t>
  </si>
  <si>
    <t>C05231</t>
  </si>
  <si>
    <t>Gaurika Bal</t>
  </si>
  <si>
    <t>C05232</t>
  </si>
  <si>
    <t>Dominic Prashad</t>
  </si>
  <si>
    <t>C05233</t>
  </si>
  <si>
    <t>Arya Buch</t>
  </si>
  <si>
    <t>C05234</t>
  </si>
  <si>
    <t>Elijah Nagy</t>
  </si>
  <si>
    <t>C05235</t>
  </si>
  <si>
    <t>Sudiksha Reddy</t>
  </si>
  <si>
    <t>C05236</t>
  </si>
  <si>
    <t>Rohan Savant</t>
  </si>
  <si>
    <t>C05237</t>
  </si>
  <si>
    <t>Maanas Bedi</t>
  </si>
  <si>
    <t>C05238</t>
  </si>
  <si>
    <t>C05239</t>
  </si>
  <si>
    <t>Anay Tandon</t>
  </si>
  <si>
    <t>C05240</t>
  </si>
  <si>
    <t>Saanvi Manda</t>
  </si>
  <si>
    <t>C05241</t>
  </si>
  <si>
    <t>Nicholas Bhardwaj</t>
  </si>
  <si>
    <t>C05242</t>
  </si>
  <si>
    <t>Logan Rau</t>
  </si>
  <si>
    <t>C05243</t>
  </si>
  <si>
    <t>Kalpit Devan</t>
  </si>
  <si>
    <t>C05244</t>
  </si>
  <si>
    <t>Anirudh Chanda</t>
  </si>
  <si>
    <t>C05245</t>
  </si>
  <si>
    <t>Urvi Rajagopalan</t>
  </si>
  <si>
    <t>C05246</t>
  </si>
  <si>
    <t>Naveen Bhavsar</t>
  </si>
  <si>
    <t>C05247</t>
  </si>
  <si>
    <t>Arin Ranganathan</t>
  </si>
  <si>
    <t>C05248</t>
  </si>
  <si>
    <t>Ekalinga Hayer</t>
  </si>
  <si>
    <t>C05249</t>
  </si>
  <si>
    <t>Samaksh Setty</t>
  </si>
  <si>
    <t>C05250</t>
  </si>
  <si>
    <t>Gaurav Deo</t>
  </si>
  <si>
    <t>C05251</t>
  </si>
  <si>
    <t>Ishita Garg</t>
  </si>
  <si>
    <t>C05252</t>
  </si>
  <si>
    <t>Hemani Rattan</t>
  </si>
  <si>
    <t>C05253</t>
  </si>
  <si>
    <t>Unni Buch</t>
  </si>
  <si>
    <t>C05254</t>
  </si>
  <si>
    <t>Advaith Jayaraman</t>
  </si>
  <si>
    <t>C05255</t>
  </si>
  <si>
    <t>Harsh Brar</t>
  </si>
  <si>
    <t>C05256</t>
  </si>
  <si>
    <t>Aadi Raghavan</t>
  </si>
  <si>
    <t>C05257</t>
  </si>
  <si>
    <t>Theodore Sami</t>
  </si>
  <si>
    <t>C05258</t>
  </si>
  <si>
    <t>Yochana Nadkarni</t>
  </si>
  <si>
    <t>C05259</t>
  </si>
  <si>
    <t>Unni Tandon</t>
  </si>
  <si>
    <t>C05260</t>
  </si>
  <si>
    <t>Krisha Dara</t>
  </si>
  <si>
    <t>C05261</t>
  </si>
  <si>
    <t>Tejas Sem</t>
  </si>
  <si>
    <t>C05262</t>
  </si>
  <si>
    <t>Chaman Mohanty</t>
  </si>
  <si>
    <t>C05263</t>
  </si>
  <si>
    <t>Chandran Ganguly</t>
  </si>
  <si>
    <t>C05264</t>
  </si>
  <si>
    <t>Champak Dhaliwal</t>
  </si>
  <si>
    <t>C05265</t>
  </si>
  <si>
    <t>Chaitaly Uppal</t>
  </si>
  <si>
    <t>C05266</t>
  </si>
  <si>
    <t>Girindra Sankar</t>
  </si>
  <si>
    <t>C05267</t>
  </si>
  <si>
    <t>Bhavani Bera</t>
  </si>
  <si>
    <t>C05268</t>
  </si>
  <si>
    <t>Siya Jayaraman</t>
  </si>
  <si>
    <t>C05269</t>
  </si>
  <si>
    <t>Harsh Rao</t>
  </si>
  <si>
    <t>C05270</t>
  </si>
  <si>
    <t>Hritik Dhar</t>
  </si>
  <si>
    <t>C05271</t>
  </si>
  <si>
    <t>Xalak Varghese</t>
  </si>
  <si>
    <t>C05272</t>
  </si>
  <si>
    <t>Rachit Borde</t>
  </si>
  <si>
    <t>C05273</t>
  </si>
  <si>
    <t>Neel Chanda</t>
  </si>
  <si>
    <t>C05274</t>
  </si>
  <si>
    <t>Qabil Chaudry</t>
  </si>
  <si>
    <t>C05275</t>
  </si>
  <si>
    <t>Advika Venkataraman</t>
  </si>
  <si>
    <t>C05276</t>
  </si>
  <si>
    <t>Onveer Oak</t>
  </si>
  <si>
    <t>C05277</t>
  </si>
  <si>
    <t>Raksha Kaur</t>
  </si>
  <si>
    <t>C05278</t>
  </si>
  <si>
    <t>Vincent Zacharia</t>
  </si>
  <si>
    <t>C05279</t>
  </si>
  <si>
    <t>Ishwar Varma</t>
  </si>
  <si>
    <t>C05280</t>
  </si>
  <si>
    <t>Eiravati Rege</t>
  </si>
  <si>
    <t>C05281</t>
  </si>
  <si>
    <t>Hamsini Karnik</t>
  </si>
  <si>
    <t>C05282</t>
  </si>
  <si>
    <t>Arin Tailor</t>
  </si>
  <si>
    <t>C05283</t>
  </si>
  <si>
    <t>Neha Dani</t>
  </si>
  <si>
    <t>C05284</t>
  </si>
  <si>
    <t>Vanya Bhat</t>
  </si>
  <si>
    <t>C05285</t>
  </si>
  <si>
    <t>Watika Keer</t>
  </si>
  <si>
    <t>C05286</t>
  </si>
  <si>
    <t>Zarna Din</t>
  </si>
  <si>
    <t>C05287</t>
  </si>
  <si>
    <t>Janya Agate</t>
  </si>
  <si>
    <t>C05288</t>
  </si>
  <si>
    <t>Maanas Chad</t>
  </si>
  <si>
    <t>C05289</t>
  </si>
  <si>
    <t>Pranit Kapur</t>
  </si>
  <si>
    <t>C05290</t>
  </si>
  <si>
    <t>Falak Dutta</t>
  </si>
  <si>
    <t>C05291</t>
  </si>
  <si>
    <t>Maya Pau</t>
  </si>
  <si>
    <t>C05292</t>
  </si>
  <si>
    <t>Gautami Zacharia</t>
  </si>
  <si>
    <t>C05293</t>
  </si>
  <si>
    <t>Henry Lanka</t>
  </si>
  <si>
    <t>C05294</t>
  </si>
  <si>
    <t>Mason Bora</t>
  </si>
  <si>
    <t>C05295</t>
  </si>
  <si>
    <t>Elijah Dewan</t>
  </si>
  <si>
    <t>C05296</t>
  </si>
  <si>
    <t>Mitali Shan</t>
  </si>
  <si>
    <t>C05297</t>
  </si>
  <si>
    <t>Amrita Keer</t>
  </si>
  <si>
    <t>C05298</t>
  </si>
  <si>
    <t>Bhavya Babu</t>
  </si>
  <si>
    <t>C05299</t>
  </si>
  <si>
    <t>Jonathan Barad</t>
  </si>
  <si>
    <t>C05300</t>
  </si>
  <si>
    <t>Bahadurjit Karpe</t>
  </si>
  <si>
    <t>C05301</t>
  </si>
  <si>
    <t>Zashil Tripathi</t>
  </si>
  <si>
    <t>C05302</t>
  </si>
  <si>
    <t>Kalpit Misra</t>
  </si>
  <si>
    <t>C05303</t>
  </si>
  <si>
    <t>Yauvani Bhatti</t>
  </si>
  <si>
    <t>C05304</t>
  </si>
  <si>
    <t>Bhanumati Palan</t>
  </si>
  <si>
    <t>C05305</t>
  </si>
  <si>
    <t>Yashica Shankar</t>
  </si>
  <si>
    <t>C05306</t>
  </si>
  <si>
    <t>Ridhi Chand</t>
  </si>
  <si>
    <t>C05307</t>
  </si>
  <si>
    <t>Praneel Keer</t>
  </si>
  <si>
    <t>C05308</t>
  </si>
  <si>
    <t>Sara Ramakrishnan</t>
  </si>
  <si>
    <t>C05309</t>
  </si>
  <si>
    <t>Rohan Zacharia</t>
  </si>
  <si>
    <t>C05310</t>
  </si>
  <si>
    <t>Atharv Seth</t>
  </si>
  <si>
    <t>C05311</t>
  </si>
  <si>
    <t>Lajita Brahmbhatt</t>
  </si>
  <si>
    <t>C05312</t>
  </si>
  <si>
    <t>Triya Talwar</t>
  </si>
  <si>
    <t>C05313</t>
  </si>
  <si>
    <t>Leena Doctor</t>
  </si>
  <si>
    <t>C05314</t>
  </si>
  <si>
    <t>Yashasvi Tank</t>
  </si>
  <si>
    <t>C05315</t>
  </si>
  <si>
    <t>Kai Nagarajan</t>
  </si>
  <si>
    <t>C05316</t>
  </si>
  <si>
    <t>Wakeeta Barad</t>
  </si>
  <si>
    <t>C05317</t>
  </si>
  <si>
    <t>Aadi Rastogi</t>
  </si>
  <si>
    <t>C05318</t>
  </si>
  <si>
    <t>Wazir Pillay</t>
  </si>
  <si>
    <t>C05319</t>
  </si>
  <si>
    <t>Amruta Balan</t>
  </si>
  <si>
    <t>C05320</t>
  </si>
  <si>
    <t>Madhavi Raj</t>
  </si>
  <si>
    <t>C05321</t>
  </si>
  <si>
    <t>Tanmayi Barad</t>
  </si>
  <si>
    <t>C05322</t>
  </si>
  <si>
    <t>Jeet Ganesh</t>
  </si>
  <si>
    <t>C05323</t>
  </si>
  <si>
    <t>Patrick Oommen</t>
  </si>
  <si>
    <t>C05324</t>
  </si>
  <si>
    <t>Amrita Krishnamurthy</t>
  </si>
  <si>
    <t>C05325</t>
  </si>
  <si>
    <t>Maya Sharma</t>
  </si>
  <si>
    <t>C05326</t>
  </si>
  <si>
    <t>Rohan Dey</t>
  </si>
  <si>
    <t>C05327</t>
  </si>
  <si>
    <t>Chaitaly Grewal</t>
  </si>
  <si>
    <t>C05328</t>
  </si>
  <si>
    <t>Kiaan Walia</t>
  </si>
  <si>
    <t>C05329</t>
  </si>
  <si>
    <t>Mahika Kapadia</t>
  </si>
  <si>
    <t>C05330</t>
  </si>
  <si>
    <t>Harshil Oak</t>
  </si>
  <si>
    <t>C05331</t>
  </si>
  <si>
    <t>Nitesh Lad</t>
  </si>
  <si>
    <t>C05332</t>
  </si>
  <si>
    <t>Falak Grover</t>
  </si>
  <si>
    <t>C05333</t>
  </si>
  <si>
    <t>Vasudha Gokhale</t>
  </si>
  <si>
    <t>C05334</t>
  </si>
  <si>
    <t>Lopa Ganesh</t>
  </si>
  <si>
    <t>C05335</t>
  </si>
  <si>
    <t>Netra Kant</t>
  </si>
  <si>
    <t>C05336</t>
  </si>
  <si>
    <t>Hemal Wagle</t>
  </si>
  <si>
    <t>C05337</t>
  </si>
  <si>
    <t>Harsh Kapoor</t>
  </si>
  <si>
    <t>C05338</t>
  </si>
  <si>
    <t>Mahika Pingle</t>
  </si>
  <si>
    <t>C05339</t>
  </si>
  <si>
    <t>Atharv Suri</t>
  </si>
  <si>
    <t>C05340</t>
  </si>
  <si>
    <t>Libni Nair</t>
  </si>
  <si>
    <t>C05341</t>
  </si>
  <si>
    <t>Ekani Sura</t>
  </si>
  <si>
    <t>C05342</t>
  </si>
  <si>
    <t>Advika Kapur</t>
  </si>
  <si>
    <t>C05343</t>
  </si>
  <si>
    <t>Rishi Mohan</t>
  </si>
  <si>
    <t>C05344</t>
  </si>
  <si>
    <t>Yauvani Borde</t>
  </si>
  <si>
    <t>C05345</t>
  </si>
  <si>
    <t>C05346</t>
  </si>
  <si>
    <t>Champak Issac</t>
  </si>
  <si>
    <t>C05347</t>
  </si>
  <si>
    <t>Warinder Luthra</t>
  </si>
  <si>
    <t>C05348</t>
  </si>
  <si>
    <t>Gabriel Patla</t>
  </si>
  <si>
    <t>C05349</t>
  </si>
  <si>
    <t>Meera Mohanty</t>
  </si>
  <si>
    <t>C05350</t>
  </si>
  <si>
    <t>Eshana Memon</t>
  </si>
  <si>
    <t>C05351</t>
  </si>
  <si>
    <t>Hritik Narain</t>
  </si>
  <si>
    <t>C05352</t>
  </si>
  <si>
    <t>Samaksh Chhabra</t>
  </si>
  <si>
    <t>C05353</t>
  </si>
  <si>
    <t>Oscar Pau</t>
  </si>
  <si>
    <t>C05354</t>
  </si>
  <si>
    <t>Oni Soni</t>
  </si>
  <si>
    <t>C05355</t>
  </si>
  <si>
    <t>Wazir Sandhu</t>
  </si>
  <si>
    <t>C05356</t>
  </si>
  <si>
    <t>Edhitha Bath</t>
  </si>
  <si>
    <t>C05357</t>
  </si>
  <si>
    <t>Amaira Doctor</t>
  </si>
  <si>
    <t>C05358</t>
  </si>
  <si>
    <t>Bhanumati Chahal</t>
  </si>
  <si>
    <t>C05359</t>
  </si>
  <si>
    <t>Irya Goel</t>
  </si>
  <si>
    <t>C05360</t>
  </si>
  <si>
    <t>Leela Wadhwa</t>
  </si>
  <si>
    <t>C05361</t>
  </si>
  <si>
    <t>Urvashi Bhasin</t>
  </si>
  <si>
    <t>C05362</t>
  </si>
  <si>
    <t>Vanya Ahuja</t>
  </si>
  <si>
    <t>C05363</t>
  </si>
  <si>
    <t>Jalsa Dayal</t>
  </si>
  <si>
    <t>C05364</t>
  </si>
  <si>
    <t>Yoshita Vyas</t>
  </si>
  <si>
    <t>C05365</t>
  </si>
  <si>
    <t>Neelima Gaba</t>
  </si>
  <si>
    <t>C05366</t>
  </si>
  <si>
    <t>Ganga Sangha</t>
  </si>
  <si>
    <t>C05367</t>
  </si>
  <si>
    <t>Dalbir Nair</t>
  </si>
  <si>
    <t>C05368</t>
  </si>
  <si>
    <t>Shivani Yohannan</t>
  </si>
  <si>
    <t>C05369</t>
  </si>
  <si>
    <t>Ati Misra</t>
  </si>
  <si>
    <t>C05370</t>
  </si>
  <si>
    <t>Lakshit Tailor</t>
  </si>
  <si>
    <t>C05371</t>
  </si>
  <si>
    <t>Yashvi Nazareth</t>
  </si>
  <si>
    <t>C05372</t>
  </si>
  <si>
    <t>Harinakshi Sami</t>
  </si>
  <si>
    <t>C05373</t>
  </si>
  <si>
    <t>Edhitha Mani</t>
  </si>
  <si>
    <t>C05374</t>
  </si>
  <si>
    <t>Yadavi Dave</t>
  </si>
  <si>
    <t>C05375</t>
  </si>
  <si>
    <t>Jagat Butala</t>
  </si>
  <si>
    <t>C05376</t>
  </si>
  <si>
    <t>Gaurangi Bal</t>
  </si>
  <si>
    <t>C05377</t>
  </si>
  <si>
    <t>Abeer Baral</t>
  </si>
  <si>
    <t>C05378</t>
  </si>
  <si>
    <t>Nachiket Mohanty</t>
  </si>
  <si>
    <t>C05379</t>
  </si>
  <si>
    <t>Victor Kata</t>
  </si>
  <si>
    <t>C05380</t>
  </si>
  <si>
    <t>Warjas Deep</t>
  </si>
  <si>
    <t>C05381</t>
  </si>
  <si>
    <t>Eshana Nadig</t>
  </si>
  <si>
    <t>C05382</t>
  </si>
  <si>
    <t>Sathvik Ahluwalia</t>
  </si>
  <si>
    <t>C05383</t>
  </si>
  <si>
    <t>Harini Srivastava</t>
  </si>
  <si>
    <t>C05384</t>
  </si>
  <si>
    <t>Samar Sandal</t>
  </si>
  <si>
    <t>C05385</t>
  </si>
  <si>
    <t>Harish Mander</t>
  </si>
  <si>
    <t>C05386</t>
  </si>
  <si>
    <t>Bhavani Venkatesh</t>
  </si>
  <si>
    <t>C05387</t>
  </si>
  <si>
    <t>Libni Swaminathan</t>
  </si>
  <si>
    <t>C05388</t>
  </si>
  <si>
    <t>Xalak Kapadia</t>
  </si>
  <si>
    <t>C05389</t>
  </si>
  <si>
    <t>Saumya Sastry</t>
  </si>
  <si>
    <t>C05390</t>
  </si>
  <si>
    <t>Odika Doctor</t>
  </si>
  <si>
    <t>C05391</t>
  </si>
  <si>
    <t>Kai Peri</t>
  </si>
  <si>
    <t>C05392</t>
  </si>
  <si>
    <t>Jyoti Mani</t>
  </si>
  <si>
    <t>C05393</t>
  </si>
  <si>
    <t>Ekaraj Vora</t>
  </si>
  <si>
    <t>C05394</t>
  </si>
  <si>
    <t>Oscar Cherian</t>
  </si>
  <si>
    <t>C05395</t>
  </si>
  <si>
    <t>Ranveer Bhatnagar</t>
  </si>
  <si>
    <t>C05396</t>
  </si>
  <si>
    <t>Ryan Dhar</t>
  </si>
  <si>
    <t>C05397</t>
  </si>
  <si>
    <t>Dalaja Chanda</t>
  </si>
  <si>
    <t>C05398</t>
  </si>
  <si>
    <t>Krishna Anand</t>
  </si>
  <si>
    <t>C05399</t>
  </si>
  <si>
    <t>Zinal Konda</t>
  </si>
  <si>
    <t>C05400</t>
  </si>
  <si>
    <t>Adweta Suri</t>
  </si>
  <si>
    <t>C05401</t>
  </si>
  <si>
    <t>Samar Sheth</t>
  </si>
  <si>
    <t>C05402</t>
  </si>
  <si>
    <t>Arjun Walia</t>
  </si>
  <si>
    <t>C05403</t>
  </si>
  <si>
    <t>Urishilla Raval</t>
  </si>
  <si>
    <t>C05404</t>
  </si>
  <si>
    <t>Tamanna Goel</t>
  </si>
  <si>
    <t>C05405</t>
  </si>
  <si>
    <t>Inaya Srinivasan</t>
  </si>
  <si>
    <t>C05406</t>
  </si>
  <si>
    <t>Ekani Lad</t>
  </si>
  <si>
    <t>C05407</t>
  </si>
  <si>
    <t>Amaira Sule</t>
  </si>
  <si>
    <t>C05408</t>
  </si>
  <si>
    <t>Ladli Dubey</t>
  </si>
  <si>
    <t>C05409</t>
  </si>
  <si>
    <t>Eshana Dhar</t>
  </si>
  <si>
    <t>C05410</t>
  </si>
  <si>
    <t>Yasti Setty</t>
  </si>
  <si>
    <t>C05411</t>
  </si>
  <si>
    <t>Wridesh Chaudry</t>
  </si>
  <si>
    <t>C05412</t>
  </si>
  <si>
    <t>Chatresh Gopal</t>
  </si>
  <si>
    <t>C05413</t>
  </si>
  <si>
    <t>Jai Singh</t>
  </si>
  <si>
    <t>C05414</t>
  </si>
  <si>
    <t>Dev Shankar</t>
  </si>
  <si>
    <t>C05415</t>
  </si>
  <si>
    <t>Rushil Savant</t>
  </si>
  <si>
    <t>C05416</t>
  </si>
  <si>
    <t>Quincy Balakrishnan</t>
  </si>
  <si>
    <t>C05417</t>
  </si>
  <si>
    <t>Qabil Gera</t>
  </si>
  <si>
    <t>C05418</t>
  </si>
  <si>
    <t>Tanish Sabharwal</t>
  </si>
  <si>
    <t>C05419</t>
  </si>
  <si>
    <t>Harrison Sane</t>
  </si>
  <si>
    <t>C05420</t>
  </si>
  <si>
    <t>Faqid Mitter</t>
  </si>
  <si>
    <t>C05421</t>
  </si>
  <si>
    <t>Maanas Khalsa</t>
  </si>
  <si>
    <t>C05422</t>
  </si>
  <si>
    <t>Ekta Patla</t>
  </si>
  <si>
    <t>C05423</t>
  </si>
  <si>
    <t>Samar Nagarajan</t>
  </si>
  <si>
    <t>C05424</t>
  </si>
  <si>
    <t>Amara Sahni</t>
  </si>
  <si>
    <t>C05425</t>
  </si>
  <si>
    <t>Vrinda Sheth</t>
  </si>
  <si>
    <t>C05426</t>
  </si>
  <si>
    <t>Theodore Edwin</t>
  </si>
  <si>
    <t>C05427</t>
  </si>
  <si>
    <t>Bimala Kota</t>
  </si>
  <si>
    <t>C05428</t>
  </si>
  <si>
    <t>Gaurangi Lal</t>
  </si>
  <si>
    <t>C05429</t>
  </si>
  <si>
    <t>Wishi Dada</t>
  </si>
  <si>
    <t>C05430</t>
  </si>
  <si>
    <t>Sanya Sarna</t>
  </si>
  <si>
    <t>C05431</t>
  </si>
  <si>
    <t>Rachit Ghosh</t>
  </si>
  <si>
    <t>C05432</t>
  </si>
  <si>
    <t>Ekaraj Edwin</t>
  </si>
  <si>
    <t>C05433</t>
  </si>
  <si>
    <t>Garima Koshy</t>
  </si>
  <si>
    <t>C05434</t>
  </si>
  <si>
    <t>Widisha Chowdhury</t>
  </si>
  <si>
    <t>C05435</t>
  </si>
  <si>
    <t>Vritti Narain</t>
  </si>
  <si>
    <t>C05436</t>
  </si>
  <si>
    <t>Zilmil Kibe</t>
  </si>
  <si>
    <t>C05437</t>
  </si>
  <si>
    <t>Manthan Bala</t>
  </si>
  <si>
    <t>C05438</t>
  </si>
  <si>
    <t>Krish Patla</t>
  </si>
  <si>
    <t>C05439</t>
  </si>
  <si>
    <t>Chatura Guha</t>
  </si>
  <si>
    <t>C05440</t>
  </si>
  <si>
    <t>Baljiwan Basu</t>
  </si>
  <si>
    <t>C05441</t>
  </si>
  <si>
    <t>Vrinda Shroff</t>
  </si>
  <si>
    <t>C05442</t>
  </si>
  <si>
    <t>Ikshita Kade</t>
  </si>
  <si>
    <t>C05443</t>
  </si>
  <si>
    <t>Yoshita Parikh</t>
  </si>
  <si>
    <t>C05444</t>
  </si>
  <si>
    <t>Warjas Warrior</t>
  </si>
  <si>
    <t>C05445</t>
  </si>
  <si>
    <t>Darsh Baria</t>
  </si>
  <si>
    <t>C05446</t>
  </si>
  <si>
    <t>Anay Mall</t>
  </si>
  <si>
    <t>C05447</t>
  </si>
  <si>
    <t>Warinder Rama</t>
  </si>
  <si>
    <t>C05448</t>
  </si>
  <si>
    <t>Ekani Choudhary</t>
  </si>
  <si>
    <t>C05449</t>
  </si>
  <si>
    <t>Ekalinga Palan</t>
  </si>
  <si>
    <t>C05450</t>
  </si>
  <si>
    <t>Shivansh Chander</t>
  </si>
  <si>
    <t>C05451</t>
  </si>
  <si>
    <t>Manthan Ganesh</t>
  </si>
  <si>
    <t>C05452</t>
  </si>
  <si>
    <t>Arjun Chanda</t>
  </si>
  <si>
    <t>C05453</t>
  </si>
  <si>
    <t>Rushil Sridhar</t>
  </si>
  <si>
    <t>C05454</t>
  </si>
  <si>
    <t>Yasti Hans</t>
  </si>
  <si>
    <t>C05455</t>
  </si>
  <si>
    <t>Ronith Ahluwalia</t>
  </si>
  <si>
    <t>C05456</t>
  </si>
  <si>
    <t>Upma Butala</t>
  </si>
  <si>
    <t>C05457</t>
  </si>
  <si>
    <t>Xalak Chander</t>
  </si>
  <si>
    <t>C05458</t>
  </si>
  <si>
    <t>Maanav Rao</t>
  </si>
  <si>
    <t>C05459</t>
  </si>
  <si>
    <t>Matthew Doshi</t>
  </si>
  <si>
    <t>C05460</t>
  </si>
  <si>
    <t>Sarthak Dugar</t>
  </si>
  <si>
    <t>C05461</t>
  </si>
  <si>
    <t>Triveni Rout</t>
  </si>
  <si>
    <t>C05462</t>
  </si>
  <si>
    <t>Liam Bera</t>
  </si>
  <si>
    <t>C05463</t>
  </si>
  <si>
    <t>Gaurav D’Alia</t>
  </si>
  <si>
    <t>C05464</t>
  </si>
  <si>
    <t>Lavanya Rau</t>
  </si>
  <si>
    <t>C05465</t>
  </si>
  <si>
    <t>Kai Golla</t>
  </si>
  <si>
    <t>C05466</t>
  </si>
  <si>
    <t>Jai Balay</t>
  </si>
  <si>
    <t>C05467</t>
  </si>
  <si>
    <t>Laban Oza</t>
  </si>
  <si>
    <t>C05468</t>
  </si>
  <si>
    <t>Yuvraj Hora</t>
  </si>
  <si>
    <t>C05469</t>
  </si>
  <si>
    <t>C05470</t>
  </si>
  <si>
    <t>Raagini Rai</t>
  </si>
  <si>
    <t>C05471</t>
  </si>
  <si>
    <t>Sathvik Yadav</t>
  </si>
  <si>
    <t>C05472</t>
  </si>
  <si>
    <t>Praneel Shah</t>
  </si>
  <si>
    <t>C05473</t>
  </si>
  <si>
    <t>Hemang Doctor</t>
  </si>
  <si>
    <t>C05474</t>
  </si>
  <si>
    <t>Patrick Chaudhry</t>
  </si>
  <si>
    <t>C05475</t>
  </si>
  <si>
    <t>Bhavani Bajaj</t>
  </si>
  <si>
    <t>C05476</t>
  </si>
  <si>
    <t>Logan Nazareth</t>
  </si>
  <si>
    <t>C05477</t>
  </si>
  <si>
    <t>Eta Desai</t>
  </si>
  <si>
    <t>C05478</t>
  </si>
  <si>
    <t>Bhavini Prashad</t>
  </si>
  <si>
    <t>C05479</t>
  </si>
  <si>
    <t>Anay Hari</t>
  </si>
  <si>
    <t>C05480</t>
  </si>
  <si>
    <t>Inaya Rai</t>
  </si>
  <si>
    <t>C05481</t>
  </si>
  <si>
    <t>Aarav Kala</t>
  </si>
  <si>
    <t>C05482</t>
  </si>
  <si>
    <t>Kabir Taneja</t>
  </si>
  <si>
    <t>C05483</t>
  </si>
  <si>
    <t>Gunbir Karnik</t>
  </si>
  <si>
    <t>C05484</t>
  </si>
  <si>
    <t>Jagat Dhar</t>
  </si>
  <si>
    <t>C05485</t>
  </si>
  <si>
    <t>Rayaan Samra</t>
  </si>
  <si>
    <t>C05486</t>
  </si>
  <si>
    <t>Eta Zacharia</t>
  </si>
  <si>
    <t>C05487</t>
  </si>
  <si>
    <t>Lila Mohanty</t>
  </si>
  <si>
    <t>C05488</t>
  </si>
  <si>
    <t>Simon Bala</t>
  </si>
  <si>
    <t>C05489</t>
  </si>
  <si>
    <t>Falan Dugal</t>
  </si>
  <si>
    <t>C05490</t>
  </si>
  <si>
    <t>Lohit Subramaniam</t>
  </si>
  <si>
    <t>C05491</t>
  </si>
  <si>
    <t>Pahal Dasgupta</t>
  </si>
  <si>
    <t>C05492</t>
  </si>
  <si>
    <t>Neel Srinivas</t>
  </si>
  <si>
    <t>C05493</t>
  </si>
  <si>
    <t>Warda Mall</t>
  </si>
  <si>
    <t>C05494</t>
  </si>
  <si>
    <t>Ojas Bhat</t>
  </si>
  <si>
    <t>C05495</t>
  </si>
  <si>
    <t>Frederick Sankar</t>
  </si>
  <si>
    <t>C05496</t>
  </si>
  <si>
    <t>Anthony Sachar</t>
  </si>
  <si>
    <t>C05497</t>
  </si>
  <si>
    <t>Kalpit Date</t>
  </si>
  <si>
    <t>C05498</t>
  </si>
  <si>
    <t>Hredhaan Oommen</t>
  </si>
  <si>
    <t>C05499</t>
  </si>
  <si>
    <t>Advika Dutt</t>
  </si>
  <si>
    <t>C05500</t>
  </si>
  <si>
    <t>Tristan Mangal</t>
  </si>
  <si>
    <t>C05501</t>
  </si>
  <si>
    <t>Zaid Bhargava</t>
  </si>
  <si>
    <t>C05502</t>
  </si>
  <si>
    <t>C05503</t>
  </si>
  <si>
    <t>Watika Seth</t>
  </si>
  <si>
    <t>C05504</t>
  </si>
  <si>
    <t>Pallavi Morar</t>
  </si>
  <si>
    <t>C05505</t>
  </si>
  <si>
    <t>Kamala Savant</t>
  </si>
  <si>
    <t>C05506</t>
  </si>
  <si>
    <t>Kamya Mane</t>
  </si>
  <si>
    <t>C05507</t>
  </si>
  <si>
    <t>Orinder Koshy</t>
  </si>
  <si>
    <t>C05508</t>
  </si>
  <si>
    <t>Varsha Cherian</t>
  </si>
  <si>
    <t>C05509</t>
  </si>
  <si>
    <t>Zayan Shenoy</t>
  </si>
  <si>
    <t>C05510</t>
  </si>
  <si>
    <t>Aarnav Choudhry</t>
  </si>
  <si>
    <t>C05511</t>
  </si>
  <si>
    <t>Daniel Dani</t>
  </si>
  <si>
    <t>C05512</t>
  </si>
  <si>
    <t>Balvan Johal</t>
  </si>
  <si>
    <t>C05513</t>
  </si>
  <si>
    <t>Nitara Karpe</t>
  </si>
  <si>
    <t>C05514</t>
  </si>
  <si>
    <t>Shivani Rastogi</t>
  </si>
  <si>
    <t>C05515</t>
  </si>
  <si>
    <t>Gautam Suresh</t>
  </si>
  <si>
    <t>C05516</t>
  </si>
  <si>
    <t>Pallavi Varty</t>
  </si>
  <si>
    <t>C05517</t>
  </si>
  <si>
    <t>Agastya Varughese</t>
  </si>
  <si>
    <t>C05518</t>
  </si>
  <si>
    <t>Jeevika Sem</t>
  </si>
  <si>
    <t>C05519</t>
  </si>
  <si>
    <t>Manbir Balasubramanian</t>
  </si>
  <si>
    <t>C05520</t>
  </si>
  <si>
    <t>Hema Bhat</t>
  </si>
  <si>
    <t>C05521</t>
  </si>
  <si>
    <t>Frado Hayre</t>
  </si>
  <si>
    <t>C05522</t>
  </si>
  <si>
    <t>Nilima Sethi</t>
  </si>
  <si>
    <t>C05523</t>
  </si>
  <si>
    <t>Yatin Bhagat</t>
  </si>
  <si>
    <t>C05524</t>
  </si>
  <si>
    <t>Veer Natarajan</t>
  </si>
  <si>
    <t>C05525</t>
  </si>
  <si>
    <t>Champak Mani</t>
  </si>
  <si>
    <t>C05526</t>
  </si>
  <si>
    <t>Anya Swamy</t>
  </si>
  <si>
    <t>C05527</t>
  </si>
  <si>
    <t>Ryan Rattan</t>
  </si>
  <si>
    <t>C05528</t>
  </si>
  <si>
    <t>Ishaan Hegde</t>
  </si>
  <si>
    <t>C05529</t>
  </si>
  <si>
    <t>Anay Saran</t>
  </si>
  <si>
    <t>C05530</t>
  </si>
  <si>
    <t>Ikshita Wali</t>
  </si>
  <si>
    <t>C05531</t>
  </si>
  <si>
    <t>Sanya Sandhu</t>
  </si>
  <si>
    <t>C05532</t>
  </si>
  <si>
    <t>Zehaan Taneja</t>
  </si>
  <si>
    <t>C05533</t>
  </si>
  <si>
    <t>Samarth Dara</t>
  </si>
  <si>
    <t>C05534</t>
  </si>
  <si>
    <t>Gauri Issac</t>
  </si>
  <si>
    <t>C05535</t>
  </si>
  <si>
    <t>Neha Dugar</t>
  </si>
  <si>
    <t>C05536</t>
  </si>
  <si>
    <t>Aachal Sarkar</t>
  </si>
  <si>
    <t>C05537</t>
  </si>
  <si>
    <t>Rajeshri Dixit</t>
  </si>
  <si>
    <t>C05538</t>
  </si>
  <si>
    <t>Ira Bhatt</t>
  </si>
  <si>
    <t>C05539</t>
  </si>
  <si>
    <t>Lakshit Soman</t>
  </si>
  <si>
    <t>C05540</t>
  </si>
  <si>
    <t>Azad Bhandari</t>
  </si>
  <si>
    <t>C05541</t>
  </si>
  <si>
    <t>Neha Sachdeva</t>
  </si>
  <si>
    <t>C05542</t>
  </si>
  <si>
    <t>Harish Mukhopadhyay</t>
  </si>
  <si>
    <t>C05543</t>
  </si>
  <si>
    <t>Aryan Bir</t>
  </si>
  <si>
    <t>C05544</t>
  </si>
  <si>
    <t>Chandresh Sekhon</t>
  </si>
  <si>
    <t>C05545</t>
  </si>
  <si>
    <t>Unni Dash</t>
  </si>
  <si>
    <t>C05546</t>
  </si>
  <si>
    <t>Baljiwan Bahri</t>
  </si>
  <si>
    <t>C05547</t>
  </si>
  <si>
    <t>Warinder Bir</t>
  </si>
  <si>
    <t>C05548</t>
  </si>
  <si>
    <t>Aarush Murty</t>
  </si>
  <si>
    <t>C05549</t>
  </si>
  <si>
    <t>Dominic Nadig</t>
  </si>
  <si>
    <t>C05550</t>
  </si>
  <si>
    <t>Brijesh Kumer</t>
  </si>
  <si>
    <t>C05551</t>
  </si>
  <si>
    <t>Chameli Taneja</t>
  </si>
  <si>
    <t>C05552</t>
  </si>
  <si>
    <t>Waida Kapur</t>
  </si>
  <si>
    <t>C05553</t>
  </si>
  <si>
    <t>Rushil Sheth</t>
  </si>
  <si>
    <t>C05554</t>
  </si>
  <si>
    <t>Jai Sachdeva</t>
  </si>
  <si>
    <t>C05555</t>
  </si>
  <si>
    <t>Brinda Chaudry</t>
  </si>
  <si>
    <t>C05556</t>
  </si>
  <si>
    <t>Lavanya Chaudhary</t>
  </si>
  <si>
    <t>C05557</t>
  </si>
  <si>
    <t>Tarak Sundaram</t>
  </si>
  <si>
    <t>C05558</t>
  </si>
  <si>
    <t>Chandran Sundaram</t>
  </si>
  <si>
    <t>C05559</t>
  </si>
  <si>
    <t>Amaira Kothari</t>
  </si>
  <si>
    <t>C05560</t>
  </si>
  <si>
    <t>Owen Naidu</t>
  </si>
  <si>
    <t>C05561</t>
  </si>
  <si>
    <t>Qadim Kade</t>
  </si>
  <si>
    <t>C05562</t>
  </si>
  <si>
    <t>Ishaan Sehgal</t>
  </si>
  <si>
    <t>C05563</t>
  </si>
  <si>
    <t>Ekalinga Lalla</t>
  </si>
  <si>
    <t>C05564</t>
  </si>
  <si>
    <t>Raagini Dewan</t>
  </si>
  <si>
    <t>C05565</t>
  </si>
  <si>
    <t>Tanish Sibal</t>
  </si>
  <si>
    <t>C05566</t>
  </si>
  <si>
    <t>Yutika Sharma</t>
  </si>
  <si>
    <t>C05567</t>
  </si>
  <si>
    <t>Hitesh Chakraborty</t>
  </si>
  <si>
    <t>C05568</t>
  </si>
  <si>
    <t>Christopher Dutt</t>
  </si>
  <si>
    <t>C05569</t>
  </si>
  <si>
    <t>Aashi Chandran</t>
  </si>
  <si>
    <t>C05570</t>
  </si>
  <si>
    <t>Wahab Pingle</t>
  </si>
  <si>
    <t>C05571</t>
  </si>
  <si>
    <t>Manan Choudhury</t>
  </si>
  <si>
    <t>C05572</t>
  </si>
  <si>
    <t>Sai Bains</t>
  </si>
  <si>
    <t>C05573</t>
  </si>
  <si>
    <t>Yashoda Balasubramanian</t>
  </si>
  <si>
    <t>C05574</t>
  </si>
  <si>
    <t>C05575</t>
  </si>
  <si>
    <t>Lakshit Dyal</t>
  </si>
  <si>
    <t>C05576</t>
  </si>
  <si>
    <t>Siya Parekh</t>
  </si>
  <si>
    <t>C05577</t>
  </si>
  <si>
    <t>Ria Tripathi</t>
  </si>
  <si>
    <t>C05578</t>
  </si>
  <si>
    <t>Raksha Apte</t>
  </si>
  <si>
    <t>C05579</t>
  </si>
  <si>
    <t>David Bal</t>
  </si>
  <si>
    <t>C05580</t>
  </si>
  <si>
    <t>Chakradhar Sahota</t>
  </si>
  <si>
    <t>C05581</t>
  </si>
  <si>
    <t>Ekaja Solanki</t>
  </si>
  <si>
    <t>C05582</t>
  </si>
  <si>
    <t>Pranit Gulati</t>
  </si>
  <si>
    <t>C05583</t>
  </si>
  <si>
    <t>Frederick Mistry</t>
  </si>
  <si>
    <t>C05584</t>
  </si>
  <si>
    <t>Gavin Chad</t>
  </si>
  <si>
    <t>C05585</t>
  </si>
  <si>
    <t>Yasti Tata</t>
  </si>
  <si>
    <t>C05586</t>
  </si>
  <si>
    <t>Noah Sampath</t>
  </si>
  <si>
    <t>C05587</t>
  </si>
  <si>
    <t>Ubika Ramanathan</t>
  </si>
  <si>
    <t>C05588</t>
  </si>
  <si>
    <t>Chandresh Loke</t>
  </si>
  <si>
    <t>C05589</t>
  </si>
  <si>
    <t>Isha Karnik</t>
  </si>
  <si>
    <t>C05590</t>
  </si>
  <si>
    <t>Aarna Chakrabarti</t>
  </si>
  <si>
    <t>C05591</t>
  </si>
  <si>
    <t>Isaiah Pant</t>
  </si>
  <si>
    <t>C05592</t>
  </si>
  <si>
    <t>Chaitanya Talwar</t>
  </si>
  <si>
    <t>C05593</t>
  </si>
  <si>
    <t>Peter Sura</t>
  </si>
  <si>
    <t>C05594</t>
  </si>
  <si>
    <t>Udarsh Nath</t>
  </si>
  <si>
    <t>C05595</t>
  </si>
  <si>
    <t>Irya Chhabra</t>
  </si>
  <si>
    <t>C05596</t>
  </si>
  <si>
    <t>Mitali Gopal</t>
  </si>
  <si>
    <t>C05597</t>
  </si>
  <si>
    <t>Chakradev Sama</t>
  </si>
  <si>
    <t>C05598</t>
  </si>
  <si>
    <t>Krisha Rajagopal</t>
  </si>
  <si>
    <t>C05599</t>
  </si>
  <si>
    <t>Alka Sanghvi</t>
  </si>
  <si>
    <t>C05600</t>
  </si>
  <si>
    <t>Amaira Sethi</t>
  </si>
  <si>
    <t>C05601</t>
  </si>
  <si>
    <t>Max Bhattacharyya</t>
  </si>
  <si>
    <t>C05602</t>
  </si>
  <si>
    <t>C05603</t>
  </si>
  <si>
    <t>Harsh Raju</t>
  </si>
  <si>
    <t>C05604</t>
  </si>
  <si>
    <t>Nathaniel Parekh</t>
  </si>
  <si>
    <t>C05605</t>
  </si>
  <si>
    <t>Niharika Maharaj</t>
  </si>
  <si>
    <t>C05606</t>
  </si>
  <si>
    <t>Aadi Thakkar</t>
  </si>
  <si>
    <t>C05607</t>
  </si>
  <si>
    <t>Amaira Warrior</t>
  </si>
  <si>
    <t>C05608</t>
  </si>
  <si>
    <t>Yachana Kari</t>
  </si>
  <si>
    <t>C05609</t>
  </si>
  <si>
    <t>Rajata Devan</t>
  </si>
  <si>
    <t>C05610</t>
  </si>
  <si>
    <t>Megha Srinivasan</t>
  </si>
  <si>
    <t>C05611</t>
  </si>
  <si>
    <t>Sai Bir</t>
  </si>
  <si>
    <t>C05612</t>
  </si>
  <si>
    <t>Anthony Bhatnagar</t>
  </si>
  <si>
    <t>C05613</t>
  </si>
  <si>
    <t>Charita Borah</t>
  </si>
  <si>
    <t>C05614</t>
  </si>
  <si>
    <t>Isaiah Kothari</t>
  </si>
  <si>
    <t>C05615</t>
  </si>
  <si>
    <t>Nihal Jayaraman</t>
  </si>
  <si>
    <t>C05616</t>
  </si>
  <si>
    <t>Hritik Kaul</t>
  </si>
  <si>
    <t>C05617</t>
  </si>
  <si>
    <t>Vaishnavi Reddy</t>
  </si>
  <si>
    <t>C05618</t>
  </si>
  <si>
    <t>C05619</t>
  </si>
  <si>
    <t>Caleb Kumar</t>
  </si>
  <si>
    <t>C05620</t>
  </si>
  <si>
    <t>Yasti Chandra</t>
  </si>
  <si>
    <t>C05621</t>
  </si>
  <si>
    <t>Gaurangi Bains</t>
  </si>
  <si>
    <t>C05622</t>
  </si>
  <si>
    <t>Jagvi Mallick</t>
  </si>
  <si>
    <t>C05623</t>
  </si>
  <si>
    <t>Warhi Dhillon</t>
  </si>
  <si>
    <t>C05624</t>
  </si>
  <si>
    <t>Jeet Chatterjee</t>
  </si>
  <si>
    <t>C05625</t>
  </si>
  <si>
    <t>Eesha Balay</t>
  </si>
  <si>
    <t>C05626</t>
  </si>
  <si>
    <t>Bimala Mahal</t>
  </si>
  <si>
    <t>C05627</t>
  </si>
  <si>
    <t>Omaja Ratti</t>
  </si>
  <si>
    <t>C05628</t>
  </si>
  <si>
    <t>Upma Sule</t>
  </si>
  <si>
    <t>C05629</t>
  </si>
  <si>
    <t>Zaitra Date</t>
  </si>
  <si>
    <t>C05630</t>
  </si>
  <si>
    <t>Benjamin Agate</t>
  </si>
  <si>
    <t>C05631</t>
  </si>
  <si>
    <t>Triya Dhillon</t>
  </si>
  <si>
    <t>C05632</t>
  </si>
  <si>
    <t>Anita Buch</t>
  </si>
  <si>
    <t>C05633</t>
  </si>
  <si>
    <t>Anika Sachdev</t>
  </si>
  <si>
    <t>C05634</t>
  </si>
  <si>
    <t>Upkaar Narain</t>
  </si>
  <si>
    <t>C05635</t>
  </si>
  <si>
    <t>Meera Puri</t>
  </si>
  <si>
    <t>C05636</t>
  </si>
  <si>
    <t>Pahal Yohannan</t>
  </si>
  <si>
    <t>C05637</t>
  </si>
  <si>
    <t>Meghana Sarraf</t>
  </si>
  <si>
    <t>C05638</t>
  </si>
  <si>
    <t>Yashawini Raj</t>
  </si>
  <si>
    <t>C05639</t>
  </si>
  <si>
    <t>Gautam Narang</t>
  </si>
  <si>
    <t>C05640</t>
  </si>
  <si>
    <t>C05641</t>
  </si>
  <si>
    <t>Indrajit Dash</t>
  </si>
  <si>
    <t>C05642</t>
  </si>
  <si>
    <t>Pranit Bhardwaj</t>
  </si>
  <si>
    <t>C05643</t>
  </si>
  <si>
    <t>Jalsa Koshy</t>
  </si>
  <si>
    <t>C05644</t>
  </si>
  <si>
    <t>Chaitanya Panchal</t>
  </si>
  <si>
    <t>C05645</t>
  </si>
  <si>
    <t>Ekavir Som</t>
  </si>
  <si>
    <t>C05646</t>
  </si>
  <si>
    <t>Pahal Bhatia</t>
  </si>
  <si>
    <t>C05647</t>
  </si>
  <si>
    <t>Megha Johal</t>
  </si>
  <si>
    <t>C05648</t>
  </si>
  <si>
    <t>Dipta Kothari</t>
  </si>
  <si>
    <t>C05649</t>
  </si>
  <si>
    <t>Jeremiah Chaudhry</t>
  </si>
  <si>
    <t>C05650</t>
  </si>
  <si>
    <t>Falak Pradhan</t>
  </si>
  <si>
    <t>C05651</t>
  </si>
  <si>
    <t>Ladli Sunder</t>
  </si>
  <si>
    <t>C05652</t>
  </si>
  <si>
    <t>Chandran Bakshi</t>
  </si>
  <si>
    <t>C05653</t>
  </si>
  <si>
    <t>Laban Misra</t>
  </si>
  <si>
    <t>C05654</t>
  </si>
  <si>
    <t>Praneel Batta</t>
  </si>
  <si>
    <t>C05655</t>
  </si>
  <si>
    <t>Krisha Prashad</t>
  </si>
  <si>
    <t>C05656</t>
  </si>
  <si>
    <t>Radhika Sankar</t>
  </si>
  <si>
    <t>C05657</t>
  </si>
  <si>
    <t>Nirja Bedi</t>
  </si>
  <si>
    <t>C05658</t>
  </si>
  <si>
    <t>Rajata Lala</t>
  </si>
  <si>
    <t>C05659</t>
  </si>
  <si>
    <t>Akshay Mukhopadhyay</t>
  </si>
  <si>
    <t>C05660</t>
  </si>
  <si>
    <t>Pallavi Patla</t>
  </si>
  <si>
    <t>C05661</t>
  </si>
  <si>
    <t>Saanvi Oak</t>
  </si>
  <si>
    <t>C05662</t>
  </si>
  <si>
    <t>Shravya Morar</t>
  </si>
  <si>
    <t>C05663</t>
  </si>
  <si>
    <t>Timothy Handa</t>
  </si>
  <si>
    <t>C05664</t>
  </si>
  <si>
    <t>C05665</t>
  </si>
  <si>
    <t>Kala Kuruvilla</t>
  </si>
  <si>
    <t>C05666</t>
  </si>
  <si>
    <t>Lakshmi De</t>
  </si>
  <si>
    <t>C05667</t>
  </si>
  <si>
    <t>Omya Nayar</t>
  </si>
  <si>
    <t>C05668</t>
  </si>
  <si>
    <t>Chatura Chopra</t>
  </si>
  <si>
    <t>C05669</t>
  </si>
  <si>
    <t>Gaurika Palan</t>
  </si>
  <si>
    <t>C05670</t>
  </si>
  <si>
    <t>Chatresh Andra</t>
  </si>
  <si>
    <t>C05671</t>
  </si>
  <si>
    <t>Naveen Grover</t>
  </si>
  <si>
    <t>C05672</t>
  </si>
  <si>
    <t>Parth Doshi</t>
  </si>
  <si>
    <t>C05673</t>
  </si>
  <si>
    <t>Pratyush Seth</t>
  </si>
  <si>
    <t>C05674</t>
  </si>
  <si>
    <t>Vanya Som</t>
  </si>
  <si>
    <t>C05675</t>
  </si>
  <si>
    <t>Nandini Desai</t>
  </si>
  <si>
    <t>C05676</t>
  </si>
  <si>
    <t>Ekalinga Ramakrishnan</t>
  </si>
  <si>
    <t>C05677</t>
  </si>
  <si>
    <t>Hemang Brar</t>
  </si>
  <si>
    <t>C05678</t>
  </si>
  <si>
    <t>Avni Chaudhry</t>
  </si>
  <si>
    <t>C05679</t>
  </si>
  <si>
    <t>Kashish Thakur</t>
  </si>
  <si>
    <t>C05680</t>
  </si>
  <si>
    <t>Zansi Rama</t>
  </si>
  <si>
    <t>C05681</t>
  </si>
  <si>
    <t>Abeer Yadav</t>
  </si>
  <si>
    <t>C05682</t>
  </si>
  <si>
    <t>Hritik Som</t>
  </si>
  <si>
    <t>C05683</t>
  </si>
  <si>
    <t>Vasana Talwar</t>
  </si>
  <si>
    <t>C05684</t>
  </si>
  <si>
    <t>Rohan Buch</t>
  </si>
  <si>
    <t>C05685</t>
  </si>
  <si>
    <t>Ishita Sawhney</t>
  </si>
  <si>
    <t>C05686</t>
  </si>
  <si>
    <t>Anjali Sehgal</t>
  </si>
  <si>
    <t>C05687</t>
  </si>
  <si>
    <t>Nilima Lall</t>
  </si>
  <si>
    <t>C05688</t>
  </si>
  <si>
    <t>Pavani Borra</t>
  </si>
  <si>
    <t>C05689</t>
  </si>
  <si>
    <t>Indrajit Gala</t>
  </si>
  <si>
    <t>C05690</t>
  </si>
  <si>
    <t>Samar Wadhwa</t>
  </si>
  <si>
    <t>C05691</t>
  </si>
  <si>
    <t>Veer Srinivas</t>
  </si>
  <si>
    <t>C05692</t>
  </si>
  <si>
    <t>Vedant Sani</t>
  </si>
  <si>
    <t>C05693</t>
  </si>
  <si>
    <t>Libni Walia</t>
  </si>
  <si>
    <t>C05694</t>
  </si>
  <si>
    <t>Triya Palla</t>
  </si>
  <si>
    <t>C05695</t>
  </si>
  <si>
    <t>C05696</t>
  </si>
  <si>
    <t>Dayita Datta</t>
  </si>
  <si>
    <t>C05697</t>
  </si>
  <si>
    <t>Viraj Thakur</t>
  </si>
  <si>
    <t>C05698</t>
  </si>
  <si>
    <t>Zehaan Pathak</t>
  </si>
  <si>
    <t>C05699</t>
  </si>
  <si>
    <t>Champak Balay</t>
  </si>
  <si>
    <t>C05700</t>
  </si>
  <si>
    <t>Aachal Mody</t>
  </si>
  <si>
    <t>C05701</t>
  </si>
  <si>
    <t>Bhavika Sibal</t>
  </si>
  <si>
    <t>C05702</t>
  </si>
  <si>
    <t>Madhav Hegde</t>
  </si>
  <si>
    <t>C05703</t>
  </si>
  <si>
    <t>Isaac Dey</t>
  </si>
  <si>
    <t>C05704</t>
  </si>
  <si>
    <t>Mitesh Sem</t>
  </si>
  <si>
    <t>C05705</t>
  </si>
  <si>
    <t>Vyanjana Chad</t>
  </si>
  <si>
    <t>C05706</t>
  </si>
  <si>
    <t>Raksha Rao</t>
  </si>
  <si>
    <t>C05707</t>
  </si>
  <si>
    <t>Xavier Memon</t>
  </si>
  <si>
    <t>C05708</t>
  </si>
  <si>
    <t>Vrishti Gara</t>
  </si>
  <si>
    <t>C05709</t>
  </si>
  <si>
    <t>Rehaan Yohannan</t>
  </si>
  <si>
    <t>C05710</t>
  </si>
  <si>
    <t>Omkaar Bora</t>
  </si>
  <si>
    <t>C05711</t>
  </si>
  <si>
    <t>Irya Arora</t>
  </si>
  <si>
    <t>C05712</t>
  </si>
  <si>
    <t>Ekalinga Ram</t>
  </si>
  <si>
    <t>C05713</t>
  </si>
  <si>
    <t>Benjamin Kumer</t>
  </si>
  <si>
    <t>C05714</t>
  </si>
  <si>
    <t>Robert Bali</t>
  </si>
  <si>
    <t>C05715</t>
  </si>
  <si>
    <t>Victor Nair</t>
  </si>
  <si>
    <t>C05716</t>
  </si>
  <si>
    <t>Amara Karnik</t>
  </si>
  <si>
    <t>C05717</t>
  </si>
  <si>
    <t>Victor Mody</t>
  </si>
  <si>
    <t>C05718</t>
  </si>
  <si>
    <t>Balendra Chawla</t>
  </si>
  <si>
    <t>C05719</t>
  </si>
  <si>
    <t>Meghana Sastry</t>
  </si>
  <si>
    <t>C05720</t>
  </si>
  <si>
    <t>Yashasvi Mangat</t>
  </si>
  <si>
    <t>C05721</t>
  </si>
  <si>
    <t>Pavani Pai</t>
  </si>
  <si>
    <t>C05722</t>
  </si>
  <si>
    <t>Arya Kumar</t>
  </si>
  <si>
    <t>C05723</t>
  </si>
  <si>
    <t>Jagvi Lal</t>
  </si>
  <si>
    <t>C05724</t>
  </si>
  <si>
    <t>Prisha Bera</t>
  </si>
  <si>
    <t>C05725</t>
  </si>
  <si>
    <t>C05726</t>
  </si>
  <si>
    <t>Teerth Seshadri</t>
  </si>
  <si>
    <t>C05727</t>
  </si>
  <si>
    <t>Alexander Nagi</t>
  </si>
  <si>
    <t>C05728</t>
  </si>
  <si>
    <t>Jatin Din</t>
  </si>
  <si>
    <t>C05729</t>
  </si>
  <si>
    <t>Yadavi Vala</t>
  </si>
  <si>
    <t>C05730</t>
  </si>
  <si>
    <t>Libni Sandal</t>
  </si>
  <si>
    <t>C05731</t>
  </si>
  <si>
    <t>Darsh Mohan</t>
  </si>
  <si>
    <t>C05732</t>
  </si>
  <si>
    <t>Vasana Deol</t>
  </si>
  <si>
    <t>C05733</t>
  </si>
  <si>
    <t>Henry Mahal</t>
  </si>
  <si>
    <t>C05734</t>
  </si>
  <si>
    <t>Laksh Kulkarni</t>
  </si>
  <si>
    <t>C05735</t>
  </si>
  <si>
    <t>Viraj Bansal</t>
  </si>
  <si>
    <t>C05736</t>
  </si>
  <si>
    <t>Lakshmi Krishnan</t>
  </si>
  <si>
    <t>C05737</t>
  </si>
  <si>
    <t>Amrita Deo</t>
  </si>
  <si>
    <t>C05738</t>
  </si>
  <si>
    <t>Upkaar Sengupta</t>
  </si>
  <si>
    <t>C05739</t>
  </si>
  <si>
    <t>Warinder Khanna</t>
  </si>
  <si>
    <t>C05740</t>
  </si>
  <si>
    <t>Matthew Chowdhury</t>
  </si>
  <si>
    <t>C05741</t>
  </si>
  <si>
    <t>Ayushman Ramanathan</t>
  </si>
  <si>
    <t>C05742</t>
  </si>
  <si>
    <t>Shivansh Gera</t>
  </si>
  <si>
    <t>C05743</t>
  </si>
  <si>
    <t>C05744</t>
  </si>
  <si>
    <t>Jairaj Basu</t>
  </si>
  <si>
    <t>C05745</t>
  </si>
  <si>
    <t>Alexander Goyal</t>
  </si>
  <si>
    <t>C05746</t>
  </si>
  <si>
    <t>Parth Agate</t>
  </si>
  <si>
    <t>C05747</t>
  </si>
  <si>
    <t>Dev Vig</t>
  </si>
  <si>
    <t>C05748</t>
  </si>
  <si>
    <t>Triya Saraf</t>
  </si>
  <si>
    <t>C05749</t>
  </si>
  <si>
    <t>Ishwar Bath</t>
  </si>
  <si>
    <t>C05750</t>
  </si>
  <si>
    <t>Yashoda Srivastava</t>
  </si>
  <si>
    <t>C05751</t>
  </si>
  <si>
    <t>Jairaj Apte</t>
  </si>
  <si>
    <t>C05752</t>
  </si>
  <si>
    <t>Chakrika Gulati</t>
  </si>
  <si>
    <t>C05753</t>
  </si>
  <si>
    <t>Leela Chander</t>
  </si>
  <si>
    <t>C05754</t>
  </si>
  <si>
    <t>David Keer</t>
  </si>
  <si>
    <t>C05755</t>
  </si>
  <si>
    <t>Eiravati Kohli</t>
  </si>
  <si>
    <t>C05756</t>
  </si>
  <si>
    <t>Yashvi Batta</t>
  </si>
  <si>
    <t>C05757</t>
  </si>
  <si>
    <t>C05758</t>
  </si>
  <si>
    <t>Robert Murty</t>
  </si>
  <si>
    <t>C05759</t>
  </si>
  <si>
    <t>Nilima Mutti</t>
  </si>
  <si>
    <t>C05760</t>
  </si>
  <si>
    <t>Bakhshi Aggarwal</t>
  </si>
  <si>
    <t>C05761</t>
  </si>
  <si>
    <t>Anay Shankar</t>
  </si>
  <si>
    <t>C05762</t>
  </si>
  <si>
    <t>Qabil Aggarwal</t>
  </si>
  <si>
    <t>C05763</t>
  </si>
  <si>
    <t>Arya Narayan</t>
  </si>
  <si>
    <t>C05764</t>
  </si>
  <si>
    <t>Raksha Borde</t>
  </si>
  <si>
    <t>C05765</t>
  </si>
  <si>
    <t>Anmol Batra</t>
  </si>
  <si>
    <t>C05766</t>
  </si>
  <si>
    <t>Rachita Ramakrishnan</t>
  </si>
  <si>
    <t>C05767</t>
  </si>
  <si>
    <t>Amruta Chanda</t>
  </si>
  <si>
    <t>C05768</t>
  </si>
  <si>
    <t>Agastya Ramaswamy</t>
  </si>
  <si>
    <t>C05769</t>
  </si>
  <si>
    <t>Chandani Chadha</t>
  </si>
  <si>
    <t>C05770</t>
  </si>
  <si>
    <t>Umang Manda</t>
  </si>
  <si>
    <t>C05771</t>
  </si>
  <si>
    <t>Sanya Naik</t>
  </si>
  <si>
    <t>C05772</t>
  </si>
  <si>
    <t>Mohini Luthra</t>
  </si>
  <si>
    <t>C05773</t>
  </si>
  <si>
    <t>Benjamin Virk</t>
  </si>
  <si>
    <t>C05774</t>
  </si>
  <si>
    <t>Jhalak Hayer</t>
  </si>
  <si>
    <t>C05775</t>
  </si>
  <si>
    <t>Oni Jain</t>
  </si>
  <si>
    <t>C05776</t>
  </si>
  <si>
    <t>Lohit Purohit</t>
  </si>
  <si>
    <t>C05777</t>
  </si>
  <si>
    <t>Nathaniel Rama</t>
  </si>
  <si>
    <t>C05778</t>
  </si>
  <si>
    <t>Alexander Wable</t>
  </si>
  <si>
    <t>C05779</t>
  </si>
  <si>
    <t>Rachita Venkatesh</t>
  </si>
  <si>
    <t>C05780</t>
  </si>
  <si>
    <t>Urmi Wadhwa</t>
  </si>
  <si>
    <t>C05781</t>
  </si>
  <si>
    <t>Elijah Patla</t>
  </si>
  <si>
    <t>C05782</t>
  </si>
  <si>
    <t>Kamala Sanghvi</t>
  </si>
  <si>
    <t>C05783</t>
  </si>
  <si>
    <t>Janani Setty</t>
  </si>
  <si>
    <t>C05784</t>
  </si>
  <si>
    <t>Suhani Purohit</t>
  </si>
  <si>
    <t>C05785</t>
  </si>
  <si>
    <t>Warjas Date</t>
  </si>
  <si>
    <t>C05786</t>
  </si>
  <si>
    <t>Gagan Deo</t>
  </si>
  <si>
    <t>C05787</t>
  </si>
  <si>
    <t>Jagrati Sha</t>
  </si>
  <si>
    <t>C05788</t>
  </si>
  <si>
    <t>Lajita Aurora</t>
  </si>
  <si>
    <t>C05789</t>
  </si>
  <si>
    <t>Farhan Ahluwalia</t>
  </si>
  <si>
    <t>C05790</t>
  </si>
  <si>
    <t>Liam Bora</t>
  </si>
  <si>
    <t>C05791</t>
  </si>
  <si>
    <t>Jalsa Nayak</t>
  </si>
  <si>
    <t>C05792</t>
  </si>
  <si>
    <t>Jacob Sharma</t>
  </si>
  <si>
    <t>C05793</t>
  </si>
  <si>
    <t>Tanmayi Mannan</t>
  </si>
  <si>
    <t>C05794</t>
  </si>
  <si>
    <t>Lakshit Sura</t>
  </si>
  <si>
    <t>C05795</t>
  </si>
  <si>
    <t>Lekha Goyal</t>
  </si>
  <si>
    <t>C05796</t>
  </si>
  <si>
    <t>Gopal Dhillon</t>
  </si>
  <si>
    <t>C05797</t>
  </si>
  <si>
    <t>George Rau</t>
  </si>
  <si>
    <t>C05798</t>
  </si>
  <si>
    <t>Rajata Lata</t>
  </si>
  <si>
    <t>C05799</t>
  </si>
  <si>
    <t>Nicholas Dhaliwal</t>
  </si>
  <si>
    <t>C05800</t>
  </si>
  <si>
    <t>Gaurika Vala</t>
  </si>
  <si>
    <t>C05801</t>
  </si>
  <si>
    <t>Shivani Bera</t>
  </si>
  <si>
    <t>C05802</t>
  </si>
  <si>
    <t>Jeevika Lata</t>
  </si>
  <si>
    <t>C05803</t>
  </si>
  <si>
    <t>Henry Pal</t>
  </si>
  <si>
    <t>C05804</t>
  </si>
  <si>
    <t>Kashish Sunder</t>
  </si>
  <si>
    <t>C05805</t>
  </si>
  <si>
    <t>Eiravati Saran</t>
  </si>
  <si>
    <t>C05806</t>
  </si>
  <si>
    <t>Aarnav Dhaliwal</t>
  </si>
  <si>
    <t>C05807</t>
  </si>
  <si>
    <t>Jeevika Taneja</t>
  </si>
  <si>
    <t>C05808</t>
  </si>
  <si>
    <t>Andrew Bawa</t>
  </si>
  <si>
    <t>C05809</t>
  </si>
  <si>
    <t>Mohini Kanda</t>
  </si>
  <si>
    <t>C05810</t>
  </si>
  <si>
    <t>Nimrat Maharaj</t>
  </si>
  <si>
    <t>C05811</t>
  </si>
  <si>
    <t>Tripti Garg</t>
  </si>
  <si>
    <t>C05812</t>
  </si>
  <si>
    <t>Laban Mallick</t>
  </si>
  <si>
    <t>C05813</t>
  </si>
  <si>
    <t>Peter Thakur</t>
  </si>
  <si>
    <t>C05814</t>
  </si>
  <si>
    <t>Falak Mammen</t>
  </si>
  <si>
    <t>C05815</t>
  </si>
  <si>
    <t>Dalbir Chakraborty</t>
  </si>
  <si>
    <t>C05816</t>
  </si>
  <si>
    <t>Zinal Varughese</t>
  </si>
  <si>
    <t>C05817</t>
  </si>
  <si>
    <t>Naveen Lala</t>
  </si>
  <si>
    <t>C05818</t>
  </si>
  <si>
    <t>Wridesh Chana</t>
  </si>
  <si>
    <t>C05819</t>
  </si>
  <si>
    <t>Oni Bora</t>
  </si>
  <si>
    <t>C05820</t>
  </si>
  <si>
    <t>Kashvi Ahuja</t>
  </si>
  <si>
    <t>C05821</t>
  </si>
  <si>
    <t>Dominic Bhargava</t>
  </si>
  <si>
    <t>C05822</t>
  </si>
  <si>
    <t>Daniel Chand</t>
  </si>
  <si>
    <t>C05823</t>
  </si>
  <si>
    <t>Kamya Agarwal</t>
  </si>
  <si>
    <t>C05824</t>
  </si>
  <si>
    <t>Ubika Chopra</t>
  </si>
  <si>
    <t>C05825</t>
  </si>
  <si>
    <t>Divya Grewal</t>
  </si>
  <si>
    <t>C05826</t>
  </si>
  <si>
    <t>Faris Bassi</t>
  </si>
  <si>
    <t>C05827</t>
  </si>
  <si>
    <t>Utkarsh Sastry</t>
  </si>
  <si>
    <t>C05828</t>
  </si>
  <si>
    <t>Laban Iyengar</t>
  </si>
  <si>
    <t>C05829</t>
  </si>
  <si>
    <t>Bachittar Shere</t>
  </si>
  <si>
    <t>C05830</t>
  </si>
  <si>
    <t>Qushi Murthy</t>
  </si>
  <si>
    <t>C05831</t>
  </si>
  <si>
    <t>Aayush Sule</t>
  </si>
  <si>
    <t>C05832</t>
  </si>
  <si>
    <t>Gabriel Thaman</t>
  </si>
  <si>
    <t>C05833</t>
  </si>
  <si>
    <t>Falak Memon</t>
  </si>
  <si>
    <t>C05834</t>
  </si>
  <si>
    <t>Lohit Vig</t>
  </si>
  <si>
    <t>C05835</t>
  </si>
  <si>
    <t>Odika Kala</t>
  </si>
  <si>
    <t>C05836</t>
  </si>
  <si>
    <t>Hemangini Deep</t>
  </si>
  <si>
    <t>C05837</t>
  </si>
  <si>
    <t>Arya Sodhi</t>
  </si>
  <si>
    <t>C05838</t>
  </si>
  <si>
    <t>Odika Chakrabarti</t>
  </si>
  <si>
    <t>C05839</t>
  </si>
  <si>
    <t>Urvi Jain</t>
  </si>
  <si>
    <t>C05840</t>
  </si>
  <si>
    <t>Fitan Kala</t>
  </si>
  <si>
    <t>C05841</t>
  </si>
  <si>
    <t>Balendra Kuruvilla</t>
  </si>
  <si>
    <t>C05842</t>
  </si>
  <si>
    <t>Chakradev Dube</t>
  </si>
  <si>
    <t>C05843</t>
  </si>
  <si>
    <t>Neha Kapadia</t>
  </si>
  <si>
    <t>C05844</t>
  </si>
  <si>
    <t>Ekapad Sidhu</t>
  </si>
  <si>
    <t>C05845</t>
  </si>
  <si>
    <t>Tanay Parsa</t>
  </si>
  <si>
    <t>C05846</t>
  </si>
  <si>
    <t>Aahana Viswanathan</t>
  </si>
  <si>
    <t>C05847</t>
  </si>
  <si>
    <t>Geetika Doshi</t>
  </si>
  <si>
    <t>C05848</t>
  </si>
  <si>
    <t>Darpan Ravi</t>
  </si>
  <si>
    <t>C05849</t>
  </si>
  <si>
    <t>Radhika Barad</t>
  </si>
  <si>
    <t>C05850</t>
  </si>
  <si>
    <t>C05851</t>
  </si>
  <si>
    <t>Zayan Mistry</t>
  </si>
  <si>
    <t>C05852</t>
  </si>
  <si>
    <t>Chavvi Goel</t>
  </si>
  <si>
    <t>C05853</t>
  </si>
  <si>
    <t>Vedant Raja</t>
  </si>
  <si>
    <t>C05854</t>
  </si>
  <si>
    <t>Nidra Devi</t>
  </si>
  <si>
    <t>C05855</t>
  </si>
  <si>
    <t>Ganga Natt</t>
  </si>
  <si>
    <t>C05856</t>
  </si>
  <si>
    <t>Sanaya Sawhney</t>
  </si>
  <si>
    <t>C05857</t>
  </si>
  <si>
    <t>Chandresh Ramaswamy</t>
  </si>
  <si>
    <t>C05858</t>
  </si>
  <si>
    <t>Saumya Nayak</t>
  </si>
  <si>
    <t>C05859</t>
  </si>
  <si>
    <t>Fariq Patla</t>
  </si>
  <si>
    <t>C05860</t>
  </si>
  <si>
    <t>Nathaniel Jha</t>
  </si>
  <si>
    <t>C05861</t>
  </si>
  <si>
    <t>Aditya Bandi</t>
  </si>
  <si>
    <t>C05862</t>
  </si>
  <si>
    <t>Ekta Chhabra</t>
  </si>
  <si>
    <t>C05863</t>
  </si>
  <si>
    <t>Wakeeta More</t>
  </si>
  <si>
    <t>C05864</t>
  </si>
  <si>
    <t>Harsh Kaur</t>
  </si>
  <si>
    <t>C05865</t>
  </si>
  <si>
    <t>Fiyaz Chaudhry</t>
  </si>
  <si>
    <t>C05866</t>
  </si>
  <si>
    <t>Yashica Rama</t>
  </si>
  <si>
    <t>C05867</t>
  </si>
  <si>
    <t>Anirudh Dhar</t>
  </si>
  <si>
    <t>C05868</t>
  </si>
  <si>
    <t>C05869</t>
  </si>
  <si>
    <t>Chatura Goel</t>
  </si>
  <si>
    <t>C05870</t>
  </si>
  <si>
    <t>Arjun Ravi</t>
  </si>
  <si>
    <t>C05871</t>
  </si>
  <si>
    <t>Vivaan Murty</t>
  </si>
  <si>
    <t>C05872</t>
  </si>
  <si>
    <t>Fiyaz Goel</t>
  </si>
  <si>
    <t>C05873</t>
  </si>
  <si>
    <t>Fitan Deshmukh</t>
  </si>
  <si>
    <t>C05874</t>
  </si>
  <si>
    <t>Raksha Murthy</t>
  </si>
  <si>
    <t>C05875</t>
  </si>
  <si>
    <t>Daniel Anne</t>
  </si>
  <si>
    <t>C05876</t>
  </si>
  <si>
    <t>Omisha Bedi</t>
  </si>
  <si>
    <t>C05877</t>
  </si>
  <si>
    <t>Ekaja Choudhry</t>
  </si>
  <si>
    <t>C05878</t>
  </si>
  <si>
    <t>Tanish Goswami</t>
  </si>
  <si>
    <t>C05879</t>
  </si>
  <si>
    <t>Aashi Sarraf</t>
  </si>
  <si>
    <t>C05880</t>
  </si>
  <si>
    <t>Azad Sarma</t>
  </si>
  <si>
    <t>C05881</t>
  </si>
  <si>
    <t>Caleb Tailor</t>
  </si>
  <si>
    <t>C05882</t>
  </si>
  <si>
    <t>Saanvi Halder</t>
  </si>
  <si>
    <t>C05883</t>
  </si>
  <si>
    <t>Ubika Bawa</t>
  </si>
  <si>
    <t>C05884</t>
  </si>
  <si>
    <t>Jasmit Bala</t>
  </si>
  <si>
    <t>C05885</t>
  </si>
  <si>
    <t>Dominic Bava</t>
  </si>
  <si>
    <t>C05886</t>
  </si>
  <si>
    <t>Maya Mani</t>
  </si>
  <si>
    <t>C05887</t>
  </si>
  <si>
    <t>Daksha Arora</t>
  </si>
  <si>
    <t>C05888</t>
  </si>
  <si>
    <t>Jagat Aggarwal</t>
  </si>
  <si>
    <t>C05889</t>
  </si>
  <si>
    <t>Ijaya Date</t>
  </si>
  <si>
    <t>C05890</t>
  </si>
  <si>
    <t>Tanish Sangha</t>
  </si>
  <si>
    <t>C05891</t>
  </si>
  <si>
    <t>Yashawini Mane</t>
  </si>
  <si>
    <t>C05892</t>
  </si>
  <si>
    <t>Ekbal Mital</t>
  </si>
  <si>
    <t>C05893</t>
  </si>
  <si>
    <t>Timothy Nayar</t>
  </si>
  <si>
    <t>C05894</t>
  </si>
  <si>
    <t>Jagrati Pal</t>
  </si>
  <si>
    <t>C05895</t>
  </si>
  <si>
    <t>Kashvi Oak</t>
  </si>
  <si>
    <t>C05896</t>
  </si>
  <si>
    <t>Chakradev Pathak</t>
  </si>
  <si>
    <t>C05897</t>
  </si>
  <si>
    <t>Ekavir Bandi</t>
  </si>
  <si>
    <t>C05898</t>
  </si>
  <si>
    <t>Nikita Sur</t>
  </si>
  <si>
    <t>C05899</t>
  </si>
  <si>
    <t>Anirudh Rao</t>
  </si>
  <si>
    <t>C05900</t>
  </si>
  <si>
    <t>Daniel Borah</t>
  </si>
  <si>
    <t>C05901</t>
  </si>
  <si>
    <t>Reva Sood</t>
  </si>
  <si>
    <t>C05902</t>
  </si>
  <si>
    <t>Chaitanya Khurana</t>
  </si>
  <si>
    <t>C05903</t>
  </si>
  <si>
    <t>Xiti Loke</t>
  </si>
  <si>
    <t>C05904</t>
  </si>
  <si>
    <t>Tejas Hari</t>
  </si>
  <si>
    <t>C05905</t>
  </si>
  <si>
    <t>Damyanti Prasad</t>
  </si>
  <si>
    <t>C05906</t>
  </si>
  <si>
    <t>Ansh Agate</t>
  </si>
  <si>
    <t>C05907</t>
  </si>
  <si>
    <t>Vritti Shanker</t>
  </si>
  <si>
    <t>C05908</t>
  </si>
  <si>
    <t>Naksh Natt</t>
  </si>
  <si>
    <t>C05909</t>
  </si>
  <si>
    <t>Abhiram Kamdar</t>
  </si>
  <si>
    <t>C05910</t>
  </si>
  <si>
    <t>Ijaya Apte</t>
  </si>
  <si>
    <t>C05911</t>
  </si>
  <si>
    <t>Wakeeta Kala</t>
  </si>
  <si>
    <t>C05912</t>
  </si>
  <si>
    <t>Dhriti Kumer</t>
  </si>
  <si>
    <t>C05913</t>
  </si>
  <si>
    <t>Mahika Gour</t>
  </si>
  <si>
    <t>C05914</t>
  </si>
  <si>
    <t>Hitesh Sharaf</t>
  </si>
  <si>
    <t>C05915</t>
  </si>
  <si>
    <t>Qarin Bhat</t>
  </si>
  <si>
    <t>C05916</t>
  </si>
  <si>
    <t>Mason Kanda</t>
  </si>
  <si>
    <t>C05917</t>
  </si>
  <si>
    <t>Darika Narayanan</t>
  </si>
  <si>
    <t>C05918</t>
  </si>
  <si>
    <t>Ekaraj Aurora</t>
  </si>
  <si>
    <t>C05919</t>
  </si>
  <si>
    <t>Balveer Sama</t>
  </si>
  <si>
    <t>C05920</t>
  </si>
  <si>
    <t>Ishani Konda</t>
  </si>
  <si>
    <t>C05921</t>
  </si>
  <si>
    <t>Odika Uppal</t>
  </si>
  <si>
    <t>C05922</t>
  </si>
  <si>
    <t>Xavier Atwal</t>
  </si>
  <si>
    <t>C05923</t>
  </si>
  <si>
    <t>Jackson Chakrabarti</t>
  </si>
  <si>
    <t>C05924</t>
  </si>
  <si>
    <t>Maya Sawhney</t>
  </si>
  <si>
    <t>C05925</t>
  </si>
  <si>
    <t>Laban Ahuja</t>
  </si>
  <si>
    <t>C05926</t>
  </si>
  <si>
    <t>Gaurika Shan</t>
  </si>
  <si>
    <t>C05927</t>
  </si>
  <si>
    <t>Shravya Naik</t>
  </si>
  <si>
    <t>C05928</t>
  </si>
  <si>
    <t>Gagan Garg</t>
  </si>
  <si>
    <t>C05929</t>
  </si>
  <si>
    <t>Devika Ganesh</t>
  </si>
  <si>
    <t>C05930</t>
  </si>
  <si>
    <t>Chakradhar Kashyap</t>
  </si>
  <si>
    <t>C05931</t>
  </si>
  <si>
    <t>Oni Gola</t>
  </si>
  <si>
    <t>C05932</t>
  </si>
  <si>
    <t>Lohit Shankar</t>
  </si>
  <si>
    <t>C05933</t>
  </si>
  <si>
    <t>Irya Verma</t>
  </si>
  <si>
    <t>C05934</t>
  </si>
  <si>
    <t>Faras Kumer</t>
  </si>
  <si>
    <t>C05935</t>
  </si>
  <si>
    <t>Ubika Bakshi</t>
  </si>
  <si>
    <t>C05936</t>
  </si>
  <si>
    <t>Aarav Saxena</t>
  </si>
  <si>
    <t>C05937</t>
  </si>
  <si>
    <t>Gavin Padmanabhan</t>
  </si>
  <si>
    <t>C05938</t>
  </si>
  <si>
    <t>Upkaar Ahuja</t>
  </si>
  <si>
    <t>C05939</t>
  </si>
  <si>
    <t>Ranbir Sankar</t>
  </si>
  <si>
    <t>C05940</t>
  </si>
  <si>
    <t>Hardik Garg</t>
  </si>
  <si>
    <t>C05941</t>
  </si>
  <si>
    <t>Ira Vohra</t>
  </si>
  <si>
    <t>C05942</t>
  </si>
  <si>
    <t>Vrinda Agrawal</t>
  </si>
  <si>
    <t>C05943</t>
  </si>
  <si>
    <t>Girindra Saraf</t>
  </si>
  <si>
    <t>C05944</t>
  </si>
  <si>
    <t>Isaac Thakur</t>
  </si>
  <si>
    <t>C05945</t>
  </si>
  <si>
    <t>Siddharth Wason</t>
  </si>
  <si>
    <t>C05946</t>
  </si>
  <si>
    <t>Gaurangi Bumb</t>
  </si>
  <si>
    <t>C05947</t>
  </si>
  <si>
    <t>Ubika Singhal</t>
  </si>
  <si>
    <t>C05948</t>
  </si>
  <si>
    <t>Girindra Raj</t>
  </si>
  <si>
    <t>C05949</t>
  </si>
  <si>
    <t>Chandresh Nori</t>
  </si>
  <si>
    <t>C05950</t>
  </si>
  <si>
    <t>Varenya Warrior</t>
  </si>
  <si>
    <t>C05951</t>
  </si>
  <si>
    <t>Ekalinga Prashad</t>
  </si>
  <si>
    <t>C05952</t>
  </si>
  <si>
    <t>Yashoda Srinivasan</t>
  </si>
  <si>
    <t>C05953</t>
  </si>
  <si>
    <t>Yashodhara Majumdar</t>
  </si>
  <si>
    <t>C05954</t>
  </si>
  <si>
    <t>Deepa Bera</t>
  </si>
  <si>
    <t>C05955</t>
  </si>
  <si>
    <t>Yoshita Devi</t>
  </si>
  <si>
    <t>C05956</t>
  </si>
  <si>
    <t>Vansha Gaba</t>
  </si>
  <si>
    <t>C05957</t>
  </si>
  <si>
    <t>C05958</t>
  </si>
  <si>
    <t>Chaitaly Yadav</t>
  </si>
  <si>
    <t>C05959</t>
  </si>
  <si>
    <t>Veer Deshmukh</t>
  </si>
  <si>
    <t>C05960</t>
  </si>
  <si>
    <t>Daniel Krishnan</t>
  </si>
  <si>
    <t>C05961</t>
  </si>
  <si>
    <t>Arunima Mallick</t>
  </si>
  <si>
    <t>C05962</t>
  </si>
  <si>
    <t>Arya Kakar</t>
  </si>
  <si>
    <t>C05963</t>
  </si>
  <si>
    <t>Imaran Bhatti</t>
  </si>
  <si>
    <t>C05964</t>
  </si>
  <si>
    <t>Jagvi Hayre</t>
  </si>
  <si>
    <t>C05965</t>
  </si>
  <si>
    <t>Jonathan Arya</t>
  </si>
  <si>
    <t>C05966</t>
  </si>
  <si>
    <t>Balendra Johal</t>
  </si>
  <si>
    <t>C05967</t>
  </si>
  <si>
    <t>Aradhana Dixit</t>
  </si>
  <si>
    <t>C05968</t>
  </si>
  <si>
    <t>Karan De</t>
  </si>
  <si>
    <t>C05969</t>
  </si>
  <si>
    <t>Widisha Parmer</t>
  </si>
  <si>
    <t>C05970</t>
  </si>
  <si>
    <t>Harshil Kohli</t>
  </si>
  <si>
    <t>C05971</t>
  </si>
  <si>
    <t>Rishi Barman</t>
  </si>
  <si>
    <t>C05972</t>
  </si>
  <si>
    <t>Yahvi Chander</t>
  </si>
  <si>
    <t>C05973</t>
  </si>
  <si>
    <t>Gautami Batta</t>
  </si>
  <si>
    <t>C05974</t>
  </si>
  <si>
    <t>Zehaan Randhawa</t>
  </si>
  <si>
    <t>C05975</t>
  </si>
  <si>
    <t>Aarnav Bhandari</t>
  </si>
  <si>
    <t>C05976</t>
  </si>
  <si>
    <t>Vihaan Sarraf</t>
  </si>
  <si>
    <t>C05977</t>
  </si>
  <si>
    <t>Tripti Parekh</t>
  </si>
  <si>
    <t>C05978</t>
  </si>
  <si>
    <t>Gopal Yogi</t>
  </si>
  <si>
    <t>C05979</t>
  </si>
  <si>
    <t>Kevin Bobal</t>
  </si>
  <si>
    <t>C05980</t>
  </si>
  <si>
    <t>Neel Chakraborty</t>
  </si>
  <si>
    <t>C05981</t>
  </si>
  <si>
    <t>Ethan Singh</t>
  </si>
  <si>
    <t>C05982</t>
  </si>
  <si>
    <t>Kritika Baria</t>
  </si>
  <si>
    <t>C05983</t>
  </si>
  <si>
    <t>Tejas Dar</t>
  </si>
  <si>
    <t>C05984</t>
  </si>
  <si>
    <t>C05985</t>
  </si>
  <si>
    <t>C05986</t>
  </si>
  <si>
    <t>Nicholas Dora</t>
  </si>
  <si>
    <t>C05987</t>
  </si>
  <si>
    <t>Samaksh Dani</t>
  </si>
  <si>
    <t>C05988</t>
  </si>
  <si>
    <t>Vidhi Atwal</t>
  </si>
  <si>
    <t>C05989</t>
  </si>
  <si>
    <t>Jeevika Ravi</t>
  </si>
  <si>
    <t>C05990</t>
  </si>
  <si>
    <t>Omisha Ramaswamy</t>
  </si>
  <si>
    <t>C05991</t>
  </si>
  <si>
    <t>Banjeet Rajagopal</t>
  </si>
  <si>
    <t>C05992</t>
  </si>
  <si>
    <t>Meera Dua</t>
  </si>
  <si>
    <t>C05993</t>
  </si>
  <si>
    <t>Yauvani Ramesh</t>
  </si>
  <si>
    <t>C05994</t>
  </si>
  <si>
    <t>Janaki Bhasin</t>
  </si>
  <si>
    <t>C05995</t>
  </si>
  <si>
    <t>Bhavini Kumar</t>
  </si>
  <si>
    <t>C05996</t>
  </si>
  <si>
    <t>Balhaar Sastry</t>
  </si>
  <si>
    <t>C05997</t>
  </si>
  <si>
    <t>Mahika Hegde</t>
  </si>
  <si>
    <t>C05998</t>
  </si>
  <si>
    <t>Ranbir Kar</t>
  </si>
  <si>
    <t>C05999</t>
  </si>
  <si>
    <t>Hemangini Anand</t>
  </si>
  <si>
    <t>C06000</t>
  </si>
  <si>
    <t>Krisha Ganesh</t>
  </si>
  <si>
    <t>C06001</t>
  </si>
  <si>
    <t>Ranveer Dayal</t>
  </si>
  <si>
    <t>C06002</t>
  </si>
  <si>
    <t>Lekha Desai</t>
  </si>
  <si>
    <t>C06003</t>
  </si>
  <si>
    <t>Jacob Chakrabarti</t>
  </si>
  <si>
    <t>C06004</t>
  </si>
  <si>
    <t>Manan Kumer</t>
  </si>
  <si>
    <t>C06005</t>
  </si>
  <si>
    <t>Nirja Devan</t>
  </si>
  <si>
    <t>C06006</t>
  </si>
  <si>
    <t>Ekani Lata</t>
  </si>
  <si>
    <t>C06007</t>
  </si>
  <si>
    <t>Harrison Varma</t>
  </si>
  <si>
    <t>C06008</t>
  </si>
  <si>
    <t>Waida Chaudhari</t>
  </si>
  <si>
    <t>C06009</t>
  </si>
  <si>
    <t>Manbir Khatri</t>
  </si>
  <si>
    <t>C06010</t>
  </si>
  <si>
    <t>Frado Rai</t>
  </si>
  <si>
    <t>C06011</t>
  </si>
  <si>
    <t>Thomas Iyer</t>
  </si>
  <si>
    <t>C06012</t>
  </si>
  <si>
    <t>Wriddhish Desai</t>
  </si>
  <si>
    <t>C06013</t>
  </si>
  <si>
    <t>Triveni Grover</t>
  </si>
  <si>
    <t>C06014</t>
  </si>
  <si>
    <t>Dakshesh Patla</t>
  </si>
  <si>
    <t>C06015</t>
  </si>
  <si>
    <t>Umang Korpal</t>
  </si>
  <si>
    <t>C06016</t>
  </si>
  <si>
    <t>Samaksh Banerjee</t>
  </si>
  <si>
    <t>C06017</t>
  </si>
  <si>
    <t>Faras Brar</t>
  </si>
  <si>
    <t>C06018</t>
  </si>
  <si>
    <t>Xalak Ravi</t>
  </si>
  <si>
    <t>C06019</t>
  </si>
  <si>
    <t>Kashvi Loke</t>
  </si>
  <si>
    <t>C06020</t>
  </si>
  <si>
    <t>Unni Ramakrishnan</t>
  </si>
  <si>
    <t>C06021</t>
  </si>
  <si>
    <t>Xalak Narayanan</t>
  </si>
  <si>
    <t>C06022</t>
  </si>
  <si>
    <t>Neelima Loyal</t>
  </si>
  <si>
    <t>C06023</t>
  </si>
  <si>
    <t>Ryan Patel</t>
  </si>
  <si>
    <t>C06024</t>
  </si>
  <si>
    <t>Rajeshri Prabhakar</t>
  </si>
  <si>
    <t>C06025</t>
  </si>
  <si>
    <t>Anika Ramaswamy</t>
  </si>
  <si>
    <t>C06026</t>
  </si>
  <si>
    <t>Yadavi Raja</t>
  </si>
  <si>
    <t>C06027</t>
  </si>
  <si>
    <t>Raagini Joshi</t>
  </si>
  <si>
    <t>C06028</t>
  </si>
  <si>
    <t>Jonathan Brar</t>
  </si>
  <si>
    <t>C06029</t>
  </si>
  <si>
    <t>Hemal Mangal</t>
  </si>
  <si>
    <t>C06030</t>
  </si>
  <si>
    <t>Anthony Wason</t>
  </si>
  <si>
    <t>C06031</t>
  </si>
  <si>
    <t>Gaurangi Mohan</t>
  </si>
  <si>
    <t>C06032</t>
  </si>
  <si>
    <t>Harita Goyal</t>
  </si>
  <si>
    <t>C06033</t>
  </si>
  <si>
    <t>Luke Naidu</t>
  </si>
  <si>
    <t>C06034</t>
  </si>
  <si>
    <t>Lakshmi Ranganathan</t>
  </si>
  <si>
    <t>C06035</t>
  </si>
  <si>
    <t>Sanya Gopal</t>
  </si>
  <si>
    <t>C06036</t>
  </si>
  <si>
    <t>Wriddhish Arya</t>
  </si>
  <si>
    <t>C06037</t>
  </si>
  <si>
    <t>Anya Deshpande</t>
  </si>
  <si>
    <t>C06038</t>
  </si>
  <si>
    <t>Jhalak Dani</t>
  </si>
  <si>
    <t>C06039</t>
  </si>
  <si>
    <t>Pratyush Rajan</t>
  </si>
  <si>
    <t>C06040</t>
  </si>
  <si>
    <t>Bhavika Ben</t>
  </si>
  <si>
    <t>C06041</t>
  </si>
  <si>
    <t>Rohan Kota</t>
  </si>
  <si>
    <t>C06042</t>
  </si>
  <si>
    <t>Ojasvi Dada</t>
  </si>
  <si>
    <t>C06043</t>
  </si>
  <si>
    <t>Edhitha More</t>
  </si>
  <si>
    <t>C06044</t>
  </si>
  <si>
    <t>Daksh Sethi</t>
  </si>
  <si>
    <t>C06045</t>
  </si>
  <si>
    <t>Thomas Shankar</t>
  </si>
  <si>
    <t>C06046</t>
  </si>
  <si>
    <t>Hemang Badami</t>
  </si>
  <si>
    <t>C06047</t>
  </si>
  <si>
    <t>Jairaj Tandon</t>
  </si>
  <si>
    <t>C06048</t>
  </si>
  <si>
    <t>Oliver Dhar</t>
  </si>
  <si>
    <t>C06049</t>
  </si>
  <si>
    <t>Fariq Pillay</t>
  </si>
  <si>
    <t>C06050</t>
  </si>
  <si>
    <t>George Mand</t>
  </si>
  <si>
    <t>C06051</t>
  </si>
  <si>
    <t>Naksh Kadakia</t>
  </si>
  <si>
    <t>C06052</t>
  </si>
  <si>
    <t>C06053</t>
  </si>
  <si>
    <t>Yashasvi Sharma</t>
  </si>
  <si>
    <t>C06054</t>
  </si>
  <si>
    <t>Amara Tara</t>
  </si>
  <si>
    <t>C06055</t>
  </si>
  <si>
    <t>Isaiah Tank</t>
  </si>
  <si>
    <t>C06056</t>
  </si>
  <si>
    <t>Nihal Bakshi</t>
  </si>
  <si>
    <t>C06057</t>
  </si>
  <si>
    <t>Harita Divan</t>
  </si>
  <si>
    <t>C06058</t>
  </si>
  <si>
    <t>Sai Shere</t>
  </si>
  <si>
    <t>C06059</t>
  </si>
  <si>
    <t>Kevin Sani</t>
  </si>
  <si>
    <t>C06060</t>
  </si>
  <si>
    <t>Ekiya Ray</t>
  </si>
  <si>
    <t>C06061</t>
  </si>
  <si>
    <t>Robert Sidhu</t>
  </si>
  <si>
    <t>C06062</t>
  </si>
  <si>
    <t>Isaac Mallick</t>
  </si>
  <si>
    <t>C06063</t>
  </si>
  <si>
    <t>Chakradhar Parikh</t>
  </si>
  <si>
    <t>C06064</t>
  </si>
  <si>
    <t>Reva Yadav</t>
  </si>
  <si>
    <t>C06065</t>
  </si>
  <si>
    <t>Aryan Pillai</t>
  </si>
  <si>
    <t>C06066</t>
  </si>
  <si>
    <t>Zilmil Bath</t>
  </si>
  <si>
    <t>C06067</t>
  </si>
  <si>
    <t>Aryan Doshi</t>
  </si>
  <si>
    <t>C06068</t>
  </si>
  <si>
    <t>Pranav Dave</t>
  </si>
  <si>
    <t>C06069</t>
  </si>
  <si>
    <t>Dayamai Grewal</t>
  </si>
  <si>
    <t>C06070</t>
  </si>
  <si>
    <t>Ubika Hayer</t>
  </si>
  <si>
    <t>C06071</t>
  </si>
  <si>
    <t>Pavani Bala</t>
  </si>
  <si>
    <t>C06072</t>
  </si>
  <si>
    <t>Utkarsh Dasgupta</t>
  </si>
  <si>
    <t>C06073</t>
  </si>
  <si>
    <t>Mitali Wadhwa</t>
  </si>
  <si>
    <t>C06074</t>
  </si>
  <si>
    <t>Warda Gala</t>
  </si>
  <si>
    <t>C06075</t>
  </si>
  <si>
    <t>Rushil Dara</t>
  </si>
  <si>
    <t>C06076</t>
  </si>
  <si>
    <t>Kritika Pal</t>
  </si>
  <si>
    <t>C06077</t>
  </si>
  <si>
    <t>Mitesh Vasa</t>
  </si>
  <si>
    <t>C06078</t>
  </si>
  <si>
    <t>Patrick Bala</t>
  </si>
  <si>
    <t>C06079</t>
  </si>
  <si>
    <t>Vedhika Koshy</t>
  </si>
  <si>
    <t>C06080</t>
  </si>
  <si>
    <t>Joshua Prakash</t>
  </si>
  <si>
    <t>C06081</t>
  </si>
  <si>
    <t>Tanay Keer</t>
  </si>
  <si>
    <t>C06082</t>
  </si>
  <si>
    <t>Omkaar Dora</t>
  </si>
  <si>
    <t>C06083</t>
  </si>
  <si>
    <t>Utkarsh Gupta</t>
  </si>
  <si>
    <t>C06084</t>
  </si>
  <si>
    <t>Aarav Mani</t>
  </si>
  <si>
    <t>C06085</t>
  </si>
  <si>
    <t>Urvi Kapadia</t>
  </si>
  <si>
    <t>C06086</t>
  </si>
  <si>
    <t>Umang Dayal</t>
  </si>
  <si>
    <t>C06087</t>
  </si>
  <si>
    <t>Pallavi Sane</t>
  </si>
  <si>
    <t>C06088</t>
  </si>
  <si>
    <t>Yashica Palla</t>
  </si>
  <si>
    <t>C06089</t>
  </si>
  <si>
    <t>Upasna Ranganathan</t>
  </si>
  <si>
    <t>C06090</t>
  </si>
  <si>
    <t>Chandran Sharaf</t>
  </si>
  <si>
    <t>C06091</t>
  </si>
  <si>
    <t>Yasti Grover</t>
  </si>
  <si>
    <t>C06092</t>
  </si>
  <si>
    <t>Widisha Dara</t>
  </si>
  <si>
    <t>C06093</t>
  </si>
  <si>
    <t>Ryan Raj</t>
  </si>
  <si>
    <t>C06094</t>
  </si>
  <si>
    <t>Hardik Atwal</t>
  </si>
  <si>
    <t>C06095</t>
  </si>
  <si>
    <t>Jeet Dugal</t>
  </si>
  <si>
    <t>C06096</t>
  </si>
  <si>
    <t>Harish Pandya</t>
  </si>
  <si>
    <t>C06097</t>
  </si>
  <si>
    <t>Qadim Chakraborty</t>
  </si>
  <si>
    <t>C06098</t>
  </si>
  <si>
    <t>Radhika Lala</t>
  </si>
  <si>
    <t>C06099</t>
  </si>
  <si>
    <t>Neha Sridhar</t>
  </si>
  <si>
    <t>C06100</t>
  </si>
  <si>
    <t>Ekta Savant</t>
  </si>
  <si>
    <t>C06101</t>
  </si>
  <si>
    <t>Karan Dhillon</t>
  </si>
  <si>
    <t>C06102</t>
  </si>
  <si>
    <t>Tarak Dua</t>
  </si>
  <si>
    <t>C06103</t>
  </si>
  <si>
    <t>Neel Trivedi</t>
  </si>
  <si>
    <t>C06104</t>
  </si>
  <si>
    <t>Hitesh Master</t>
  </si>
  <si>
    <t>C06105</t>
  </si>
  <si>
    <t>Mitesh Pal</t>
  </si>
  <si>
    <t>C06106</t>
  </si>
  <si>
    <t>Qarin Gokhale</t>
  </si>
  <si>
    <t>C06107</t>
  </si>
  <si>
    <t>Nidhi Bhandari</t>
  </si>
  <si>
    <t>C06108</t>
  </si>
  <si>
    <t>Qadim Nazareth</t>
  </si>
  <si>
    <t>C06109</t>
  </si>
  <si>
    <t>Kamya Bawa</t>
  </si>
  <si>
    <t>C06110</t>
  </si>
  <si>
    <t>Xavier Srinivas</t>
  </si>
  <si>
    <t>C06111</t>
  </si>
  <si>
    <t>Ekalinga Contractor</t>
  </si>
  <si>
    <t>C06112</t>
  </si>
  <si>
    <t>Anita Ranganathan</t>
  </si>
  <si>
    <t>C06113</t>
  </si>
  <si>
    <t>Anya Cheema</t>
  </si>
  <si>
    <t>C06114</t>
  </si>
  <si>
    <t>Abeer Sunder</t>
  </si>
  <si>
    <t>C06115</t>
  </si>
  <si>
    <t>Veer Mody</t>
  </si>
  <si>
    <t>C06116</t>
  </si>
  <si>
    <t>Ekiya Dixit</t>
  </si>
  <si>
    <t>C06117</t>
  </si>
  <si>
    <t>Ekbal Kannan</t>
  </si>
  <si>
    <t>C06118</t>
  </si>
  <si>
    <t>Owen Rattan</t>
  </si>
  <si>
    <t>C06119</t>
  </si>
  <si>
    <t>Yashoda Mangat</t>
  </si>
  <si>
    <t>C06120</t>
  </si>
  <si>
    <t>Veer Solanki</t>
  </si>
  <si>
    <t>C06121</t>
  </si>
  <si>
    <t>Libni Bhatnagar</t>
  </si>
  <si>
    <t>C06122</t>
  </si>
  <si>
    <t>Aradhana Soni</t>
  </si>
  <si>
    <t>C06123</t>
  </si>
  <si>
    <t>Janaki Nagar</t>
  </si>
  <si>
    <t>C06124</t>
  </si>
  <si>
    <t>Elijah Ghosh</t>
  </si>
  <si>
    <t>C06125</t>
  </si>
  <si>
    <t>Jyoti Chadha</t>
  </si>
  <si>
    <t>C06126</t>
  </si>
  <si>
    <t>Amrita Bora</t>
  </si>
  <si>
    <t>C06127</t>
  </si>
  <si>
    <t>Hema Narayan</t>
  </si>
  <si>
    <t>C06128</t>
  </si>
  <si>
    <t>Anita Badal</t>
  </si>
  <si>
    <t>C06129</t>
  </si>
  <si>
    <t>Keya Kakar</t>
  </si>
  <si>
    <t>C06130</t>
  </si>
  <si>
    <t>Shravya Taneja</t>
  </si>
  <si>
    <t>C06131</t>
  </si>
  <si>
    <t>Qasim Bhasin</t>
  </si>
  <si>
    <t>C06132</t>
  </si>
  <si>
    <t>Aadi Devan</t>
  </si>
  <si>
    <t>C06133</t>
  </si>
  <si>
    <t>Zehaan Ganguly</t>
  </si>
  <si>
    <t>C06134</t>
  </si>
  <si>
    <t>Nathan Aurora</t>
  </si>
  <si>
    <t>C06135</t>
  </si>
  <si>
    <t>Watika Char</t>
  </si>
  <si>
    <t>C06136</t>
  </si>
  <si>
    <t>Gaurav Doctor</t>
  </si>
  <si>
    <t>C06137</t>
  </si>
  <si>
    <t>Ethan Jaggi</t>
  </si>
  <si>
    <t>C06138</t>
  </si>
  <si>
    <t>Qushi Raval</t>
  </si>
  <si>
    <t>C06139</t>
  </si>
  <si>
    <t>Sudiksha Ravi</t>
  </si>
  <si>
    <t>C06140</t>
  </si>
  <si>
    <t>Urvi Kale</t>
  </si>
  <si>
    <t>C06141</t>
  </si>
  <si>
    <t>Nitesh Sandhu</t>
  </si>
  <si>
    <t>C06142</t>
  </si>
  <si>
    <t>Veda Kashyap</t>
  </si>
  <si>
    <t>C06143</t>
  </si>
  <si>
    <t>Qasim Deo</t>
  </si>
  <si>
    <t>C06144</t>
  </si>
  <si>
    <t>Lopa Bala</t>
  </si>
  <si>
    <t>C06145</t>
  </si>
  <si>
    <t>Harinakshi Wali</t>
  </si>
  <si>
    <t>C06146</t>
  </si>
  <si>
    <t>Osha Pandey</t>
  </si>
  <si>
    <t>C06147</t>
  </si>
  <si>
    <t>Sarthak More</t>
  </si>
  <si>
    <t>C06148</t>
  </si>
  <si>
    <t>Jack Chand</t>
  </si>
  <si>
    <t>C06149</t>
  </si>
  <si>
    <t>Falguni More</t>
  </si>
  <si>
    <t>C06150</t>
  </si>
  <si>
    <t>Azaan Vala</t>
  </si>
  <si>
    <t>C06151</t>
  </si>
  <si>
    <t>Qabil Kaul</t>
  </si>
  <si>
    <t>C06152</t>
  </si>
  <si>
    <t>Maanav Bath</t>
  </si>
  <si>
    <t>C06153</t>
  </si>
  <si>
    <t>Jai Biswas</t>
  </si>
  <si>
    <t>C06154</t>
  </si>
  <si>
    <t>Arjun Palla</t>
  </si>
  <si>
    <t>C06155</t>
  </si>
  <si>
    <t>Kritika Magar</t>
  </si>
  <si>
    <t>C06156</t>
  </si>
  <si>
    <t>Tanmayi Mander</t>
  </si>
  <si>
    <t>C06157</t>
  </si>
  <si>
    <t>Abhimanyu Bedi</t>
  </si>
  <si>
    <t>C06158</t>
  </si>
  <si>
    <t>Logan Salvi</t>
  </si>
  <si>
    <t>C06159</t>
  </si>
  <si>
    <t>Meghana Mohan</t>
  </si>
  <si>
    <t>C06160</t>
  </si>
  <si>
    <t>Radhika Taneja</t>
  </si>
  <si>
    <t>C06161</t>
  </si>
  <si>
    <t>Chameli Sem</t>
  </si>
  <si>
    <t>C06162</t>
  </si>
  <si>
    <t>Dayamai Chakraborty</t>
  </si>
  <si>
    <t>C06163</t>
  </si>
  <si>
    <t>Saksham Rajan</t>
  </si>
  <si>
    <t>C06164</t>
  </si>
  <si>
    <t>Pooja Bandi</t>
  </si>
  <si>
    <t>C06165</t>
  </si>
  <si>
    <t>Ganga Bali</t>
  </si>
  <si>
    <t>C06166</t>
  </si>
  <si>
    <t>Niharika Konda</t>
  </si>
  <si>
    <t>C06167</t>
  </si>
  <si>
    <t>Divya Kannan</t>
  </si>
  <si>
    <t>C06168</t>
  </si>
  <si>
    <t>Rushil Barad</t>
  </si>
  <si>
    <t>C06169</t>
  </si>
  <si>
    <t>Anita Sandhu</t>
  </si>
  <si>
    <t>C06170</t>
  </si>
  <si>
    <t>Ucchal Sastry</t>
  </si>
  <si>
    <t>C06171</t>
  </si>
  <si>
    <t>Imaran Parmar</t>
  </si>
  <si>
    <t>C06172</t>
  </si>
  <si>
    <t>Lajita Kapoor</t>
  </si>
  <si>
    <t>C06173</t>
  </si>
  <si>
    <t>Samesh Bawa</t>
  </si>
  <si>
    <t>C06174</t>
  </si>
  <si>
    <t>Unnati Anand</t>
  </si>
  <si>
    <t>C06175</t>
  </si>
  <si>
    <t>Jhalak Palla</t>
  </si>
  <si>
    <t>C06176</t>
  </si>
  <si>
    <t>Neel Wadhwa</t>
  </si>
  <si>
    <t>C06177</t>
  </si>
  <si>
    <t>C06178</t>
  </si>
  <si>
    <t>Pooja Mistry</t>
  </si>
  <si>
    <t>C06179</t>
  </si>
  <si>
    <t>Farhan Murthy</t>
  </si>
  <si>
    <t>C06180</t>
  </si>
  <si>
    <t>Gautami Ramaswamy</t>
  </si>
  <si>
    <t>C06181</t>
  </si>
  <si>
    <t>Baghyawati Sachdev</t>
  </si>
  <si>
    <t>C06182</t>
  </si>
  <si>
    <t>Yug Misra</t>
  </si>
  <si>
    <t>C06183</t>
  </si>
  <si>
    <t>Adweta Master</t>
  </si>
  <si>
    <t>C06184</t>
  </si>
  <si>
    <t>Damyanti Kurian</t>
  </si>
  <si>
    <t>C06185</t>
  </si>
  <si>
    <t>Dalaja Dara</t>
  </si>
  <si>
    <t>C06186</t>
  </si>
  <si>
    <t>Yash Kibe</t>
  </si>
  <si>
    <t>C06187</t>
  </si>
  <si>
    <t>Anya Seshadri</t>
  </si>
  <si>
    <t>C06188</t>
  </si>
  <si>
    <t>Upkaar Madan</t>
  </si>
  <si>
    <t>C06189</t>
  </si>
  <si>
    <t>Aishani Badal</t>
  </si>
  <si>
    <t>C06190</t>
  </si>
  <si>
    <t>Madhav Kapur</t>
  </si>
  <si>
    <t>C06191</t>
  </si>
  <si>
    <t>Falguni Tella</t>
  </si>
  <si>
    <t>C06192</t>
  </si>
  <si>
    <t>Kabir Sood</t>
  </si>
  <si>
    <t>C06193</t>
  </si>
  <si>
    <t>Anamika Chaudhry</t>
  </si>
  <si>
    <t>C06194</t>
  </si>
  <si>
    <t>Nakul Chawla</t>
  </si>
  <si>
    <t>C06195</t>
  </si>
  <si>
    <t>Sanaya Dayal</t>
  </si>
  <si>
    <t>C06196</t>
  </si>
  <si>
    <t>Oscar Contractor</t>
  </si>
  <si>
    <t>C06197</t>
  </si>
  <si>
    <t>Caleb Srinivas</t>
  </si>
  <si>
    <t>C06198</t>
  </si>
  <si>
    <t>Charvi Venkataraman</t>
  </si>
  <si>
    <t>C06199</t>
  </si>
  <si>
    <t>Reyansh Mangat</t>
  </si>
  <si>
    <t>C06200</t>
  </si>
  <si>
    <t>Kamala Nayar</t>
  </si>
  <si>
    <t>C06201</t>
  </si>
  <si>
    <t>Kevin Dass</t>
  </si>
  <si>
    <t>C06202</t>
  </si>
  <si>
    <t>Yash Anne</t>
  </si>
  <si>
    <t>C06203</t>
  </si>
  <si>
    <t>Chasmum Mall</t>
  </si>
  <si>
    <t>C06204</t>
  </si>
  <si>
    <t>Daksha Raj</t>
  </si>
  <si>
    <t>C06205</t>
  </si>
  <si>
    <t>Manbir Kapoor</t>
  </si>
  <si>
    <t>C06206</t>
  </si>
  <si>
    <t>Ayaan Dhaliwal</t>
  </si>
  <si>
    <t>C06207</t>
  </si>
  <si>
    <t>Hredhaan Deshpande</t>
  </si>
  <si>
    <t>C06208</t>
  </si>
  <si>
    <t>Samar Shenoy</t>
  </si>
  <si>
    <t>C06209</t>
  </si>
  <si>
    <t>Maya Parekh</t>
  </si>
  <si>
    <t>C06210</t>
  </si>
  <si>
    <t>Ranveer Narayanan</t>
  </si>
  <si>
    <t>C06211</t>
  </si>
  <si>
    <t>Urishilla Agate</t>
  </si>
  <si>
    <t>C06212</t>
  </si>
  <si>
    <t>Farhan Kamdar</t>
  </si>
  <si>
    <t>C06213</t>
  </si>
  <si>
    <t>Advika Patel</t>
  </si>
  <si>
    <t>C06214</t>
  </si>
  <si>
    <t>Ranbir Lad</t>
  </si>
  <si>
    <t>C06215</t>
  </si>
  <si>
    <t>Mekhala Rama</t>
  </si>
  <si>
    <t>C06216</t>
  </si>
  <si>
    <t>Frado Bora</t>
  </si>
  <si>
    <t>C06217</t>
  </si>
  <si>
    <t>Kamala Bava</t>
  </si>
  <si>
    <t>C06218</t>
  </si>
  <si>
    <t>Chaman Goswami</t>
  </si>
  <si>
    <t>C06219</t>
  </si>
  <si>
    <t>Nikita Dugar</t>
  </si>
  <si>
    <t>C06220</t>
  </si>
  <si>
    <t>Bahadurjit Kothari</t>
  </si>
  <si>
    <t>C06221</t>
  </si>
  <si>
    <t>Dayita Shankar</t>
  </si>
  <si>
    <t>C06222</t>
  </si>
  <si>
    <t>Qadim Lanka</t>
  </si>
  <si>
    <t>C06223</t>
  </si>
  <si>
    <t>Sarthak Chokshi</t>
  </si>
  <si>
    <t>C06224</t>
  </si>
  <si>
    <t>Charvi Kata</t>
  </si>
  <si>
    <t>C06225</t>
  </si>
  <si>
    <t>Ojasvi Thaman</t>
  </si>
  <si>
    <t>C06226</t>
  </si>
  <si>
    <t>Ayaan Bali</t>
  </si>
  <si>
    <t>C06227</t>
  </si>
  <si>
    <t>Lohit Mand</t>
  </si>
  <si>
    <t>C06228</t>
  </si>
  <si>
    <t>Chandresh Dua</t>
  </si>
  <si>
    <t>C06229</t>
  </si>
  <si>
    <t>Vidhi Sarma</t>
  </si>
  <si>
    <t>C06230</t>
  </si>
  <si>
    <t>Devansh Shroff</t>
  </si>
  <si>
    <t>C06231</t>
  </si>
  <si>
    <t>Raghav Barad</t>
  </si>
  <si>
    <t>C06232</t>
  </si>
  <si>
    <t>Sarthak Nagar</t>
  </si>
  <si>
    <t>C06233</t>
  </si>
  <si>
    <t>Mohammed Kari</t>
  </si>
  <si>
    <t>C06234</t>
  </si>
  <si>
    <t>Champak Gade</t>
  </si>
  <si>
    <t>C06235</t>
  </si>
  <si>
    <t>Avni Sami</t>
  </si>
  <si>
    <t>C06236</t>
  </si>
  <si>
    <t>Hamsini Golla</t>
  </si>
  <si>
    <t>C06237</t>
  </si>
  <si>
    <t>C06238</t>
  </si>
  <si>
    <t>Sai Deol</t>
  </si>
  <si>
    <t>C06239</t>
  </si>
  <si>
    <t>Vivaan Andra</t>
  </si>
  <si>
    <t>C06240</t>
  </si>
  <si>
    <t>Amol Desai</t>
  </si>
  <si>
    <t>C06241</t>
  </si>
  <si>
    <t>Nandini Chokshi</t>
  </si>
  <si>
    <t>C06242</t>
  </si>
  <si>
    <t>Samarth Anne</t>
  </si>
  <si>
    <t>C06243</t>
  </si>
  <si>
    <t>Anthony Kanda</t>
  </si>
  <si>
    <t>C06244</t>
  </si>
  <si>
    <t>Zehaan Rege</t>
  </si>
  <si>
    <t>C06245</t>
  </si>
  <si>
    <t>Ridhi Bir</t>
  </si>
  <si>
    <t>C06246</t>
  </si>
  <si>
    <t>Priya Shan</t>
  </si>
  <si>
    <t>C06247</t>
  </si>
  <si>
    <t>Advaith Sarma</t>
  </si>
  <si>
    <t>C06248</t>
  </si>
  <si>
    <t>Lucky Sridhar</t>
  </si>
  <si>
    <t>C06249</t>
  </si>
  <si>
    <t>Divya Krish</t>
  </si>
  <si>
    <t>C06250</t>
  </si>
  <si>
    <t>Oscar Mall</t>
  </si>
  <si>
    <t>C06251</t>
  </si>
  <si>
    <t>Shivansh Bhalla</t>
  </si>
  <si>
    <t>C06252</t>
  </si>
  <si>
    <t>Oscar Kashyap</t>
  </si>
  <si>
    <t>C06253</t>
  </si>
  <si>
    <t>Vinaya Garde</t>
  </si>
  <si>
    <t>C06254</t>
  </si>
  <si>
    <t>Ayush Kalita</t>
  </si>
  <si>
    <t>C06255</t>
  </si>
  <si>
    <t>Karan Batra</t>
  </si>
  <si>
    <t>C06256</t>
  </si>
  <si>
    <t>Chaman Shanker</t>
  </si>
  <si>
    <t>C06257</t>
  </si>
  <si>
    <t>Amol Chand</t>
  </si>
  <si>
    <t>C06258</t>
  </si>
  <si>
    <t>Nicholas Gade</t>
  </si>
  <si>
    <t>C06259</t>
  </si>
  <si>
    <t>Brinda Ben</t>
  </si>
  <si>
    <t>C06260</t>
  </si>
  <si>
    <t>Dalbir Sarna</t>
  </si>
  <si>
    <t>C06261</t>
  </si>
  <si>
    <t>Aashi Shere</t>
  </si>
  <si>
    <t>C06262</t>
  </si>
  <si>
    <t>Vamakshi Tandon</t>
  </si>
  <si>
    <t>C06263</t>
  </si>
  <si>
    <t>Abha Sachdev</t>
  </si>
  <si>
    <t>C06264</t>
  </si>
  <si>
    <t>Qadim Lalla</t>
  </si>
  <si>
    <t>C06265</t>
  </si>
  <si>
    <t>Libni Parsa</t>
  </si>
  <si>
    <t>C06266</t>
  </si>
  <si>
    <t>Ridhi Dube</t>
  </si>
  <si>
    <t>C06267</t>
  </si>
  <si>
    <t>Manbir Nori</t>
  </si>
  <si>
    <t>C06268</t>
  </si>
  <si>
    <t>Pranit Dugal</t>
  </si>
  <si>
    <t>C06269</t>
  </si>
  <si>
    <t>Banjeet Oza</t>
  </si>
  <si>
    <t>C06270</t>
  </si>
  <si>
    <t>Meera Walla</t>
  </si>
  <si>
    <t>C06271</t>
  </si>
  <si>
    <t>Aachal Tripathi</t>
  </si>
  <si>
    <t>C06272</t>
  </si>
  <si>
    <t>Yug Sunder</t>
  </si>
  <si>
    <t>C06273</t>
  </si>
  <si>
    <t>Raghav Seth</t>
  </si>
  <si>
    <t>C06274</t>
  </si>
  <si>
    <t>Quincy Chaudhry</t>
  </si>
  <si>
    <t>C06275</t>
  </si>
  <si>
    <t>Frado Chadha</t>
  </si>
  <si>
    <t>C06276</t>
  </si>
  <si>
    <t>Jagdish Wali</t>
  </si>
  <si>
    <t>C06277</t>
  </si>
  <si>
    <t>Yochana Barman</t>
  </si>
  <si>
    <t>C06278</t>
  </si>
  <si>
    <t>Hiral Sagar</t>
  </si>
  <si>
    <t>C06279</t>
  </si>
  <si>
    <t>Ethan Sha</t>
  </si>
  <si>
    <t>C06280</t>
  </si>
  <si>
    <t>Vedhika Manne</t>
  </si>
  <si>
    <t>C06281</t>
  </si>
  <si>
    <t>Umang Dora</t>
  </si>
  <si>
    <t>C06282</t>
  </si>
  <si>
    <t>Hemang Krishnamurthy</t>
  </si>
  <si>
    <t>C06283</t>
  </si>
  <si>
    <t>Pranav Nadkarni</t>
  </si>
  <si>
    <t>C06284</t>
  </si>
  <si>
    <t>Wakeeta Chaudry</t>
  </si>
  <si>
    <t>C06285</t>
  </si>
  <si>
    <t>Parth Dhar</t>
  </si>
  <si>
    <t>C06286</t>
  </si>
  <si>
    <t>Lipika Kumar</t>
  </si>
  <si>
    <t>C06287</t>
  </si>
  <si>
    <t>Thomas Sha</t>
  </si>
  <si>
    <t>C06288</t>
  </si>
  <si>
    <t>Nihal Bail</t>
  </si>
  <si>
    <t>C06289</t>
  </si>
  <si>
    <t>Bimala Doctor</t>
  </si>
  <si>
    <t>C06290</t>
  </si>
  <si>
    <t>Isaiah Prashad</t>
  </si>
  <si>
    <t>C06291</t>
  </si>
  <si>
    <t>Krisha Nagi</t>
  </si>
  <si>
    <t>C06292</t>
  </si>
  <si>
    <t>Lavanya Handa</t>
  </si>
  <si>
    <t>C06293</t>
  </si>
  <si>
    <t>Aarav Zacharia</t>
  </si>
  <si>
    <t>C06294</t>
  </si>
  <si>
    <t>Samaksh Mann</t>
  </si>
  <si>
    <t>C06295</t>
  </si>
  <si>
    <t>Chasmum Savant</t>
  </si>
  <si>
    <t>C06296</t>
  </si>
  <si>
    <t>Dalaja Thakkar</t>
  </si>
  <si>
    <t>C06297</t>
  </si>
  <si>
    <t>Yashoda Narayanan</t>
  </si>
  <si>
    <t>C06298</t>
  </si>
  <si>
    <t>Anika Shetty</t>
  </si>
  <si>
    <t>C06299</t>
  </si>
  <si>
    <t>Ojas Anne</t>
  </si>
  <si>
    <t>C06300</t>
  </si>
  <si>
    <t>Krishna Tripathi</t>
  </si>
  <si>
    <t>C06301</t>
  </si>
  <si>
    <t>Ekbal Munshi</t>
  </si>
  <si>
    <t>C06302</t>
  </si>
  <si>
    <t>Sara Taneja</t>
  </si>
  <si>
    <t>C06303</t>
  </si>
  <si>
    <t>Qabil Ranganathan</t>
  </si>
  <si>
    <t>C06304</t>
  </si>
  <si>
    <t>Shaurya Dutta</t>
  </si>
  <si>
    <t>C06305</t>
  </si>
  <si>
    <t>Oeshi Kaul</t>
  </si>
  <si>
    <t>C06306</t>
  </si>
  <si>
    <t>Qasim Sethi</t>
  </si>
  <si>
    <t>C06307</t>
  </si>
  <si>
    <t>Urvi Nagar</t>
  </si>
  <si>
    <t>C06308</t>
  </si>
  <si>
    <t>Nathaniel Parmer</t>
  </si>
  <si>
    <t>C06309</t>
  </si>
  <si>
    <t>Anay Sahota</t>
  </si>
  <si>
    <t>C06310</t>
  </si>
  <si>
    <t>Mohini Palla</t>
  </si>
  <si>
    <t>C06311</t>
  </si>
  <si>
    <t>Lucky Desai</t>
  </si>
  <si>
    <t>C06312</t>
  </si>
  <si>
    <t>Jyoti Dugar</t>
  </si>
  <si>
    <t>C06313</t>
  </si>
  <si>
    <t>Bhavika Dada</t>
  </si>
  <si>
    <t>C06314</t>
  </si>
  <si>
    <t>Ekantika Roy</t>
  </si>
  <si>
    <t>C06315</t>
  </si>
  <si>
    <t>Brijesh Doshi</t>
  </si>
  <si>
    <t>C06316</t>
  </si>
  <si>
    <t>Diya Ratti</t>
  </si>
  <si>
    <t>C06317</t>
  </si>
  <si>
    <t>Rajata Konda</t>
  </si>
  <si>
    <t>C06318</t>
  </si>
  <si>
    <t>Mitesh Rege</t>
  </si>
  <si>
    <t>C06319</t>
  </si>
  <si>
    <t>Chaman Gole</t>
  </si>
  <si>
    <t>C06320</t>
  </si>
  <si>
    <t>Raagini Purohit</t>
  </si>
  <si>
    <t>C06321</t>
  </si>
  <si>
    <t>Gautami Lad</t>
  </si>
  <si>
    <t>C06322</t>
  </si>
  <si>
    <t>Harinakshi Chatterjee</t>
  </si>
  <si>
    <t>C06323</t>
  </si>
  <si>
    <t>Samarth Chhabra</t>
  </si>
  <si>
    <t>C06324</t>
  </si>
  <si>
    <t>Banjeet Bassi</t>
  </si>
  <si>
    <t>C06325</t>
  </si>
  <si>
    <t>Udarsh Dugar</t>
  </si>
  <si>
    <t>C06326</t>
  </si>
  <si>
    <t>C06327</t>
  </si>
  <si>
    <t>Girindra Ghose</t>
  </si>
  <si>
    <t>C06328</t>
  </si>
  <si>
    <t>Kashish Minhas</t>
  </si>
  <si>
    <t>C06329</t>
  </si>
  <si>
    <t>Kashish Yohannan</t>
  </si>
  <si>
    <t>C06330</t>
  </si>
  <si>
    <t>Radhika Sahni</t>
  </si>
  <si>
    <t>C06331</t>
  </si>
  <si>
    <t>Neelima Misra</t>
  </si>
  <si>
    <t>C06332</t>
  </si>
  <si>
    <t>Hemang Choudhary</t>
  </si>
  <si>
    <t>C06333</t>
  </si>
  <si>
    <t>Adweta Yogi</t>
  </si>
  <si>
    <t>C06334</t>
  </si>
  <si>
    <t>Lopa More</t>
  </si>
  <si>
    <t>C06335</t>
  </si>
  <si>
    <t>Kiaan Acharya</t>
  </si>
  <si>
    <t>C06336</t>
  </si>
  <si>
    <t>Lipika Goel</t>
  </si>
  <si>
    <t>C06337</t>
  </si>
  <si>
    <t>Riya Vohra</t>
  </si>
  <si>
    <t>C06338</t>
  </si>
  <si>
    <t>Yash Murthy</t>
  </si>
  <si>
    <t>C06339</t>
  </si>
  <si>
    <t>Lipika Ratti</t>
  </si>
  <si>
    <t>C06340</t>
  </si>
  <si>
    <t>Mohini Mukhopadhyay</t>
  </si>
  <si>
    <t>C06341</t>
  </si>
  <si>
    <t>Radhika Dayal</t>
  </si>
  <si>
    <t>C06342</t>
  </si>
  <si>
    <t>C06343</t>
  </si>
  <si>
    <t>Lohit Sarin</t>
  </si>
  <si>
    <t>C06344</t>
  </si>
  <si>
    <t>Praneel Borde</t>
  </si>
  <si>
    <t>C06345</t>
  </si>
  <si>
    <t>Qadim Badal</t>
  </si>
  <si>
    <t>C06346</t>
  </si>
  <si>
    <t>Devansh Bath</t>
  </si>
  <si>
    <t>C06347</t>
  </si>
  <si>
    <t>Nihal Kulkarni</t>
  </si>
  <si>
    <t>C06348</t>
  </si>
  <si>
    <t>Isaiah Manda</t>
  </si>
  <si>
    <t>C06349</t>
  </si>
  <si>
    <t>Yasti Choudhury</t>
  </si>
  <si>
    <t>C06350</t>
  </si>
  <si>
    <t>Urishilla Sekhon</t>
  </si>
  <si>
    <t>C06351</t>
  </si>
  <si>
    <t>Niharika Mall</t>
  </si>
  <si>
    <t>C06352</t>
  </si>
  <si>
    <t>Naveen Varkey</t>
  </si>
  <si>
    <t>C06353</t>
  </si>
  <si>
    <t>Indrajit Bahri</t>
  </si>
  <si>
    <t>C06354</t>
  </si>
  <si>
    <t>Theodore Sankaran</t>
  </si>
  <si>
    <t>C06355</t>
  </si>
  <si>
    <t>Nimrat Bail</t>
  </si>
  <si>
    <t>C06356</t>
  </si>
  <si>
    <t>Aarnav Bhatia</t>
  </si>
  <si>
    <t>C06357</t>
  </si>
  <si>
    <t>Ijaya Hegde</t>
  </si>
  <si>
    <t>C06358</t>
  </si>
  <si>
    <t>Gayathri Hari</t>
  </si>
  <si>
    <t>C06359</t>
  </si>
  <si>
    <t>Ranbir Char</t>
  </si>
  <si>
    <t>C06360</t>
  </si>
  <si>
    <t>Ekanta Batra</t>
  </si>
  <si>
    <t>C06361</t>
  </si>
  <si>
    <t>Praneel Madan</t>
  </si>
  <si>
    <t>C06362</t>
  </si>
  <si>
    <t>Wahab Agarwal</t>
  </si>
  <si>
    <t>C06363</t>
  </si>
  <si>
    <t>Neel Sahni</t>
  </si>
  <si>
    <t>C06364</t>
  </si>
  <si>
    <t>David Bhasin</t>
  </si>
  <si>
    <t>C06365</t>
  </si>
  <si>
    <t>Mitali Walla</t>
  </si>
  <si>
    <t>C06366</t>
  </si>
  <si>
    <t>Nihal Shankar</t>
  </si>
  <si>
    <t>C06367</t>
  </si>
  <si>
    <t>Yagnesh Karan</t>
  </si>
  <si>
    <t>C06368</t>
  </si>
  <si>
    <t>Samuel Thaker</t>
  </si>
  <si>
    <t>C06369</t>
  </si>
  <si>
    <t>Samar Kala</t>
  </si>
  <si>
    <t>C06370</t>
  </si>
  <si>
    <t>Nikita Chacko</t>
  </si>
  <si>
    <t>C06371</t>
  </si>
  <si>
    <t>Ishaan Rau</t>
  </si>
  <si>
    <t>C06372</t>
  </si>
  <si>
    <t>Mitali Sha</t>
  </si>
  <si>
    <t>C06373</t>
  </si>
  <si>
    <t>Yug Saraf</t>
  </si>
  <si>
    <t>C06374</t>
  </si>
  <si>
    <t>Ikbal Acharya</t>
  </si>
  <si>
    <t>C06375</t>
  </si>
  <si>
    <t>Ranveer Dubey</t>
  </si>
  <si>
    <t>C06376</t>
  </si>
  <si>
    <t>Sai Kara</t>
  </si>
  <si>
    <t>C06377</t>
  </si>
  <si>
    <t>Hardik Zachariah</t>
  </si>
  <si>
    <t>C06378</t>
  </si>
  <si>
    <t>Ikshita Grover</t>
  </si>
  <si>
    <t>C06379</t>
  </si>
  <si>
    <t>Dev Wadhwa</t>
  </si>
  <si>
    <t>C06380</t>
  </si>
  <si>
    <t>Eshana Bahri</t>
  </si>
  <si>
    <t>C06381</t>
  </si>
  <si>
    <t>Vasatika Tailor</t>
  </si>
  <si>
    <t>C06382</t>
  </si>
  <si>
    <t>Girish Bassi</t>
  </si>
  <si>
    <t>C06383</t>
  </si>
  <si>
    <t>Kamala Ganesh</t>
  </si>
  <si>
    <t>C06384</t>
  </si>
  <si>
    <t>Harish Lata</t>
  </si>
  <si>
    <t>C06385</t>
  </si>
  <si>
    <t>Falan Datta</t>
  </si>
  <si>
    <t>C06386</t>
  </si>
  <si>
    <t>Sai Rout</t>
  </si>
  <si>
    <t>C06387</t>
  </si>
  <si>
    <t>Triveni Thakur</t>
  </si>
  <si>
    <t>C06388</t>
  </si>
  <si>
    <t>Indira Saini</t>
  </si>
  <si>
    <t>C06389</t>
  </si>
  <si>
    <t>Chandani Palla</t>
  </si>
  <si>
    <t>C06390</t>
  </si>
  <si>
    <t>Pranav Badal</t>
  </si>
  <si>
    <t>C06391</t>
  </si>
  <si>
    <t>Mahika Puri</t>
  </si>
  <si>
    <t>C06392</t>
  </si>
  <si>
    <t>Mohini Walla</t>
  </si>
  <si>
    <t>C06393</t>
  </si>
  <si>
    <t>Onkar Pandya</t>
  </si>
  <si>
    <t>C06394</t>
  </si>
  <si>
    <t>Lakshit Naik</t>
  </si>
  <si>
    <t>C06395</t>
  </si>
  <si>
    <t>Samarth Morar</t>
  </si>
  <si>
    <t>C06396</t>
  </si>
  <si>
    <t>Hemal Nanda</t>
  </si>
  <si>
    <t>C06397</t>
  </si>
  <si>
    <t>Anjali Saran</t>
  </si>
  <si>
    <t>C06398</t>
  </si>
  <si>
    <t>Sai Misra</t>
  </si>
  <si>
    <t>C06399</t>
  </si>
  <si>
    <t>Arin Saxena</t>
  </si>
  <si>
    <t>C06400</t>
  </si>
  <si>
    <t>Vaishnavi Dhar</t>
  </si>
  <si>
    <t>C06401</t>
  </si>
  <si>
    <t>Pallavi Modi</t>
  </si>
  <si>
    <t>C06402</t>
  </si>
  <si>
    <t>Raksha Randhawa</t>
  </si>
  <si>
    <t>C06403</t>
  </si>
  <si>
    <t>Anthony Aggarwal</t>
  </si>
  <si>
    <t>C06404</t>
  </si>
  <si>
    <t>Damyanti Tank</t>
  </si>
  <si>
    <t>C06405</t>
  </si>
  <si>
    <t>Indira Mane</t>
  </si>
  <si>
    <t>C06406</t>
  </si>
  <si>
    <t>Anya Borra</t>
  </si>
  <si>
    <t>C06407</t>
  </si>
  <si>
    <t>Yamini Mittal</t>
  </si>
  <si>
    <t>C06408</t>
  </si>
  <si>
    <t>Nirja Shere</t>
  </si>
  <si>
    <t>C06409</t>
  </si>
  <si>
    <t>Bhavya Shanker</t>
  </si>
  <si>
    <t>C06410</t>
  </si>
  <si>
    <t>Samuel Rastogi</t>
  </si>
  <si>
    <t>C06411</t>
  </si>
  <si>
    <t>Lajita Master</t>
  </si>
  <si>
    <t>C06412</t>
  </si>
  <si>
    <t>Alka Mann</t>
  </si>
  <si>
    <t>C06413</t>
  </si>
  <si>
    <t>Advaith Ganesan</t>
  </si>
  <si>
    <t>C06414</t>
  </si>
  <si>
    <t>Advaith Narain</t>
  </si>
  <si>
    <t>C06415</t>
  </si>
  <si>
    <t>Jagat Balay</t>
  </si>
  <si>
    <t>C06416</t>
  </si>
  <si>
    <t>Mohini Dewan</t>
  </si>
  <si>
    <t>C06417</t>
  </si>
  <si>
    <t>Balveer Ranganathan</t>
  </si>
  <si>
    <t>C06418</t>
  </si>
  <si>
    <t>Bimala Bhat</t>
  </si>
  <si>
    <t>C06419</t>
  </si>
  <si>
    <t>C06420</t>
  </si>
  <si>
    <t>Jagrati Venkatesh</t>
  </si>
  <si>
    <t>C06421</t>
  </si>
  <si>
    <t>Timothy Acharya</t>
  </si>
  <si>
    <t>C06422</t>
  </si>
  <si>
    <t>Benjamin Narayan</t>
  </si>
  <si>
    <t>C06423</t>
  </si>
  <si>
    <t>Dalaja Zachariah</t>
  </si>
  <si>
    <t>C06424</t>
  </si>
  <si>
    <t>Urvi Lala</t>
  </si>
  <si>
    <t>C06425</t>
  </si>
  <si>
    <t>Idika Sagar</t>
  </si>
  <si>
    <t>C06426</t>
  </si>
  <si>
    <t>Akshay Dixit</t>
  </si>
  <si>
    <t>C06427</t>
  </si>
  <si>
    <t>Kamala Arya</t>
  </si>
  <si>
    <t>C06428</t>
  </si>
  <si>
    <t>Aadi Kala</t>
  </si>
  <si>
    <t>C06429</t>
  </si>
  <si>
    <t>Hemani Ramakrishnan</t>
  </si>
  <si>
    <t>C06430</t>
  </si>
  <si>
    <t>Harsh Parekh</t>
  </si>
  <si>
    <t>C06431</t>
  </si>
  <si>
    <t>Anay Parmar</t>
  </si>
  <si>
    <t>C06432</t>
  </si>
  <si>
    <t>Brinda Chatterjee</t>
  </si>
  <si>
    <t>C06433</t>
  </si>
  <si>
    <t>Rehaan Sarma</t>
  </si>
  <si>
    <t>C06434</t>
  </si>
  <si>
    <t>Rachana Sen</t>
  </si>
  <si>
    <t>C06435</t>
  </si>
  <si>
    <t>Yadavi Srinivasan</t>
  </si>
  <si>
    <t>C06436</t>
  </si>
  <si>
    <t>Jagat Wali</t>
  </si>
  <si>
    <t>C06437</t>
  </si>
  <si>
    <t>Neel Sachdeva</t>
  </si>
  <si>
    <t>C06438</t>
  </si>
  <si>
    <t>Azaan Chowdhury</t>
  </si>
  <si>
    <t>C06439</t>
  </si>
  <si>
    <t>Prisha Pradhan</t>
  </si>
  <si>
    <t>C06440</t>
  </si>
  <si>
    <t>Champak Kashyap</t>
  </si>
  <si>
    <t>C06441</t>
  </si>
  <si>
    <t>Chakrika Mitter</t>
  </si>
  <si>
    <t>C06442</t>
  </si>
  <si>
    <t>Karan Bassi</t>
  </si>
  <si>
    <t>C06443</t>
  </si>
  <si>
    <t>Veda Mahal</t>
  </si>
  <si>
    <t>C06444</t>
  </si>
  <si>
    <t>Pahal Rattan</t>
  </si>
  <si>
    <t>C06445</t>
  </si>
  <si>
    <t>Nitesh Mitra</t>
  </si>
  <si>
    <t>C06446</t>
  </si>
  <si>
    <t>Krishna Dhar</t>
  </si>
  <si>
    <t>C06447</t>
  </si>
  <si>
    <t>Jackson Naik</t>
  </si>
  <si>
    <t>C06448</t>
  </si>
  <si>
    <t>Rajata Sridhar</t>
  </si>
  <si>
    <t>C06449</t>
  </si>
  <si>
    <t>Divya Sandal</t>
  </si>
  <si>
    <t>C06450</t>
  </si>
  <si>
    <t>Qarin Golla</t>
  </si>
  <si>
    <t>C06451</t>
  </si>
  <si>
    <t>Abhiram Narula</t>
  </si>
  <si>
    <t>C06452</t>
  </si>
  <si>
    <t>Tanveer Menon</t>
  </si>
  <si>
    <t>C06453</t>
  </si>
  <si>
    <t>Ayushman Kuruvilla</t>
  </si>
  <si>
    <t>C06454</t>
  </si>
  <si>
    <t>Damyanti Srinivasan</t>
  </si>
  <si>
    <t>C06455</t>
  </si>
  <si>
    <t>Chavvi Mani</t>
  </si>
  <si>
    <t>C06456</t>
  </si>
  <si>
    <t>Kashish Kapoor</t>
  </si>
  <si>
    <t>C06457</t>
  </si>
  <si>
    <t>Eta Garde</t>
  </si>
  <si>
    <t>C06458</t>
  </si>
  <si>
    <t>Vincent Warrior</t>
  </si>
  <si>
    <t>C06459</t>
  </si>
  <si>
    <t>Dhriti Ahuja</t>
  </si>
  <si>
    <t>C06460</t>
  </si>
  <si>
    <t>Finn Devan</t>
  </si>
  <si>
    <t>C06461</t>
  </si>
  <si>
    <t>Gauri Pall</t>
  </si>
  <si>
    <t>C06462</t>
  </si>
  <si>
    <t>Harsh Ganesan</t>
  </si>
  <si>
    <t>C06463</t>
  </si>
  <si>
    <t>Aarush Krish</t>
  </si>
  <si>
    <t>C06464</t>
  </si>
  <si>
    <t>Joshua Goyal</t>
  </si>
  <si>
    <t>C06465</t>
  </si>
  <si>
    <t>Ekansh Sodhi</t>
  </si>
  <si>
    <t>C06466</t>
  </si>
  <si>
    <t>Luke Sheth</t>
  </si>
  <si>
    <t>C06467</t>
  </si>
  <si>
    <t>Naksh Sandal</t>
  </si>
  <si>
    <t>C06468</t>
  </si>
  <si>
    <t>Yatin Pal</t>
  </si>
  <si>
    <t>C06469</t>
  </si>
  <si>
    <t>Ekani Nair</t>
  </si>
  <si>
    <t>C06470</t>
  </si>
  <si>
    <t>Pratyush Mody</t>
  </si>
  <si>
    <t>C06471</t>
  </si>
  <si>
    <t>Hiral Dey</t>
  </si>
  <si>
    <t>C06472</t>
  </si>
  <si>
    <t>Harrison Ravi</t>
  </si>
  <si>
    <t>C06473</t>
  </si>
  <si>
    <t>Yadavi Narang</t>
  </si>
  <si>
    <t>C06474</t>
  </si>
  <si>
    <t>Jyoti Chad</t>
  </si>
  <si>
    <t>C06475</t>
  </si>
  <si>
    <t>Ekalinga Bhakta</t>
  </si>
  <si>
    <t>C06476</t>
  </si>
  <si>
    <t>Charles Wadhwa</t>
  </si>
  <si>
    <t>C06477</t>
  </si>
  <si>
    <t>Janani Morar</t>
  </si>
  <si>
    <t>C06478</t>
  </si>
  <si>
    <t>Aarna Sem</t>
  </si>
  <si>
    <t>C06479</t>
  </si>
  <si>
    <t>Damyanti Luthra</t>
  </si>
  <si>
    <t>C06480</t>
  </si>
  <si>
    <t>Victor Pau</t>
  </si>
  <si>
    <t>C06481</t>
  </si>
  <si>
    <t>Ishanvi Dhaliwal</t>
  </si>
  <si>
    <t>C06482</t>
  </si>
  <si>
    <t>Raksha Wadhwa</t>
  </si>
  <si>
    <t>C06483</t>
  </si>
  <si>
    <t>Isaac Shenoy</t>
  </si>
  <si>
    <t>C06484</t>
  </si>
  <si>
    <t>Ishani Mital</t>
  </si>
  <si>
    <t>C06485</t>
  </si>
  <si>
    <t>Ryan Lad</t>
  </si>
  <si>
    <t>C06486</t>
  </si>
  <si>
    <t>Samar Bansal</t>
  </si>
  <si>
    <t>C06487</t>
  </si>
  <si>
    <t>Vihaan Suresh</t>
  </si>
  <si>
    <t>C06488</t>
  </si>
  <si>
    <t>Tristan Hayer</t>
  </si>
  <si>
    <t>C06489</t>
  </si>
  <si>
    <t>Teerth Sama</t>
  </si>
  <si>
    <t>C06490</t>
  </si>
  <si>
    <t>Ekapad Iyer</t>
  </si>
  <si>
    <t>C06491</t>
  </si>
  <si>
    <t>Qabil Sane</t>
  </si>
  <si>
    <t>C06492</t>
  </si>
  <si>
    <t>Yochana Som</t>
  </si>
  <si>
    <t>C06493</t>
  </si>
  <si>
    <t>Ekansh Pandit</t>
  </si>
  <si>
    <t>C06494</t>
  </si>
  <si>
    <t>Varsha Soman</t>
  </si>
  <si>
    <t>C06495</t>
  </si>
  <si>
    <t>Aditya Mangal</t>
  </si>
  <si>
    <t>C06496</t>
  </si>
  <si>
    <t>Qarin Mutti</t>
  </si>
  <si>
    <t>C06497</t>
  </si>
  <si>
    <t>Dhriti Golla</t>
  </si>
  <si>
    <t>C06498</t>
  </si>
  <si>
    <t>Sai Mohan</t>
  </si>
  <si>
    <t>C06499</t>
  </si>
  <si>
    <t>Eta Kala</t>
  </si>
  <si>
    <t>C06500</t>
  </si>
  <si>
    <t>Upkaar Subramanian</t>
  </si>
  <si>
    <t>C06501</t>
  </si>
  <si>
    <t>Harrison Vala</t>
  </si>
  <si>
    <t>C06502</t>
  </si>
  <si>
    <t>Ishani Sandal</t>
  </si>
  <si>
    <t>C06503</t>
  </si>
  <si>
    <t>Raghav Master</t>
  </si>
  <si>
    <t>C06504</t>
  </si>
  <si>
    <t>Lakshmi Taneja</t>
  </si>
  <si>
    <t>C06505</t>
  </si>
  <si>
    <t>Varenya Savant</t>
  </si>
  <si>
    <t>C06506</t>
  </si>
  <si>
    <t>Nicholas Rao</t>
  </si>
  <si>
    <t>C06507</t>
  </si>
  <si>
    <t>Dayita Kapur</t>
  </si>
  <si>
    <t>C06508</t>
  </si>
  <si>
    <t>Meghana Deshpande</t>
  </si>
  <si>
    <t>C06509</t>
  </si>
  <si>
    <t>Krisha Sani</t>
  </si>
  <si>
    <t>C06510</t>
  </si>
  <si>
    <t>Harita Ben</t>
  </si>
  <si>
    <t>C06511</t>
  </si>
  <si>
    <t>Balhaar Choudhury</t>
  </si>
  <si>
    <t>C06512</t>
  </si>
  <si>
    <t>Harini Srinivasan</t>
  </si>
  <si>
    <t>C06513</t>
  </si>
  <si>
    <t>Anay Wali</t>
  </si>
  <si>
    <t>C06514</t>
  </si>
  <si>
    <t>Harini Gade</t>
  </si>
  <si>
    <t>C06515</t>
  </si>
  <si>
    <t>Frederick Zachariah</t>
  </si>
  <si>
    <t>C06516</t>
  </si>
  <si>
    <t>Bina Mani</t>
  </si>
  <si>
    <t>C06517</t>
  </si>
  <si>
    <t>Chaitaly Ramakrishnan</t>
  </si>
  <si>
    <t>C06518</t>
  </si>
  <si>
    <t>Yoshita Varughese</t>
  </si>
  <si>
    <t>C06519</t>
  </si>
  <si>
    <t>Tanvi Prabhakar</t>
  </si>
  <si>
    <t>C06520</t>
  </si>
  <si>
    <t>Onkar Prabhakar</t>
  </si>
  <si>
    <t>C06521</t>
  </si>
  <si>
    <t>Falguni Pall</t>
  </si>
  <si>
    <t>C06522</t>
  </si>
  <si>
    <t>Zarna Choudhry</t>
  </si>
  <si>
    <t>C06523</t>
  </si>
  <si>
    <t>Praneel Dhar</t>
  </si>
  <si>
    <t>C06524</t>
  </si>
  <si>
    <t>Ridhi Shere</t>
  </si>
  <si>
    <t>C06525</t>
  </si>
  <si>
    <t>Laksh Mistry</t>
  </si>
  <si>
    <t>C06526</t>
  </si>
  <si>
    <t>Siya Bumb</t>
  </si>
  <si>
    <t>C06527</t>
  </si>
  <si>
    <t>Akshay Narasimhan</t>
  </si>
  <si>
    <t>C06528</t>
  </si>
  <si>
    <t>Adweta Narasimhan</t>
  </si>
  <si>
    <t>C06529</t>
  </si>
  <si>
    <t>Amaira Jhaveri</t>
  </si>
  <si>
    <t>C06530</t>
  </si>
  <si>
    <t>Watika Dutta</t>
  </si>
  <si>
    <t>C06531</t>
  </si>
  <si>
    <t>Henry Butala</t>
  </si>
  <si>
    <t>C06532</t>
  </si>
  <si>
    <t>C06533</t>
  </si>
  <si>
    <t>Yadavi Om</t>
  </si>
  <si>
    <t>C06534</t>
  </si>
  <si>
    <t>Ishaan Bumb</t>
  </si>
  <si>
    <t>C06535</t>
  </si>
  <si>
    <t>Vyanjana Yohannan</t>
  </si>
  <si>
    <t>C06536</t>
  </si>
  <si>
    <t>Anvi Nayar</t>
  </si>
  <si>
    <t>C06537</t>
  </si>
  <si>
    <t>Arin Ganesan</t>
  </si>
  <si>
    <t>C06538</t>
  </si>
  <si>
    <t>Sai Sidhu</t>
  </si>
  <si>
    <t>C06539</t>
  </si>
  <si>
    <t>Kamala Mutti</t>
  </si>
  <si>
    <t>C06540</t>
  </si>
  <si>
    <t>Pavani Sampath</t>
  </si>
  <si>
    <t>C06541</t>
  </si>
  <si>
    <t>Timothy Prakash</t>
  </si>
  <si>
    <t>C06542</t>
  </si>
  <si>
    <t>Dhriti Thaman</t>
  </si>
  <si>
    <t>C06543</t>
  </si>
  <si>
    <t>Ucchal Arora</t>
  </si>
  <si>
    <t>C06544</t>
  </si>
  <si>
    <t>Robert Date</t>
  </si>
  <si>
    <t>C06545</t>
  </si>
  <si>
    <t>Anmol Dara</t>
  </si>
  <si>
    <t>C06546</t>
  </si>
  <si>
    <t>Wridesh Buch</t>
  </si>
  <si>
    <t>C06547</t>
  </si>
  <si>
    <t>Yuvraj Walia</t>
  </si>
  <si>
    <t>C06548</t>
  </si>
  <si>
    <t>Urvi Mohanty</t>
  </si>
  <si>
    <t>C06549</t>
  </si>
  <si>
    <t>Divya Palla</t>
  </si>
  <si>
    <t>C06550</t>
  </si>
  <si>
    <t>Yagnesh Sandhu</t>
  </si>
  <si>
    <t>C06551</t>
  </si>
  <si>
    <t>Daniel Wali</t>
  </si>
  <si>
    <t>C06552</t>
  </si>
  <si>
    <t>Harrison Thakkar</t>
  </si>
  <si>
    <t>C06553</t>
  </si>
  <si>
    <t>Brijesh Mander</t>
  </si>
  <si>
    <t>C06554</t>
  </si>
  <si>
    <t>Darsh Deshmukh</t>
  </si>
  <si>
    <t>C06555</t>
  </si>
  <si>
    <t>Simon Shenoy</t>
  </si>
  <si>
    <t>C06556</t>
  </si>
  <si>
    <t>C06557</t>
  </si>
  <si>
    <t>Watika Jha</t>
  </si>
  <si>
    <t>C06558</t>
  </si>
  <si>
    <t>Neelima Dey</t>
  </si>
  <si>
    <t>C06559</t>
  </si>
  <si>
    <t>Farhan Kalla</t>
  </si>
  <si>
    <t>C06560</t>
  </si>
  <si>
    <t>Yashodhara Rattan</t>
  </si>
  <si>
    <t>C06561</t>
  </si>
  <si>
    <t>Shaurya Pandit</t>
  </si>
  <si>
    <t>C06562</t>
  </si>
  <si>
    <t>Darpan Amble</t>
  </si>
  <si>
    <t>C06563</t>
  </si>
  <si>
    <t>Ekanta Sani</t>
  </si>
  <si>
    <t>C06564</t>
  </si>
  <si>
    <t>Jeevika Manne</t>
  </si>
  <si>
    <t>C06565</t>
  </si>
  <si>
    <t>Yatin Chadha</t>
  </si>
  <si>
    <t>C06566</t>
  </si>
  <si>
    <t>Libni Prashad</t>
  </si>
  <si>
    <t>C06567</t>
  </si>
  <si>
    <t>Vinaya Grewal</t>
  </si>
  <si>
    <t>C06568</t>
  </si>
  <si>
    <t>Idika D’Alia</t>
  </si>
  <si>
    <t>C06569</t>
  </si>
  <si>
    <t>Ladli Mannan</t>
  </si>
  <si>
    <t>C06570</t>
  </si>
  <si>
    <t>Maya Basak</t>
  </si>
  <si>
    <t>C06571</t>
  </si>
  <si>
    <t>Yashoda Khatri</t>
  </si>
  <si>
    <t>C06572</t>
  </si>
  <si>
    <t>Vedika Gopal</t>
  </si>
  <si>
    <t>C06573</t>
  </si>
  <si>
    <t>Ayaan Dutt</t>
  </si>
  <si>
    <t>C06574</t>
  </si>
  <si>
    <t>Kritika Rout</t>
  </si>
  <si>
    <t>C06575</t>
  </si>
  <si>
    <t>Hemal Krish</t>
  </si>
  <si>
    <t>C06576</t>
  </si>
  <si>
    <t>Peter Verma</t>
  </si>
  <si>
    <t>C06577</t>
  </si>
  <si>
    <t>Krishna Kumer</t>
  </si>
  <si>
    <t>C06578</t>
  </si>
  <si>
    <t>Ekapad Sachar</t>
  </si>
  <si>
    <t>C06579</t>
  </si>
  <si>
    <t>Bakhshi Cheema</t>
  </si>
  <si>
    <t>C06580</t>
  </si>
  <si>
    <t>Ekiya Jayaraman</t>
  </si>
  <si>
    <t>C06581</t>
  </si>
  <si>
    <t>Chandani Rout</t>
  </si>
  <si>
    <t>C06582</t>
  </si>
  <si>
    <t>Brijesh Prakash</t>
  </si>
  <si>
    <t>C06583</t>
  </si>
  <si>
    <t>Baljiwan Gulati</t>
  </si>
  <si>
    <t>C06584</t>
  </si>
  <si>
    <t>Krishna Swaminathan</t>
  </si>
  <si>
    <t>C06585</t>
  </si>
  <si>
    <t>Abhiram Lalla</t>
  </si>
  <si>
    <t>C06586</t>
  </si>
  <si>
    <t>Vidhi Saini</t>
  </si>
  <si>
    <t>C06587</t>
  </si>
  <si>
    <t>Pahal Desai</t>
  </si>
  <si>
    <t>C06588</t>
  </si>
  <si>
    <t>Adya Lad</t>
  </si>
  <si>
    <t>C06589</t>
  </si>
  <si>
    <t>Sudiksha D’Alia</t>
  </si>
  <si>
    <t>C06590</t>
  </si>
  <si>
    <t>Edhitha Kakar</t>
  </si>
  <si>
    <t>C06591</t>
  </si>
  <si>
    <t>Nisha Basu</t>
  </si>
  <si>
    <t>C06592</t>
  </si>
  <si>
    <t>Warhi Ratti</t>
  </si>
  <si>
    <t>C06593</t>
  </si>
  <si>
    <t>Aarush Ghose</t>
  </si>
  <si>
    <t>C06594</t>
  </si>
  <si>
    <t>Yashasvi Yadav</t>
  </si>
  <si>
    <t>C06595</t>
  </si>
  <si>
    <t>Yashodhara Sha</t>
  </si>
  <si>
    <t>C06596</t>
  </si>
  <si>
    <t>Ekaja Panchal</t>
  </si>
  <si>
    <t>C06597</t>
  </si>
  <si>
    <t>Warjas Narasimhan</t>
  </si>
  <si>
    <t>C06598</t>
  </si>
  <si>
    <t>Laban Swaminathan</t>
  </si>
  <si>
    <t>C06599</t>
  </si>
  <si>
    <t>Sudiksha Lata</t>
  </si>
  <si>
    <t>C06600</t>
  </si>
  <si>
    <t>Ansh Sandal</t>
  </si>
  <si>
    <t>C06601</t>
  </si>
  <si>
    <t>Hitesh Rajagopal</t>
  </si>
  <si>
    <t>C06602</t>
  </si>
  <si>
    <t>Bakhshi Jain</t>
  </si>
  <si>
    <t>C06603</t>
  </si>
  <si>
    <t>Sathvik Thakur</t>
  </si>
  <si>
    <t>C06604</t>
  </si>
  <si>
    <t>Yashica Tak</t>
  </si>
  <si>
    <t>C06605</t>
  </si>
  <si>
    <t>Upma Savant</t>
  </si>
  <si>
    <t>C06606</t>
  </si>
  <si>
    <t>Yauvani Kapadia</t>
  </si>
  <si>
    <t>C06607</t>
  </si>
  <si>
    <t>Tanish Ravel</t>
  </si>
  <si>
    <t>C06608</t>
  </si>
  <si>
    <t>Vaishnavi Sengupta</t>
  </si>
  <si>
    <t>C06609</t>
  </si>
  <si>
    <t>Zayan Chandra</t>
  </si>
  <si>
    <t>C06610</t>
  </si>
  <si>
    <t>C06611</t>
  </si>
  <si>
    <t>Ikshita Hans</t>
  </si>
  <si>
    <t>C06612</t>
  </si>
  <si>
    <t>Arin Grewal</t>
  </si>
  <si>
    <t>C06613</t>
  </si>
  <si>
    <t>Meghana Deol</t>
  </si>
  <si>
    <t>C06614</t>
  </si>
  <si>
    <t>Aishani Ganesan</t>
  </si>
  <si>
    <t>C06615</t>
  </si>
  <si>
    <t>Adweta Bir</t>
  </si>
  <si>
    <t>C06616</t>
  </si>
  <si>
    <t>Viraj Chada</t>
  </si>
  <si>
    <t>C06617</t>
  </si>
  <si>
    <t>Ishani Seshadri</t>
  </si>
  <si>
    <t>C06618</t>
  </si>
  <si>
    <t>Krish Amble</t>
  </si>
  <si>
    <t>C06619</t>
  </si>
  <si>
    <t>Ati Bhatti</t>
  </si>
  <si>
    <t>C06620</t>
  </si>
  <si>
    <t>Daksh Talwar</t>
  </si>
  <si>
    <t>C06621</t>
  </si>
  <si>
    <t>C06622</t>
  </si>
  <si>
    <t>Anika Prabhu</t>
  </si>
  <si>
    <t>C06623</t>
  </si>
  <si>
    <t>Faqid Bhargava</t>
  </si>
  <si>
    <t>C06624</t>
  </si>
  <si>
    <t>Dayamai Chaudhary</t>
  </si>
  <si>
    <t>C06625</t>
  </si>
  <si>
    <t>Maanas Malhotra</t>
  </si>
  <si>
    <t>C06626</t>
  </si>
  <si>
    <t>Ayaan Soman</t>
  </si>
  <si>
    <t>C06627</t>
  </si>
  <si>
    <t>C06628</t>
  </si>
  <si>
    <t>Samarth Goswami</t>
  </si>
  <si>
    <t>C06629</t>
  </si>
  <si>
    <t>Kashvi Brar</t>
  </si>
  <si>
    <t>C06630</t>
  </si>
  <si>
    <t>Chanchal Dhawan</t>
  </si>
  <si>
    <t>C06631</t>
  </si>
  <si>
    <t>Bimala Atwal</t>
  </si>
  <si>
    <t>C06632</t>
  </si>
  <si>
    <t>Tanish Gera</t>
  </si>
  <si>
    <t>C06633</t>
  </si>
  <si>
    <t>Harish Chokshi</t>
  </si>
  <si>
    <t>C06634</t>
  </si>
  <si>
    <t>C06635</t>
  </si>
  <si>
    <t>Lavanya Vora</t>
  </si>
  <si>
    <t>C06636</t>
  </si>
  <si>
    <t>Hardik Raj</t>
  </si>
  <si>
    <t>C06637</t>
  </si>
  <si>
    <t>Chandresh Soman</t>
  </si>
  <si>
    <t>C06638</t>
  </si>
  <si>
    <t>Manthan Rastogi</t>
  </si>
  <si>
    <t>C06639</t>
  </si>
  <si>
    <t>Omkaar Bhalla</t>
  </si>
  <si>
    <t>C06640</t>
  </si>
  <si>
    <t>Bakhshi Balay</t>
  </si>
  <si>
    <t>C06641</t>
  </si>
  <si>
    <t>Warjas Raman</t>
  </si>
  <si>
    <t>C06642</t>
  </si>
  <si>
    <t>Krishna Boase</t>
  </si>
  <si>
    <t>C06643</t>
  </si>
  <si>
    <t>Ronith Rout</t>
  </si>
  <si>
    <t>C06644</t>
  </si>
  <si>
    <t>Advaith Nori</t>
  </si>
  <si>
    <t>C06645</t>
  </si>
  <si>
    <t>Vamakshi Munshi</t>
  </si>
  <si>
    <t>C06646</t>
  </si>
  <si>
    <t>Darpan Char</t>
  </si>
  <si>
    <t>C06647</t>
  </si>
  <si>
    <t>Yagnesh Deshpande</t>
  </si>
  <si>
    <t>C06648</t>
  </si>
  <si>
    <t>Advik Bal</t>
  </si>
  <si>
    <t>C06649</t>
  </si>
  <si>
    <t>Tarak Shenoy</t>
  </si>
  <si>
    <t>C06650</t>
  </si>
  <si>
    <t>Ranveer Banerjee</t>
  </si>
  <si>
    <t>C06651</t>
  </si>
  <si>
    <t>Onveer Dyal</t>
  </si>
  <si>
    <t>C06652</t>
  </si>
  <si>
    <t>Ikbal Jayaraman</t>
  </si>
  <si>
    <t>C06653</t>
  </si>
  <si>
    <t>Benjamin Upadhyay</t>
  </si>
  <si>
    <t>C06654</t>
  </si>
  <si>
    <t>Faqid Ramakrishnan</t>
  </si>
  <si>
    <t>C06655</t>
  </si>
  <si>
    <t>Lucky Grewal</t>
  </si>
  <si>
    <t>C06656</t>
  </si>
  <si>
    <t>Aryan Kulkarni</t>
  </si>
  <si>
    <t>C06657</t>
  </si>
  <si>
    <t>Ati Reddy</t>
  </si>
  <si>
    <t>C06658</t>
  </si>
  <si>
    <t>Warhi Choudhry</t>
  </si>
  <si>
    <t>C06659</t>
  </si>
  <si>
    <t>Ekapad Som</t>
  </si>
  <si>
    <t>C06660</t>
  </si>
  <si>
    <t>Suhani Kunda</t>
  </si>
  <si>
    <t>C06661</t>
  </si>
  <si>
    <t>Yash Ray</t>
  </si>
  <si>
    <t>C06662</t>
  </si>
  <si>
    <t>Maanav Kar</t>
  </si>
  <si>
    <t>C06663</t>
  </si>
  <si>
    <t>Chaaya Deep</t>
  </si>
  <si>
    <t>C06664</t>
  </si>
  <si>
    <t>Jalsa Dhawan</t>
  </si>
  <si>
    <t>C06665</t>
  </si>
  <si>
    <t>Mekhala Aurora</t>
  </si>
  <si>
    <t>C06666</t>
  </si>
  <si>
    <t>Hema Golla</t>
  </si>
  <si>
    <t>C06667</t>
  </si>
  <si>
    <t>Anamika Butala</t>
  </si>
  <si>
    <t>C06668</t>
  </si>
  <si>
    <t>Anay Magar</t>
  </si>
  <si>
    <t>C06669</t>
  </si>
  <si>
    <t>Sanaya Som</t>
  </si>
  <si>
    <t>C06670</t>
  </si>
  <si>
    <t>Keya Bajaj</t>
  </si>
  <si>
    <t>C06671</t>
  </si>
  <si>
    <t>Qadim Salvi</t>
  </si>
  <si>
    <t>C06672</t>
  </si>
  <si>
    <t>Diya Chandra</t>
  </si>
  <si>
    <t>C06673</t>
  </si>
  <si>
    <t>Kalpit Singhal</t>
  </si>
  <si>
    <t>C06674</t>
  </si>
  <si>
    <t>Farhan Shroff</t>
  </si>
  <si>
    <t>C06675</t>
  </si>
  <si>
    <t>Arjun Desai</t>
  </si>
  <si>
    <t>C06676</t>
  </si>
  <si>
    <t>Hemani Parmer</t>
  </si>
  <si>
    <t>C06677</t>
  </si>
  <si>
    <t>Isaac Raja</t>
  </si>
  <si>
    <t>C06678</t>
  </si>
  <si>
    <t>Karan Cherian</t>
  </si>
  <si>
    <t>C06679</t>
  </si>
  <si>
    <t>Indrajit Nagarajan</t>
  </si>
  <si>
    <t>C06680</t>
  </si>
  <si>
    <t>C06681</t>
  </si>
  <si>
    <t>Bhavika Wason</t>
  </si>
  <si>
    <t>C06682</t>
  </si>
  <si>
    <t>Aadhya Srinivas</t>
  </si>
  <si>
    <t>C06683</t>
  </si>
  <si>
    <t>Yoshita Sama</t>
  </si>
  <si>
    <t>C06684</t>
  </si>
  <si>
    <t>Tanish Sheth</t>
  </si>
  <si>
    <t>C06685</t>
  </si>
  <si>
    <t>Daniel Andra</t>
  </si>
  <si>
    <t>C06686</t>
  </si>
  <si>
    <t>Devika Shan</t>
  </si>
  <si>
    <t>C06687</t>
  </si>
  <si>
    <t>Arjun Vaidya</t>
  </si>
  <si>
    <t>C06688</t>
  </si>
  <si>
    <t>Raksha Chakrabarti</t>
  </si>
  <si>
    <t>C06689</t>
  </si>
  <si>
    <t>Bachittar Swaminathan</t>
  </si>
  <si>
    <t>C06690</t>
  </si>
  <si>
    <t>Kalpit Chada</t>
  </si>
  <si>
    <t>C06691</t>
  </si>
  <si>
    <t>Charita Bassi</t>
  </si>
  <si>
    <t>C06692</t>
  </si>
  <si>
    <t>Netra Wadhwa</t>
  </si>
  <si>
    <t>C06693</t>
  </si>
  <si>
    <t>Maya Datta</t>
  </si>
  <si>
    <t>C06694</t>
  </si>
  <si>
    <t>Eshana Karpe</t>
  </si>
  <si>
    <t>C06695</t>
  </si>
  <si>
    <t>Amruta Uppal</t>
  </si>
  <si>
    <t>C06696</t>
  </si>
  <si>
    <t>Anamika Sen</t>
  </si>
  <si>
    <t>C06697</t>
  </si>
  <si>
    <t>Yamini Dugar</t>
  </si>
  <si>
    <t>C06698</t>
  </si>
  <si>
    <t>Udarsh Wable</t>
  </si>
  <si>
    <t>C06699</t>
  </si>
  <si>
    <t>Eiravati Mahal</t>
  </si>
  <si>
    <t>C06700</t>
  </si>
  <si>
    <t>Rachit Divan</t>
  </si>
  <si>
    <t>C06701</t>
  </si>
  <si>
    <t>Om Bhatti</t>
  </si>
  <si>
    <t>C06702</t>
  </si>
  <si>
    <t>Ryan Swamy</t>
  </si>
  <si>
    <t>C06703</t>
  </si>
  <si>
    <t>Akshay Parmer</t>
  </si>
  <si>
    <t>C06704</t>
  </si>
  <si>
    <t>Aarav Joshi</t>
  </si>
  <si>
    <t>C06705</t>
  </si>
  <si>
    <t>Aarnav Bhat</t>
  </si>
  <si>
    <t>C06706</t>
  </si>
  <si>
    <t>Andrew Venkataraman</t>
  </si>
  <si>
    <t>C06707</t>
  </si>
  <si>
    <t>Yuvraj Manne</t>
  </si>
  <si>
    <t>C06708</t>
  </si>
  <si>
    <t>Sudiksha Khatri</t>
  </si>
  <si>
    <t>C06709</t>
  </si>
  <si>
    <t>Aayush Aggarwal</t>
  </si>
  <si>
    <t>C06710</t>
  </si>
  <si>
    <t>Jairaj Krishnan</t>
  </si>
  <si>
    <t>C06711</t>
  </si>
  <si>
    <t>Nidra Agate</t>
  </si>
  <si>
    <t>C06712</t>
  </si>
  <si>
    <t>George Rajagopalan</t>
  </si>
  <si>
    <t>C06713</t>
  </si>
  <si>
    <t>Wahab Dewan</t>
  </si>
  <si>
    <t>C06714</t>
  </si>
  <si>
    <t>Saksham Shan</t>
  </si>
  <si>
    <t>C06715</t>
  </si>
  <si>
    <t>Chaitanya Rama</t>
  </si>
  <si>
    <t>C06716</t>
  </si>
  <si>
    <t>Gayathri Mital</t>
  </si>
  <si>
    <t>C06717</t>
  </si>
  <si>
    <t>Pavani Srinivasan</t>
  </si>
  <si>
    <t>C06718</t>
  </si>
  <si>
    <t>Lipika Konda</t>
  </si>
  <si>
    <t>C06719</t>
  </si>
  <si>
    <t>Chandresh Bajaj</t>
  </si>
  <si>
    <t>C06720</t>
  </si>
  <si>
    <t>Theodore Krish</t>
  </si>
  <si>
    <t>C06721</t>
  </si>
  <si>
    <t>Jagat Chatterjee</t>
  </si>
  <si>
    <t>C06722</t>
  </si>
  <si>
    <t>Sanaya Butala</t>
  </si>
  <si>
    <t>C06723</t>
  </si>
  <si>
    <t>Frederick Nadkarni</t>
  </si>
  <si>
    <t>C06724</t>
  </si>
  <si>
    <t>Kala Lad</t>
  </si>
  <si>
    <t>C06725</t>
  </si>
  <si>
    <t>Yachana Dhaliwal</t>
  </si>
  <si>
    <t>C06726</t>
  </si>
  <si>
    <t>Mason Badami</t>
  </si>
  <si>
    <t>C06727</t>
  </si>
  <si>
    <t>Abha Arora</t>
  </si>
  <si>
    <t>C06728</t>
  </si>
  <si>
    <t>Janani Jani</t>
  </si>
  <si>
    <t>C06729</t>
  </si>
  <si>
    <t>William Mall</t>
  </si>
  <si>
    <t>C06730</t>
  </si>
  <si>
    <t>Nirja Balan</t>
  </si>
  <si>
    <t>C06731</t>
  </si>
  <si>
    <t>Ekanta Prashad</t>
  </si>
  <si>
    <t>C06732</t>
  </si>
  <si>
    <t>Bhanumati Mahajan</t>
  </si>
  <si>
    <t>C06733</t>
  </si>
  <si>
    <t>Rachana Sathe</t>
  </si>
  <si>
    <t>C06734</t>
  </si>
  <si>
    <t>Chatresh Chandran</t>
  </si>
  <si>
    <t>C06735</t>
  </si>
  <si>
    <t>Lakshit Loke</t>
  </si>
  <si>
    <t>C06736</t>
  </si>
  <si>
    <t>Liam Zacharia</t>
  </si>
  <si>
    <t>C06737</t>
  </si>
  <si>
    <t>Yashica Doshi</t>
  </si>
  <si>
    <t>C06738</t>
  </si>
  <si>
    <t>Tristan Varghese</t>
  </si>
  <si>
    <t>C06739</t>
  </si>
  <si>
    <t>Bhavya Agarwal</t>
  </si>
  <si>
    <t>C06740</t>
  </si>
  <si>
    <t>Mahika Dhaliwal</t>
  </si>
  <si>
    <t>C06741</t>
  </si>
  <si>
    <t>Hiral Tella</t>
  </si>
  <si>
    <t>C06742</t>
  </si>
  <si>
    <t>Watika Lala</t>
  </si>
  <si>
    <t>C06743</t>
  </si>
  <si>
    <t>Laban Sibal</t>
  </si>
  <si>
    <t>C06744</t>
  </si>
  <si>
    <t>Jagrati Hans</t>
  </si>
  <si>
    <t>C06745</t>
  </si>
  <si>
    <t>Devika Dutta</t>
  </si>
  <si>
    <t>C06746</t>
  </si>
  <si>
    <t>Hemangini Sha</t>
  </si>
  <si>
    <t>C06747</t>
  </si>
  <si>
    <t>Abhiram Menon</t>
  </si>
  <si>
    <t>C06748</t>
  </si>
  <si>
    <t>Nathaniel Chandra</t>
  </si>
  <si>
    <t>C06749</t>
  </si>
  <si>
    <t>Garima Chhabra</t>
  </si>
  <si>
    <t>C06750</t>
  </si>
  <si>
    <t>Omya Boase</t>
  </si>
  <si>
    <t>C06751</t>
  </si>
  <si>
    <t>Falak Pal</t>
  </si>
  <si>
    <t>C06752</t>
  </si>
  <si>
    <t>Bhavini Rao</t>
  </si>
  <si>
    <t>C06753</t>
  </si>
  <si>
    <t>Azad Bhat</t>
  </si>
  <si>
    <t>C06754</t>
  </si>
  <si>
    <t>Oscar Kanda</t>
  </si>
  <si>
    <t>C06755</t>
  </si>
  <si>
    <t>Aishani Sandhu</t>
  </si>
  <si>
    <t>C06756</t>
  </si>
  <si>
    <t>Arjun Bhagat</t>
  </si>
  <si>
    <t>C06757</t>
  </si>
  <si>
    <t>Joshua Kibe</t>
  </si>
  <si>
    <t>C06758</t>
  </si>
  <si>
    <t>Tara Chadha</t>
  </si>
  <si>
    <t>C06759</t>
  </si>
  <si>
    <t>Gaurav Gill</t>
  </si>
  <si>
    <t>C06760</t>
  </si>
  <si>
    <t>Joshua Sane</t>
  </si>
  <si>
    <t>C06761</t>
  </si>
  <si>
    <t>Indali Chakraborty</t>
  </si>
  <si>
    <t>C06762</t>
  </si>
  <si>
    <t>Ayushman Lalla</t>
  </si>
  <si>
    <t>C06763</t>
  </si>
  <si>
    <t>Advay Tank</t>
  </si>
  <si>
    <t>C06764</t>
  </si>
  <si>
    <t>Radhika Nair</t>
  </si>
  <si>
    <t>C06765</t>
  </si>
  <si>
    <t>Aarna Muni</t>
  </si>
  <si>
    <t>C06766</t>
  </si>
  <si>
    <t>Chakradhar Mody</t>
  </si>
  <si>
    <t>C06767</t>
  </si>
  <si>
    <t>Maanas Sarraf</t>
  </si>
  <si>
    <t>C06768</t>
  </si>
  <si>
    <t>Theodore Mital</t>
  </si>
  <si>
    <t>C06769</t>
  </si>
  <si>
    <t>Aryan Chhabra</t>
  </si>
  <si>
    <t>C06770</t>
  </si>
  <si>
    <t>Gaurangi Khalsa</t>
  </si>
  <si>
    <t>C06771</t>
  </si>
  <si>
    <t>Jasmit Tata</t>
  </si>
  <si>
    <t>C06772</t>
  </si>
  <si>
    <t>Dayamai Swamy</t>
  </si>
  <si>
    <t>C06773</t>
  </si>
  <si>
    <t>Aashi Keer</t>
  </si>
  <si>
    <t>C06774</t>
  </si>
  <si>
    <t>Oviya Chacko</t>
  </si>
  <si>
    <t>C06775</t>
  </si>
  <si>
    <t>Nimrat Warrior</t>
  </si>
  <si>
    <t>C06776</t>
  </si>
  <si>
    <t>Nihal Nadkarni</t>
  </si>
  <si>
    <t>C06777</t>
  </si>
  <si>
    <t>Jonathan Shanker</t>
  </si>
  <si>
    <t>C06778</t>
  </si>
  <si>
    <t>Meera Sethi</t>
  </si>
  <si>
    <t>C06779</t>
  </si>
  <si>
    <t>Yashodhara Ramanathan</t>
  </si>
  <si>
    <t>C06780</t>
  </si>
  <si>
    <t>Lila Panchal</t>
  </si>
  <si>
    <t>C06781</t>
  </si>
  <si>
    <t>Michael De</t>
  </si>
  <si>
    <t>C06782</t>
  </si>
  <si>
    <t>Faraj Sathe</t>
  </si>
  <si>
    <t>C06783</t>
  </si>
  <si>
    <t>Riya Uppal</t>
  </si>
  <si>
    <t>C06784</t>
  </si>
  <si>
    <t>Chaaya Solanki</t>
  </si>
  <si>
    <t>C06785</t>
  </si>
  <si>
    <t>Faris Dutta</t>
  </si>
  <si>
    <t>C06786</t>
  </si>
  <si>
    <t>Sarthak Pathak</t>
  </si>
  <si>
    <t>C06787</t>
  </si>
  <si>
    <t>Balhaar Sachar</t>
  </si>
  <si>
    <t>C06788</t>
  </si>
  <si>
    <t>Yashvi Mitter</t>
  </si>
  <si>
    <t>C06789</t>
  </si>
  <si>
    <t>Charvi Dhingra</t>
  </si>
  <si>
    <t>C06790</t>
  </si>
  <si>
    <t>Wahab Munshi</t>
  </si>
  <si>
    <t>C06791</t>
  </si>
  <si>
    <t>Shaurya Mohanty</t>
  </si>
  <si>
    <t>C06792</t>
  </si>
  <si>
    <t>Damyanti Saini</t>
  </si>
  <si>
    <t>C06793</t>
  </si>
  <si>
    <t>Michael Choudhry</t>
  </si>
  <si>
    <t>C06794</t>
  </si>
  <si>
    <t>Gabriel Nayar</t>
  </si>
  <si>
    <t>C06795</t>
  </si>
  <si>
    <t>Zayyan Parekh</t>
  </si>
  <si>
    <t>C06796</t>
  </si>
  <si>
    <t>Ishanvi Kunda</t>
  </si>
  <si>
    <t>C06797</t>
  </si>
  <si>
    <t>Anay Ratta</t>
  </si>
  <si>
    <t>C06798</t>
  </si>
  <si>
    <t>Barkha Chakrabarti</t>
  </si>
  <si>
    <t>C06799</t>
  </si>
  <si>
    <t>Harrison Tailor</t>
  </si>
  <si>
    <t>C06800</t>
  </si>
  <si>
    <t>Faris Wali</t>
  </si>
  <si>
    <t>C06801</t>
  </si>
  <si>
    <t>Ubika Krish</t>
  </si>
  <si>
    <t>C06802</t>
  </si>
  <si>
    <t>Pushti Kaur</t>
  </si>
  <si>
    <t>C06803</t>
  </si>
  <si>
    <t>Umang Nazareth</t>
  </si>
  <si>
    <t>C06804</t>
  </si>
  <si>
    <t>Xiti Thakkar</t>
  </si>
  <si>
    <t>C06805</t>
  </si>
  <si>
    <t>Dhruv Wable</t>
  </si>
  <si>
    <t>C06806</t>
  </si>
  <si>
    <t>Oni Yadav</t>
  </si>
  <si>
    <t>C06807</t>
  </si>
  <si>
    <t>Nidhi Ravel</t>
  </si>
  <si>
    <t>C06808</t>
  </si>
  <si>
    <t>Andrew Palan</t>
  </si>
  <si>
    <t>C06809</t>
  </si>
  <si>
    <t>Harrison Bassi</t>
  </si>
  <si>
    <t>C06810</t>
  </si>
  <si>
    <t>Gavin Dyal</t>
  </si>
  <si>
    <t>C06811</t>
  </si>
  <si>
    <t>Deepa Hayre</t>
  </si>
  <si>
    <t>C06812</t>
  </si>
  <si>
    <t>Fitan Grewal</t>
  </si>
  <si>
    <t>C06813</t>
  </si>
  <si>
    <t>Ayushman Dani</t>
  </si>
  <si>
    <t>C06814</t>
  </si>
  <si>
    <t>Charan Mukhopadhyay</t>
  </si>
  <si>
    <t>C06815</t>
  </si>
  <si>
    <t>Aayush Khatri</t>
  </si>
  <si>
    <t>C06816</t>
  </si>
  <si>
    <t>Lucky Chaudhry</t>
  </si>
  <si>
    <t>C06817</t>
  </si>
  <si>
    <t>Chatresh Bhardwaj</t>
  </si>
  <si>
    <t>C06818</t>
  </si>
  <si>
    <t>Nihal Bhatia</t>
  </si>
  <si>
    <t>C06819</t>
  </si>
  <si>
    <t>Henry Sekhon</t>
  </si>
  <si>
    <t>C06820</t>
  </si>
  <si>
    <t>Faris Chakraborty</t>
  </si>
  <si>
    <t>C06821</t>
  </si>
  <si>
    <t>Bachittar Arya</t>
  </si>
  <si>
    <t>C06822</t>
  </si>
  <si>
    <t>Chameli Soman</t>
  </si>
  <si>
    <t>C06823</t>
  </si>
  <si>
    <t>Wridesh Chhabra</t>
  </si>
  <si>
    <t>C06824</t>
  </si>
  <si>
    <t>Hardik Shukla</t>
  </si>
  <si>
    <t>C06825</t>
  </si>
  <si>
    <t>Chakradev Cheema</t>
  </si>
  <si>
    <t>C06826</t>
  </si>
  <si>
    <t>Nachiket Pant</t>
  </si>
  <si>
    <t>C06827</t>
  </si>
  <si>
    <t>Yashica Kuruvilla</t>
  </si>
  <si>
    <t>C06828</t>
  </si>
  <si>
    <t>Bhavani Shukla</t>
  </si>
  <si>
    <t>C06829</t>
  </si>
  <si>
    <t>Janya Andra</t>
  </si>
  <si>
    <t>C06830</t>
  </si>
  <si>
    <t>Faraj Jha</t>
  </si>
  <si>
    <t>C06831</t>
  </si>
  <si>
    <t>Harini Kapoor</t>
  </si>
  <si>
    <t>C06832</t>
  </si>
  <si>
    <t>Noah Dar</t>
  </si>
  <si>
    <t>C06833</t>
  </si>
  <si>
    <t>Urmi Ganesan</t>
  </si>
  <si>
    <t>C06834</t>
  </si>
  <si>
    <t>Aarush Sinha</t>
  </si>
  <si>
    <t>C06835</t>
  </si>
  <si>
    <t>Upadhriti Bhalla</t>
  </si>
  <si>
    <t>C06836</t>
  </si>
  <si>
    <t>Upadhriti Choudhury</t>
  </si>
  <si>
    <t>C06837</t>
  </si>
  <si>
    <t>Hitesh Sandhu</t>
  </si>
  <si>
    <t>C06838</t>
  </si>
  <si>
    <t>Yauvani Choudhry</t>
  </si>
  <si>
    <t>C06839</t>
  </si>
  <si>
    <t>Mohammed Dayal</t>
  </si>
  <si>
    <t>C06840</t>
  </si>
  <si>
    <t>Leena Krishnamurthy</t>
  </si>
  <si>
    <t>C06841</t>
  </si>
  <si>
    <t>Vritti Dara</t>
  </si>
  <si>
    <t>C06842</t>
  </si>
  <si>
    <t>Vedhika Nigam</t>
  </si>
  <si>
    <t>C06843</t>
  </si>
  <si>
    <t>Banjeet Sem</t>
  </si>
  <si>
    <t>C06844</t>
  </si>
  <si>
    <t>Hitesh Amble</t>
  </si>
  <si>
    <t>C06845</t>
  </si>
  <si>
    <t>Bhavini Aurora</t>
  </si>
  <si>
    <t>C06846</t>
  </si>
  <si>
    <t>Indira Shroff</t>
  </si>
  <si>
    <t>C06847</t>
  </si>
  <si>
    <t>Alexander Gara</t>
  </si>
  <si>
    <t>C06848</t>
  </si>
  <si>
    <t>Chaaya Hari</t>
  </si>
  <si>
    <t>C06849</t>
  </si>
  <si>
    <t>Tanay Rana</t>
  </si>
  <si>
    <t>C06850</t>
  </si>
  <si>
    <t>Nicholas Dara</t>
  </si>
  <si>
    <t>C06851</t>
  </si>
  <si>
    <t>Baljiwan Rajagopalan</t>
  </si>
  <si>
    <t>C06852</t>
  </si>
  <si>
    <t>Indira Shah</t>
  </si>
  <si>
    <t>C06853</t>
  </si>
  <si>
    <t>Mitali Sodhi</t>
  </si>
  <si>
    <t>C06854</t>
  </si>
  <si>
    <t>Lopa Savant</t>
  </si>
  <si>
    <t>C06855</t>
  </si>
  <si>
    <t>Dominic Sarkar</t>
  </si>
  <si>
    <t>C06856</t>
  </si>
  <si>
    <t>Yatan Patla</t>
  </si>
  <si>
    <t>C06857</t>
  </si>
  <si>
    <t>Gaurav Nagy</t>
  </si>
  <si>
    <t>C06858</t>
  </si>
  <si>
    <t>Jack Ray</t>
  </si>
  <si>
    <t>C06859</t>
  </si>
  <si>
    <t>Maanav Rama</t>
  </si>
  <si>
    <t>C06860</t>
  </si>
  <si>
    <t>Aayush Srinivasan</t>
  </si>
  <si>
    <t>C06861</t>
  </si>
  <si>
    <t>Teerth Hora</t>
  </si>
  <si>
    <t>C06862</t>
  </si>
  <si>
    <t>Chakradhar Virk</t>
  </si>
  <si>
    <t>C06863</t>
  </si>
  <si>
    <t>Naksh Manda</t>
  </si>
  <si>
    <t>C06864</t>
  </si>
  <si>
    <t>Isaiah Yohannan</t>
  </si>
  <si>
    <t>C06865</t>
  </si>
  <si>
    <t>Laksh Mani</t>
  </si>
  <si>
    <t>C06866</t>
  </si>
  <si>
    <t>Yahvi Bhatti</t>
  </si>
  <si>
    <t>C06867</t>
  </si>
  <si>
    <t>Arjun Anne</t>
  </si>
  <si>
    <t>C06868</t>
  </si>
  <si>
    <t>Hredhaan Sandal</t>
  </si>
  <si>
    <t>C06869</t>
  </si>
  <si>
    <t>Alexander Mutti</t>
  </si>
  <si>
    <t>C06870</t>
  </si>
  <si>
    <t>Chakradhar Din</t>
  </si>
  <si>
    <t>C06871</t>
  </si>
  <si>
    <t>Jyoti Bobal</t>
  </si>
  <si>
    <t>C06872</t>
  </si>
  <si>
    <t>Vamakshi Patla</t>
  </si>
  <si>
    <t>C06873</t>
  </si>
  <si>
    <t>Bina Raval</t>
  </si>
  <si>
    <t>C06874</t>
  </si>
  <si>
    <t>Vihaan Narayan</t>
  </si>
  <si>
    <t>C06875</t>
  </si>
  <si>
    <t>Dayita Chana</t>
  </si>
  <si>
    <t>C06876</t>
  </si>
  <si>
    <t>Aarush Nanda</t>
  </si>
  <si>
    <t>C06877</t>
  </si>
  <si>
    <t>Jagat Majumdar</t>
  </si>
  <si>
    <t>C06878</t>
  </si>
  <si>
    <t>Osha Lad</t>
  </si>
  <si>
    <t>C06879</t>
  </si>
  <si>
    <t>Vritti Tiwari</t>
  </si>
  <si>
    <t>C06880</t>
  </si>
  <si>
    <t>Jason Nagarajan</t>
  </si>
  <si>
    <t>C06881</t>
  </si>
  <si>
    <t>Yatin Nazareth</t>
  </si>
  <si>
    <t>C06882</t>
  </si>
  <si>
    <t>Indrajit Devan</t>
  </si>
  <si>
    <t>C06883</t>
  </si>
  <si>
    <t>Saumya Tailor</t>
  </si>
  <si>
    <t>C06884</t>
  </si>
  <si>
    <t>Guneet Desai</t>
  </si>
  <si>
    <t>C06885</t>
  </si>
  <si>
    <t>Kashish Tank</t>
  </si>
  <si>
    <t>C06886</t>
  </si>
  <si>
    <t>Harita Pathak</t>
  </si>
  <si>
    <t>C06887</t>
  </si>
  <si>
    <t>Mohammed Puri</t>
  </si>
  <si>
    <t>C06888</t>
  </si>
  <si>
    <t>Triya Dyal</t>
  </si>
  <si>
    <t>C06889</t>
  </si>
  <si>
    <t>Leela Bahl</t>
  </si>
  <si>
    <t>C06890</t>
  </si>
  <si>
    <t>Chakrika Master</t>
  </si>
  <si>
    <t>C06891</t>
  </si>
  <si>
    <t>Kala Mammen</t>
  </si>
  <si>
    <t>C06892</t>
  </si>
  <si>
    <t>Turvi Sidhu</t>
  </si>
  <si>
    <t>C06893</t>
  </si>
  <si>
    <t>Balhaar Parmar</t>
  </si>
  <si>
    <t>C06894</t>
  </si>
  <si>
    <t>Riya Chaudry</t>
  </si>
  <si>
    <t>C06895</t>
  </si>
  <si>
    <t>Triveni Jani</t>
  </si>
  <si>
    <t>C06896</t>
  </si>
  <si>
    <t>Xiti Sheth</t>
  </si>
  <si>
    <t>C06897</t>
  </si>
  <si>
    <t>Janaki Rajagopalan</t>
  </si>
  <si>
    <t>C06898</t>
  </si>
  <si>
    <t>Vasana Wali</t>
  </si>
  <si>
    <t>C06899</t>
  </si>
  <si>
    <t>Vasana Bhat</t>
  </si>
  <si>
    <t>C06900</t>
  </si>
  <si>
    <t>Guneet Sur</t>
  </si>
  <si>
    <t>C06901</t>
  </si>
  <si>
    <t>Damyanti Kari</t>
  </si>
  <si>
    <t>C06902</t>
  </si>
  <si>
    <t>Quincy Sathe</t>
  </si>
  <si>
    <t>C06903</t>
  </si>
  <si>
    <t>Elijah Mitra</t>
  </si>
  <si>
    <t>C06904</t>
  </si>
  <si>
    <t>Tripti Golla</t>
  </si>
  <si>
    <t>C06905</t>
  </si>
  <si>
    <t>Chandresh Edwin</t>
  </si>
  <si>
    <t>C06906</t>
  </si>
  <si>
    <t>Gaurangi Lad</t>
  </si>
  <si>
    <t>C06907</t>
  </si>
  <si>
    <t>Neha Divan</t>
  </si>
  <si>
    <t>C06908</t>
  </si>
  <si>
    <t>Quincy Varty</t>
  </si>
  <si>
    <t>C06909</t>
  </si>
  <si>
    <t>Chakradev Sen</t>
  </si>
  <si>
    <t>C06910</t>
  </si>
  <si>
    <t>Priya Krishna</t>
  </si>
  <si>
    <t>C06911</t>
  </si>
  <si>
    <t>Advaith Sehgal</t>
  </si>
  <si>
    <t>C06912</t>
  </si>
  <si>
    <t>Samuel Dhawan</t>
  </si>
  <si>
    <t>C06913</t>
  </si>
  <si>
    <t>Ekansh Jhaveri</t>
  </si>
  <si>
    <t>C06914</t>
  </si>
  <si>
    <t>Sathvik Rattan</t>
  </si>
  <si>
    <t>C06915</t>
  </si>
  <si>
    <t>Omisha Devi</t>
  </si>
  <si>
    <t>C06916</t>
  </si>
  <si>
    <t>Jeremiah Kamdar</t>
  </si>
  <si>
    <t>C06917</t>
  </si>
  <si>
    <t>C06918</t>
  </si>
  <si>
    <t>Niharika Balan</t>
  </si>
  <si>
    <t>C06919</t>
  </si>
  <si>
    <t>Zansi Virk</t>
  </si>
  <si>
    <t>C06920</t>
  </si>
  <si>
    <t>Vivaan Goda</t>
  </si>
  <si>
    <t>C06921</t>
  </si>
  <si>
    <t>Gaurika Prabhakar</t>
  </si>
  <si>
    <t>C06922</t>
  </si>
  <si>
    <t>Aashi Ahuja</t>
  </si>
  <si>
    <t>C06923</t>
  </si>
  <si>
    <t>Atharv Vohra</t>
  </si>
  <si>
    <t>C06924</t>
  </si>
  <si>
    <t>Urvi Iyengar</t>
  </si>
  <si>
    <t>C06925</t>
  </si>
  <si>
    <t>Fiyaz Narang</t>
  </si>
  <si>
    <t>C06926</t>
  </si>
  <si>
    <t>Pushti Kurian</t>
  </si>
  <si>
    <t>C06927</t>
  </si>
  <si>
    <t>Dipta Handa</t>
  </si>
  <si>
    <t>C06928</t>
  </si>
  <si>
    <t>Nisha Seshadri</t>
  </si>
  <si>
    <t>C06929</t>
  </si>
  <si>
    <t>Urvi Tella</t>
  </si>
  <si>
    <t>C06930</t>
  </si>
  <si>
    <t>Xalak Nori</t>
  </si>
  <si>
    <t>C06931</t>
  </si>
  <si>
    <t>Aachal Dutt</t>
  </si>
  <si>
    <t>C06932</t>
  </si>
  <si>
    <t>Faraj Bala</t>
  </si>
  <si>
    <t>C06933</t>
  </si>
  <si>
    <t>Aashi Din</t>
  </si>
  <si>
    <t>C06934</t>
  </si>
  <si>
    <t>Vansha Kade</t>
  </si>
  <si>
    <t>C06935</t>
  </si>
  <si>
    <t>Kalpit Shah</t>
  </si>
  <si>
    <t>C06936</t>
  </si>
  <si>
    <t>Pranit Bhasin</t>
  </si>
  <si>
    <t>C06937</t>
  </si>
  <si>
    <t>Parth Din</t>
  </si>
  <si>
    <t>C06938</t>
  </si>
  <si>
    <t>Harshil Cherian</t>
  </si>
  <si>
    <t>C06939</t>
  </si>
  <si>
    <t>Ucchal Prabhakar</t>
  </si>
  <si>
    <t>C06940</t>
  </si>
  <si>
    <t>Pooja Dara</t>
  </si>
  <si>
    <t>C06941</t>
  </si>
  <si>
    <t>Hredhaan Sampath</t>
  </si>
  <si>
    <t>C06942</t>
  </si>
  <si>
    <t>Dakshesh Menon</t>
  </si>
  <si>
    <t>C06943</t>
  </si>
  <si>
    <t>Kamya Comar</t>
  </si>
  <si>
    <t>C06944</t>
  </si>
  <si>
    <t>Amrita Raval</t>
  </si>
  <si>
    <t>C06945</t>
  </si>
  <si>
    <t>Bachittar Prasad</t>
  </si>
  <si>
    <t>C06946</t>
  </si>
  <si>
    <t>Hemang Sandal</t>
  </si>
  <si>
    <t>C06947</t>
  </si>
  <si>
    <t>Sarthak Gola</t>
  </si>
  <si>
    <t>C06948</t>
  </si>
  <si>
    <t>Ayushman Gole</t>
  </si>
  <si>
    <t>C06949</t>
  </si>
  <si>
    <t>Akshay Chandran</t>
  </si>
  <si>
    <t>C06950</t>
  </si>
  <si>
    <t>Qarin Rao</t>
  </si>
  <si>
    <t>C06951</t>
  </si>
  <si>
    <t>Warhi Brahmbhatt</t>
  </si>
  <si>
    <t>C06952</t>
  </si>
  <si>
    <t>Pahal Bakshi</t>
  </si>
  <si>
    <t>C06953</t>
  </si>
  <si>
    <t>Shravya Shetty</t>
  </si>
  <si>
    <t>C06954</t>
  </si>
  <si>
    <t>Tarak Buch</t>
  </si>
  <si>
    <t>C06955</t>
  </si>
  <si>
    <t>Rishi Sehgal</t>
  </si>
  <si>
    <t>C06956</t>
  </si>
  <si>
    <t>Hema Apte</t>
  </si>
  <si>
    <t>C06957</t>
  </si>
  <si>
    <t>Bishakha Issac</t>
  </si>
  <si>
    <t>C06958</t>
  </si>
  <si>
    <t>C06959</t>
  </si>
  <si>
    <t>Qadim Kulkarni</t>
  </si>
  <si>
    <t>C06960</t>
  </si>
  <si>
    <t>Krisha Kapur</t>
  </si>
  <si>
    <t>C06961</t>
  </si>
  <si>
    <t>Ridhi Dutta</t>
  </si>
  <si>
    <t>C06962</t>
  </si>
  <si>
    <t>Sachi Sant</t>
  </si>
  <si>
    <t>C06963</t>
  </si>
  <si>
    <t>Abdul Zacharia</t>
  </si>
  <si>
    <t>C06964</t>
  </si>
  <si>
    <t>Bachittar Rao</t>
  </si>
  <si>
    <t>C06965</t>
  </si>
  <si>
    <t>Abha Bhat</t>
  </si>
  <si>
    <t>C06966</t>
  </si>
  <si>
    <t>Inaya Nair</t>
  </si>
  <si>
    <t>C06967</t>
  </si>
  <si>
    <t>Theodore Kar</t>
  </si>
  <si>
    <t>C06968</t>
  </si>
  <si>
    <t>Turvi Dugar</t>
  </si>
  <si>
    <t>C06969</t>
  </si>
  <si>
    <t>Pranit Zachariah</t>
  </si>
  <si>
    <t>C06970</t>
  </si>
  <si>
    <t>Nathaniel Dalal</t>
  </si>
  <si>
    <t>C06971</t>
  </si>
  <si>
    <t>Tristan Pall</t>
  </si>
  <si>
    <t>C06972</t>
  </si>
  <si>
    <t>Chanchal Sanghvi</t>
  </si>
  <si>
    <t>C06973</t>
  </si>
  <si>
    <t>C06974</t>
  </si>
  <si>
    <t>Sneha Rana</t>
  </si>
  <si>
    <t>C06975</t>
  </si>
  <si>
    <t>Onveer Setty</t>
  </si>
  <si>
    <t>C06976</t>
  </si>
  <si>
    <t>Daksha Parekh</t>
  </si>
  <si>
    <t>C06977</t>
  </si>
  <si>
    <t>C06978</t>
  </si>
  <si>
    <t>Arin Sethi</t>
  </si>
  <si>
    <t>C06979</t>
  </si>
  <si>
    <t>Yashasvi Saran</t>
  </si>
  <si>
    <t>C06980</t>
  </si>
  <si>
    <t>Aarnav Sahota</t>
  </si>
  <si>
    <t>C06981</t>
  </si>
  <si>
    <t>Januja Sachar</t>
  </si>
  <si>
    <t>C06982</t>
  </si>
  <si>
    <t>Omkaar Basu</t>
  </si>
  <si>
    <t>C06983</t>
  </si>
  <si>
    <t>Harshil Garg</t>
  </si>
  <si>
    <t>C06984</t>
  </si>
  <si>
    <t>Noah Grewal</t>
  </si>
  <si>
    <t>C06985</t>
  </si>
  <si>
    <t>Kamya Mistry</t>
  </si>
  <si>
    <t>C06986</t>
  </si>
  <si>
    <t>Bachittar Mammen</t>
  </si>
  <si>
    <t>C06987</t>
  </si>
  <si>
    <t>Bakhshi Kar</t>
  </si>
  <si>
    <t>C06988</t>
  </si>
  <si>
    <t>Naksh Pall</t>
  </si>
  <si>
    <t>C06989</t>
  </si>
  <si>
    <t>Yug Jhaveri</t>
  </si>
  <si>
    <t>C06990</t>
  </si>
  <si>
    <t>Abeer Ganesh</t>
  </si>
  <si>
    <t>C06991</t>
  </si>
  <si>
    <t>Ishita Bhavsar</t>
  </si>
  <si>
    <t>C06992</t>
  </si>
  <si>
    <t>Mitesh Prasad</t>
  </si>
  <si>
    <t>C06993</t>
  </si>
  <si>
    <t>Hemangini Bhargava</t>
  </si>
  <si>
    <t>C06994</t>
  </si>
  <si>
    <t>Upkaar Nazareth</t>
  </si>
  <si>
    <t>C06995</t>
  </si>
  <si>
    <t>Falguni Bandi</t>
  </si>
  <si>
    <t>C06996</t>
  </si>
  <si>
    <t>Nidhi Thaman</t>
  </si>
  <si>
    <t>C06997</t>
  </si>
  <si>
    <t>Sathvik Hari</t>
  </si>
  <si>
    <t>C06998</t>
  </si>
  <si>
    <t>Reyansh Gaba</t>
  </si>
  <si>
    <t>C06999</t>
  </si>
  <si>
    <t>Yatin Ramesh</t>
  </si>
  <si>
    <t>C07000</t>
  </si>
  <si>
    <t>Pooja Deo</t>
  </si>
  <si>
    <t>C07001</t>
  </si>
  <si>
    <t>Avi Palan</t>
  </si>
  <si>
    <t>C07002</t>
  </si>
  <si>
    <t>Jason Date</t>
  </si>
  <si>
    <t>C07003</t>
  </si>
  <si>
    <t>Anamika Chana</t>
  </si>
  <si>
    <t>C07004</t>
  </si>
  <si>
    <t>Dakshesh Sawhney</t>
  </si>
  <si>
    <t>C07005</t>
  </si>
  <si>
    <t>Maya Munshi</t>
  </si>
  <si>
    <t>C07006</t>
  </si>
  <si>
    <t>Daksh Dalal</t>
  </si>
  <si>
    <t>C07007</t>
  </si>
  <si>
    <t>Xavier Taneja</t>
  </si>
  <si>
    <t>C07008</t>
  </si>
  <si>
    <t>Rudra Borra</t>
  </si>
  <si>
    <t>C07009</t>
  </si>
  <si>
    <t>Tripti More</t>
  </si>
  <si>
    <t>C07010</t>
  </si>
  <si>
    <t>Arunima Dutta</t>
  </si>
  <si>
    <t>C07011</t>
  </si>
  <si>
    <t>Alexander Rajagopalan</t>
  </si>
  <si>
    <t>C07012</t>
  </si>
  <si>
    <t>Amrita Chander</t>
  </si>
  <si>
    <t>C07013</t>
  </si>
  <si>
    <t>Sara Oommen</t>
  </si>
  <si>
    <t>C07014</t>
  </si>
  <si>
    <t>Kevin Golla</t>
  </si>
  <si>
    <t>C07015</t>
  </si>
  <si>
    <t>Sanya Borra</t>
  </si>
  <si>
    <t>C07016</t>
  </si>
  <si>
    <t>Harish Subramaniam</t>
  </si>
  <si>
    <t>C07017</t>
  </si>
  <si>
    <t>Vincent Rattan</t>
  </si>
  <si>
    <t>C07018</t>
  </si>
  <si>
    <t>Pallavi Mahal</t>
  </si>
  <si>
    <t>C07019</t>
  </si>
  <si>
    <t>Eiravati Dora</t>
  </si>
  <si>
    <t>C07020</t>
  </si>
  <si>
    <t>Zayan Rajagopal</t>
  </si>
  <si>
    <t>C07021</t>
  </si>
  <si>
    <t>Lucky Bal</t>
  </si>
  <si>
    <t>C07022</t>
  </si>
  <si>
    <t>C07023</t>
  </si>
  <si>
    <t>Avi Agrawal</t>
  </si>
  <si>
    <t>C07024</t>
  </si>
  <si>
    <t>Amruta Murty</t>
  </si>
  <si>
    <t>C07025</t>
  </si>
  <si>
    <t>Anamika Bhat</t>
  </si>
  <si>
    <t>C07026</t>
  </si>
  <si>
    <t>Ojas Cherian</t>
  </si>
  <si>
    <t>C07027</t>
  </si>
  <si>
    <t>Irya Karpe</t>
  </si>
  <si>
    <t>C07028</t>
  </si>
  <si>
    <t>Isha Anne</t>
  </si>
  <si>
    <t>C07029</t>
  </si>
  <si>
    <t>Girindra Madan</t>
  </si>
  <si>
    <t>C07030</t>
  </si>
  <si>
    <t>Liam Chaudhry</t>
  </si>
  <si>
    <t>C07031</t>
  </si>
  <si>
    <t>Chandani Khanna</t>
  </si>
  <si>
    <t>C07032</t>
  </si>
  <si>
    <t>Zansi Sathe</t>
  </si>
  <si>
    <t>C07033</t>
  </si>
  <si>
    <t>Triya Dey</t>
  </si>
  <si>
    <t>C07034</t>
  </si>
  <si>
    <t>Unnati Date</t>
  </si>
  <si>
    <t>C07035</t>
  </si>
  <si>
    <t>Zayan Deep</t>
  </si>
  <si>
    <t>C07036</t>
  </si>
  <si>
    <t>Girik Thaker</t>
  </si>
  <si>
    <t>C07037</t>
  </si>
  <si>
    <t>Aachal Nagy</t>
  </si>
  <si>
    <t>C07038</t>
  </si>
  <si>
    <t>Pranit Amble</t>
  </si>
  <si>
    <t>C07039</t>
  </si>
  <si>
    <t>Vasudha Tailor</t>
  </si>
  <si>
    <t>C07040</t>
  </si>
  <si>
    <t>Raagini Tailor</t>
  </si>
  <si>
    <t>C07041</t>
  </si>
  <si>
    <t>Rushil Joshi</t>
  </si>
  <si>
    <t>C07042</t>
  </si>
  <si>
    <t>C07043</t>
  </si>
  <si>
    <t>Girish Parmar</t>
  </si>
  <si>
    <t>C07044</t>
  </si>
  <si>
    <t>Noah Oak</t>
  </si>
  <si>
    <t>C07045</t>
  </si>
  <si>
    <t>Bimala Sant</t>
  </si>
  <si>
    <t>C07046</t>
  </si>
  <si>
    <t>Dakshesh Venkatesh</t>
  </si>
  <si>
    <t>C07047</t>
  </si>
  <si>
    <t>Yahvi Parmer</t>
  </si>
  <si>
    <t>C07048</t>
  </si>
  <si>
    <t>Onveer Nagi</t>
  </si>
  <si>
    <t>C07049</t>
  </si>
  <si>
    <t>Vanya Deshmukh</t>
  </si>
  <si>
    <t>C07050</t>
  </si>
  <si>
    <t>Orinder Badami</t>
  </si>
  <si>
    <t>C07051</t>
  </si>
  <si>
    <t>Mitali Subramaniam</t>
  </si>
  <si>
    <t>C07052</t>
  </si>
  <si>
    <t>Om Patil</t>
  </si>
  <si>
    <t>C07053</t>
  </si>
  <si>
    <t>Tarak Nagar</t>
  </si>
  <si>
    <t>C07054</t>
  </si>
  <si>
    <t>Faris Ramanathan</t>
  </si>
  <si>
    <t>C07055</t>
  </si>
  <si>
    <t>Nathan Gera</t>
  </si>
  <si>
    <t>C07056</t>
  </si>
  <si>
    <t>Inaya Anand</t>
  </si>
  <si>
    <t>C07057</t>
  </si>
  <si>
    <t>Qadim Pandit</t>
  </si>
  <si>
    <t>C07058</t>
  </si>
  <si>
    <t>Om Mital</t>
  </si>
  <si>
    <t>C07059</t>
  </si>
  <si>
    <t>Orinder Sabharwal</t>
  </si>
  <si>
    <t>C07060</t>
  </si>
  <si>
    <t>Zayan Gole</t>
  </si>
  <si>
    <t>C07061</t>
  </si>
  <si>
    <t>Gautam Gara</t>
  </si>
  <si>
    <t>C07062</t>
  </si>
  <si>
    <t>Yatan Mahal</t>
  </si>
  <si>
    <t>C07063</t>
  </si>
  <si>
    <t>Bhavna Gill</t>
  </si>
  <si>
    <t>C07064</t>
  </si>
  <si>
    <t>Agastya Sahni</t>
  </si>
  <si>
    <t>C07065</t>
  </si>
  <si>
    <t>Onkar Sawhney</t>
  </si>
  <si>
    <t>C07066</t>
  </si>
  <si>
    <t>Krish Rout</t>
  </si>
  <si>
    <t>C07067</t>
  </si>
  <si>
    <t>Aadi Lala</t>
  </si>
  <si>
    <t>C07068</t>
  </si>
  <si>
    <t>Charles Patel</t>
  </si>
  <si>
    <t>C07069</t>
  </si>
  <si>
    <t>Rishi Goyal</t>
  </si>
  <si>
    <t>C07070</t>
  </si>
  <si>
    <t>Vansha Mane</t>
  </si>
  <si>
    <t>C07071</t>
  </si>
  <si>
    <t>Anirudh Kata</t>
  </si>
  <si>
    <t>C07072</t>
  </si>
  <si>
    <t>Chandresh Chad</t>
  </si>
  <si>
    <t>C07073</t>
  </si>
  <si>
    <t>Yatan Prabhakar</t>
  </si>
  <si>
    <t>C07074</t>
  </si>
  <si>
    <t>Peter Desai</t>
  </si>
  <si>
    <t>C07075</t>
  </si>
  <si>
    <t>C07076</t>
  </si>
  <si>
    <t>Gabriel Kapadia</t>
  </si>
  <si>
    <t>C07077</t>
  </si>
  <si>
    <t>Abdul Batra</t>
  </si>
  <si>
    <t>C07078</t>
  </si>
  <si>
    <t>Ansh Wadhwa</t>
  </si>
  <si>
    <t>C07079</t>
  </si>
  <si>
    <t>Triya Sunder</t>
  </si>
  <si>
    <t>C07080</t>
  </si>
  <si>
    <t>Ekani Ratta</t>
  </si>
  <si>
    <t>C07081</t>
  </si>
  <si>
    <t>Mugdha Choudhry</t>
  </si>
  <si>
    <t>C07082</t>
  </si>
  <si>
    <t>Christopher Som</t>
  </si>
  <si>
    <t>C07083</t>
  </si>
  <si>
    <t>Kai Raman</t>
  </si>
  <si>
    <t>C07084</t>
  </si>
  <si>
    <t>Tejas Vora</t>
  </si>
  <si>
    <t>C07085</t>
  </si>
  <si>
    <t>Advaith Aurora</t>
  </si>
  <si>
    <t>C07086</t>
  </si>
  <si>
    <t>Vedant Sheth</t>
  </si>
  <si>
    <t>C07087</t>
  </si>
  <si>
    <t>Ryan Madan</t>
  </si>
  <si>
    <t>C07088</t>
  </si>
  <si>
    <t>Gautam Saxena</t>
  </si>
  <si>
    <t>C07089</t>
  </si>
  <si>
    <t>Manan Kapoor</t>
  </si>
  <si>
    <t>C07090</t>
  </si>
  <si>
    <t>Samesh Hora</t>
  </si>
  <si>
    <t>C07091</t>
  </si>
  <si>
    <t>Ishwar Arora</t>
  </si>
  <si>
    <t>C07092</t>
  </si>
  <si>
    <t>Barkha Chander</t>
  </si>
  <si>
    <t>C07093</t>
  </si>
  <si>
    <t>C07094</t>
  </si>
  <si>
    <t>Hardik Ramachandran</t>
  </si>
  <si>
    <t>C07095</t>
  </si>
  <si>
    <t>Anya Mani</t>
  </si>
  <si>
    <t>C07096</t>
  </si>
  <si>
    <t>Ronith Sharaf</t>
  </si>
  <si>
    <t>C07097</t>
  </si>
  <si>
    <t>Ucchal Singhal</t>
  </si>
  <si>
    <t>C07098</t>
  </si>
  <si>
    <t>Janaki Sood</t>
  </si>
  <si>
    <t>C07099</t>
  </si>
  <si>
    <t>Azad Sami</t>
  </si>
  <si>
    <t>C07100</t>
  </si>
  <si>
    <t>Zayan Master</t>
  </si>
  <si>
    <t>C07101</t>
  </si>
  <si>
    <t>Chakradev Mall</t>
  </si>
  <si>
    <t>C07102</t>
  </si>
  <si>
    <t>Ekaraj Solanki</t>
  </si>
  <si>
    <t>C07103</t>
  </si>
  <si>
    <t>Harini Chaudhry</t>
  </si>
  <si>
    <t>C07104</t>
  </si>
  <si>
    <t>Anmol Chadha</t>
  </si>
  <si>
    <t>C07105</t>
  </si>
  <si>
    <t>Ranbir Gera</t>
  </si>
  <si>
    <t>C07106</t>
  </si>
  <si>
    <t>Qadim Barman</t>
  </si>
  <si>
    <t>C07107</t>
  </si>
  <si>
    <t>Bhavini Kanda</t>
  </si>
  <si>
    <t>C07108</t>
  </si>
  <si>
    <t>Darika Loke</t>
  </si>
  <si>
    <t>C07109</t>
  </si>
  <si>
    <t>Faras Taneja</t>
  </si>
  <si>
    <t>C07110</t>
  </si>
  <si>
    <t>Theodore Luthra</t>
  </si>
  <si>
    <t>C07111</t>
  </si>
  <si>
    <t>Priya Nayak</t>
  </si>
  <si>
    <t>C07112</t>
  </si>
  <si>
    <t>C07113</t>
  </si>
  <si>
    <t>Saumya Apte</t>
  </si>
  <si>
    <t>C07114</t>
  </si>
  <si>
    <t>Jagrati Memon</t>
  </si>
  <si>
    <t>C07115</t>
  </si>
  <si>
    <t>Umang Radhakrishnan</t>
  </si>
  <si>
    <t>C07116</t>
  </si>
  <si>
    <t>Omya Barman</t>
  </si>
  <si>
    <t>C07117</t>
  </si>
  <si>
    <t>Unni Ghose</t>
  </si>
  <si>
    <t>C07118</t>
  </si>
  <si>
    <t>Zaitra Saraf</t>
  </si>
  <si>
    <t>C07119</t>
  </si>
  <si>
    <t>Dev Arora</t>
  </si>
  <si>
    <t>C07120</t>
  </si>
  <si>
    <t>Harinakshi Karan</t>
  </si>
  <si>
    <t>C07121</t>
  </si>
  <si>
    <t>Dhriti Subramaniam</t>
  </si>
  <si>
    <t>C07122</t>
  </si>
  <si>
    <t>Owen Chand</t>
  </si>
  <si>
    <t>C07123</t>
  </si>
  <si>
    <t>Arya Keer</t>
  </si>
  <si>
    <t>C07124</t>
  </si>
  <si>
    <t>Amol Bali</t>
  </si>
  <si>
    <t>C07125</t>
  </si>
  <si>
    <t>Vansha Walla</t>
  </si>
  <si>
    <t>C07126</t>
  </si>
  <si>
    <t>Adweta Sane</t>
  </si>
  <si>
    <t>C07127</t>
  </si>
  <si>
    <t>Dalaja Suresh</t>
  </si>
  <si>
    <t>C07128</t>
  </si>
  <si>
    <t>Girindra Memon</t>
  </si>
  <si>
    <t>C07129</t>
  </si>
  <si>
    <t>Tamanna Tiwari</t>
  </si>
  <si>
    <t>C07130</t>
  </si>
  <si>
    <t>Anya Kala</t>
  </si>
  <si>
    <t>C07131</t>
  </si>
  <si>
    <t>Charan Randhawa</t>
  </si>
  <si>
    <t>C07132</t>
  </si>
  <si>
    <t>Fitan Seth</t>
  </si>
  <si>
    <t>C07133</t>
  </si>
  <si>
    <t>Ojasvi Kunda</t>
  </si>
  <si>
    <t>C07134</t>
  </si>
  <si>
    <t>Unni Deep</t>
  </si>
  <si>
    <t>C07135</t>
  </si>
  <si>
    <t>Vivaan Raval</t>
  </si>
  <si>
    <t>C07136</t>
  </si>
  <si>
    <t>Jhalak Mishra</t>
  </si>
  <si>
    <t>C07137</t>
  </si>
  <si>
    <t>Zilmil Pradhan</t>
  </si>
  <si>
    <t>C07138</t>
  </si>
  <si>
    <t>Darpan Dixit</t>
  </si>
  <si>
    <t>C07139</t>
  </si>
  <si>
    <t>Vaishnavi Ganesan</t>
  </si>
  <si>
    <t>C07140</t>
  </si>
  <si>
    <t>Advay Varughese</t>
  </si>
  <si>
    <t>C07141</t>
  </si>
  <si>
    <t>Gaurika Baria</t>
  </si>
  <si>
    <t>C07142</t>
  </si>
  <si>
    <t>Lekha Bahri</t>
  </si>
  <si>
    <t>C07143</t>
  </si>
  <si>
    <t>Warinder Patla</t>
  </si>
  <si>
    <t>C07144</t>
  </si>
  <si>
    <t>Priya Bandi</t>
  </si>
  <si>
    <t>C07145</t>
  </si>
  <si>
    <t>Balhaar Kari</t>
  </si>
  <si>
    <t>C07146</t>
  </si>
  <si>
    <t>Sachi Loke</t>
  </si>
  <si>
    <t>C07147</t>
  </si>
  <si>
    <t>Yashodhara Korpal</t>
  </si>
  <si>
    <t>C07148</t>
  </si>
  <si>
    <t>Avi Randhawa</t>
  </si>
  <si>
    <t>C07149</t>
  </si>
  <si>
    <t>Ria Kakar</t>
  </si>
  <si>
    <t>C07150</t>
  </si>
  <si>
    <t>Nidhi Sinha</t>
  </si>
  <si>
    <t>C07151</t>
  </si>
  <si>
    <t>Krishna Goswami</t>
  </si>
  <si>
    <t>C07152</t>
  </si>
  <si>
    <t>Osha Roy</t>
  </si>
  <si>
    <t>C07153</t>
  </si>
  <si>
    <t>Avni Bumb</t>
  </si>
  <si>
    <t>C07154</t>
  </si>
  <si>
    <t>Yauvani Seth</t>
  </si>
  <si>
    <t>C07155</t>
  </si>
  <si>
    <t>Falguni Kamdar</t>
  </si>
  <si>
    <t>C07156</t>
  </si>
  <si>
    <t>Chakradhar Ram</t>
  </si>
  <si>
    <t>C07157</t>
  </si>
  <si>
    <t>Samesh Sachdeva</t>
  </si>
  <si>
    <t>C07158</t>
  </si>
  <si>
    <t>Daksha Gara</t>
  </si>
  <si>
    <t>C07159</t>
  </si>
  <si>
    <t>Mugdha Bajwa</t>
  </si>
  <si>
    <t>C07160</t>
  </si>
  <si>
    <t>Ekantika Bains</t>
  </si>
  <si>
    <t>C07161</t>
  </si>
  <si>
    <t>Lakshit Dewan</t>
  </si>
  <si>
    <t>C07162</t>
  </si>
  <si>
    <t>Tamanna Bhargava</t>
  </si>
  <si>
    <t>C07163</t>
  </si>
  <si>
    <t>Pahal Brahmbhatt</t>
  </si>
  <si>
    <t>C07164</t>
  </si>
  <si>
    <t>Saanvi Balan</t>
  </si>
  <si>
    <t>C07165</t>
  </si>
  <si>
    <t>Mahika Jha</t>
  </si>
  <si>
    <t>C07166</t>
  </si>
  <si>
    <t>Darsh Boase</t>
  </si>
  <si>
    <t>C07167</t>
  </si>
  <si>
    <t>Nicholas Aurora</t>
  </si>
  <si>
    <t>C07168</t>
  </si>
  <si>
    <t>Rehaan Goel</t>
  </si>
  <si>
    <t>C07169</t>
  </si>
  <si>
    <t>Nathaniel Swaminathan</t>
  </si>
  <si>
    <t>C07170</t>
  </si>
  <si>
    <t>Mitesh Sahota</t>
  </si>
  <si>
    <t>C07171</t>
  </si>
  <si>
    <t>Samar Kaul</t>
  </si>
  <si>
    <t>C07172</t>
  </si>
  <si>
    <t>Gautam Shankar</t>
  </si>
  <si>
    <t>C07173</t>
  </si>
  <si>
    <t>C07174</t>
  </si>
  <si>
    <t>Onveer Ravel</t>
  </si>
  <si>
    <t>C07175</t>
  </si>
  <si>
    <t>Nakul Balan</t>
  </si>
  <si>
    <t>C07176</t>
  </si>
  <si>
    <t>Wahab Chahal</t>
  </si>
  <si>
    <t>C07177</t>
  </si>
  <si>
    <t>Eta Mittal</t>
  </si>
  <si>
    <t>C07178</t>
  </si>
  <si>
    <t>Isaiah Mandal</t>
  </si>
  <si>
    <t>C07179</t>
  </si>
  <si>
    <t>Omya Sengupta</t>
  </si>
  <si>
    <t>C07180</t>
  </si>
  <si>
    <t>Lajita Gola</t>
  </si>
  <si>
    <t>C07181</t>
  </si>
  <si>
    <t>Harini Yohannan</t>
  </si>
  <si>
    <t>C07182</t>
  </si>
  <si>
    <t>Ranveer Agate</t>
  </si>
  <si>
    <t>C07183</t>
  </si>
  <si>
    <t>Aarna Wali</t>
  </si>
  <si>
    <t>C07184</t>
  </si>
  <si>
    <t>Anita Kata</t>
  </si>
  <si>
    <t>C07185</t>
  </si>
  <si>
    <t>Yatan Bhagat</t>
  </si>
  <si>
    <t>C07186</t>
  </si>
  <si>
    <t>Faqid Shukla</t>
  </si>
  <si>
    <t>C07187</t>
  </si>
  <si>
    <t>Oeshi Sinha</t>
  </si>
  <si>
    <t>C07188</t>
  </si>
  <si>
    <t>Libni Puri</t>
  </si>
  <si>
    <t>C07189</t>
  </si>
  <si>
    <t>Tristan Comar</t>
  </si>
  <si>
    <t>C07190</t>
  </si>
  <si>
    <t>Charles Chauhan</t>
  </si>
  <si>
    <t>C07191</t>
  </si>
  <si>
    <t>Zayyan Dhar</t>
  </si>
  <si>
    <t>C07192</t>
  </si>
  <si>
    <t>Falguni Agarwal</t>
  </si>
  <si>
    <t>C07193</t>
  </si>
  <si>
    <t>Saumya Batra</t>
  </si>
  <si>
    <t>C07194</t>
  </si>
  <si>
    <t>Vamakshi Bhagat</t>
  </si>
  <si>
    <t>C07195</t>
  </si>
  <si>
    <t>Nitara Misra</t>
  </si>
  <si>
    <t>C07196</t>
  </si>
  <si>
    <t>Sanaya Bava</t>
  </si>
  <si>
    <t>C07197</t>
  </si>
  <si>
    <t>Azaan Varghese</t>
  </si>
  <si>
    <t>C07198</t>
  </si>
  <si>
    <t>Zarna Bhatti</t>
  </si>
  <si>
    <t>C07199</t>
  </si>
  <si>
    <t>Nathaniel Ratti</t>
  </si>
  <si>
    <t>C07200</t>
  </si>
  <si>
    <t>Noah Sachdeva</t>
  </si>
  <si>
    <t>C07201</t>
  </si>
  <si>
    <t>Chaman Mistry</t>
  </si>
  <si>
    <t>C07202</t>
  </si>
  <si>
    <t>Ayushman Bahl</t>
  </si>
  <si>
    <t>C07203</t>
  </si>
  <si>
    <t>Manan Varty</t>
  </si>
  <si>
    <t>C07204</t>
  </si>
  <si>
    <t>Qarin Sibal</t>
  </si>
  <si>
    <t>C07205</t>
  </si>
  <si>
    <t>Gaurang Borra</t>
  </si>
  <si>
    <t>C07206</t>
  </si>
  <si>
    <t>Aarnav Sampath</t>
  </si>
  <si>
    <t>C07207</t>
  </si>
  <si>
    <t>Lekha Choudhary</t>
  </si>
  <si>
    <t>C07208</t>
  </si>
  <si>
    <t>Urmi Ravi</t>
  </si>
  <si>
    <t>C07209</t>
  </si>
  <si>
    <t>Kevin Aurora</t>
  </si>
  <si>
    <t>C07210</t>
  </si>
  <si>
    <t>C07211</t>
  </si>
  <si>
    <t>Jagdish Shan</t>
  </si>
  <si>
    <t>C07212</t>
  </si>
  <si>
    <t>Parth Sama</t>
  </si>
  <si>
    <t>C07213</t>
  </si>
  <si>
    <t>Aishani Mand</t>
  </si>
  <si>
    <t>C07214</t>
  </si>
  <si>
    <t>Tejas Nanda</t>
  </si>
  <si>
    <t>C07215</t>
  </si>
  <si>
    <t>C07216</t>
  </si>
  <si>
    <t>Vedhika Ahuja</t>
  </si>
  <si>
    <t>C07217</t>
  </si>
  <si>
    <t>Pranav Apte</t>
  </si>
  <si>
    <t>C07218</t>
  </si>
  <si>
    <t>Luke Misra</t>
  </si>
  <si>
    <t>C07219</t>
  </si>
  <si>
    <t>Kashvi Kale</t>
  </si>
  <si>
    <t>C07220</t>
  </si>
  <si>
    <t>Anirudh Chana</t>
  </si>
  <si>
    <t>C07221</t>
  </si>
  <si>
    <t>Udant Shanker</t>
  </si>
  <si>
    <t>C07222</t>
  </si>
  <si>
    <t>Yuvraj Andra</t>
  </si>
  <si>
    <t>C07223</t>
  </si>
  <si>
    <t>Amaira Seth</t>
  </si>
  <si>
    <t>C07224</t>
  </si>
  <si>
    <t>Daniel Krish</t>
  </si>
  <si>
    <t>C07225</t>
  </si>
  <si>
    <t>Saumya Acharya</t>
  </si>
  <si>
    <t>C07226</t>
  </si>
  <si>
    <t>Chaaya Kibe</t>
  </si>
  <si>
    <t>C07227</t>
  </si>
  <si>
    <t>Eesha Deol</t>
  </si>
  <si>
    <t>C07228</t>
  </si>
  <si>
    <t>Brijesh Pandey</t>
  </si>
  <si>
    <t>C07229</t>
  </si>
  <si>
    <t>Tristan Sandal</t>
  </si>
  <si>
    <t>C07230</t>
  </si>
  <si>
    <t>Yachana Buch</t>
  </si>
  <si>
    <t>C07231</t>
  </si>
  <si>
    <t>Jhalak Mallick</t>
  </si>
  <si>
    <t>C07232</t>
  </si>
  <si>
    <t>Xavier Ratta</t>
  </si>
  <si>
    <t>C07233</t>
  </si>
  <si>
    <t>Yashvi Din</t>
  </si>
  <si>
    <t>C07234</t>
  </si>
  <si>
    <t>Indira Seth</t>
  </si>
  <si>
    <t>C07235</t>
  </si>
  <si>
    <t>Yuvraj Vasa</t>
  </si>
  <si>
    <t>C07236</t>
  </si>
  <si>
    <t>Aradhana Ratta</t>
  </si>
  <si>
    <t>C07237</t>
  </si>
  <si>
    <t>Max Hora</t>
  </si>
  <si>
    <t>C07238</t>
  </si>
  <si>
    <t>Vihaan Sangha</t>
  </si>
  <si>
    <t>C07239</t>
  </si>
  <si>
    <t>Lakshmi Rau</t>
  </si>
  <si>
    <t>C07240</t>
  </si>
  <si>
    <t>Nikita Mander</t>
  </si>
  <si>
    <t>C07241</t>
  </si>
  <si>
    <t>Kai Pradhan</t>
  </si>
  <si>
    <t>C07242</t>
  </si>
  <si>
    <t>Vedhika Ghosh</t>
  </si>
  <si>
    <t>C07243</t>
  </si>
  <si>
    <t>Chandresh Kunda</t>
  </si>
  <si>
    <t>C07244</t>
  </si>
  <si>
    <t>Lila Gour</t>
  </si>
  <si>
    <t>C07245</t>
  </si>
  <si>
    <t>Nirja Dave</t>
  </si>
  <si>
    <t>C07246</t>
  </si>
  <si>
    <t>Leena Saha</t>
  </si>
  <si>
    <t>C07247</t>
  </si>
  <si>
    <t>Elijah Setty</t>
  </si>
  <si>
    <t>C07248</t>
  </si>
  <si>
    <t>Peter Gulati</t>
  </si>
  <si>
    <t>C07249</t>
  </si>
  <si>
    <t>Krishna Dubey</t>
  </si>
  <si>
    <t>C07250</t>
  </si>
  <si>
    <t>Tanveer Nagi</t>
  </si>
  <si>
    <t>C07251</t>
  </si>
  <si>
    <t>Mugdha Varma</t>
  </si>
  <si>
    <t>C07252</t>
  </si>
  <si>
    <t>Warhi Seshadri</t>
  </si>
  <si>
    <t>C07253</t>
  </si>
  <si>
    <t>Kashish Saraf</t>
  </si>
  <si>
    <t>C07254</t>
  </si>
  <si>
    <t>C07255</t>
  </si>
  <si>
    <t>Aachal Vohra</t>
  </si>
  <si>
    <t>C07256</t>
  </si>
  <si>
    <t>Chandran Virk</t>
  </si>
  <si>
    <t>C07257</t>
  </si>
  <si>
    <t>Yatin Chandran</t>
  </si>
  <si>
    <t>C07258</t>
  </si>
  <si>
    <t>Ryan Wable</t>
  </si>
  <si>
    <t>C07259</t>
  </si>
  <si>
    <t>Frado Dubey</t>
  </si>
  <si>
    <t>C07260</t>
  </si>
  <si>
    <t>C07261</t>
  </si>
  <si>
    <t>Aayush Bhavsar</t>
  </si>
  <si>
    <t>C07262</t>
  </si>
  <si>
    <t>Chameli Bawa</t>
  </si>
  <si>
    <t>C07263</t>
  </si>
  <si>
    <t>Mohini Din</t>
  </si>
  <si>
    <t>C07264</t>
  </si>
  <si>
    <t>Dalaja Karan</t>
  </si>
  <si>
    <t>C07265</t>
  </si>
  <si>
    <t>Bhavani Bobal</t>
  </si>
  <si>
    <t>C07266</t>
  </si>
  <si>
    <t>Charita Dani</t>
  </si>
  <si>
    <t>C07267</t>
  </si>
  <si>
    <t>Samarth Varty</t>
  </si>
  <si>
    <t>C07268</t>
  </si>
  <si>
    <t>Ekanta Doshi</t>
  </si>
  <si>
    <t>C07269</t>
  </si>
  <si>
    <t>Kevin Bali</t>
  </si>
  <si>
    <t>C07270</t>
  </si>
  <si>
    <t>Falak Rajagopal</t>
  </si>
  <si>
    <t>C07271</t>
  </si>
  <si>
    <t>Nathaniel Deshmukh</t>
  </si>
  <si>
    <t>C07272</t>
  </si>
  <si>
    <t>Advay Narayan</t>
  </si>
  <si>
    <t>C07273</t>
  </si>
  <si>
    <t>Christopher Venkataraman</t>
  </si>
  <si>
    <t>C07274</t>
  </si>
  <si>
    <t>Vivaan Nayar</t>
  </si>
  <si>
    <t>C07275</t>
  </si>
  <si>
    <t>Azaan Sundaram</t>
  </si>
  <si>
    <t>C07276</t>
  </si>
  <si>
    <t>Priya Chaudry</t>
  </si>
  <si>
    <t>C07277</t>
  </si>
  <si>
    <t>Nandini Dass</t>
  </si>
  <si>
    <t>C07278</t>
  </si>
  <si>
    <t>Kala Ratti</t>
  </si>
  <si>
    <t>C07279</t>
  </si>
  <si>
    <t>Aayush Chada</t>
  </si>
  <si>
    <t>C07280</t>
  </si>
  <si>
    <t>Janya Korpal</t>
  </si>
  <si>
    <t>C07281</t>
  </si>
  <si>
    <t>Saumya Rege</t>
  </si>
  <si>
    <t>C07282</t>
  </si>
  <si>
    <t>Harish Vora</t>
  </si>
  <si>
    <t>C07283</t>
  </si>
  <si>
    <t>Gauri Srinivasan</t>
  </si>
  <si>
    <t>C07284</t>
  </si>
  <si>
    <t>Bina Ahuja</t>
  </si>
  <si>
    <t>C07285</t>
  </si>
  <si>
    <t>Yug Mohanty</t>
  </si>
  <si>
    <t>C07286</t>
  </si>
  <si>
    <t>Aarini Dara</t>
  </si>
  <si>
    <t>C07287</t>
  </si>
  <si>
    <t>Eesha Kar</t>
  </si>
  <si>
    <t>C07288</t>
  </si>
  <si>
    <t>Rishi Subramaniam</t>
  </si>
  <si>
    <t>C07289</t>
  </si>
  <si>
    <t>Nidhi Chatterjee</t>
  </si>
  <si>
    <t>C07290</t>
  </si>
  <si>
    <t>Charles Taneja</t>
  </si>
  <si>
    <t>C07291</t>
  </si>
  <si>
    <t>Warhi Hegde</t>
  </si>
  <si>
    <t>C07292</t>
  </si>
  <si>
    <t>Ethan Taneja</t>
  </si>
  <si>
    <t>C07293</t>
  </si>
  <si>
    <t>David Kara</t>
  </si>
  <si>
    <t>C07294</t>
  </si>
  <si>
    <t>Gabriel Gola</t>
  </si>
  <si>
    <t>C07295</t>
  </si>
  <si>
    <t>Manan Nath</t>
  </si>
  <si>
    <t>C07296</t>
  </si>
  <si>
    <t>Rushil Varty</t>
  </si>
  <si>
    <t>C07297</t>
  </si>
  <si>
    <t>Rishi Kade</t>
  </si>
  <si>
    <t>C07298</t>
  </si>
  <si>
    <t>Banjeet Gupta</t>
  </si>
  <si>
    <t>C07299</t>
  </si>
  <si>
    <t>Qarin Memon</t>
  </si>
  <si>
    <t>C07300</t>
  </si>
  <si>
    <t>Anvi Sen</t>
  </si>
  <si>
    <t>C07301</t>
  </si>
  <si>
    <t>Aadi Madan</t>
  </si>
  <si>
    <t>C07302</t>
  </si>
  <si>
    <t>Raagini Bal</t>
  </si>
  <si>
    <t>C07303</t>
  </si>
  <si>
    <t>Ojasvi Dave</t>
  </si>
  <si>
    <t>C07304</t>
  </si>
  <si>
    <t>Divya Bhatti</t>
  </si>
  <si>
    <t>C07305</t>
  </si>
  <si>
    <t>Upma Sachdev</t>
  </si>
  <si>
    <t>C07306</t>
  </si>
  <si>
    <t>Faraj Bora</t>
  </si>
  <si>
    <t>C07307</t>
  </si>
  <si>
    <t>Bahadurjit Parikh</t>
  </si>
  <si>
    <t>C07308</t>
  </si>
  <si>
    <t>Vasudha Khare</t>
  </si>
  <si>
    <t>C07309</t>
  </si>
  <si>
    <t>Idika Brar</t>
  </si>
  <si>
    <t>C07310</t>
  </si>
  <si>
    <t>Indira Rajagopal</t>
  </si>
  <si>
    <t>C07311</t>
  </si>
  <si>
    <t>Aadhya Bansal</t>
  </si>
  <si>
    <t>C07312</t>
  </si>
  <si>
    <t>Irya Upadhyay</t>
  </si>
  <si>
    <t>C07313</t>
  </si>
  <si>
    <t>Hemangini Pal</t>
  </si>
  <si>
    <t>C07314</t>
  </si>
  <si>
    <t>Girish Nagi</t>
  </si>
  <si>
    <t>C07315</t>
  </si>
  <si>
    <t>Abha Madan</t>
  </si>
  <si>
    <t>C07316</t>
  </si>
  <si>
    <t>Jasmit Kothari</t>
  </si>
  <si>
    <t>C07317</t>
  </si>
  <si>
    <t>Mitali Batta</t>
  </si>
  <si>
    <t>C07318</t>
  </si>
  <si>
    <t>Urvashi Agate</t>
  </si>
  <si>
    <t>C07319</t>
  </si>
  <si>
    <t>Bhavani Apte</t>
  </si>
  <si>
    <t>C07320</t>
  </si>
  <si>
    <t>Advik Mukhopadhyay</t>
  </si>
  <si>
    <t>C07321</t>
  </si>
  <si>
    <t>Devika Dalal</t>
  </si>
  <si>
    <t>C07322</t>
  </si>
  <si>
    <t>Andrew Kothari</t>
  </si>
  <si>
    <t>C07323</t>
  </si>
  <si>
    <t>Pranav Bumb</t>
  </si>
  <si>
    <t>C07324</t>
  </si>
  <si>
    <t>Shaurya Raja</t>
  </si>
  <si>
    <t>C07325</t>
  </si>
  <si>
    <t>Naveen Baral</t>
  </si>
  <si>
    <t>C07326</t>
  </si>
  <si>
    <t>Yoshita Prabhu</t>
  </si>
  <si>
    <t>C07327</t>
  </si>
  <si>
    <t>Arya Bail</t>
  </si>
  <si>
    <t>C07328</t>
  </si>
  <si>
    <t>Advik Doshi</t>
  </si>
  <si>
    <t>C07329</t>
  </si>
  <si>
    <t>Ekanta Dugar</t>
  </si>
  <si>
    <t>C07330</t>
  </si>
  <si>
    <t>Gautam Raja</t>
  </si>
  <si>
    <t>C07331</t>
  </si>
  <si>
    <t>Rajeshri Jhaveri</t>
  </si>
  <si>
    <t>C07332</t>
  </si>
  <si>
    <t>Warjas Oommen</t>
  </si>
  <si>
    <t>C07333</t>
  </si>
  <si>
    <t>Kevin Iyengar</t>
  </si>
  <si>
    <t>C07334</t>
  </si>
  <si>
    <t>Ranveer Sidhu</t>
  </si>
  <si>
    <t>C07335</t>
  </si>
  <si>
    <t>Adya Bail</t>
  </si>
  <si>
    <t>C07336</t>
  </si>
  <si>
    <t>Rachana Sura</t>
  </si>
  <si>
    <t>C07337</t>
  </si>
  <si>
    <t>Yashasvi Subramanian</t>
  </si>
  <si>
    <t>C07338</t>
  </si>
  <si>
    <t>Om Barman</t>
  </si>
  <si>
    <t>C07339</t>
  </si>
  <si>
    <t>George Zachariah</t>
  </si>
  <si>
    <t>C07340</t>
  </si>
  <si>
    <t>Tristan Brar</t>
  </si>
  <si>
    <t>C07341</t>
  </si>
  <si>
    <t>Ryan Dhillon</t>
  </si>
  <si>
    <t>C07342</t>
  </si>
  <si>
    <t>Kritika Chaudhry</t>
  </si>
  <si>
    <t>C07343</t>
  </si>
  <si>
    <t>Gautami Yogi</t>
  </si>
  <si>
    <t>C07344</t>
  </si>
  <si>
    <t>Hamsini Batta</t>
  </si>
  <si>
    <t>C07345</t>
  </si>
  <si>
    <t>Nicholas Rastogi</t>
  </si>
  <si>
    <t>C07346</t>
  </si>
  <si>
    <t>Quincy Dar</t>
  </si>
  <si>
    <t>C07347</t>
  </si>
  <si>
    <t>Neha Bali</t>
  </si>
  <si>
    <t>C07348</t>
  </si>
  <si>
    <t>Suhani Dutt</t>
  </si>
  <si>
    <t>C07349</t>
  </si>
  <si>
    <t>Andrew Murthy</t>
  </si>
  <si>
    <t>C07350</t>
  </si>
  <si>
    <t>Upma Amble</t>
  </si>
  <si>
    <t>C07351</t>
  </si>
  <si>
    <t>Vansha Mahajan</t>
  </si>
  <si>
    <t>C07352</t>
  </si>
  <si>
    <t>Arya Minhas</t>
  </si>
  <si>
    <t>C07353</t>
  </si>
  <si>
    <t>Dakshesh Wali</t>
  </si>
  <si>
    <t>C07354</t>
  </si>
  <si>
    <t>Ronith Buch</t>
  </si>
  <si>
    <t>C07355</t>
  </si>
  <si>
    <t>Devansh Mann</t>
  </si>
  <si>
    <t>C07356</t>
  </si>
  <si>
    <t>Ethan Nori</t>
  </si>
  <si>
    <t>C07357</t>
  </si>
  <si>
    <t>Anita Sama</t>
  </si>
  <si>
    <t>C07358</t>
  </si>
  <si>
    <t>C07359</t>
  </si>
  <si>
    <t>Nikita Gole</t>
  </si>
  <si>
    <t>C07360</t>
  </si>
  <si>
    <t>Eta Prashad</t>
  </si>
  <si>
    <t>C07361</t>
  </si>
  <si>
    <t>Januja Kata</t>
  </si>
  <si>
    <t>C07362</t>
  </si>
  <si>
    <t>Lakshit Rajagopalan</t>
  </si>
  <si>
    <t>C07363</t>
  </si>
  <si>
    <t>Charvi Babu</t>
  </si>
  <si>
    <t>C07364</t>
  </si>
  <si>
    <t>Kashvi Sunder</t>
  </si>
  <si>
    <t>C07365</t>
  </si>
  <si>
    <t>Abeer Kalita</t>
  </si>
  <si>
    <t>C07366</t>
  </si>
  <si>
    <t>Zansi Rattan</t>
  </si>
  <si>
    <t>C07367</t>
  </si>
  <si>
    <t>Ganga Ben</t>
  </si>
  <si>
    <t>C07368</t>
  </si>
  <si>
    <t>Warjas Barman</t>
  </si>
  <si>
    <t>C07369</t>
  </si>
  <si>
    <t>Meghana Khare</t>
  </si>
  <si>
    <t>C07370</t>
  </si>
  <si>
    <t>Abhiram Prabhakar</t>
  </si>
  <si>
    <t>C07371</t>
  </si>
  <si>
    <t>Kai Wali</t>
  </si>
  <si>
    <t>C07372</t>
  </si>
  <si>
    <t>Pushti Lata</t>
  </si>
  <si>
    <t>C07373</t>
  </si>
  <si>
    <t>Jai Apte</t>
  </si>
  <si>
    <t>C07374</t>
  </si>
  <si>
    <t>Caleb Dani</t>
  </si>
  <si>
    <t>C07375</t>
  </si>
  <si>
    <t>Daniel Khalsa</t>
  </si>
  <si>
    <t>C07376</t>
  </si>
  <si>
    <t>Luke Patla</t>
  </si>
  <si>
    <t>C07377</t>
  </si>
  <si>
    <t>Arin Lala</t>
  </si>
  <si>
    <t>C07378</t>
  </si>
  <si>
    <t>Nakul Iyengar</t>
  </si>
  <si>
    <t>C07379</t>
  </si>
  <si>
    <t>Kamala Sibal</t>
  </si>
  <si>
    <t>C07380</t>
  </si>
  <si>
    <t>Vihaan Choudhury</t>
  </si>
  <si>
    <t>C07381</t>
  </si>
  <si>
    <t>Manya Barman</t>
  </si>
  <si>
    <t>C07382</t>
  </si>
  <si>
    <t>Qushi Bassi</t>
  </si>
  <si>
    <t>C07383</t>
  </si>
  <si>
    <t>Ubika Palla</t>
  </si>
  <si>
    <t>C07384</t>
  </si>
  <si>
    <t>Chakrika Nagy</t>
  </si>
  <si>
    <t>C07385</t>
  </si>
  <si>
    <t>Anjali Devan</t>
  </si>
  <si>
    <t>C07386</t>
  </si>
  <si>
    <t>Eiravati Mangal</t>
  </si>
  <si>
    <t>C07387</t>
  </si>
  <si>
    <t>Bhavika Narayan</t>
  </si>
  <si>
    <t>C07388</t>
  </si>
  <si>
    <t>Yoshita Chana</t>
  </si>
  <si>
    <t>C07389</t>
  </si>
  <si>
    <t>Amol Dara</t>
  </si>
  <si>
    <t>C07390</t>
  </si>
  <si>
    <t>Ijaya Palla</t>
  </si>
  <si>
    <t>C07391</t>
  </si>
  <si>
    <t>Bhanumati Mandal</t>
  </si>
  <si>
    <t>C07392</t>
  </si>
  <si>
    <t>Mitali Ravi</t>
  </si>
  <si>
    <t>C07393</t>
  </si>
  <si>
    <t>Oliver Prabhakar</t>
  </si>
  <si>
    <t>C07394</t>
  </si>
  <si>
    <t>Jatin Tak</t>
  </si>
  <si>
    <t>C07395</t>
  </si>
  <si>
    <t>Charles Murty</t>
  </si>
  <si>
    <t>C07396</t>
  </si>
  <si>
    <t>Lajita Arora</t>
  </si>
  <si>
    <t>C07397</t>
  </si>
  <si>
    <t>Nilima Chauhan</t>
  </si>
  <si>
    <t>C07398</t>
  </si>
  <si>
    <t>Liam Mukherjee</t>
  </si>
  <si>
    <t>C07399</t>
  </si>
  <si>
    <t>Azaan Sem</t>
  </si>
  <si>
    <t>C07400</t>
  </si>
  <si>
    <t>Chaman Sen</t>
  </si>
  <si>
    <t>C07401</t>
  </si>
  <si>
    <t>Oviya Ravi</t>
  </si>
  <si>
    <t>C07402</t>
  </si>
  <si>
    <t>Karan Hegde</t>
  </si>
  <si>
    <t>C07403</t>
  </si>
  <si>
    <t>C07404</t>
  </si>
  <si>
    <t>Avi Bobal</t>
  </si>
  <si>
    <t>C07405</t>
  </si>
  <si>
    <t>Rushil Agrawal</t>
  </si>
  <si>
    <t>C07406</t>
  </si>
  <si>
    <t>Ridhi Karpe</t>
  </si>
  <si>
    <t>C07407</t>
  </si>
  <si>
    <t>Pallavi Taneja</t>
  </si>
  <si>
    <t>C07408</t>
  </si>
  <si>
    <t>Diya Sampath</t>
  </si>
  <si>
    <t>C07409</t>
  </si>
  <si>
    <t>Idika Vyas</t>
  </si>
  <si>
    <t>C07410</t>
  </si>
  <si>
    <t>David Prakash</t>
  </si>
  <si>
    <t>C07411</t>
  </si>
  <si>
    <t>Praneel Kumer</t>
  </si>
  <si>
    <t>C07412</t>
  </si>
  <si>
    <t>Falan Kadakia</t>
  </si>
  <si>
    <t>C07413</t>
  </si>
  <si>
    <t>Eta Mohanty</t>
  </si>
  <si>
    <t>C07414</t>
  </si>
  <si>
    <t>Alka Bhalla</t>
  </si>
  <si>
    <t>C07415</t>
  </si>
  <si>
    <t>C07416</t>
  </si>
  <si>
    <t>Gunbir Nagarajan</t>
  </si>
  <si>
    <t>C07417</t>
  </si>
  <si>
    <t>Chatura Nagar</t>
  </si>
  <si>
    <t>C07418</t>
  </si>
  <si>
    <t>Jatin Buch</t>
  </si>
  <si>
    <t>C07419</t>
  </si>
  <si>
    <t>Radhika Mital</t>
  </si>
  <si>
    <t>C07420</t>
  </si>
  <si>
    <t>Tanish Sanghvi</t>
  </si>
  <si>
    <t>C07421</t>
  </si>
  <si>
    <t>Lipika Dasgupta</t>
  </si>
  <si>
    <t>C07422</t>
  </si>
  <si>
    <t>Robert Naidu</t>
  </si>
  <si>
    <t>C07423</t>
  </si>
  <si>
    <t>Aishani Sharma</t>
  </si>
  <si>
    <t>C07424</t>
  </si>
  <si>
    <t>Abhimanyu Prasad</t>
  </si>
  <si>
    <t>C07425</t>
  </si>
  <si>
    <t>Chandran Grewal</t>
  </si>
  <si>
    <t>C07426</t>
  </si>
  <si>
    <t>C07427</t>
  </si>
  <si>
    <t>Alka Konda</t>
  </si>
  <si>
    <t>C07428</t>
  </si>
  <si>
    <t>Harish Grewal</t>
  </si>
  <si>
    <t>C07429</t>
  </si>
  <si>
    <t>Atharv Parsa</t>
  </si>
  <si>
    <t>C07430</t>
  </si>
  <si>
    <t>Vrinda Khurana</t>
  </si>
  <si>
    <t>C07431</t>
  </si>
  <si>
    <t>Ranveer Dhawan</t>
  </si>
  <si>
    <t>C07432</t>
  </si>
  <si>
    <t>Simon Deol</t>
  </si>
  <si>
    <t>C07433</t>
  </si>
  <si>
    <t>Nidhi Mann</t>
  </si>
  <si>
    <t>C07434</t>
  </si>
  <si>
    <t>Balveer Grewal</t>
  </si>
  <si>
    <t>C07435</t>
  </si>
  <si>
    <t>Ekanta Khatri</t>
  </si>
  <si>
    <t>C07436</t>
  </si>
  <si>
    <t>Megha Sharma</t>
  </si>
  <si>
    <t>C07437</t>
  </si>
  <si>
    <t>Rachit Kuruvilla</t>
  </si>
  <si>
    <t>C07438</t>
  </si>
  <si>
    <t>Reva Solanki</t>
  </si>
  <si>
    <t>C07439</t>
  </si>
  <si>
    <t>Nathaniel Kapur</t>
  </si>
  <si>
    <t>C07440</t>
  </si>
  <si>
    <t>Lohit Batra</t>
  </si>
  <si>
    <t>C07441</t>
  </si>
  <si>
    <t>William Gopal</t>
  </si>
  <si>
    <t>C07442</t>
  </si>
  <si>
    <t>Girindra Krishnamurthy</t>
  </si>
  <si>
    <t>C07443</t>
  </si>
  <si>
    <t>Dhruv Sampath</t>
  </si>
  <si>
    <t>C07444</t>
  </si>
  <si>
    <t>Vedant Gill</t>
  </si>
  <si>
    <t>C07445</t>
  </si>
  <si>
    <t>Chaaya Devi</t>
  </si>
  <si>
    <t>C07446</t>
  </si>
  <si>
    <t>Chameli Talwar</t>
  </si>
  <si>
    <t>C07447</t>
  </si>
  <si>
    <t>Manthan Andra</t>
  </si>
  <si>
    <t>C07448</t>
  </si>
  <si>
    <t>Garima Nagi</t>
  </si>
  <si>
    <t>C07449</t>
  </si>
  <si>
    <t>Falguni Luthra</t>
  </si>
  <si>
    <t>C07450</t>
  </si>
  <si>
    <t>Jonathan Ramachandran</t>
  </si>
  <si>
    <t>C07451</t>
  </si>
  <si>
    <t>Saanvi Naik</t>
  </si>
  <si>
    <t>C07452</t>
  </si>
  <si>
    <t>Ekaraj Jaggi</t>
  </si>
  <si>
    <t>C07453</t>
  </si>
  <si>
    <t>Jeet Balan</t>
  </si>
  <si>
    <t>C07454</t>
  </si>
  <si>
    <t>Maya Mane</t>
  </si>
  <si>
    <t>C07455</t>
  </si>
  <si>
    <t>Tanay Dubey</t>
  </si>
  <si>
    <t>C07456</t>
  </si>
  <si>
    <t>Rachana Dora</t>
  </si>
  <si>
    <t>C07457</t>
  </si>
  <si>
    <t>Waida Sengupta</t>
  </si>
  <si>
    <t>C07458</t>
  </si>
  <si>
    <t>Unni Kamdar</t>
  </si>
  <si>
    <t>C07459</t>
  </si>
  <si>
    <t>Faqid Sachdeva</t>
  </si>
  <si>
    <t>C07460</t>
  </si>
  <si>
    <t>Mitali Ratti</t>
  </si>
  <si>
    <t>C07461</t>
  </si>
  <si>
    <t>Vanya Bala</t>
  </si>
  <si>
    <t>C07462</t>
  </si>
  <si>
    <t>Aarush Johal</t>
  </si>
  <si>
    <t>C07463</t>
  </si>
  <si>
    <t>Charles Khanna</t>
  </si>
  <si>
    <t>C07464</t>
  </si>
  <si>
    <t>Bakhshi Nayak</t>
  </si>
  <si>
    <t>C07465</t>
  </si>
  <si>
    <t>Omkaar Thakur</t>
  </si>
  <si>
    <t>C07466</t>
  </si>
  <si>
    <t>Krishna Mani</t>
  </si>
  <si>
    <t>C07467</t>
  </si>
  <si>
    <t>Baljiwan Solanki</t>
  </si>
  <si>
    <t>C07468</t>
  </si>
  <si>
    <t>Chatresh Deo</t>
  </si>
  <si>
    <t>C07469</t>
  </si>
  <si>
    <t>Anamika Badami</t>
  </si>
  <si>
    <t>C07470</t>
  </si>
  <si>
    <t>Urvashi Peri</t>
  </si>
  <si>
    <t>C07471</t>
  </si>
  <si>
    <t>Priya Setty</t>
  </si>
  <si>
    <t>C07472</t>
  </si>
  <si>
    <t>Lakshit Prabhu</t>
  </si>
  <si>
    <t>C07473</t>
  </si>
  <si>
    <t>Qushi Dutta</t>
  </si>
  <si>
    <t>C07474</t>
  </si>
  <si>
    <t>Balveer Konda</t>
  </si>
  <si>
    <t>C07475</t>
  </si>
  <si>
    <t>C07476</t>
  </si>
  <si>
    <t>Netra Lala</t>
  </si>
  <si>
    <t>C07477</t>
  </si>
  <si>
    <t>Ekavir Mandal</t>
  </si>
  <si>
    <t>C07478</t>
  </si>
  <si>
    <t>Amara Murty</t>
  </si>
  <si>
    <t>C07479</t>
  </si>
  <si>
    <t>Sathvik Chawla</t>
  </si>
  <si>
    <t>C07480</t>
  </si>
  <si>
    <t>Vedhika Mall</t>
  </si>
  <si>
    <t>C07481</t>
  </si>
  <si>
    <t>Aarini Toor</t>
  </si>
  <si>
    <t>C07482</t>
  </si>
  <si>
    <t>Bakhshi Murty</t>
  </si>
  <si>
    <t>C07483</t>
  </si>
  <si>
    <t>Akshay Manda</t>
  </si>
  <si>
    <t>C07484</t>
  </si>
  <si>
    <t>Luke Saha</t>
  </si>
  <si>
    <t>C07485</t>
  </si>
  <si>
    <t>Chaman Kalita</t>
  </si>
  <si>
    <t>C07486</t>
  </si>
  <si>
    <t>Karan Kapadia</t>
  </si>
  <si>
    <t>C07487</t>
  </si>
  <si>
    <t>Lakshmi Chaudhuri</t>
  </si>
  <si>
    <t>C07488</t>
  </si>
  <si>
    <t>Harrison Dugar</t>
  </si>
  <si>
    <t>C07489</t>
  </si>
  <si>
    <t>Hemang Narayan</t>
  </si>
  <si>
    <t>C07490</t>
  </si>
  <si>
    <t>Harinakshi Kari</t>
  </si>
  <si>
    <t>C07491</t>
  </si>
  <si>
    <t>Amol Agrawal</t>
  </si>
  <si>
    <t>C07492</t>
  </si>
  <si>
    <t>Qabil Seshadri</t>
  </si>
  <si>
    <t>C07493</t>
  </si>
  <si>
    <t>C07494</t>
  </si>
  <si>
    <t>Daksha Tank</t>
  </si>
  <si>
    <t>C07495</t>
  </si>
  <si>
    <t>Orinder Edwin</t>
  </si>
  <si>
    <t>C07496</t>
  </si>
  <si>
    <t>Mitali Shenoy</t>
  </si>
  <si>
    <t>C07497</t>
  </si>
  <si>
    <t>Devansh Varghese</t>
  </si>
  <si>
    <t>C07498</t>
  </si>
  <si>
    <t>Kabir Jayaraman</t>
  </si>
  <si>
    <t>C07499</t>
  </si>
  <si>
    <t>Vasudha Bhardwaj</t>
  </si>
  <si>
    <t>C07500</t>
  </si>
  <si>
    <t>Bina Bir</t>
  </si>
  <si>
    <t>C07501</t>
  </si>
  <si>
    <t>Chandran Rajagopalan</t>
  </si>
  <si>
    <t>C07502</t>
  </si>
  <si>
    <t>Ryan Kumer</t>
  </si>
  <si>
    <t>C07503</t>
  </si>
  <si>
    <t>Nandini Mohan</t>
  </si>
  <si>
    <t>C07504</t>
  </si>
  <si>
    <t>Anika Raman</t>
  </si>
  <si>
    <t>C07505</t>
  </si>
  <si>
    <t>Ekta Varma</t>
  </si>
  <si>
    <t>C07506</t>
  </si>
  <si>
    <t>Sachi Luthra</t>
  </si>
  <si>
    <t>C07507</t>
  </si>
  <si>
    <t>Reyansh Khurana</t>
  </si>
  <si>
    <t>C07508</t>
  </si>
  <si>
    <t>Sai Dube</t>
  </si>
  <si>
    <t>C07509</t>
  </si>
  <si>
    <t>Megha Dar</t>
  </si>
  <si>
    <t>C07510</t>
  </si>
  <si>
    <t>Daniel Dhaliwal</t>
  </si>
  <si>
    <t>C07511</t>
  </si>
  <si>
    <t>Fiyaz Rajagopalan</t>
  </si>
  <si>
    <t>C07512</t>
  </si>
  <si>
    <t>Kevin Amble</t>
  </si>
  <si>
    <t>C07513</t>
  </si>
  <si>
    <t>Omya Naidu</t>
  </si>
  <si>
    <t>C07514</t>
  </si>
  <si>
    <t>Eiravati Sengupta</t>
  </si>
  <si>
    <t>C07515</t>
  </si>
  <si>
    <t>Arunima Narayanan</t>
  </si>
  <si>
    <t>C07516</t>
  </si>
  <si>
    <t>Mohini Naidu</t>
  </si>
  <si>
    <t>C07517</t>
  </si>
  <si>
    <t>Jagrati Tak</t>
  </si>
  <si>
    <t>C07518</t>
  </si>
  <si>
    <t>Harish Gera</t>
  </si>
  <si>
    <t>C07519</t>
  </si>
  <si>
    <t>Upma Sankar</t>
  </si>
  <si>
    <t>C07520</t>
  </si>
  <si>
    <t>C07521</t>
  </si>
  <si>
    <t>Libni Viswanathan</t>
  </si>
  <si>
    <t>C07522</t>
  </si>
  <si>
    <t>Geetika Verma</t>
  </si>
  <si>
    <t>C07523</t>
  </si>
  <si>
    <t>Kevin Manne</t>
  </si>
  <si>
    <t>C07524</t>
  </si>
  <si>
    <t>Ishanvi Bora</t>
  </si>
  <si>
    <t>C07525</t>
  </si>
  <si>
    <t>Lavanya Pandit</t>
  </si>
  <si>
    <t>C07526</t>
  </si>
  <si>
    <t>C07527</t>
  </si>
  <si>
    <t>Parth Kunda</t>
  </si>
  <si>
    <t>C07528</t>
  </si>
  <si>
    <t>Abha Biswas</t>
  </si>
  <si>
    <t>C07529</t>
  </si>
  <si>
    <t>Chaman Ahluwalia</t>
  </si>
  <si>
    <t>C07530</t>
  </si>
  <si>
    <t>Saksham Jaggi</t>
  </si>
  <si>
    <t>C07531</t>
  </si>
  <si>
    <t>Pooja Badal</t>
  </si>
  <si>
    <t>C07532</t>
  </si>
  <si>
    <t>Eesha Singhal</t>
  </si>
  <si>
    <t>C07533</t>
  </si>
  <si>
    <t>Devansh Sethi</t>
  </si>
  <si>
    <t>C07534</t>
  </si>
  <si>
    <t>Yatan Rege</t>
  </si>
  <si>
    <t>C07535</t>
  </si>
  <si>
    <t>Chakradev Misra</t>
  </si>
  <si>
    <t>C07536</t>
  </si>
  <si>
    <t>Mitesh Kala</t>
  </si>
  <si>
    <t>C07537</t>
  </si>
  <si>
    <t>Darsh Ghose</t>
  </si>
  <si>
    <t>C07538</t>
  </si>
  <si>
    <t>Gaurangi Bava</t>
  </si>
  <si>
    <t>C07539</t>
  </si>
  <si>
    <t>Azaan Mall</t>
  </si>
  <si>
    <t>C07540</t>
  </si>
  <si>
    <t>Simon Luthra</t>
  </si>
  <si>
    <t>C07541</t>
  </si>
  <si>
    <t>Rachita Bhatti</t>
  </si>
  <si>
    <t>C07542</t>
  </si>
  <si>
    <t>Vedhika Sur</t>
  </si>
  <si>
    <t>C07543</t>
  </si>
  <si>
    <t>Anjali Nayar</t>
  </si>
  <si>
    <t>C07544</t>
  </si>
  <si>
    <t>Amruta Choudhary</t>
  </si>
  <si>
    <t>C07545</t>
  </si>
  <si>
    <t>Janani Ramachandran</t>
  </si>
  <si>
    <t>C07546</t>
  </si>
  <si>
    <t>Agastya Misra</t>
  </si>
  <si>
    <t>C07547</t>
  </si>
  <si>
    <t>Brijesh Shetty</t>
  </si>
  <si>
    <t>C07548</t>
  </si>
  <si>
    <t>Irya Purohit</t>
  </si>
  <si>
    <t>C07549</t>
  </si>
  <si>
    <t>Chandani Upadhyay</t>
  </si>
  <si>
    <t>C07550</t>
  </si>
  <si>
    <t>Ekanta Tara</t>
  </si>
  <si>
    <t>C07551</t>
  </si>
  <si>
    <t>Zayan Bahl</t>
  </si>
  <si>
    <t>C07552</t>
  </si>
  <si>
    <t>Chakradev Dey</t>
  </si>
  <si>
    <t>C07553</t>
  </si>
  <si>
    <t>Aarav Ganguly</t>
  </si>
  <si>
    <t>C07554</t>
  </si>
  <si>
    <t>Anamika Din</t>
  </si>
  <si>
    <t>C07555</t>
  </si>
  <si>
    <t>Viraj Chana</t>
  </si>
  <si>
    <t>C07556</t>
  </si>
  <si>
    <t>Logan Natarajan</t>
  </si>
  <si>
    <t>C07557</t>
  </si>
  <si>
    <t>Anay Sidhu</t>
  </si>
  <si>
    <t>C07558</t>
  </si>
  <si>
    <t>Devika Dube</t>
  </si>
  <si>
    <t>C07559</t>
  </si>
  <si>
    <t>Utkarsh Char</t>
  </si>
  <si>
    <t>C07560</t>
  </si>
  <si>
    <t>Tripti Sinha</t>
  </si>
  <si>
    <t>C07561</t>
  </si>
  <si>
    <t>Rajeshri Sharma</t>
  </si>
  <si>
    <t>C07562</t>
  </si>
  <si>
    <t>Jasmit Comar</t>
  </si>
  <si>
    <t>C07563</t>
  </si>
  <si>
    <t>Ekalinga Varghese</t>
  </si>
  <si>
    <t>C07564</t>
  </si>
  <si>
    <t>Amara Virk</t>
  </si>
  <si>
    <t>C07565</t>
  </si>
  <si>
    <t>Saksham Aggarwal</t>
  </si>
  <si>
    <t>C07566</t>
  </si>
  <si>
    <t>Ekaja Venkatesh</t>
  </si>
  <si>
    <t>C07567</t>
  </si>
  <si>
    <t>Yoshita Malhotra</t>
  </si>
  <si>
    <t>C07568</t>
  </si>
  <si>
    <t>Osha Dutt</t>
  </si>
  <si>
    <t>C07569</t>
  </si>
  <si>
    <t>Thomas Ganguly</t>
  </si>
  <si>
    <t>C07570</t>
  </si>
  <si>
    <t>Azaan Patel</t>
  </si>
  <si>
    <t>C07571</t>
  </si>
  <si>
    <t>Ati Gandhi</t>
  </si>
  <si>
    <t>C07572</t>
  </si>
  <si>
    <t>Osha Srivastava</t>
  </si>
  <si>
    <t>C07573</t>
  </si>
  <si>
    <t>Zaitra Kadakia</t>
  </si>
  <si>
    <t>C07574</t>
  </si>
  <si>
    <t>Sachi Hans</t>
  </si>
  <si>
    <t>C07575</t>
  </si>
  <si>
    <t>Leena Rau</t>
  </si>
  <si>
    <t>C07576</t>
  </si>
  <si>
    <t>Tanay Chadha</t>
  </si>
  <si>
    <t>C07577</t>
  </si>
  <si>
    <t>George Wagle</t>
  </si>
  <si>
    <t>C07578</t>
  </si>
  <si>
    <t>Upadhriti Zachariah</t>
  </si>
  <si>
    <t>C07579</t>
  </si>
  <si>
    <t>Chaitaly Din</t>
  </si>
  <si>
    <t>C07580</t>
  </si>
  <si>
    <t>Janaki Oak</t>
  </si>
  <si>
    <t>C07581</t>
  </si>
  <si>
    <t>Oeshi Bajaj</t>
  </si>
  <si>
    <t>C07582</t>
  </si>
  <si>
    <t>Michael Keer</t>
  </si>
  <si>
    <t>C07583</t>
  </si>
  <si>
    <t>Triveni Dhawan</t>
  </si>
  <si>
    <t>C07584</t>
  </si>
  <si>
    <t>Urvi Dani</t>
  </si>
  <si>
    <t>C07585</t>
  </si>
  <si>
    <t>Yadavi Bala</t>
  </si>
  <si>
    <t>C07586</t>
  </si>
  <si>
    <t>Onveer Kari</t>
  </si>
  <si>
    <t>C07587</t>
  </si>
  <si>
    <t>Daksh Banik</t>
  </si>
  <si>
    <t>C07588</t>
  </si>
  <si>
    <t>Diya Mahajan</t>
  </si>
  <si>
    <t>C07589</t>
  </si>
  <si>
    <t>Christopher Mand</t>
  </si>
  <si>
    <t>C07590</t>
  </si>
  <si>
    <t>Sanya Naidu</t>
  </si>
  <si>
    <t>C07591</t>
  </si>
  <si>
    <t>Ekavir Saxena</t>
  </si>
  <si>
    <t>C07592</t>
  </si>
  <si>
    <t>Watika Murthy</t>
  </si>
  <si>
    <t>C07593</t>
  </si>
  <si>
    <t>Samaksh Vohra</t>
  </si>
  <si>
    <t>C07594</t>
  </si>
  <si>
    <t>Balveer Sethi</t>
  </si>
  <si>
    <t>C07595</t>
  </si>
  <si>
    <t>Turvi Varkey</t>
  </si>
  <si>
    <t>C07596</t>
  </si>
  <si>
    <t>Ira Bhattacharyya</t>
  </si>
  <si>
    <t>C07597</t>
  </si>
  <si>
    <t>Wakeeta Bhardwaj</t>
  </si>
  <si>
    <t>C07598</t>
  </si>
  <si>
    <t>Kala Uppal</t>
  </si>
  <si>
    <t>C07599</t>
  </si>
  <si>
    <t>Oliver Ravel</t>
  </si>
  <si>
    <t>C07600</t>
  </si>
  <si>
    <t>Yashasvi Lall</t>
  </si>
  <si>
    <t>C07601</t>
  </si>
  <si>
    <t>Nirja Jha</t>
  </si>
  <si>
    <t>C07602</t>
  </si>
  <si>
    <t>Nachiket Badal</t>
  </si>
  <si>
    <t>C07603</t>
  </si>
  <si>
    <t>Mohini Buch</t>
  </si>
  <si>
    <t>C07604</t>
  </si>
  <si>
    <t>Wazir Rastogi</t>
  </si>
  <si>
    <t>C07605</t>
  </si>
  <si>
    <t>Pranit Contractor</t>
  </si>
  <si>
    <t>C07606</t>
  </si>
  <si>
    <t>Gauri Chakrabarti</t>
  </si>
  <si>
    <t>C07607</t>
  </si>
  <si>
    <t>Mohammed Zacharia</t>
  </si>
  <si>
    <t>C07608</t>
  </si>
  <si>
    <t>Guneet Vaidya</t>
  </si>
  <si>
    <t>C07609</t>
  </si>
  <si>
    <t>Avi Suresh</t>
  </si>
  <si>
    <t>C07610</t>
  </si>
  <si>
    <t>Neelima Rama</t>
  </si>
  <si>
    <t>C07611</t>
  </si>
  <si>
    <t>Jagat Batta</t>
  </si>
  <si>
    <t>C07612</t>
  </si>
  <si>
    <t>Kevin Kanda</t>
  </si>
  <si>
    <t>C07613</t>
  </si>
  <si>
    <t>Manan Dhawan</t>
  </si>
  <si>
    <t>C07614</t>
  </si>
  <si>
    <t>Vihaan Kapur</t>
  </si>
  <si>
    <t>C07615</t>
  </si>
  <si>
    <t>Yasti Sarkar</t>
  </si>
  <si>
    <t>C07616</t>
  </si>
  <si>
    <t>Suhani Batra</t>
  </si>
  <si>
    <t>C07617</t>
  </si>
  <si>
    <t>Diya Basu</t>
  </si>
  <si>
    <t>C07618</t>
  </si>
  <si>
    <t>Vritti Narang</t>
  </si>
  <si>
    <t>C07619</t>
  </si>
  <si>
    <t>Yasti Sachdev</t>
  </si>
  <si>
    <t>C07620</t>
  </si>
  <si>
    <t>Rayaan Nigam</t>
  </si>
  <si>
    <t>C07621</t>
  </si>
  <si>
    <t>Sanaya Arya</t>
  </si>
  <si>
    <t>C07622</t>
  </si>
  <si>
    <t>Riya Keer</t>
  </si>
  <si>
    <t>C07623</t>
  </si>
  <si>
    <t>Onkar Kamdar</t>
  </si>
  <si>
    <t>C07624</t>
  </si>
  <si>
    <t>Ekantika Narayan</t>
  </si>
  <si>
    <t>C07625</t>
  </si>
  <si>
    <t>Brijesh Nadkarni</t>
  </si>
  <si>
    <t>C07626</t>
  </si>
  <si>
    <t>Bachittar Parmar</t>
  </si>
  <si>
    <t>C07627</t>
  </si>
  <si>
    <t>Girik Vohra</t>
  </si>
  <si>
    <t>C07628</t>
  </si>
  <si>
    <t>Tristan Varty</t>
  </si>
  <si>
    <t>C07629</t>
  </si>
  <si>
    <t>Ati Lall</t>
  </si>
  <si>
    <t>C07630</t>
  </si>
  <si>
    <t>Deepa Pillai</t>
  </si>
  <si>
    <t>C07631</t>
  </si>
  <si>
    <t>Henry Bose</t>
  </si>
  <si>
    <t>C07632</t>
  </si>
  <si>
    <t>Devansh Morar</t>
  </si>
  <si>
    <t>C07633</t>
  </si>
  <si>
    <t>Charan Chaudry</t>
  </si>
  <si>
    <t>C07634</t>
  </si>
  <si>
    <t>Utkarsh Naidu</t>
  </si>
  <si>
    <t>C07635</t>
  </si>
  <si>
    <t>Rushil Rattan</t>
  </si>
  <si>
    <t>C07636</t>
  </si>
  <si>
    <t>Ishaan Nair</t>
  </si>
  <si>
    <t>C07637</t>
  </si>
  <si>
    <t>Falan Barad</t>
  </si>
  <si>
    <t>C07638</t>
  </si>
  <si>
    <t>Shravya Sekhon</t>
  </si>
  <si>
    <t>C07639</t>
  </si>
  <si>
    <t>Lucky Kata</t>
  </si>
  <si>
    <t>C07640</t>
  </si>
  <si>
    <t>Amara Parikh</t>
  </si>
  <si>
    <t>C07641</t>
  </si>
  <si>
    <t>Yauvani Manne</t>
  </si>
  <si>
    <t>C07642</t>
  </si>
  <si>
    <t>Nisha Solanki</t>
  </si>
  <si>
    <t>C07643</t>
  </si>
  <si>
    <t>Aryan Kata</t>
  </si>
  <si>
    <t>C07644</t>
  </si>
  <si>
    <t>Prisha Misra</t>
  </si>
  <si>
    <t>C07645</t>
  </si>
  <si>
    <t>Dominic Sankaran</t>
  </si>
  <si>
    <t>C07646</t>
  </si>
  <si>
    <t>Krish Nagar</t>
  </si>
  <si>
    <t>C07647</t>
  </si>
  <si>
    <t>Tejas Tara</t>
  </si>
  <si>
    <t>C07648</t>
  </si>
  <si>
    <t>Jagat Pant</t>
  </si>
  <si>
    <t>C07649</t>
  </si>
  <si>
    <t>Jasmit Sethi</t>
  </si>
  <si>
    <t>C07650</t>
  </si>
  <si>
    <t>Manan Sarna</t>
  </si>
  <si>
    <t>C07651</t>
  </si>
  <si>
    <t>Hemang Upadhyay</t>
  </si>
  <si>
    <t>C07652</t>
  </si>
  <si>
    <t>Sathvik Barad</t>
  </si>
  <si>
    <t>C07653</t>
  </si>
  <si>
    <t>Gaurang Narula</t>
  </si>
  <si>
    <t>C07654</t>
  </si>
  <si>
    <t>Daksha Gade</t>
  </si>
  <si>
    <t>C07655</t>
  </si>
  <si>
    <t>Utkarsh Gill</t>
  </si>
  <si>
    <t>C07656</t>
  </si>
  <si>
    <t>Gautam Prashad</t>
  </si>
  <si>
    <t>C07657</t>
  </si>
  <si>
    <t>Ekapad Palan</t>
  </si>
  <si>
    <t>C07658</t>
  </si>
  <si>
    <t>Yug Sant</t>
  </si>
  <si>
    <t>C07659</t>
  </si>
  <si>
    <t>Arjun Shukla</t>
  </si>
  <si>
    <t>C07660</t>
  </si>
  <si>
    <t>Charita Manne</t>
  </si>
  <si>
    <t>C07661</t>
  </si>
  <si>
    <t>Urishilla Kumar</t>
  </si>
  <si>
    <t>C07662</t>
  </si>
  <si>
    <t>Patrick Das</t>
  </si>
  <si>
    <t>C07663</t>
  </si>
  <si>
    <t>Ishanvi Mander</t>
  </si>
  <si>
    <t>C07664</t>
  </si>
  <si>
    <t>Vidhi Loyal</t>
  </si>
  <si>
    <t>C07665</t>
  </si>
  <si>
    <t>Panini Bhatt</t>
  </si>
  <si>
    <t>C07666</t>
  </si>
  <si>
    <t>Aarush Nayar</t>
  </si>
  <si>
    <t>C07667</t>
  </si>
  <si>
    <t>Neel Gandhi</t>
  </si>
  <si>
    <t>C07668</t>
  </si>
  <si>
    <t>Yochana Chandra</t>
  </si>
  <si>
    <t>C07669</t>
  </si>
  <si>
    <t>Ekbal Mangat</t>
  </si>
  <si>
    <t>C07670</t>
  </si>
  <si>
    <t>Vedant Mital</t>
  </si>
  <si>
    <t>C07671</t>
  </si>
  <si>
    <t>Varsha Raju</t>
  </si>
  <si>
    <t>C07672</t>
  </si>
  <si>
    <t>C07673</t>
  </si>
  <si>
    <t>Shivani Mani</t>
  </si>
  <si>
    <t>C07674</t>
  </si>
  <si>
    <t>Kabir Dass</t>
  </si>
  <si>
    <t>C07675</t>
  </si>
  <si>
    <t>Bhavya Khurana</t>
  </si>
  <si>
    <t>C07676</t>
  </si>
  <si>
    <t>Ayush Doshi</t>
  </si>
  <si>
    <t>C07677</t>
  </si>
  <si>
    <t>Ijaya Balan</t>
  </si>
  <si>
    <t>C07678</t>
  </si>
  <si>
    <t>Rachit Dada</t>
  </si>
  <si>
    <t>C07679</t>
  </si>
  <si>
    <t>Ojasvi Purohit</t>
  </si>
  <si>
    <t>C07680</t>
  </si>
  <si>
    <t>Tripti Dasgupta</t>
  </si>
  <si>
    <t>C07681</t>
  </si>
  <si>
    <t>Ojasvi Sachdev</t>
  </si>
  <si>
    <t>C07682</t>
  </si>
  <si>
    <t>Faras Agarwal</t>
  </si>
  <si>
    <t>C07683</t>
  </si>
  <si>
    <t>Dhriti Ramesh</t>
  </si>
  <si>
    <t>C07684</t>
  </si>
  <si>
    <t>Arunima Ghosh</t>
  </si>
  <si>
    <t>C07685</t>
  </si>
  <si>
    <t>Krish Dave</t>
  </si>
  <si>
    <t>C07686</t>
  </si>
  <si>
    <t>Thomas Luthra</t>
  </si>
  <si>
    <t>C07687</t>
  </si>
  <si>
    <t>Elijah Joshi</t>
  </si>
  <si>
    <t>C07688</t>
  </si>
  <si>
    <t>Pallavi Kant</t>
  </si>
  <si>
    <t>C07689</t>
  </si>
  <si>
    <t>Vinaya Parmar</t>
  </si>
  <si>
    <t>C07690</t>
  </si>
  <si>
    <t>Girindra Som</t>
  </si>
  <si>
    <t>C07691</t>
  </si>
  <si>
    <t>Ekbal Narang</t>
  </si>
  <si>
    <t>C07692</t>
  </si>
  <si>
    <t>Daksha Majumdar</t>
  </si>
  <si>
    <t>C07693</t>
  </si>
  <si>
    <t>C07694</t>
  </si>
  <si>
    <t>Avi Gala</t>
  </si>
  <si>
    <t>C07695</t>
  </si>
  <si>
    <t>Yatan Palla</t>
  </si>
  <si>
    <t>C07696</t>
  </si>
  <si>
    <t>C07697</t>
  </si>
  <si>
    <t>Jalsa Saraf</t>
  </si>
  <si>
    <t>C07698</t>
  </si>
  <si>
    <t>Logan Puri</t>
  </si>
  <si>
    <t>C07699</t>
  </si>
  <si>
    <t>Imaran Rajagopal</t>
  </si>
  <si>
    <t>C07700</t>
  </si>
  <si>
    <t>Vrishti Dave</t>
  </si>
  <si>
    <t>C07701</t>
  </si>
  <si>
    <t>Tejas Bhavsar</t>
  </si>
  <si>
    <t>C07702</t>
  </si>
  <si>
    <t>Lakshmi Natt</t>
  </si>
  <si>
    <t>C07703</t>
  </si>
  <si>
    <t>Nakul Goswami</t>
  </si>
  <si>
    <t>C07704</t>
  </si>
  <si>
    <t>Reva Prashad</t>
  </si>
  <si>
    <t>C07705</t>
  </si>
  <si>
    <t>George Misra</t>
  </si>
  <si>
    <t>C07706</t>
  </si>
  <si>
    <t>C07707</t>
  </si>
  <si>
    <t>Aarnav Gola</t>
  </si>
  <si>
    <t>C07708</t>
  </si>
  <si>
    <t>Hemal Bhatt</t>
  </si>
  <si>
    <t>C07709</t>
  </si>
  <si>
    <t>Anika Mani</t>
  </si>
  <si>
    <t>C07710</t>
  </si>
  <si>
    <t>Mohini Srivastava</t>
  </si>
  <si>
    <t>C07711</t>
  </si>
  <si>
    <t>Pranit Walla</t>
  </si>
  <si>
    <t>C07712</t>
  </si>
  <si>
    <t>Aadi Mital</t>
  </si>
  <si>
    <t>C07713</t>
  </si>
  <si>
    <t>Wridesh Kaur</t>
  </si>
  <si>
    <t>C07714</t>
  </si>
  <si>
    <t>Zayyan Patel</t>
  </si>
  <si>
    <t>C07715</t>
  </si>
  <si>
    <t>Kritika Chacko</t>
  </si>
  <si>
    <t>C07716</t>
  </si>
  <si>
    <t>Vasatika Master</t>
  </si>
  <si>
    <t>C07717</t>
  </si>
  <si>
    <t>Manthan Parmar</t>
  </si>
  <si>
    <t>C07718</t>
  </si>
  <si>
    <t>Ishwar Lad</t>
  </si>
  <si>
    <t>C07719</t>
  </si>
  <si>
    <t>Zansi Shukla</t>
  </si>
  <si>
    <t>C07720</t>
  </si>
  <si>
    <t>Tanay Bhatt</t>
  </si>
  <si>
    <t>C07721</t>
  </si>
  <si>
    <t>Abhiram Mann</t>
  </si>
  <si>
    <t>C07722</t>
  </si>
  <si>
    <t>Ekanta Mangal</t>
  </si>
  <si>
    <t>C07723</t>
  </si>
  <si>
    <t>Ridhi Tandon</t>
  </si>
  <si>
    <t>C07724</t>
  </si>
  <si>
    <t>Pavani Chandran</t>
  </si>
  <si>
    <t>C07725</t>
  </si>
  <si>
    <t>C07726</t>
  </si>
  <si>
    <t>Yadavi Behl</t>
  </si>
  <si>
    <t>C07727</t>
  </si>
  <si>
    <t>Harish Wason</t>
  </si>
  <si>
    <t>C07728</t>
  </si>
  <si>
    <t>Yagnesh Chada</t>
  </si>
  <si>
    <t>C07729</t>
  </si>
  <si>
    <t>Samuel Chad</t>
  </si>
  <si>
    <t>C07730</t>
  </si>
  <si>
    <t>George Bhattacharyya</t>
  </si>
  <si>
    <t>C07731</t>
  </si>
  <si>
    <t>Veer Sant</t>
  </si>
  <si>
    <t>C07732</t>
  </si>
  <si>
    <t>Nitara Garde</t>
  </si>
  <si>
    <t>C07733</t>
  </si>
  <si>
    <t>Alexander Sunder</t>
  </si>
  <si>
    <t>C07734</t>
  </si>
  <si>
    <t>Tanmayi Chatterjee</t>
  </si>
  <si>
    <t>C07735</t>
  </si>
  <si>
    <t>Nidra Vohra</t>
  </si>
  <si>
    <t>C07736</t>
  </si>
  <si>
    <t>Pallavi Mitra</t>
  </si>
  <si>
    <t>C07737</t>
  </si>
  <si>
    <t>Ganga Sha</t>
  </si>
  <si>
    <t>C07738</t>
  </si>
  <si>
    <t>Niharika Agate</t>
  </si>
  <si>
    <t>C07739</t>
  </si>
  <si>
    <t>Priya Hora</t>
  </si>
  <si>
    <t>C07740</t>
  </si>
  <si>
    <t>Ekbal Pradhan</t>
  </si>
  <si>
    <t>C07741</t>
  </si>
  <si>
    <t>Praneel Hayre</t>
  </si>
  <si>
    <t>C07742</t>
  </si>
  <si>
    <t>Netra Bandi</t>
  </si>
  <si>
    <t>C07743</t>
  </si>
  <si>
    <t>Qasim Hayer</t>
  </si>
  <si>
    <t>C07744</t>
  </si>
  <si>
    <t>Qasim Thakkar</t>
  </si>
  <si>
    <t>C07745</t>
  </si>
  <si>
    <t>Gautami Nayak</t>
  </si>
  <si>
    <t>C07746</t>
  </si>
  <si>
    <t>Eta Devi</t>
  </si>
  <si>
    <t>C07747</t>
  </si>
  <si>
    <t>Bhavya Chandran</t>
  </si>
  <si>
    <t>C07748</t>
  </si>
  <si>
    <t>Bimala Dube</t>
  </si>
  <si>
    <t>C07749</t>
  </si>
  <si>
    <t>Netra Rege</t>
  </si>
  <si>
    <t>C07750</t>
  </si>
  <si>
    <t>Balhaar Chauhan</t>
  </si>
  <si>
    <t>C07751</t>
  </si>
  <si>
    <t>Faqid Kunda</t>
  </si>
  <si>
    <t>C07752</t>
  </si>
  <si>
    <t>Lucky Bahl</t>
  </si>
  <si>
    <t>C07753</t>
  </si>
  <si>
    <t>Neelima Samra</t>
  </si>
  <si>
    <t>C07754</t>
  </si>
  <si>
    <t>Samesh Venkataraman</t>
  </si>
  <si>
    <t>C07755</t>
  </si>
  <si>
    <t>Kabir Deshmukh</t>
  </si>
  <si>
    <t>C07756</t>
  </si>
  <si>
    <t>Arunima Barad</t>
  </si>
  <si>
    <t>C07757</t>
  </si>
  <si>
    <t>Ekaja Kata</t>
  </si>
  <si>
    <t>C07758</t>
  </si>
  <si>
    <t>Qarin Goda</t>
  </si>
  <si>
    <t>C07759</t>
  </si>
  <si>
    <t>C07760</t>
  </si>
  <si>
    <t>Ayaan Chandran</t>
  </si>
  <si>
    <t>C07761</t>
  </si>
  <si>
    <t>Faqid Comar</t>
  </si>
  <si>
    <t>C07762</t>
  </si>
  <si>
    <t>Aahana Warrior</t>
  </si>
  <si>
    <t>C07763</t>
  </si>
  <si>
    <t>Shaurya Kapoor</t>
  </si>
  <si>
    <t>C07764</t>
  </si>
  <si>
    <t>Reyansh Kari</t>
  </si>
  <si>
    <t>C07765</t>
  </si>
  <si>
    <t>Januja Golla</t>
  </si>
  <si>
    <t>C07766</t>
  </si>
  <si>
    <t>Jackson Kala</t>
  </si>
  <si>
    <t>C07767</t>
  </si>
  <si>
    <t>Yagnesh Kumar</t>
  </si>
  <si>
    <t>C07768</t>
  </si>
  <si>
    <t>Nisha Mander</t>
  </si>
  <si>
    <t>C07769</t>
  </si>
  <si>
    <t>Jonathan Kalita</t>
  </si>
  <si>
    <t>C07770</t>
  </si>
  <si>
    <t>Quincy Tella</t>
  </si>
  <si>
    <t>C07771</t>
  </si>
  <si>
    <t>Chanchal Misra</t>
  </si>
  <si>
    <t>C07772</t>
  </si>
  <si>
    <t>Priya Ahluwalia</t>
  </si>
  <si>
    <t>C07773</t>
  </si>
  <si>
    <t>Aishani Vala</t>
  </si>
  <si>
    <t>C07774</t>
  </si>
  <si>
    <t>Pushti Hans</t>
  </si>
  <si>
    <t>C07775</t>
  </si>
  <si>
    <t>Owen Bhagat</t>
  </si>
  <si>
    <t>C07776</t>
  </si>
  <si>
    <t>Yug Sarkar</t>
  </si>
  <si>
    <t>C07777</t>
  </si>
  <si>
    <t>Urvashi Kibe</t>
  </si>
  <si>
    <t>C07778</t>
  </si>
  <si>
    <t>Jalsa Goel</t>
  </si>
  <si>
    <t>C07779</t>
  </si>
  <si>
    <t>Vincent Parekh</t>
  </si>
  <si>
    <t>C07780</t>
  </si>
  <si>
    <t>George Natt</t>
  </si>
  <si>
    <t>C07781</t>
  </si>
  <si>
    <t>Leela Raval</t>
  </si>
  <si>
    <t>C07782</t>
  </si>
  <si>
    <t>Gaurangi Bhatti</t>
  </si>
  <si>
    <t>C07783</t>
  </si>
  <si>
    <t>Vinaya Ramakrishnan</t>
  </si>
  <si>
    <t>C07784</t>
  </si>
  <si>
    <t>Kala Koshy</t>
  </si>
  <si>
    <t>C07785</t>
  </si>
  <si>
    <t>Omaja Saha</t>
  </si>
  <si>
    <t>C07786</t>
  </si>
  <si>
    <t>Henry Lata</t>
  </si>
  <si>
    <t>C07787</t>
  </si>
  <si>
    <t>Kala Kanda</t>
  </si>
  <si>
    <t>C07788</t>
  </si>
  <si>
    <t>Nidhi Prabhakar</t>
  </si>
  <si>
    <t>C07789</t>
  </si>
  <si>
    <t>Bhavya Sathe</t>
  </si>
  <si>
    <t>C07790</t>
  </si>
  <si>
    <t>Meera Saraf</t>
  </si>
  <si>
    <t>C07791</t>
  </si>
  <si>
    <t>Viraj Nigam</t>
  </si>
  <si>
    <t>C07792</t>
  </si>
  <si>
    <t>Nikita Datta</t>
  </si>
  <si>
    <t>C07793</t>
  </si>
  <si>
    <t>Zaid Dube</t>
  </si>
  <si>
    <t>C07794</t>
  </si>
  <si>
    <t>Samaksh Rama</t>
  </si>
  <si>
    <t>C07795</t>
  </si>
  <si>
    <t>Matthew Mishra</t>
  </si>
  <si>
    <t>C07796</t>
  </si>
  <si>
    <t>Hamsini Soman</t>
  </si>
  <si>
    <t>C07797</t>
  </si>
  <si>
    <t>Naksh Shankar</t>
  </si>
  <si>
    <t>C07798</t>
  </si>
  <si>
    <t>Ronith Kapur</t>
  </si>
  <si>
    <t>C07799</t>
  </si>
  <si>
    <t>Anika Kala</t>
  </si>
  <si>
    <t>C07800</t>
  </si>
  <si>
    <t>Nirja Narasimhan</t>
  </si>
  <si>
    <t>C07801</t>
  </si>
  <si>
    <t>Yatin Bal</t>
  </si>
  <si>
    <t>C07802</t>
  </si>
  <si>
    <t>Harrison Ramaswamy</t>
  </si>
  <si>
    <t>C07803</t>
  </si>
  <si>
    <t>Chaman Singhal</t>
  </si>
  <si>
    <t>C07804</t>
  </si>
  <si>
    <t>Faras Sagar</t>
  </si>
  <si>
    <t>C07805</t>
  </si>
  <si>
    <t>Irya Kapur</t>
  </si>
  <si>
    <t>C07806</t>
  </si>
  <si>
    <t>Harrison Ramesh</t>
  </si>
  <si>
    <t>C07807</t>
  </si>
  <si>
    <t>Triya Chakrabarti</t>
  </si>
  <si>
    <t>C07808</t>
  </si>
  <si>
    <t>Yash Bajaj</t>
  </si>
  <si>
    <t>C07809</t>
  </si>
  <si>
    <t>Sathvik Som</t>
  </si>
  <si>
    <t>C07810</t>
  </si>
  <si>
    <t>Ladli Bhargava</t>
  </si>
  <si>
    <t>C07811</t>
  </si>
  <si>
    <t>Ojas Agrawal</t>
  </si>
  <si>
    <t>C07812</t>
  </si>
  <si>
    <t>Anusha Yadav</t>
  </si>
  <si>
    <t>C07813</t>
  </si>
  <si>
    <t>Vasatika Bahl</t>
  </si>
  <si>
    <t>C07814</t>
  </si>
  <si>
    <t>Libni Maharaj</t>
  </si>
  <si>
    <t>C07815</t>
  </si>
  <si>
    <t>C07816</t>
  </si>
  <si>
    <t>Bhavika Rao</t>
  </si>
  <si>
    <t>C07817</t>
  </si>
  <si>
    <t>Chameli Sathe</t>
  </si>
  <si>
    <t>C07818</t>
  </si>
  <si>
    <t>Qarin Naik</t>
  </si>
  <si>
    <t>C07819</t>
  </si>
  <si>
    <t>Maanas Gala</t>
  </si>
  <si>
    <t>C07820</t>
  </si>
  <si>
    <t>Chaman Padmanabhan</t>
  </si>
  <si>
    <t>C07821</t>
  </si>
  <si>
    <t>Samesh Halder</t>
  </si>
  <si>
    <t>C07822</t>
  </si>
  <si>
    <t>Triveni Dewan</t>
  </si>
  <si>
    <t>C07823</t>
  </si>
  <si>
    <t>Advay Kale</t>
  </si>
  <si>
    <t>C07824</t>
  </si>
  <si>
    <t>Adweta Tiwari</t>
  </si>
  <si>
    <t>C07825</t>
  </si>
  <si>
    <t>Imaran Golla</t>
  </si>
  <si>
    <t>C07826</t>
  </si>
  <si>
    <t>Leela Master</t>
  </si>
  <si>
    <t>C07827</t>
  </si>
  <si>
    <t>Gaurang Rout</t>
  </si>
  <si>
    <t>C07828</t>
  </si>
  <si>
    <t>Atharv Sabharwal</t>
  </si>
  <si>
    <t>C07829</t>
  </si>
  <si>
    <t>Tejas Narasimhan</t>
  </si>
  <si>
    <t>C07830</t>
  </si>
  <si>
    <t>Indrajit Bali</t>
  </si>
  <si>
    <t>C07831</t>
  </si>
  <si>
    <t>Lopa Chokshi</t>
  </si>
  <si>
    <t>C07832</t>
  </si>
  <si>
    <t>Inaya Bala</t>
  </si>
  <si>
    <t>C07833</t>
  </si>
  <si>
    <t>Nandini Koshy</t>
  </si>
  <si>
    <t>C07834</t>
  </si>
  <si>
    <t>Bahadurjit Bumb</t>
  </si>
  <si>
    <t>C07835</t>
  </si>
  <si>
    <t>Upkaar Kata</t>
  </si>
  <si>
    <t>C07836</t>
  </si>
  <si>
    <t>Anita Kale</t>
  </si>
  <si>
    <t>C07837</t>
  </si>
  <si>
    <t>Oni Subramaniam</t>
  </si>
  <si>
    <t>C07838</t>
  </si>
  <si>
    <t>Anusha Walla</t>
  </si>
  <si>
    <t>C07839</t>
  </si>
  <si>
    <t>Baghyawati Bath</t>
  </si>
  <si>
    <t>C07840</t>
  </si>
  <si>
    <t>Gaurang Bhatia</t>
  </si>
  <si>
    <t>C07841</t>
  </si>
  <si>
    <t>Radha Tak</t>
  </si>
  <si>
    <t>C07842</t>
  </si>
  <si>
    <t>Baljiwan Borah</t>
  </si>
  <si>
    <t>C07843</t>
  </si>
  <si>
    <t>Gavin Chawla</t>
  </si>
  <si>
    <t>C07844</t>
  </si>
  <si>
    <t>Advaith Mandal</t>
  </si>
  <si>
    <t>C07845</t>
  </si>
  <si>
    <t>Aryan Batta</t>
  </si>
  <si>
    <t>C07846</t>
  </si>
  <si>
    <t>Neel Barad</t>
  </si>
  <si>
    <t>C07847</t>
  </si>
  <si>
    <t>Omisha Sahni</t>
  </si>
  <si>
    <t>C07848</t>
  </si>
  <si>
    <t>Netra Bali</t>
  </si>
  <si>
    <t>C07849</t>
  </si>
  <si>
    <t>Balveer Koshy</t>
  </si>
  <si>
    <t>C07850</t>
  </si>
  <si>
    <t>Maanas Dara</t>
  </si>
  <si>
    <t>C07851</t>
  </si>
  <si>
    <t>C07852</t>
  </si>
  <si>
    <t>Chasmum Lal</t>
  </si>
  <si>
    <t>C07853</t>
  </si>
  <si>
    <t>Darpan Kadakia</t>
  </si>
  <si>
    <t>C07854</t>
  </si>
  <si>
    <t>Rudra Borde</t>
  </si>
  <si>
    <t>C07855</t>
  </si>
  <si>
    <t>Darsh Sridhar</t>
  </si>
  <si>
    <t>C07856</t>
  </si>
  <si>
    <t>Vedika Chaudhry</t>
  </si>
  <si>
    <t>C07857</t>
  </si>
  <si>
    <t>Lavanya Bhargava</t>
  </si>
  <si>
    <t>C07858</t>
  </si>
  <si>
    <t>Ekiya Srivastava</t>
  </si>
  <si>
    <t>C07859</t>
  </si>
  <si>
    <t>Gabriel Tandon</t>
  </si>
  <si>
    <t>C07860</t>
  </si>
  <si>
    <t>Samar Deshmukh</t>
  </si>
  <si>
    <t>C07861</t>
  </si>
  <si>
    <t>Dayamai Babu</t>
  </si>
  <si>
    <t>C07862</t>
  </si>
  <si>
    <t>Chavvi Shetty</t>
  </si>
  <si>
    <t>C07863</t>
  </si>
  <si>
    <t>Neel Verma</t>
  </si>
  <si>
    <t>C07864</t>
  </si>
  <si>
    <t>Bimala Chanda</t>
  </si>
  <si>
    <t>C07865</t>
  </si>
  <si>
    <t>Kevin Walla</t>
  </si>
  <si>
    <t>C07866</t>
  </si>
  <si>
    <t>Chandani Nadig</t>
  </si>
  <si>
    <t>C07867</t>
  </si>
  <si>
    <t>Vedhika Borde</t>
  </si>
  <si>
    <t>C07868</t>
  </si>
  <si>
    <t>Rajata Soni</t>
  </si>
  <si>
    <t>C07869</t>
  </si>
  <si>
    <t>Vritti Rai</t>
  </si>
  <si>
    <t>C07870</t>
  </si>
  <si>
    <t>Priya Guha</t>
  </si>
  <si>
    <t>C07871</t>
  </si>
  <si>
    <t>William Buch</t>
  </si>
  <si>
    <t>C07872</t>
  </si>
  <si>
    <t>Xalak Mitra</t>
  </si>
  <si>
    <t>C07873</t>
  </si>
  <si>
    <t>Ladli Das</t>
  </si>
  <si>
    <t>C07874</t>
  </si>
  <si>
    <t>Omkaar Krish</t>
  </si>
  <si>
    <t>C07875</t>
  </si>
  <si>
    <t>Jagat Pall</t>
  </si>
  <si>
    <t>C07876</t>
  </si>
  <si>
    <t>Chanakya Borra</t>
  </si>
  <si>
    <t>C07877</t>
  </si>
  <si>
    <t>Fitan Nayak</t>
  </si>
  <si>
    <t>C07878</t>
  </si>
  <si>
    <t>Garima Behl</t>
  </si>
  <si>
    <t>C07879</t>
  </si>
  <si>
    <t>Rachita Goyal</t>
  </si>
  <si>
    <t>C07880</t>
  </si>
  <si>
    <t>Ekalinga Ray</t>
  </si>
  <si>
    <t>C07881</t>
  </si>
  <si>
    <t>Hemangini Nazareth</t>
  </si>
  <si>
    <t>C07882</t>
  </si>
  <si>
    <t>Ekantika Gill</t>
  </si>
  <si>
    <t>C07883</t>
  </si>
  <si>
    <t>Devika Borde</t>
  </si>
  <si>
    <t>C07884</t>
  </si>
  <si>
    <t>Liam Patla</t>
  </si>
  <si>
    <t>C07885</t>
  </si>
  <si>
    <t>Vidhi Bhattacharyya</t>
  </si>
  <si>
    <t>C07886</t>
  </si>
  <si>
    <t>Anya Verma</t>
  </si>
  <si>
    <t>C07887</t>
  </si>
  <si>
    <t>Pooja Ramakrishnan</t>
  </si>
  <si>
    <t>C07888</t>
  </si>
  <si>
    <t>Yashawini Kant</t>
  </si>
  <si>
    <t>C07889</t>
  </si>
  <si>
    <t>Azaan Pingle</t>
  </si>
  <si>
    <t>C07890</t>
  </si>
  <si>
    <t>Harini Sant</t>
  </si>
  <si>
    <t>C07891</t>
  </si>
  <si>
    <t>Ijaya Ratti</t>
  </si>
  <si>
    <t>C07892</t>
  </si>
  <si>
    <t>Jasmit Patla</t>
  </si>
  <si>
    <t>C07893</t>
  </si>
  <si>
    <t>Madhav Gour</t>
  </si>
  <si>
    <t>C07894</t>
  </si>
  <si>
    <t>Gabriel Shah</t>
  </si>
  <si>
    <t>C07895</t>
  </si>
  <si>
    <t>Madhavi Raval</t>
  </si>
  <si>
    <t>C07896</t>
  </si>
  <si>
    <t>Janaki Ravel</t>
  </si>
  <si>
    <t>C07897</t>
  </si>
  <si>
    <t>Atharv Lad</t>
  </si>
  <si>
    <t>C07898</t>
  </si>
  <si>
    <t>Abhiram Soni</t>
  </si>
  <si>
    <t>C07899</t>
  </si>
  <si>
    <t>Brijesh Butala</t>
  </si>
  <si>
    <t>C07900</t>
  </si>
  <si>
    <t>Anvi Choudhry</t>
  </si>
  <si>
    <t>C07901</t>
  </si>
  <si>
    <t>Abdul Radhakrishnan</t>
  </si>
  <si>
    <t>C07902</t>
  </si>
  <si>
    <t>Pranit Lad</t>
  </si>
  <si>
    <t>C07903</t>
  </si>
  <si>
    <t>Yauvani Saxena</t>
  </si>
  <si>
    <t>C07904</t>
  </si>
  <si>
    <t>Abdul Aggarwal</t>
  </si>
  <si>
    <t>C07905</t>
  </si>
  <si>
    <t>Nilima Bhargava</t>
  </si>
  <si>
    <t>C07906</t>
  </si>
  <si>
    <t>Harish Sunder</t>
  </si>
  <si>
    <t>C07907</t>
  </si>
  <si>
    <t>Lohit Amble</t>
  </si>
  <si>
    <t>C07908</t>
  </si>
  <si>
    <t>Nikita Ganguly</t>
  </si>
  <si>
    <t>C07909</t>
  </si>
  <si>
    <t>Yachana Choudhry</t>
  </si>
  <si>
    <t>C07910</t>
  </si>
  <si>
    <t>Indali Edwin</t>
  </si>
  <si>
    <t>C07911</t>
  </si>
  <si>
    <t>Veer Dhar</t>
  </si>
  <si>
    <t>C07912</t>
  </si>
  <si>
    <t>Pratyush Gill</t>
  </si>
  <si>
    <t>C07913</t>
  </si>
  <si>
    <t>Bhanumati Arya</t>
  </si>
  <si>
    <t>C07914</t>
  </si>
  <si>
    <t>Urishilla Narain</t>
  </si>
  <si>
    <t>C07915</t>
  </si>
  <si>
    <t>Reyansh Parmar</t>
  </si>
  <si>
    <t>C07916</t>
  </si>
  <si>
    <t>Azad Agarwal</t>
  </si>
  <si>
    <t>C07917</t>
  </si>
  <si>
    <t>George Barad</t>
  </si>
  <si>
    <t>C07918</t>
  </si>
  <si>
    <t>Sneha D’Alia</t>
  </si>
  <si>
    <t>C07919</t>
  </si>
  <si>
    <t>Kashish Chaudry</t>
  </si>
  <si>
    <t>C07920</t>
  </si>
  <si>
    <t>Yatin Palan</t>
  </si>
  <si>
    <t>C07921</t>
  </si>
  <si>
    <t>Dipta Hari</t>
  </si>
  <si>
    <t>C07922</t>
  </si>
  <si>
    <t>C07923</t>
  </si>
  <si>
    <t>Karan Amble</t>
  </si>
  <si>
    <t>C07924</t>
  </si>
  <si>
    <t>Bimala Dalal</t>
  </si>
  <si>
    <t>C07925</t>
  </si>
  <si>
    <t>Vrishti Baria</t>
  </si>
  <si>
    <t>C07926</t>
  </si>
  <si>
    <t>Wridesh Balakrishnan</t>
  </si>
  <si>
    <t>C07927</t>
  </si>
  <si>
    <t>Anay Bora</t>
  </si>
  <si>
    <t>C07928</t>
  </si>
  <si>
    <t>Charita Chaudry</t>
  </si>
  <si>
    <t>C07929</t>
  </si>
  <si>
    <t>Forum Kibe</t>
  </si>
  <si>
    <t>C07930</t>
  </si>
  <si>
    <t>Faras Natarajan</t>
  </si>
  <si>
    <t>C07931</t>
  </si>
  <si>
    <t>Yashvi Chandran</t>
  </si>
  <si>
    <t>C07932</t>
  </si>
  <si>
    <t>Bhavna Singh</t>
  </si>
  <si>
    <t>C07933</t>
  </si>
  <si>
    <t>Suhani Mani</t>
  </si>
  <si>
    <t>C07934</t>
  </si>
  <si>
    <t>Balhaar Gill</t>
  </si>
  <si>
    <t>C07935</t>
  </si>
  <si>
    <t>Yashvi Kapoor</t>
  </si>
  <si>
    <t>C07936</t>
  </si>
  <si>
    <t>Lekha Kapadia</t>
  </si>
  <si>
    <t>C07937</t>
  </si>
  <si>
    <t>Widisha Bakshi</t>
  </si>
  <si>
    <t>C07938</t>
  </si>
  <si>
    <t>Ucchal D’Alia</t>
  </si>
  <si>
    <t>C07939</t>
  </si>
  <si>
    <t>Gunbir Kapadia</t>
  </si>
  <si>
    <t>C07940</t>
  </si>
  <si>
    <t>Zashil Khatri</t>
  </si>
  <si>
    <t>C07941</t>
  </si>
  <si>
    <t>Akshay Nagar</t>
  </si>
  <si>
    <t>C07942</t>
  </si>
  <si>
    <t>Ekantika Padmanabhan</t>
  </si>
  <si>
    <t>C07943</t>
  </si>
  <si>
    <t>Kashish Mohan</t>
  </si>
  <si>
    <t>C07944</t>
  </si>
  <si>
    <t>Arunima Grover</t>
  </si>
  <si>
    <t>C07945</t>
  </si>
  <si>
    <t>Oni Sani</t>
  </si>
  <si>
    <t>C07946</t>
  </si>
  <si>
    <t>Chanchal Parmer</t>
  </si>
  <si>
    <t>C07947</t>
  </si>
  <si>
    <t>Zinal Sanghvi</t>
  </si>
  <si>
    <t>C07948</t>
  </si>
  <si>
    <t>Krishna Bhavsar</t>
  </si>
  <si>
    <t>C07949</t>
  </si>
  <si>
    <t>Lipika Narula</t>
  </si>
  <si>
    <t>C07950</t>
  </si>
  <si>
    <t>Tripti Khosla</t>
  </si>
  <si>
    <t>C07951</t>
  </si>
  <si>
    <t>Sneha Mahajan</t>
  </si>
  <si>
    <t>C07952</t>
  </si>
  <si>
    <t>Sachi Bassi</t>
  </si>
  <si>
    <t>C07953</t>
  </si>
  <si>
    <t>Mohini Nadkarni</t>
  </si>
  <si>
    <t>C07954</t>
  </si>
  <si>
    <t>Sachi Sachdeva</t>
  </si>
  <si>
    <t>C07955</t>
  </si>
  <si>
    <t>Udant Sahota</t>
  </si>
  <si>
    <t>C07956</t>
  </si>
  <si>
    <t>Chandani Bhardwaj</t>
  </si>
  <si>
    <t>C07957</t>
  </si>
  <si>
    <t>Ishita Kannan</t>
  </si>
  <si>
    <t>C07958</t>
  </si>
  <si>
    <t>Yauvani Mand</t>
  </si>
  <si>
    <t>C07959</t>
  </si>
  <si>
    <t>Varenya Rastogi</t>
  </si>
  <si>
    <t>C07960</t>
  </si>
  <si>
    <t>Mitali Merchant</t>
  </si>
  <si>
    <t>C07961</t>
  </si>
  <si>
    <t>Charvi Sharaf</t>
  </si>
  <si>
    <t>C07962</t>
  </si>
  <si>
    <t>C07963</t>
  </si>
  <si>
    <t>Baghyawati Gour</t>
  </si>
  <si>
    <t>C07964</t>
  </si>
  <si>
    <t>Lohit Krishna</t>
  </si>
  <si>
    <t>C07965</t>
  </si>
  <si>
    <t>Simon Mitra</t>
  </si>
  <si>
    <t>C07966</t>
  </si>
  <si>
    <t>Azad Mahal</t>
  </si>
  <si>
    <t>C07967</t>
  </si>
  <si>
    <t>Suhani Date</t>
  </si>
  <si>
    <t>C07968</t>
  </si>
  <si>
    <t>Indrajit Narayanan</t>
  </si>
  <si>
    <t>C07969</t>
  </si>
  <si>
    <t>Yatin Rao</t>
  </si>
  <si>
    <t>C07970</t>
  </si>
  <si>
    <t>Falak Warrior</t>
  </si>
  <si>
    <t>C07971</t>
  </si>
  <si>
    <t>Divya Shanker</t>
  </si>
  <si>
    <t>C07972</t>
  </si>
  <si>
    <t>Ayush Rajagopalan</t>
  </si>
  <si>
    <t>C07973</t>
  </si>
  <si>
    <t>Wishi Radhakrishnan</t>
  </si>
  <si>
    <t>C07974</t>
  </si>
  <si>
    <t>Nicholas Mall</t>
  </si>
  <si>
    <t>C07975</t>
  </si>
  <si>
    <t>Jyoti Sethi</t>
  </si>
  <si>
    <t>C07976</t>
  </si>
  <si>
    <t>William Kala</t>
  </si>
  <si>
    <t>C07977</t>
  </si>
  <si>
    <t>Maanas Nigam</t>
  </si>
  <si>
    <t>C07978</t>
  </si>
  <si>
    <t>Jagrati Golla</t>
  </si>
  <si>
    <t>C07979</t>
  </si>
  <si>
    <t>Fitan Nagy</t>
  </si>
  <si>
    <t>C07980</t>
  </si>
  <si>
    <t>Lila Kara</t>
  </si>
  <si>
    <t>C07981</t>
  </si>
  <si>
    <t>Ati Bahri</t>
  </si>
  <si>
    <t>C07982</t>
  </si>
  <si>
    <t>Radhika Ramanathan</t>
  </si>
  <si>
    <t>C07983</t>
  </si>
  <si>
    <t>Gautam Savant</t>
  </si>
  <si>
    <t>C07984</t>
  </si>
  <si>
    <t>Hardik Sunder</t>
  </si>
  <si>
    <t>C07985</t>
  </si>
  <si>
    <t>Naksh Dewan</t>
  </si>
  <si>
    <t>C07986</t>
  </si>
  <si>
    <t>Avi Mittal</t>
  </si>
  <si>
    <t>C07987</t>
  </si>
  <si>
    <t>Nikita Shetty</t>
  </si>
  <si>
    <t>C07988</t>
  </si>
  <si>
    <t>Jagdish Parmer</t>
  </si>
  <si>
    <t>C07989</t>
  </si>
  <si>
    <t>Patrick Ravi</t>
  </si>
  <si>
    <t>C07990</t>
  </si>
  <si>
    <t>Shaurya Soman</t>
  </si>
  <si>
    <t>C07991</t>
  </si>
  <si>
    <t>Meghana Kant</t>
  </si>
  <si>
    <t>C07992</t>
  </si>
  <si>
    <t>Isha Bali</t>
  </si>
  <si>
    <t>C07993</t>
  </si>
  <si>
    <t>Jairaj Kashyap</t>
  </si>
  <si>
    <t>C07994</t>
  </si>
  <si>
    <t>Xiti Bath</t>
  </si>
  <si>
    <t>C07995</t>
  </si>
  <si>
    <t>Ishita Amble</t>
  </si>
  <si>
    <t>C07996</t>
  </si>
  <si>
    <t>Matthew Bath</t>
  </si>
  <si>
    <t>C07997</t>
  </si>
  <si>
    <t>Girish Bava</t>
  </si>
  <si>
    <t>C07998</t>
  </si>
  <si>
    <t>Wriddhish Kohli</t>
  </si>
  <si>
    <t>C07999</t>
  </si>
  <si>
    <t>Kashvi Kara</t>
  </si>
  <si>
    <t>C08000</t>
  </si>
  <si>
    <t>Vidhi Chad</t>
  </si>
  <si>
    <t>ProductID</t>
  </si>
  <si>
    <t>ProductName</t>
  </si>
  <si>
    <t>Category</t>
  </si>
  <si>
    <t>SubCategory</t>
  </si>
  <si>
    <t>UnitCost</t>
  </si>
  <si>
    <t>UnitPrice</t>
  </si>
  <si>
    <t>P0001</t>
  </si>
  <si>
    <t>Full HD TV A1</t>
  </si>
  <si>
    <t>Electronics</t>
  </si>
  <si>
    <t>Televisions</t>
  </si>
  <si>
    <t>P0002</t>
  </si>
  <si>
    <t>QLED Smart TV B2</t>
  </si>
  <si>
    <t>P0003</t>
  </si>
  <si>
    <t>Smart LED TV C3</t>
  </si>
  <si>
    <t>P0004</t>
  </si>
  <si>
    <t>QLED Smart TV D4</t>
  </si>
  <si>
    <t>P0005</t>
  </si>
  <si>
    <t>Smart LED TV E5</t>
  </si>
  <si>
    <t>P0006</t>
  </si>
  <si>
    <t>Full HD TV A6</t>
  </si>
  <si>
    <t>P0007</t>
  </si>
  <si>
    <t>Full HD TV B7</t>
  </si>
  <si>
    <t>P0008</t>
  </si>
  <si>
    <t>QLED Smart TV C8</t>
  </si>
  <si>
    <t>P0009</t>
  </si>
  <si>
    <t>Budget Smartphone A1</t>
  </si>
  <si>
    <t>Mobile Phones</t>
  </si>
  <si>
    <t>P0010</t>
  </si>
  <si>
    <t>Budget Smartphone B2</t>
  </si>
  <si>
    <t>P0011</t>
  </si>
  <si>
    <t>Premium Smartphone C3</t>
  </si>
  <si>
    <t>P0012</t>
  </si>
  <si>
    <t>Premium Smartphone D4</t>
  </si>
  <si>
    <t>P0013</t>
  </si>
  <si>
    <t>5G Smartphone E5</t>
  </si>
  <si>
    <t>P0014</t>
  </si>
  <si>
    <t>Budget Smartphone A6</t>
  </si>
  <si>
    <t>P0015</t>
  </si>
  <si>
    <t>Budget Smartphone B7</t>
  </si>
  <si>
    <t>P0016</t>
  </si>
  <si>
    <t>Budget Smartphone C8</t>
  </si>
  <si>
    <t>P0017</t>
  </si>
  <si>
    <t>Ultrabook A1</t>
  </si>
  <si>
    <t>Laptops</t>
  </si>
  <si>
    <t>P0018</t>
  </si>
  <si>
    <t>Business Laptop B2</t>
  </si>
  <si>
    <t>P0019</t>
  </si>
  <si>
    <t>Student Laptop C3</t>
  </si>
  <si>
    <t>P0020</t>
  </si>
  <si>
    <t>Student Laptop D4</t>
  </si>
  <si>
    <t>P0021</t>
  </si>
  <si>
    <t>Ultrabook E5</t>
  </si>
  <si>
    <t>P0022</t>
  </si>
  <si>
    <t>Ultrabook A6</t>
  </si>
  <si>
    <t>P0023</t>
  </si>
  <si>
    <t>Student Laptop B7</t>
  </si>
  <si>
    <t>P0024</t>
  </si>
  <si>
    <t>Student Laptop C8</t>
  </si>
  <si>
    <t>P0025</t>
  </si>
  <si>
    <t>Soundbar A1</t>
  </si>
  <si>
    <t>Audio</t>
  </si>
  <si>
    <t>P0026</t>
  </si>
  <si>
    <t>Earbuds B2</t>
  </si>
  <si>
    <t>P0027</t>
  </si>
  <si>
    <t>Bluetooth Speaker C3</t>
  </si>
  <si>
    <t>P0028</t>
  </si>
  <si>
    <t>Soundbar D4</t>
  </si>
  <si>
    <t>P0029</t>
  </si>
  <si>
    <t>Soundbar E5</t>
  </si>
  <si>
    <t>P0030</t>
  </si>
  <si>
    <t>Earbuds A6</t>
  </si>
  <si>
    <t>P0031</t>
  </si>
  <si>
    <t>Wireless Headphones B7</t>
  </si>
  <si>
    <t>P0032</t>
  </si>
  <si>
    <t>Power Bank A1</t>
  </si>
  <si>
    <t>Accessories</t>
  </si>
  <si>
    <t>P0033</t>
  </si>
  <si>
    <t>USB-C Cable B2</t>
  </si>
  <si>
    <t>P0034</t>
  </si>
  <si>
    <t>Wireless Charger C3</t>
  </si>
  <si>
    <t>P0035</t>
  </si>
  <si>
    <t>Power Bank D4</t>
  </si>
  <si>
    <t>P0036</t>
  </si>
  <si>
    <t>Wireless Charger E5</t>
  </si>
  <si>
    <t>P0037</t>
  </si>
  <si>
    <t>Wireless Charger A6</t>
  </si>
  <si>
    <t>P0038</t>
  </si>
  <si>
    <t>USB-C Cable B7</t>
  </si>
  <si>
    <t>P0039</t>
  </si>
  <si>
    <t>Mixer Grinder A1</t>
  </si>
  <si>
    <t>Home &amp; Kitchen</t>
  </si>
  <si>
    <t>Kitchen Appliances</t>
  </si>
  <si>
    <t>P0040</t>
  </si>
  <si>
    <t>Electric Kettle B2</t>
  </si>
  <si>
    <t>P0041</t>
  </si>
  <si>
    <t>Electric Kettle C3</t>
  </si>
  <si>
    <t>P0042</t>
  </si>
  <si>
    <t>Microwave Oven D4</t>
  </si>
  <si>
    <t>P0043</t>
  </si>
  <si>
    <t>Microwave Oven E5</t>
  </si>
  <si>
    <t>P0044</t>
  </si>
  <si>
    <t>Microwave Oven A6</t>
  </si>
  <si>
    <t>P0045</t>
  </si>
  <si>
    <t>Microwave Oven B7</t>
  </si>
  <si>
    <t>P0046</t>
  </si>
  <si>
    <t>Bookshelf A1</t>
  </si>
  <si>
    <t>Furniture</t>
  </si>
  <si>
    <t>P0047</t>
  </si>
  <si>
    <t>Bookshelf B2</t>
  </si>
  <si>
    <t>P0048</t>
  </si>
  <si>
    <t>Study Table C3</t>
  </si>
  <si>
    <t>P0049</t>
  </si>
  <si>
    <t>Study Table D4</t>
  </si>
  <si>
    <t>P0050</t>
  </si>
  <si>
    <t>Bookshelf E5</t>
  </si>
  <si>
    <t>P0051</t>
  </si>
  <si>
    <t>Bookshelf A6</t>
  </si>
  <si>
    <t>P0052</t>
  </si>
  <si>
    <t>Study Table B7</t>
  </si>
  <si>
    <t>P0053</t>
  </si>
  <si>
    <t>Cookware Set A1</t>
  </si>
  <si>
    <t>Cookware</t>
  </si>
  <si>
    <t>P0054</t>
  </si>
  <si>
    <t>Non-stick Pan B2</t>
  </si>
  <si>
    <t>P0055</t>
  </si>
  <si>
    <t>Non-stick Pan C3</t>
  </si>
  <si>
    <t>P0056</t>
  </si>
  <si>
    <t>Frying Pan D4</t>
  </si>
  <si>
    <t>P0057</t>
  </si>
  <si>
    <t>Non-stick Pan E5</t>
  </si>
  <si>
    <t>P0058</t>
  </si>
  <si>
    <t>Pressure Cooker A6</t>
  </si>
  <si>
    <t>P0059</t>
  </si>
  <si>
    <t>Pressure Cooker B7</t>
  </si>
  <si>
    <t>P0060</t>
  </si>
  <si>
    <t>Wall Clock A1</t>
  </si>
  <si>
    <t>Home Decor</t>
  </si>
  <si>
    <t>P0061</t>
  </si>
  <si>
    <t>Decorative Vase B2</t>
  </si>
  <si>
    <t>P0062</t>
  </si>
  <si>
    <t>Decorative Vase C3</t>
  </si>
  <si>
    <t>P0063</t>
  </si>
  <si>
    <t>Table Lamp D4</t>
  </si>
  <si>
    <t>P0064</t>
  </si>
  <si>
    <t>Decorative Vase E5</t>
  </si>
  <si>
    <t>P0065</t>
  </si>
  <si>
    <t>Decorative Vase A6</t>
  </si>
  <si>
    <t>P0066</t>
  </si>
  <si>
    <t>Wall Clock B7</t>
  </si>
  <si>
    <t>P0067</t>
  </si>
  <si>
    <t>Men's T-Shirt A1</t>
  </si>
  <si>
    <t>Clothing</t>
  </si>
  <si>
    <t>Men's Clothing</t>
  </si>
  <si>
    <t>P0068</t>
  </si>
  <si>
    <t>Men's T-Shirt B2</t>
  </si>
  <si>
    <t>P0069</t>
  </si>
  <si>
    <t>Men's Jeans C3</t>
  </si>
  <si>
    <t>P0070</t>
  </si>
  <si>
    <t>Men's Jacket D4</t>
  </si>
  <si>
    <t>P0071</t>
  </si>
  <si>
    <t>Men's Jacket E5</t>
  </si>
  <si>
    <t>P0072</t>
  </si>
  <si>
    <t>Men's Jacket A6</t>
  </si>
  <si>
    <t>P0073</t>
  </si>
  <si>
    <t>Men's Jeans B7</t>
  </si>
  <si>
    <t>P0074</t>
  </si>
  <si>
    <t>Women's Jeans A1</t>
  </si>
  <si>
    <t>Women's Clothing</t>
  </si>
  <si>
    <t>P0075</t>
  </si>
  <si>
    <t>Women's Jeans B2</t>
  </si>
  <si>
    <t>P0076</t>
  </si>
  <si>
    <t>Women's Jacket C3</t>
  </si>
  <si>
    <t>P0077</t>
  </si>
  <si>
    <t>Women's Jeans D4</t>
  </si>
  <si>
    <t>P0078</t>
  </si>
  <si>
    <t>Women's Jeans E5</t>
  </si>
  <si>
    <t>P0079</t>
  </si>
  <si>
    <t>Women's Jeans A6</t>
  </si>
  <si>
    <t>P0080</t>
  </si>
  <si>
    <t>Women's Jeans B7</t>
  </si>
  <si>
    <t>P0081</t>
  </si>
  <si>
    <t>Kids Jacket A1</t>
  </si>
  <si>
    <t>Kids' Clothing</t>
  </si>
  <si>
    <t>P0082</t>
  </si>
  <si>
    <t>Kids Jeans B2</t>
  </si>
  <si>
    <t>P0083</t>
  </si>
  <si>
    <t>Kids Dress C3</t>
  </si>
  <si>
    <t>P0084</t>
  </si>
  <si>
    <t>Kids Dress D4</t>
  </si>
  <si>
    <t>P0085</t>
  </si>
  <si>
    <t>Kids T-Shirt E5</t>
  </si>
  <si>
    <t>P0086</t>
  </si>
  <si>
    <t>Kids T-Shirt A6</t>
  </si>
  <si>
    <t>P0087</t>
  </si>
  <si>
    <t>Kids T-Shirt B7</t>
  </si>
  <si>
    <t>P0088</t>
  </si>
  <si>
    <t>Sandals A1</t>
  </si>
  <si>
    <t>Footwear</t>
  </si>
  <si>
    <t>P0089</t>
  </si>
  <si>
    <t>Sports Shoes B2</t>
  </si>
  <si>
    <t>P0090</t>
  </si>
  <si>
    <t>Sandals C3</t>
  </si>
  <si>
    <t>P0091</t>
  </si>
  <si>
    <t>Running Shoes D4</t>
  </si>
  <si>
    <t>P0092</t>
  </si>
  <si>
    <t>Sports Shoes E5</t>
  </si>
  <si>
    <t>P0093</t>
  </si>
  <si>
    <t>Sports Shoes A6</t>
  </si>
  <si>
    <t>P0094</t>
  </si>
  <si>
    <t>Running Shoes B7</t>
  </si>
  <si>
    <t>P0095</t>
  </si>
  <si>
    <t>Cooking Oil A1</t>
  </si>
  <si>
    <t>Grocery</t>
  </si>
  <si>
    <t>Staples</t>
  </si>
  <si>
    <t>P0096</t>
  </si>
  <si>
    <t>Sugar B2</t>
  </si>
  <si>
    <t>P0097</t>
  </si>
  <si>
    <t>Sugar C3</t>
  </si>
  <si>
    <t>P0098</t>
  </si>
  <si>
    <t>Cooking Oil D4</t>
  </si>
  <si>
    <t>P0099</t>
  </si>
  <si>
    <t>Sugar E5</t>
  </si>
  <si>
    <t>P0100</t>
  </si>
  <si>
    <t>Sugar A6</t>
  </si>
  <si>
    <t>P0101</t>
  </si>
  <si>
    <t>Rice B7</t>
  </si>
  <si>
    <t>P0102</t>
  </si>
  <si>
    <t>Namkeen A1</t>
  </si>
  <si>
    <t>Snacks</t>
  </si>
  <si>
    <t>P0103</t>
  </si>
  <si>
    <t>Chocolate B2</t>
  </si>
  <si>
    <t>P0104</t>
  </si>
  <si>
    <t>Chips C3</t>
  </si>
  <si>
    <t>P0105</t>
  </si>
  <si>
    <t>Namkeen D4</t>
  </si>
  <si>
    <t>P0106</t>
  </si>
  <si>
    <t>Chocolate E5</t>
  </si>
  <si>
    <t>P0107</t>
  </si>
  <si>
    <t>Chocolate A6</t>
  </si>
  <si>
    <t>P0108</t>
  </si>
  <si>
    <t>Namkeen B7</t>
  </si>
  <si>
    <t>P0109</t>
  </si>
  <si>
    <t>Tea A1</t>
  </si>
  <si>
    <t>Beverages</t>
  </si>
  <si>
    <t>P0110</t>
  </si>
  <si>
    <t>Juice B2</t>
  </si>
  <si>
    <t>P0111</t>
  </si>
  <si>
    <t>Coffee C3</t>
  </si>
  <si>
    <t>P0112</t>
  </si>
  <si>
    <t>Coffee D4</t>
  </si>
  <si>
    <t>P0113</t>
  </si>
  <si>
    <t>Juice E5</t>
  </si>
  <si>
    <t>P0114</t>
  </si>
  <si>
    <t>Soft Drink A6</t>
  </si>
  <si>
    <t>P0115</t>
  </si>
  <si>
    <t>Soft Drink B7</t>
  </si>
  <si>
    <t>P0116</t>
  </si>
  <si>
    <t>Instant Noodles A1</t>
  </si>
  <si>
    <t>Packaged Food</t>
  </si>
  <si>
    <t>P0117</t>
  </si>
  <si>
    <t>Instant Noodles B2</t>
  </si>
  <si>
    <t>P0118</t>
  </si>
  <si>
    <t>Instant Noodles C3</t>
  </si>
  <si>
    <t>P0119</t>
  </si>
  <si>
    <t>Instant Noodles D4</t>
  </si>
  <si>
    <t>P0120</t>
  </si>
  <si>
    <t>Breakfast Cereal E5</t>
  </si>
  <si>
    <t>P0121</t>
  </si>
  <si>
    <t>Pasta A6</t>
  </si>
  <si>
    <t>P0122</t>
  </si>
  <si>
    <t>Pasta B7</t>
  </si>
  <si>
    <t>P0123</t>
  </si>
  <si>
    <t>Face Cream A1</t>
  </si>
  <si>
    <t>Personal Care</t>
  </si>
  <si>
    <t>Skincare</t>
  </si>
  <si>
    <t>P0124</t>
  </si>
  <si>
    <t>Sunscreen B2</t>
  </si>
  <si>
    <t>P0125</t>
  </si>
  <si>
    <t>Face Wash C3</t>
  </si>
  <si>
    <t>P0126</t>
  </si>
  <si>
    <t>Face Cream D4</t>
  </si>
  <si>
    <t>P0127</t>
  </si>
  <si>
    <t>Sunscreen E5</t>
  </si>
  <si>
    <t>P0128</t>
  </si>
  <si>
    <t>Moisturizer A6</t>
  </si>
  <si>
    <t>P0129</t>
  </si>
  <si>
    <t>Moisturizer B7</t>
  </si>
  <si>
    <t>P0130</t>
  </si>
  <si>
    <t>Shampoo A1</t>
  </si>
  <si>
    <t>Haircare</t>
  </si>
  <si>
    <t>P0131</t>
  </si>
  <si>
    <t>Hair Serum B2</t>
  </si>
  <si>
    <t>P0132</t>
  </si>
  <si>
    <t>Hair Serum C3</t>
  </si>
  <si>
    <t>P0133</t>
  </si>
  <si>
    <t>Conditioner D4</t>
  </si>
  <si>
    <t>P0134</t>
  </si>
  <si>
    <t>Hair Oil E5</t>
  </si>
  <si>
    <t>P0135</t>
  </si>
  <si>
    <t>Hair Serum A6</t>
  </si>
  <si>
    <t>P0136</t>
  </si>
  <si>
    <t>Conditioner B7</t>
  </si>
  <si>
    <t>P0137</t>
  </si>
  <si>
    <t>Body Wash A1</t>
  </si>
  <si>
    <t>Bath &amp; Body</t>
  </si>
  <si>
    <t>P0138</t>
  </si>
  <si>
    <t>Body Wash B2</t>
  </si>
  <si>
    <t>P0139</t>
  </si>
  <si>
    <t>Deodorant C3</t>
  </si>
  <si>
    <t>P0140</t>
  </si>
  <si>
    <t>Body Lotion D4</t>
  </si>
  <si>
    <t>P0141</t>
  </si>
  <si>
    <t>Soap E5</t>
  </si>
  <si>
    <t>P0142</t>
  </si>
  <si>
    <t>Body Lotion A6</t>
  </si>
  <si>
    <t>P0143</t>
  </si>
  <si>
    <t>Body Lotion B7</t>
  </si>
  <si>
    <t>P0144</t>
  </si>
  <si>
    <t>Razor A1</t>
  </si>
  <si>
    <t>Grooming</t>
  </si>
  <si>
    <t>P0145</t>
  </si>
  <si>
    <t>Shaving Kit B2</t>
  </si>
  <si>
    <t>P0146</t>
  </si>
  <si>
    <t>Trimmer C3</t>
  </si>
  <si>
    <t>P0147</t>
  </si>
  <si>
    <t>Razor D4</t>
  </si>
  <si>
    <t>P0148</t>
  </si>
  <si>
    <t>Shaving Kit E5</t>
  </si>
  <si>
    <t>P0149</t>
  </si>
  <si>
    <t>Beard Oil A6</t>
  </si>
  <si>
    <t>P0150</t>
  </si>
  <si>
    <t>Trimmer B7</t>
  </si>
  <si>
    <t>StoreID</t>
  </si>
  <si>
    <t>StoreName</t>
  </si>
  <si>
    <t>StoreType</t>
  </si>
  <si>
    <t>S001</t>
  </si>
  <si>
    <t>RetailCo Guwahati 1</t>
  </si>
  <si>
    <t>Mall</t>
  </si>
  <si>
    <t>S002</t>
  </si>
  <si>
    <t>RetailCo Kolkata 2</t>
  </si>
  <si>
    <t>Neighborhood</t>
  </si>
  <si>
    <t>S003</t>
  </si>
  <si>
    <t>RetailCo Delhi 3</t>
  </si>
  <si>
    <t>High Street</t>
  </si>
  <si>
    <t>S004</t>
  </si>
  <si>
    <t>RetailCo Lucknow 4</t>
  </si>
  <si>
    <t>S005</t>
  </si>
  <si>
    <t>RetailCo Ahmedabad 5</t>
  </si>
  <si>
    <t>S006</t>
  </si>
  <si>
    <t>RetailCo Chandigarh 6</t>
  </si>
  <si>
    <t>S007</t>
  </si>
  <si>
    <t>RetailCo Chennai 7</t>
  </si>
  <si>
    <t>S008</t>
  </si>
  <si>
    <t>RetailCo Pune 8</t>
  </si>
  <si>
    <t>S009</t>
  </si>
  <si>
    <t>RetailCo Coimbatore 9</t>
  </si>
  <si>
    <t>S010</t>
  </si>
  <si>
    <t>RetailCo Nagpur 10</t>
  </si>
  <si>
    <t>S011</t>
  </si>
  <si>
    <t>RetailCo Coimbatore 11</t>
  </si>
  <si>
    <t>S012</t>
  </si>
  <si>
    <t>RetailCo Nagpur 12</t>
  </si>
  <si>
    <t>S013</t>
  </si>
  <si>
    <t>RetailCo Coimbatore 13</t>
  </si>
  <si>
    <t>S014</t>
  </si>
  <si>
    <t>RetailCo Ahmedabad 14</t>
  </si>
  <si>
    <t>S015</t>
  </si>
  <si>
    <t>RetailCo Noida 15</t>
  </si>
  <si>
    <t>S016</t>
  </si>
  <si>
    <t>RetailCo Kochi 16</t>
  </si>
  <si>
    <t>S017</t>
  </si>
  <si>
    <t>RetailCo Kochi 17</t>
  </si>
  <si>
    <t>S018</t>
  </si>
  <si>
    <t>RetailCo Kochi 18</t>
  </si>
  <si>
    <t>S019</t>
  </si>
  <si>
    <t>RetailCo Chennai 19</t>
  </si>
  <si>
    <t>S020</t>
  </si>
  <si>
    <t>RetailCo Jaipur 20</t>
  </si>
  <si>
    <t>S021</t>
  </si>
  <si>
    <t>RetailCo Coimbatore 21</t>
  </si>
  <si>
    <t>S022</t>
  </si>
  <si>
    <t>RetailCo Ranchi 22</t>
  </si>
  <si>
    <t>S023</t>
  </si>
  <si>
    <t>RetailCo Pune 23</t>
  </si>
  <si>
    <t>S024</t>
  </si>
  <si>
    <t>RetailCo Coimbatore 24</t>
  </si>
  <si>
    <t>S025</t>
  </si>
  <si>
    <t>RetailCo Kolkata 25</t>
  </si>
  <si>
    <t>OrderID</t>
  </si>
  <si>
    <t>OrderDate</t>
  </si>
  <si>
    <t>Quantity</t>
  </si>
  <si>
    <t>Discount</t>
  </si>
  <si>
    <t>PaymentMethod</t>
  </si>
  <si>
    <t>O000623</t>
  </si>
  <si>
    <t>Debit Card</t>
  </si>
  <si>
    <t>O000950</t>
  </si>
  <si>
    <t>UPI</t>
  </si>
  <si>
    <t>O000444</t>
  </si>
  <si>
    <t>Net Banking</t>
  </si>
  <si>
    <t>O000594</t>
  </si>
  <si>
    <t>Credit Card</t>
  </si>
  <si>
    <t>O000477</t>
  </si>
  <si>
    <t>O000744</t>
  </si>
  <si>
    <t>O000283</t>
  </si>
  <si>
    <t>Cash</t>
  </si>
  <si>
    <t>O000457</t>
  </si>
  <si>
    <t>O000047</t>
  </si>
  <si>
    <t>O000706</t>
  </si>
  <si>
    <t>O000948</t>
  </si>
  <si>
    <t>O000065</t>
  </si>
  <si>
    <t>O000215</t>
  </si>
  <si>
    <t>O000095</t>
  </si>
  <si>
    <t>O000097</t>
  </si>
  <si>
    <t>O000545</t>
  </si>
  <si>
    <t>O000246</t>
  </si>
  <si>
    <t>O000902</t>
  </si>
  <si>
    <t>O000972</t>
  </si>
  <si>
    <t>O000628</t>
  </si>
  <si>
    <t>O000753</t>
  </si>
  <si>
    <t>O000460</t>
  </si>
  <si>
    <t>O000482</t>
  </si>
  <si>
    <t>O000223</t>
  </si>
  <si>
    <t>O000144</t>
  </si>
  <si>
    <t>O000298</t>
  </si>
  <si>
    <t>O000501</t>
  </si>
  <si>
    <t>O000741</t>
  </si>
  <si>
    <t>O000791</t>
  </si>
  <si>
    <t>O000988</t>
  </si>
  <si>
    <t>O000370</t>
  </si>
  <si>
    <t>O000089</t>
  </si>
  <si>
    <t>O000281</t>
  </si>
  <si>
    <t>O000673</t>
  </si>
  <si>
    <t>O000070</t>
  </si>
  <si>
    <t>O000247</t>
  </si>
  <si>
    <t>O000881</t>
  </si>
  <si>
    <t>O000996</t>
  </si>
  <si>
    <t>O000387</t>
  </si>
  <si>
    <t>O000622</t>
  </si>
  <si>
    <t>O000185</t>
  </si>
  <si>
    <t>O000487</t>
  </si>
  <si>
    <t>O000269</t>
  </si>
  <si>
    <t>O000850</t>
  </si>
  <si>
    <t>O000424</t>
  </si>
  <si>
    <t>O000585</t>
  </si>
  <si>
    <t>O000145</t>
  </si>
  <si>
    <t>O000510</t>
  </si>
  <si>
    <t>O000630</t>
  </si>
  <si>
    <t>O000026</t>
  </si>
  <si>
    <t>O000064</t>
  </si>
  <si>
    <t>O000092</t>
  </si>
  <si>
    <t>O000642</t>
  </si>
  <si>
    <t>O000756</t>
  </si>
  <si>
    <t>O000541</t>
  </si>
  <si>
    <t>O000555</t>
  </si>
  <si>
    <t>O000513</t>
  </si>
  <si>
    <t>O000775</t>
  </si>
  <si>
    <t>O000258</t>
  </si>
  <si>
    <t>O000906</t>
  </si>
  <si>
    <t>O000509</t>
  </si>
  <si>
    <t>O000015</t>
  </si>
  <si>
    <t>O000209</t>
  </si>
  <si>
    <t>O000639</t>
  </si>
  <si>
    <t>O000840</t>
  </si>
  <si>
    <t>O000357</t>
  </si>
  <si>
    <t>O000636</t>
  </si>
  <si>
    <t>O000293</t>
  </si>
  <si>
    <t>O000502</t>
  </si>
  <si>
    <t>O000147</t>
  </si>
  <si>
    <t>O000661</t>
  </si>
  <si>
    <t>O000567</t>
  </si>
  <si>
    <t>O000989</t>
  </si>
  <si>
    <t>O000920</t>
  </si>
  <si>
    <t>O000410</t>
  </si>
  <si>
    <t>O000730</t>
  </si>
  <si>
    <t>O000083</t>
  </si>
  <si>
    <t>O000023</t>
  </si>
  <si>
    <t>O000219</t>
  </si>
  <si>
    <t>O000847</t>
  </si>
  <si>
    <t>O000985</t>
  </si>
  <si>
    <t>O000016</t>
  </si>
  <si>
    <t>O000789</t>
  </si>
  <si>
    <t>O000629</t>
  </si>
  <si>
    <t>O000944</t>
  </si>
  <si>
    <t>O000929</t>
  </si>
  <si>
    <t>O000055</t>
  </si>
  <si>
    <t>O000290</t>
  </si>
  <si>
    <t>O000322</t>
  </si>
  <si>
    <t>O000355</t>
  </si>
  <si>
    <t>O000862</t>
  </si>
  <si>
    <t>O000199</t>
  </si>
  <si>
    <t>O000414</t>
  </si>
  <si>
    <t>O000846</t>
  </si>
  <si>
    <t>O000860</t>
  </si>
  <si>
    <t>O000150</t>
  </si>
  <si>
    <t>O000179</t>
  </si>
  <si>
    <t>O000078</t>
  </si>
  <si>
    <t>O000208</t>
  </si>
  <si>
    <t>O000742</t>
  </si>
  <si>
    <t>O000896</t>
  </si>
  <si>
    <t>O000124</t>
  </si>
  <si>
    <t>O000038</t>
  </si>
  <si>
    <t>O000495</t>
  </si>
  <si>
    <t>O000542</t>
  </si>
  <si>
    <t>O000197</t>
  </si>
  <si>
    <t>O000442</t>
  </si>
  <si>
    <t>O000125</t>
  </si>
  <si>
    <t>O000679</t>
  </si>
  <si>
    <t>O000517</t>
  </si>
  <si>
    <t>O000262</t>
  </si>
  <si>
    <t>O000252</t>
  </si>
  <si>
    <t>O000535</t>
  </si>
  <si>
    <t>O000610</t>
  </si>
  <si>
    <t>O000968</t>
  </si>
  <si>
    <t>O000194</t>
  </si>
  <si>
    <t>O000421</t>
  </si>
  <si>
    <t>O000213</t>
  </si>
  <si>
    <t>O000618</t>
  </si>
  <si>
    <t>O000157</t>
  </si>
  <si>
    <t>O000581</t>
  </si>
  <si>
    <t>O000828</t>
  </si>
  <si>
    <t>O000030</t>
  </si>
  <si>
    <t>O000008</t>
  </si>
  <si>
    <t>O000553</t>
  </si>
  <si>
    <t>O000011</t>
  </si>
  <si>
    <t>O000305</t>
  </si>
  <si>
    <t>O000391</t>
  </si>
  <si>
    <t>O000818</t>
  </si>
  <si>
    <t>O000376</t>
  </si>
  <si>
    <t>O000564</t>
  </si>
  <si>
    <t>O000066</t>
  </si>
  <si>
    <t>O000101</t>
  </si>
  <si>
    <t>O000781</t>
  </si>
  <si>
    <t>O000819</t>
  </si>
  <si>
    <t>O000265</t>
  </si>
  <si>
    <t>O000937</t>
  </si>
  <si>
    <t>O000138</t>
  </si>
  <si>
    <t>O000795</t>
  </si>
  <si>
    <t>O000992</t>
  </si>
  <si>
    <t>O000938</t>
  </si>
  <si>
    <t>O000743</t>
  </si>
  <si>
    <t>O000239</t>
  </si>
  <si>
    <t>O000253</t>
  </si>
  <si>
    <t>O000633</t>
  </si>
  <si>
    <t>O000068</t>
  </si>
  <si>
    <t>O000928</t>
  </si>
  <si>
    <t>O000933</t>
  </si>
  <si>
    <t>O000942</t>
  </si>
  <si>
    <t>O000310</t>
  </si>
  <si>
    <t>O000234</t>
  </si>
  <si>
    <t>O000531</t>
  </si>
  <si>
    <t>O000806</t>
  </si>
  <si>
    <t>O000167</t>
  </si>
  <si>
    <t>O000889</t>
  </si>
  <si>
    <t>O000181</t>
  </si>
  <si>
    <t>O000935</t>
  </si>
  <si>
    <t>O000953</t>
  </si>
  <si>
    <t>O000014</t>
  </si>
  <si>
    <t>O000130</t>
  </si>
  <si>
    <t>O000736</t>
  </si>
  <si>
    <t>O000191</t>
  </si>
  <si>
    <t>O000474</t>
  </si>
  <si>
    <t>O000356</t>
  </si>
  <si>
    <t>O000241</t>
  </si>
  <si>
    <t>O000273</t>
  </si>
  <si>
    <t>O000291</t>
  </si>
  <si>
    <t>O000746</t>
  </si>
  <si>
    <t>O000770</t>
  </si>
  <si>
    <t>O000945</t>
  </si>
  <si>
    <t>O000880</t>
  </si>
  <si>
    <t>O000562</t>
  </si>
  <si>
    <t>O000842</t>
  </si>
  <si>
    <t>O000111</t>
  </si>
  <si>
    <t>O000921</t>
  </si>
  <si>
    <t>O000319</t>
  </si>
  <si>
    <t>O000674</t>
  </si>
  <si>
    <t>O000831</t>
  </si>
  <si>
    <t>O000001</t>
  </si>
  <si>
    <t>O000665</t>
  </si>
  <si>
    <t>O000757</t>
  </si>
  <si>
    <t>O000402</t>
  </si>
  <si>
    <t>O000853</t>
  </si>
  <si>
    <t>O000162</t>
  </si>
  <si>
    <t>O000054</t>
  </si>
  <si>
    <t>O000279</t>
  </si>
  <si>
    <t>O000496</t>
  </si>
  <si>
    <t>O000835</t>
  </si>
  <si>
    <t>O000710</t>
  </si>
  <si>
    <t>O000189</t>
  </si>
  <si>
    <t>O000323</t>
  </si>
  <si>
    <t>O000979</t>
  </si>
  <si>
    <t>O000163</t>
  </si>
  <si>
    <t>O000361</t>
  </si>
  <si>
    <t>O000787</t>
  </si>
  <si>
    <t>O000683</t>
  </si>
  <si>
    <t>O000072</t>
  </si>
  <si>
    <t>O000711</t>
  </si>
  <si>
    <t>O000388</t>
  </si>
  <si>
    <t>O000523</t>
  </si>
  <si>
    <t>O000868</t>
  </si>
  <si>
    <t>O000962</t>
  </si>
  <si>
    <t>O000752</t>
  </si>
  <si>
    <t>O000420</t>
  </si>
  <si>
    <t>O000982</t>
  </si>
  <si>
    <t>O000895</t>
  </si>
  <si>
    <t>O000977</t>
  </si>
  <si>
    <t>O000012</t>
  </si>
  <si>
    <t>O000484</t>
  </si>
  <si>
    <t>O000764</t>
  </si>
  <si>
    <t>O000458</t>
  </si>
  <si>
    <t>O000686</t>
  </si>
  <si>
    <t>O000076</t>
  </si>
  <si>
    <t>O000763</t>
  </si>
  <si>
    <t>O000129</t>
  </si>
  <si>
    <t>O000733</t>
  </si>
  <si>
    <t>O000869</t>
  </si>
  <si>
    <t>O000569</t>
  </si>
  <si>
    <t>O000919</t>
  </si>
  <si>
    <t>O000480</t>
  </si>
  <si>
    <t>O000851</t>
  </si>
  <si>
    <t>O000751</t>
  </si>
  <si>
    <t>O000975</t>
  </si>
  <si>
    <t>O000591</t>
  </si>
  <si>
    <t>O000288</t>
  </si>
  <si>
    <t>O000619</t>
  </si>
  <si>
    <t>O000772</t>
  </si>
  <si>
    <t>O000260</t>
  </si>
  <si>
    <t>O000887</t>
  </si>
  <si>
    <t>O000007</t>
  </si>
  <si>
    <t>O000035</t>
  </si>
  <si>
    <t>O000220</t>
  </si>
  <si>
    <t>O000641</t>
  </si>
  <si>
    <t>O000521</t>
  </si>
  <si>
    <t>O000776</t>
  </si>
  <si>
    <t>O000552</t>
  </si>
  <si>
    <t>O000530</t>
  </si>
  <si>
    <t>O000651</t>
  </si>
  <si>
    <t>O000719</t>
  </si>
  <si>
    <t>O000398</t>
  </si>
  <si>
    <t>O000695</t>
  </si>
  <si>
    <t>O000042</t>
  </si>
  <si>
    <t>O000077</t>
  </si>
  <si>
    <t>O000866</t>
  </si>
  <si>
    <t>O000062</t>
  </si>
  <si>
    <t>O000313</t>
  </si>
  <si>
    <t>O000516</t>
  </si>
  <si>
    <t>O000814</t>
  </si>
  <si>
    <t>O000149</t>
  </si>
  <si>
    <t>O000506</t>
  </si>
  <si>
    <t>O000822</t>
  </si>
  <si>
    <t>O000278</t>
  </si>
  <si>
    <t>O000664</t>
  </si>
  <si>
    <t>O000153</t>
  </si>
  <si>
    <t>O000439</t>
  </si>
  <si>
    <t>O000903</t>
  </si>
  <si>
    <t>O000970</t>
  </si>
  <si>
    <t>O000922</t>
  </si>
  <si>
    <t>O000930</t>
  </si>
  <si>
    <t>O000050</t>
  </si>
  <si>
    <t>O000720</t>
  </si>
  <si>
    <t>O000146</t>
  </si>
  <si>
    <t>O000498</t>
  </si>
  <si>
    <t>O000599</t>
  </si>
  <si>
    <t>O000995</t>
  </si>
  <si>
    <t>O000777</t>
  </si>
  <si>
    <t>O000817</t>
  </si>
  <si>
    <t>O000403</t>
  </si>
  <si>
    <t>O000971</t>
  </si>
  <si>
    <t>O000243</t>
  </si>
  <si>
    <t>O000330</t>
  </si>
  <si>
    <t>O000250</t>
  </si>
  <si>
    <t>O000590</t>
  </si>
  <si>
    <t>O000698</t>
  </si>
  <si>
    <t>O000354</t>
  </si>
  <si>
    <t>O000800</t>
  </si>
  <si>
    <t>O000540</t>
  </si>
  <si>
    <t>O000174</t>
  </si>
  <si>
    <t>O000039</t>
  </si>
  <si>
    <t>O000339</t>
  </si>
  <si>
    <t>O000729</t>
  </si>
  <si>
    <t>O000549</t>
  </si>
  <si>
    <t>O000216</t>
  </si>
  <si>
    <t>O000750</t>
  </si>
  <si>
    <t>O000465</t>
  </si>
  <si>
    <t>O000879</t>
  </si>
  <si>
    <t>O000754</t>
  </si>
  <si>
    <t>O000612</t>
  </si>
  <si>
    <t>O000949</t>
  </si>
  <si>
    <t>O000048</t>
  </si>
  <si>
    <t>O000178</t>
  </si>
  <si>
    <t>O000093</t>
  </si>
  <si>
    <t>O000726</t>
  </si>
  <si>
    <t>O000423</t>
  </si>
  <si>
    <t>O000987</t>
  </si>
  <si>
    <t>O000375</t>
  </si>
  <si>
    <t>O000041</t>
  </si>
  <si>
    <t>O000301</t>
  </si>
  <si>
    <t>O000459</t>
  </si>
  <si>
    <t>O000381</t>
  </si>
  <si>
    <t>O000371</t>
  </si>
  <si>
    <t>O000558</t>
  </si>
  <si>
    <t>O000691</t>
  </si>
  <si>
    <t>O000644</t>
  </si>
  <si>
    <t>O000127</t>
  </si>
  <si>
    <t>O000140</t>
  </si>
  <si>
    <t>O000504</t>
  </si>
  <si>
    <t>O000801</t>
  </si>
  <si>
    <t>O000778</t>
  </si>
  <si>
    <t>O000907</t>
  </si>
  <si>
    <t>O000718</t>
  </si>
  <si>
    <t>O000177</t>
  </si>
  <si>
    <t>O000255</t>
  </si>
  <si>
    <t>O000299</t>
  </si>
  <si>
    <t>O000917</t>
  </si>
  <si>
    <t>O000289</t>
  </si>
  <si>
    <t>O000969</t>
  </si>
  <si>
    <t>O000139</t>
  </si>
  <si>
    <t>O000586</t>
  </si>
  <si>
    <t>O000505</t>
  </si>
  <si>
    <t>O000225</t>
  </si>
  <si>
    <t>O000336</t>
  </si>
  <si>
    <t>O000049</t>
  </si>
  <si>
    <t>O000192</t>
  </si>
  <si>
    <t>O000418</t>
  </si>
  <si>
    <t>O000522</t>
  </si>
  <si>
    <t>O000631</t>
  </si>
  <si>
    <t>O000576</t>
  </si>
  <si>
    <t>O000577</t>
  </si>
  <si>
    <t>O000546</t>
  </si>
  <si>
    <t>O000724</t>
  </si>
  <si>
    <t>O000901</t>
  </si>
  <si>
    <t>O000338</t>
  </si>
  <si>
    <t>O000315</t>
  </si>
  <si>
    <t>O000275</t>
  </si>
  <si>
    <t>O000088</t>
  </si>
  <si>
    <t>O000525</t>
  </si>
  <si>
    <t>O000640</t>
  </si>
  <si>
    <t>O000117</t>
  </si>
  <si>
    <t>O000956</t>
  </si>
  <si>
    <t>O000688</t>
  </si>
  <si>
    <t>O000100</t>
  </si>
  <si>
    <t>O000397</t>
  </si>
  <si>
    <t>O000284</t>
  </si>
  <si>
    <t>O000307</t>
  </si>
  <si>
    <t>O000105</t>
  </si>
  <si>
    <t>O000579</t>
  </si>
  <si>
    <t>O000572</t>
  </si>
  <si>
    <t>O000126</t>
  </si>
  <si>
    <t>O000727</t>
  </si>
  <si>
    <t>O000300</t>
  </si>
  <si>
    <t>O000091</t>
  </si>
  <si>
    <t>O000728</t>
  </si>
  <si>
    <t>O000830</t>
  </si>
  <si>
    <t>O000259</t>
  </si>
  <si>
    <t>O000472</t>
  </si>
  <si>
    <t>O000373</t>
  </si>
  <si>
    <t>O000998</t>
  </si>
  <si>
    <t>O000637</t>
  </si>
  <si>
    <t>O000804</t>
  </si>
  <si>
    <t>O000079</t>
  </si>
  <si>
    <t>O000183</t>
  </si>
  <si>
    <t>O000409</t>
  </si>
  <si>
    <t>O000333</t>
  </si>
  <si>
    <t>O000621</t>
  </si>
  <si>
    <t>O000308</t>
  </si>
  <si>
    <t>O000238</t>
  </si>
  <si>
    <t>O000885</t>
  </si>
  <si>
    <t>O000210</t>
  </si>
  <si>
    <t>O000244</t>
  </si>
  <si>
    <t>O000708</t>
  </si>
  <si>
    <t>O000914</t>
  </si>
  <si>
    <t>O000671</t>
  </si>
  <si>
    <t>O000389</t>
  </si>
  <si>
    <t>O000845</t>
  </si>
  <si>
    <t>O000864</t>
  </si>
  <si>
    <t>O000699</t>
  </si>
  <si>
    <t>O000306</t>
  </si>
  <si>
    <t>O000159</t>
  </si>
  <si>
    <t>O000947</t>
  </si>
  <si>
    <t>O000352</t>
  </si>
  <si>
    <t>O000512</t>
  </si>
  <si>
    <t>O000796</t>
  </si>
  <si>
    <t>O000807</t>
  </si>
  <si>
    <t>O000081</t>
  </si>
  <si>
    <t>O000646</t>
  </si>
  <si>
    <t>O000915</t>
  </si>
  <si>
    <t>O000399</t>
  </si>
  <si>
    <t>O000483</t>
  </si>
  <si>
    <t>O000067</t>
  </si>
  <si>
    <t>O000578</t>
  </si>
  <si>
    <t>O000022</t>
  </si>
  <si>
    <t>O000395</t>
  </si>
  <si>
    <t>O000003</t>
  </si>
  <si>
    <t>O000367</t>
  </si>
  <si>
    <t>O000615</t>
  </si>
  <si>
    <t>O000009</t>
  </si>
  <si>
    <t>O000340</t>
  </si>
  <si>
    <t>O000173</t>
  </si>
  <si>
    <t>O000327</t>
  </si>
  <si>
    <t>O000237</t>
  </si>
  <si>
    <t>O000441</t>
  </si>
  <si>
    <t>O000643</t>
  </si>
  <si>
    <t>O000782</t>
  </si>
  <si>
    <t>O000385</t>
  </si>
  <si>
    <t>O000663</t>
  </si>
  <si>
    <t>O000826</t>
  </si>
  <si>
    <t>O000123</t>
  </si>
  <si>
    <t>O000749</t>
  </si>
  <si>
    <t>O000060</t>
  </si>
  <si>
    <t>O000379</t>
  </si>
  <si>
    <t>O000877</t>
  </si>
  <si>
    <t>O000780</t>
  </si>
  <si>
    <t>O000873</t>
  </si>
  <si>
    <t>O000249</t>
  </si>
  <si>
    <t>O000160</t>
  </si>
  <si>
    <t>O000507</t>
  </si>
  <si>
    <t>O000680</t>
  </si>
  <si>
    <t>O000324</t>
  </si>
  <si>
    <t>O000344</t>
  </si>
  <si>
    <t>O000383</t>
  </si>
  <si>
    <t>O000836</t>
  </si>
  <si>
    <t>O000810</t>
  </si>
  <si>
    <t>O000981</t>
  </si>
  <si>
    <t>O000946</t>
  </si>
  <si>
    <t>O000200</t>
  </si>
  <si>
    <t>O000358</t>
  </si>
  <si>
    <t>O000116</t>
  </si>
  <si>
    <t>O000099</t>
  </si>
  <si>
    <t>O000486</t>
  </si>
  <si>
    <t>O000164</t>
  </si>
  <si>
    <t>O000783</t>
  </si>
  <si>
    <t>O000142</t>
  </si>
  <si>
    <t>O000812</t>
  </si>
  <si>
    <t>O000382</t>
  </si>
  <si>
    <t>O000341</t>
  </si>
  <si>
    <t>O000932</t>
  </si>
  <si>
    <t>O000053</t>
  </si>
  <si>
    <t>O000287</t>
  </si>
  <si>
    <t>O000714</t>
  </si>
  <si>
    <t>O001000</t>
  </si>
  <si>
    <t>O000002</t>
  </si>
  <si>
    <t>O000739</t>
  </si>
  <si>
    <t>O000788</t>
  </si>
  <si>
    <t>O000878</t>
  </si>
  <si>
    <t>O000309</t>
  </si>
  <si>
    <t>O000927</t>
  </si>
  <si>
    <t>O000492</t>
  </si>
  <si>
    <t>O000559</t>
  </si>
  <si>
    <t>O000190</t>
  </si>
  <si>
    <t>O000058</t>
  </si>
  <si>
    <t>O000186</t>
  </si>
  <si>
    <t>O000107</t>
  </si>
  <si>
    <t>O000528</t>
  </si>
  <si>
    <t>O000620</t>
  </si>
  <si>
    <t>O000063</t>
  </si>
  <si>
    <t>O000735</t>
  </si>
  <si>
    <t>O000201</t>
  </si>
  <si>
    <t>O000481</t>
  </si>
  <si>
    <t>O000198</t>
  </si>
  <si>
    <t>O000978</t>
  </si>
  <si>
    <t>O000479</t>
  </si>
  <si>
    <t>O000113</t>
  </si>
  <si>
    <t>O000682</t>
  </si>
  <si>
    <t>O000390</t>
  </si>
  <si>
    <t>O000609</t>
  </si>
  <si>
    <t>O000890</t>
  </si>
  <si>
    <t>O000369</t>
  </si>
  <si>
    <t>O000863</t>
  </si>
  <si>
    <t>O000118</t>
  </si>
  <si>
    <t>O000882</t>
  </si>
  <si>
    <t>O000428</t>
  </si>
  <si>
    <t>O000392</t>
  </si>
  <si>
    <t>O000550</t>
  </si>
  <si>
    <t>O000554</t>
  </si>
  <si>
    <t>O000871</t>
  </si>
  <si>
    <t>O000859</t>
  </si>
  <si>
    <t>O000961</t>
  </si>
  <si>
    <t>O000434</t>
  </si>
  <si>
    <t>O000595</t>
  </si>
  <si>
    <t>O000668</t>
  </si>
  <si>
    <t>O000715</t>
  </si>
  <si>
    <t>O000476</t>
  </si>
  <si>
    <t>O000419</t>
  </si>
  <si>
    <t>O000211</t>
  </si>
  <si>
    <t>O000384</t>
  </si>
  <si>
    <t>O000466</t>
  </si>
  <si>
    <t>O000490</t>
  </si>
  <si>
    <t>O000899</t>
  </si>
  <si>
    <t>O000404</t>
  </si>
  <si>
    <t>O000224</t>
  </si>
  <si>
    <t>O000266</t>
  </si>
  <si>
    <t>O000604</t>
  </si>
  <si>
    <t>O000738</t>
  </si>
  <si>
    <t>O000952</t>
  </si>
  <si>
    <t>O000057</t>
  </si>
  <si>
    <t>O000104</t>
  </si>
  <si>
    <t>O000861</t>
  </si>
  <si>
    <t>O000368</t>
  </si>
  <si>
    <t>O000108</t>
  </si>
  <si>
    <t>O000659</t>
  </si>
  <si>
    <t>O000296</t>
  </si>
  <si>
    <t>O000171</t>
  </si>
  <si>
    <t>O000394</t>
  </si>
  <si>
    <t>O000426</t>
  </si>
  <si>
    <t>O000821</t>
  </si>
  <si>
    <t>O000740</t>
  </si>
  <si>
    <t>O000939</t>
  </si>
  <si>
    <t>O000857</t>
  </si>
  <si>
    <t>O000984</t>
  </si>
  <si>
    <t>O000240</t>
  </si>
  <si>
    <t>O000524</t>
  </si>
  <si>
    <t>O000865</t>
  </si>
  <si>
    <t>O000897</t>
  </si>
  <si>
    <t>O000520</t>
  </si>
  <si>
    <t>O000263</t>
  </si>
  <si>
    <t>O000184</t>
  </si>
  <si>
    <t>O000527</t>
  </si>
  <si>
    <t>O000155</t>
  </si>
  <si>
    <t>O000685</t>
  </si>
  <si>
    <t>O000027</t>
  </si>
  <si>
    <t>O000925</t>
  </si>
  <si>
    <t>O000580</t>
  </si>
  <si>
    <t>O000759</t>
  </si>
  <si>
    <t>O000813</t>
  </si>
  <si>
    <t>O000910</t>
  </si>
  <si>
    <t>O000135</t>
  </si>
  <si>
    <t>O000655</t>
  </si>
  <si>
    <t>O000245</t>
  </si>
  <si>
    <t>O000704</t>
  </si>
  <si>
    <t>O000883</t>
  </si>
  <si>
    <t>O000532</t>
  </si>
  <si>
    <t>O000602</t>
  </si>
  <si>
    <t>O000175</t>
  </si>
  <si>
    <t>O000407</t>
  </si>
  <si>
    <t>O000924</t>
  </si>
  <si>
    <t>O000779</t>
  </si>
  <si>
    <t>O000765</t>
  </si>
  <si>
    <t>O000214</t>
  </si>
  <si>
    <t>O000353</t>
  </si>
  <si>
    <t>O000044</t>
  </si>
  <si>
    <t>O000096</t>
  </si>
  <si>
    <t>O000447</t>
  </si>
  <si>
    <t>O000758</t>
  </si>
  <si>
    <t>O000380</t>
  </si>
  <si>
    <t>O000816</t>
  </si>
  <si>
    <t>O000446</t>
  </si>
  <si>
    <t>O000270</t>
  </si>
  <si>
    <t>O000666</t>
  </si>
  <si>
    <t>O000205</t>
  </si>
  <si>
    <t>O000563</t>
  </si>
  <si>
    <t>O000606</t>
  </si>
  <si>
    <t>O000848</t>
  </si>
  <si>
    <t>O000966</t>
  </si>
  <si>
    <t>O000212</t>
  </si>
  <si>
    <t>O000660</t>
  </si>
  <si>
    <t>O000829</t>
  </si>
  <si>
    <t>O000709</t>
  </si>
  <si>
    <t>O000894</t>
  </si>
  <si>
    <t>O000051</t>
  </si>
  <si>
    <t>O000248</t>
  </si>
  <si>
    <t>O000824</t>
  </si>
  <si>
    <t>O000429</t>
  </si>
  <si>
    <t>O000143</t>
  </si>
  <si>
    <t>O000074</t>
  </si>
  <si>
    <t>O000811</t>
  </si>
  <si>
    <t>O000005</t>
  </si>
  <si>
    <t>O000235</t>
  </si>
  <si>
    <t>O000689</t>
  </si>
  <si>
    <t>O000349</t>
  </si>
  <si>
    <t>O000415</t>
  </si>
  <si>
    <t>O000102</t>
  </si>
  <si>
    <t>O000635</t>
  </si>
  <si>
    <t>O000858</t>
  </si>
  <si>
    <t>O000374</t>
  </si>
  <si>
    <t>O000958</t>
  </si>
  <si>
    <t>O000574</t>
  </si>
  <si>
    <t>O000941</t>
  </si>
  <si>
    <t>O000343</t>
  </si>
  <si>
    <t>O000634</t>
  </si>
  <si>
    <t>O000071</t>
  </si>
  <si>
    <t>O000328</t>
  </si>
  <si>
    <t>O000898</t>
  </si>
  <si>
    <t>O000331</t>
  </si>
  <si>
    <t>O000491</t>
  </si>
  <si>
    <t>O000436</t>
  </si>
  <si>
    <t>O000158</t>
  </si>
  <si>
    <t>O000834</t>
  </si>
  <si>
    <t>O000136</t>
  </si>
  <si>
    <t>O000321</t>
  </si>
  <si>
    <t>O000497</t>
  </si>
  <si>
    <t>O000616</t>
  </si>
  <si>
    <t>O000786</t>
  </si>
  <si>
    <t>O000059</t>
  </si>
  <si>
    <t>O000440</t>
  </si>
  <si>
    <t>O000534</t>
  </si>
  <si>
    <t>O000653</t>
  </si>
  <si>
    <t>O000256</t>
  </si>
  <si>
    <t>O000650</t>
  </si>
  <si>
    <t>O000955</t>
  </si>
  <si>
    <t>O000043</t>
  </si>
  <si>
    <t>O000251</t>
  </si>
  <si>
    <t>O000010</t>
  </si>
  <si>
    <t>O000433</t>
  </si>
  <si>
    <t>O000597</t>
  </si>
  <si>
    <t>O000964</t>
  </si>
  <si>
    <t>O000360</t>
  </si>
  <si>
    <t>O000131</t>
  </si>
  <si>
    <t>O000536</t>
  </si>
  <si>
    <t>O000662</t>
  </si>
  <si>
    <t>O000805</t>
  </si>
  <si>
    <t>O000029</t>
  </si>
  <si>
    <t>O000461</t>
  </si>
  <si>
    <t>O000232</t>
  </si>
  <si>
    <t>O000425</t>
  </si>
  <si>
    <t>O000469</t>
  </si>
  <si>
    <t>O000575</t>
  </si>
  <si>
    <t>O000760</t>
  </si>
  <si>
    <t>O000090</t>
  </si>
  <si>
    <t>O000870</t>
  </si>
  <si>
    <t>O000593</t>
  </si>
  <si>
    <t>O000954</t>
  </si>
  <si>
    <t>O000543</t>
  </si>
  <si>
    <t>O000838</t>
  </si>
  <si>
    <t>O000286</t>
  </si>
  <si>
    <t>O000261</t>
  </si>
  <si>
    <t>O000912</t>
  </si>
  <si>
    <t>O000329</t>
  </si>
  <si>
    <t>O000337</t>
  </si>
  <si>
    <t>O000508</t>
  </si>
  <si>
    <t>O000600</t>
  </si>
  <si>
    <t>O000632</t>
  </si>
  <si>
    <t>O000406</t>
  </si>
  <si>
    <t>O000084</t>
  </si>
  <si>
    <t>O000218</t>
  </si>
  <si>
    <t>O000608</t>
  </si>
  <si>
    <t>O000802</t>
  </si>
  <si>
    <t>O000121</t>
  </si>
  <si>
    <t>O000489</t>
  </si>
  <si>
    <t>O000993</t>
  </si>
  <si>
    <t>O000170</t>
  </si>
  <si>
    <t>O000913</t>
  </si>
  <si>
    <t>O000188</t>
  </si>
  <si>
    <t>O000676</t>
  </si>
  <si>
    <t>O000148</t>
  </si>
  <si>
    <t>O000082</t>
  </si>
  <si>
    <t>O000799</t>
  </si>
  <si>
    <t>O000454</t>
  </si>
  <si>
    <t>O000886</t>
  </si>
  <si>
    <t>O000267</t>
  </si>
  <si>
    <t>O000769</t>
  </si>
  <si>
    <t>O000991</t>
  </si>
  <si>
    <t>O000115</t>
  </si>
  <si>
    <t>O000582</t>
  </si>
  <si>
    <t>O000692</t>
  </si>
  <si>
    <t>O000825</t>
  </si>
  <si>
    <t>O000493</t>
  </si>
  <si>
    <t>O000320</t>
  </si>
  <si>
    <t>O000892</t>
  </si>
  <si>
    <t>O000463</t>
  </si>
  <si>
    <t>O000166</t>
  </si>
  <si>
    <t>O000405</t>
  </si>
  <si>
    <t>O000798</t>
  </si>
  <si>
    <t>O000654</t>
  </si>
  <si>
    <t>O000994</t>
  </si>
  <si>
    <t>O000137</t>
  </si>
  <si>
    <t>O000694</t>
  </si>
  <si>
    <t>O000849</t>
  </si>
  <si>
    <t>O000973</t>
  </si>
  <si>
    <t>O000342</t>
  </si>
  <si>
    <t>O000040</t>
  </si>
  <si>
    <t>O000351</t>
  </si>
  <si>
    <t>O000584</t>
  </si>
  <si>
    <t>O000856</t>
  </si>
  <si>
    <t>O000013</t>
  </si>
  <si>
    <t>O000242</t>
  </si>
  <si>
    <t>O000359</t>
  </si>
  <si>
    <t>O000500</t>
  </si>
  <si>
    <t>O000815</t>
  </si>
  <si>
    <t>O000583</t>
  </si>
  <si>
    <t>O000573</t>
  </si>
  <si>
    <t>O000348</t>
  </si>
  <si>
    <t>O000658</t>
  </si>
  <si>
    <t>O000696</t>
  </si>
  <si>
    <t>O000036</t>
  </si>
  <si>
    <t>O000963</t>
  </si>
  <si>
    <t>O000613</t>
  </si>
  <si>
    <t>O000231</t>
  </si>
  <si>
    <t>O000649</t>
  </si>
  <si>
    <t>O000839</t>
  </si>
  <si>
    <t>O000560</t>
  </si>
  <si>
    <t>O000820</t>
  </si>
  <si>
    <t>O000435</t>
  </si>
  <si>
    <t>O000282</t>
  </si>
  <si>
    <t>O000790</t>
  </si>
  <si>
    <t>O000827</t>
  </si>
  <si>
    <t>O000073</t>
  </si>
  <si>
    <t>O000203</t>
  </si>
  <si>
    <t>O000670</t>
  </si>
  <si>
    <t>O000046</t>
  </si>
  <si>
    <t>O000334</t>
  </si>
  <si>
    <t>O000716</t>
  </si>
  <si>
    <t>O000297</t>
  </si>
  <si>
    <t>O000538</t>
  </si>
  <si>
    <t>O000918</t>
  </si>
  <si>
    <t>O000365</t>
  </si>
  <si>
    <t>O000561</t>
  </si>
  <si>
    <t>O000617</t>
  </si>
  <si>
    <t>O000717</t>
  </si>
  <si>
    <t>O000080</t>
  </si>
  <si>
    <t>O000936</t>
  </si>
  <si>
    <t>O000965</t>
  </si>
  <si>
    <t>O000362</t>
  </si>
  <si>
    <t>O000529</t>
  </si>
  <si>
    <t>O000452</t>
  </si>
  <si>
    <t>O000412</t>
  </si>
  <si>
    <t>O000923</t>
  </si>
  <si>
    <t>O000031</t>
  </si>
  <si>
    <t>O000085</t>
  </si>
  <si>
    <t>O000511</t>
  </si>
  <si>
    <t>O000268</t>
  </si>
  <si>
    <t>O000771</t>
  </si>
  <si>
    <t>O000304</t>
  </si>
  <si>
    <t>O000872</t>
  </si>
  <si>
    <t>O000748</t>
  </si>
  <si>
    <t>O000006</t>
  </si>
  <si>
    <t>O000168</t>
  </si>
  <si>
    <t>O000363</t>
  </si>
  <si>
    <t>O000411</t>
  </si>
  <si>
    <t>O000152</t>
  </si>
  <si>
    <t>O000986</t>
  </si>
  <si>
    <t>O000017</t>
  </si>
  <si>
    <t>O000547</t>
  </si>
  <si>
    <t>O000648</t>
  </si>
  <si>
    <t>O000061</t>
  </si>
  <si>
    <t>O000400</t>
  </si>
  <si>
    <t>O000832</t>
  </si>
  <si>
    <t>O000280</t>
  </si>
  <si>
    <t>O000450</t>
  </si>
  <si>
    <t>O000443</t>
  </si>
  <si>
    <t>O000544</t>
  </si>
  <si>
    <t>O000797</t>
  </si>
  <si>
    <t>O000672</t>
  </si>
  <si>
    <t>O000990</t>
  </si>
  <si>
    <t>O000110</t>
  </si>
  <si>
    <t>O000468</t>
  </si>
  <si>
    <t>O000226</t>
  </si>
  <si>
    <t>O000959</t>
  </si>
  <si>
    <t>O000568</t>
  </si>
  <si>
    <t>O000841</t>
  </si>
  <si>
    <t>O000295</t>
  </si>
  <si>
    <t>O000768</t>
  </si>
  <si>
    <t>O000427</t>
  </si>
  <si>
    <t>O000967</t>
  </si>
  <si>
    <t>O000318</t>
  </si>
  <si>
    <t>O000565</t>
  </si>
  <si>
    <t>O000448</t>
  </si>
  <si>
    <t>O000667</t>
  </si>
  <si>
    <t>O000134</t>
  </si>
  <si>
    <t>O000598</t>
  </si>
  <si>
    <t>O000675</t>
  </si>
  <si>
    <t>O000271</t>
  </si>
  <si>
    <t>O000165</t>
  </si>
  <si>
    <t>O000277</t>
  </si>
  <si>
    <t>O000588</t>
  </si>
  <si>
    <t>O000432</t>
  </si>
  <si>
    <t>O000087</t>
  </si>
  <si>
    <t>O000386</t>
  </si>
  <si>
    <t>O000032</t>
  </si>
  <si>
    <t>O000025</t>
  </si>
  <si>
    <t>O000037</t>
  </si>
  <si>
    <t>O000195</t>
  </si>
  <si>
    <t>O000499</t>
  </si>
  <si>
    <t>O000721</t>
  </si>
  <si>
    <t>O000109</t>
  </si>
  <si>
    <t>O000603</t>
  </si>
  <si>
    <t>O000669</t>
  </si>
  <si>
    <t>O000957</t>
  </si>
  <si>
    <t>O000018</t>
  </si>
  <si>
    <t>O000206</t>
  </si>
  <si>
    <t>O000230</t>
  </si>
  <si>
    <t>O000325</t>
  </si>
  <si>
    <t>O000745</t>
  </si>
  <si>
    <t>O000229</t>
  </si>
  <si>
    <t>O000451</t>
  </si>
  <si>
    <t>O000515</t>
  </si>
  <si>
    <t>O000431</t>
  </si>
  <si>
    <t>O000227</t>
  </si>
  <si>
    <t>O000222</t>
  </si>
  <si>
    <t>O000712</t>
  </si>
  <si>
    <t>O000024</t>
  </si>
  <si>
    <t>O000254</t>
  </si>
  <si>
    <t>O000681</t>
  </si>
  <si>
    <t>O000417</t>
  </si>
  <si>
    <t>O000647</t>
  </si>
  <si>
    <t>O000645</t>
  </si>
  <si>
    <t>O000069</t>
  </si>
  <si>
    <t>O000794</t>
  </si>
  <si>
    <t>O000905</t>
  </si>
  <si>
    <t>O000951</t>
  </si>
  <si>
    <t>O000596</t>
  </si>
  <si>
    <t>O000911</t>
  </si>
  <si>
    <t>O000378</t>
  </si>
  <si>
    <t>O000401</t>
  </si>
  <si>
    <t>O000693</t>
  </si>
  <si>
    <t>O000345</t>
  </si>
  <si>
    <t>O000475</t>
  </si>
  <si>
    <t>O000514</t>
  </si>
  <si>
    <t>O000456</t>
  </si>
  <si>
    <t>O000755</t>
  </si>
  <si>
    <t>O000976</t>
  </si>
  <si>
    <t>O000785</t>
  </si>
  <si>
    <t>O000372</t>
  </si>
  <si>
    <t>O000467</t>
  </si>
  <si>
    <t>O000747</t>
  </si>
  <si>
    <t>O000854</t>
  </si>
  <si>
    <t>O000453</t>
  </si>
  <si>
    <t>O000893</t>
  </si>
  <si>
    <t>O000272</t>
  </si>
  <si>
    <t>O000999</t>
  </si>
  <si>
    <t>O000004</t>
  </si>
  <si>
    <t>O000180</t>
  </si>
  <si>
    <t>O000940</t>
  </si>
  <si>
    <t>O000045</t>
  </si>
  <si>
    <t>O000449</t>
  </si>
  <si>
    <t>O000587</t>
  </si>
  <si>
    <t>O000766</t>
  </si>
  <si>
    <t>O000114</t>
  </si>
  <si>
    <t>O000204</t>
  </si>
  <si>
    <t>O000377</t>
  </si>
  <si>
    <t>O000464</t>
  </si>
  <si>
    <t>O000294</t>
  </si>
  <si>
    <t>O000566</t>
  </si>
  <si>
    <t>O000364</t>
  </si>
  <si>
    <t>O000098</t>
  </si>
  <si>
    <t>O000478</t>
  </si>
  <si>
    <t>O000943</t>
  </si>
  <si>
    <t>O000462</t>
  </si>
  <si>
    <t>O000314</t>
  </si>
  <si>
    <t>O000430</t>
  </si>
  <si>
    <t>O000570</t>
  </si>
  <si>
    <t>O000346</t>
  </si>
  <si>
    <t>O000470</t>
  </si>
  <si>
    <t>O000703</t>
  </si>
  <si>
    <t>O000172</t>
  </si>
  <si>
    <t>O000519</t>
  </si>
  <si>
    <t>O000701</t>
  </si>
  <si>
    <t>O000855</t>
  </si>
  <si>
    <t>O000033</t>
  </si>
  <si>
    <t>O000303</t>
  </si>
  <si>
    <t>O000551</t>
  </si>
  <si>
    <t>O000106</t>
  </si>
  <si>
    <t>O000488</t>
  </si>
  <si>
    <t>O000302</t>
  </si>
  <si>
    <t>O000891</t>
  </si>
  <si>
    <t>O000285</t>
  </si>
  <si>
    <t>O000312</t>
  </si>
  <si>
    <t>O000677</t>
  </si>
  <si>
    <t>O000154</t>
  </si>
  <si>
    <t>O000207</t>
  </si>
  <si>
    <t>O000734</t>
  </si>
  <si>
    <t>O000122</t>
  </si>
  <si>
    <t>O000737</t>
  </si>
  <si>
    <t>O000120</t>
  </si>
  <si>
    <t>O000196</t>
  </si>
  <si>
    <t>O000888</t>
  </si>
  <si>
    <t>O000128</t>
  </si>
  <si>
    <t>O000276</t>
  </si>
  <si>
    <t>O000808</t>
  </si>
  <si>
    <t>O000221</t>
  </si>
  <si>
    <t>O000437</t>
  </si>
  <si>
    <t>O000997</t>
  </si>
  <si>
    <t>O000019</t>
  </si>
  <si>
    <t>O000762</t>
  </si>
  <si>
    <t>O000625</t>
  </si>
  <si>
    <t>O000931</t>
  </si>
  <si>
    <t>O000112</t>
  </si>
  <si>
    <t>O000292</t>
  </si>
  <si>
    <t>O000656</t>
  </si>
  <si>
    <t>O000909</t>
  </si>
  <si>
    <t>O000974</t>
  </si>
  <si>
    <t>O000228</t>
  </si>
  <si>
    <t>O000445</t>
  </si>
  <si>
    <t>O000518</t>
  </si>
  <si>
    <t>O000793</t>
  </si>
  <si>
    <t>O000182</t>
  </si>
  <si>
    <t>O000311</t>
  </si>
  <si>
    <t>O000396</t>
  </si>
  <si>
    <t>O000413</t>
  </si>
  <si>
    <t>O000700</t>
  </si>
  <si>
    <t>O000767</t>
  </si>
  <si>
    <t>O000774</t>
  </si>
  <si>
    <t>O000867</t>
  </si>
  <si>
    <t>O000193</t>
  </si>
  <si>
    <t>O000455</t>
  </si>
  <si>
    <t>O000317</t>
  </si>
  <si>
    <t>O000874</t>
  </si>
  <si>
    <t>O000052</t>
  </si>
  <si>
    <t>O000900</t>
  </si>
  <si>
    <t>O000503</t>
  </si>
  <si>
    <t>O000103</t>
  </si>
  <si>
    <t>O000156</t>
  </si>
  <si>
    <t>O000852</t>
  </si>
  <si>
    <t>O000638</t>
  </si>
  <si>
    <t>O000884</t>
  </si>
  <si>
    <t>O000611</t>
  </si>
  <si>
    <t>O000926</t>
  </si>
  <si>
    <t>O000592</t>
  </si>
  <si>
    <t>O000722</t>
  </si>
  <si>
    <t>O000916</t>
  </si>
  <si>
    <t>O000075</t>
  </si>
  <si>
    <t>O000556</t>
  </si>
  <si>
    <t>O000908</t>
  </si>
  <si>
    <t>O000438</t>
  </si>
  <si>
    <t>O000823</t>
  </si>
  <si>
    <t>O000690</t>
  </si>
  <si>
    <t>O000537</t>
  </si>
  <si>
    <t>O000934</t>
  </si>
  <si>
    <t>O000803</t>
  </si>
  <si>
    <t>O000833</t>
  </si>
  <si>
    <t>O000980</t>
  </si>
  <si>
    <t>O000792</t>
  </si>
  <si>
    <t>O000408</t>
  </si>
  <si>
    <t>O000843</t>
  </si>
  <si>
    <t>O000422</t>
  </si>
  <si>
    <t>O000257</t>
  </si>
  <si>
    <t>O000366</t>
  </si>
  <si>
    <t>O000176</t>
  </si>
  <si>
    <t>O000473</t>
  </si>
  <si>
    <t>O000844</t>
  </si>
  <si>
    <t>O000539</t>
  </si>
  <si>
    <t>O000761</t>
  </si>
  <si>
    <t>O000217</t>
  </si>
  <si>
    <t>O000705</t>
  </si>
  <si>
    <t>O000784</t>
  </si>
  <si>
    <t>O000094</t>
  </si>
  <si>
    <t>O000809</t>
  </si>
  <si>
    <t>O000557</t>
  </si>
  <si>
    <t>O000904</t>
  </si>
  <si>
    <t>O000678</t>
  </si>
  <si>
    <t>O000589</t>
  </si>
  <si>
    <t>O000601</t>
  </si>
  <si>
    <t>O000627</t>
  </si>
  <si>
    <t>O000020</t>
  </si>
  <si>
    <t>O000684</t>
  </si>
  <si>
    <t>O000960</t>
  </si>
  <si>
    <t>O000571</t>
  </si>
  <si>
    <t>O000707</t>
  </si>
  <si>
    <t>O000416</t>
  </si>
  <si>
    <t>O000141</t>
  </si>
  <si>
    <t>O000347</t>
  </si>
  <si>
    <t>O000624</t>
  </si>
  <si>
    <t>O000264</t>
  </si>
  <si>
    <t>O000876</t>
  </si>
  <si>
    <t>O000086</t>
  </si>
  <si>
    <t>O000133</t>
  </si>
  <si>
    <t>O000526</t>
  </si>
  <si>
    <t>O000687</t>
  </si>
  <si>
    <t>O000702</t>
  </si>
  <si>
    <t>O000021</t>
  </si>
  <si>
    <t>O000236</t>
  </si>
  <si>
    <t>O000875</t>
  </si>
  <si>
    <t>O000233</t>
  </si>
  <si>
    <t>O000151</t>
  </si>
  <si>
    <t>O000335</t>
  </si>
  <si>
    <t>O000494</t>
  </si>
  <si>
    <t>O000731</t>
  </si>
  <si>
    <t>O000274</t>
  </si>
  <si>
    <t>O000626</t>
  </si>
  <si>
    <t>O000034</t>
  </si>
  <si>
    <t>O000548</t>
  </si>
  <si>
    <t>O000533</t>
  </si>
  <si>
    <t>O000485</t>
  </si>
  <si>
    <t>O000614</t>
  </si>
  <si>
    <t>O000056</t>
  </si>
  <si>
    <t>O000202</t>
  </si>
  <si>
    <t>O000471</t>
  </si>
  <si>
    <t>O000773</t>
  </si>
  <si>
    <t>O000657</t>
  </si>
  <si>
    <t>O000350</t>
  </si>
  <si>
    <t>O000723</t>
  </si>
  <si>
    <t>O000187</t>
  </si>
  <si>
    <t>O000697</t>
  </si>
  <si>
    <t>O000169</t>
  </si>
  <si>
    <t>O000028</t>
  </si>
  <si>
    <t>O000119</t>
  </si>
  <si>
    <t>O000607</t>
  </si>
  <si>
    <t>O000713</t>
  </si>
  <si>
    <t>O000732</t>
  </si>
  <si>
    <t>O000316</t>
  </si>
  <si>
    <t>O000393</t>
  </si>
  <si>
    <t>O000332</t>
  </si>
  <si>
    <t>O000132</t>
  </si>
  <si>
    <t>O000326</t>
  </si>
  <si>
    <t>O000605</t>
  </si>
  <si>
    <t>O000652</t>
  </si>
  <si>
    <t>O000725</t>
  </si>
  <si>
    <t>O000161</t>
  </si>
  <si>
    <t>O000837</t>
  </si>
  <si>
    <t>O000983</t>
  </si>
  <si>
    <t>Dataset</t>
  </si>
  <si>
    <t>Issue</t>
  </si>
  <si>
    <t>Rows Affected</t>
  </si>
  <si>
    <t>Action Taken</t>
  </si>
  <si>
    <t>Reason</t>
  </si>
  <si>
    <t>Customers</t>
  </si>
  <si>
    <t>Missing City</t>
  </si>
  <si>
    <r>
      <t xml:space="preserve">Replaced with </t>
    </r>
    <r>
      <rPr>
        <sz val="10"/>
        <color theme="1"/>
        <rFont val="Arial Unicode MS"/>
      </rPr>
      <t>Unknown</t>
    </r>
  </si>
  <si>
    <t>Preserve customer records</t>
  </si>
  <si>
    <t>Products</t>
  </si>
  <si>
    <t>Product name formatting</t>
  </si>
  <si>
    <t>Trimmed whitespace</t>
  </si>
  <si>
    <t>Standardize text</t>
  </si>
  <si>
    <t>Category inconsistency</t>
  </si>
  <si>
    <t>Standardized category names</t>
  </si>
  <si>
    <t>Consistent analysis</t>
  </si>
  <si>
    <t>Potential price outliers</t>
  </si>
  <si>
    <t>Retained for investigation</t>
  </si>
  <si>
    <t>Outlier ≠ error</t>
  </si>
  <si>
    <t>Transactions</t>
  </si>
  <si>
    <t>Duplicate rows</t>
  </si>
  <si>
    <t>Removed exact duplicates</t>
  </si>
  <si>
    <t>Prevent inflated metrics</t>
  </si>
  <si>
    <t>Missing Discount</t>
  </si>
  <si>
    <t>Replaced with 0</t>
  </si>
  <si>
    <t>Treat missing discount as no discount</t>
  </si>
  <si>
    <t>Negative Quantity</t>
  </si>
  <si>
    <t>Retained as returns</t>
  </si>
  <si>
    <t>May represent legitimate returns</t>
  </si>
  <si>
    <t>Overall Business Performance</t>
  </si>
  <si>
    <t>Metric</t>
  </si>
  <si>
    <t>Value</t>
  </si>
  <si>
    <t>Total Customers</t>
  </si>
  <si>
    <t>Total Products</t>
  </si>
  <si>
    <t>Total Stores</t>
  </si>
  <si>
    <t>Total Transactions</t>
  </si>
  <si>
    <t>Total Units</t>
  </si>
  <si>
    <t>GrossSales</t>
  </si>
  <si>
    <t>DiscountAmount</t>
  </si>
  <si>
    <t>NetRevenue</t>
  </si>
  <si>
    <t>TotalCost</t>
  </si>
  <si>
    <t>Profit</t>
  </si>
  <si>
    <t>Total Revenue</t>
  </si>
  <si>
    <t>Total Cost</t>
  </si>
  <si>
    <t>Total Profit</t>
  </si>
  <si>
    <t>Profit Margin</t>
  </si>
  <si>
    <t>Revenue Per Transaction</t>
  </si>
  <si>
    <t>Row Labels</t>
  </si>
  <si>
    <t>Grand Total</t>
  </si>
  <si>
    <t>Sum of NetRevenue</t>
  </si>
  <si>
    <t>Sum of Profit</t>
  </si>
  <si>
    <t>Sum of Quantity</t>
  </si>
  <si>
    <t>Sum of Profit Margin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</si>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</sst>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2" borderId="1" xfId="0" applyFill="1" applyBorder="1"/>
    <xf numFmtId="0" fontId="0" fillId="0" borderId="1" xfId="0" applyBorder="1"/>
    <xf numFmtId="0" fontId="0" fillId="2" borderId="0" xfId="0" applyFill="1"/>
    <xf numFmtId="9" fontId="0" fillId="0" borderId="0" xfId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37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rinda Nair" refreshedDate="46276.507374768516" createdVersion="8" refreshedVersion="8" minRefreshableVersion="3" recordCount="1000" xr:uid="{B500FA24-E98A-4F49-A65F-C6A7F50C3D8E}">
  <cacheSource type="worksheet">
    <worksheetSource name="tblTransactions"/>
  </cacheSource>
  <cacheFields count="21">
    <cacheField name="OrderID" numFmtId="0">
      <sharedItems/>
    </cacheField>
    <cacheField name="OrderDate" numFmtId="14">
      <sharedItems containsSemiMixedTypes="0" containsNonDate="0" containsDate="1" containsString="0" minDate="2023-01-01T00:00:00" maxDate="2026-01-01T00:00:00"/>
    </cacheField>
    <cacheField name="CustomerID" numFmtId="0">
      <sharedItems count="943">
        <s v="C04304"/>
        <s v="C03408"/>
        <s v="C03587"/>
        <s v="C04605"/>
        <s v="C00879"/>
        <s v="C02317"/>
        <s v="C02847"/>
        <s v="C02657"/>
        <s v="C05571"/>
        <s v="C07454"/>
        <s v="C00801"/>
        <s v="C05138"/>
        <s v="C00248"/>
        <s v="C04581"/>
        <s v="C00690"/>
        <s v="C00013"/>
        <s v="C06866"/>
        <s v="C05619"/>
        <s v="C00362"/>
        <s v="C06480"/>
        <s v="C00047"/>
        <s v="C02996"/>
        <s v="C02701"/>
        <s v="C06116"/>
        <s v="C03488"/>
        <s v="C02869"/>
        <s v="C05635"/>
        <s v="C07164"/>
        <s v="C02247"/>
        <s v="C07043"/>
        <s v="C05629"/>
        <s v="C01398"/>
        <s v="C01634"/>
        <s v="C01883"/>
        <s v="C07353"/>
        <s v="C01786"/>
        <s v="C07284"/>
        <s v="C03173"/>
        <s v="C02726"/>
        <s v="C04673"/>
        <s v="C02222"/>
        <s v="C07289"/>
        <s v="C07286"/>
        <s v="C02747"/>
        <s v="C05228"/>
        <s v="C07124"/>
        <s v="C03094"/>
        <s v="C03445"/>
        <s v="C05622"/>
        <s v="C01977"/>
        <s v="C00629"/>
        <s v="C03665"/>
        <s v="C06783"/>
        <s v="C01230"/>
        <s v="C00799"/>
        <s v="C07829"/>
        <s v="C06087"/>
        <s v="C00522"/>
        <s v="C06821"/>
        <s v="C06455"/>
        <s v="C01319"/>
        <s v="C06826"/>
        <s v="C01292"/>
        <s v="C06304"/>
        <s v="C03656"/>
        <s v="C01874"/>
        <s v="C04146"/>
        <s v="C03693"/>
        <s v="C04245"/>
        <s v="C03161"/>
        <s v="C07593"/>
        <s v="C04777"/>
        <s v="C06490"/>
        <s v="C02026"/>
        <s v="C04718"/>
        <s v="C03952"/>
        <s v="C07243"/>
        <s v="C07369"/>
        <s v="C06133"/>
        <s v="C03907"/>
        <s v="C02829"/>
        <s v="C00032"/>
        <s v="C05235"/>
        <s v="C03635"/>
        <s v="C05931"/>
        <s v="C07773"/>
        <s v="C03101"/>
        <s v="C05624"/>
        <s v="C05794"/>
        <s v="C04224"/>
        <s v="C00112"/>
        <s v="C01145"/>
        <s v="C04251"/>
        <s v="C07342"/>
        <s v="C03176"/>
        <s v="C01534"/>
        <s v="C01165"/>
        <s v="C00382"/>
        <s v="C03579"/>
        <s v="C05995"/>
        <s v="C01105"/>
        <s v="C06981"/>
        <s v="C01515"/>
        <s v="C02484"/>
        <s v="C03237"/>
        <s v="C01705"/>
        <s v="C00383"/>
        <s v="C00956"/>
        <s v="C05169"/>
        <s v="C02419"/>
        <s v="C03737"/>
        <s v="C05818"/>
        <s v="C00941"/>
        <s v="C07527"/>
        <s v="C02691"/>
        <s v="C00258"/>
        <s v="C04533"/>
        <s v="C06137"/>
        <s v="C04683"/>
        <s v="C05886"/>
        <s v="C04312"/>
        <s v="C03051"/>
        <s v="C06698"/>
        <s v="C02833"/>
        <s v="C00075"/>
        <s v="C06811"/>
        <s v="C07326"/>
        <s v="C03864"/>
        <s v="C01046"/>
        <s v="C02921"/>
        <s v="C01503"/>
        <s v="C07604"/>
        <s v="C07257"/>
        <s v="C06526"/>
        <s v="C01961"/>
        <s v="C02688"/>
        <s v="C05454"/>
        <s v="C06529"/>
        <s v="C03569"/>
        <s v="C05771"/>
        <s v="C06502"/>
        <s v="C03457"/>
        <s v="C03823"/>
        <s v="C06045"/>
        <s v="C01376"/>
        <s v="C03719"/>
        <s v="C06565"/>
        <s v="C00249"/>
        <s v="C04514"/>
        <s v="C06982"/>
        <s v="C01519"/>
        <s v="C06531"/>
        <s v="C04820"/>
        <s v="C07712"/>
        <s v="C00427"/>
        <s v="C00526"/>
        <s v="C06470"/>
        <s v="C00635"/>
        <s v="C04145"/>
        <s v="C04335"/>
        <s v="C03250"/>
        <s v="C03549"/>
        <s v="C04675"/>
        <s v="C05714"/>
        <s v="C06387"/>
        <s v="C07264"/>
        <s v="C07645"/>
        <s v="C07416"/>
        <s v="C05879"/>
        <s v="C06113"/>
        <s v="C00855"/>
        <s v="C03686"/>
        <s v="C02156"/>
        <s v="C05689"/>
        <s v="C02989"/>
        <s v="C01830"/>
        <s v="C05483"/>
        <s v="C03970"/>
        <s v="C00446"/>
        <s v="C03501"/>
        <s v="C04657"/>
        <s v="C00331"/>
        <s v="C07679"/>
        <s v="C07730"/>
        <s v="C03260"/>
        <s v="C05466"/>
        <s v="C05360"/>
        <s v="C05832"/>
        <s v="C06709"/>
        <s v="C04338"/>
        <s v="C02593"/>
        <s v="C05193"/>
        <s v="C07630"/>
        <s v="C03031"/>
        <s v="C05376"/>
        <s v="C03261"/>
        <s v="C02741"/>
        <s v="C05394"/>
        <s v="C06494"/>
        <s v="C06499"/>
        <s v="C04946"/>
        <s v="C07708"/>
        <s v="C02969"/>
        <s v="C02226"/>
        <s v="C05820"/>
        <s v="C05642"/>
        <s v="C05693"/>
        <s v="C00767"/>
        <s v="C05666"/>
        <s v="C06843"/>
        <s v="C00931"/>
        <s v="C03286"/>
        <s v="C06064"/>
        <s v="C03016"/>
        <s v="C06493"/>
        <s v="C05283"/>
        <s v="C06632"/>
        <s v="C01060"/>
        <s v="C04933"/>
        <s v="C07091"/>
        <s v="C04511"/>
        <s v="C00477"/>
        <s v="C03703"/>
        <s v="C06926"/>
        <s v="C06937"/>
        <s v="C04975"/>
        <s v="C02672"/>
        <s v="C07435"/>
        <s v="C04381"/>
        <s v="C01098"/>
        <s v="C06400"/>
        <s v="C03179"/>
        <s v="C05286"/>
        <s v="C02899"/>
        <s v="C01185"/>
        <s v="C06476"/>
        <s v="C07134"/>
        <s v="C04563"/>
        <s v="C03954"/>
        <s v="C02591"/>
        <s v="C05288"/>
        <s v="C06253"/>
        <s v="C06154"/>
        <s v="C05433"/>
        <s v="C05957"/>
        <s v="C01967"/>
        <s v="C06741"/>
        <s v="C00239"/>
        <s v="C03047"/>
        <s v="C02905"/>
        <s v="C03890"/>
        <s v="C02088"/>
        <s v="C00226"/>
        <s v="C02277"/>
        <s v="C01727"/>
        <s v="C07118"/>
        <s v="C06546"/>
        <s v="C01280"/>
        <s v="C01457"/>
        <s v="C06978"/>
        <s v="C01823"/>
        <s v="C02144"/>
        <s v="C07161"/>
        <s v="C01424"/>
        <s v="C02001"/>
        <s v="C00106"/>
        <s v="C07348"/>
        <s v="C03206"/>
        <s v="C04212"/>
        <s v="C03200"/>
        <s v="C06637"/>
        <s v="C02706"/>
        <s v="C01466"/>
        <s v="C00215"/>
        <s v="C07177"/>
        <s v="C01559"/>
        <s v="C05103"/>
        <s v="C06575"/>
        <s v="C00651"/>
        <s v="C07532"/>
        <s v="C07200"/>
        <s v="C01713"/>
        <s v="C04488"/>
        <s v="C00932"/>
        <s v="C02116"/>
        <s v="C02804"/>
        <s v="C02398"/>
        <s v="C04976"/>
        <s v="C05422"/>
        <s v="C07742"/>
        <s v="C03985"/>
        <s v="C01998"/>
        <s v="C02375"/>
        <s v="C03567"/>
        <s v="C02541"/>
        <s v="C06552"/>
        <s v="C02131"/>
        <s v="C00125"/>
        <s v="C02360"/>
        <s v="C02482"/>
        <s v="C05255"/>
        <s v="C06634"/>
        <s v="C05089"/>
        <s v="C04155"/>
        <s v="C02937"/>
        <s v="C06209"/>
        <s v="C03461"/>
        <s v="C03365"/>
        <s v="C07516"/>
        <s v="C04984"/>
        <s v="C03035"/>
        <s v="C07805"/>
        <s v="C02738"/>
        <s v="C05546"/>
        <s v="C01898"/>
        <s v="C03736"/>
        <s v="C05651"/>
        <s v="C05681"/>
        <s v="C07979"/>
        <s v="C02236"/>
        <s v="C07105"/>
        <s v="C00027"/>
        <s v="C03386"/>
        <s v="C01952"/>
        <s v="C03143"/>
        <s v="C04352"/>
        <s v="C01761"/>
        <s v="C06545"/>
        <s v="C03640"/>
        <s v="C02095"/>
        <s v="C03575"/>
        <s v="C04825"/>
        <s v="C00175"/>
        <s v="C05168"/>
        <s v="C03859"/>
        <s v="C07157"/>
        <s v="C02093"/>
        <s v="C00442"/>
        <s v="C06191"/>
        <s v="C00636"/>
        <s v="C04740"/>
        <s v="C05459"/>
        <s v="C02189"/>
        <s v="C06359"/>
        <s v="C05211"/>
        <s v="C05659"/>
        <s v="C00730"/>
        <s v="C02319"/>
        <s v="C05536"/>
        <s v="C05505"/>
        <s v="C06588"/>
        <s v="C05191"/>
        <s v="C03185"/>
        <s v="C03710"/>
        <s v="C05253"/>
        <s v="C07163"/>
        <s v="C00439"/>
        <s v="C00603"/>
        <s v="C02423"/>
        <s v="C04004"/>
        <s v="C04622"/>
        <s v="C07336"/>
        <s v="C01934"/>
        <s v="C03219"/>
        <s v="C02274"/>
        <s v="C03882"/>
        <s v="C04253"/>
        <s v="C01458"/>
        <s v="C00274"/>
        <s v="C06179"/>
        <s v="C04759"/>
        <s v="C02316"/>
        <s v="C05562"/>
        <s v="C06357"/>
        <s v="C01544"/>
        <s v="C03226"/>
        <s v="C04011"/>
        <s v="C06950"/>
        <s v="C01040"/>
        <s v="C05215"/>
        <s v="C01143"/>
        <s v="C03981"/>
        <s v="C02124"/>
        <s v="C00479"/>
        <s v="C05740"/>
        <s v="C03685"/>
        <s v="C04248"/>
        <s v="C00216"/>
        <s v="C06460"/>
        <s v="C07782"/>
        <s v="C06803"/>
        <s v="C01894"/>
        <s v="C05697"/>
        <s v="C05837"/>
        <s v="C01518"/>
        <s v="C07802"/>
        <s v="C06365"/>
        <s v="C06448"/>
        <s v="C00236"/>
        <s v="C07421"/>
        <s v="C05342"/>
        <s v="C04452"/>
        <s v="C02844"/>
        <s v="C03948"/>
        <s v="C04240"/>
        <s v="C05731"/>
        <s v="C02453"/>
        <s v="C00056"/>
        <s v="C06739"/>
        <s v="C06297"/>
        <s v="C02956"/>
        <s v="C01069"/>
        <s v="C00562"/>
        <s v="C02794"/>
        <s v="C02287"/>
        <s v="C06085"/>
        <s v="C07344"/>
        <s v="C04597"/>
        <s v="C05614"/>
        <s v="C06012"/>
        <s v="C02076"/>
        <s v="C05888"/>
        <s v="C04616"/>
        <s v="C06977"/>
        <s v="C07690"/>
        <s v="C03917"/>
        <s v="C05184"/>
        <s v="C07078"/>
        <s v="C04177"/>
        <s v="C00080"/>
        <s v="C01836"/>
        <s v="C06412"/>
        <s v="C01658"/>
        <s v="C05573"/>
        <s v="C01676"/>
        <s v="C04444"/>
        <s v="C03019"/>
        <s v="C07682"/>
        <s v="C05175"/>
        <s v="C04512"/>
        <s v="C01545"/>
        <s v="C00068"/>
        <s v="C01656"/>
        <s v="C01467"/>
        <s v="C02018"/>
        <s v="C05767"/>
        <s v="C03669"/>
        <s v="C02367"/>
        <s v="C07858"/>
        <s v="C01034"/>
        <s v="C06940"/>
        <s v="C06958"/>
        <s v="C00246"/>
        <s v="C07349"/>
        <s v="C02092"/>
        <s v="C01685"/>
        <s v="C00009"/>
        <s v="C00583"/>
        <s v="C07079"/>
        <s v="C07208"/>
        <s v="C04823"/>
        <s v="C02078"/>
        <s v="C02925"/>
        <s v="C06629"/>
        <s v="C07397"/>
        <s v="C04408"/>
        <s v="C04348"/>
        <s v="C01265"/>
        <s v="C02370"/>
        <s v="C05095"/>
        <s v="C07650"/>
        <s v="C01284"/>
        <s v="C02868"/>
        <s v="C04706"/>
        <s v="C02912"/>
        <s v="C06173"/>
        <s v="C02045"/>
        <s v="C07962"/>
        <s v="C04430"/>
        <s v="C07811"/>
        <s v="C01253"/>
        <s v="C06726"/>
        <s v="C03609"/>
        <s v="C00858"/>
        <s v="C05251"/>
        <s v="C04906"/>
        <s v="C01758"/>
        <s v="C07821"/>
        <s v="C06813"/>
        <s v="C02043"/>
        <s v="C00079"/>
        <s v="C06432"/>
        <s v="C03321"/>
        <s v="C07334"/>
        <s v="C02098"/>
        <s v="C01168"/>
        <s v="C06957"/>
        <s v="C03418"/>
        <s v="C03786"/>
        <s v="C00695"/>
        <s v="C05968"/>
        <s v="C06718"/>
        <s v="C00621"/>
        <s v="C00665"/>
        <s v="C01176"/>
        <s v="C04623"/>
        <s v="C01459"/>
        <s v="C07711"/>
        <s v="C01362"/>
        <s v="C02200"/>
        <s v="C04591"/>
        <s v="C03372"/>
        <s v="C00072"/>
        <s v="C03435"/>
        <s v="C05774"/>
        <s v="C06776"/>
        <s v="C05398"/>
        <s v="C05749"/>
        <s v="C02446"/>
        <s v="C03174"/>
        <s v="C06157"/>
        <s v="C06806"/>
        <s v="C01726"/>
        <s v="C04761"/>
        <s v="C01955"/>
        <s v="C05501"/>
        <s v="C01462"/>
        <s v="C01555"/>
        <s v="C07137"/>
        <s v="C02505"/>
        <s v="C06650"/>
        <s v="C03971"/>
        <s v="C01041"/>
        <s v="C07424"/>
        <s v="C06801"/>
        <s v="C00278"/>
        <s v="C02212"/>
        <s v="C00338"/>
        <s v="C07011"/>
        <s v="C05881"/>
        <s v="C07086"/>
        <s v="C01698"/>
        <s v="C00019"/>
        <s v="C04339"/>
        <s v="C05919"/>
        <s v="C04567"/>
        <s v="C04572"/>
        <s v="C07365"/>
        <s v="C03162"/>
        <s v="C03517"/>
        <s v="C00527"/>
        <s v="C04536"/>
        <s v="C04927"/>
        <s v="C02924"/>
        <s v="C03869"/>
        <s v="C04758"/>
        <s v="C04414"/>
        <s v="C01666"/>
        <s v="C03268"/>
        <s v="C04171"/>
        <s v="C03755"/>
        <s v="C03704"/>
        <s v="C02260"/>
        <s v="C06061"/>
        <s v="C05325"/>
        <s v="C01757"/>
        <s v="C01557"/>
        <s v="C04827"/>
        <s v="C05289"/>
        <s v="C03417"/>
        <s v="C01598"/>
        <s v="C05066"/>
        <s v="C04331"/>
        <s v="C04764"/>
        <s v="C02381"/>
        <s v="C05008"/>
        <s v="C01624"/>
        <s v="C04142"/>
        <s v="C04131"/>
        <s v="C06138"/>
        <s v="C01985"/>
        <s v="C02901"/>
        <s v="C03717"/>
        <s v="C07875"/>
        <s v="C03581"/>
        <s v="C04938"/>
        <s v="C00992"/>
        <s v="C03712"/>
        <s v="C03403"/>
        <s v="C07174"/>
        <s v="C05452"/>
        <s v="C02954"/>
        <s v="C01570"/>
        <s v="C01710"/>
        <s v="C07702"/>
        <s v="C04448"/>
        <s v="C00431"/>
        <s v="C00883"/>
        <s v="C04223"/>
        <s v="C02217"/>
        <s v="C00389"/>
        <s v="C03087"/>
        <s v="C05337"/>
        <s v="C07908"/>
        <s v="C00005"/>
        <s v="C02373"/>
        <s v="C01542"/>
        <s v="C05944"/>
        <s v="C06263"/>
        <s v="C07399"/>
        <s v="C07061"/>
        <s v="C01073"/>
        <s v="C04637"/>
        <s v="C04438"/>
        <s v="C06441"/>
        <s v="C03499"/>
        <s v="C04942"/>
        <s v="C01795"/>
        <s v="C04763"/>
        <s v="C01532"/>
        <s v="C03958"/>
        <s v="C00269"/>
        <s v="C00914"/>
        <s v="C03897"/>
        <s v="C07250"/>
        <s v="C05212"/>
        <s v="C06525"/>
        <s v="C02798"/>
        <s v="C04603"/>
        <s v="C04059"/>
        <s v="C03633"/>
        <s v="C02722"/>
        <s v="C02518"/>
        <s v="C01969"/>
        <s v="C01386"/>
        <s v="C06425"/>
        <s v="C01995"/>
        <s v="C01965"/>
        <s v="C02824"/>
        <s v="C07202"/>
        <s v="C04725"/>
        <s v="C02250"/>
        <s v="C05230"/>
        <s v="C04460"/>
        <s v="C07233"/>
        <s v="C07408"/>
        <s v="C02581"/>
        <s v="C05467"/>
        <s v="C06858"/>
        <s v="C04015"/>
        <s v="C02941"/>
        <s v="C02753"/>
        <s v="C07627"/>
        <s v="C00489"/>
        <s v="C05159"/>
        <s v="C03293"/>
        <s v="C06875"/>
        <s v="C07902"/>
        <s v="C03142"/>
        <s v="C02569"/>
        <s v="C07652"/>
        <s v="C03492"/>
        <s v="C05859"/>
        <s v="C07746"/>
        <s v="C00942"/>
        <s v="C02963"/>
        <s v="C05321"/>
        <s v="C02052"/>
        <s v="C00897"/>
        <s v="C04978"/>
        <s v="C00902"/>
        <s v="C06348"/>
        <s v="C04079"/>
        <s v="C07237"/>
        <s v="C05512"/>
        <s v="C07301"/>
        <s v="C02639"/>
        <s v="C02894"/>
        <s v="C05457"/>
        <s v="C06966"/>
        <s v="C05990"/>
        <s v="C04721"/>
        <s v="C06611"/>
        <s v="C00771"/>
        <s v="C03541"/>
        <s v="C04048"/>
        <s v="C05412"/>
        <s v="C00890"/>
        <s v="C07194"/>
        <s v="C06089"/>
        <s v="C03329"/>
        <s v="C01354"/>
        <s v="C07300"/>
        <s v="C07047"/>
        <s v="C07280"/>
        <s v="C04841"/>
        <s v="C02188"/>
        <s v="C03470"/>
        <s v="C03487"/>
        <s v="C04746"/>
        <s v="C04979"/>
        <s v="C01385"/>
        <s v="C06984"/>
        <s v="C05246"/>
        <s v="C03648"/>
        <s v="C04564"/>
        <s v="C07944"/>
        <s v="C05885"/>
        <s v="C02020"/>
        <s v="C04014"/>
        <s v="C01784"/>
        <s v="C01747"/>
        <s v="C06171"/>
        <s v="C04892"/>
        <s v="C07954"/>
        <s v="C04045"/>
        <s v="C02309"/>
        <s v="C05491"/>
        <s v="C03784"/>
        <s v="C03289"/>
        <s v="C02238"/>
        <s v="C07980"/>
        <s v="C03155"/>
        <s v="C07074"/>
        <s v="C05071"/>
        <s v="C00282"/>
        <s v="C02461"/>
        <s v="C04294"/>
        <s v="C06037"/>
        <s v="C05369"/>
        <s v="C00104"/>
        <s v="C00988"/>
        <s v="C00370"/>
        <s v="C04086"/>
        <s v="C00809"/>
        <s v="C01028"/>
        <s v="C07391"/>
        <s v="C00217"/>
        <s v="C04062"/>
        <s v="C00408"/>
        <s v="C04819"/>
        <s v="C07654"/>
        <s v="C04051"/>
        <s v="C02168"/>
        <s v="C03397"/>
        <s v="C02235"/>
        <s v="C05241"/>
        <s v="C02559"/>
        <s v="C07433"/>
        <s v="C00352"/>
        <s v="C01108"/>
        <s v="C03154"/>
        <s v="C00302"/>
        <s v="C07807"/>
        <s v="C06377"/>
        <s v="C05641"/>
        <s v="C03965"/>
        <s v="C04113"/>
        <s v="C06693"/>
        <s v="C07591"/>
        <s v="C03088"/>
        <s v="C04768"/>
        <s v="C03431"/>
        <s v="C05898"/>
        <s v="C06309"/>
        <s v="C06865"/>
        <s v="C03145"/>
        <s v="C00114"/>
        <s v="C06161"/>
        <s v="C03642"/>
        <s v="C05373"/>
        <s v="C01363"/>
        <s v="C02676"/>
        <s v="C05082"/>
        <s v="C06011"/>
        <s v="C02812"/>
        <s v="C03191"/>
        <s v="C01043"/>
        <s v="C00008"/>
        <s v="C04144"/>
        <s v="C00284"/>
        <s v="C04319"/>
        <s v="C01777"/>
        <s v="C03772"/>
        <s v="C02306"/>
        <s v="C07152"/>
        <s v="C00092"/>
        <s v="C07518"/>
        <s v="C02735"/>
        <s v="C02146"/>
        <s v="C01986"/>
        <s v="C00593"/>
        <s v="C06909"/>
        <s v="C07023"/>
        <s v="C02619"/>
        <s v="C03028"/>
        <s v="C04182"/>
        <s v="C04748"/>
        <s v="C05692"/>
        <s v="C05245"/>
        <s v="C05921"/>
        <s v="C03841"/>
        <s v="C07503"/>
        <s v="C02159"/>
        <s v="C06095"/>
        <s v="C05566"/>
        <s v="C05570"/>
        <s v="C06048"/>
        <s v="C06795"/>
        <s v="C05091"/>
        <s v="C03566"/>
        <s v="C01649"/>
        <s v="C04042"/>
        <s v="C03234"/>
        <s v="C04140"/>
        <s v="C05712"/>
        <s v="C05494"/>
        <s v="C03320"/>
        <s v="C04474"/>
        <s v="C02036"/>
        <s v="C03093"/>
        <s v="C03544"/>
        <s v="C00264"/>
        <s v="C00252"/>
        <s v="C05729"/>
        <s v="C03962"/>
        <s v="C06852"/>
        <s v="C06713"/>
        <s v="C05155"/>
        <s v="C07733"/>
        <s v="C06980"/>
        <s v="C01177"/>
        <s v="C06213"/>
        <s v="C06023"/>
        <s v="C05577"/>
        <s v="C03207"/>
        <s v="C00900"/>
        <s v="C00841"/>
        <s v="C06932"/>
        <s v="C02037"/>
        <s v="C07283"/>
        <s v="C04173"/>
        <s v="C02158"/>
        <s v="C01298"/>
        <s v="C07338"/>
        <s v="C04810"/>
        <s v="C04936"/>
        <s v="C07460"/>
        <s v="C01855"/>
        <s v="C05427"/>
        <s v="C00475"/>
        <s v="C07873"/>
        <s v="C03198"/>
        <s v="C04219"/>
        <s v="C06570"/>
        <s v="C01826"/>
        <s v="C04496"/>
        <s v="C01163"/>
        <s v="C03255"/>
        <s v="C02056"/>
        <s v="C02590"/>
        <s v="C06917"/>
        <s v="C02455"/>
        <s v="C06901"/>
        <s v="C07453"/>
        <s v="C06434"/>
        <s v="C02305"/>
        <s v="C04678"/>
        <s v="C03934"/>
        <s v="C04201"/>
        <s v="C07229"/>
        <s v="C01076"/>
        <s v="C02511"/>
        <s v="C06847"/>
        <s v="C01684"/>
        <s v="C06211"/>
        <s v="C05007"/>
        <s v="C04471"/>
        <s v="C06599"/>
        <s v="C03467"/>
        <s v="C05102"/>
        <s v="C05563"/>
        <s v="C05687"/>
        <s v="C07296"/>
        <s v="C01287"/>
        <s v="C02349"/>
        <s v="C05347"/>
        <s v="C00494"/>
        <s v="C06487"/>
        <s v="C02180"/>
        <s v="C02007"/>
        <s v="C05385"/>
        <s v="C01958"/>
        <s v="C03400"/>
        <s v="C00886"/>
        <s v="C01715"/>
        <s v="C05409"/>
        <s v="C00752"/>
        <s v="C04786"/>
        <s v="C05339"/>
        <s v="C01950"/>
        <s v="C04973"/>
        <s v="C00908"/>
        <s v="C00899"/>
        <s v="C07154"/>
        <s v="C03974"/>
        <s v="C06501"/>
        <s v="C07393"/>
        <s v="C05141"/>
        <s v="C02081"/>
        <s v="C01218"/>
        <s v="C07881"/>
        <s v="C07449"/>
        <s v="C05176"/>
        <s v="C06762"/>
        <s v="C01537"/>
        <s v="C05938"/>
        <s v="C02100"/>
        <s v="C01626"/>
        <s v="C06451"/>
        <s v="C05904"/>
        <s v="C03843"/>
        <s v="C02580"/>
        <s v="C05173"/>
        <s v="C05498"/>
        <s v="C06751"/>
        <s v="C04064"/>
        <s v="C07559"/>
        <s v="C00192"/>
        <s v="C02336"/>
        <s v="C02526"/>
        <s v="C06854"/>
        <s v="C05047"/>
        <s v="C03950"/>
        <s v="C03246"/>
        <s v="C07689"/>
        <s v="C05887"/>
        <s v="C00076"/>
        <s v="C06153"/>
        <s v="C05333"/>
        <s v="C06952"/>
        <s v="C02297"/>
        <s v="C01820"/>
      </sharedItems>
    </cacheField>
    <cacheField name="CustomerName" numFmtId="0">
      <sharedItems count="942">
        <s v="Riya Barman"/>
        <s v="Yasti Iyer"/>
        <s v="Bhavika Naidu"/>
        <s v="Nirja Chandran"/>
        <s v="Gavin Chandran"/>
        <s v="Hitesh Saraf"/>
        <s v="Varsha Mahal"/>
        <s v="Shravya Gala"/>
        <s v="Manan Choudhury"/>
        <s v="Maya Mane"/>
        <s v="Sanaya Prasad"/>
        <s v="Upkaar Baral"/>
        <s v="Neha Magar"/>
        <s v="Aadi Thaman"/>
        <s v="Lakshmi Vohra"/>
        <s v="Tripti Yadav"/>
        <s v="Yahvi Bhatti"/>
        <s v="Caleb Kumar"/>
        <s v="Tara Balasubramanian"/>
        <s v="Victor Pau"/>
        <s v="Ekapad Walia"/>
        <s v="Chavvi Kannan"/>
        <s v="Ansh Dash"/>
        <s v="Ekiya Dixit"/>
        <s v="Faraj Bose"/>
        <s v="Jagrati Mall"/>
        <s v="Meera Puri"/>
        <s v="Saanvi Balan"/>
        <s v="Pallavi Kunda"/>
        <s v="Girish Parmar"/>
        <s v="Zaitra Date"/>
        <s v="William Acharya"/>
        <s v="David Kurian"/>
        <s v="Gauri Mitter"/>
        <s v="Dakshesh Wali"/>
        <s v="Nidra Boase"/>
        <s v="Bina Ahuja"/>
        <s v="Tamanna Sachdev"/>
        <s v="Ridhi Sami"/>
        <s v="Samarth Shere"/>
        <s v="Zaitra De"/>
        <s v="Nidhi Chatterjee"/>
        <s v="Aarini Dara"/>
        <s v="Tamanna Din"/>
        <s v="Lopa Bhatnagar"/>
        <s v="Amol Bali"/>
        <s v="Faras Patil"/>
        <s v="Nikita Bora"/>
        <s v="Jagvi Mallick"/>
        <s v="Jasmit Shroff"/>
        <s v="Quincy Mann"/>
        <s v="Harish Lalla"/>
        <s v="Riya Uppal"/>
        <s v="Lila Nagy"/>
        <s v="Advaith Chaudhari"/>
        <s v="Tejas Narasimhan"/>
        <s v="Pallavi Sane"/>
        <s v="Sachi Bose"/>
        <s v="Bachittar Arya"/>
        <s v="Chavvi Mani"/>
        <s v="Adya Bose"/>
        <s v="Nachiket Pant"/>
        <s v="Megha Balasubramanian"/>
        <s v="Shaurya Dutta"/>
        <s v="Yug Bandi"/>
        <s v="Zashil Sehgal"/>
        <s v="Urishilla Kata"/>
        <s v="Logan Sahota"/>
        <s v="Kavya Goel"/>
        <s v="Maanav Naik"/>
        <s v="Samaksh Vohra"/>
        <s v="Libni Sant"/>
        <s v="Ekapad Iyer"/>
        <s v="Tristan Mall"/>
        <s v="Nidhi Mahal"/>
        <s v="Udarsh Doctor"/>
        <s v="Chandresh Kunda"/>
        <s v="Meghana Khare"/>
        <s v="Zehaan Ganguly"/>
        <s v="Gavin Prabhakar"/>
        <s v="Chatura Modi"/>
        <s v="Gavin Batta"/>
        <s v="Sudiksha Reddy"/>
        <s v="Nilima Bhat"/>
        <s v="Oni Gola"/>
        <s v="Aishani Vala"/>
        <s v="Chanakya Murty"/>
        <s v="Jeet Chatterjee"/>
        <s v="Lakshit Sura"/>
        <s v="Neel Hayer"/>
        <s v="Warjas Gaba"/>
        <s v="Kashvi Atwal"/>
        <s v="Widisha Hans"/>
        <s v="Kritika Chaudhry"/>
        <s v="Tara Sangha"/>
        <s v="Reyansh Bail"/>
        <s v="Osha Chaudhuri"/>
        <s v="Mohammed Subramaniam"/>
        <s v="Vansha Desai"/>
        <s v="Bhavini Kumar"/>
        <s v="Urvi Deo"/>
        <s v="Januja Sachar"/>
        <s v="Jairaj Kothari"/>
        <s v="Aarnav Soni"/>
        <s v="Samesh Sura"/>
        <s v="Jairaj Maharaj"/>
        <s v="Hritik Palla"/>
        <s v="Bishakha Lal"/>
        <s v="Jackson Dave"/>
        <s v="Bachittar Dugar"/>
        <s v="Abdul Mukherjee"/>
        <s v="Wridesh Chana"/>
        <s v="Jyoti Iyer"/>
        <s v="Parth Kunda"/>
        <s v="Dominic Mallick"/>
        <s v="Forum Sabharwal"/>
        <s v="Yuvraj Brahmbhatt"/>
        <s v="Ethan Jaggi"/>
        <s v="Suhani Malhotra"/>
        <s v="Maya Mani"/>
        <s v="Gautami Sarna"/>
        <s v="Ekaja Divan"/>
        <s v="Udarsh Wable"/>
        <s v="Aditya Pathak"/>
        <s v="Nitesh Raghavan"/>
        <s v="Deepa Hayre"/>
        <s v="Yoshita Prabhu"/>
        <s v="Yoshita Zacharia"/>
        <s v="Gagan Menon"/>
        <s v="Falguni Misra"/>
        <s v="Chandran Warrior"/>
        <s v="Wazir Rastogi"/>
        <s v="Yatin Chandran"/>
        <s v="Siya Bumb"/>
        <s v="Pavani Wali"/>
        <s v="Oscar Aurora"/>
        <s v="Yasti Hans"/>
        <s v="Amaira Jhaveri"/>
        <s v="Upma Chaudhuri"/>
        <s v="Sanya Naik"/>
        <s v="Ishani Sandal"/>
        <s v="Falan Warrior"/>
        <s v="Girik Nori"/>
        <s v="Thomas Shankar"/>
        <s v="Samesh Mutti"/>
        <s v="Manan Dhar"/>
        <s v="Yatin Chadha"/>
        <s v="Raksha Buch"/>
        <s v="Mekhala Kala"/>
        <s v="Omkaar Basu"/>
        <s v="Devika Naidu"/>
        <s v="Henry Butala"/>
        <s v="Nidra Sankaran"/>
        <s v="Aadi Mital"/>
        <s v="Ekansh Singh"/>
        <s v="Zarna Ram"/>
        <s v="Pratyush Mody"/>
        <s v="Aarini Grewal"/>
        <s v="Deepa Viswanathan"/>
        <s v="Triveni Sethi"/>
        <s v="Advay Narasimhan"/>
        <s v="Mason Raj"/>
        <s v="Samesh Nazareth"/>
        <s v="Robert Bali"/>
        <s v="Triveni Thakur"/>
        <s v="Dalaja Karan"/>
        <s v="Dominic Sankaran"/>
        <s v="Gunbir Nagarajan"/>
        <s v="Aashi Sarraf"/>
        <s v="Anya Cheema"/>
        <s v="Bimala Loke"/>
        <s v="Yoshita Bumb"/>
        <s v="Ekantika Chaudhari"/>
        <s v="Indrajit Gala"/>
        <s v="Ranveer Rao"/>
        <s v="Avni Maharaj"/>
        <s v="Gunbir Karnik"/>
        <s v="Fiyaz Soni"/>
        <s v="Inaya Mukherjee"/>
        <s v="Leena Mital"/>
        <s v="Frado Dhingra"/>
        <s v="Hritik Kaur"/>
        <s v="Ojasvi Purohit"/>
        <s v="George Bhattacharyya"/>
        <s v="Onveer Narain"/>
        <s v="Jai Balay"/>
        <s v="Leela Wadhwa"/>
        <s v="Gabriel Thaman"/>
        <s v="Aayush Aggarwal"/>
        <s v="Kiaan Wagle"/>
        <s v="Yauvani Nayar"/>
        <s v="Aadhya Gandhi"/>
        <s v="Deepa Pillai"/>
        <s v="Garima Srinivas"/>
        <s v="Gaurangi Bal"/>
        <s v="Warjas Bail"/>
        <s v="Nicholas Hari"/>
        <s v="Oscar Cherian"/>
        <s v="Varsha Soman"/>
        <s v="Eta Kala"/>
        <s v="Devika Salvi"/>
        <s v="Hemal Bhatt"/>
        <s v="Simon Mangal"/>
        <s v="Frado Sachdeva"/>
        <s v="Kashvi Ahuja"/>
        <s v="Pranit Bhardwaj"/>
        <s v="Libni Walia"/>
        <s v="Girik Nair"/>
        <s v="Lakshmi De"/>
        <s v="Banjeet Sem"/>
        <s v="Urmi Patla"/>
        <s v="Upkaar Chanda"/>
        <s v="Reva Yadav"/>
        <s v="Patrick Gulati"/>
        <s v="Ekansh Pandit"/>
        <s v="Neha Dani"/>
        <s v="Tanish Gera"/>
        <s v="Vaishnavi Keer"/>
        <s v="Michael Mand"/>
        <s v="Ishwar Arora"/>
        <s v="Balendra Joshi"/>
        <s v="Urmi Dewan"/>
        <s v="Upma Bhavsar"/>
        <s v="Pushti Kurian"/>
        <s v="Parth Din"/>
        <s v="Jatin Pillay"/>
        <s v="Ishita Gokhale"/>
        <s v="Ekanta Khatri"/>
        <s v="William Mohan"/>
        <s v="Peter Som"/>
        <s v="Vaishnavi Dhar"/>
        <s v="Bhanumati Chaudhary"/>
        <s v="Zarna Din"/>
        <s v="Dalaja Chahal"/>
        <s v="Girik Pradhan"/>
        <s v="Charles Wadhwa"/>
        <s v="Unni Deep"/>
        <s v="Owen Ratti"/>
        <s v="Wishi Sharaf"/>
        <s v="Chakrika Saxena"/>
        <s v="Maanas Chad"/>
        <s v="Vinaya Garde"/>
        <s v="Arjun Palla"/>
        <s v="Garima Koshy"/>
        <s v="Chatura Goel"/>
        <s v="Varsha Mody"/>
        <s v="Hiral Tella"/>
        <s v="Shravya Singhal"/>
        <s v="Charvi Mangat"/>
        <s v="Varsha Tank"/>
        <s v="Kritika Dasgupta"/>
        <s v="Ryan Goyal"/>
        <s v="Harini Gour"/>
        <s v="Atharv Mane"/>
        <s v="Chandani Mutti"/>
        <s v="Zaitra Saraf"/>
        <s v="Wridesh Buch"/>
        <s v="Radhika Bora"/>
        <s v="Jairaj Panchal"/>
        <s v="Arin Sethi"/>
        <s v="Chaitaly Mann"/>
        <s v="Ikshita Bala"/>
        <s v="Lakshit Dewan"/>
        <s v="Ishani Dugal"/>
        <s v="Vedika Wagle"/>
        <s v="Faqid Dixit"/>
        <s v="Suhani Dutt"/>
        <s v="Kalpit Setty"/>
        <s v="Dhruv Garg"/>
        <s v="Jonathan Thaman"/>
        <s v="Chandresh Soman"/>
        <s v="Samarth Barad"/>
        <s v="Amara Rana"/>
        <s v="Zayan Kashyap"/>
        <s v="Eta Mittal"/>
        <s v="Amaira Wadhwa"/>
        <s v="Urvi Tara"/>
        <s v="Hemal Krish"/>
        <s v="Kashvi Sagar"/>
        <s v="Eesha Singhal"/>
        <s v="Noah Sachdeva"/>
        <s v="Rishi Agarwal"/>
        <s v="Keya Bal"/>
        <s v="Mason Gola"/>
        <s v="Jason Kaul"/>
        <s v="Udant Lad"/>
        <s v="Kashish Lad"/>
        <s v="Nirja Radhakrishnan"/>
        <s v="Ekta Patla"/>
        <s v="Netra Bandi"/>
        <s v="Saanvi Oommen"/>
        <s v="Ranbir Bhatnagar"/>
        <s v="Max Wagle"/>
        <s v="Sudiksha Aurora"/>
        <s v="Yochana Parmar"/>
        <s v="Harrison Thakkar"/>
        <s v="Azad Sani"/>
        <s v="Ikbal Saraf"/>
        <s v="Harini Pant"/>
        <s v="Harita Kade"/>
        <s v="Harsh Brar"/>
        <s v="Balendra Hans"/>
        <s v="Mason Ravel"/>
        <s v="Dakshesh Cheema"/>
        <s v="Megha Sama"/>
        <s v="Maya Parekh"/>
        <s v="Bachittar Nigam"/>
        <s v="Lakshit Palla"/>
        <s v="Mohini Naidu"/>
        <s v="Bimala Jani"/>
        <s v="Yasti Sagar"/>
        <s v="Irya Kapur"/>
        <s v="Kashvi Rajagopalan"/>
        <s v="Baljiwan Bahri"/>
        <s v="Tara Yadav"/>
        <s v="Riya Patel"/>
        <s v="Ladli Sunder"/>
        <s v="Abeer Yadav"/>
        <s v="Fitan Nagy"/>
        <s v="Udarsh Jani"/>
        <s v="Ranbir Gera"/>
        <s v="Simon Tata"/>
        <s v="Joshua Memon"/>
        <s v="Thomas Merchant"/>
        <s v="Ishwar Mallick"/>
        <s v="Kalpit Sur"/>
        <s v="Leela Bhagat"/>
        <s v="Anmol Dara"/>
        <s v="Harinakshi Bath"/>
        <s v="Aayush Chaudhary"/>
        <s v="Jagat Nayar"/>
        <s v="Nidra Sani"/>
        <s v="Triya Gopal"/>
        <s v="Chakradhar Venkataraman"/>
        <s v="Yauvani Brar"/>
        <s v="Samesh Sachdeva"/>
        <s v="Akshay Wadhwa"/>
        <s v="Charles Natt"/>
        <s v="Falguni Tella"/>
        <s v="Geetika Merchant"/>
        <s v="Pallavi Ganesh"/>
        <s v="Matthew Doshi"/>
        <s v="Fiyaz Murthy"/>
        <s v="Ranbir Char"/>
        <s v="Bhavani Aggarwal"/>
        <s v="Akshay Mukhopadhyay"/>
        <s v="Anay Thakkar"/>
        <s v="Agastya Garg"/>
        <s v="Aachal Sarkar"/>
        <s v="Kamala Savant"/>
        <s v="Adya Lad"/>
        <s v="Dhruv Mann"/>
        <s v="Ishwar Hayre"/>
        <s v="Bhavani Sandhu"/>
        <s v="Unni Buch"/>
        <s v="Pahal Brahmbhatt"/>
        <s v="Reva Viswanathan"/>
        <s v="David Devi"/>
        <s v="Jacob Prabhu"/>
        <s v="Arjun Nagy"/>
        <s v="Watika Peri"/>
        <s v="Rachana Sura"/>
        <s v="Hemang Ben"/>
        <s v="Oni Prashad"/>
        <s v="Simon Agrawal"/>
        <s v="Bachittar Brar"/>
        <s v="Sara Dada"/>
        <s v="Owen Mane"/>
        <s v="Vasudha Sodhi"/>
        <s v="Farhan Murthy"/>
        <s v="Nidhi Krishnamurthy"/>
        <s v="Qasim Brar"/>
        <s v="Ishaan Sehgal"/>
        <s v="Ijaya Hegde"/>
        <s v="Anirudh Patla"/>
        <s v="Arin Vasa"/>
        <s v="Ati Prashad"/>
        <s v="Qarin Rao"/>
        <s v="Garima Jha"/>
        <s v="Manan Saraf"/>
        <s v="Vansha Rajagopal"/>
        <s v="Vinaya Ahuja"/>
        <s v="Ekansh Tara"/>
        <s v="Anirudh Kunda"/>
        <s v="Matthew Chowdhury"/>
        <s v="Ekanta Shenoy"/>
        <s v="Jai Muni"/>
        <s v="Reyansh Mutti"/>
        <s v="Finn Devan"/>
        <s v="Gaurangi Bhatti"/>
        <s v="Umang Nazareth"/>
        <s v="Xalak Walla"/>
        <s v="Viraj Thakur"/>
        <s v="Arya Sodhi"/>
        <s v="Sathvik Solanki"/>
        <s v="Harrison Ramaswamy"/>
        <s v="Mitali Walla"/>
        <s v="Rajata Sridhar"/>
        <s v="Aishani Bumb"/>
        <s v="Lipika Dasgupta"/>
        <s v="Advika Kapur"/>
        <s v="Jairaj Dayal"/>
        <s v="Advay Dar"/>
        <s v="Omkaar Vohra"/>
        <s v="Aayush Narain"/>
        <s v="Darsh Mohan"/>
        <s v="Aadhya Chakraborty"/>
        <s v="Ekavir Bhargava"/>
        <s v="Bhavya Agarwal"/>
        <s v="Yashoda Narayanan"/>
        <s v="Kevin Rattan"/>
        <s v="Mekhala Nanda"/>
        <s v="Hemani Rastogi"/>
        <s v="Sanaya D’Alia"/>
        <s v="Pranav Khatri"/>
        <s v="Urvi Kapadia"/>
        <s v="Hamsini Batta"/>
        <s v="Pahal Panchal"/>
        <s v="Isaiah Kothari"/>
        <s v="Wriddhish Desai"/>
        <s v="Hema Gera"/>
        <s v="Jagat Aggarwal"/>
        <s v="Lila Goda"/>
        <s v="Vrinda Lanka"/>
        <s v="Girindra Som"/>
        <s v="Turvi Boase"/>
        <s v="Sara Hari"/>
        <s v="Ansh Wadhwa"/>
        <s v="Xalak Chakraborty"/>
        <s v="Dipta Bhandari"/>
        <s v="Mitesh Tandon"/>
        <s v="Alka Mann"/>
        <s v="Anamika Sachar"/>
        <s v="Yashoda Balasubramanian"/>
        <s v="Praneel Setty"/>
        <s v="Rachita Saran"/>
        <s v="Meera Guha"/>
        <s v="Faras Agarwal"/>
        <s v="Ekani Kala"/>
        <s v="Vyanjana Amble"/>
        <s v="Ekani Bhatnagar"/>
        <s v="Logan Sami"/>
        <s v="Nihal Hans"/>
        <s v="Sai Patil"/>
        <s v="Aayush Tripathi"/>
        <s v="Amruta Chanda"/>
        <s v="Yashawini Konda"/>
        <s v="Riya Toor"/>
        <s v="Ekiya Srivastava"/>
        <s v="Advika Cheema"/>
        <s v="Pooja Dara"/>
        <s v="Qasim Sachdev"/>
        <s v="Damyanti Mani"/>
        <s v="Andrew Murthy"/>
        <s v="Yashasvi Bir"/>
        <s v="Oni Morar"/>
        <s v="Arunima Dugal"/>
        <s v="Jagat Dave"/>
        <s v="Triya Sunder"/>
        <s v="Urmi Ravi"/>
        <s v="Darika Keer"/>
        <s v="Kabir Dhar"/>
        <s v="Vyanjana Hora"/>
        <s v="Kashvi Brar"/>
        <s v="Nilima Chauhan"/>
        <s v="Warhi Grewal"/>
        <s v="Samuel Raju"/>
        <s v="Netra Chanda"/>
        <s v="Saksham Sarna"/>
        <s v="Upma Bera"/>
        <s v="Manan Sarna"/>
        <s v="Ekavir Kari"/>
        <s v="Tanveer Desai"/>
        <s v="Radhika Raju"/>
        <s v="Charan Sami"/>
        <s v="Samesh Bawa"/>
        <s v="Vritti Basak"/>
        <s v="Pranit Naidu"/>
        <s v="Udyati Shenoy"/>
        <s v="Ojas Agrawal"/>
        <s v="Rishi Menon"/>
        <s v="Mason Badami"/>
        <s v="Sudiksha Varghese"/>
        <s v="Zaid Dhingra"/>
        <s v="Ishita Garg"/>
        <s v="Xiti Warrior"/>
        <s v="Deepa Nigam"/>
        <s v="Samesh Halder"/>
        <s v="Ayushman Dani"/>
        <s v="Turvi Devan"/>
        <s v="Teerth Bhardwaj"/>
        <s v="Brinda Chatterjee"/>
        <s v="Thomas Loyal"/>
        <s v="Ranveer Sidhu"/>
        <s v="Pratyush Pant"/>
        <s v="Ishaan Cherian"/>
        <s v="Bishakha Issac"/>
        <s v="Tara Malhotra"/>
        <s v="Abhiram Dutt"/>
        <s v="Dalbir Sachar"/>
        <s v="Karan De"/>
        <s v="Lipika Konda"/>
        <s v="Odika Narayanan"/>
        <s v="Devansh Bhasin"/>
        <s v="Yasti Borde"/>
        <s v="Ansh Vohra"/>
        <s v="Ekta Uppal"/>
        <s v="Pranit Walla"/>
        <s v="Kevin Chopra"/>
        <s v="Kavya Chowdhury"/>
        <s v="Hemal Rama"/>
        <s v="Advika Mittal"/>
        <s v="Girik Khalsa"/>
        <s v="Baljiwan Bora"/>
        <s v="Jhalak Hayer"/>
        <s v="Nihal Nadkarni"/>
        <s v="Krishna Anand"/>
        <s v="Ishwar Bath"/>
        <s v="Ekani Ratti"/>
        <s v="Indira Pandey"/>
        <s v="Abhimanyu Bedi"/>
        <s v="Oni Yadav"/>
        <s v="Turvi Sachdev"/>
        <s v="Jonathan Bansal"/>
        <s v="Tarak Solanki"/>
        <s v="Zaid Bhargava"/>
        <s v="Oliver Nazareth"/>
        <s v="Timothy Bobal"/>
        <s v="Zilmil Pradhan"/>
        <s v="Prisha Ben"/>
        <s v="Ranveer Banerjee"/>
        <s v="Harish Kale"/>
        <s v="Nimrat Zachariah"/>
        <s v="Abhimanyu Prasad"/>
        <s v="Ubika Krish"/>
        <s v="Harini Tripathi"/>
        <s v="Bahadurjit Mahal"/>
        <s v="Lipika Setty"/>
        <s v="Alexander Rajagopalan"/>
        <s v="Caleb Tailor"/>
        <s v="Vedant Sheth"/>
        <s v="Chandran Chopra"/>
        <s v="Janya Gaba"/>
        <s v="Yatan Kalla"/>
        <s v="Balveer Sama"/>
        <s v="Zehaan Devan"/>
        <s v="Meghana Bumb"/>
        <s v="Abeer Kalita"/>
        <s v="Akshay Dora"/>
        <s v="Megha Barad"/>
        <s v="Adweta Lad"/>
        <s v="Chavvi Saxena"/>
        <s v="Laban Solanki"/>
        <s v="Aditya Chaudhuri"/>
        <s v="Anjali Ahluwalia"/>
        <s v="Unnati Venkatesh"/>
        <s v="Rachit Nagy"/>
        <s v="Yatan Venkataraman"/>
        <s v="Hiral Ratta"/>
        <s v="Tanmayi Kulkarni"/>
        <s v="Amara Chacko"/>
        <s v="Devika Guha"/>
        <s v="Qushi Mandal"/>
        <s v="Robert Sidhu"/>
        <s v="Maya Sharma"/>
        <s v="Yash Garg"/>
        <s v="Upadhriti Bhat"/>
        <s v="Gayathri Dutta"/>
        <s v="Pranit Kapur"/>
        <s v="Isha Dewan"/>
        <s v="Chandran Rastogi"/>
        <s v="Zarna Divan"/>
        <s v="Maanas Basak"/>
        <s v="Keya Mistry"/>
        <s v="Hamsini Murty"/>
        <s v="Lajita Sodhi"/>
        <s v="Jagvi Chokshi"/>
        <s v="Jatin Doshi"/>
        <s v="Madhavi Vig"/>
        <s v="Qushi Raval"/>
        <s v="Hemani Sethi"/>
        <s v="Fariq Bose"/>
        <s v="Shaurya Ganguly"/>
        <s v="Jagat Pall"/>
        <s v="Abhimanyu Pingle"/>
        <s v="Qasim Chander"/>
        <s v="Hemangini Thakkar"/>
        <s v="Samaksh Brahmbhatt"/>
        <s v="Charita Ravel"/>
        <s v="Onveer Ravel"/>
        <s v="Arjun Chanda"/>
        <s v="Yadavi Golla"/>
        <s v="Kamya Sachar"/>
        <s v="Irya Dayal"/>
        <s v="Lakshmi Natt"/>
        <s v="Wahab Venkataraman"/>
        <s v="Baljiwan Bhandari"/>
        <s v="Jai Sami"/>
        <s v="Devansh Wagle"/>
        <s v="Sudiksha Bala"/>
        <s v="Nandini Boase"/>
        <s v="Jeremiah Kakar"/>
        <s v="Harsh Kapoor"/>
        <s v="Nikita Ganguly"/>
        <s v="Viraj Tiwari"/>
        <s v="Frederick Lata"/>
        <s v="Jeevika Setty"/>
        <s v="Isaac Thakur"/>
        <s v="Abha Sachdev"/>
        <s v="Azaan Sem"/>
        <s v="Gautam Gara"/>
        <s v="Hitesh Chaudhuri"/>
        <s v="Darpan Uppal"/>
        <s v="Girish Babu"/>
        <s v="Chakrika Mitter"/>
        <s v="Ishaan Bail"/>
        <s v="Simon Brar"/>
        <s v="Joshua Menon"/>
        <s v="Jack Sachar"/>
        <s v="Jeremiah Sura"/>
        <s v="Anika Warrior"/>
        <s v="Nathan Mukhopadhyay"/>
        <s v="Rajeshri Khare"/>
        <s v="Umang Raval"/>
        <s v="Tanveer Nagi"/>
        <s v="Nikita Dalal"/>
        <s v="Laksh Mistry"/>
        <s v="Eta Rajagopal"/>
        <s v="Upasna Banerjee"/>
        <s v="Girik Gill"/>
        <s v="Wahab Balakrishnan"/>
        <s v="Chavvi Mangal"/>
        <s v="Gaurika Krishna"/>
        <s v="Ubika Devi"/>
        <s v="Yashoda Rattan"/>
        <s v="Idika Sagar"/>
        <s v="Chaaya Saha"/>
        <s v="Kevin Parmer"/>
        <s v="Manya Nazareth"/>
        <s v="Ayushman Bahl"/>
        <s v="Gaurav Sarkar"/>
        <s v="Irya Bath"/>
        <s v="Falan Bumb"/>
        <s v="Ekanta Karnik"/>
        <s v="Yashvi Din"/>
        <s v="Diya Sampath"/>
        <s v="Yashodhara Prasad"/>
        <s v="Laban Oza"/>
        <s v="Jack Ray"/>
        <s v="Urmi Desai"/>
        <s v="Joshua Nair"/>
        <s v="Darika Sabharwal"/>
        <s v="Girik Vohra"/>
        <s v="Jalsa Bir"/>
        <s v="Yashasvi Divan"/>
        <s v="Sathvik Wable"/>
        <s v="Dayita Chana"/>
        <s v="Pranit Lad"/>
        <s v="Vedika Kala"/>
        <s v="Tanmayi Khatri"/>
        <s v="Sathvik Barad"/>
        <s v="Amara Nagar"/>
        <s v="Fariq Patla"/>
        <s v="Eta Devi"/>
        <s v="Daksha Kibe"/>
        <s v="Yashvi Sane"/>
        <s v="Tanmayi Barad"/>
        <s v="Aradhana Tailor"/>
        <s v="Charvi Jha"/>
        <s v="Samuel Ramachandran"/>
        <s v="Jalsa Nadig"/>
        <s v="Isaiah Manda"/>
        <s v="Janya Choudhary"/>
        <s v="Max Hora"/>
        <s v="Balvan Johal"/>
        <s v="Aadi Madan"/>
        <s v="Dayita Sankaran"/>
        <s v="Amara Bera"/>
        <s v="Xalak Chander"/>
        <s v="Inaya Nair"/>
        <s v="Omisha Ramaswamy"/>
        <s v="Dhruv Sethi"/>
        <s v="Ikshita Hans"/>
        <s v="Liam Luthra"/>
        <s v="Aryan Narain"/>
        <s v="Joshua Zachariah"/>
        <s v="Chatresh Gopal"/>
        <s v="Indali Kala"/>
        <s v="Vamakshi Bhagat"/>
        <s v="Upasna Ranganathan"/>
        <s v="Agastya Som"/>
        <s v="Aarna Gole"/>
        <s v="Anvi Sen"/>
        <s v="Yahvi Parmer"/>
        <s v="Janya Korpal"/>
        <s v="Bhavani Devi"/>
        <s v="Vedika Bahri"/>
        <s v="Inaya Sankar"/>
        <s v="Mitali Srinivas"/>
        <s v="Yatan Anand"/>
        <s v="Raghav Kibe"/>
        <s v="Neel Chaudhry"/>
        <s v="Noah Grewal"/>
        <s v="Naveen Bhavsar"/>
        <s v="Naksh Wason"/>
        <s v="Unni Palan"/>
        <s v="Arunima Grover"/>
        <s v="Dominic Bava"/>
        <s v="Manan Sathe"/>
        <s v="Raksha Mane"/>
        <s v="Ubika Nanda"/>
        <s v="Gagan Nath"/>
        <s v="Imaran Parmar"/>
        <s v="Bhavna D’Alia"/>
        <s v="Sachi Sachdeva"/>
        <s v="Michael Gulati"/>
        <s v="Isha Kumar"/>
        <s v="Pahal Dasgupta"/>
        <s v="Kashish Purohit"/>
        <s v="Falan Talwar"/>
        <s v="Lavanya De"/>
        <s v="Lila Kara"/>
        <s v="George Sangha"/>
        <s v="Peter Desai"/>
        <s v="Arjun Balasubramanian"/>
        <s v="Krishna Shah"/>
        <s v="Warjas Tailor"/>
        <s v="Bhavani Yadav"/>
        <s v="Anya Deshpande"/>
        <s v="Ati Misra"/>
        <s v="Adweta Edwin"/>
        <s v="Gagan Mammen"/>
        <s v="Qushi Seth"/>
        <s v="Omkaar Dugar"/>
        <s v="Raksha Sethi"/>
        <s v="Raksha Saini"/>
        <s v="Bhanumati Mandal"/>
        <s v="Qasim Handa"/>
        <s v="Ojasvi Halder"/>
        <s v="Xiti Pandya"/>
        <s v="Daksha Gade"/>
        <s v="Chavvi Gade"/>
        <s v="Rachita Zacharia"/>
        <s v="Vedhika Iyer"/>
        <s v="Sudiksha Talwar"/>
        <s v="Nicholas Bhardwaj"/>
        <s v="Ishwar Dhar"/>
        <s v="Nidhi Mann"/>
        <s v="Maanav De"/>
        <s v="Krisha Palla"/>
        <s v="Aashi Gour"/>
        <s v="Pranit Garde"/>
        <s v="Triya Chakrabarti"/>
        <s v="Hardik Zachariah"/>
        <s v="Indrajit Dash"/>
        <s v="Darsh Johal"/>
        <s v="Quincy Kumer"/>
        <s v="Maya Datta"/>
        <s v="Ekavir Saxena"/>
        <s v="Daksh Kanda"/>
        <s v="Logan Mittal"/>
        <s v="Vamakshi Naik"/>
        <s v="Nikita Sur"/>
        <s v="Anay Sahota"/>
        <s v="Laksh Mani"/>
        <s v="Madhav Kala"/>
        <s v="Gaurangi Sabharwal"/>
        <s v="Chameli Sem"/>
        <s v="Ojas Wason"/>
        <s v="Edhitha Mani"/>
        <s v="Samaksh Virk"/>
        <s v="Charles Agrawal"/>
        <s v="Yachana Basak"/>
        <s v="Thomas Iyer"/>
        <s v="Hredhaan Rana"/>
        <s v="Oeshi Bali"/>
        <s v="Gopal Bawa"/>
        <s v="Nathaniel Sami"/>
        <s v="Falak Apte"/>
        <s v="Vivaan Roy"/>
        <s v="Vivaan Ahuja"/>
        <s v="Ekavir Mittal"/>
        <s v="Chakrika Lad"/>
        <s v="Chakradev Varghese"/>
        <s v="Osha Roy"/>
        <s v="Tanay Toor"/>
        <s v="Harish Gera"/>
        <s v="Ranveer Agrawal"/>
        <s v="Hemani Parikh"/>
        <s v="Yachana Vyas"/>
        <s v="Chandani Soman"/>
        <s v="Chakradev Sen"/>
        <s v="Avi Agrawal"/>
        <s v="Umang Saini"/>
        <s v="Hitesh Nigam"/>
        <s v="Samaksh Lanka"/>
        <s v="Xiti Thaman"/>
        <s v="Vedant Sani"/>
        <s v="Urvi Rajagopalan"/>
        <s v="Odika Uppal"/>
        <s v="Rudra Varma"/>
        <s v="Nandini Mohan"/>
        <s v="Ojas Mistry"/>
        <s v="Jeet Dugal"/>
        <s v="Yutika Sharma"/>
        <s v="Wahab Pingle"/>
        <s v="Oliver Dhar"/>
        <s v="Zayyan Parekh"/>
        <s v="Manthan Luthra"/>
        <s v="Warda Hora"/>
        <s v="Hredhaan Deep"/>
        <s v="Ekantika Sane"/>
        <s v="Reyansh Krishna"/>
        <s v="Inaya Bobal"/>
        <s v="Ekalinga Ram"/>
        <s v="Ojas Bhat"/>
        <s v="Manya Ramaswamy"/>
        <s v="Darsh Hayer"/>
        <s v="Ojasvi Savant"/>
        <s v="Anamika Chopra"/>
        <s v="Naveen Pillay"/>
        <s v="Raghav Vasa"/>
        <s v="Ansh Luthra"/>
        <s v="Yadavi Vala"/>
        <s v="Peter Baria"/>
        <s v="Indira Shah"/>
        <s v="Wahab Dewan"/>
        <s v="Upkaar Kashyap"/>
        <s v="Alexander Sunder"/>
        <s v="Aarnav Sahota"/>
        <s v="Aahana Kashyap"/>
        <s v="Advika Patel"/>
        <s v="Ryan Patel"/>
        <s v="Ria Tripathi"/>
        <s v="Rachit Khatri"/>
        <s v="Isaiah Khosla"/>
        <s v="Brinda Bali"/>
        <s v="Faraj Bala"/>
        <s v="Nihal Samra"/>
        <s v="Gauri Srinivasan"/>
        <s v="Aradhana Sehgal"/>
        <s v="Watika Thakkar"/>
        <s v="Frederick Mody"/>
        <s v="Om Barman"/>
        <s v="Yashodhara Mital"/>
        <s v="Charita Ray"/>
        <s v="Mitali Ratti"/>
        <s v="Sanaya Panchal"/>
        <s v="Bimala Kota"/>
        <s v="Hardik Nayak"/>
        <s v="Ladli Das"/>
        <s v="Eesha Varughese"/>
        <s v="Daksha Narayanan"/>
        <s v="Maya Basak"/>
        <s v="Charan Manne"/>
        <s v="Ishanvi Nigam"/>
        <s v="Zayyan Som"/>
        <s v="Oviya Saran"/>
        <s v="Aashi Gaba"/>
        <s v="Frado Desai"/>
        <s v="Yamini Soman"/>
        <s v="Daniel Nanda"/>
        <s v="Damyanti Kari"/>
        <s v="Jeet Balan"/>
        <s v="Rachana Sen"/>
        <s v="Chakrika Batta"/>
        <s v="Tripti Yogi"/>
        <s v="Anvi Banik"/>
        <s v="Nitara Grewal"/>
        <s v="Tristan Sandal"/>
        <s v="Baljiwan Gera"/>
        <s v="Diya Ahluwalia"/>
        <s v="Alexander Gara"/>
        <s v="Maanav Gola"/>
        <s v="Urishilla Agate"/>
        <s v="Neelima Parikh"/>
        <s v="Anjali Nagarajan"/>
        <s v="Sudiksha Lata"/>
        <s v="Faris Srinivas"/>
        <s v="Advika Kuruvilla"/>
        <s v="Ekalinga Lalla"/>
        <s v="Nilima Lall"/>
        <s v="Rushil Varty"/>
        <s v="Anay Ramachandran"/>
        <s v="Sarthak Mandal"/>
        <s v="Warinder Luthra"/>
        <s v="Gaurangi Deol"/>
        <s v="Vihaan Suresh"/>
        <s v="Aahana Keer"/>
        <s v="Ojas Dyal"/>
        <s v="Harish Mander"/>
        <s v="Radha Kapadia"/>
        <s v="Yug Jayaraman"/>
        <s v="Harshil Munshi"/>
        <s v="Sarthak Sachdeva"/>
        <s v="Eshana Dhar"/>
        <s v="Faqid Oak"/>
        <s v="Gaurika Sharma"/>
        <s v="Atharv Suri"/>
        <s v="Indrajit Shroff"/>
        <s v="Hredhaan Om"/>
        <s v="Yachana Sagar"/>
        <s v="Wriddhish Talwar"/>
        <s v="Yauvani Seth"/>
        <s v="Tanmayi Acharya"/>
        <s v="Harrison Vala"/>
        <s v="Oliver Prabhakar"/>
        <s v="Lopa Chandran"/>
        <s v="Isaac Brahmbhatt"/>
        <s v="Bishakha Vig"/>
        <s v="Hemangini Nazareth"/>
        <s v="Falguni Luthra"/>
        <s v="Parth Kamdar"/>
        <s v="Ayushman Lalla"/>
        <s v="Chaitaly Suri"/>
        <s v="Upkaar Ahuja"/>
        <s v="Nikita Chowdhury"/>
        <s v="Lajita Trivedi"/>
        <s v="Abhiram Narula"/>
        <s v="Tejas Hari"/>
        <s v="Baghyawati Baral"/>
        <s v="Oliver Trivedi"/>
        <s v="Gaurang Bala"/>
        <s v="Hredhaan Oommen"/>
        <s v="Falak Pal"/>
        <s v="Vanya Kumer"/>
        <s v="Utkarsh Char"/>
        <s v="Idika Walia"/>
        <s v="Bina Bansal"/>
        <s v="Riya Bhakta"/>
        <s v="Lopa Savant"/>
        <s v="Ojas Lata"/>
        <s v="Akshay Bhattacharyya"/>
        <s v="Quincy Parmar"/>
        <s v="Vinaya Parmar"/>
        <s v="Daksha Arora"/>
        <s v="Madhavi Lanka"/>
        <s v="Jai Biswas"/>
        <s v="Vasudha Gokhale"/>
        <s v="Pahal Bakshi"/>
        <s v="Quincy Saraf"/>
        <s v="Chatresh Oza"/>
      </sharedItems>
    </cacheField>
    <cacheField name="ProductID" numFmtId="0">
      <sharedItems/>
    </cacheField>
    <cacheField name="ProductName" numFmtId="0">
      <sharedItems count="150">
        <s v="Face Cream D4"/>
        <s v="Student Laptop D4"/>
        <s v="Soundbar E5"/>
        <s v="Body Lotion B7"/>
        <s v="Men's Jacket D4"/>
        <s v="Bookshelf E5"/>
        <s v="Chips C3"/>
        <s v="Wall Clock A1"/>
        <s v="Shaving Kit B2"/>
        <s v="Kids T-Shirt E5"/>
        <s v="Women's Jeans B2"/>
        <s v="Electric Kettle B2"/>
        <s v="Men's T-Shirt A1"/>
        <s v="Pressure Cooker B7"/>
        <s v="Moisturizer A6"/>
        <s v="Men's T-Shirt B2"/>
        <s v="Budget Smartphone B2"/>
        <s v="Instant Noodles A1"/>
        <s v="Juice B2"/>
        <s v="Budget Smartphone B7"/>
        <s v="Kids T-Shirt A6"/>
        <s v="Body Lotion A6"/>
        <s v="Hair Serum B2"/>
        <s v="Face Wash C3"/>
        <s v="Namkeen B7"/>
        <s v="Women's Jacket C3"/>
        <s v="Kids Dress C3"/>
        <s v="Soundbar D4"/>
        <s v="Razor A1"/>
        <s v="Instant Noodles D4"/>
        <s v="Microwave Oven A6"/>
        <s v="Soft Drink A6"/>
        <s v="Body Lotion D4"/>
        <s v="Table Lamp D4"/>
        <s v="USB-C Cable B2"/>
        <s v="QLED Smart TV B2"/>
        <s v="Men's Jeans C3"/>
        <s v="Namkeen A1"/>
        <s v="Budget Smartphone C8"/>
        <s v="Wireless Charger E5"/>
        <s v="Wireless Charger C3"/>
        <s v="Non-stick Pan E5"/>
        <s v="Conditioner B7"/>
        <s v="Coffee D4"/>
        <s v="Chocolate E5"/>
        <s v="Ultrabook E5"/>
        <s v="Sugar E5"/>
        <s v="Bookshelf B2"/>
        <s v="Study Table C3"/>
        <s v="Wall Clock B7"/>
        <s v="Frying Pan D4"/>
        <s v="Trimmer C3"/>
        <s v="Pressure Cooker A6"/>
        <s v="Power Bank D4"/>
        <s v="Rice B7"/>
        <s v="Instant Noodles B2"/>
        <s v="Smart LED TV E5"/>
        <s v="Soundbar A1"/>
        <s v="Moisturizer B7"/>
        <s v="Non-stick Pan B2"/>
        <s v="Kids T-Shirt B7"/>
        <s v="Kids Jeans B2"/>
        <s v="Business Laptop B2"/>
        <s v="Chocolate A6"/>
        <s v="Microwave Oven D4"/>
        <s v="Wireless Charger A6"/>
        <s v="Trimmer B7"/>
        <s v="Men's Jacket E5"/>
        <s v="Sunscreen B2"/>
        <s v="Ultrabook A1"/>
        <s v="Hair Serum C3"/>
        <s v="Budget Smartphone A1"/>
        <s v="Men's Jeans B7"/>
        <s v="Premium Smartphone C3"/>
        <s v="Cooking Oil D4"/>
        <s v="Full HD TV A6"/>
        <s v="QLED Smart TV D4"/>
        <s v="Face Cream A1"/>
        <s v="Decorative Vase B2"/>
        <s v="Study Table D4"/>
        <s v="Running Shoes B7"/>
        <s v="Bluetooth Speaker C3"/>
        <s v="Pasta A6"/>
        <s v="Decorative Vase A6"/>
        <s v="Full HD TV A1"/>
        <s v="Power Bank A1"/>
        <s v="Beard Oil A6"/>
        <s v="Running Shoes D4"/>
        <s v="Women's Jeans D4"/>
        <s v="Study Table B7"/>
        <s v="Sugar C3"/>
        <s v="Wireless Headphones B7"/>
        <s v="Smart LED TV C3"/>
        <s v="Sandals C3"/>
        <s v="Shaving Kit E5"/>
        <s v="Earbuds A6"/>
        <s v="Kids Dress D4"/>
        <s v="USB-C Cable B7"/>
        <s v="Student Laptop B7"/>
        <s v="Body Wash B2"/>
        <s v="Women's Jeans E5"/>
        <s v="Decorative Vase C3"/>
        <s v="Cooking Oil A1"/>
        <s v="Sunscreen E5"/>
        <s v="Tea A1"/>
        <s v="Women's Jeans B7"/>
        <s v="Budget Smartphone A6"/>
        <s v="Bookshelf A6"/>
        <s v="Hair Oil E5"/>
        <s v="Razor D4"/>
        <s v="Electric Kettle C3"/>
        <s v="5G Smartphone E5"/>
        <s v="Breakfast Cereal E5"/>
        <s v="Women's Jeans A6"/>
        <s v="Microwave Oven B7"/>
        <s v="Full HD TV B7"/>
        <s v="Instant Noodles C3"/>
        <s v="Non-stick Pan C3"/>
        <s v="Soft Drink B7"/>
        <s v="Student Laptop C8"/>
        <s v="Chocolate B2"/>
        <s v="Body Wash A1"/>
        <s v="Sports Shoes A6"/>
        <s v="Cookware Set A1"/>
        <s v="Microwave Oven E5"/>
        <s v="Sugar A6"/>
        <s v="Coffee C3"/>
        <s v="Hair Serum A6"/>
        <s v="Sugar B2"/>
        <s v="Sports Shoes E5"/>
        <s v="Ultrabook A6"/>
        <s v="Women's Jeans A1"/>
        <s v="Student Laptop C3"/>
        <s v="Men's Jacket A6"/>
        <s v="Premium Smartphone D4"/>
        <s v="Decorative Vase E5"/>
        <s v="QLED Smart TV C8"/>
        <s v="Conditioner D4"/>
        <s v="Namkeen D4"/>
        <s v="Pasta B7"/>
        <s v="Sandals A1"/>
        <s v="Soap E5"/>
        <s v="Sports Shoes B2"/>
        <s v="Deodorant C3"/>
        <s v="Bookshelf A1"/>
        <s v="Shampoo A1"/>
        <s v="Mixer Grinder A1"/>
        <s v="Earbuds B2"/>
        <s v="Juice E5"/>
        <s v="Kids Jacket A1"/>
      </sharedItems>
    </cacheField>
    <cacheField name="StoreID" numFmtId="0">
      <sharedItems/>
    </cacheField>
    <cacheField name="Region" numFmtId="0">
      <sharedItems count="4">
        <s v="South"/>
        <s v="West"/>
        <s v="East"/>
        <s v="North"/>
      </sharedItems>
    </cacheField>
    <cacheField name="Quantity" numFmtId="0">
      <sharedItems containsSemiMixedTypes="0" containsString="0" containsNumber="1" containsInteger="1" minValue="-2" maxValue="5"/>
    </cacheField>
    <cacheField name="Discount" numFmtId="0">
      <sharedItems containsSemiMixedTypes="0" containsString="0" containsNumber="1" minValue="0" maxValue="0.2"/>
    </cacheField>
    <cacheField name="PaymentMethod" numFmtId="0">
      <sharedItems/>
    </cacheField>
    <cacheField name="UnitPrice" numFmtId="164">
      <sharedItems containsSemiMixedTypes="0" containsString="0" containsNumber="1" minValue="100.32" maxValue="78938.720000000001"/>
    </cacheField>
    <cacheField name="GrossSales" numFmtId="164">
      <sharedItems containsSemiMixedTypes="0" containsString="0" containsNumber="1" minValue="-36179.730000000003" maxValue="383305.75"/>
    </cacheField>
    <cacheField name="DiscountAmount" numFmtId="164">
      <sharedItems containsSemiMixedTypes="0" containsString="0" containsNumber="1" minValue="-743.72800000000007" maxValue="30071.103999999999"/>
    </cacheField>
    <cacheField name="NetRevenue" numFmtId="164">
      <sharedItems containsSemiMixedTypes="0" containsString="0" containsNumber="1" minValue="-36179.730000000003" maxValue="364140.46250000002"/>
    </cacheField>
    <cacheField name="UnitCost" numFmtId="164">
      <sharedItems containsSemiMixedTypes="0" containsString="0" containsNumber="1" minValue="66.61" maxValue="56481.05"/>
    </cacheField>
    <cacheField name="TotalCost" numFmtId="164">
      <sharedItems containsSemiMixedTypes="0" containsString="0" containsNumber="1" minValue="-25344.32" maxValue="220712.40000000002"/>
    </cacheField>
    <cacheField name="Profit" numFmtId="164">
      <sharedItems containsSemiMixedTypes="0" containsString="0" containsNumber="1" minValue="-10835.410000000003" maxValue="143428.0625"/>
    </cacheField>
    <cacheField name="Category" numFmtId="0">
      <sharedItems count="5">
        <s v="Personal Care"/>
        <s v="Electronics"/>
        <s v="Clothing"/>
        <s v="Home &amp; Kitchen"/>
        <s v="Grocery"/>
      </sharedItems>
    </cacheField>
    <cacheField name="Profit Margin" numFmtId="0" formula="Profit/NetRevenue" databaseField="0"/>
    <cacheField name="Field1" numFmtId="0" formula="'Profit Margin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000623"/>
    <d v="2023-01-01T00:00:00"/>
    <x v="0"/>
    <x v="0"/>
    <s v="P0126"/>
    <x v="0"/>
    <s v="S018"/>
    <x v="0"/>
    <n v="1"/>
    <n v="0"/>
    <s v="Debit Card"/>
    <n v="3082.2"/>
    <n v="3082.2"/>
    <n v="0"/>
    <n v="3082.2"/>
    <n v="2561.06"/>
    <n v="2561.06"/>
    <n v="521.13999999999987"/>
    <x v="0"/>
  </r>
  <r>
    <s v="O000950"/>
    <d v="2023-01-01T00:00:00"/>
    <x v="1"/>
    <x v="1"/>
    <s v="P0020"/>
    <x v="1"/>
    <s v="S007"/>
    <x v="0"/>
    <n v="-1"/>
    <n v="0"/>
    <s v="UPI"/>
    <n v="21602.44"/>
    <n v="-21602.44"/>
    <n v="0"/>
    <n v="-21602.44"/>
    <n v="13134.58"/>
    <n v="-13134.58"/>
    <n v="-8467.8599999999988"/>
    <x v="1"/>
  </r>
  <r>
    <s v="O000444"/>
    <d v="2023-01-02T00:00:00"/>
    <x v="2"/>
    <x v="2"/>
    <s v="P0029"/>
    <x v="2"/>
    <s v="S005"/>
    <x v="1"/>
    <n v="3"/>
    <n v="0.1"/>
    <s v="Net Banking"/>
    <n v="51647.41"/>
    <n v="154942.23000000001"/>
    <n v="15494.223000000002"/>
    <n v="139448.00700000001"/>
    <n v="43564.65"/>
    <n v="130693.95000000001"/>
    <n v="8754.0570000000007"/>
    <x v="1"/>
  </r>
  <r>
    <s v="O000594"/>
    <d v="2023-01-04T00:00:00"/>
    <x v="3"/>
    <x v="3"/>
    <s v="P0143"/>
    <x v="3"/>
    <s v="S022"/>
    <x v="2"/>
    <n v="3"/>
    <n v="0.05"/>
    <s v="Credit Card"/>
    <n v="4198.8999999999996"/>
    <n v="12596.699999999999"/>
    <n v="629.83500000000004"/>
    <n v="11966.864999999998"/>
    <n v="2920.65"/>
    <n v="8761.9500000000007"/>
    <n v="3204.9149999999972"/>
    <x v="0"/>
  </r>
  <r>
    <s v="O000477"/>
    <d v="2023-01-05T00:00:00"/>
    <x v="4"/>
    <x v="4"/>
    <s v="P0070"/>
    <x v="4"/>
    <s v="S017"/>
    <x v="0"/>
    <n v="2"/>
    <n v="0.05"/>
    <s v="Credit Card"/>
    <n v="4654.63"/>
    <n v="9309.26"/>
    <n v="465.46300000000002"/>
    <n v="8843.7970000000005"/>
    <n v="2675.18"/>
    <n v="5350.36"/>
    <n v="3493.4370000000008"/>
    <x v="2"/>
  </r>
  <r>
    <s v="O000744"/>
    <d v="2023-01-05T00:00:00"/>
    <x v="5"/>
    <x v="5"/>
    <s v="P0050"/>
    <x v="5"/>
    <s v="S007"/>
    <x v="0"/>
    <n v="1"/>
    <n v="0"/>
    <s v="Debit Card"/>
    <n v="14006.13"/>
    <n v="14006.13"/>
    <n v="0"/>
    <n v="14006.13"/>
    <n v="9829.2800000000007"/>
    <n v="9829.2800000000007"/>
    <n v="4176.8499999999985"/>
    <x v="3"/>
  </r>
  <r>
    <s v="O000283"/>
    <d v="2023-01-06T00:00:00"/>
    <x v="6"/>
    <x v="6"/>
    <s v="P0104"/>
    <x v="6"/>
    <s v="S022"/>
    <x v="2"/>
    <n v="3"/>
    <n v="0.05"/>
    <s v="Cash"/>
    <n v="152.38"/>
    <n v="457.14"/>
    <n v="22.856999999999999"/>
    <n v="434.28300000000002"/>
    <n v="100.44"/>
    <n v="301.32"/>
    <n v="132.96300000000002"/>
    <x v="4"/>
  </r>
  <r>
    <s v="O000457"/>
    <d v="2023-01-09T00:00:00"/>
    <x v="7"/>
    <x v="7"/>
    <s v="P0060"/>
    <x v="7"/>
    <s v="S024"/>
    <x v="0"/>
    <n v="2"/>
    <n v="0"/>
    <s v="UPI"/>
    <n v="4187.79"/>
    <n v="8375.58"/>
    <n v="0"/>
    <n v="8375.58"/>
    <n v="2951.03"/>
    <n v="5902.06"/>
    <n v="2473.5199999999995"/>
    <x v="3"/>
  </r>
  <r>
    <s v="O000047"/>
    <d v="2023-01-10T00:00:00"/>
    <x v="8"/>
    <x v="8"/>
    <s v="P0145"/>
    <x v="8"/>
    <s v="S021"/>
    <x v="0"/>
    <n v="1"/>
    <n v="0.1"/>
    <s v="Credit Card"/>
    <n v="543.23"/>
    <n v="543.23"/>
    <n v="54.323000000000008"/>
    <n v="488.90700000000004"/>
    <n v="441.82"/>
    <n v="441.82"/>
    <n v="47.087000000000046"/>
    <x v="0"/>
  </r>
  <r>
    <s v="O000706"/>
    <d v="2023-01-10T00:00:00"/>
    <x v="9"/>
    <x v="9"/>
    <s v="P0085"/>
    <x v="9"/>
    <s v="S008"/>
    <x v="1"/>
    <n v="1"/>
    <n v="0.15"/>
    <s v="Cash"/>
    <n v="508.67"/>
    <n v="508.67"/>
    <n v="76.3005"/>
    <n v="432.36950000000002"/>
    <n v="386.39"/>
    <n v="386.39"/>
    <n v="45.97950000000003"/>
    <x v="2"/>
  </r>
  <r>
    <s v="O000948"/>
    <d v="2023-01-12T00:00:00"/>
    <x v="10"/>
    <x v="10"/>
    <s v="P0075"/>
    <x v="10"/>
    <s v="S019"/>
    <x v="0"/>
    <n v="1"/>
    <n v="0.05"/>
    <s v="UPI"/>
    <n v="7788.99"/>
    <n v="7788.99"/>
    <n v="389.4495"/>
    <n v="7399.5405000000001"/>
    <n v="6231.21"/>
    <n v="6231.21"/>
    <n v="1168.3305"/>
    <x v="2"/>
  </r>
  <r>
    <s v="O000065"/>
    <d v="2023-01-13T00:00:00"/>
    <x v="11"/>
    <x v="11"/>
    <s v="P0040"/>
    <x v="11"/>
    <s v="S008"/>
    <x v="1"/>
    <n v="2"/>
    <n v="0"/>
    <s v="UPI"/>
    <n v="10664.54"/>
    <n v="21329.08"/>
    <n v="0"/>
    <n v="21329.08"/>
    <n v="8430.75"/>
    <n v="16861.5"/>
    <n v="4467.5800000000017"/>
    <x v="3"/>
  </r>
  <r>
    <s v="O000215"/>
    <d v="2023-01-13T00:00:00"/>
    <x v="12"/>
    <x v="12"/>
    <s v="P0067"/>
    <x v="12"/>
    <s v="S003"/>
    <x v="3"/>
    <n v="4"/>
    <n v="0.05"/>
    <s v="UPI"/>
    <n v="6357.9"/>
    <n v="25431.599999999999"/>
    <n v="1271.58"/>
    <n v="24160.019999999997"/>
    <n v="4895.43"/>
    <n v="19581.72"/>
    <n v="4578.2999999999956"/>
    <x v="2"/>
  </r>
  <r>
    <s v="O000095"/>
    <d v="2023-01-15T00:00:00"/>
    <x v="13"/>
    <x v="13"/>
    <s v="P0059"/>
    <x v="13"/>
    <s v="S001"/>
    <x v="2"/>
    <n v="2"/>
    <n v="0.05"/>
    <s v="UPI"/>
    <n v="24743.52"/>
    <n v="49487.040000000001"/>
    <n v="2474.3520000000003"/>
    <n v="47012.688000000002"/>
    <n v="16620.189999999999"/>
    <n v="33240.379999999997"/>
    <n v="13772.308000000005"/>
    <x v="3"/>
  </r>
  <r>
    <s v="O000097"/>
    <d v="2023-01-16T00:00:00"/>
    <x v="14"/>
    <x v="14"/>
    <s v="P0128"/>
    <x v="14"/>
    <s v="S006"/>
    <x v="3"/>
    <n v="1"/>
    <n v="0.05"/>
    <s v="Debit Card"/>
    <n v="1655.17"/>
    <n v="1655.17"/>
    <n v="82.758500000000012"/>
    <n v="1572.4115000000002"/>
    <n v="1375.84"/>
    <n v="1375.84"/>
    <n v="196.57150000000024"/>
    <x v="0"/>
  </r>
  <r>
    <s v="O000545"/>
    <d v="2023-01-17T00:00:00"/>
    <x v="15"/>
    <x v="15"/>
    <s v="P0068"/>
    <x v="15"/>
    <s v="S021"/>
    <x v="0"/>
    <n v="4"/>
    <n v="0.2"/>
    <s v="Debit Card"/>
    <n v="5944.75"/>
    <n v="23779"/>
    <n v="4755.8"/>
    <n v="19023.2"/>
    <n v="4447.5200000000004"/>
    <n v="17790.080000000002"/>
    <n v="1233.119999999999"/>
    <x v="2"/>
  </r>
  <r>
    <s v="O000246"/>
    <d v="2023-01-18T00:00:00"/>
    <x v="16"/>
    <x v="16"/>
    <s v="P0010"/>
    <x v="16"/>
    <s v="S007"/>
    <x v="0"/>
    <n v="3"/>
    <n v="0"/>
    <s v="Credit Card"/>
    <n v="4404.4399999999996"/>
    <n v="13213.32"/>
    <n v="0"/>
    <n v="13213.32"/>
    <n v="3239.84"/>
    <n v="9719.52"/>
    <n v="3493.7999999999993"/>
    <x v="1"/>
  </r>
  <r>
    <s v="O000902"/>
    <d v="2023-01-21T00:00:00"/>
    <x v="17"/>
    <x v="17"/>
    <s v="P0116"/>
    <x v="17"/>
    <s v="S006"/>
    <x v="3"/>
    <n v="1"/>
    <n v="0.05"/>
    <s v="UPI"/>
    <n v="1210.1500000000001"/>
    <n v="1210.1500000000001"/>
    <n v="60.507500000000007"/>
    <n v="1149.6425000000002"/>
    <n v="697.43"/>
    <n v="697.43"/>
    <n v="452.2125000000002"/>
    <x v="4"/>
  </r>
  <r>
    <s v="O000972"/>
    <d v="2023-01-22T00:00:00"/>
    <x v="18"/>
    <x v="18"/>
    <s v="P0110"/>
    <x v="18"/>
    <s v="S018"/>
    <x v="0"/>
    <n v="1"/>
    <n v="0"/>
    <s v="UPI"/>
    <n v="1053.9000000000001"/>
    <n v="1053.9000000000001"/>
    <n v="0"/>
    <n v="1053.9000000000001"/>
    <n v="710.59"/>
    <n v="710.59"/>
    <n v="343.31000000000006"/>
    <x v="4"/>
  </r>
  <r>
    <s v="O000628"/>
    <d v="2023-01-23T00:00:00"/>
    <x v="19"/>
    <x v="19"/>
    <s v="P0015"/>
    <x v="19"/>
    <s v="S022"/>
    <x v="2"/>
    <n v="2"/>
    <n v="0"/>
    <s v="Net Banking"/>
    <n v="61606.59"/>
    <n v="123213.18"/>
    <n v="0"/>
    <n v="123213.18"/>
    <n v="36366.370000000003"/>
    <n v="72732.740000000005"/>
    <n v="50480.439999999988"/>
    <x v="1"/>
  </r>
  <r>
    <s v="O000753"/>
    <d v="2023-01-24T00:00:00"/>
    <x v="20"/>
    <x v="20"/>
    <s v="P0086"/>
    <x v="20"/>
    <s v="S014"/>
    <x v="1"/>
    <n v="2"/>
    <n v="0.05"/>
    <s v="Debit Card"/>
    <n v="2008.33"/>
    <n v="4016.66"/>
    <n v="200.833"/>
    <n v="3815.8269999999998"/>
    <n v="1688.91"/>
    <n v="3377.82"/>
    <n v="438.00699999999961"/>
    <x v="2"/>
  </r>
  <r>
    <s v="O000460"/>
    <d v="2023-01-25T00:00:00"/>
    <x v="21"/>
    <x v="21"/>
    <s v="P0142"/>
    <x v="21"/>
    <s v="S003"/>
    <x v="3"/>
    <n v="1"/>
    <n v="0.1"/>
    <s v="UPI"/>
    <n v="773.2"/>
    <n v="773.2"/>
    <n v="77.320000000000007"/>
    <n v="695.88"/>
    <n v="547.09"/>
    <n v="547.09"/>
    <n v="148.78999999999996"/>
    <x v="0"/>
  </r>
  <r>
    <s v="O000482"/>
    <d v="2023-01-25T00:00:00"/>
    <x v="22"/>
    <x v="22"/>
    <s v="P0131"/>
    <x v="22"/>
    <s v="S002"/>
    <x v="2"/>
    <n v="1"/>
    <n v="0"/>
    <s v="UPI"/>
    <n v="4780.68"/>
    <n v="4780.68"/>
    <n v="0"/>
    <n v="4780.68"/>
    <n v="3940.05"/>
    <n v="3940.05"/>
    <n v="840.63000000000011"/>
    <x v="0"/>
  </r>
  <r>
    <s v="O000223"/>
    <d v="2023-01-26T00:00:00"/>
    <x v="23"/>
    <x v="23"/>
    <s v="P0125"/>
    <x v="23"/>
    <s v="S019"/>
    <x v="0"/>
    <n v="2"/>
    <n v="0"/>
    <s v="UPI"/>
    <n v="1783.65"/>
    <n v="3567.3"/>
    <n v="0"/>
    <n v="3567.3"/>
    <n v="1128.95"/>
    <n v="2257.9"/>
    <n v="1309.4000000000001"/>
    <x v="0"/>
  </r>
  <r>
    <s v="O000144"/>
    <d v="2023-01-28T00:00:00"/>
    <x v="24"/>
    <x v="24"/>
    <s v="P0108"/>
    <x v="24"/>
    <s v="S024"/>
    <x v="0"/>
    <n v="2"/>
    <n v="0.05"/>
    <s v="UPI"/>
    <n v="1123.58"/>
    <n v="2247.16"/>
    <n v="112.358"/>
    <n v="2134.8019999999997"/>
    <n v="665.75"/>
    <n v="1331.5"/>
    <n v="803.30199999999968"/>
    <x v="4"/>
  </r>
  <r>
    <s v="O000298"/>
    <d v="2023-01-28T00:00:00"/>
    <x v="25"/>
    <x v="25"/>
    <s v="P0076"/>
    <x v="25"/>
    <s v="S005"/>
    <x v="1"/>
    <n v="4"/>
    <n v="0.2"/>
    <s v="Debit Card"/>
    <n v="3661.03"/>
    <n v="14644.12"/>
    <n v="2928.8240000000005"/>
    <n v="11715.296"/>
    <n v="2588.56"/>
    <n v="10354.24"/>
    <n v="1361.0560000000005"/>
    <x v="2"/>
  </r>
  <r>
    <s v="O000501"/>
    <d v="2023-01-28T00:00:00"/>
    <x v="26"/>
    <x v="26"/>
    <s v="P0083"/>
    <x v="26"/>
    <s v="S017"/>
    <x v="0"/>
    <n v="1"/>
    <n v="0.05"/>
    <s v="UPI"/>
    <n v="1436.28"/>
    <n v="1436.28"/>
    <n v="71.814000000000007"/>
    <n v="1364.4659999999999"/>
    <n v="1097.5"/>
    <n v="1097.5"/>
    <n v="266.96599999999989"/>
    <x v="2"/>
  </r>
  <r>
    <s v="O000741"/>
    <d v="2023-01-28T00:00:00"/>
    <x v="27"/>
    <x v="27"/>
    <s v="P0128"/>
    <x v="14"/>
    <s v="S024"/>
    <x v="0"/>
    <n v="1"/>
    <n v="0"/>
    <s v="Credit Card"/>
    <n v="1655.17"/>
    <n v="1655.17"/>
    <n v="0"/>
    <n v="1655.17"/>
    <n v="1375.84"/>
    <n v="1375.84"/>
    <n v="279.33000000000015"/>
    <x v="0"/>
  </r>
  <r>
    <s v="O000791"/>
    <d v="2023-01-29T00:00:00"/>
    <x v="28"/>
    <x v="28"/>
    <s v="P0028"/>
    <x v="27"/>
    <s v="S023"/>
    <x v="1"/>
    <n v="2"/>
    <n v="0"/>
    <s v="Debit Card"/>
    <n v="52004.72"/>
    <n v="104009.44"/>
    <n v="0"/>
    <n v="104009.44"/>
    <n v="43224.87"/>
    <n v="86449.74"/>
    <n v="17559.699999999997"/>
    <x v="1"/>
  </r>
  <r>
    <s v="O000988"/>
    <d v="2023-01-30T00:00:00"/>
    <x v="29"/>
    <x v="29"/>
    <s v="P0144"/>
    <x v="28"/>
    <s v="S018"/>
    <x v="0"/>
    <n v="1"/>
    <n v="0"/>
    <s v="Credit Card"/>
    <n v="1037.07"/>
    <n v="1037.07"/>
    <n v="0"/>
    <n v="1037.07"/>
    <n v="720.16"/>
    <n v="720.16"/>
    <n v="316.90999999999997"/>
    <x v="0"/>
  </r>
  <r>
    <s v="O000370"/>
    <d v="2023-02-01T00:00:00"/>
    <x v="30"/>
    <x v="30"/>
    <s v="P0119"/>
    <x v="29"/>
    <s v="S025"/>
    <x v="2"/>
    <n v="1"/>
    <n v="0.1"/>
    <s v="UPI"/>
    <n v="400.63"/>
    <n v="400.63"/>
    <n v="40.063000000000002"/>
    <n v="360.56700000000001"/>
    <n v="222.73"/>
    <n v="222.73"/>
    <n v="137.83700000000002"/>
    <x v="4"/>
  </r>
  <r>
    <s v="O000089"/>
    <d v="2023-02-02T00:00:00"/>
    <x v="31"/>
    <x v="31"/>
    <s v="P0044"/>
    <x v="30"/>
    <s v="S002"/>
    <x v="2"/>
    <n v="2"/>
    <n v="0"/>
    <s v="UPI"/>
    <n v="20212.79"/>
    <n v="40425.58"/>
    <n v="0"/>
    <n v="40425.58"/>
    <n v="16868.88"/>
    <n v="33737.760000000002"/>
    <n v="6687.82"/>
    <x v="3"/>
  </r>
  <r>
    <s v="O000281"/>
    <d v="2023-02-05T00:00:00"/>
    <x v="32"/>
    <x v="32"/>
    <s v="P0114"/>
    <x v="31"/>
    <s v="S008"/>
    <x v="1"/>
    <n v="1"/>
    <n v="0"/>
    <s v="Credit Card"/>
    <n v="252.55"/>
    <n v="252.55"/>
    <n v="0"/>
    <n v="252.55"/>
    <n v="170.34"/>
    <n v="170.34"/>
    <n v="82.210000000000008"/>
    <x v="4"/>
  </r>
  <r>
    <s v="O000673"/>
    <d v="2023-02-06T00:00:00"/>
    <x v="33"/>
    <x v="33"/>
    <s v="P0140"/>
    <x v="32"/>
    <s v="S010"/>
    <x v="1"/>
    <n v="1"/>
    <n v="0"/>
    <s v="Debit Card"/>
    <n v="3205.72"/>
    <n v="3205.72"/>
    <n v="0"/>
    <n v="3205.72"/>
    <n v="2167.94"/>
    <n v="2167.94"/>
    <n v="1037.7799999999997"/>
    <x v="0"/>
  </r>
  <r>
    <s v="O000070"/>
    <d v="2023-02-07T00:00:00"/>
    <x v="34"/>
    <x v="34"/>
    <s v="P0063"/>
    <x v="33"/>
    <s v="S004"/>
    <x v="3"/>
    <n v="2"/>
    <n v="0.05"/>
    <s v="Credit Card"/>
    <n v="22222.83"/>
    <n v="44445.66"/>
    <n v="2222.2830000000004"/>
    <n v="42223.377"/>
    <n v="17564.490000000002"/>
    <n v="35128.980000000003"/>
    <n v="7094.3969999999972"/>
    <x v="3"/>
  </r>
  <r>
    <s v="O000247"/>
    <d v="2023-02-07T00:00:00"/>
    <x v="35"/>
    <x v="35"/>
    <s v="P0033"/>
    <x v="34"/>
    <s v="S010"/>
    <x v="1"/>
    <n v="2"/>
    <n v="0"/>
    <s v="Debit Card"/>
    <n v="77394.210000000006"/>
    <n v="154788.42000000001"/>
    <n v="0"/>
    <n v="154788.42000000001"/>
    <n v="49038.67"/>
    <n v="98077.34"/>
    <n v="56711.080000000016"/>
    <x v="1"/>
  </r>
  <r>
    <s v="O000881"/>
    <d v="2023-02-10T00:00:00"/>
    <x v="36"/>
    <x v="36"/>
    <s v="P0002"/>
    <x v="35"/>
    <s v="S019"/>
    <x v="0"/>
    <n v="2"/>
    <n v="0.05"/>
    <s v="UPI"/>
    <n v="75177.759999999995"/>
    <n v="150355.51999999999"/>
    <n v="7517.7759999999998"/>
    <n v="142837.74399999998"/>
    <n v="51831.839999999997"/>
    <n v="103663.67999999999"/>
    <n v="39174.063999999984"/>
    <x v="1"/>
  </r>
  <r>
    <s v="O000996"/>
    <d v="2023-02-10T00:00:00"/>
    <x v="37"/>
    <x v="37"/>
    <s v="P0069"/>
    <x v="36"/>
    <s v="S001"/>
    <x v="2"/>
    <n v="2"/>
    <n v="0.2"/>
    <s v="Cash"/>
    <n v="7177.2"/>
    <n v="14354.4"/>
    <n v="2870.88"/>
    <n v="11483.52"/>
    <n v="4558.34"/>
    <n v="9116.68"/>
    <n v="2366.84"/>
    <x v="2"/>
  </r>
  <r>
    <s v="O000387"/>
    <d v="2023-02-11T00:00:00"/>
    <x v="38"/>
    <x v="38"/>
    <s v="P0015"/>
    <x v="19"/>
    <s v="S025"/>
    <x v="2"/>
    <n v="3"/>
    <n v="0.1"/>
    <s v="Cash"/>
    <n v="61606.59"/>
    <n v="184819.77"/>
    <n v="18481.976999999999"/>
    <n v="166337.79300000001"/>
    <n v="36366.370000000003"/>
    <n v="109099.11000000002"/>
    <n v="57238.68299999999"/>
    <x v="1"/>
  </r>
  <r>
    <s v="O000622"/>
    <d v="2023-02-11T00:00:00"/>
    <x v="39"/>
    <x v="39"/>
    <s v="P0102"/>
    <x v="37"/>
    <s v="S006"/>
    <x v="3"/>
    <n v="1"/>
    <n v="0"/>
    <s v="Credit Card"/>
    <n v="1282.31"/>
    <n v="1282.31"/>
    <n v="0"/>
    <n v="1282.31"/>
    <n v="759"/>
    <n v="759"/>
    <n v="523.30999999999995"/>
    <x v="4"/>
  </r>
  <r>
    <s v="O000185"/>
    <d v="2023-02-14T00:00:00"/>
    <x v="40"/>
    <x v="40"/>
    <s v="P0016"/>
    <x v="38"/>
    <s v="S017"/>
    <x v="0"/>
    <n v="1"/>
    <n v="0"/>
    <s v="UPI"/>
    <n v="63665.16"/>
    <n v="63665.16"/>
    <n v="0"/>
    <n v="63665.16"/>
    <n v="52565.61"/>
    <n v="52565.61"/>
    <n v="11099.550000000003"/>
    <x v="1"/>
  </r>
  <r>
    <s v="O000487"/>
    <d v="2023-02-15T00:00:00"/>
    <x v="41"/>
    <x v="41"/>
    <s v="P0036"/>
    <x v="39"/>
    <s v="S021"/>
    <x v="0"/>
    <n v="1"/>
    <n v="0"/>
    <s v="Cash"/>
    <n v="74177.87"/>
    <n v="74177.87"/>
    <n v="0"/>
    <n v="74177.87"/>
    <n v="46554.33"/>
    <n v="46554.33"/>
    <n v="27623.539999999994"/>
    <x v="1"/>
  </r>
  <r>
    <s v="O000269"/>
    <d v="2023-02-18T00:00:00"/>
    <x v="42"/>
    <x v="42"/>
    <s v="P0034"/>
    <x v="40"/>
    <s v="S019"/>
    <x v="0"/>
    <n v="1"/>
    <n v="0"/>
    <s v="Credit Card"/>
    <n v="70426.350000000006"/>
    <n v="70426.350000000006"/>
    <n v="0"/>
    <n v="70426.350000000006"/>
    <n v="41048.31"/>
    <n v="41048.31"/>
    <n v="29378.040000000008"/>
    <x v="1"/>
  </r>
  <r>
    <s v="O000850"/>
    <d v="2023-02-19T00:00:00"/>
    <x v="43"/>
    <x v="43"/>
    <s v="P0057"/>
    <x v="41"/>
    <s v="S013"/>
    <x v="0"/>
    <n v="3"/>
    <n v="0.05"/>
    <s v="Debit Card"/>
    <n v="21084.61"/>
    <n v="63253.83"/>
    <n v="3162.6915000000004"/>
    <n v="60091.138500000001"/>
    <n v="12896.65"/>
    <n v="38689.949999999997"/>
    <n v="21401.188500000004"/>
    <x v="3"/>
  </r>
  <r>
    <s v="O000424"/>
    <d v="2023-02-22T00:00:00"/>
    <x v="44"/>
    <x v="44"/>
    <s v="P0136"/>
    <x v="42"/>
    <s v="S010"/>
    <x v="1"/>
    <n v="1"/>
    <n v="0"/>
    <s v="Debit Card"/>
    <n v="1702.4"/>
    <n v="1702.4"/>
    <n v="0"/>
    <n v="1702.4"/>
    <n v="1284.8900000000001"/>
    <n v="1284.8900000000001"/>
    <n v="417.51"/>
    <x v="0"/>
  </r>
  <r>
    <s v="O000585"/>
    <d v="2023-02-22T00:00:00"/>
    <x v="45"/>
    <x v="45"/>
    <s v="P0112"/>
    <x v="43"/>
    <s v="S007"/>
    <x v="0"/>
    <n v="1"/>
    <n v="0"/>
    <s v="Debit Card"/>
    <n v="985.76"/>
    <n v="985.76"/>
    <n v="0"/>
    <n v="985.76"/>
    <n v="669.86"/>
    <n v="669.86"/>
    <n v="315.89999999999998"/>
    <x v="4"/>
  </r>
  <r>
    <s v="O000145"/>
    <d v="2023-02-24T00:00:00"/>
    <x v="46"/>
    <x v="46"/>
    <s v="P0106"/>
    <x v="44"/>
    <s v="S008"/>
    <x v="1"/>
    <n v="2"/>
    <n v="0"/>
    <s v="Credit Card"/>
    <n v="817.37"/>
    <n v="1634.74"/>
    <n v="0"/>
    <n v="1634.74"/>
    <n v="595.03"/>
    <n v="1190.06"/>
    <n v="444.68000000000006"/>
    <x v="4"/>
  </r>
  <r>
    <s v="O000510"/>
    <d v="2023-02-24T00:00:00"/>
    <x v="47"/>
    <x v="47"/>
    <s v="P0034"/>
    <x v="40"/>
    <s v="S019"/>
    <x v="0"/>
    <n v="1"/>
    <n v="0"/>
    <s v="UPI"/>
    <n v="70426.350000000006"/>
    <n v="70426.350000000006"/>
    <n v="0"/>
    <n v="70426.350000000006"/>
    <n v="41048.31"/>
    <n v="41048.31"/>
    <n v="29378.040000000008"/>
    <x v="1"/>
  </r>
  <r>
    <s v="O000630"/>
    <d v="2023-02-25T00:00:00"/>
    <x v="48"/>
    <x v="48"/>
    <s v="P0021"/>
    <x v="45"/>
    <s v="S001"/>
    <x v="2"/>
    <n v="4"/>
    <n v="0.1"/>
    <s v="UPI"/>
    <n v="48777.16"/>
    <n v="195108.64"/>
    <n v="19510.864000000001"/>
    <n v="175597.77600000001"/>
    <n v="29771.48"/>
    <n v="119085.92"/>
    <n v="56511.856000000014"/>
    <x v="1"/>
  </r>
  <r>
    <s v="O000026"/>
    <d v="2023-02-26T00:00:00"/>
    <x v="49"/>
    <x v="49"/>
    <s v="P0075"/>
    <x v="10"/>
    <s v="S009"/>
    <x v="0"/>
    <n v="3"/>
    <n v="0.05"/>
    <s v="UPI"/>
    <n v="7788.99"/>
    <n v="23366.97"/>
    <n v="1168.3485000000001"/>
    <n v="22198.621500000001"/>
    <n v="6231.21"/>
    <n v="18693.63"/>
    <n v="3504.9915000000001"/>
    <x v="2"/>
  </r>
  <r>
    <s v="O000064"/>
    <d v="2023-02-26T00:00:00"/>
    <x v="50"/>
    <x v="50"/>
    <s v="P0099"/>
    <x v="46"/>
    <s v="S007"/>
    <x v="0"/>
    <n v="1"/>
    <n v="0"/>
    <s v="UPI"/>
    <n v="631.26"/>
    <n v="631.26"/>
    <n v="0"/>
    <n v="631.26"/>
    <n v="394.86"/>
    <n v="394.86"/>
    <n v="236.39999999999998"/>
    <x v="4"/>
  </r>
  <r>
    <s v="O000092"/>
    <d v="2023-02-26T00:00:00"/>
    <x v="51"/>
    <x v="51"/>
    <s v="P0083"/>
    <x v="26"/>
    <s v="S011"/>
    <x v="0"/>
    <n v="1"/>
    <n v="0.1"/>
    <s v="Credit Card"/>
    <n v="1436.28"/>
    <n v="1436.28"/>
    <n v="143.62800000000001"/>
    <n v="1292.652"/>
    <n v="1097.5"/>
    <n v="1097.5"/>
    <n v="195.15200000000004"/>
    <x v="2"/>
  </r>
  <r>
    <s v="O000642"/>
    <d v="2023-02-27T00:00:00"/>
    <x v="52"/>
    <x v="52"/>
    <s v="P0047"/>
    <x v="47"/>
    <s v="S016"/>
    <x v="0"/>
    <n v="3"/>
    <n v="0.1"/>
    <s v="Net Banking"/>
    <n v="11987.07"/>
    <n v="35961.21"/>
    <n v="3596.1210000000001"/>
    <n v="32365.089"/>
    <n v="8332.57"/>
    <n v="24997.71"/>
    <n v="7367.3790000000008"/>
    <x v="3"/>
  </r>
  <r>
    <s v="O000756"/>
    <d v="2023-02-27T00:00:00"/>
    <x v="53"/>
    <x v="53"/>
    <s v="P0048"/>
    <x v="48"/>
    <s v="S017"/>
    <x v="0"/>
    <n v="2"/>
    <n v="0.05"/>
    <s v="Credit Card"/>
    <n v="29675.72"/>
    <n v="59351.44"/>
    <n v="2967.5720000000001"/>
    <n v="56383.868000000002"/>
    <n v="17695.330000000002"/>
    <n v="35390.660000000003"/>
    <n v="20993.207999999999"/>
    <x v="3"/>
  </r>
  <r>
    <s v="O000541"/>
    <d v="2023-03-03T00:00:00"/>
    <x v="54"/>
    <x v="54"/>
    <s v="P0066"/>
    <x v="49"/>
    <s v="S006"/>
    <x v="3"/>
    <n v="1"/>
    <n v="0.05"/>
    <s v="Debit Card"/>
    <n v="7801.86"/>
    <n v="7801.86"/>
    <n v="390.09300000000002"/>
    <n v="7411.7669999999998"/>
    <n v="5332.9"/>
    <n v="5332.9"/>
    <n v="2078.8670000000002"/>
    <x v="3"/>
  </r>
  <r>
    <s v="O000555"/>
    <d v="2023-03-03T00:00:00"/>
    <x v="55"/>
    <x v="55"/>
    <s v="P0106"/>
    <x v="44"/>
    <s v="S003"/>
    <x v="3"/>
    <n v="4"/>
    <n v="0.1"/>
    <s v="Credit Card"/>
    <n v="817.37"/>
    <n v="3269.48"/>
    <n v="326.94800000000004"/>
    <n v="2942.5320000000002"/>
    <n v="595.03"/>
    <n v="2380.12"/>
    <n v="562.41200000000026"/>
    <x v="4"/>
  </r>
  <r>
    <s v="O000513"/>
    <d v="2023-03-04T00:00:00"/>
    <x v="56"/>
    <x v="56"/>
    <s v="P0056"/>
    <x v="50"/>
    <s v="S006"/>
    <x v="3"/>
    <n v="4"/>
    <n v="0"/>
    <s v="Cash"/>
    <n v="24430.33"/>
    <n v="97721.32"/>
    <n v="0"/>
    <n v="97721.32"/>
    <n v="14996.73"/>
    <n v="59986.92"/>
    <n v="37734.400000000009"/>
    <x v="3"/>
  </r>
  <r>
    <s v="O000775"/>
    <d v="2023-03-04T00:00:00"/>
    <x v="57"/>
    <x v="57"/>
    <s v="P0146"/>
    <x v="51"/>
    <s v="S003"/>
    <x v="3"/>
    <n v="2"/>
    <n v="0"/>
    <s v="UPI"/>
    <n v="3309.4"/>
    <n v="6618.8"/>
    <n v="0"/>
    <n v="6618.8"/>
    <n v="2744.04"/>
    <n v="5488.08"/>
    <n v="1130.7200000000003"/>
    <x v="0"/>
  </r>
  <r>
    <s v="O000258"/>
    <d v="2023-03-05T00:00:00"/>
    <x v="58"/>
    <x v="58"/>
    <s v="P0058"/>
    <x v="52"/>
    <s v="S016"/>
    <x v="0"/>
    <n v="1"/>
    <n v="0"/>
    <s v="Debit Card"/>
    <n v="27105.29"/>
    <n v="27105.29"/>
    <n v="0"/>
    <n v="27105.29"/>
    <n v="17092.599999999999"/>
    <n v="17092.599999999999"/>
    <n v="10012.690000000002"/>
    <x v="3"/>
  </r>
  <r>
    <s v="O000906"/>
    <d v="2023-03-05T00:00:00"/>
    <x v="59"/>
    <x v="59"/>
    <s v="P0048"/>
    <x v="48"/>
    <s v="S025"/>
    <x v="2"/>
    <n v="1"/>
    <n v="0"/>
    <s v="UPI"/>
    <n v="29675.72"/>
    <n v="29675.72"/>
    <n v="0"/>
    <n v="29675.72"/>
    <n v="17695.330000000002"/>
    <n v="17695.330000000002"/>
    <n v="11980.39"/>
    <x v="3"/>
  </r>
  <r>
    <s v="O000509"/>
    <d v="2023-03-09T00:00:00"/>
    <x v="60"/>
    <x v="60"/>
    <s v="P0035"/>
    <x v="53"/>
    <s v="S017"/>
    <x v="0"/>
    <n v="1"/>
    <n v="0.05"/>
    <s v="Credit Card"/>
    <n v="29153.55"/>
    <n v="29153.55"/>
    <n v="1457.6775"/>
    <n v="27695.872499999998"/>
    <n v="21894.27"/>
    <n v="21894.27"/>
    <n v="5801.6024999999972"/>
    <x v="1"/>
  </r>
  <r>
    <s v="O000015"/>
    <d v="2023-03-10T00:00:00"/>
    <x v="61"/>
    <x v="61"/>
    <s v="P0101"/>
    <x v="54"/>
    <s v="S021"/>
    <x v="0"/>
    <n v="2"/>
    <n v="0"/>
    <s v="Credit Card"/>
    <n v="775.19"/>
    <n v="1550.38"/>
    <n v="0"/>
    <n v="1550.38"/>
    <n v="597.84"/>
    <n v="1195.68"/>
    <n v="354.70000000000005"/>
    <x v="4"/>
  </r>
  <r>
    <s v="O000209"/>
    <d v="2023-03-10T00:00:00"/>
    <x v="62"/>
    <x v="62"/>
    <s v="P0059"/>
    <x v="13"/>
    <s v="S024"/>
    <x v="0"/>
    <n v="2"/>
    <n v="0"/>
    <s v="Credit Card"/>
    <n v="24743.52"/>
    <n v="49487.040000000001"/>
    <n v="0"/>
    <n v="49487.040000000001"/>
    <n v="16620.189999999999"/>
    <n v="33240.379999999997"/>
    <n v="16246.660000000003"/>
    <x v="3"/>
  </r>
  <r>
    <s v="O000639"/>
    <d v="2023-03-10T00:00:00"/>
    <x v="63"/>
    <x v="63"/>
    <s v="P0117"/>
    <x v="55"/>
    <s v="S024"/>
    <x v="0"/>
    <n v="-2"/>
    <n v="0"/>
    <s v="UPI"/>
    <n v="130.63"/>
    <n v="-261.26"/>
    <n v="0"/>
    <n v="-261.26"/>
    <n v="75.33"/>
    <n v="-150.66"/>
    <n v="-110.6"/>
    <x v="4"/>
  </r>
  <r>
    <s v="O000840"/>
    <d v="2023-03-10T00:00:00"/>
    <x v="64"/>
    <x v="64"/>
    <s v="P0005"/>
    <x v="56"/>
    <s v="S013"/>
    <x v="0"/>
    <n v="1"/>
    <n v="0.05"/>
    <s v="UPI"/>
    <n v="4719.2700000000004"/>
    <n v="4719.2700000000004"/>
    <n v="235.96350000000004"/>
    <n v="4483.3065000000006"/>
    <n v="3322.23"/>
    <n v="3322.23"/>
    <n v="1161.0765000000006"/>
    <x v="1"/>
  </r>
  <r>
    <s v="O000357"/>
    <d v="2023-03-12T00:00:00"/>
    <x v="65"/>
    <x v="65"/>
    <s v="P0025"/>
    <x v="57"/>
    <s v="S002"/>
    <x v="2"/>
    <n v="2"/>
    <n v="0"/>
    <s v="UPI"/>
    <n v="45527.55"/>
    <n v="91055.1"/>
    <n v="0"/>
    <n v="91055.1"/>
    <n v="35089.57"/>
    <n v="70179.14"/>
    <n v="20875.960000000006"/>
    <x v="1"/>
  </r>
  <r>
    <s v="O000636"/>
    <d v="2023-03-12T00:00:00"/>
    <x v="66"/>
    <x v="66"/>
    <s v="P0129"/>
    <x v="58"/>
    <s v="S010"/>
    <x v="1"/>
    <n v="1"/>
    <n v="0"/>
    <s v="Debit Card"/>
    <n v="3285.82"/>
    <n v="3285.82"/>
    <n v="0"/>
    <n v="3285.82"/>
    <n v="2256.9699999999998"/>
    <n v="2256.9699999999998"/>
    <n v="1028.8500000000004"/>
    <x v="0"/>
  </r>
  <r>
    <s v="O000293"/>
    <d v="2023-03-13T00:00:00"/>
    <x v="67"/>
    <x v="67"/>
    <s v="P0054"/>
    <x v="59"/>
    <s v="S017"/>
    <x v="0"/>
    <n v="1"/>
    <n v="0"/>
    <s v="UPI"/>
    <n v="17619.849999999999"/>
    <n v="17619.849999999999"/>
    <n v="0"/>
    <n v="17619.849999999999"/>
    <n v="13837.65"/>
    <n v="13837.65"/>
    <n v="3782.1999999999989"/>
    <x v="3"/>
  </r>
  <r>
    <s v="O000502"/>
    <d v="2023-03-16T00:00:00"/>
    <x v="68"/>
    <x v="68"/>
    <s v="P0057"/>
    <x v="41"/>
    <s v="S012"/>
    <x v="1"/>
    <n v="1"/>
    <n v="0"/>
    <s v="Cash"/>
    <n v="21084.61"/>
    <n v="21084.61"/>
    <n v="0"/>
    <n v="21084.61"/>
    <n v="12896.65"/>
    <n v="12896.65"/>
    <n v="8187.9600000000009"/>
    <x v="3"/>
  </r>
  <r>
    <s v="O000147"/>
    <d v="2023-03-17T00:00:00"/>
    <x v="69"/>
    <x v="69"/>
    <s v="P0087"/>
    <x v="60"/>
    <s v="S001"/>
    <x v="2"/>
    <n v="1"/>
    <n v="0.1"/>
    <s v="Credit Card"/>
    <n v="2599.96"/>
    <n v="2599.96"/>
    <n v="259.99600000000004"/>
    <n v="2339.9639999999999"/>
    <n v="1643"/>
    <n v="1643"/>
    <n v="696.96399999999994"/>
    <x v="2"/>
  </r>
  <r>
    <s v="O000661"/>
    <d v="2023-03-18T00:00:00"/>
    <x v="70"/>
    <x v="70"/>
    <s v="P0099"/>
    <x v="46"/>
    <s v="S010"/>
    <x v="1"/>
    <n v="2"/>
    <n v="0"/>
    <s v="Debit Card"/>
    <n v="631.26"/>
    <n v="1262.52"/>
    <n v="0"/>
    <n v="1262.52"/>
    <n v="394.86"/>
    <n v="789.72"/>
    <n v="472.79999999999995"/>
    <x v="4"/>
  </r>
  <r>
    <s v="O000567"/>
    <d v="2023-03-20T00:00:00"/>
    <x v="71"/>
    <x v="71"/>
    <s v="P0082"/>
    <x v="61"/>
    <s v="S003"/>
    <x v="3"/>
    <n v="2"/>
    <n v="0.1"/>
    <s v="UPI"/>
    <n v="5613.98"/>
    <n v="11227.96"/>
    <n v="1122.796"/>
    <n v="10105.163999999999"/>
    <n v="3377.41"/>
    <n v="6754.82"/>
    <n v="3350.3439999999991"/>
    <x v="2"/>
  </r>
  <r>
    <s v="O000989"/>
    <d v="2023-03-20T00:00:00"/>
    <x v="72"/>
    <x v="72"/>
    <s v="P0018"/>
    <x v="62"/>
    <s v="S013"/>
    <x v="0"/>
    <n v="3"/>
    <n v="0"/>
    <s v="Debit Card"/>
    <n v="54876.34"/>
    <n v="164629.01999999999"/>
    <n v="0"/>
    <n v="164629.01999999999"/>
    <n v="41521.22"/>
    <n v="124563.66"/>
    <n v="40065.359999999986"/>
    <x v="1"/>
  </r>
  <r>
    <s v="O000920"/>
    <d v="2023-03-22T00:00:00"/>
    <x v="73"/>
    <x v="73"/>
    <s v="P0018"/>
    <x v="62"/>
    <s v="S004"/>
    <x v="3"/>
    <n v="1"/>
    <n v="0.1"/>
    <s v="Credit Card"/>
    <n v="54876.34"/>
    <n v="54876.34"/>
    <n v="5487.634"/>
    <n v="49388.705999999998"/>
    <n v="41521.22"/>
    <n v="41521.22"/>
    <n v="7867.4859999999971"/>
    <x v="1"/>
  </r>
  <r>
    <s v="O000410"/>
    <d v="2023-03-23T00:00:00"/>
    <x v="74"/>
    <x v="74"/>
    <s v="P0107"/>
    <x v="63"/>
    <s v="S015"/>
    <x v="3"/>
    <n v="1"/>
    <n v="0.1"/>
    <s v="UPI"/>
    <n v="1494.3"/>
    <n v="1494.3"/>
    <n v="149.43"/>
    <n v="1344.87"/>
    <n v="1031.67"/>
    <n v="1031.67"/>
    <n v="313.19999999999982"/>
    <x v="4"/>
  </r>
  <r>
    <s v="O000730"/>
    <d v="2023-03-23T00:00:00"/>
    <x v="75"/>
    <x v="75"/>
    <s v="P0002"/>
    <x v="35"/>
    <s v="S021"/>
    <x v="0"/>
    <n v="1"/>
    <n v="0"/>
    <s v="Credit Card"/>
    <n v="75177.759999999995"/>
    <n v="75177.759999999995"/>
    <n v="0"/>
    <n v="75177.759999999995"/>
    <n v="51831.839999999997"/>
    <n v="51831.839999999997"/>
    <n v="23345.919999999998"/>
    <x v="1"/>
  </r>
  <r>
    <s v="O000083"/>
    <d v="2023-03-29T00:00:00"/>
    <x v="76"/>
    <x v="76"/>
    <s v="P0042"/>
    <x v="64"/>
    <s v="S003"/>
    <x v="3"/>
    <n v="1"/>
    <n v="0"/>
    <s v="Credit Card"/>
    <n v="29579.63"/>
    <n v="29579.63"/>
    <n v="0"/>
    <n v="29579.63"/>
    <n v="24254.720000000001"/>
    <n v="24254.720000000001"/>
    <n v="5324.91"/>
    <x v="3"/>
  </r>
  <r>
    <s v="O000023"/>
    <d v="2023-03-30T00:00:00"/>
    <x v="77"/>
    <x v="77"/>
    <s v="P0016"/>
    <x v="38"/>
    <s v="S022"/>
    <x v="2"/>
    <n v="1"/>
    <n v="0"/>
    <s v="UPI"/>
    <n v="63665.16"/>
    <n v="63665.16"/>
    <n v="0"/>
    <n v="63665.16"/>
    <n v="52565.61"/>
    <n v="52565.61"/>
    <n v="11099.550000000003"/>
    <x v="1"/>
  </r>
  <r>
    <s v="O000219"/>
    <d v="2023-03-31T00:00:00"/>
    <x v="78"/>
    <x v="78"/>
    <s v="P0059"/>
    <x v="13"/>
    <s v="S014"/>
    <x v="1"/>
    <n v="1"/>
    <n v="0"/>
    <s v="Cash"/>
    <n v="24743.52"/>
    <n v="24743.52"/>
    <n v="0"/>
    <n v="24743.52"/>
    <n v="16620.189999999999"/>
    <n v="16620.189999999999"/>
    <n v="8123.3300000000017"/>
    <x v="3"/>
  </r>
  <r>
    <s v="O000847"/>
    <d v="2023-04-03T00:00:00"/>
    <x v="79"/>
    <x v="79"/>
    <s v="P0037"/>
    <x v="65"/>
    <s v="S004"/>
    <x v="3"/>
    <n v="1"/>
    <n v="0"/>
    <s v="Credit Card"/>
    <n v="78938.720000000001"/>
    <n v="78938.720000000001"/>
    <n v="0"/>
    <n v="78938.720000000001"/>
    <n v="53801.63"/>
    <n v="53801.63"/>
    <n v="25137.090000000004"/>
    <x v="1"/>
  </r>
  <r>
    <s v="O000985"/>
    <d v="2023-04-03T00:00:00"/>
    <x v="80"/>
    <x v="80"/>
    <s v="P0150"/>
    <x v="66"/>
    <s v="S009"/>
    <x v="0"/>
    <n v="3"/>
    <n v="0.05"/>
    <s v="Debit Card"/>
    <n v="4199.75"/>
    <n v="12599.25"/>
    <n v="629.96250000000009"/>
    <n v="11969.2875"/>
    <n v="2546.5700000000002"/>
    <n v="7639.7100000000009"/>
    <n v="4329.5774999999994"/>
    <x v="0"/>
  </r>
  <r>
    <s v="O000016"/>
    <d v="2023-04-04T00:00:00"/>
    <x v="81"/>
    <x v="81"/>
    <s v="P0071"/>
    <x v="67"/>
    <s v="S009"/>
    <x v="0"/>
    <n v="1"/>
    <n v="0.1"/>
    <s v="Cash"/>
    <n v="2211.5500000000002"/>
    <n v="2211.5500000000002"/>
    <n v="221.15500000000003"/>
    <n v="1990.3950000000002"/>
    <n v="1820.39"/>
    <n v="1820.39"/>
    <n v="170.00500000000011"/>
    <x v="2"/>
  </r>
  <r>
    <s v="O000789"/>
    <d v="2023-04-04T00:00:00"/>
    <x v="82"/>
    <x v="82"/>
    <s v="P0124"/>
    <x v="68"/>
    <s v="S018"/>
    <x v="0"/>
    <n v="1"/>
    <n v="0"/>
    <s v="Credit Card"/>
    <n v="1841.85"/>
    <n v="1841.85"/>
    <n v="0"/>
    <n v="1841.85"/>
    <n v="1327.7"/>
    <n v="1327.7"/>
    <n v="514.14999999999986"/>
    <x v="0"/>
  </r>
  <r>
    <s v="O000629"/>
    <d v="2023-04-05T00:00:00"/>
    <x v="83"/>
    <x v="83"/>
    <s v="P0036"/>
    <x v="39"/>
    <s v="S020"/>
    <x v="3"/>
    <n v="1"/>
    <n v="0.1"/>
    <s v="Cash"/>
    <n v="74177.87"/>
    <n v="74177.87"/>
    <n v="7417.7870000000003"/>
    <n v="66760.082999999999"/>
    <n v="46554.33"/>
    <n v="46554.33"/>
    <n v="20205.752999999997"/>
    <x v="1"/>
  </r>
  <r>
    <s v="O000944"/>
    <d v="2023-04-05T00:00:00"/>
    <x v="84"/>
    <x v="84"/>
    <s v="P0017"/>
    <x v="69"/>
    <s v="S022"/>
    <x v="2"/>
    <n v="2"/>
    <n v="0"/>
    <s v="Credit Card"/>
    <n v="61469.2"/>
    <n v="122938.4"/>
    <n v="0"/>
    <n v="122938.4"/>
    <n v="39781.99"/>
    <n v="79563.98"/>
    <n v="43374.42"/>
    <x v="1"/>
  </r>
  <r>
    <s v="O000929"/>
    <d v="2023-04-06T00:00:00"/>
    <x v="85"/>
    <x v="85"/>
    <s v="P0085"/>
    <x v="9"/>
    <s v="S012"/>
    <x v="1"/>
    <n v="1"/>
    <n v="0.15"/>
    <s v="Credit Card"/>
    <n v="508.67"/>
    <n v="508.67"/>
    <n v="76.3005"/>
    <n v="432.36950000000002"/>
    <n v="386.39"/>
    <n v="386.39"/>
    <n v="45.97950000000003"/>
    <x v="2"/>
  </r>
  <r>
    <s v="O000055"/>
    <d v="2023-04-09T00:00:00"/>
    <x v="86"/>
    <x v="86"/>
    <s v="P0132"/>
    <x v="70"/>
    <s v="S013"/>
    <x v="0"/>
    <n v="1"/>
    <n v="0.1"/>
    <s v="UPI"/>
    <n v="4869.55"/>
    <n v="4869.55"/>
    <n v="486.95500000000004"/>
    <n v="4382.5950000000003"/>
    <n v="3039.73"/>
    <n v="3039.73"/>
    <n v="1342.8650000000002"/>
    <x v="0"/>
  </r>
  <r>
    <s v="O000290"/>
    <d v="2023-04-10T00:00:00"/>
    <x v="87"/>
    <x v="87"/>
    <s v="P0009"/>
    <x v="71"/>
    <s v="S019"/>
    <x v="0"/>
    <n v="1"/>
    <n v="0"/>
    <s v="UPI"/>
    <n v="46428.19"/>
    <n v="46428.19"/>
    <n v="0"/>
    <n v="46428.19"/>
    <n v="26886.09"/>
    <n v="26886.09"/>
    <n v="19542.100000000002"/>
    <x v="1"/>
  </r>
  <r>
    <s v="O000322"/>
    <d v="2023-04-10T00:00:00"/>
    <x v="88"/>
    <x v="88"/>
    <s v="P0029"/>
    <x v="2"/>
    <s v="S017"/>
    <x v="0"/>
    <n v="1"/>
    <n v="0"/>
    <s v="Debit Card"/>
    <n v="51647.41"/>
    <n v="51647.41"/>
    <n v="0"/>
    <n v="51647.41"/>
    <n v="43564.65"/>
    <n v="43564.65"/>
    <n v="8082.760000000002"/>
    <x v="1"/>
  </r>
  <r>
    <s v="O000355"/>
    <d v="2023-04-11T00:00:00"/>
    <x v="89"/>
    <x v="89"/>
    <s v="P0073"/>
    <x v="72"/>
    <s v="S022"/>
    <x v="2"/>
    <n v="1"/>
    <n v="0.2"/>
    <s v="UPI"/>
    <n v="7179.47"/>
    <n v="7179.47"/>
    <n v="1435.8940000000002"/>
    <n v="5743.576"/>
    <n v="5473.35"/>
    <n v="5473.35"/>
    <n v="270.22599999999966"/>
    <x v="2"/>
  </r>
  <r>
    <s v="O000862"/>
    <d v="2023-04-11T00:00:00"/>
    <x v="90"/>
    <x v="90"/>
    <s v="P0011"/>
    <x v="73"/>
    <s v="S010"/>
    <x v="1"/>
    <n v="1"/>
    <n v="0"/>
    <s v="Debit Card"/>
    <n v="14902.07"/>
    <n v="14902.07"/>
    <n v="0"/>
    <n v="14902.07"/>
    <n v="9305.33"/>
    <n v="9305.33"/>
    <n v="5596.74"/>
    <x v="1"/>
  </r>
  <r>
    <s v="O000199"/>
    <d v="2023-04-14T00:00:00"/>
    <x v="91"/>
    <x v="91"/>
    <s v="P0098"/>
    <x v="74"/>
    <s v="S020"/>
    <x v="3"/>
    <n v="1"/>
    <n v="0"/>
    <s v="UPI"/>
    <n v="1233.81"/>
    <n v="1233.81"/>
    <n v="0"/>
    <n v="1233.81"/>
    <n v="944.94"/>
    <n v="944.94"/>
    <n v="288.86999999999989"/>
    <x v="4"/>
  </r>
  <r>
    <s v="O000414"/>
    <d v="2023-04-15T00:00:00"/>
    <x v="92"/>
    <x v="92"/>
    <s v="P0006"/>
    <x v="75"/>
    <s v="S010"/>
    <x v="1"/>
    <n v="3"/>
    <n v="0.05"/>
    <s v="Net Banking"/>
    <n v="39996.370000000003"/>
    <n v="119989.11000000002"/>
    <n v="5999.4555000000009"/>
    <n v="113989.65450000002"/>
    <n v="26192.21"/>
    <n v="78576.63"/>
    <n v="35413.024500000014"/>
    <x v="1"/>
  </r>
  <r>
    <s v="O000846"/>
    <d v="2023-04-15T00:00:00"/>
    <x v="93"/>
    <x v="93"/>
    <s v="P0004"/>
    <x v="76"/>
    <s v="S010"/>
    <x v="1"/>
    <n v="5"/>
    <n v="0"/>
    <s v="Credit Card"/>
    <n v="10619.36"/>
    <n v="53096.800000000003"/>
    <n v="0"/>
    <n v="53096.800000000003"/>
    <n v="6544.82"/>
    <n v="32724.1"/>
    <n v="20372.700000000004"/>
    <x v="1"/>
  </r>
  <r>
    <s v="O000860"/>
    <d v="2023-04-17T00:00:00"/>
    <x v="94"/>
    <x v="94"/>
    <s v="P0123"/>
    <x v="77"/>
    <s v="S001"/>
    <x v="2"/>
    <n v="2"/>
    <n v="0"/>
    <s v="Debit Card"/>
    <n v="1666.93"/>
    <n v="3333.86"/>
    <n v="0"/>
    <n v="3333.86"/>
    <n v="983.54"/>
    <n v="1967.08"/>
    <n v="1366.7800000000002"/>
    <x v="0"/>
  </r>
  <r>
    <s v="O000150"/>
    <d v="2023-04-18T00:00:00"/>
    <x v="95"/>
    <x v="95"/>
    <s v="P0124"/>
    <x v="68"/>
    <s v="S006"/>
    <x v="3"/>
    <n v="2"/>
    <n v="0.1"/>
    <s v="Credit Card"/>
    <n v="1841.85"/>
    <n v="3683.7"/>
    <n v="368.37"/>
    <n v="3315.33"/>
    <n v="1327.7"/>
    <n v="2655.4"/>
    <n v="659.92999999999984"/>
    <x v="0"/>
  </r>
  <r>
    <s v="O000179"/>
    <d v="2023-04-19T00:00:00"/>
    <x v="96"/>
    <x v="96"/>
    <s v="P0016"/>
    <x v="38"/>
    <s v="S008"/>
    <x v="1"/>
    <n v="2"/>
    <n v="0"/>
    <s v="UPI"/>
    <n v="63665.16"/>
    <n v="127330.32"/>
    <n v="0"/>
    <n v="127330.32"/>
    <n v="52565.61"/>
    <n v="105131.22"/>
    <n v="22199.100000000006"/>
    <x v="1"/>
  </r>
  <r>
    <s v="O000078"/>
    <d v="2023-04-20T00:00:00"/>
    <x v="97"/>
    <x v="97"/>
    <s v="P0061"/>
    <x v="78"/>
    <s v="S022"/>
    <x v="2"/>
    <n v="5"/>
    <n v="0.1"/>
    <s v="UPI"/>
    <n v="22102.15"/>
    <n v="110510.75"/>
    <n v="11051.075000000001"/>
    <n v="99459.675000000003"/>
    <n v="15710.91"/>
    <n v="78554.55"/>
    <n v="20905.125"/>
    <x v="3"/>
  </r>
  <r>
    <s v="O000208"/>
    <d v="2023-04-20T00:00:00"/>
    <x v="98"/>
    <x v="98"/>
    <s v="P0146"/>
    <x v="51"/>
    <s v="S011"/>
    <x v="0"/>
    <n v="3"/>
    <n v="0"/>
    <s v="UPI"/>
    <n v="3309.4"/>
    <n v="9928.2000000000007"/>
    <n v="0"/>
    <n v="9928.2000000000007"/>
    <n v="2744.04"/>
    <n v="8232.119999999999"/>
    <n v="1696.0800000000017"/>
    <x v="0"/>
  </r>
  <r>
    <s v="O000742"/>
    <d v="2023-04-22T00:00:00"/>
    <x v="99"/>
    <x v="99"/>
    <s v="P0049"/>
    <x v="79"/>
    <s v="S004"/>
    <x v="3"/>
    <n v="1"/>
    <n v="0"/>
    <s v="UPI"/>
    <n v="643.36"/>
    <n v="643.36"/>
    <n v="0"/>
    <n v="643.36"/>
    <n v="460.5"/>
    <n v="460.5"/>
    <n v="182.86"/>
    <x v="3"/>
  </r>
  <r>
    <s v="O000896"/>
    <d v="2023-04-24T00:00:00"/>
    <x v="100"/>
    <x v="100"/>
    <s v="P0094"/>
    <x v="80"/>
    <s v="S024"/>
    <x v="0"/>
    <n v="1"/>
    <n v="0"/>
    <s v="UPI"/>
    <n v="7178.77"/>
    <n v="7178.77"/>
    <n v="0"/>
    <n v="7178.77"/>
    <n v="4813.8"/>
    <n v="4813.8"/>
    <n v="2364.9700000000003"/>
    <x v="2"/>
  </r>
  <r>
    <s v="O000124"/>
    <d v="2023-04-26T00:00:00"/>
    <x v="101"/>
    <x v="101"/>
    <s v="P0027"/>
    <x v="81"/>
    <s v="S014"/>
    <x v="1"/>
    <n v="1"/>
    <n v="0"/>
    <s v="UPI"/>
    <n v="76661.149999999994"/>
    <n v="76661.149999999994"/>
    <n v="0"/>
    <n v="76661.149999999994"/>
    <n v="44142.48"/>
    <n v="44142.48"/>
    <n v="32518.669999999991"/>
    <x v="1"/>
  </r>
  <r>
    <s v="O000038"/>
    <d v="2023-04-28T00:00:00"/>
    <x v="102"/>
    <x v="102"/>
    <s v="P0121"/>
    <x v="82"/>
    <s v="S002"/>
    <x v="2"/>
    <n v="1"/>
    <n v="0"/>
    <s v="Debit Card"/>
    <n v="1019.45"/>
    <n v="1019.45"/>
    <n v="0"/>
    <n v="1019.45"/>
    <n v="683.18"/>
    <n v="683.18"/>
    <n v="336.2700000000001"/>
    <x v="4"/>
  </r>
  <r>
    <s v="O000495"/>
    <d v="2023-04-28T00:00:00"/>
    <x v="103"/>
    <x v="103"/>
    <s v="P0061"/>
    <x v="78"/>
    <s v="S017"/>
    <x v="0"/>
    <n v="2"/>
    <n v="0.05"/>
    <s v="UPI"/>
    <n v="22102.15"/>
    <n v="44204.3"/>
    <n v="2210.2150000000001"/>
    <n v="41994.085000000006"/>
    <n v="15710.91"/>
    <n v="31421.82"/>
    <n v="10572.265000000007"/>
    <x v="3"/>
  </r>
  <r>
    <s v="O000542"/>
    <d v="2023-04-29T00:00:00"/>
    <x v="104"/>
    <x v="104"/>
    <s v="P0047"/>
    <x v="47"/>
    <s v="S011"/>
    <x v="0"/>
    <n v="1"/>
    <n v="0.05"/>
    <s v="UPI"/>
    <n v="11987.07"/>
    <n v="11987.07"/>
    <n v="599.35350000000005"/>
    <n v="11387.7165"/>
    <n v="8332.57"/>
    <n v="8332.57"/>
    <n v="3055.1465000000007"/>
    <x v="3"/>
  </r>
  <r>
    <s v="O000197"/>
    <d v="2023-04-30T00:00:00"/>
    <x v="105"/>
    <x v="105"/>
    <s v="P0065"/>
    <x v="83"/>
    <s v="S017"/>
    <x v="0"/>
    <n v="1"/>
    <n v="0"/>
    <s v="Cash"/>
    <n v="3429.74"/>
    <n v="3429.74"/>
    <n v="0"/>
    <n v="3429.74"/>
    <n v="2172.39"/>
    <n v="2172.39"/>
    <n v="1257.3499999999999"/>
    <x v="3"/>
  </r>
  <r>
    <s v="O000442"/>
    <d v="2023-05-01T00:00:00"/>
    <x v="106"/>
    <x v="106"/>
    <s v="P0076"/>
    <x v="25"/>
    <s v="S004"/>
    <x v="3"/>
    <n v="1"/>
    <n v="0"/>
    <s v="Credit Card"/>
    <n v="3661.03"/>
    <n v="3661.03"/>
    <n v="0"/>
    <n v="3661.03"/>
    <n v="2588.56"/>
    <n v="2588.56"/>
    <n v="1072.4700000000003"/>
    <x v="2"/>
  </r>
  <r>
    <s v="O000125"/>
    <d v="2023-05-02T00:00:00"/>
    <x v="107"/>
    <x v="107"/>
    <s v="P0068"/>
    <x v="15"/>
    <s v="S023"/>
    <x v="1"/>
    <n v="3"/>
    <n v="0"/>
    <s v="UPI"/>
    <n v="5944.75"/>
    <n v="17834.25"/>
    <n v="0"/>
    <n v="17834.25"/>
    <n v="4447.5200000000004"/>
    <n v="13342.560000000001"/>
    <n v="4491.6899999999987"/>
    <x v="2"/>
  </r>
  <r>
    <s v="O000679"/>
    <d v="2023-05-03T00:00:00"/>
    <x v="108"/>
    <x v="108"/>
    <s v="P0145"/>
    <x v="8"/>
    <s v="S021"/>
    <x v="0"/>
    <n v="1"/>
    <n v="0.05"/>
    <s v="UPI"/>
    <n v="543.23"/>
    <n v="543.23"/>
    <n v="27.161500000000004"/>
    <n v="516.06849999999997"/>
    <n v="441.82"/>
    <n v="441.82"/>
    <n v="74.248499999999979"/>
    <x v="0"/>
  </r>
  <r>
    <s v="O000517"/>
    <d v="2023-05-06T00:00:00"/>
    <x v="109"/>
    <x v="109"/>
    <s v="P0001"/>
    <x v="84"/>
    <s v="S018"/>
    <x v="0"/>
    <n v="1"/>
    <n v="0"/>
    <s v="UPI"/>
    <n v="69234.210000000006"/>
    <n v="69234.210000000006"/>
    <n v="0"/>
    <n v="69234.210000000006"/>
    <n v="56481.05"/>
    <n v="56481.05"/>
    <n v="12753.160000000003"/>
    <x v="1"/>
  </r>
  <r>
    <s v="O000262"/>
    <d v="2023-05-07T00:00:00"/>
    <x v="110"/>
    <x v="110"/>
    <s v="P0018"/>
    <x v="62"/>
    <s v="S005"/>
    <x v="1"/>
    <n v="2"/>
    <n v="0.05"/>
    <s v="UPI"/>
    <n v="54876.34"/>
    <n v="109752.68"/>
    <n v="5487.634"/>
    <n v="104265.04599999999"/>
    <n v="41521.22"/>
    <n v="83042.44"/>
    <n v="21222.605999999985"/>
    <x v="1"/>
  </r>
  <r>
    <s v="O000252"/>
    <d v="2023-05-12T00:00:00"/>
    <x v="111"/>
    <x v="111"/>
    <s v="P0027"/>
    <x v="81"/>
    <s v="S004"/>
    <x v="3"/>
    <n v="2"/>
    <n v="0"/>
    <s v="Credit Card"/>
    <n v="76661.149999999994"/>
    <n v="153322.29999999999"/>
    <n v="0"/>
    <n v="153322.29999999999"/>
    <n v="44142.48"/>
    <n v="88284.96"/>
    <n v="65037.339999999982"/>
    <x v="1"/>
  </r>
  <r>
    <s v="O000535"/>
    <d v="2023-05-13T00:00:00"/>
    <x v="112"/>
    <x v="112"/>
    <s v="P0144"/>
    <x v="28"/>
    <s v="S011"/>
    <x v="0"/>
    <n v="2"/>
    <n v="0"/>
    <s v="UPI"/>
    <n v="1037.07"/>
    <n v="2074.14"/>
    <n v="0"/>
    <n v="2074.14"/>
    <n v="720.16"/>
    <n v="1440.32"/>
    <n v="633.81999999999994"/>
    <x v="0"/>
  </r>
  <r>
    <s v="O000610"/>
    <d v="2023-05-13T00:00:00"/>
    <x v="113"/>
    <x v="113"/>
    <s v="P0112"/>
    <x v="43"/>
    <s v="S008"/>
    <x v="1"/>
    <n v="3"/>
    <n v="0"/>
    <s v="UPI"/>
    <n v="985.76"/>
    <n v="2957.2799999999997"/>
    <n v="0"/>
    <n v="2957.2799999999997"/>
    <n v="669.86"/>
    <n v="2009.58"/>
    <n v="947.69999999999982"/>
    <x v="4"/>
  </r>
  <r>
    <s v="O000968"/>
    <d v="2023-05-13T00:00:00"/>
    <x v="114"/>
    <x v="114"/>
    <s v="P0032"/>
    <x v="85"/>
    <s v="S008"/>
    <x v="1"/>
    <n v="1"/>
    <n v="0.1"/>
    <s v="Debit Card"/>
    <n v="18113.48"/>
    <n v="18113.48"/>
    <n v="1811.348"/>
    <n v="16302.132"/>
    <n v="12531.14"/>
    <n v="12531.14"/>
    <n v="3770.9920000000002"/>
    <x v="1"/>
  </r>
  <r>
    <s v="O000194"/>
    <d v="2023-05-17T00:00:00"/>
    <x v="115"/>
    <x v="115"/>
    <s v="P0149"/>
    <x v="86"/>
    <s v="S008"/>
    <x v="1"/>
    <n v="4"/>
    <n v="0.05"/>
    <s v="Debit Card"/>
    <n v="4294.7"/>
    <n v="17178.8"/>
    <n v="858.94"/>
    <n v="16319.859999999999"/>
    <n v="3317.06"/>
    <n v="13268.24"/>
    <n v="3051.619999999999"/>
    <x v="0"/>
  </r>
  <r>
    <s v="O000421"/>
    <d v="2023-05-17T00:00:00"/>
    <x v="116"/>
    <x v="116"/>
    <s v="P0037"/>
    <x v="65"/>
    <s v="S025"/>
    <x v="2"/>
    <n v="2"/>
    <n v="0"/>
    <s v="UPI"/>
    <n v="78938.720000000001"/>
    <n v="157877.44"/>
    <n v="0"/>
    <n v="157877.44"/>
    <n v="53801.63"/>
    <n v="107603.26"/>
    <n v="50274.180000000008"/>
    <x v="1"/>
  </r>
  <r>
    <s v="O000213"/>
    <d v="2023-05-18T00:00:00"/>
    <x v="117"/>
    <x v="117"/>
    <s v="P0150"/>
    <x v="66"/>
    <s v="S009"/>
    <x v="0"/>
    <n v="1"/>
    <n v="0.05"/>
    <s v="Debit Card"/>
    <n v="4199.75"/>
    <n v="4199.75"/>
    <n v="209.98750000000001"/>
    <n v="3989.7624999999998"/>
    <n v="2546.5700000000002"/>
    <n v="2546.5700000000002"/>
    <n v="1443.1924999999997"/>
    <x v="0"/>
  </r>
  <r>
    <s v="O000618"/>
    <d v="2023-05-18T00:00:00"/>
    <x v="118"/>
    <x v="118"/>
    <s v="P0058"/>
    <x v="52"/>
    <s v="S009"/>
    <x v="0"/>
    <n v="1"/>
    <n v="0"/>
    <s v="UPI"/>
    <n v="27105.29"/>
    <n v="27105.29"/>
    <n v="0"/>
    <n v="27105.29"/>
    <n v="17092.599999999999"/>
    <n v="17092.599999999999"/>
    <n v="10012.690000000002"/>
    <x v="3"/>
  </r>
  <r>
    <s v="O000157"/>
    <d v="2023-05-19T00:00:00"/>
    <x v="119"/>
    <x v="119"/>
    <s v="P0091"/>
    <x v="87"/>
    <s v="S019"/>
    <x v="0"/>
    <n v="1"/>
    <n v="0.2"/>
    <s v="Debit Card"/>
    <n v="5979.07"/>
    <n v="5979.07"/>
    <n v="1195.8140000000001"/>
    <n v="4783.2559999999994"/>
    <n v="4121.96"/>
    <n v="4121.96"/>
    <n v="661.29599999999937"/>
    <x v="2"/>
  </r>
  <r>
    <s v="O000581"/>
    <d v="2023-05-19T00:00:00"/>
    <x v="120"/>
    <x v="120"/>
    <s v="P0069"/>
    <x v="36"/>
    <s v="S006"/>
    <x v="3"/>
    <n v="2"/>
    <n v="0.1"/>
    <s v="UPI"/>
    <n v="7177.2"/>
    <n v="14354.4"/>
    <n v="1435.44"/>
    <n v="12918.96"/>
    <n v="4558.34"/>
    <n v="9116.68"/>
    <n v="3802.2799999999988"/>
    <x v="2"/>
  </r>
  <r>
    <s v="O000828"/>
    <d v="2023-05-19T00:00:00"/>
    <x v="121"/>
    <x v="121"/>
    <s v="P0028"/>
    <x v="27"/>
    <s v="S020"/>
    <x v="3"/>
    <n v="1"/>
    <n v="0.05"/>
    <s v="Cash"/>
    <n v="52004.72"/>
    <n v="52004.72"/>
    <n v="2600.2360000000003"/>
    <n v="49404.484000000004"/>
    <n v="43224.87"/>
    <n v="43224.87"/>
    <n v="6179.6140000000014"/>
    <x v="1"/>
  </r>
  <r>
    <s v="O000030"/>
    <d v="2023-05-20T00:00:00"/>
    <x v="122"/>
    <x v="122"/>
    <s v="P0132"/>
    <x v="70"/>
    <s v="S012"/>
    <x v="1"/>
    <n v="1"/>
    <n v="0.05"/>
    <s v="UPI"/>
    <n v="4869.55"/>
    <n v="4869.55"/>
    <n v="243.47750000000002"/>
    <n v="4626.0725000000002"/>
    <n v="3039.73"/>
    <n v="3039.73"/>
    <n v="1586.3425000000002"/>
    <x v="0"/>
  </r>
  <r>
    <s v="O000008"/>
    <d v="2023-05-22T00:00:00"/>
    <x v="123"/>
    <x v="123"/>
    <s v="P0016"/>
    <x v="38"/>
    <s v="S021"/>
    <x v="0"/>
    <n v="1"/>
    <n v="0"/>
    <s v="Cash"/>
    <n v="63665.16"/>
    <n v="63665.16"/>
    <n v="0"/>
    <n v="63665.16"/>
    <n v="52565.61"/>
    <n v="52565.61"/>
    <n v="11099.550000000003"/>
    <x v="1"/>
  </r>
  <r>
    <s v="O000553"/>
    <d v="2023-05-23T00:00:00"/>
    <x v="124"/>
    <x v="124"/>
    <s v="P0077"/>
    <x v="88"/>
    <s v="S023"/>
    <x v="1"/>
    <n v="2"/>
    <n v="0.15"/>
    <s v="Credit Card"/>
    <n v="6178.38"/>
    <n v="12356.76"/>
    <n v="1853.5139999999999"/>
    <n v="10503.246000000001"/>
    <n v="4740.8599999999997"/>
    <n v="9481.7199999999993"/>
    <n v="1021.5260000000017"/>
    <x v="2"/>
  </r>
  <r>
    <s v="O000011"/>
    <d v="2023-05-24T00:00:00"/>
    <x v="125"/>
    <x v="125"/>
    <s v="P0034"/>
    <x v="40"/>
    <s v="S020"/>
    <x v="3"/>
    <n v="3"/>
    <n v="0"/>
    <s v="UPI"/>
    <n v="70426.350000000006"/>
    <n v="211279.05000000002"/>
    <n v="0"/>
    <n v="211279.05000000002"/>
    <n v="41048.31"/>
    <n v="123144.93"/>
    <n v="88134.120000000024"/>
    <x v="1"/>
  </r>
  <r>
    <s v="O000305"/>
    <d v="2023-05-26T00:00:00"/>
    <x v="126"/>
    <x v="126"/>
    <s v="P0052"/>
    <x v="89"/>
    <s v="S025"/>
    <x v="2"/>
    <n v="4"/>
    <n v="0"/>
    <s v="UPI"/>
    <n v="4684.91"/>
    <n v="18739.64"/>
    <n v="0"/>
    <n v="18739.64"/>
    <n v="3005.28"/>
    <n v="12021.12"/>
    <n v="6718.5199999999986"/>
    <x v="3"/>
  </r>
  <r>
    <s v="O000391"/>
    <d v="2023-05-27T00:00:00"/>
    <x v="127"/>
    <x v="127"/>
    <s v="P0032"/>
    <x v="85"/>
    <s v="S016"/>
    <x v="0"/>
    <n v="4"/>
    <n v="0"/>
    <s v="UPI"/>
    <n v="18113.48"/>
    <n v="72453.919999999998"/>
    <n v="0"/>
    <n v="72453.919999999998"/>
    <n v="12531.14"/>
    <n v="50124.56"/>
    <n v="22329.360000000001"/>
    <x v="1"/>
  </r>
  <r>
    <s v="O000818"/>
    <d v="2023-05-27T00:00:00"/>
    <x v="128"/>
    <x v="128"/>
    <s v="P0150"/>
    <x v="66"/>
    <s v="S005"/>
    <x v="1"/>
    <n v="1"/>
    <n v="0"/>
    <s v="UPI"/>
    <n v="4199.75"/>
    <n v="4199.75"/>
    <n v="0"/>
    <n v="4199.75"/>
    <n v="2546.5700000000002"/>
    <n v="2546.5700000000002"/>
    <n v="1653.1799999999998"/>
    <x v="0"/>
  </r>
  <r>
    <s v="O000376"/>
    <d v="2023-05-28T00:00:00"/>
    <x v="129"/>
    <x v="129"/>
    <s v="P0047"/>
    <x v="47"/>
    <s v="S002"/>
    <x v="2"/>
    <n v="1"/>
    <n v="0"/>
    <s v="UPI"/>
    <n v="11987.07"/>
    <n v="11987.07"/>
    <n v="0"/>
    <n v="11987.07"/>
    <n v="8332.57"/>
    <n v="8332.57"/>
    <n v="3654.5"/>
    <x v="3"/>
  </r>
  <r>
    <s v="O000564"/>
    <d v="2023-05-28T00:00:00"/>
    <x v="130"/>
    <x v="130"/>
    <s v="P0097"/>
    <x v="90"/>
    <s v="S003"/>
    <x v="3"/>
    <n v="1"/>
    <n v="0.1"/>
    <s v="UPI"/>
    <n v="1140.1600000000001"/>
    <n v="1140.1600000000001"/>
    <n v="114.01600000000002"/>
    <n v="1026.144"/>
    <n v="763.74"/>
    <n v="763.74"/>
    <n v="262.404"/>
    <x v="4"/>
  </r>
  <r>
    <s v="O000066"/>
    <d v="2023-05-30T00:00:00"/>
    <x v="131"/>
    <x v="131"/>
    <s v="P0050"/>
    <x v="5"/>
    <s v="S008"/>
    <x v="1"/>
    <n v="3"/>
    <n v="0.05"/>
    <s v="Debit Card"/>
    <n v="14006.13"/>
    <n v="42018.39"/>
    <n v="2100.9195"/>
    <n v="39917.470499999996"/>
    <n v="9829.2800000000007"/>
    <n v="29487.840000000004"/>
    <n v="10429.630499999992"/>
    <x v="3"/>
  </r>
  <r>
    <s v="O000101"/>
    <d v="2023-05-30T00:00:00"/>
    <x v="132"/>
    <x v="132"/>
    <s v="P0011"/>
    <x v="73"/>
    <s v="S012"/>
    <x v="1"/>
    <n v="1"/>
    <n v="0"/>
    <s v="UPI"/>
    <n v="14902.07"/>
    <n v="14902.07"/>
    <n v="0"/>
    <n v="14902.07"/>
    <n v="9305.33"/>
    <n v="9305.33"/>
    <n v="5596.74"/>
    <x v="1"/>
  </r>
  <r>
    <s v="O000781"/>
    <d v="2023-05-31T00:00:00"/>
    <x v="133"/>
    <x v="133"/>
    <s v="P0021"/>
    <x v="45"/>
    <s v="S014"/>
    <x v="1"/>
    <n v="4"/>
    <n v="0"/>
    <s v="Credit Card"/>
    <n v="48777.16"/>
    <n v="195108.64"/>
    <n v="0"/>
    <n v="195108.64"/>
    <n v="29771.48"/>
    <n v="119085.92"/>
    <n v="76022.720000000016"/>
    <x v="1"/>
  </r>
  <r>
    <s v="O000819"/>
    <d v="2023-05-31T00:00:00"/>
    <x v="134"/>
    <x v="134"/>
    <s v="P0054"/>
    <x v="59"/>
    <s v="S002"/>
    <x v="2"/>
    <n v="1"/>
    <n v="0.05"/>
    <s v="UPI"/>
    <n v="17619.849999999999"/>
    <n v="17619.849999999999"/>
    <n v="880.99249999999995"/>
    <n v="16738.857499999998"/>
    <n v="13837.65"/>
    <n v="13837.65"/>
    <n v="2901.2074999999986"/>
    <x v="3"/>
  </r>
  <r>
    <s v="O000265"/>
    <d v="2023-06-01T00:00:00"/>
    <x v="135"/>
    <x v="135"/>
    <s v="P0031"/>
    <x v="91"/>
    <s v="S009"/>
    <x v="0"/>
    <n v="2"/>
    <n v="0.05"/>
    <s v="Credit Card"/>
    <n v="52596.38"/>
    <n v="105192.76"/>
    <n v="5259.6379999999999"/>
    <n v="99933.121999999988"/>
    <n v="36028.78"/>
    <n v="72057.56"/>
    <n v="27875.561999999991"/>
    <x v="1"/>
  </r>
  <r>
    <s v="O000937"/>
    <d v="2023-06-02T00:00:00"/>
    <x v="136"/>
    <x v="136"/>
    <s v="P0132"/>
    <x v="70"/>
    <s v="S002"/>
    <x v="2"/>
    <n v="1"/>
    <n v="0"/>
    <s v="UPI"/>
    <n v="4869.55"/>
    <n v="4869.55"/>
    <n v="0"/>
    <n v="4869.55"/>
    <n v="3039.73"/>
    <n v="3039.73"/>
    <n v="1829.8200000000002"/>
    <x v="0"/>
  </r>
  <r>
    <s v="O000138"/>
    <d v="2023-06-04T00:00:00"/>
    <x v="137"/>
    <x v="137"/>
    <s v="P0136"/>
    <x v="42"/>
    <s v="S008"/>
    <x v="1"/>
    <n v="3"/>
    <n v="0.05"/>
    <s v="Cash"/>
    <n v="1702.4"/>
    <n v="5107.2000000000007"/>
    <n v="255.36000000000004"/>
    <n v="4851.8400000000011"/>
    <n v="1284.8900000000001"/>
    <n v="3854.67"/>
    <n v="997.17000000000098"/>
    <x v="0"/>
  </r>
  <r>
    <s v="O000795"/>
    <d v="2023-06-06T00:00:00"/>
    <x v="136"/>
    <x v="136"/>
    <s v="P0124"/>
    <x v="68"/>
    <s v="S011"/>
    <x v="0"/>
    <n v="1"/>
    <n v="0"/>
    <s v="Debit Card"/>
    <n v="1841.85"/>
    <n v="1841.85"/>
    <n v="0"/>
    <n v="1841.85"/>
    <n v="1327.7"/>
    <n v="1327.7"/>
    <n v="514.14999999999986"/>
    <x v="0"/>
  </r>
  <r>
    <s v="O000992"/>
    <d v="2023-06-07T00:00:00"/>
    <x v="138"/>
    <x v="138"/>
    <s v="P0106"/>
    <x v="44"/>
    <s v="S005"/>
    <x v="1"/>
    <n v="5"/>
    <n v="0.05"/>
    <s v="Cash"/>
    <n v="817.37"/>
    <n v="4086.85"/>
    <n v="204.3425"/>
    <n v="3882.5074999999997"/>
    <n v="595.03"/>
    <n v="2975.1499999999996"/>
    <n v="907.35750000000007"/>
    <x v="4"/>
  </r>
  <r>
    <s v="O000938"/>
    <d v="2023-06-08T00:00:00"/>
    <x v="139"/>
    <x v="139"/>
    <s v="P0003"/>
    <x v="92"/>
    <s v="S015"/>
    <x v="3"/>
    <n v="3"/>
    <n v="0.1"/>
    <s v="UPI"/>
    <n v="14374.7"/>
    <n v="43124.100000000006"/>
    <n v="4312.4100000000008"/>
    <n v="38811.69"/>
    <n v="11335.72"/>
    <n v="34007.159999999996"/>
    <n v="4804.5300000000061"/>
    <x v="1"/>
  </r>
  <r>
    <s v="O000743"/>
    <d v="2023-06-09T00:00:00"/>
    <x v="140"/>
    <x v="140"/>
    <s v="P0059"/>
    <x v="13"/>
    <s v="S025"/>
    <x v="2"/>
    <n v="1"/>
    <n v="0.1"/>
    <s v="Debit Card"/>
    <n v="24743.52"/>
    <n v="24743.52"/>
    <n v="2474.3520000000003"/>
    <n v="22269.168000000001"/>
    <n v="16620.189999999999"/>
    <n v="16620.189999999999"/>
    <n v="5648.9780000000028"/>
    <x v="3"/>
  </r>
  <r>
    <s v="O000239"/>
    <d v="2023-06-10T00:00:00"/>
    <x v="141"/>
    <x v="141"/>
    <s v="P0065"/>
    <x v="83"/>
    <s v="S005"/>
    <x v="1"/>
    <n v="1"/>
    <n v="0"/>
    <s v="UPI"/>
    <n v="3429.74"/>
    <n v="3429.74"/>
    <n v="0"/>
    <n v="3429.74"/>
    <n v="2172.39"/>
    <n v="2172.39"/>
    <n v="1257.3499999999999"/>
    <x v="3"/>
  </r>
  <r>
    <s v="O000253"/>
    <d v="2023-06-10T00:00:00"/>
    <x v="142"/>
    <x v="142"/>
    <s v="P0125"/>
    <x v="23"/>
    <s v="S020"/>
    <x v="3"/>
    <n v="1"/>
    <n v="0"/>
    <s v="Debit Card"/>
    <n v="1783.65"/>
    <n v="1783.65"/>
    <n v="0"/>
    <n v="1783.65"/>
    <n v="1128.95"/>
    <n v="1128.95"/>
    <n v="654.70000000000005"/>
    <x v="0"/>
  </r>
  <r>
    <s v="O000633"/>
    <d v="2023-06-10T00:00:00"/>
    <x v="143"/>
    <x v="143"/>
    <s v="P0090"/>
    <x v="93"/>
    <s v="S014"/>
    <x v="1"/>
    <n v="1"/>
    <n v="0"/>
    <s v="Credit Card"/>
    <n v="6708.36"/>
    <n v="6708.36"/>
    <n v="0"/>
    <n v="6708.36"/>
    <n v="5031.45"/>
    <n v="5031.45"/>
    <n v="1676.9099999999999"/>
    <x v="2"/>
  </r>
  <r>
    <s v="O000068"/>
    <d v="2023-06-12T00:00:00"/>
    <x v="144"/>
    <x v="144"/>
    <s v="P0125"/>
    <x v="23"/>
    <s v="S002"/>
    <x v="2"/>
    <n v="1"/>
    <n v="0"/>
    <s v="Credit Card"/>
    <n v="1783.65"/>
    <n v="1783.65"/>
    <n v="0"/>
    <n v="1783.65"/>
    <n v="1128.95"/>
    <n v="1128.95"/>
    <n v="654.70000000000005"/>
    <x v="0"/>
  </r>
  <r>
    <s v="O000928"/>
    <d v="2023-06-12T00:00:00"/>
    <x v="145"/>
    <x v="145"/>
    <s v="P0148"/>
    <x v="94"/>
    <s v="S007"/>
    <x v="0"/>
    <n v="3"/>
    <n v="0.05"/>
    <s v="UPI"/>
    <n v="3430.41"/>
    <n v="10291.23"/>
    <n v="514.56150000000002"/>
    <n v="9776.6684999999998"/>
    <n v="2912.56"/>
    <n v="8737.68"/>
    <n v="1038.9884999999995"/>
    <x v="0"/>
  </r>
  <r>
    <s v="O000933"/>
    <d v="2023-06-12T00:00:00"/>
    <x v="146"/>
    <x v="146"/>
    <s v="P0044"/>
    <x v="30"/>
    <s v="S017"/>
    <x v="0"/>
    <n v="4"/>
    <n v="0.05"/>
    <s v="UPI"/>
    <n v="20212.79"/>
    <n v="80851.16"/>
    <n v="4042.5580000000004"/>
    <n v="76808.601999999999"/>
    <n v="16868.88"/>
    <n v="67475.520000000004"/>
    <n v="9333.0819999999949"/>
    <x v="3"/>
  </r>
  <r>
    <s v="O000942"/>
    <d v="2023-06-12T00:00:00"/>
    <x v="147"/>
    <x v="147"/>
    <s v="P0030"/>
    <x v="95"/>
    <s v="S024"/>
    <x v="0"/>
    <n v="1"/>
    <n v="0"/>
    <s v="UPI"/>
    <n v="76019.78"/>
    <n v="76019.78"/>
    <n v="0"/>
    <n v="76019.78"/>
    <n v="53305.15"/>
    <n v="53305.15"/>
    <n v="22714.629999999997"/>
    <x v="1"/>
  </r>
  <r>
    <s v="O000310"/>
    <d v="2023-06-13T00:00:00"/>
    <x v="148"/>
    <x v="148"/>
    <s v="P0084"/>
    <x v="96"/>
    <s v="S004"/>
    <x v="3"/>
    <n v="1"/>
    <n v="0"/>
    <s v="UPI"/>
    <n v="1332.31"/>
    <n v="1332.31"/>
    <n v="0"/>
    <n v="1332.31"/>
    <n v="957.87"/>
    <n v="957.87"/>
    <n v="374.43999999999994"/>
    <x v="2"/>
  </r>
  <r>
    <s v="O000234"/>
    <d v="2023-06-16T00:00:00"/>
    <x v="85"/>
    <x v="85"/>
    <s v="P0038"/>
    <x v="97"/>
    <s v="S021"/>
    <x v="0"/>
    <n v="2"/>
    <n v="0.1"/>
    <s v="Credit Card"/>
    <n v="22362.17"/>
    <n v="44724.34"/>
    <n v="4472.4340000000002"/>
    <n v="40251.905999999995"/>
    <n v="12317.6"/>
    <n v="24635.200000000001"/>
    <n v="15616.705999999995"/>
    <x v="1"/>
  </r>
  <r>
    <s v="O000531"/>
    <d v="2023-06-16T00:00:00"/>
    <x v="149"/>
    <x v="149"/>
    <s v="P0108"/>
    <x v="24"/>
    <s v="S023"/>
    <x v="1"/>
    <n v="2"/>
    <n v="0.05"/>
    <s v="Credit Card"/>
    <n v="1123.58"/>
    <n v="2247.16"/>
    <n v="112.358"/>
    <n v="2134.8019999999997"/>
    <n v="665.75"/>
    <n v="1331.5"/>
    <n v="803.30199999999968"/>
    <x v="4"/>
  </r>
  <r>
    <s v="O000806"/>
    <d v="2023-06-16T00:00:00"/>
    <x v="150"/>
    <x v="150"/>
    <s v="P0085"/>
    <x v="9"/>
    <s v="S013"/>
    <x v="0"/>
    <n v="1"/>
    <n v="0.05"/>
    <s v="UPI"/>
    <n v="508.67"/>
    <n v="508.67"/>
    <n v="25.433500000000002"/>
    <n v="483.23650000000004"/>
    <n v="386.39"/>
    <n v="386.39"/>
    <n v="96.846500000000049"/>
    <x v="2"/>
  </r>
  <r>
    <s v="O000167"/>
    <d v="2023-06-17T00:00:00"/>
    <x v="151"/>
    <x v="151"/>
    <s v="P0044"/>
    <x v="30"/>
    <s v="S003"/>
    <x v="3"/>
    <n v="1"/>
    <n v="0.1"/>
    <s v="UPI"/>
    <n v="20212.79"/>
    <n v="20212.79"/>
    <n v="2021.2790000000002"/>
    <n v="18191.511000000002"/>
    <n v="16868.88"/>
    <n v="16868.88"/>
    <n v="1322.6310000000012"/>
    <x v="3"/>
  </r>
  <r>
    <s v="O000889"/>
    <d v="2023-06-17T00:00:00"/>
    <x v="152"/>
    <x v="152"/>
    <s v="P0031"/>
    <x v="91"/>
    <s v="S020"/>
    <x v="3"/>
    <n v="1"/>
    <n v="0"/>
    <s v="UPI"/>
    <n v="52596.38"/>
    <n v="52596.38"/>
    <n v="0"/>
    <n v="52596.38"/>
    <n v="36028.78"/>
    <n v="36028.78"/>
    <n v="16567.599999999999"/>
    <x v="1"/>
  </r>
  <r>
    <s v="O000181"/>
    <d v="2023-06-18T00:00:00"/>
    <x v="153"/>
    <x v="153"/>
    <s v="P0033"/>
    <x v="34"/>
    <s v="S010"/>
    <x v="1"/>
    <n v="1"/>
    <n v="0.1"/>
    <s v="Debit Card"/>
    <n v="77394.210000000006"/>
    <n v="77394.210000000006"/>
    <n v="7739.4210000000012"/>
    <n v="69654.789000000004"/>
    <n v="49038.67"/>
    <n v="49038.67"/>
    <n v="20616.119000000006"/>
    <x v="1"/>
  </r>
  <r>
    <s v="O000935"/>
    <d v="2023-06-20T00:00:00"/>
    <x v="154"/>
    <x v="154"/>
    <s v="P0076"/>
    <x v="25"/>
    <s v="S001"/>
    <x v="2"/>
    <n v="1"/>
    <n v="0.05"/>
    <s v="Credit Card"/>
    <n v="3661.03"/>
    <n v="3661.03"/>
    <n v="183.05150000000003"/>
    <n v="3477.9785000000002"/>
    <n v="2588.56"/>
    <n v="2588.56"/>
    <n v="889.41850000000022"/>
    <x v="2"/>
  </r>
  <r>
    <s v="O000953"/>
    <d v="2023-06-20T00:00:00"/>
    <x v="155"/>
    <x v="155"/>
    <s v="P0143"/>
    <x v="3"/>
    <s v="S023"/>
    <x v="1"/>
    <n v="3"/>
    <n v="0"/>
    <s v="Net Banking"/>
    <n v="4198.8999999999996"/>
    <n v="12596.699999999999"/>
    <n v="0"/>
    <n v="12596.699999999999"/>
    <n v="2920.65"/>
    <n v="8761.9500000000007"/>
    <n v="3834.7499999999982"/>
    <x v="0"/>
  </r>
  <r>
    <s v="O000014"/>
    <d v="2023-06-22T00:00:00"/>
    <x v="156"/>
    <x v="156"/>
    <s v="P0023"/>
    <x v="98"/>
    <s v="S014"/>
    <x v="1"/>
    <n v="4"/>
    <n v="0"/>
    <s v="Net Banking"/>
    <n v="36481.47"/>
    <n v="145925.88"/>
    <n v="0"/>
    <n v="145925.88"/>
    <n v="30666.16"/>
    <n v="122664.64"/>
    <n v="23261.240000000005"/>
    <x v="1"/>
  </r>
  <r>
    <s v="O000130"/>
    <d v="2023-06-22T00:00:00"/>
    <x v="157"/>
    <x v="157"/>
    <s v="P0027"/>
    <x v="81"/>
    <s v="S015"/>
    <x v="3"/>
    <n v="1"/>
    <n v="0.1"/>
    <s v="UPI"/>
    <n v="76661.149999999994"/>
    <n v="76661.149999999994"/>
    <n v="7666.1149999999998"/>
    <n v="68995.034999999989"/>
    <n v="44142.48"/>
    <n v="44142.48"/>
    <n v="24852.554999999986"/>
    <x v="1"/>
  </r>
  <r>
    <s v="O000736"/>
    <d v="2023-06-24T00:00:00"/>
    <x v="158"/>
    <x v="158"/>
    <s v="P0138"/>
    <x v="99"/>
    <s v="S013"/>
    <x v="0"/>
    <n v="2"/>
    <n v="0"/>
    <s v="Credit Card"/>
    <n v="3897.08"/>
    <n v="7794.16"/>
    <n v="0"/>
    <n v="7794.16"/>
    <n v="3214.46"/>
    <n v="6428.92"/>
    <n v="1365.2399999999998"/>
    <x v="0"/>
  </r>
  <r>
    <s v="O000191"/>
    <d v="2023-06-27T00:00:00"/>
    <x v="159"/>
    <x v="159"/>
    <s v="P0078"/>
    <x v="100"/>
    <s v="S008"/>
    <x v="1"/>
    <n v="1"/>
    <n v="0.15"/>
    <s v="UPI"/>
    <n v="909.72"/>
    <n v="909.72"/>
    <n v="136.458"/>
    <n v="773.26200000000006"/>
    <n v="546.83000000000004"/>
    <n v="546.83000000000004"/>
    <n v="226.43200000000002"/>
    <x v="2"/>
  </r>
  <r>
    <s v="O000474"/>
    <d v="2023-07-02T00:00:00"/>
    <x v="160"/>
    <x v="160"/>
    <s v="P0071"/>
    <x v="67"/>
    <s v="S022"/>
    <x v="2"/>
    <n v="1"/>
    <n v="0.1"/>
    <s v="UPI"/>
    <n v="2211.5500000000002"/>
    <n v="2211.5500000000002"/>
    <n v="221.15500000000003"/>
    <n v="1990.3950000000002"/>
    <n v="1820.39"/>
    <n v="1820.39"/>
    <n v="170.00500000000011"/>
    <x v="2"/>
  </r>
  <r>
    <s v="O000356"/>
    <d v="2023-07-04T00:00:00"/>
    <x v="161"/>
    <x v="161"/>
    <s v="P0062"/>
    <x v="101"/>
    <s v="S009"/>
    <x v="0"/>
    <n v="3"/>
    <n v="0"/>
    <s v="Cash"/>
    <n v="26039.41"/>
    <n v="78118.23"/>
    <n v="0"/>
    <n v="78118.23"/>
    <n v="20592.23"/>
    <n v="61776.69"/>
    <n v="16341.539999999994"/>
    <x v="3"/>
  </r>
  <r>
    <s v="O000241"/>
    <d v="2023-07-05T00:00:00"/>
    <x v="162"/>
    <x v="162"/>
    <s v="P0129"/>
    <x v="58"/>
    <s v="S014"/>
    <x v="1"/>
    <n v="1"/>
    <n v="0"/>
    <s v="Cash"/>
    <n v="3285.82"/>
    <n v="3285.82"/>
    <n v="0"/>
    <n v="3285.82"/>
    <n v="2256.9699999999998"/>
    <n v="2256.9699999999998"/>
    <n v="1028.8500000000004"/>
    <x v="0"/>
  </r>
  <r>
    <s v="O000273"/>
    <d v="2023-07-05T00:00:00"/>
    <x v="163"/>
    <x v="163"/>
    <s v="P0095"/>
    <x v="102"/>
    <s v="S020"/>
    <x v="3"/>
    <n v="1"/>
    <n v="0.05"/>
    <s v="Debit Card"/>
    <n v="587.35"/>
    <n v="587.35"/>
    <n v="29.367500000000003"/>
    <n v="557.98250000000007"/>
    <n v="438.09"/>
    <n v="438.09"/>
    <n v="119.8925000000001"/>
    <x v="4"/>
  </r>
  <r>
    <s v="O000291"/>
    <d v="2023-07-05T00:00:00"/>
    <x v="164"/>
    <x v="164"/>
    <s v="P0076"/>
    <x v="25"/>
    <s v="S013"/>
    <x v="0"/>
    <n v="1"/>
    <n v="0.1"/>
    <s v="Credit Card"/>
    <n v="3661.03"/>
    <n v="3661.03"/>
    <n v="366.10300000000007"/>
    <n v="3294.9270000000001"/>
    <n v="2588.56"/>
    <n v="2588.56"/>
    <n v="706.36700000000019"/>
    <x v="2"/>
  </r>
  <r>
    <s v="O000746"/>
    <d v="2023-07-05T00:00:00"/>
    <x v="165"/>
    <x v="165"/>
    <s v="P0052"/>
    <x v="89"/>
    <s v="S007"/>
    <x v="0"/>
    <n v="1"/>
    <n v="0"/>
    <s v="Cash"/>
    <n v="4684.91"/>
    <n v="4684.91"/>
    <n v="0"/>
    <n v="4684.91"/>
    <n v="3005.28"/>
    <n v="3005.28"/>
    <n v="1679.6299999999997"/>
    <x v="3"/>
  </r>
  <r>
    <s v="O000770"/>
    <d v="2023-07-05T00:00:00"/>
    <x v="166"/>
    <x v="166"/>
    <s v="P0127"/>
    <x v="103"/>
    <s v="S013"/>
    <x v="0"/>
    <n v="3"/>
    <n v="0"/>
    <s v="Credit Card"/>
    <n v="2328.63"/>
    <n v="6985.89"/>
    <n v="0"/>
    <n v="6985.89"/>
    <n v="1946.99"/>
    <n v="5840.97"/>
    <n v="1144.92"/>
    <x v="0"/>
  </r>
  <r>
    <s v="O000945"/>
    <d v="2023-07-08T00:00:00"/>
    <x v="167"/>
    <x v="167"/>
    <s v="P0116"/>
    <x v="17"/>
    <s v="S012"/>
    <x v="1"/>
    <n v="1"/>
    <n v="0"/>
    <s v="Cash"/>
    <n v="1210.1500000000001"/>
    <n v="1210.1500000000001"/>
    <n v="0"/>
    <n v="1210.1500000000001"/>
    <n v="697.43"/>
    <n v="697.43"/>
    <n v="512.72000000000014"/>
    <x v="4"/>
  </r>
  <r>
    <s v="O000880"/>
    <d v="2023-07-09T00:00:00"/>
    <x v="168"/>
    <x v="168"/>
    <s v="P0069"/>
    <x v="36"/>
    <s v="S010"/>
    <x v="1"/>
    <n v="4"/>
    <n v="0.2"/>
    <s v="Net Banking"/>
    <n v="7177.2"/>
    <n v="28708.799999999999"/>
    <n v="5741.76"/>
    <n v="22967.040000000001"/>
    <n v="4558.34"/>
    <n v="18233.36"/>
    <n v="4733.68"/>
    <x v="2"/>
  </r>
  <r>
    <s v="O000562"/>
    <d v="2023-07-11T00:00:00"/>
    <x v="169"/>
    <x v="169"/>
    <s v="P0015"/>
    <x v="19"/>
    <s v="S022"/>
    <x v="2"/>
    <n v="1"/>
    <n v="0.1"/>
    <s v="Debit Card"/>
    <n v="61606.59"/>
    <n v="61606.59"/>
    <n v="6160.6589999999997"/>
    <n v="55445.930999999997"/>
    <n v="36366.370000000003"/>
    <n v="36366.370000000003"/>
    <n v="19079.560999999994"/>
    <x v="1"/>
  </r>
  <r>
    <s v="O000842"/>
    <d v="2023-07-11T00:00:00"/>
    <x v="170"/>
    <x v="170"/>
    <s v="P0086"/>
    <x v="20"/>
    <s v="S011"/>
    <x v="0"/>
    <n v="2"/>
    <n v="0"/>
    <s v="Credit Card"/>
    <n v="2008.33"/>
    <n v="4016.66"/>
    <n v="0"/>
    <n v="4016.66"/>
    <n v="1688.91"/>
    <n v="3377.82"/>
    <n v="638.83999999999969"/>
    <x v="2"/>
  </r>
  <r>
    <s v="O000111"/>
    <d v="2023-07-13T00:00:00"/>
    <x v="171"/>
    <x v="171"/>
    <s v="P0109"/>
    <x v="104"/>
    <s v="S010"/>
    <x v="1"/>
    <n v="1"/>
    <n v="0.05"/>
    <s v="Cash"/>
    <n v="675.13"/>
    <n v="675.13"/>
    <n v="33.756500000000003"/>
    <n v="641.37350000000004"/>
    <n v="510.45"/>
    <n v="510.45"/>
    <n v="130.92350000000005"/>
    <x v="4"/>
  </r>
  <r>
    <s v="O000921"/>
    <d v="2023-07-13T00:00:00"/>
    <x v="172"/>
    <x v="172"/>
    <s v="P0112"/>
    <x v="43"/>
    <s v="S012"/>
    <x v="1"/>
    <n v="2"/>
    <n v="0"/>
    <s v="Net Banking"/>
    <n v="985.76"/>
    <n v="1971.52"/>
    <n v="0"/>
    <n v="1971.52"/>
    <n v="669.86"/>
    <n v="1339.72"/>
    <n v="631.79999999999995"/>
    <x v="4"/>
  </r>
  <r>
    <s v="O000319"/>
    <d v="2023-07-14T00:00:00"/>
    <x v="173"/>
    <x v="173"/>
    <s v="P0080"/>
    <x v="105"/>
    <s v="S011"/>
    <x v="0"/>
    <n v="1"/>
    <n v="0.1"/>
    <s v="Debit Card"/>
    <n v="1227.0899999999999"/>
    <n v="1227.0899999999999"/>
    <n v="122.709"/>
    <n v="1104.3809999999999"/>
    <n v="945.11"/>
    <n v="945.11"/>
    <n v="159.27099999999984"/>
    <x v="2"/>
  </r>
  <r>
    <s v="O000674"/>
    <d v="2023-07-16T00:00:00"/>
    <x v="174"/>
    <x v="174"/>
    <s v="P0014"/>
    <x v="106"/>
    <s v="S004"/>
    <x v="3"/>
    <n v="1"/>
    <n v="0"/>
    <s v="UPI"/>
    <n v="9246.34"/>
    <n v="9246.34"/>
    <n v="0"/>
    <n v="9246.34"/>
    <n v="7613.27"/>
    <n v="7613.27"/>
    <n v="1633.0699999999997"/>
    <x v="1"/>
  </r>
  <r>
    <s v="O000831"/>
    <d v="2023-07-16T00:00:00"/>
    <x v="175"/>
    <x v="175"/>
    <s v="P0054"/>
    <x v="59"/>
    <s v="S015"/>
    <x v="3"/>
    <n v="1"/>
    <n v="0"/>
    <s v="Credit Card"/>
    <n v="17619.849999999999"/>
    <n v="17619.849999999999"/>
    <n v="0"/>
    <n v="17619.849999999999"/>
    <n v="13837.65"/>
    <n v="13837.65"/>
    <n v="3782.1999999999989"/>
    <x v="3"/>
  </r>
  <r>
    <s v="O000001"/>
    <d v="2023-07-17T00:00:00"/>
    <x v="176"/>
    <x v="176"/>
    <s v="P0143"/>
    <x v="3"/>
    <s v="S006"/>
    <x v="3"/>
    <n v="1"/>
    <n v="0"/>
    <s v="Debit Card"/>
    <n v="4198.8999999999996"/>
    <n v="4198.8999999999996"/>
    <n v="0"/>
    <n v="4198.8999999999996"/>
    <n v="2920.65"/>
    <n v="2920.65"/>
    <n v="1278.2499999999995"/>
    <x v="0"/>
  </r>
  <r>
    <s v="O000665"/>
    <d v="2023-07-19T00:00:00"/>
    <x v="177"/>
    <x v="177"/>
    <s v="P0010"/>
    <x v="16"/>
    <s v="S017"/>
    <x v="0"/>
    <n v="2"/>
    <n v="0"/>
    <s v="UPI"/>
    <n v="4404.4399999999996"/>
    <n v="8808.8799999999992"/>
    <n v="0"/>
    <n v="8808.8799999999992"/>
    <n v="3239.84"/>
    <n v="6479.68"/>
    <n v="2329.1999999999989"/>
    <x v="1"/>
  </r>
  <r>
    <s v="O000757"/>
    <d v="2023-07-20T00:00:00"/>
    <x v="178"/>
    <x v="178"/>
    <s v="P0102"/>
    <x v="37"/>
    <s v="S014"/>
    <x v="1"/>
    <n v="1"/>
    <n v="0.05"/>
    <s v="UPI"/>
    <n v="1282.31"/>
    <n v="1282.31"/>
    <n v="64.115499999999997"/>
    <n v="1218.1945000000001"/>
    <n v="759"/>
    <n v="759"/>
    <n v="459.19450000000006"/>
    <x v="4"/>
  </r>
  <r>
    <s v="O000402"/>
    <d v="2023-07-22T00:00:00"/>
    <x v="179"/>
    <x v="179"/>
    <s v="P0051"/>
    <x v="107"/>
    <s v="S013"/>
    <x v="0"/>
    <n v="1"/>
    <n v="0"/>
    <s v="Credit Card"/>
    <n v="23736.31"/>
    <n v="23736.31"/>
    <n v="0"/>
    <n v="23736.31"/>
    <n v="13874.86"/>
    <n v="13874.86"/>
    <n v="9861.4500000000007"/>
    <x v="3"/>
  </r>
  <r>
    <s v="O000853"/>
    <d v="2023-07-22T00:00:00"/>
    <x v="180"/>
    <x v="180"/>
    <s v="P0107"/>
    <x v="63"/>
    <s v="S018"/>
    <x v="0"/>
    <n v="3"/>
    <n v="0"/>
    <s v="UPI"/>
    <n v="1494.3"/>
    <n v="4482.8999999999996"/>
    <n v="0"/>
    <n v="4482.8999999999996"/>
    <n v="1031.67"/>
    <n v="3095.01"/>
    <n v="1387.8899999999994"/>
    <x v="4"/>
  </r>
  <r>
    <s v="O000162"/>
    <d v="2023-07-24T00:00:00"/>
    <x v="181"/>
    <x v="181"/>
    <s v="P0095"/>
    <x v="102"/>
    <s v="S019"/>
    <x v="0"/>
    <n v="1"/>
    <n v="0"/>
    <s v="Debit Card"/>
    <n v="587.35"/>
    <n v="587.35"/>
    <n v="0"/>
    <n v="587.35"/>
    <n v="438.09"/>
    <n v="438.09"/>
    <n v="149.26000000000005"/>
    <x v="4"/>
  </r>
  <r>
    <s v="O000054"/>
    <d v="2023-07-25T00:00:00"/>
    <x v="182"/>
    <x v="182"/>
    <s v="P0077"/>
    <x v="88"/>
    <s v="S020"/>
    <x v="3"/>
    <n v="2"/>
    <n v="0.15"/>
    <s v="UPI"/>
    <n v="6178.38"/>
    <n v="12356.76"/>
    <n v="1853.5139999999999"/>
    <n v="10503.246000000001"/>
    <n v="4740.8599999999997"/>
    <n v="9481.7199999999993"/>
    <n v="1021.5260000000017"/>
    <x v="2"/>
  </r>
  <r>
    <s v="O000279"/>
    <d v="2023-07-25T00:00:00"/>
    <x v="183"/>
    <x v="183"/>
    <s v="P0018"/>
    <x v="62"/>
    <s v="S006"/>
    <x v="3"/>
    <n v="1"/>
    <n v="0.1"/>
    <s v="Credit Card"/>
    <n v="54876.34"/>
    <n v="54876.34"/>
    <n v="5487.634"/>
    <n v="49388.705999999998"/>
    <n v="41521.22"/>
    <n v="41521.22"/>
    <n v="7867.4859999999971"/>
    <x v="1"/>
  </r>
  <r>
    <s v="O000496"/>
    <d v="2023-07-25T00:00:00"/>
    <x v="184"/>
    <x v="184"/>
    <s v="P0070"/>
    <x v="4"/>
    <s v="S012"/>
    <x v="1"/>
    <n v="1"/>
    <n v="0.15"/>
    <s v="UPI"/>
    <n v="4654.63"/>
    <n v="4654.63"/>
    <n v="698.19449999999995"/>
    <n v="3956.4355"/>
    <n v="2675.18"/>
    <n v="2675.18"/>
    <n v="1281.2555000000002"/>
    <x v="2"/>
  </r>
  <r>
    <s v="O000835"/>
    <d v="2023-07-27T00:00:00"/>
    <x v="185"/>
    <x v="185"/>
    <s v="P0032"/>
    <x v="85"/>
    <s v="S025"/>
    <x v="2"/>
    <n v="1"/>
    <n v="0.1"/>
    <s v="Cash"/>
    <n v="18113.48"/>
    <n v="18113.48"/>
    <n v="1811.348"/>
    <n v="16302.132"/>
    <n v="12531.14"/>
    <n v="12531.14"/>
    <n v="3770.9920000000002"/>
    <x v="1"/>
  </r>
  <r>
    <s v="O000710"/>
    <d v="2023-07-28T00:00:00"/>
    <x v="186"/>
    <x v="186"/>
    <s v="P0082"/>
    <x v="61"/>
    <s v="S022"/>
    <x v="2"/>
    <n v="4"/>
    <n v="0"/>
    <s v="Credit Card"/>
    <n v="5613.98"/>
    <n v="22455.919999999998"/>
    <n v="0"/>
    <n v="22455.919999999998"/>
    <n v="3377.41"/>
    <n v="13509.64"/>
    <n v="8946.2799999999988"/>
    <x v="2"/>
  </r>
  <r>
    <s v="O000189"/>
    <d v="2023-07-29T00:00:00"/>
    <x v="187"/>
    <x v="187"/>
    <s v="P0017"/>
    <x v="69"/>
    <s v="S016"/>
    <x v="0"/>
    <n v="1"/>
    <n v="0.05"/>
    <s v="UPI"/>
    <n v="61469.2"/>
    <n v="61469.2"/>
    <n v="3073.46"/>
    <n v="58395.74"/>
    <n v="39781.99"/>
    <n v="39781.99"/>
    <n v="18613.75"/>
    <x v="1"/>
  </r>
  <r>
    <s v="O000323"/>
    <d v="2023-07-30T00:00:00"/>
    <x v="188"/>
    <x v="188"/>
    <s v="P0029"/>
    <x v="2"/>
    <s v="S011"/>
    <x v="0"/>
    <n v="2"/>
    <n v="0.05"/>
    <s v="Cash"/>
    <n v="51647.41"/>
    <n v="103294.82"/>
    <n v="5164.7410000000009"/>
    <n v="98130.079000000012"/>
    <n v="43564.65"/>
    <n v="87129.3"/>
    <n v="11000.77900000001"/>
    <x v="1"/>
  </r>
  <r>
    <s v="O000979"/>
    <d v="2023-07-30T00:00:00"/>
    <x v="189"/>
    <x v="189"/>
    <s v="P0110"/>
    <x v="18"/>
    <s v="S016"/>
    <x v="0"/>
    <n v="1"/>
    <n v="0"/>
    <s v="Credit Card"/>
    <n v="1053.9000000000001"/>
    <n v="1053.9000000000001"/>
    <n v="0"/>
    <n v="1053.9000000000001"/>
    <n v="710.59"/>
    <n v="710.59"/>
    <n v="343.31000000000006"/>
    <x v="4"/>
  </r>
  <r>
    <s v="O000163"/>
    <d v="2023-07-31T00:00:00"/>
    <x v="190"/>
    <x v="190"/>
    <s v="P0002"/>
    <x v="35"/>
    <s v="S025"/>
    <x v="2"/>
    <n v="1"/>
    <n v="0"/>
    <s v="Credit Card"/>
    <n v="75177.759999999995"/>
    <n v="75177.759999999995"/>
    <n v="0"/>
    <n v="75177.759999999995"/>
    <n v="51831.839999999997"/>
    <n v="51831.839999999997"/>
    <n v="23345.919999999998"/>
    <x v="1"/>
  </r>
  <r>
    <s v="O000361"/>
    <d v="2023-08-02T00:00:00"/>
    <x v="191"/>
    <x v="191"/>
    <s v="P0001"/>
    <x v="84"/>
    <s v="S017"/>
    <x v="0"/>
    <n v="1"/>
    <n v="0.05"/>
    <s v="UPI"/>
    <n v="69234.210000000006"/>
    <n v="69234.210000000006"/>
    <n v="3461.7105000000006"/>
    <n v="65772.499500000005"/>
    <n v="56481.05"/>
    <n v="56481.05"/>
    <n v="9291.4495000000024"/>
    <x v="1"/>
  </r>
  <r>
    <s v="O000787"/>
    <d v="2023-08-02T00:00:00"/>
    <x v="192"/>
    <x v="192"/>
    <s v="P0058"/>
    <x v="52"/>
    <s v="S021"/>
    <x v="0"/>
    <n v="2"/>
    <n v="0"/>
    <s v="Debit Card"/>
    <n v="27105.29"/>
    <n v="54210.58"/>
    <n v="0"/>
    <n v="54210.58"/>
    <n v="17092.599999999999"/>
    <n v="34185.199999999997"/>
    <n v="20025.380000000005"/>
    <x v="3"/>
  </r>
  <r>
    <s v="O000683"/>
    <d v="2023-08-03T00:00:00"/>
    <x v="193"/>
    <x v="193"/>
    <s v="P0048"/>
    <x v="48"/>
    <s v="S014"/>
    <x v="1"/>
    <n v="1"/>
    <n v="0"/>
    <s v="Debit Card"/>
    <n v="29675.72"/>
    <n v="29675.72"/>
    <n v="0"/>
    <n v="29675.72"/>
    <n v="17695.330000000002"/>
    <n v="17695.330000000002"/>
    <n v="11980.39"/>
    <x v="3"/>
  </r>
  <r>
    <s v="O000072"/>
    <d v="2023-08-04T00:00:00"/>
    <x v="194"/>
    <x v="194"/>
    <s v="P0149"/>
    <x v="86"/>
    <s v="S021"/>
    <x v="0"/>
    <n v="5"/>
    <n v="0"/>
    <s v="Net Banking"/>
    <n v="4294.7"/>
    <n v="21473.5"/>
    <n v="0"/>
    <n v="21473.5"/>
    <n v="3317.06"/>
    <n v="16585.3"/>
    <n v="4888.2000000000007"/>
    <x v="0"/>
  </r>
  <r>
    <s v="O000711"/>
    <d v="2023-08-04T00:00:00"/>
    <x v="195"/>
    <x v="195"/>
    <s v="P0104"/>
    <x v="6"/>
    <s v="S009"/>
    <x v="0"/>
    <n v="1"/>
    <n v="0"/>
    <s v="UPI"/>
    <n v="152.38"/>
    <n v="152.38"/>
    <n v="0"/>
    <n v="152.38"/>
    <n v="100.44"/>
    <n v="100.44"/>
    <n v="51.94"/>
    <x v="4"/>
  </r>
  <r>
    <s v="O000388"/>
    <d v="2023-08-05T00:00:00"/>
    <x v="196"/>
    <x v="196"/>
    <s v="P0150"/>
    <x v="66"/>
    <s v="S001"/>
    <x v="2"/>
    <n v="3"/>
    <n v="0"/>
    <s v="Credit Card"/>
    <n v="4199.75"/>
    <n v="12599.25"/>
    <n v="0"/>
    <n v="12599.25"/>
    <n v="2546.5700000000002"/>
    <n v="7639.7100000000009"/>
    <n v="4959.5399999999991"/>
    <x v="0"/>
  </r>
  <r>
    <s v="O000523"/>
    <d v="2023-08-07T00:00:00"/>
    <x v="197"/>
    <x v="197"/>
    <s v="P0134"/>
    <x v="108"/>
    <s v="S017"/>
    <x v="0"/>
    <n v="3"/>
    <n v="0"/>
    <s v="UPI"/>
    <n v="3581.9"/>
    <n v="10745.7"/>
    <n v="0"/>
    <n v="10745.7"/>
    <n v="2770.12"/>
    <n v="8310.36"/>
    <n v="2435.34"/>
    <x v="0"/>
  </r>
  <r>
    <s v="O000868"/>
    <d v="2023-08-07T00:00:00"/>
    <x v="198"/>
    <x v="198"/>
    <s v="P0099"/>
    <x v="46"/>
    <s v="S012"/>
    <x v="1"/>
    <n v="1"/>
    <n v="0"/>
    <s v="UPI"/>
    <n v="631.26"/>
    <n v="631.26"/>
    <n v="0"/>
    <n v="631.26"/>
    <n v="394.86"/>
    <n v="394.86"/>
    <n v="236.39999999999998"/>
    <x v="4"/>
  </r>
  <r>
    <s v="O000962"/>
    <d v="2023-08-12T00:00:00"/>
    <x v="199"/>
    <x v="199"/>
    <s v="P0030"/>
    <x v="95"/>
    <s v="S010"/>
    <x v="1"/>
    <n v="2"/>
    <n v="0"/>
    <s v="UPI"/>
    <n v="76019.78"/>
    <n v="152039.56"/>
    <n v="0"/>
    <n v="152039.56"/>
    <n v="53305.15"/>
    <n v="106610.3"/>
    <n v="45429.259999999995"/>
    <x v="1"/>
  </r>
  <r>
    <s v="O000752"/>
    <d v="2023-08-14T00:00:00"/>
    <x v="200"/>
    <x v="200"/>
    <s v="P0147"/>
    <x v="109"/>
    <s v="S012"/>
    <x v="1"/>
    <n v="1"/>
    <n v="0"/>
    <s v="Credit Card"/>
    <n v="4084.63"/>
    <n v="4084.63"/>
    <n v="0"/>
    <n v="4084.63"/>
    <n v="2990.01"/>
    <n v="2990.01"/>
    <n v="1094.6199999999999"/>
    <x v="0"/>
  </r>
  <r>
    <s v="O000420"/>
    <d v="2023-08-15T00:00:00"/>
    <x v="201"/>
    <x v="201"/>
    <s v="P0038"/>
    <x v="97"/>
    <s v="S013"/>
    <x v="0"/>
    <n v="1"/>
    <n v="0.05"/>
    <s v="Debit Card"/>
    <n v="22362.17"/>
    <n v="22362.17"/>
    <n v="1118.1085"/>
    <n v="21244.0615"/>
    <n v="12317.6"/>
    <n v="12317.6"/>
    <n v="8926.4614999999994"/>
    <x v="1"/>
  </r>
  <r>
    <s v="O000982"/>
    <d v="2023-08-15T00:00:00"/>
    <x v="202"/>
    <x v="202"/>
    <s v="P0041"/>
    <x v="110"/>
    <s v="S015"/>
    <x v="3"/>
    <n v="4"/>
    <n v="0"/>
    <s v="Debit Card"/>
    <n v="11511.46"/>
    <n v="46045.84"/>
    <n v="0"/>
    <n v="46045.84"/>
    <n v="9046.98"/>
    <n v="36187.919999999998"/>
    <n v="9857.9199999999983"/>
    <x v="3"/>
  </r>
  <r>
    <s v="O000895"/>
    <d v="2023-08-16T00:00:00"/>
    <x v="203"/>
    <x v="203"/>
    <s v="P0009"/>
    <x v="71"/>
    <s v="S012"/>
    <x v="1"/>
    <n v="3"/>
    <n v="0.05"/>
    <s v="Net Banking"/>
    <n v="46428.19"/>
    <n v="139284.57"/>
    <n v="6964.2285000000011"/>
    <n v="132320.34150000001"/>
    <n v="26886.09"/>
    <n v="80658.27"/>
    <n v="51662.071500000005"/>
    <x v="1"/>
  </r>
  <r>
    <s v="O000977"/>
    <d v="2023-08-16T00:00:00"/>
    <x v="204"/>
    <x v="204"/>
    <s v="P0138"/>
    <x v="99"/>
    <s v="S001"/>
    <x v="2"/>
    <n v="1"/>
    <n v="0.05"/>
    <s v="Cash"/>
    <n v="3897.08"/>
    <n v="3897.08"/>
    <n v="194.85400000000001"/>
    <n v="3702.2260000000001"/>
    <n v="3214.46"/>
    <n v="3214.46"/>
    <n v="487.76600000000008"/>
    <x v="0"/>
  </r>
  <r>
    <s v="O000012"/>
    <d v="2023-08-18T00:00:00"/>
    <x v="205"/>
    <x v="205"/>
    <s v="P0029"/>
    <x v="2"/>
    <s v="S005"/>
    <x v="1"/>
    <n v="5"/>
    <n v="0"/>
    <s v="Credit Card"/>
    <n v="51647.41"/>
    <n v="258237.05000000002"/>
    <n v="0"/>
    <n v="258237.05000000002"/>
    <n v="43564.65"/>
    <n v="217823.25"/>
    <n v="40413.800000000017"/>
    <x v="1"/>
  </r>
  <r>
    <s v="O000484"/>
    <d v="2023-08-19T00:00:00"/>
    <x v="206"/>
    <x v="206"/>
    <s v="P0013"/>
    <x v="111"/>
    <s v="S011"/>
    <x v="0"/>
    <n v="1"/>
    <n v="0"/>
    <s v="UPI"/>
    <n v="36179.730000000003"/>
    <n v="36179.730000000003"/>
    <n v="0"/>
    <n v="36179.730000000003"/>
    <n v="25344.32"/>
    <n v="25344.32"/>
    <n v="10835.410000000003"/>
    <x v="1"/>
  </r>
  <r>
    <s v="O000764"/>
    <d v="2023-08-21T00:00:00"/>
    <x v="207"/>
    <x v="207"/>
    <s v="P0018"/>
    <x v="62"/>
    <s v="S009"/>
    <x v="0"/>
    <n v="1"/>
    <n v="0"/>
    <s v="UPI"/>
    <n v="54876.34"/>
    <n v="54876.34"/>
    <n v="0"/>
    <n v="54876.34"/>
    <n v="41521.22"/>
    <n v="41521.22"/>
    <n v="13355.119999999995"/>
    <x v="1"/>
  </r>
  <r>
    <s v="O000458"/>
    <d v="2023-08-22T00:00:00"/>
    <x v="208"/>
    <x v="208"/>
    <s v="P0106"/>
    <x v="44"/>
    <s v="S019"/>
    <x v="0"/>
    <n v="1"/>
    <n v="0"/>
    <s v="UPI"/>
    <n v="817.37"/>
    <n v="817.37"/>
    <n v="0"/>
    <n v="817.37"/>
    <n v="595.03"/>
    <n v="595.03"/>
    <n v="222.34000000000003"/>
    <x v="4"/>
  </r>
  <r>
    <s v="O000686"/>
    <d v="2023-08-23T00:00:00"/>
    <x v="209"/>
    <x v="209"/>
    <s v="P0057"/>
    <x v="41"/>
    <s v="S024"/>
    <x v="0"/>
    <n v="3"/>
    <n v="0.1"/>
    <s v="UPI"/>
    <n v="21084.61"/>
    <n v="63253.83"/>
    <n v="6325.3830000000007"/>
    <n v="56928.447"/>
    <n v="12896.65"/>
    <n v="38689.949999999997"/>
    <n v="18238.497000000003"/>
    <x v="3"/>
  </r>
  <r>
    <s v="O000076"/>
    <d v="2023-08-25T00:00:00"/>
    <x v="210"/>
    <x v="210"/>
    <s v="P0120"/>
    <x v="112"/>
    <s v="S021"/>
    <x v="0"/>
    <n v="1"/>
    <n v="0.1"/>
    <s v="Credit Card"/>
    <n v="207.32"/>
    <n v="207.32"/>
    <n v="20.731999999999999"/>
    <n v="186.58799999999999"/>
    <n v="120.99"/>
    <n v="120.99"/>
    <n v="65.597999999999999"/>
    <x v="4"/>
  </r>
  <r>
    <s v="O000763"/>
    <d v="2023-08-25T00:00:00"/>
    <x v="211"/>
    <x v="211"/>
    <s v="P0142"/>
    <x v="21"/>
    <s v="S008"/>
    <x v="1"/>
    <n v="1"/>
    <n v="0"/>
    <s v="UPI"/>
    <n v="773.2"/>
    <n v="773.2"/>
    <n v="0"/>
    <n v="773.2"/>
    <n v="547.09"/>
    <n v="547.09"/>
    <n v="226.11"/>
    <x v="0"/>
  </r>
  <r>
    <s v="O000129"/>
    <d v="2023-08-29T00:00:00"/>
    <x v="212"/>
    <x v="212"/>
    <s v="P0079"/>
    <x v="113"/>
    <s v="S007"/>
    <x v="0"/>
    <n v="1"/>
    <n v="0.1"/>
    <s v="Net Banking"/>
    <n v="7106.08"/>
    <n v="7106.08"/>
    <n v="710.60800000000006"/>
    <n v="6395.4719999999998"/>
    <n v="5246.63"/>
    <n v="5246.63"/>
    <n v="1148.8419999999996"/>
    <x v="2"/>
  </r>
  <r>
    <s v="O000733"/>
    <d v="2023-08-29T00:00:00"/>
    <x v="41"/>
    <x v="41"/>
    <s v="P0085"/>
    <x v="9"/>
    <s v="S006"/>
    <x v="3"/>
    <n v="1"/>
    <n v="0.05"/>
    <s v="UPI"/>
    <n v="508.67"/>
    <n v="508.67"/>
    <n v="25.433500000000002"/>
    <n v="483.23650000000004"/>
    <n v="386.39"/>
    <n v="386.39"/>
    <n v="96.846500000000049"/>
    <x v="2"/>
  </r>
  <r>
    <s v="O000869"/>
    <d v="2023-08-29T00:00:00"/>
    <x v="213"/>
    <x v="213"/>
    <s v="P0145"/>
    <x v="8"/>
    <s v="S011"/>
    <x v="0"/>
    <n v="2"/>
    <n v="0"/>
    <s v="UPI"/>
    <n v="543.23"/>
    <n v="1086.46"/>
    <n v="0"/>
    <n v="1086.46"/>
    <n v="441.82"/>
    <n v="883.64"/>
    <n v="202.82000000000005"/>
    <x v="0"/>
  </r>
  <r>
    <s v="O000569"/>
    <d v="2023-08-30T00:00:00"/>
    <x v="214"/>
    <x v="214"/>
    <s v="P0014"/>
    <x v="106"/>
    <s v="S012"/>
    <x v="1"/>
    <n v="2"/>
    <n v="0.05"/>
    <s v="UPI"/>
    <n v="9246.34"/>
    <n v="18492.68"/>
    <n v="924.63400000000001"/>
    <n v="17568.046000000002"/>
    <n v="7613.27"/>
    <n v="15226.54"/>
    <n v="2341.5060000000012"/>
    <x v="1"/>
  </r>
  <r>
    <s v="O000919"/>
    <d v="2023-08-30T00:00:00"/>
    <x v="215"/>
    <x v="215"/>
    <s v="P0045"/>
    <x v="114"/>
    <s v="S019"/>
    <x v="0"/>
    <n v="3"/>
    <n v="0"/>
    <s v="Cash"/>
    <n v="14353.88"/>
    <n v="43061.64"/>
    <n v="0"/>
    <n v="43061.64"/>
    <n v="8791.7900000000009"/>
    <n v="26375.370000000003"/>
    <n v="16686.269999999997"/>
    <x v="3"/>
  </r>
  <r>
    <s v="O000480"/>
    <d v="2023-09-02T00:00:00"/>
    <x v="216"/>
    <x v="216"/>
    <s v="P0035"/>
    <x v="53"/>
    <s v="S013"/>
    <x v="0"/>
    <n v="1"/>
    <n v="0.05"/>
    <s v="Debit Card"/>
    <n v="29153.55"/>
    <n v="29153.55"/>
    <n v="1457.6775"/>
    <n v="27695.872499999998"/>
    <n v="21894.27"/>
    <n v="21894.27"/>
    <n v="5801.6024999999972"/>
    <x v="1"/>
  </r>
  <r>
    <s v="O000851"/>
    <d v="2023-09-03T00:00:00"/>
    <x v="217"/>
    <x v="217"/>
    <s v="P0007"/>
    <x v="115"/>
    <s v="S015"/>
    <x v="3"/>
    <n v="5"/>
    <n v="0"/>
    <s v="Debit Card"/>
    <n v="26638.81"/>
    <n v="133194.05000000002"/>
    <n v="0"/>
    <n v="133194.05000000002"/>
    <n v="20107.810000000001"/>
    <n v="100539.05"/>
    <n v="32655.000000000015"/>
    <x v="1"/>
  </r>
  <r>
    <s v="O000751"/>
    <d v="2023-09-05T00:00:00"/>
    <x v="218"/>
    <x v="218"/>
    <s v="P0150"/>
    <x v="66"/>
    <s v="S010"/>
    <x v="1"/>
    <n v="1"/>
    <n v="0"/>
    <s v="UPI"/>
    <n v="4199.75"/>
    <n v="4199.75"/>
    <n v="0"/>
    <n v="4199.75"/>
    <n v="2546.5700000000002"/>
    <n v="2546.5700000000002"/>
    <n v="1653.1799999999998"/>
    <x v="0"/>
  </r>
  <r>
    <s v="O000975"/>
    <d v="2023-09-06T00:00:00"/>
    <x v="219"/>
    <x v="219"/>
    <s v="P0118"/>
    <x v="116"/>
    <s v="S003"/>
    <x v="3"/>
    <n v="1"/>
    <n v="0"/>
    <s v="Debit Card"/>
    <n v="1499.75"/>
    <n v="1499.75"/>
    <n v="0"/>
    <n v="1499.75"/>
    <n v="1194.1400000000001"/>
    <n v="1194.1400000000001"/>
    <n v="305.6099999999999"/>
    <x v="4"/>
  </r>
  <r>
    <s v="O000591"/>
    <d v="2023-09-09T00:00:00"/>
    <x v="220"/>
    <x v="220"/>
    <s v="P0091"/>
    <x v="87"/>
    <s v="S024"/>
    <x v="0"/>
    <n v="2"/>
    <n v="0.2"/>
    <s v="Credit Card"/>
    <n v="5979.07"/>
    <n v="11958.14"/>
    <n v="2391.6280000000002"/>
    <n v="9566.5119999999988"/>
    <n v="4121.96"/>
    <n v="8243.92"/>
    <n v="1322.5919999999987"/>
    <x v="2"/>
  </r>
  <r>
    <s v="O000288"/>
    <d v="2023-09-13T00:00:00"/>
    <x v="221"/>
    <x v="221"/>
    <s v="P0042"/>
    <x v="64"/>
    <s v="S011"/>
    <x v="0"/>
    <n v="1"/>
    <n v="0"/>
    <s v="UPI"/>
    <n v="29579.63"/>
    <n v="29579.63"/>
    <n v="0"/>
    <n v="29579.63"/>
    <n v="24254.720000000001"/>
    <n v="24254.720000000001"/>
    <n v="5324.91"/>
    <x v="3"/>
  </r>
  <r>
    <s v="O000619"/>
    <d v="2023-09-15T00:00:00"/>
    <x v="29"/>
    <x v="29"/>
    <s v="P0121"/>
    <x v="82"/>
    <s v="S004"/>
    <x v="3"/>
    <n v="5"/>
    <n v="0"/>
    <s v="Credit Card"/>
    <n v="1019.45"/>
    <n v="5097.25"/>
    <n v="0"/>
    <n v="5097.25"/>
    <n v="683.18"/>
    <n v="3415.8999999999996"/>
    <n v="1681.3500000000004"/>
    <x v="4"/>
  </r>
  <r>
    <s v="O000772"/>
    <d v="2023-09-15T00:00:00"/>
    <x v="222"/>
    <x v="222"/>
    <s v="P0055"/>
    <x v="117"/>
    <s v="S018"/>
    <x v="0"/>
    <n v="1"/>
    <n v="0"/>
    <s v="Debit Card"/>
    <n v="26326.12"/>
    <n v="26326.12"/>
    <n v="0"/>
    <n v="26326.12"/>
    <n v="17114.43"/>
    <n v="17114.43"/>
    <n v="9211.6899999999987"/>
    <x v="3"/>
  </r>
  <r>
    <s v="O000260"/>
    <d v="2023-09-16T00:00:00"/>
    <x v="223"/>
    <x v="223"/>
    <s v="P0115"/>
    <x v="118"/>
    <s v="S023"/>
    <x v="1"/>
    <n v="1"/>
    <n v="0.05"/>
    <s v="Cash"/>
    <n v="343.15"/>
    <n v="343.15"/>
    <n v="17.157499999999999"/>
    <n v="325.99249999999995"/>
    <n v="192.59"/>
    <n v="192.59"/>
    <n v="133.40249999999995"/>
    <x v="4"/>
  </r>
  <r>
    <s v="O000887"/>
    <d v="2023-09-17T00:00:00"/>
    <x v="224"/>
    <x v="224"/>
    <s v="P0138"/>
    <x v="99"/>
    <s v="S019"/>
    <x v="0"/>
    <n v="1"/>
    <n v="0.05"/>
    <s v="Credit Card"/>
    <n v="3897.08"/>
    <n v="3897.08"/>
    <n v="194.85400000000001"/>
    <n v="3702.2260000000001"/>
    <n v="3214.46"/>
    <n v="3214.46"/>
    <n v="487.76600000000008"/>
    <x v="0"/>
  </r>
  <r>
    <s v="O000007"/>
    <d v="2023-09-19T00:00:00"/>
    <x v="225"/>
    <x v="225"/>
    <s v="P0069"/>
    <x v="36"/>
    <s v="S006"/>
    <x v="3"/>
    <n v="1"/>
    <n v="0"/>
    <s v="Cash"/>
    <n v="7177.2"/>
    <n v="7177.2"/>
    <n v="0"/>
    <n v="7177.2"/>
    <n v="4558.34"/>
    <n v="4558.34"/>
    <n v="2618.8599999999997"/>
    <x v="2"/>
  </r>
  <r>
    <s v="O000035"/>
    <d v="2023-09-19T00:00:00"/>
    <x v="226"/>
    <x v="226"/>
    <s v="P0024"/>
    <x v="119"/>
    <s v="S024"/>
    <x v="0"/>
    <n v="1"/>
    <n v="0"/>
    <s v="Credit Card"/>
    <n v="44917.11"/>
    <n v="44917.11"/>
    <n v="0"/>
    <n v="44917.11"/>
    <n v="33851.120000000003"/>
    <n v="33851.120000000003"/>
    <n v="11065.989999999998"/>
    <x v="1"/>
  </r>
  <r>
    <s v="O000220"/>
    <d v="2023-09-20T00:00:00"/>
    <x v="227"/>
    <x v="227"/>
    <s v="P0129"/>
    <x v="58"/>
    <s v="S023"/>
    <x v="1"/>
    <n v="1"/>
    <n v="0"/>
    <s v="Debit Card"/>
    <n v="3285.82"/>
    <n v="3285.82"/>
    <n v="0"/>
    <n v="3285.82"/>
    <n v="2256.9699999999998"/>
    <n v="2256.9699999999998"/>
    <n v="1028.8500000000004"/>
    <x v="0"/>
  </r>
  <r>
    <s v="O000641"/>
    <d v="2023-09-21T00:00:00"/>
    <x v="228"/>
    <x v="228"/>
    <s v="P0028"/>
    <x v="27"/>
    <s v="S011"/>
    <x v="0"/>
    <n v="1"/>
    <n v="0"/>
    <s v="Credit Card"/>
    <n v="52004.72"/>
    <n v="52004.72"/>
    <n v="0"/>
    <n v="52004.72"/>
    <n v="43224.87"/>
    <n v="43224.87"/>
    <n v="8779.8499999999985"/>
    <x v="1"/>
  </r>
  <r>
    <s v="O000521"/>
    <d v="2023-09-23T00:00:00"/>
    <x v="229"/>
    <x v="229"/>
    <s v="P0068"/>
    <x v="15"/>
    <s v="S005"/>
    <x v="1"/>
    <n v="1"/>
    <n v="0.15"/>
    <s v="Credit Card"/>
    <n v="5944.75"/>
    <n v="5944.75"/>
    <n v="891.71249999999998"/>
    <n v="5053.0375000000004"/>
    <n v="4447.5200000000004"/>
    <n v="4447.5200000000004"/>
    <n v="605.51749999999993"/>
    <x v="2"/>
  </r>
  <r>
    <s v="O000776"/>
    <d v="2023-09-23T00:00:00"/>
    <x v="230"/>
    <x v="230"/>
    <s v="P0103"/>
    <x v="120"/>
    <s v="S024"/>
    <x v="0"/>
    <n v="1"/>
    <n v="0.05"/>
    <s v="Credit Card"/>
    <n v="500.73"/>
    <n v="500.73"/>
    <n v="25.036500000000004"/>
    <n v="475.69350000000003"/>
    <n v="407.66"/>
    <n v="407.66"/>
    <n v="68.033500000000004"/>
    <x v="4"/>
  </r>
  <r>
    <s v="O000552"/>
    <d v="2023-09-24T00:00:00"/>
    <x v="231"/>
    <x v="231"/>
    <s v="P0086"/>
    <x v="20"/>
    <s v="S018"/>
    <x v="0"/>
    <n v="3"/>
    <n v="0.1"/>
    <s v="UPI"/>
    <n v="2008.33"/>
    <n v="6024.99"/>
    <n v="602.49900000000002"/>
    <n v="5422.491"/>
    <n v="1688.91"/>
    <n v="5066.7300000000005"/>
    <n v="355.76099999999951"/>
    <x v="2"/>
  </r>
  <r>
    <s v="O000530"/>
    <d v="2023-09-25T00:00:00"/>
    <x v="232"/>
    <x v="232"/>
    <s v="P0014"/>
    <x v="106"/>
    <s v="S005"/>
    <x v="1"/>
    <n v="5"/>
    <n v="0"/>
    <s v="UPI"/>
    <n v="9246.34"/>
    <n v="46231.7"/>
    <n v="0"/>
    <n v="46231.7"/>
    <n v="7613.27"/>
    <n v="38066.350000000006"/>
    <n v="8165.3499999999913"/>
    <x v="1"/>
  </r>
  <r>
    <s v="O000651"/>
    <d v="2023-09-25T00:00:00"/>
    <x v="233"/>
    <x v="233"/>
    <s v="P0004"/>
    <x v="76"/>
    <s v="S010"/>
    <x v="1"/>
    <n v="1"/>
    <n v="0"/>
    <s v="Debit Card"/>
    <n v="10619.36"/>
    <n v="10619.36"/>
    <n v="0"/>
    <n v="10619.36"/>
    <n v="6544.82"/>
    <n v="6544.82"/>
    <n v="4074.5400000000009"/>
    <x v="1"/>
  </r>
  <r>
    <s v="O000719"/>
    <d v="2023-09-27T00:00:00"/>
    <x v="234"/>
    <x v="234"/>
    <s v="P0087"/>
    <x v="60"/>
    <s v="S004"/>
    <x v="3"/>
    <n v="2"/>
    <n v="0.2"/>
    <s v="Net Banking"/>
    <n v="2599.96"/>
    <n v="5199.92"/>
    <n v="1039.9840000000002"/>
    <n v="4159.9359999999997"/>
    <n v="1643"/>
    <n v="3286"/>
    <n v="873.93599999999969"/>
    <x v="2"/>
  </r>
  <r>
    <s v="O000398"/>
    <d v="2023-09-29T00:00:00"/>
    <x v="235"/>
    <x v="235"/>
    <s v="P0137"/>
    <x v="121"/>
    <s v="S022"/>
    <x v="2"/>
    <n v="4"/>
    <n v="0"/>
    <s v="UPI"/>
    <n v="3493.25"/>
    <n v="13973"/>
    <n v="0"/>
    <n v="13973"/>
    <n v="2550.08"/>
    <n v="10200.32"/>
    <n v="3772.6800000000003"/>
    <x v="0"/>
  </r>
  <r>
    <s v="O000695"/>
    <d v="2023-09-29T00:00:00"/>
    <x v="236"/>
    <x v="236"/>
    <s v="P0093"/>
    <x v="122"/>
    <s v="S025"/>
    <x v="2"/>
    <n v="1"/>
    <n v="0.15"/>
    <s v="UPI"/>
    <n v="4565.2299999999996"/>
    <n v="4565.2299999999996"/>
    <n v="684.78449999999987"/>
    <n v="3880.4454999999998"/>
    <n v="3658.34"/>
    <n v="3658.34"/>
    <n v="222.10549999999967"/>
    <x v="2"/>
  </r>
  <r>
    <s v="O000042"/>
    <d v="2023-09-30T00:00:00"/>
    <x v="237"/>
    <x v="237"/>
    <s v="P0067"/>
    <x v="12"/>
    <s v="S001"/>
    <x v="2"/>
    <n v="1"/>
    <n v="0.15"/>
    <s v="Debit Card"/>
    <n v="6357.9"/>
    <n v="6357.9"/>
    <n v="953.68499999999995"/>
    <n v="5404.2150000000001"/>
    <n v="4895.43"/>
    <n v="4895.43"/>
    <n v="508.78499999999985"/>
    <x v="2"/>
  </r>
  <r>
    <s v="O000077"/>
    <d v="2023-10-01T00:00:00"/>
    <x v="238"/>
    <x v="238"/>
    <s v="P0037"/>
    <x v="65"/>
    <s v="S018"/>
    <x v="0"/>
    <n v="4"/>
    <n v="0"/>
    <s v="Cash"/>
    <n v="78938.720000000001"/>
    <n v="315754.88"/>
    <n v="0"/>
    <n v="315754.88"/>
    <n v="53801.63"/>
    <n v="215206.52"/>
    <n v="100548.36000000002"/>
    <x v="1"/>
  </r>
  <r>
    <s v="O000866"/>
    <d v="2023-10-03T00:00:00"/>
    <x v="239"/>
    <x v="239"/>
    <s v="P0114"/>
    <x v="31"/>
    <s v="S014"/>
    <x v="1"/>
    <n v="1"/>
    <n v="0"/>
    <s v="Credit Card"/>
    <n v="252.55"/>
    <n v="252.55"/>
    <n v="0"/>
    <n v="252.55"/>
    <n v="170.34"/>
    <n v="170.34"/>
    <n v="82.210000000000008"/>
    <x v="4"/>
  </r>
  <r>
    <s v="O000062"/>
    <d v="2023-10-04T00:00:00"/>
    <x v="240"/>
    <x v="240"/>
    <s v="P0053"/>
    <x v="123"/>
    <s v="S016"/>
    <x v="0"/>
    <n v="4"/>
    <n v="0.1"/>
    <s v="Net Banking"/>
    <n v="23380"/>
    <n v="93520"/>
    <n v="9352"/>
    <n v="84168"/>
    <n v="15528.93"/>
    <n v="62115.72"/>
    <n v="22052.28"/>
    <x v="3"/>
  </r>
  <r>
    <s v="O000313"/>
    <d v="2023-10-04T00:00:00"/>
    <x v="241"/>
    <x v="241"/>
    <s v="P0009"/>
    <x v="71"/>
    <s v="S008"/>
    <x v="1"/>
    <n v="1"/>
    <n v="0"/>
    <s v="Credit Card"/>
    <n v="46428.19"/>
    <n v="46428.19"/>
    <n v="0"/>
    <n v="46428.19"/>
    <n v="26886.09"/>
    <n v="26886.09"/>
    <n v="19542.100000000002"/>
    <x v="1"/>
  </r>
  <r>
    <s v="O000516"/>
    <d v="2023-10-06T00:00:00"/>
    <x v="242"/>
    <x v="242"/>
    <s v="P0014"/>
    <x v="106"/>
    <s v="S023"/>
    <x v="1"/>
    <n v="4"/>
    <n v="0"/>
    <s v="Debit Card"/>
    <n v="9246.34"/>
    <n v="36985.360000000001"/>
    <n v="0"/>
    <n v="36985.360000000001"/>
    <n v="7613.27"/>
    <n v="30453.08"/>
    <n v="6532.2799999999988"/>
    <x v="1"/>
  </r>
  <r>
    <s v="O000814"/>
    <d v="2023-10-06T00:00:00"/>
    <x v="243"/>
    <x v="243"/>
    <s v="P0085"/>
    <x v="9"/>
    <s v="S008"/>
    <x v="1"/>
    <n v="4"/>
    <n v="0"/>
    <s v="Cash"/>
    <n v="508.67"/>
    <n v="2034.68"/>
    <n v="0"/>
    <n v="2034.68"/>
    <n v="386.39"/>
    <n v="1545.56"/>
    <n v="489.12000000000012"/>
    <x v="2"/>
  </r>
  <r>
    <s v="O000149"/>
    <d v="2023-10-12T00:00:00"/>
    <x v="244"/>
    <x v="244"/>
    <s v="P0049"/>
    <x v="79"/>
    <s v="S003"/>
    <x v="3"/>
    <n v="1"/>
    <n v="0"/>
    <s v="Cash"/>
    <n v="643.36"/>
    <n v="643.36"/>
    <n v="0"/>
    <n v="643.36"/>
    <n v="460.5"/>
    <n v="460.5"/>
    <n v="182.86"/>
    <x v="3"/>
  </r>
  <r>
    <s v="O000506"/>
    <d v="2023-10-12T00:00:00"/>
    <x v="245"/>
    <x v="245"/>
    <s v="P0107"/>
    <x v="63"/>
    <s v="S018"/>
    <x v="0"/>
    <n v="1"/>
    <n v="0"/>
    <s v="Credit Card"/>
    <n v="1494.3"/>
    <n v="1494.3"/>
    <n v="0"/>
    <n v="1494.3"/>
    <n v="1031.67"/>
    <n v="1031.67"/>
    <n v="462.62999999999988"/>
    <x v="4"/>
  </r>
  <r>
    <s v="O000822"/>
    <d v="2023-10-13T00:00:00"/>
    <x v="246"/>
    <x v="246"/>
    <s v="P0033"/>
    <x v="34"/>
    <s v="S006"/>
    <x v="3"/>
    <n v="1"/>
    <n v="0"/>
    <s v="Cash"/>
    <n v="77394.210000000006"/>
    <n v="77394.210000000006"/>
    <n v="0"/>
    <n v="77394.210000000006"/>
    <n v="49038.67"/>
    <n v="49038.67"/>
    <n v="28355.540000000008"/>
    <x v="1"/>
  </r>
  <r>
    <s v="O000278"/>
    <d v="2023-10-14T00:00:00"/>
    <x v="247"/>
    <x v="247"/>
    <s v="P0058"/>
    <x v="52"/>
    <s v="S021"/>
    <x v="0"/>
    <n v="2"/>
    <n v="0.1"/>
    <s v="Net Banking"/>
    <n v="27105.29"/>
    <n v="54210.58"/>
    <n v="5421.0580000000009"/>
    <n v="48789.521999999997"/>
    <n v="17092.599999999999"/>
    <n v="34185.199999999997"/>
    <n v="14604.322"/>
    <x v="3"/>
  </r>
  <r>
    <s v="O000664"/>
    <d v="2023-10-14T00:00:00"/>
    <x v="236"/>
    <x v="236"/>
    <s v="P0043"/>
    <x v="124"/>
    <s v="S010"/>
    <x v="1"/>
    <n v="1"/>
    <n v="0.1"/>
    <s v="Cash"/>
    <n v="22827.119999999999"/>
    <n v="22827.119999999999"/>
    <n v="2282.712"/>
    <n v="20544.407999999999"/>
    <n v="18264.07"/>
    <n v="18264.07"/>
    <n v="2280.3379999999997"/>
    <x v="3"/>
  </r>
  <r>
    <s v="O000153"/>
    <d v="2023-10-16T00:00:00"/>
    <x v="248"/>
    <x v="248"/>
    <s v="P0010"/>
    <x v="16"/>
    <s v="S015"/>
    <x v="3"/>
    <n v="2"/>
    <n v="0.05"/>
    <s v="Credit Card"/>
    <n v="4404.4399999999996"/>
    <n v="8808.8799999999992"/>
    <n v="440.44399999999996"/>
    <n v="8368.4359999999997"/>
    <n v="3239.84"/>
    <n v="6479.68"/>
    <n v="1888.7559999999994"/>
    <x v="1"/>
  </r>
  <r>
    <s v="O000439"/>
    <d v="2023-10-20T00:00:00"/>
    <x v="249"/>
    <x v="249"/>
    <s v="P0015"/>
    <x v="19"/>
    <s v="S014"/>
    <x v="1"/>
    <n v="2"/>
    <n v="0.05"/>
    <s v="Credit Card"/>
    <n v="61606.59"/>
    <n v="123213.18"/>
    <n v="6160.6589999999997"/>
    <n v="117052.52099999999"/>
    <n v="36366.370000000003"/>
    <n v="72732.740000000005"/>
    <n v="44319.780999999988"/>
    <x v="1"/>
  </r>
  <r>
    <s v="O000903"/>
    <d v="2023-10-20T00:00:00"/>
    <x v="250"/>
    <x v="250"/>
    <s v="P0100"/>
    <x v="125"/>
    <s v="S019"/>
    <x v="0"/>
    <n v="1"/>
    <n v="0.1"/>
    <s v="Cash"/>
    <n v="117.96"/>
    <n v="117.96"/>
    <n v="11.795999999999999"/>
    <n v="106.16399999999999"/>
    <n v="77.36"/>
    <n v="77.36"/>
    <n v="28.803999999999988"/>
    <x v="4"/>
  </r>
  <r>
    <s v="O000970"/>
    <d v="2023-10-20T00:00:00"/>
    <x v="251"/>
    <x v="251"/>
    <s v="P0017"/>
    <x v="69"/>
    <s v="S014"/>
    <x v="1"/>
    <n v="2"/>
    <n v="0.1"/>
    <s v="UPI"/>
    <n v="61469.2"/>
    <n v="122938.4"/>
    <n v="12293.84"/>
    <n v="110644.56"/>
    <n v="39781.99"/>
    <n v="79563.98"/>
    <n v="31080.58"/>
    <x v="1"/>
  </r>
  <r>
    <s v="O000922"/>
    <d v="2023-10-25T00:00:00"/>
    <x v="252"/>
    <x v="252"/>
    <s v="P0049"/>
    <x v="79"/>
    <s v="S008"/>
    <x v="1"/>
    <n v="2"/>
    <n v="0"/>
    <s v="Net Banking"/>
    <n v="643.36"/>
    <n v="1286.72"/>
    <n v="0"/>
    <n v="1286.72"/>
    <n v="460.5"/>
    <n v="921"/>
    <n v="365.72"/>
    <x v="3"/>
  </r>
  <r>
    <s v="O000930"/>
    <d v="2023-10-26T00:00:00"/>
    <x v="253"/>
    <x v="253"/>
    <s v="P0079"/>
    <x v="113"/>
    <s v="S022"/>
    <x v="2"/>
    <n v="2"/>
    <n v="0.2"/>
    <s v="UPI"/>
    <n v="7106.08"/>
    <n v="14212.16"/>
    <n v="2842.4320000000002"/>
    <n v="11369.727999999999"/>
    <n v="5246.63"/>
    <n v="10493.26"/>
    <n v="876.46799999999894"/>
    <x v="2"/>
  </r>
  <r>
    <s v="O000050"/>
    <d v="2023-10-27T00:00:00"/>
    <x v="254"/>
    <x v="254"/>
    <s v="P0037"/>
    <x v="65"/>
    <s v="S011"/>
    <x v="0"/>
    <n v="1"/>
    <n v="0"/>
    <s v="Credit Card"/>
    <n v="78938.720000000001"/>
    <n v="78938.720000000001"/>
    <n v="0"/>
    <n v="78938.720000000001"/>
    <n v="53801.63"/>
    <n v="53801.63"/>
    <n v="25137.090000000004"/>
    <x v="1"/>
  </r>
  <r>
    <s v="O000720"/>
    <d v="2023-10-27T00:00:00"/>
    <x v="255"/>
    <x v="255"/>
    <s v="P0110"/>
    <x v="18"/>
    <s v="S021"/>
    <x v="0"/>
    <n v="1"/>
    <n v="0"/>
    <s v="UPI"/>
    <n v="1053.9000000000001"/>
    <n v="1053.9000000000001"/>
    <n v="0"/>
    <n v="1053.9000000000001"/>
    <n v="710.59"/>
    <n v="710.59"/>
    <n v="343.31000000000006"/>
    <x v="4"/>
  </r>
  <r>
    <s v="O000146"/>
    <d v="2023-10-29T00:00:00"/>
    <x v="256"/>
    <x v="256"/>
    <s v="P0017"/>
    <x v="69"/>
    <s v="S017"/>
    <x v="0"/>
    <n v="3"/>
    <n v="0.1"/>
    <s v="Net Banking"/>
    <n v="61469.2"/>
    <n v="184407.59999999998"/>
    <n v="18440.759999999998"/>
    <n v="165966.83999999997"/>
    <n v="39781.99"/>
    <n v="119345.97"/>
    <n v="46620.869999999966"/>
    <x v="1"/>
  </r>
  <r>
    <s v="O000498"/>
    <d v="2023-10-30T00:00:00"/>
    <x v="40"/>
    <x v="40"/>
    <s v="P0142"/>
    <x v="21"/>
    <s v="S016"/>
    <x v="0"/>
    <n v="1"/>
    <n v="0"/>
    <s v="Cash"/>
    <n v="773.2"/>
    <n v="773.2"/>
    <n v="0"/>
    <n v="773.2"/>
    <n v="547.09"/>
    <n v="547.09"/>
    <n v="226.11"/>
    <x v="0"/>
  </r>
  <r>
    <s v="O000599"/>
    <d v="2023-10-30T00:00:00"/>
    <x v="257"/>
    <x v="257"/>
    <s v="P0111"/>
    <x v="126"/>
    <s v="S006"/>
    <x v="3"/>
    <n v="1"/>
    <n v="0.1"/>
    <s v="Net Banking"/>
    <n v="912.62"/>
    <n v="912.62"/>
    <n v="91.262"/>
    <n v="821.35799999999995"/>
    <n v="648.75"/>
    <n v="648.75"/>
    <n v="172.60799999999995"/>
    <x v="4"/>
  </r>
  <r>
    <s v="O000995"/>
    <d v="2023-10-31T00:00:00"/>
    <x v="258"/>
    <x v="258"/>
    <s v="P0084"/>
    <x v="96"/>
    <s v="S009"/>
    <x v="0"/>
    <n v="1"/>
    <n v="0.2"/>
    <s v="Net Banking"/>
    <n v="1332.31"/>
    <n v="1332.31"/>
    <n v="266.46199999999999"/>
    <n v="1065.848"/>
    <n v="957.87"/>
    <n v="957.87"/>
    <n v="107.97799999999995"/>
    <x v="2"/>
  </r>
  <r>
    <s v="O000777"/>
    <d v="2023-11-01T00:00:00"/>
    <x v="259"/>
    <x v="259"/>
    <s v="P0075"/>
    <x v="10"/>
    <s v="S003"/>
    <x v="3"/>
    <n v="1"/>
    <n v="0.1"/>
    <s v="UPI"/>
    <n v="7788.99"/>
    <n v="7788.99"/>
    <n v="778.899"/>
    <n v="7010.0909999999994"/>
    <n v="6231.21"/>
    <n v="6231.21"/>
    <n v="778.8809999999994"/>
    <x v="2"/>
  </r>
  <r>
    <s v="O000817"/>
    <d v="2023-11-02T00:00:00"/>
    <x v="260"/>
    <x v="260"/>
    <s v="P0134"/>
    <x v="108"/>
    <s v="S024"/>
    <x v="0"/>
    <n v="2"/>
    <n v="0.05"/>
    <s v="Net Banking"/>
    <n v="3581.9"/>
    <n v="7163.8"/>
    <n v="358.19000000000005"/>
    <n v="6805.6100000000006"/>
    <n v="2770.12"/>
    <n v="5540.24"/>
    <n v="1265.3700000000008"/>
    <x v="0"/>
  </r>
  <r>
    <s v="O000403"/>
    <d v="2023-11-03T00:00:00"/>
    <x v="261"/>
    <x v="261"/>
    <s v="P0142"/>
    <x v="21"/>
    <s v="S003"/>
    <x v="3"/>
    <n v="1"/>
    <n v="0"/>
    <s v="Credit Card"/>
    <n v="773.2"/>
    <n v="773.2"/>
    <n v="0"/>
    <n v="773.2"/>
    <n v="547.09"/>
    <n v="547.09"/>
    <n v="226.11"/>
    <x v="0"/>
  </r>
  <r>
    <s v="O000971"/>
    <d v="2023-11-03T00:00:00"/>
    <x v="262"/>
    <x v="262"/>
    <s v="P0002"/>
    <x v="35"/>
    <s v="S015"/>
    <x v="3"/>
    <n v="4"/>
    <n v="0.1"/>
    <s v="UPI"/>
    <n v="75177.759999999995"/>
    <n v="300711.03999999998"/>
    <n v="30071.103999999999"/>
    <n v="270639.93599999999"/>
    <n v="51831.839999999997"/>
    <n v="207327.35999999999"/>
    <n v="63312.576000000001"/>
    <x v="1"/>
  </r>
  <r>
    <s v="O000243"/>
    <d v="2023-11-04T00:00:00"/>
    <x v="263"/>
    <x v="263"/>
    <s v="P0050"/>
    <x v="5"/>
    <s v="S001"/>
    <x v="2"/>
    <n v="1"/>
    <n v="0"/>
    <s v="Credit Card"/>
    <n v="14006.13"/>
    <n v="14006.13"/>
    <n v="0"/>
    <n v="14006.13"/>
    <n v="9829.2800000000007"/>
    <n v="9829.2800000000007"/>
    <n v="4176.8499999999985"/>
    <x v="3"/>
  </r>
  <r>
    <s v="O000330"/>
    <d v="2023-11-05T00:00:00"/>
    <x v="264"/>
    <x v="264"/>
    <s v="P0077"/>
    <x v="88"/>
    <s v="S020"/>
    <x v="3"/>
    <n v="4"/>
    <n v="0.1"/>
    <s v="UPI"/>
    <n v="6178.38"/>
    <n v="24713.52"/>
    <n v="2471.3520000000003"/>
    <n v="22242.168000000001"/>
    <n v="4740.8599999999997"/>
    <n v="18963.439999999999"/>
    <n v="3278.7280000000028"/>
    <x v="2"/>
  </r>
  <r>
    <s v="O000250"/>
    <d v="2023-11-06T00:00:00"/>
    <x v="265"/>
    <x v="265"/>
    <s v="P0063"/>
    <x v="33"/>
    <s v="S018"/>
    <x v="0"/>
    <n v="1"/>
    <n v="0.05"/>
    <s v="Cash"/>
    <n v="22222.83"/>
    <n v="22222.83"/>
    <n v="1111.1415000000002"/>
    <n v="21111.6885"/>
    <n v="17564.490000000002"/>
    <n v="17564.490000000002"/>
    <n v="3547.1984999999986"/>
    <x v="3"/>
  </r>
  <r>
    <s v="O000590"/>
    <d v="2023-11-06T00:00:00"/>
    <x v="266"/>
    <x v="266"/>
    <s v="P0134"/>
    <x v="108"/>
    <s v="S008"/>
    <x v="1"/>
    <n v="1"/>
    <n v="0"/>
    <s v="Net Banking"/>
    <n v="3581.9"/>
    <n v="3581.9"/>
    <n v="0"/>
    <n v="3581.9"/>
    <n v="2770.12"/>
    <n v="2770.12"/>
    <n v="811.7800000000002"/>
    <x v="0"/>
  </r>
  <r>
    <s v="O000698"/>
    <d v="2023-11-06T00:00:00"/>
    <x v="267"/>
    <x v="267"/>
    <s v="P0049"/>
    <x v="79"/>
    <s v="S007"/>
    <x v="0"/>
    <n v="1"/>
    <n v="0"/>
    <s v="Debit Card"/>
    <n v="643.36"/>
    <n v="643.36"/>
    <n v="0"/>
    <n v="643.36"/>
    <n v="460.5"/>
    <n v="460.5"/>
    <n v="182.86"/>
    <x v="3"/>
  </r>
  <r>
    <s v="O000354"/>
    <d v="2023-11-08T00:00:00"/>
    <x v="268"/>
    <x v="268"/>
    <s v="P0004"/>
    <x v="76"/>
    <s v="S008"/>
    <x v="1"/>
    <n v="4"/>
    <n v="0.05"/>
    <s v="UPI"/>
    <n v="10619.36"/>
    <n v="42477.440000000002"/>
    <n v="2123.8720000000003"/>
    <n v="40353.567999999999"/>
    <n v="6544.82"/>
    <n v="26179.279999999999"/>
    <n v="14174.288"/>
    <x v="1"/>
  </r>
  <r>
    <s v="O000800"/>
    <d v="2023-11-10T00:00:00"/>
    <x v="269"/>
    <x v="269"/>
    <s v="P0102"/>
    <x v="37"/>
    <s v="S017"/>
    <x v="0"/>
    <n v="1"/>
    <n v="0"/>
    <s v="Debit Card"/>
    <n v="1282.31"/>
    <n v="1282.31"/>
    <n v="0"/>
    <n v="1282.31"/>
    <n v="759"/>
    <n v="759"/>
    <n v="523.30999999999995"/>
    <x v="4"/>
  </r>
  <r>
    <s v="O000540"/>
    <d v="2023-11-11T00:00:00"/>
    <x v="270"/>
    <x v="270"/>
    <s v="P0035"/>
    <x v="53"/>
    <s v="S001"/>
    <x v="2"/>
    <n v="1"/>
    <n v="0"/>
    <s v="UPI"/>
    <n v="29153.55"/>
    <n v="29153.55"/>
    <n v="0"/>
    <n v="29153.55"/>
    <n v="21894.27"/>
    <n v="21894.27"/>
    <n v="7259.2799999999988"/>
    <x v="1"/>
  </r>
  <r>
    <s v="O000174"/>
    <d v="2023-11-13T00:00:00"/>
    <x v="271"/>
    <x v="271"/>
    <s v="P0020"/>
    <x v="1"/>
    <s v="S006"/>
    <x v="3"/>
    <n v="1"/>
    <n v="0"/>
    <s v="Net Banking"/>
    <n v="21602.44"/>
    <n v="21602.44"/>
    <n v="0"/>
    <n v="21602.44"/>
    <n v="13134.58"/>
    <n v="13134.58"/>
    <n v="8467.8599999999988"/>
    <x v="1"/>
  </r>
  <r>
    <s v="O000039"/>
    <d v="2023-11-14T00:00:00"/>
    <x v="272"/>
    <x v="272"/>
    <s v="P0144"/>
    <x v="28"/>
    <s v="S005"/>
    <x v="1"/>
    <n v="1"/>
    <n v="0.1"/>
    <s v="Debit Card"/>
    <n v="1037.07"/>
    <n v="1037.07"/>
    <n v="103.70699999999999"/>
    <n v="933.36299999999994"/>
    <n v="720.16"/>
    <n v="720.16"/>
    <n v="213.20299999999997"/>
    <x v="0"/>
  </r>
  <r>
    <s v="O000339"/>
    <d v="2023-11-14T00:00:00"/>
    <x v="272"/>
    <x v="272"/>
    <s v="P0147"/>
    <x v="109"/>
    <s v="S009"/>
    <x v="0"/>
    <n v="1"/>
    <n v="0"/>
    <s v="Net Banking"/>
    <n v="4084.63"/>
    <n v="4084.63"/>
    <n v="0"/>
    <n v="4084.63"/>
    <n v="2990.01"/>
    <n v="2990.01"/>
    <n v="1094.6199999999999"/>
    <x v="0"/>
  </r>
  <r>
    <s v="O000729"/>
    <d v="2023-11-14T00:00:00"/>
    <x v="273"/>
    <x v="273"/>
    <s v="P0014"/>
    <x v="106"/>
    <s v="S011"/>
    <x v="0"/>
    <n v="3"/>
    <n v="0.05"/>
    <s v="UPI"/>
    <n v="9246.34"/>
    <n v="27739.02"/>
    <n v="1386.951"/>
    <n v="26352.069"/>
    <n v="7613.27"/>
    <n v="22839.81"/>
    <n v="3512.2589999999982"/>
    <x v="1"/>
  </r>
  <r>
    <s v="O000549"/>
    <d v="2023-11-15T00:00:00"/>
    <x v="56"/>
    <x v="56"/>
    <s v="P0085"/>
    <x v="9"/>
    <s v="S003"/>
    <x v="3"/>
    <n v="1"/>
    <n v="0.05"/>
    <s v="Cash"/>
    <n v="508.67"/>
    <n v="508.67"/>
    <n v="25.433500000000002"/>
    <n v="483.23650000000004"/>
    <n v="386.39"/>
    <n v="386.39"/>
    <n v="96.846500000000049"/>
    <x v="2"/>
  </r>
  <r>
    <s v="O000216"/>
    <d v="2023-11-16T00:00:00"/>
    <x v="274"/>
    <x v="274"/>
    <s v="P0135"/>
    <x v="127"/>
    <s v="S013"/>
    <x v="0"/>
    <n v="1"/>
    <n v="0"/>
    <s v="UPI"/>
    <n v="3355.04"/>
    <n v="3355.04"/>
    <n v="0"/>
    <n v="3355.04"/>
    <n v="1914.01"/>
    <n v="1914.01"/>
    <n v="1441.03"/>
    <x v="0"/>
  </r>
  <r>
    <s v="O000750"/>
    <d v="2023-11-16T00:00:00"/>
    <x v="275"/>
    <x v="275"/>
    <s v="P0027"/>
    <x v="81"/>
    <s v="S001"/>
    <x v="2"/>
    <n v="1"/>
    <n v="0"/>
    <s v="Debit Card"/>
    <n v="76661.149999999994"/>
    <n v="76661.149999999994"/>
    <n v="0"/>
    <n v="76661.149999999994"/>
    <n v="44142.48"/>
    <n v="44142.48"/>
    <n v="32518.669999999991"/>
    <x v="1"/>
  </r>
  <r>
    <s v="O000465"/>
    <d v="2023-11-17T00:00:00"/>
    <x v="276"/>
    <x v="276"/>
    <s v="P0096"/>
    <x v="128"/>
    <s v="S002"/>
    <x v="2"/>
    <n v="2"/>
    <n v="0.1"/>
    <s v="Credit Card"/>
    <n v="1384.91"/>
    <n v="2769.82"/>
    <n v="276.98200000000003"/>
    <n v="2492.8380000000002"/>
    <n v="1102.07"/>
    <n v="2204.14"/>
    <n v="288.69800000000032"/>
    <x v="4"/>
  </r>
  <r>
    <s v="O000879"/>
    <d v="2023-11-18T00:00:00"/>
    <x v="230"/>
    <x v="230"/>
    <s v="P0149"/>
    <x v="86"/>
    <s v="S015"/>
    <x v="3"/>
    <n v="2"/>
    <n v="0"/>
    <s v="Net Banking"/>
    <n v="4294.7"/>
    <n v="8589.4"/>
    <n v="0"/>
    <n v="8589.4"/>
    <n v="3317.06"/>
    <n v="6634.12"/>
    <n v="1955.2799999999997"/>
    <x v="0"/>
  </r>
  <r>
    <s v="O000754"/>
    <d v="2023-11-19T00:00:00"/>
    <x v="277"/>
    <x v="277"/>
    <s v="P0107"/>
    <x v="63"/>
    <s v="S008"/>
    <x v="1"/>
    <n v="1"/>
    <n v="0"/>
    <s v="UPI"/>
    <n v="1494.3"/>
    <n v="1494.3"/>
    <n v="0"/>
    <n v="1494.3"/>
    <n v="1031.67"/>
    <n v="1031.67"/>
    <n v="462.62999999999988"/>
    <x v="4"/>
  </r>
  <r>
    <s v="O000612"/>
    <d v="2023-11-20T00:00:00"/>
    <x v="278"/>
    <x v="278"/>
    <s v="P0037"/>
    <x v="65"/>
    <s v="S008"/>
    <x v="1"/>
    <n v="1"/>
    <n v="0.1"/>
    <s v="Credit Card"/>
    <n v="78938.720000000001"/>
    <n v="78938.720000000001"/>
    <n v="7893.8720000000003"/>
    <n v="71044.847999999998"/>
    <n v="53801.63"/>
    <n v="53801.63"/>
    <n v="17243.218000000001"/>
    <x v="1"/>
  </r>
  <r>
    <s v="O000949"/>
    <d v="2023-11-20T00:00:00"/>
    <x v="279"/>
    <x v="279"/>
    <s v="P0041"/>
    <x v="110"/>
    <s v="S024"/>
    <x v="0"/>
    <n v="2"/>
    <n v="0"/>
    <s v="UPI"/>
    <n v="11511.46"/>
    <n v="23022.92"/>
    <n v="0"/>
    <n v="23022.92"/>
    <n v="9046.98"/>
    <n v="18093.96"/>
    <n v="4928.9599999999991"/>
    <x v="3"/>
  </r>
  <r>
    <s v="O000048"/>
    <d v="2023-11-22T00:00:00"/>
    <x v="280"/>
    <x v="280"/>
    <s v="P0092"/>
    <x v="129"/>
    <s v="S024"/>
    <x v="0"/>
    <n v="1"/>
    <n v="0.1"/>
    <s v="UPI"/>
    <n v="3368.47"/>
    <n v="3368.47"/>
    <n v="336.84699999999998"/>
    <n v="3031.6229999999996"/>
    <n v="2152.4899999999998"/>
    <n v="2152.4899999999998"/>
    <n v="879.13299999999981"/>
    <x v="2"/>
  </r>
  <r>
    <s v="O000178"/>
    <d v="2023-11-28T00:00:00"/>
    <x v="281"/>
    <x v="281"/>
    <s v="P0102"/>
    <x v="37"/>
    <s v="S016"/>
    <x v="0"/>
    <n v="1"/>
    <n v="0.1"/>
    <s v="Net Banking"/>
    <n v="1282.31"/>
    <n v="1282.31"/>
    <n v="128.23099999999999"/>
    <n v="1154.079"/>
    <n v="759"/>
    <n v="759"/>
    <n v="395.07899999999995"/>
    <x v="4"/>
  </r>
  <r>
    <s v="O000093"/>
    <d v="2023-12-02T00:00:00"/>
    <x v="282"/>
    <x v="282"/>
    <s v="P0075"/>
    <x v="10"/>
    <s v="S014"/>
    <x v="1"/>
    <n v="4"/>
    <n v="0.15"/>
    <s v="UPI"/>
    <n v="7788.99"/>
    <n v="31155.96"/>
    <n v="4673.3939999999993"/>
    <n v="26482.565999999999"/>
    <n v="6231.21"/>
    <n v="24924.84"/>
    <n v="1557.7259999999987"/>
    <x v="2"/>
  </r>
  <r>
    <s v="O000726"/>
    <d v="2023-12-02T00:00:00"/>
    <x v="283"/>
    <x v="283"/>
    <s v="P0075"/>
    <x v="10"/>
    <s v="S002"/>
    <x v="2"/>
    <n v="1"/>
    <n v="0.05"/>
    <s v="Credit Card"/>
    <n v="7788.99"/>
    <n v="7788.99"/>
    <n v="389.4495"/>
    <n v="7399.5405000000001"/>
    <n v="6231.21"/>
    <n v="6231.21"/>
    <n v="1168.3305"/>
    <x v="2"/>
  </r>
  <r>
    <s v="O000423"/>
    <d v="2023-12-04T00:00:00"/>
    <x v="284"/>
    <x v="284"/>
    <s v="P0148"/>
    <x v="94"/>
    <s v="S022"/>
    <x v="2"/>
    <n v="2"/>
    <n v="0.1"/>
    <s v="Cash"/>
    <n v="3430.41"/>
    <n v="6860.82"/>
    <n v="686.08199999999999"/>
    <n v="6174.7379999999994"/>
    <n v="2912.56"/>
    <n v="5825.12"/>
    <n v="349.61799999999948"/>
    <x v="0"/>
  </r>
  <r>
    <s v="O000987"/>
    <d v="2023-12-05T00:00:00"/>
    <x v="285"/>
    <x v="285"/>
    <s v="P0104"/>
    <x v="6"/>
    <s v="S005"/>
    <x v="1"/>
    <n v="1"/>
    <n v="0"/>
    <s v="Credit Card"/>
    <n v="152.38"/>
    <n v="152.38"/>
    <n v="0"/>
    <n v="152.38"/>
    <n v="100.44"/>
    <n v="100.44"/>
    <n v="51.94"/>
    <x v="4"/>
  </r>
  <r>
    <s v="O000375"/>
    <d v="2023-12-06T00:00:00"/>
    <x v="286"/>
    <x v="286"/>
    <s v="P0149"/>
    <x v="86"/>
    <s v="S006"/>
    <x v="3"/>
    <n v="1"/>
    <n v="0"/>
    <s v="Credit Card"/>
    <n v="4294.7"/>
    <n v="4294.7"/>
    <n v="0"/>
    <n v="4294.7"/>
    <n v="3317.06"/>
    <n v="3317.06"/>
    <n v="977.63999999999987"/>
    <x v="0"/>
  </r>
  <r>
    <s v="O000041"/>
    <d v="2023-12-07T00:00:00"/>
    <x v="287"/>
    <x v="287"/>
    <s v="P0095"/>
    <x v="102"/>
    <s v="S002"/>
    <x v="2"/>
    <n v="1"/>
    <n v="0"/>
    <s v="Credit Card"/>
    <n v="587.35"/>
    <n v="587.35"/>
    <n v="0"/>
    <n v="587.35"/>
    <n v="438.09"/>
    <n v="438.09"/>
    <n v="149.26000000000005"/>
    <x v="4"/>
  </r>
  <r>
    <s v="O000301"/>
    <d v="2023-12-07T00:00:00"/>
    <x v="288"/>
    <x v="288"/>
    <s v="P0148"/>
    <x v="94"/>
    <s v="S010"/>
    <x v="1"/>
    <n v="1"/>
    <n v="0"/>
    <s v="UPI"/>
    <n v="3430.41"/>
    <n v="3430.41"/>
    <n v="0"/>
    <n v="3430.41"/>
    <n v="2912.56"/>
    <n v="2912.56"/>
    <n v="517.84999999999991"/>
    <x v="0"/>
  </r>
  <r>
    <s v="O000459"/>
    <d v="2023-12-08T00:00:00"/>
    <x v="289"/>
    <x v="289"/>
    <s v="P0129"/>
    <x v="58"/>
    <s v="S024"/>
    <x v="0"/>
    <n v="1"/>
    <n v="0"/>
    <s v="Credit Card"/>
    <n v="3285.82"/>
    <n v="3285.82"/>
    <n v="0"/>
    <n v="3285.82"/>
    <n v="2256.9699999999998"/>
    <n v="2256.9699999999998"/>
    <n v="1028.8500000000004"/>
    <x v="0"/>
  </r>
  <r>
    <s v="O000381"/>
    <d v="2023-12-11T00:00:00"/>
    <x v="290"/>
    <x v="290"/>
    <s v="P0065"/>
    <x v="83"/>
    <s v="S020"/>
    <x v="3"/>
    <n v="1"/>
    <n v="0"/>
    <s v="Debit Card"/>
    <n v="3429.74"/>
    <n v="3429.74"/>
    <n v="0"/>
    <n v="3429.74"/>
    <n v="2172.39"/>
    <n v="2172.39"/>
    <n v="1257.3499999999999"/>
    <x v="3"/>
  </r>
  <r>
    <s v="O000371"/>
    <d v="2023-12-12T00:00:00"/>
    <x v="291"/>
    <x v="291"/>
    <s v="P0007"/>
    <x v="115"/>
    <s v="S012"/>
    <x v="1"/>
    <n v="2"/>
    <n v="0"/>
    <s v="Cash"/>
    <n v="26638.81"/>
    <n v="53277.62"/>
    <n v="0"/>
    <n v="53277.62"/>
    <n v="20107.810000000001"/>
    <n v="40215.620000000003"/>
    <n v="13062"/>
    <x v="1"/>
  </r>
  <r>
    <s v="O000558"/>
    <d v="2023-12-15T00:00:00"/>
    <x v="292"/>
    <x v="292"/>
    <s v="P0059"/>
    <x v="13"/>
    <s v="S012"/>
    <x v="1"/>
    <n v="1"/>
    <n v="0.1"/>
    <s v="Debit Card"/>
    <n v="24743.52"/>
    <n v="24743.52"/>
    <n v="2474.3520000000003"/>
    <n v="22269.168000000001"/>
    <n v="16620.189999999999"/>
    <n v="16620.189999999999"/>
    <n v="5648.9780000000028"/>
    <x v="3"/>
  </r>
  <r>
    <s v="O000691"/>
    <d v="2023-12-15T00:00:00"/>
    <x v="293"/>
    <x v="293"/>
    <s v="P0032"/>
    <x v="85"/>
    <s v="S007"/>
    <x v="0"/>
    <n v="1"/>
    <n v="0"/>
    <s v="UPI"/>
    <n v="18113.48"/>
    <n v="18113.48"/>
    <n v="0"/>
    <n v="18113.48"/>
    <n v="12531.14"/>
    <n v="12531.14"/>
    <n v="5582.34"/>
    <x v="1"/>
  </r>
  <r>
    <s v="O000644"/>
    <d v="2023-12-16T00:00:00"/>
    <x v="294"/>
    <x v="294"/>
    <s v="P0022"/>
    <x v="130"/>
    <s v="S008"/>
    <x v="1"/>
    <n v="1"/>
    <n v="0.05"/>
    <s v="UPI"/>
    <n v="9422.92"/>
    <n v="9422.92"/>
    <n v="471.14600000000002"/>
    <n v="8951.7739999999994"/>
    <n v="7399.19"/>
    <n v="7399.19"/>
    <n v="1552.5839999999998"/>
    <x v="1"/>
  </r>
  <r>
    <s v="O000127"/>
    <d v="2023-12-17T00:00:00"/>
    <x v="295"/>
    <x v="295"/>
    <s v="P0136"/>
    <x v="42"/>
    <s v="S018"/>
    <x v="0"/>
    <n v="1"/>
    <n v="0"/>
    <s v="UPI"/>
    <n v="1702.4"/>
    <n v="1702.4"/>
    <n v="0"/>
    <n v="1702.4"/>
    <n v="1284.8900000000001"/>
    <n v="1284.8900000000001"/>
    <n v="417.51"/>
    <x v="0"/>
  </r>
  <r>
    <s v="O000140"/>
    <d v="2023-12-18T00:00:00"/>
    <x v="296"/>
    <x v="296"/>
    <s v="P0084"/>
    <x v="96"/>
    <s v="S024"/>
    <x v="0"/>
    <n v="1"/>
    <n v="0"/>
    <s v="UPI"/>
    <n v="1332.31"/>
    <n v="1332.31"/>
    <n v="0"/>
    <n v="1332.31"/>
    <n v="957.87"/>
    <n v="957.87"/>
    <n v="374.43999999999994"/>
    <x v="2"/>
  </r>
  <r>
    <s v="O000504"/>
    <d v="2023-12-19T00:00:00"/>
    <x v="297"/>
    <x v="297"/>
    <s v="P0111"/>
    <x v="126"/>
    <s v="S020"/>
    <x v="3"/>
    <n v="1"/>
    <n v="0.05"/>
    <s v="Credit Card"/>
    <n v="912.62"/>
    <n v="912.62"/>
    <n v="45.631"/>
    <n v="866.98900000000003"/>
    <n v="648.75"/>
    <n v="648.75"/>
    <n v="218.23900000000003"/>
    <x v="4"/>
  </r>
  <r>
    <s v="O000801"/>
    <d v="2023-12-19T00:00:00"/>
    <x v="298"/>
    <x v="298"/>
    <s v="P0020"/>
    <x v="1"/>
    <s v="S014"/>
    <x v="1"/>
    <n v="4"/>
    <n v="0"/>
    <s v="UPI"/>
    <n v="21602.44"/>
    <n v="86409.76"/>
    <n v="0"/>
    <n v="86409.76"/>
    <n v="13134.58"/>
    <n v="52538.32"/>
    <n v="33871.439999999995"/>
    <x v="1"/>
  </r>
  <r>
    <s v="O000778"/>
    <d v="2023-12-20T00:00:00"/>
    <x v="299"/>
    <x v="299"/>
    <s v="P0018"/>
    <x v="62"/>
    <s v="S004"/>
    <x v="3"/>
    <n v="1"/>
    <n v="0.05"/>
    <s v="UPI"/>
    <n v="54876.34"/>
    <n v="54876.34"/>
    <n v="2743.817"/>
    <n v="52132.522999999994"/>
    <n v="41521.22"/>
    <n v="41521.22"/>
    <n v="10611.302999999993"/>
    <x v="1"/>
  </r>
  <r>
    <s v="O000907"/>
    <d v="2023-12-20T00:00:00"/>
    <x v="300"/>
    <x v="300"/>
    <s v="P0074"/>
    <x v="131"/>
    <s v="S007"/>
    <x v="0"/>
    <n v="2"/>
    <n v="0"/>
    <s v="UPI"/>
    <n v="6726.61"/>
    <n v="13453.22"/>
    <n v="0"/>
    <n v="13453.22"/>
    <n v="5191.03"/>
    <n v="10382.06"/>
    <n v="3071.16"/>
    <x v="2"/>
  </r>
  <r>
    <s v="O000718"/>
    <d v="2023-12-24T00:00:00"/>
    <x v="301"/>
    <x v="301"/>
    <s v="P0037"/>
    <x v="65"/>
    <s v="S010"/>
    <x v="1"/>
    <n v="3"/>
    <n v="0.05"/>
    <s v="Credit Card"/>
    <n v="78938.720000000001"/>
    <n v="236816.16"/>
    <n v="11840.808000000001"/>
    <n v="224975.35200000001"/>
    <n v="53801.63"/>
    <n v="161404.88999999998"/>
    <n v="63570.462000000029"/>
    <x v="1"/>
  </r>
  <r>
    <s v="O000177"/>
    <d v="2023-12-25T00:00:00"/>
    <x v="302"/>
    <x v="302"/>
    <s v="P0071"/>
    <x v="67"/>
    <s v="S019"/>
    <x v="0"/>
    <n v="2"/>
    <n v="0.15"/>
    <s v="UPI"/>
    <n v="2211.5500000000002"/>
    <n v="4423.1000000000004"/>
    <n v="663.46500000000003"/>
    <n v="3759.6350000000002"/>
    <n v="1820.39"/>
    <n v="3640.78"/>
    <n v="118.85500000000002"/>
    <x v="2"/>
  </r>
  <r>
    <s v="O000255"/>
    <d v="2023-12-25T00:00:00"/>
    <x v="303"/>
    <x v="303"/>
    <s v="P0019"/>
    <x v="132"/>
    <s v="S021"/>
    <x v="0"/>
    <n v="1"/>
    <n v="0.05"/>
    <s v="Net Banking"/>
    <n v="12552.69"/>
    <n v="12552.69"/>
    <n v="627.63450000000012"/>
    <n v="11925.0555"/>
    <n v="8737.9"/>
    <n v="8737.9"/>
    <n v="3187.1555000000008"/>
    <x v="1"/>
  </r>
  <r>
    <s v="O000299"/>
    <d v="2023-12-25T00:00:00"/>
    <x v="304"/>
    <x v="304"/>
    <s v="P0018"/>
    <x v="62"/>
    <s v="S004"/>
    <x v="3"/>
    <n v="1"/>
    <n v="0.1"/>
    <s v="Debit Card"/>
    <n v="54876.34"/>
    <n v="54876.34"/>
    <n v="5487.634"/>
    <n v="49388.705999999998"/>
    <n v="41521.22"/>
    <n v="41521.22"/>
    <n v="7867.4859999999971"/>
    <x v="1"/>
  </r>
  <r>
    <s v="O000917"/>
    <d v="2023-12-26T00:00:00"/>
    <x v="305"/>
    <x v="305"/>
    <s v="P0072"/>
    <x v="133"/>
    <s v="S020"/>
    <x v="3"/>
    <n v="-1"/>
    <n v="0.2"/>
    <s v="UPI"/>
    <n v="3718.64"/>
    <n v="-3718.64"/>
    <n v="-743.72800000000007"/>
    <n v="-2974.9119999999998"/>
    <n v="3021.38"/>
    <n v="-3021.38"/>
    <n v="46.468000000000302"/>
    <x v="2"/>
  </r>
  <r>
    <s v="O000289"/>
    <d v="2023-12-27T00:00:00"/>
    <x v="306"/>
    <x v="306"/>
    <s v="P0108"/>
    <x v="24"/>
    <s v="S005"/>
    <x v="1"/>
    <n v="1"/>
    <n v="0.05"/>
    <s v="Debit Card"/>
    <n v="1123.58"/>
    <n v="1123.58"/>
    <n v="56.179000000000002"/>
    <n v="1067.4009999999998"/>
    <n v="665.75"/>
    <n v="665.75"/>
    <n v="401.65099999999984"/>
    <x v="4"/>
  </r>
  <r>
    <s v="O000969"/>
    <d v="2023-12-29T00:00:00"/>
    <x v="307"/>
    <x v="307"/>
    <s v="P0131"/>
    <x v="22"/>
    <s v="S009"/>
    <x v="0"/>
    <n v="3"/>
    <n v="0.05"/>
    <s v="UPI"/>
    <n v="4780.68"/>
    <n v="14342.04"/>
    <n v="717.10200000000009"/>
    <n v="13624.938"/>
    <n v="3940.05"/>
    <n v="11820.150000000001"/>
    <n v="1804.7879999999986"/>
    <x v="0"/>
  </r>
  <r>
    <s v="O000139"/>
    <d v="2023-12-30T00:00:00"/>
    <x v="308"/>
    <x v="308"/>
    <s v="P0061"/>
    <x v="78"/>
    <s v="S002"/>
    <x v="2"/>
    <n v="1"/>
    <n v="0.05"/>
    <s v="Cash"/>
    <n v="22102.15"/>
    <n v="22102.15"/>
    <n v="1105.1075000000001"/>
    <n v="20997.042500000003"/>
    <n v="15710.91"/>
    <n v="15710.91"/>
    <n v="5286.1325000000033"/>
    <x v="3"/>
  </r>
  <r>
    <s v="O000586"/>
    <d v="2023-12-30T00:00:00"/>
    <x v="309"/>
    <x v="309"/>
    <s v="P0058"/>
    <x v="52"/>
    <s v="S008"/>
    <x v="1"/>
    <n v="1"/>
    <n v="0"/>
    <s v="Credit Card"/>
    <n v="27105.29"/>
    <n v="27105.29"/>
    <n v="0"/>
    <n v="27105.29"/>
    <n v="17092.599999999999"/>
    <n v="17092.599999999999"/>
    <n v="10012.690000000002"/>
    <x v="3"/>
  </r>
  <r>
    <s v="O000505"/>
    <d v="2023-12-31T00:00:00"/>
    <x v="310"/>
    <x v="310"/>
    <s v="P0107"/>
    <x v="63"/>
    <s v="S005"/>
    <x v="1"/>
    <n v="4"/>
    <n v="0.05"/>
    <s v="Debit Card"/>
    <n v="1494.3"/>
    <n v="5977.2"/>
    <n v="298.86"/>
    <n v="5678.34"/>
    <n v="1031.67"/>
    <n v="4126.68"/>
    <n v="1551.6599999999999"/>
    <x v="4"/>
  </r>
  <r>
    <s v="O000225"/>
    <d v="2024-01-02T00:00:00"/>
    <x v="168"/>
    <x v="168"/>
    <s v="P0129"/>
    <x v="58"/>
    <s v="S023"/>
    <x v="1"/>
    <n v="4"/>
    <n v="0"/>
    <s v="Cash"/>
    <n v="3285.82"/>
    <n v="13143.28"/>
    <n v="0"/>
    <n v="13143.28"/>
    <n v="2256.9699999999998"/>
    <n v="9027.8799999999992"/>
    <n v="4115.4000000000015"/>
    <x v="0"/>
  </r>
  <r>
    <s v="O000336"/>
    <d v="2024-01-04T00:00:00"/>
    <x v="311"/>
    <x v="311"/>
    <s v="P0056"/>
    <x v="50"/>
    <s v="S021"/>
    <x v="0"/>
    <n v="1"/>
    <n v="0"/>
    <s v="Debit Card"/>
    <n v="24430.33"/>
    <n v="24430.33"/>
    <n v="0"/>
    <n v="24430.33"/>
    <n v="14996.73"/>
    <n v="14996.73"/>
    <n v="9433.6000000000022"/>
    <x v="3"/>
  </r>
  <r>
    <s v="O000049"/>
    <d v="2024-01-06T00:00:00"/>
    <x v="312"/>
    <x v="312"/>
    <s v="P0110"/>
    <x v="18"/>
    <s v="S006"/>
    <x v="3"/>
    <n v="2"/>
    <n v="0"/>
    <s v="UPI"/>
    <n v="1053.9000000000001"/>
    <n v="2107.8000000000002"/>
    <n v="0"/>
    <n v="2107.8000000000002"/>
    <n v="710.59"/>
    <n v="1421.18"/>
    <n v="686.62000000000012"/>
    <x v="4"/>
  </r>
  <r>
    <s v="O000192"/>
    <d v="2024-01-06T00:00:00"/>
    <x v="313"/>
    <x v="313"/>
    <s v="P0005"/>
    <x v="56"/>
    <s v="S021"/>
    <x v="0"/>
    <n v="2"/>
    <n v="0"/>
    <s v="UPI"/>
    <n v="4719.2700000000004"/>
    <n v="9438.5400000000009"/>
    <n v="0"/>
    <n v="9438.5400000000009"/>
    <n v="3322.23"/>
    <n v="6644.46"/>
    <n v="2794.0800000000008"/>
    <x v="1"/>
  </r>
  <r>
    <s v="O000418"/>
    <d v="2024-01-06T00:00:00"/>
    <x v="314"/>
    <x v="314"/>
    <s v="P0106"/>
    <x v="44"/>
    <s v="S008"/>
    <x v="1"/>
    <n v="1"/>
    <n v="0"/>
    <s v="UPI"/>
    <n v="817.37"/>
    <n v="817.37"/>
    <n v="0"/>
    <n v="817.37"/>
    <n v="595.03"/>
    <n v="595.03"/>
    <n v="222.34000000000003"/>
    <x v="4"/>
  </r>
  <r>
    <s v="O000522"/>
    <d v="2024-01-07T00:00:00"/>
    <x v="315"/>
    <x v="315"/>
    <s v="P0117"/>
    <x v="55"/>
    <s v="S009"/>
    <x v="0"/>
    <n v="1"/>
    <n v="0"/>
    <s v="UPI"/>
    <n v="130.63"/>
    <n v="130.63"/>
    <n v="0"/>
    <n v="130.63"/>
    <n v="75.33"/>
    <n v="75.33"/>
    <n v="55.3"/>
    <x v="4"/>
  </r>
  <r>
    <s v="O000631"/>
    <d v="2024-01-08T00:00:00"/>
    <x v="316"/>
    <x v="316"/>
    <s v="P0038"/>
    <x v="97"/>
    <s v="S013"/>
    <x v="0"/>
    <n v="1"/>
    <n v="0.05"/>
    <s v="Credit Card"/>
    <n v="22362.17"/>
    <n v="22362.17"/>
    <n v="1118.1085"/>
    <n v="21244.0615"/>
    <n v="12317.6"/>
    <n v="12317.6"/>
    <n v="8926.4614999999994"/>
    <x v="1"/>
  </r>
  <r>
    <s v="O000576"/>
    <d v="2024-01-09T00:00:00"/>
    <x v="317"/>
    <x v="317"/>
    <s v="P0099"/>
    <x v="46"/>
    <s v="S020"/>
    <x v="3"/>
    <n v="2"/>
    <n v="0"/>
    <s v="UPI"/>
    <n v="631.26"/>
    <n v="1262.52"/>
    <n v="0"/>
    <n v="1262.52"/>
    <n v="394.86"/>
    <n v="789.72"/>
    <n v="472.79999999999995"/>
    <x v="4"/>
  </r>
  <r>
    <s v="O000577"/>
    <d v="2024-01-10T00:00:00"/>
    <x v="318"/>
    <x v="318"/>
    <s v="P0123"/>
    <x v="77"/>
    <s v="S001"/>
    <x v="2"/>
    <n v="1"/>
    <n v="0"/>
    <s v="Credit Card"/>
    <n v="1666.93"/>
    <n v="1666.93"/>
    <n v="0"/>
    <n v="1666.93"/>
    <n v="983.54"/>
    <n v="983.54"/>
    <n v="683.3900000000001"/>
    <x v="0"/>
  </r>
  <r>
    <s v="O000546"/>
    <d v="2024-01-11T00:00:00"/>
    <x v="319"/>
    <x v="319"/>
    <s v="P0041"/>
    <x v="110"/>
    <s v="S022"/>
    <x v="2"/>
    <n v="1"/>
    <n v="0"/>
    <s v="Cash"/>
    <n v="11511.46"/>
    <n v="11511.46"/>
    <n v="0"/>
    <n v="11511.46"/>
    <n v="9046.98"/>
    <n v="9046.98"/>
    <n v="2464.4799999999996"/>
    <x v="3"/>
  </r>
  <r>
    <s v="O000724"/>
    <d v="2024-01-12T00:00:00"/>
    <x v="320"/>
    <x v="320"/>
    <s v="P0109"/>
    <x v="104"/>
    <s v="S017"/>
    <x v="0"/>
    <n v="1"/>
    <n v="0"/>
    <s v="UPI"/>
    <n v="675.13"/>
    <n v="675.13"/>
    <n v="0"/>
    <n v="675.13"/>
    <n v="510.45"/>
    <n v="510.45"/>
    <n v="164.68"/>
    <x v="4"/>
  </r>
  <r>
    <s v="O000901"/>
    <d v="2024-01-12T00:00:00"/>
    <x v="321"/>
    <x v="321"/>
    <s v="P0086"/>
    <x v="20"/>
    <s v="S001"/>
    <x v="2"/>
    <n v="5"/>
    <n v="0.1"/>
    <s v="Net Banking"/>
    <n v="2008.33"/>
    <n v="10041.65"/>
    <n v="1004.165"/>
    <n v="9037.4850000000006"/>
    <n v="1688.91"/>
    <n v="8444.5500000000011"/>
    <n v="592.93499999999949"/>
    <x v="2"/>
  </r>
  <r>
    <s v="O000338"/>
    <d v="2024-01-15T00:00:00"/>
    <x v="322"/>
    <x v="322"/>
    <s v="P0135"/>
    <x v="127"/>
    <s v="S004"/>
    <x v="3"/>
    <n v="2"/>
    <n v="0"/>
    <s v="Cash"/>
    <n v="3355.04"/>
    <n v="6710.08"/>
    <n v="0"/>
    <n v="6710.08"/>
    <n v="1914.01"/>
    <n v="3828.02"/>
    <n v="2882.06"/>
    <x v="0"/>
  </r>
  <r>
    <s v="O000315"/>
    <d v="2024-01-16T00:00:00"/>
    <x v="323"/>
    <x v="323"/>
    <s v="P0004"/>
    <x v="76"/>
    <s v="S007"/>
    <x v="0"/>
    <n v="1"/>
    <n v="0.05"/>
    <s v="Credit Card"/>
    <n v="10619.36"/>
    <n v="10619.36"/>
    <n v="530.96800000000007"/>
    <n v="10088.392"/>
    <n v="6544.82"/>
    <n v="6544.82"/>
    <n v="3543.5720000000001"/>
    <x v="1"/>
  </r>
  <r>
    <s v="O000275"/>
    <d v="2024-01-21T00:00:00"/>
    <x v="324"/>
    <x v="324"/>
    <s v="P0004"/>
    <x v="76"/>
    <s v="S004"/>
    <x v="3"/>
    <n v="2"/>
    <n v="0"/>
    <s v="UPI"/>
    <n v="10619.36"/>
    <n v="21238.720000000001"/>
    <n v="0"/>
    <n v="21238.720000000001"/>
    <n v="6544.82"/>
    <n v="13089.64"/>
    <n v="8149.0800000000017"/>
    <x v="1"/>
  </r>
  <r>
    <s v="O000088"/>
    <d v="2024-01-22T00:00:00"/>
    <x v="303"/>
    <x v="303"/>
    <s v="P0102"/>
    <x v="37"/>
    <s v="S009"/>
    <x v="0"/>
    <n v="2"/>
    <n v="0.05"/>
    <s v="Credit Card"/>
    <n v="1282.31"/>
    <n v="2564.62"/>
    <n v="128.23099999999999"/>
    <n v="2436.3890000000001"/>
    <n v="759"/>
    <n v="1518"/>
    <n v="918.38900000000012"/>
    <x v="4"/>
  </r>
  <r>
    <s v="O000525"/>
    <d v="2024-01-24T00:00:00"/>
    <x v="325"/>
    <x v="325"/>
    <s v="P0059"/>
    <x v="13"/>
    <s v="S019"/>
    <x v="0"/>
    <n v="3"/>
    <n v="0.1"/>
    <s v="Credit Card"/>
    <n v="24743.52"/>
    <n v="74230.559999999998"/>
    <n v="7423.0560000000005"/>
    <n v="66807.504000000001"/>
    <n v="16620.189999999999"/>
    <n v="49860.569999999992"/>
    <n v="16946.934000000008"/>
    <x v="3"/>
  </r>
  <r>
    <s v="O000640"/>
    <d v="2024-01-24T00:00:00"/>
    <x v="101"/>
    <x v="101"/>
    <s v="P0012"/>
    <x v="134"/>
    <s v="S014"/>
    <x v="1"/>
    <n v="2"/>
    <n v="0.05"/>
    <s v="UPI"/>
    <n v="50139.94"/>
    <n v="100279.88"/>
    <n v="5013.9940000000006"/>
    <n v="95265.885999999999"/>
    <n v="37762.71"/>
    <n v="75525.42"/>
    <n v="19740.466"/>
    <x v="1"/>
  </r>
  <r>
    <s v="O000117"/>
    <d v="2024-01-25T00:00:00"/>
    <x v="326"/>
    <x v="326"/>
    <s v="P0087"/>
    <x v="60"/>
    <s v="S023"/>
    <x v="1"/>
    <n v="1"/>
    <n v="0"/>
    <s v="UPI"/>
    <n v="2599.96"/>
    <n v="2599.96"/>
    <n v="0"/>
    <n v="2599.96"/>
    <n v="1643"/>
    <n v="1643"/>
    <n v="956.96"/>
    <x v="2"/>
  </r>
  <r>
    <s v="O000956"/>
    <d v="2024-01-26T00:00:00"/>
    <x v="327"/>
    <x v="327"/>
    <s v="P0071"/>
    <x v="67"/>
    <s v="S025"/>
    <x v="2"/>
    <n v="1"/>
    <n v="0.15"/>
    <s v="Credit Card"/>
    <n v="2211.5500000000002"/>
    <n v="2211.5500000000002"/>
    <n v="331.73250000000002"/>
    <n v="1879.8175000000001"/>
    <n v="1820.39"/>
    <n v="1820.39"/>
    <n v="59.427500000000009"/>
    <x v="2"/>
  </r>
  <r>
    <s v="O000688"/>
    <d v="2024-01-29T00:00:00"/>
    <x v="328"/>
    <x v="328"/>
    <s v="P0064"/>
    <x v="135"/>
    <s v="S020"/>
    <x v="3"/>
    <n v="1"/>
    <n v="0"/>
    <s v="Debit Card"/>
    <n v="1797.31"/>
    <n v="1797.31"/>
    <n v="0"/>
    <n v="1797.31"/>
    <n v="1257.43"/>
    <n v="1257.43"/>
    <n v="539.87999999999988"/>
    <x v="3"/>
  </r>
  <r>
    <s v="O000100"/>
    <d v="2024-01-31T00:00:00"/>
    <x v="329"/>
    <x v="329"/>
    <s v="P0008"/>
    <x v="136"/>
    <s v="S014"/>
    <x v="1"/>
    <n v="3"/>
    <n v="0.05"/>
    <s v="Credit Card"/>
    <n v="76009.95"/>
    <n v="228029.84999999998"/>
    <n v="11401.4925"/>
    <n v="216628.35749999998"/>
    <n v="41916.89"/>
    <n v="125750.67"/>
    <n v="90877.687499999985"/>
    <x v="1"/>
  </r>
  <r>
    <s v="O000397"/>
    <d v="2024-01-31T00:00:00"/>
    <x v="330"/>
    <x v="330"/>
    <s v="P0133"/>
    <x v="137"/>
    <s v="S020"/>
    <x v="3"/>
    <n v="1"/>
    <n v="0"/>
    <s v="UPI"/>
    <n v="4058.64"/>
    <n v="4058.64"/>
    <n v="0"/>
    <n v="4058.64"/>
    <n v="2892.93"/>
    <n v="2892.93"/>
    <n v="1165.71"/>
    <x v="0"/>
  </r>
  <r>
    <s v="O000284"/>
    <d v="2024-02-01T00:00:00"/>
    <x v="331"/>
    <x v="331"/>
    <s v="P0105"/>
    <x v="138"/>
    <s v="S016"/>
    <x v="0"/>
    <n v="1"/>
    <n v="0"/>
    <s v="UPI"/>
    <n v="881.18"/>
    <n v="881.18"/>
    <n v="0"/>
    <n v="881.18"/>
    <n v="626.67999999999995"/>
    <n v="626.67999999999995"/>
    <n v="254.5"/>
    <x v="4"/>
  </r>
  <r>
    <s v="O000307"/>
    <d v="2024-02-03T00:00:00"/>
    <x v="332"/>
    <x v="332"/>
    <s v="P0136"/>
    <x v="42"/>
    <s v="S004"/>
    <x v="3"/>
    <n v="1"/>
    <n v="0.05"/>
    <s v="UPI"/>
    <n v="1702.4"/>
    <n v="1702.4"/>
    <n v="85.12"/>
    <n v="1617.2800000000002"/>
    <n v="1284.8900000000001"/>
    <n v="1284.8900000000001"/>
    <n v="332.3900000000001"/>
    <x v="0"/>
  </r>
  <r>
    <s v="O000105"/>
    <d v="2024-02-04T00:00:00"/>
    <x v="333"/>
    <x v="333"/>
    <s v="P0023"/>
    <x v="98"/>
    <s v="S006"/>
    <x v="3"/>
    <n v="3"/>
    <n v="0"/>
    <s v="Cash"/>
    <n v="36481.47"/>
    <n v="109444.41"/>
    <n v="0"/>
    <n v="109444.41"/>
    <n v="30666.16"/>
    <n v="91998.48"/>
    <n v="17445.930000000008"/>
    <x v="1"/>
  </r>
  <r>
    <s v="O000579"/>
    <d v="2024-02-04T00:00:00"/>
    <x v="334"/>
    <x v="334"/>
    <s v="P0068"/>
    <x v="15"/>
    <s v="S014"/>
    <x v="1"/>
    <n v="1"/>
    <n v="0"/>
    <s v="UPI"/>
    <n v="5944.75"/>
    <n v="5944.75"/>
    <n v="0"/>
    <n v="5944.75"/>
    <n v="4447.5200000000004"/>
    <n v="4447.5200000000004"/>
    <n v="1497.2299999999996"/>
    <x v="2"/>
  </r>
  <r>
    <s v="O000572"/>
    <d v="2024-02-05T00:00:00"/>
    <x v="335"/>
    <x v="335"/>
    <s v="P0122"/>
    <x v="139"/>
    <s v="S024"/>
    <x v="0"/>
    <n v="2"/>
    <n v="0"/>
    <s v="Credit Card"/>
    <n v="777.56"/>
    <n v="1555.12"/>
    <n v="0"/>
    <n v="1555.12"/>
    <n v="503.09"/>
    <n v="1006.18"/>
    <n v="548.93999999999994"/>
    <x v="4"/>
  </r>
  <r>
    <s v="O000126"/>
    <d v="2024-02-06T00:00:00"/>
    <x v="336"/>
    <x v="336"/>
    <s v="P0088"/>
    <x v="140"/>
    <s v="S006"/>
    <x v="3"/>
    <n v="4"/>
    <n v="0.15"/>
    <s v="UPI"/>
    <n v="7414.77"/>
    <n v="29659.08"/>
    <n v="4448.8620000000001"/>
    <n v="25210.218000000001"/>
    <n v="4859.1400000000003"/>
    <n v="19436.560000000001"/>
    <n v="5773.6579999999994"/>
    <x v="2"/>
  </r>
  <r>
    <s v="O000727"/>
    <d v="2024-02-06T00:00:00"/>
    <x v="337"/>
    <x v="337"/>
    <s v="P0135"/>
    <x v="127"/>
    <s v="S022"/>
    <x v="2"/>
    <n v="4"/>
    <n v="0"/>
    <s v="Net Banking"/>
    <n v="3355.04"/>
    <n v="13420.16"/>
    <n v="0"/>
    <n v="13420.16"/>
    <n v="1914.01"/>
    <n v="7656.04"/>
    <n v="5764.12"/>
    <x v="0"/>
  </r>
  <r>
    <s v="O000300"/>
    <d v="2024-02-07T00:00:00"/>
    <x v="338"/>
    <x v="338"/>
    <s v="P0091"/>
    <x v="87"/>
    <s v="S020"/>
    <x v="3"/>
    <n v="1"/>
    <n v="0"/>
    <s v="Credit Card"/>
    <n v="5979.07"/>
    <n v="5979.07"/>
    <n v="0"/>
    <n v="5979.07"/>
    <n v="4121.96"/>
    <n v="4121.96"/>
    <n v="1857.1099999999997"/>
    <x v="2"/>
  </r>
  <r>
    <s v="O000091"/>
    <d v="2024-02-09T00:00:00"/>
    <x v="339"/>
    <x v="339"/>
    <s v="P0134"/>
    <x v="108"/>
    <s v="S009"/>
    <x v="0"/>
    <n v="2"/>
    <n v="0"/>
    <s v="Debit Card"/>
    <n v="3581.9"/>
    <n v="7163.8"/>
    <n v="0"/>
    <n v="7163.8"/>
    <n v="2770.12"/>
    <n v="5540.24"/>
    <n v="1623.5600000000004"/>
    <x v="0"/>
  </r>
  <r>
    <s v="O000728"/>
    <d v="2024-02-09T00:00:00"/>
    <x v="340"/>
    <x v="340"/>
    <s v="P0005"/>
    <x v="56"/>
    <s v="S007"/>
    <x v="0"/>
    <n v="2"/>
    <n v="0.1"/>
    <s v="Cash"/>
    <n v="4719.2700000000004"/>
    <n v="9438.5400000000009"/>
    <n v="943.85400000000016"/>
    <n v="8494.6860000000015"/>
    <n v="3322.23"/>
    <n v="6644.46"/>
    <n v="1850.2260000000015"/>
    <x v="1"/>
  </r>
  <r>
    <s v="O000830"/>
    <d v="2024-02-09T00:00:00"/>
    <x v="328"/>
    <x v="328"/>
    <s v="P0072"/>
    <x v="133"/>
    <s v="S021"/>
    <x v="0"/>
    <n v="1"/>
    <n v="0.05"/>
    <s v="Credit Card"/>
    <n v="3718.64"/>
    <n v="3718.64"/>
    <n v="185.93200000000002"/>
    <n v="3532.7079999999996"/>
    <n v="3021.38"/>
    <n v="3021.38"/>
    <n v="511.32799999999952"/>
    <x v="2"/>
  </r>
  <r>
    <s v="O000259"/>
    <d v="2024-02-10T00:00:00"/>
    <x v="341"/>
    <x v="341"/>
    <s v="P0028"/>
    <x v="27"/>
    <s v="S022"/>
    <x v="2"/>
    <n v="1"/>
    <n v="0"/>
    <s v="Debit Card"/>
    <n v="52004.72"/>
    <n v="52004.72"/>
    <n v="0"/>
    <n v="52004.72"/>
    <n v="43224.87"/>
    <n v="43224.87"/>
    <n v="8779.8499999999985"/>
    <x v="1"/>
  </r>
  <r>
    <s v="O000472"/>
    <d v="2024-02-10T00:00:00"/>
    <x v="342"/>
    <x v="342"/>
    <s v="P0065"/>
    <x v="83"/>
    <s v="S011"/>
    <x v="0"/>
    <n v="1"/>
    <n v="0"/>
    <s v="Debit Card"/>
    <n v="3429.74"/>
    <n v="3429.74"/>
    <n v="0"/>
    <n v="3429.74"/>
    <n v="2172.39"/>
    <n v="2172.39"/>
    <n v="1257.3499999999999"/>
    <x v="3"/>
  </r>
  <r>
    <s v="O000373"/>
    <d v="2024-02-12T00:00:00"/>
    <x v="343"/>
    <x v="343"/>
    <s v="P0032"/>
    <x v="85"/>
    <s v="S016"/>
    <x v="0"/>
    <n v="2"/>
    <n v="0"/>
    <s v="Credit Card"/>
    <n v="18113.48"/>
    <n v="36226.959999999999"/>
    <n v="0"/>
    <n v="36226.959999999999"/>
    <n v="12531.14"/>
    <n v="25062.28"/>
    <n v="11164.68"/>
    <x v="1"/>
  </r>
  <r>
    <s v="O000998"/>
    <d v="2024-02-14T00:00:00"/>
    <x v="344"/>
    <x v="344"/>
    <s v="P0074"/>
    <x v="131"/>
    <s v="S004"/>
    <x v="3"/>
    <n v="2"/>
    <n v="0"/>
    <s v="Debit Card"/>
    <n v="6726.61"/>
    <n v="13453.22"/>
    <n v="0"/>
    <n v="13453.22"/>
    <n v="5191.03"/>
    <n v="10382.06"/>
    <n v="3071.16"/>
    <x v="2"/>
  </r>
  <r>
    <s v="O000637"/>
    <d v="2024-02-15T00:00:00"/>
    <x v="345"/>
    <x v="345"/>
    <s v="P0141"/>
    <x v="141"/>
    <s v="S001"/>
    <x v="2"/>
    <n v="1"/>
    <n v="0.05"/>
    <s v="UPI"/>
    <n v="3000.36"/>
    <n v="3000.36"/>
    <n v="150.018"/>
    <n v="2850.3420000000001"/>
    <n v="2004.24"/>
    <n v="2004.24"/>
    <n v="846.10200000000009"/>
    <x v="0"/>
  </r>
  <r>
    <s v="O000804"/>
    <d v="2024-02-17T00:00:00"/>
    <x v="346"/>
    <x v="346"/>
    <s v="P0032"/>
    <x v="85"/>
    <s v="S005"/>
    <x v="1"/>
    <n v="4"/>
    <n v="0"/>
    <s v="Credit Card"/>
    <n v="18113.48"/>
    <n v="72453.919999999998"/>
    <n v="0"/>
    <n v="72453.919999999998"/>
    <n v="12531.14"/>
    <n v="50124.56"/>
    <n v="22329.360000000001"/>
    <x v="1"/>
  </r>
  <r>
    <s v="O000079"/>
    <d v="2024-02-18T00:00:00"/>
    <x v="347"/>
    <x v="347"/>
    <s v="P0146"/>
    <x v="51"/>
    <s v="S021"/>
    <x v="0"/>
    <n v="1"/>
    <n v="0"/>
    <s v="UPI"/>
    <n v="3309.4"/>
    <n v="3309.4"/>
    <n v="0"/>
    <n v="3309.4"/>
    <n v="2744.04"/>
    <n v="2744.04"/>
    <n v="565.36000000000013"/>
    <x v="0"/>
  </r>
  <r>
    <s v="O000183"/>
    <d v="2024-02-18T00:00:00"/>
    <x v="348"/>
    <x v="348"/>
    <s v="P0124"/>
    <x v="68"/>
    <s v="S013"/>
    <x v="0"/>
    <n v="2"/>
    <n v="0"/>
    <s v="UPI"/>
    <n v="1841.85"/>
    <n v="3683.7"/>
    <n v="0"/>
    <n v="3683.7"/>
    <n v="1327.7"/>
    <n v="2655.4"/>
    <n v="1028.2999999999997"/>
    <x v="0"/>
  </r>
  <r>
    <s v="O000409"/>
    <d v="2024-02-18T00:00:00"/>
    <x v="349"/>
    <x v="349"/>
    <s v="P0116"/>
    <x v="17"/>
    <s v="S015"/>
    <x v="3"/>
    <n v="1"/>
    <n v="0.1"/>
    <s v="Net Banking"/>
    <n v="1210.1500000000001"/>
    <n v="1210.1500000000001"/>
    <n v="121.01500000000001"/>
    <n v="1089.135"/>
    <n v="697.43"/>
    <n v="697.43"/>
    <n v="391.70500000000004"/>
    <x v="4"/>
  </r>
  <r>
    <s v="O000333"/>
    <d v="2024-02-19T00:00:00"/>
    <x v="350"/>
    <x v="350"/>
    <s v="P0043"/>
    <x v="124"/>
    <s v="S009"/>
    <x v="0"/>
    <n v="5"/>
    <n v="0"/>
    <s v="Credit Card"/>
    <n v="22827.119999999999"/>
    <n v="114135.59999999999"/>
    <n v="0"/>
    <n v="114135.59999999999"/>
    <n v="18264.07"/>
    <n v="91320.35"/>
    <n v="22815.249999999985"/>
    <x v="3"/>
  </r>
  <r>
    <s v="O000621"/>
    <d v="2024-02-19T00:00:00"/>
    <x v="248"/>
    <x v="248"/>
    <s v="P0050"/>
    <x v="5"/>
    <s v="S023"/>
    <x v="1"/>
    <n v="1"/>
    <n v="0.05"/>
    <s v="UPI"/>
    <n v="14006.13"/>
    <n v="14006.13"/>
    <n v="700.30650000000003"/>
    <n v="13305.823499999999"/>
    <n v="9829.2800000000007"/>
    <n v="9829.2800000000007"/>
    <n v="3476.5434999999979"/>
    <x v="3"/>
  </r>
  <r>
    <s v="O000308"/>
    <d v="2024-02-23T00:00:00"/>
    <x v="351"/>
    <x v="351"/>
    <s v="P0115"/>
    <x v="118"/>
    <s v="S023"/>
    <x v="1"/>
    <n v="1"/>
    <n v="0.05"/>
    <s v="Debit Card"/>
    <n v="343.15"/>
    <n v="343.15"/>
    <n v="17.157499999999999"/>
    <n v="325.99249999999995"/>
    <n v="192.59"/>
    <n v="192.59"/>
    <n v="133.40249999999995"/>
    <x v="4"/>
  </r>
  <r>
    <s v="O000238"/>
    <d v="2024-02-24T00:00:00"/>
    <x v="352"/>
    <x v="352"/>
    <s v="P0147"/>
    <x v="109"/>
    <s v="S006"/>
    <x v="3"/>
    <n v="1"/>
    <n v="0"/>
    <s v="Cash"/>
    <n v="4084.63"/>
    <n v="4084.63"/>
    <n v="0"/>
    <n v="4084.63"/>
    <n v="2990.01"/>
    <n v="2990.01"/>
    <n v="1094.6199999999999"/>
    <x v="0"/>
  </r>
  <r>
    <s v="O000885"/>
    <d v="2024-02-26T00:00:00"/>
    <x v="353"/>
    <x v="353"/>
    <s v="P0136"/>
    <x v="42"/>
    <s v="S002"/>
    <x v="2"/>
    <n v="1"/>
    <n v="0"/>
    <s v="Cash"/>
    <n v="1702.4"/>
    <n v="1702.4"/>
    <n v="0"/>
    <n v="1702.4"/>
    <n v="1284.8900000000001"/>
    <n v="1284.8900000000001"/>
    <n v="417.51"/>
    <x v="0"/>
  </r>
  <r>
    <s v="O000210"/>
    <d v="2024-02-27T00:00:00"/>
    <x v="145"/>
    <x v="145"/>
    <s v="P0119"/>
    <x v="29"/>
    <s v="S025"/>
    <x v="2"/>
    <n v="1"/>
    <n v="0"/>
    <s v="Credit Card"/>
    <n v="400.63"/>
    <n v="400.63"/>
    <n v="0"/>
    <n v="400.63"/>
    <n v="222.73"/>
    <n v="222.73"/>
    <n v="177.9"/>
    <x v="4"/>
  </r>
  <r>
    <s v="O000244"/>
    <d v="2024-02-27T00:00:00"/>
    <x v="354"/>
    <x v="354"/>
    <s v="P0091"/>
    <x v="87"/>
    <s v="S016"/>
    <x v="0"/>
    <n v="1"/>
    <n v="0.15"/>
    <s v="Debit Card"/>
    <n v="5979.07"/>
    <n v="5979.07"/>
    <n v="896.86049999999989"/>
    <n v="5082.2094999999999"/>
    <n v="4121.96"/>
    <n v="4121.96"/>
    <n v="960.2494999999999"/>
    <x v="2"/>
  </r>
  <r>
    <s v="O000708"/>
    <d v="2024-02-27T00:00:00"/>
    <x v="355"/>
    <x v="355"/>
    <s v="P0028"/>
    <x v="27"/>
    <s v="S016"/>
    <x v="0"/>
    <n v="1"/>
    <n v="0"/>
    <s v="UPI"/>
    <n v="52004.72"/>
    <n v="52004.72"/>
    <n v="0"/>
    <n v="52004.72"/>
    <n v="43224.87"/>
    <n v="43224.87"/>
    <n v="8779.8499999999985"/>
    <x v="1"/>
  </r>
  <r>
    <s v="O000914"/>
    <d v="2024-03-02T00:00:00"/>
    <x v="356"/>
    <x v="356"/>
    <s v="P0123"/>
    <x v="77"/>
    <s v="S022"/>
    <x v="2"/>
    <n v="1"/>
    <n v="0.1"/>
    <s v="UPI"/>
    <n v="1666.93"/>
    <n v="1666.93"/>
    <n v="166.69300000000001"/>
    <n v="1500.2370000000001"/>
    <n v="983.54"/>
    <n v="983.54"/>
    <n v="516.69700000000012"/>
    <x v="0"/>
  </r>
  <r>
    <s v="O000671"/>
    <d v="2024-03-07T00:00:00"/>
    <x v="357"/>
    <x v="357"/>
    <s v="P0128"/>
    <x v="14"/>
    <s v="S001"/>
    <x v="2"/>
    <n v="4"/>
    <n v="0.1"/>
    <s v="Net Banking"/>
    <n v="1655.17"/>
    <n v="6620.68"/>
    <n v="662.0680000000001"/>
    <n v="5958.6120000000001"/>
    <n v="1375.84"/>
    <n v="5503.36"/>
    <n v="455.25200000000041"/>
    <x v="0"/>
  </r>
  <r>
    <s v="O000389"/>
    <d v="2024-03-08T00:00:00"/>
    <x v="142"/>
    <x v="142"/>
    <s v="P0125"/>
    <x v="23"/>
    <s v="S006"/>
    <x v="3"/>
    <n v="1"/>
    <n v="0.1"/>
    <s v="UPI"/>
    <n v="1783.65"/>
    <n v="1783.65"/>
    <n v="178.36500000000001"/>
    <n v="1605.2850000000001"/>
    <n v="1128.95"/>
    <n v="1128.95"/>
    <n v="476.33500000000004"/>
    <x v="0"/>
  </r>
  <r>
    <s v="O000845"/>
    <d v="2024-03-08T00:00:00"/>
    <x v="252"/>
    <x v="252"/>
    <s v="P0107"/>
    <x v="63"/>
    <s v="S004"/>
    <x v="3"/>
    <n v="3"/>
    <n v="0.1"/>
    <s v="UPI"/>
    <n v="1494.3"/>
    <n v="4482.8999999999996"/>
    <n v="448.28999999999996"/>
    <n v="4034.6099999999997"/>
    <n v="1031.67"/>
    <n v="3095.01"/>
    <n v="939.59999999999945"/>
    <x v="4"/>
  </r>
  <r>
    <s v="O000864"/>
    <d v="2024-03-08T00:00:00"/>
    <x v="358"/>
    <x v="358"/>
    <s v="P0138"/>
    <x v="99"/>
    <s v="S015"/>
    <x v="3"/>
    <n v="1"/>
    <n v="0"/>
    <s v="Credit Card"/>
    <n v="3897.08"/>
    <n v="3897.08"/>
    <n v="0"/>
    <n v="3897.08"/>
    <n v="3214.46"/>
    <n v="3214.46"/>
    <n v="682.61999999999989"/>
    <x v="0"/>
  </r>
  <r>
    <s v="O000699"/>
    <d v="2024-03-09T00:00:00"/>
    <x v="359"/>
    <x v="359"/>
    <s v="P0136"/>
    <x v="42"/>
    <s v="S004"/>
    <x v="3"/>
    <n v="2"/>
    <n v="0"/>
    <s v="UPI"/>
    <n v="1702.4"/>
    <n v="3404.8"/>
    <n v="0"/>
    <n v="3404.8"/>
    <n v="1284.8900000000001"/>
    <n v="2569.7800000000002"/>
    <n v="835.02"/>
    <x v="0"/>
  </r>
  <r>
    <s v="O000306"/>
    <d v="2024-03-11T00:00:00"/>
    <x v="360"/>
    <x v="360"/>
    <s v="P0121"/>
    <x v="82"/>
    <s v="S018"/>
    <x v="0"/>
    <n v="1"/>
    <n v="0.05"/>
    <s v="UPI"/>
    <n v="1019.45"/>
    <n v="1019.45"/>
    <n v="50.972500000000004"/>
    <n v="968.47750000000008"/>
    <n v="683.18"/>
    <n v="683.18"/>
    <n v="285.29750000000013"/>
    <x v="4"/>
  </r>
  <r>
    <s v="O000159"/>
    <d v="2024-03-12T00:00:00"/>
    <x v="361"/>
    <x v="361"/>
    <s v="P0126"/>
    <x v="0"/>
    <s v="S023"/>
    <x v="1"/>
    <n v="2"/>
    <n v="0.1"/>
    <s v="UPI"/>
    <n v="3082.2"/>
    <n v="6164.4"/>
    <n v="616.44000000000005"/>
    <n v="5547.9599999999991"/>
    <n v="2561.06"/>
    <n v="5122.12"/>
    <n v="425.83999999999924"/>
    <x v="0"/>
  </r>
  <r>
    <s v="O000947"/>
    <d v="2024-03-12T00:00:00"/>
    <x v="362"/>
    <x v="362"/>
    <s v="P0124"/>
    <x v="68"/>
    <s v="S021"/>
    <x v="0"/>
    <n v="2"/>
    <n v="0"/>
    <s v="Cash"/>
    <n v="1841.85"/>
    <n v="3683.7"/>
    <n v="0"/>
    <n v="3683.7"/>
    <n v="1327.7"/>
    <n v="2655.4"/>
    <n v="1028.2999999999997"/>
    <x v="0"/>
  </r>
  <r>
    <s v="O000352"/>
    <d v="2024-03-13T00:00:00"/>
    <x v="363"/>
    <x v="363"/>
    <s v="P0054"/>
    <x v="59"/>
    <s v="S003"/>
    <x v="3"/>
    <n v="1"/>
    <n v="0"/>
    <s v="UPI"/>
    <n v="17619.849999999999"/>
    <n v="17619.849999999999"/>
    <n v="0"/>
    <n v="17619.849999999999"/>
    <n v="13837.65"/>
    <n v="13837.65"/>
    <n v="3782.1999999999989"/>
    <x v="3"/>
  </r>
  <r>
    <s v="O000512"/>
    <d v="2024-03-13T00:00:00"/>
    <x v="364"/>
    <x v="364"/>
    <s v="P0025"/>
    <x v="57"/>
    <s v="S021"/>
    <x v="0"/>
    <n v="1"/>
    <n v="0"/>
    <s v="Debit Card"/>
    <n v="45527.55"/>
    <n v="45527.55"/>
    <n v="0"/>
    <n v="45527.55"/>
    <n v="35089.57"/>
    <n v="35089.57"/>
    <n v="10437.980000000003"/>
    <x v="1"/>
  </r>
  <r>
    <s v="O000796"/>
    <d v="2024-03-14T00:00:00"/>
    <x v="365"/>
    <x v="365"/>
    <s v="P0005"/>
    <x v="56"/>
    <s v="S003"/>
    <x v="3"/>
    <n v="3"/>
    <n v="0"/>
    <s v="Credit Card"/>
    <n v="4719.2700000000004"/>
    <n v="14157.810000000001"/>
    <n v="0"/>
    <n v="14157.810000000001"/>
    <n v="3322.23"/>
    <n v="9966.69"/>
    <n v="4191.1200000000008"/>
    <x v="1"/>
  </r>
  <r>
    <s v="O000807"/>
    <d v="2024-03-14T00:00:00"/>
    <x v="366"/>
    <x v="366"/>
    <s v="P0089"/>
    <x v="142"/>
    <s v="S025"/>
    <x v="2"/>
    <n v="3"/>
    <n v="0"/>
    <s v="Credit Card"/>
    <n v="7419.82"/>
    <n v="22259.46"/>
    <n v="0"/>
    <n v="22259.46"/>
    <n v="5155.9799999999996"/>
    <n v="15467.939999999999"/>
    <n v="6791.52"/>
    <x v="2"/>
  </r>
  <r>
    <s v="O000081"/>
    <d v="2024-03-15T00:00:00"/>
    <x v="367"/>
    <x v="367"/>
    <s v="P0068"/>
    <x v="15"/>
    <s v="S023"/>
    <x v="1"/>
    <n v="1"/>
    <n v="0.05"/>
    <s v="UPI"/>
    <n v="5944.75"/>
    <n v="5944.75"/>
    <n v="297.23750000000001"/>
    <n v="5647.5124999999998"/>
    <n v="4447.5200000000004"/>
    <n v="4447.5200000000004"/>
    <n v="1199.9924999999994"/>
    <x v="2"/>
  </r>
  <r>
    <s v="O000646"/>
    <d v="2024-03-17T00:00:00"/>
    <x v="368"/>
    <x v="368"/>
    <s v="P0105"/>
    <x v="138"/>
    <s v="S018"/>
    <x v="0"/>
    <n v="1"/>
    <n v="0"/>
    <s v="UPI"/>
    <n v="881.18"/>
    <n v="881.18"/>
    <n v="0"/>
    <n v="881.18"/>
    <n v="626.67999999999995"/>
    <n v="626.67999999999995"/>
    <n v="254.5"/>
    <x v="4"/>
  </r>
  <r>
    <s v="O000915"/>
    <d v="2024-03-17T00:00:00"/>
    <x v="369"/>
    <x v="369"/>
    <s v="P0079"/>
    <x v="113"/>
    <s v="S024"/>
    <x v="0"/>
    <n v="2"/>
    <n v="0.05"/>
    <s v="UPI"/>
    <n v="7106.08"/>
    <n v="14212.16"/>
    <n v="710.60800000000006"/>
    <n v="13501.552"/>
    <n v="5246.63"/>
    <n v="10493.26"/>
    <n v="3008.2919999999995"/>
    <x v="2"/>
  </r>
  <r>
    <s v="O000399"/>
    <d v="2024-03-18T00:00:00"/>
    <x v="370"/>
    <x v="370"/>
    <s v="P0064"/>
    <x v="135"/>
    <s v="S025"/>
    <x v="2"/>
    <n v="1"/>
    <n v="0.05"/>
    <s v="UPI"/>
    <n v="1797.31"/>
    <n v="1797.31"/>
    <n v="89.865499999999997"/>
    <n v="1707.4445000000001"/>
    <n v="1257.43"/>
    <n v="1257.43"/>
    <n v="450.0145"/>
    <x v="3"/>
  </r>
  <r>
    <s v="O000483"/>
    <d v="2024-03-19T00:00:00"/>
    <x v="371"/>
    <x v="371"/>
    <s v="P0007"/>
    <x v="115"/>
    <s v="S011"/>
    <x v="0"/>
    <n v="5"/>
    <n v="0.1"/>
    <s v="Cash"/>
    <n v="26638.81"/>
    <n v="133194.05000000002"/>
    <n v="13319.405000000002"/>
    <n v="119874.64500000002"/>
    <n v="20107.810000000001"/>
    <n v="100539.05"/>
    <n v="19335.595000000016"/>
    <x v="1"/>
  </r>
  <r>
    <s v="O000067"/>
    <d v="2024-03-20T00:00:00"/>
    <x v="372"/>
    <x v="372"/>
    <s v="P0018"/>
    <x v="62"/>
    <s v="S010"/>
    <x v="1"/>
    <n v="2"/>
    <n v="0.1"/>
    <s v="Credit Card"/>
    <n v="54876.34"/>
    <n v="109752.68"/>
    <n v="10975.268"/>
    <n v="98777.411999999997"/>
    <n v="41521.22"/>
    <n v="83042.44"/>
    <n v="15734.971999999994"/>
    <x v="1"/>
  </r>
  <r>
    <s v="O000578"/>
    <d v="2024-03-20T00:00:00"/>
    <x v="373"/>
    <x v="373"/>
    <s v="P0027"/>
    <x v="81"/>
    <s v="S007"/>
    <x v="0"/>
    <n v="5"/>
    <n v="0.05"/>
    <s v="Credit Card"/>
    <n v="76661.149999999994"/>
    <n v="383305.75"/>
    <n v="19165.287500000002"/>
    <n v="364140.46250000002"/>
    <n v="44142.48"/>
    <n v="220712.40000000002"/>
    <n v="143428.0625"/>
    <x v="1"/>
  </r>
  <r>
    <s v="O000022"/>
    <d v="2024-03-23T00:00:00"/>
    <x v="374"/>
    <x v="374"/>
    <s v="P0139"/>
    <x v="143"/>
    <s v="S025"/>
    <x v="2"/>
    <n v="1"/>
    <n v="0"/>
    <s v="UPI"/>
    <n v="731.65"/>
    <n v="731.65"/>
    <n v="0"/>
    <n v="731.65"/>
    <n v="591.33000000000004"/>
    <n v="591.33000000000004"/>
    <n v="140.31999999999994"/>
    <x v="0"/>
  </r>
  <r>
    <s v="O000395"/>
    <d v="2024-03-24T00:00:00"/>
    <x v="375"/>
    <x v="375"/>
    <s v="P0097"/>
    <x v="90"/>
    <s v="S024"/>
    <x v="0"/>
    <n v="1"/>
    <n v="0"/>
    <s v="Cash"/>
    <n v="1140.1600000000001"/>
    <n v="1140.1600000000001"/>
    <n v="0"/>
    <n v="1140.1600000000001"/>
    <n v="763.74"/>
    <n v="763.74"/>
    <n v="376.42000000000007"/>
    <x v="4"/>
  </r>
  <r>
    <s v="O000003"/>
    <d v="2024-03-27T00:00:00"/>
    <x v="376"/>
    <x v="376"/>
    <s v="P0112"/>
    <x v="43"/>
    <s v="S012"/>
    <x v="1"/>
    <n v="1"/>
    <n v="0.05"/>
    <s v="UPI"/>
    <n v="985.76"/>
    <n v="985.76"/>
    <n v="49.288000000000004"/>
    <n v="936.47199999999998"/>
    <n v="669.86"/>
    <n v="669.86"/>
    <n v="266.61199999999997"/>
    <x v="4"/>
  </r>
  <r>
    <s v="O000367"/>
    <d v="2024-03-28T00:00:00"/>
    <x v="377"/>
    <x v="377"/>
    <s v="P0038"/>
    <x v="97"/>
    <s v="S003"/>
    <x v="3"/>
    <n v="1"/>
    <n v="0"/>
    <s v="Cash"/>
    <n v="22362.17"/>
    <n v="22362.17"/>
    <n v="0"/>
    <n v="22362.17"/>
    <n v="12317.6"/>
    <n v="12317.6"/>
    <n v="10044.569999999998"/>
    <x v="1"/>
  </r>
  <r>
    <s v="O000615"/>
    <d v="2024-03-28T00:00:00"/>
    <x v="378"/>
    <x v="378"/>
    <s v="P0048"/>
    <x v="48"/>
    <s v="S020"/>
    <x v="3"/>
    <n v="1"/>
    <n v="0"/>
    <s v="Cash"/>
    <n v="29675.72"/>
    <n v="29675.72"/>
    <n v="0"/>
    <n v="29675.72"/>
    <n v="17695.330000000002"/>
    <n v="17695.330000000002"/>
    <n v="11980.39"/>
    <x v="3"/>
  </r>
  <r>
    <s v="O000009"/>
    <d v="2024-03-31T00:00:00"/>
    <x v="379"/>
    <x v="379"/>
    <s v="P0064"/>
    <x v="135"/>
    <s v="S019"/>
    <x v="0"/>
    <n v="1"/>
    <n v="0"/>
    <s v="Credit Card"/>
    <n v="1797.31"/>
    <n v="1797.31"/>
    <n v="0"/>
    <n v="1797.31"/>
    <n v="1257.43"/>
    <n v="1257.43"/>
    <n v="539.87999999999988"/>
    <x v="3"/>
  </r>
  <r>
    <s v="O000340"/>
    <d v="2024-04-01T00:00:00"/>
    <x v="380"/>
    <x v="380"/>
    <s v="P0131"/>
    <x v="22"/>
    <s v="S025"/>
    <x v="2"/>
    <n v="2"/>
    <n v="0.05"/>
    <s v="UPI"/>
    <n v="4780.68"/>
    <n v="9561.36"/>
    <n v="478.06800000000004"/>
    <n v="9083.2920000000013"/>
    <n v="3940.05"/>
    <n v="7880.1"/>
    <n v="1203.1920000000009"/>
    <x v="0"/>
  </r>
  <r>
    <s v="O000173"/>
    <d v="2024-04-02T00:00:00"/>
    <x v="381"/>
    <x v="381"/>
    <s v="P0065"/>
    <x v="83"/>
    <s v="S018"/>
    <x v="0"/>
    <n v="3"/>
    <n v="0"/>
    <s v="Debit Card"/>
    <n v="3429.74"/>
    <n v="10289.219999999999"/>
    <n v="0"/>
    <n v="10289.219999999999"/>
    <n v="2172.39"/>
    <n v="6517.17"/>
    <n v="3772.0499999999993"/>
    <x v="3"/>
  </r>
  <r>
    <s v="O000327"/>
    <d v="2024-04-02T00:00:00"/>
    <x v="382"/>
    <x v="382"/>
    <s v="P0112"/>
    <x v="43"/>
    <s v="S011"/>
    <x v="0"/>
    <n v="2"/>
    <n v="0"/>
    <s v="Debit Card"/>
    <n v="985.76"/>
    <n v="1971.52"/>
    <n v="0"/>
    <n v="1971.52"/>
    <n v="669.86"/>
    <n v="1339.72"/>
    <n v="631.79999999999995"/>
    <x v="4"/>
  </r>
  <r>
    <s v="O000237"/>
    <d v="2024-04-04T00:00:00"/>
    <x v="383"/>
    <x v="383"/>
    <s v="P0089"/>
    <x v="142"/>
    <s v="S006"/>
    <x v="3"/>
    <n v="1"/>
    <n v="0"/>
    <s v="UPI"/>
    <n v="7419.82"/>
    <n v="7419.82"/>
    <n v="0"/>
    <n v="7419.82"/>
    <n v="5155.9799999999996"/>
    <n v="5155.9799999999996"/>
    <n v="2263.84"/>
    <x v="2"/>
  </r>
  <r>
    <s v="O000441"/>
    <d v="2024-04-04T00:00:00"/>
    <x v="384"/>
    <x v="384"/>
    <s v="P0006"/>
    <x v="75"/>
    <s v="S009"/>
    <x v="0"/>
    <n v="1"/>
    <n v="0"/>
    <s v="UPI"/>
    <n v="39996.370000000003"/>
    <n v="39996.370000000003"/>
    <n v="0"/>
    <n v="39996.370000000003"/>
    <n v="26192.21"/>
    <n v="26192.21"/>
    <n v="13804.160000000003"/>
    <x v="1"/>
  </r>
  <r>
    <s v="O000643"/>
    <d v="2024-04-04T00:00:00"/>
    <x v="385"/>
    <x v="385"/>
    <s v="P0146"/>
    <x v="51"/>
    <s v="S018"/>
    <x v="0"/>
    <n v="2"/>
    <n v="0"/>
    <s v="UPI"/>
    <n v="3309.4"/>
    <n v="6618.8"/>
    <n v="0"/>
    <n v="6618.8"/>
    <n v="2744.04"/>
    <n v="5488.08"/>
    <n v="1130.7200000000003"/>
    <x v="0"/>
  </r>
  <r>
    <s v="O000782"/>
    <d v="2024-04-04T00:00:00"/>
    <x v="386"/>
    <x v="386"/>
    <s v="P0090"/>
    <x v="93"/>
    <s v="S004"/>
    <x v="3"/>
    <n v="2"/>
    <n v="0.1"/>
    <s v="Credit Card"/>
    <n v="6708.36"/>
    <n v="13416.72"/>
    <n v="1341.672"/>
    <n v="12075.047999999999"/>
    <n v="5031.45"/>
    <n v="10062.9"/>
    <n v="2012.1479999999992"/>
    <x v="2"/>
  </r>
  <r>
    <s v="O000385"/>
    <d v="2024-04-05T00:00:00"/>
    <x v="387"/>
    <x v="387"/>
    <s v="P0134"/>
    <x v="108"/>
    <s v="S014"/>
    <x v="1"/>
    <n v="2"/>
    <n v="0"/>
    <s v="UPI"/>
    <n v="3581.9"/>
    <n v="7163.8"/>
    <n v="0"/>
    <n v="7163.8"/>
    <n v="2770.12"/>
    <n v="5540.24"/>
    <n v="1623.5600000000004"/>
    <x v="0"/>
  </r>
  <r>
    <s v="O000663"/>
    <d v="2024-04-06T00:00:00"/>
    <x v="388"/>
    <x v="388"/>
    <s v="P0101"/>
    <x v="54"/>
    <s v="S007"/>
    <x v="0"/>
    <n v="2"/>
    <n v="0.05"/>
    <s v="UPI"/>
    <n v="775.19"/>
    <n v="1550.38"/>
    <n v="77.519000000000005"/>
    <n v="1472.8610000000001"/>
    <n v="597.84"/>
    <n v="1195.68"/>
    <n v="277.18100000000004"/>
    <x v="4"/>
  </r>
  <r>
    <s v="O000826"/>
    <d v="2024-04-06T00:00:00"/>
    <x v="389"/>
    <x v="389"/>
    <s v="P0029"/>
    <x v="2"/>
    <s v="S014"/>
    <x v="1"/>
    <n v="3"/>
    <n v="0.1"/>
    <s v="UPI"/>
    <n v="51647.41"/>
    <n v="154942.23000000001"/>
    <n v="15494.223000000002"/>
    <n v="139448.00700000001"/>
    <n v="43564.65"/>
    <n v="130693.95000000001"/>
    <n v="8754.0570000000007"/>
    <x v="1"/>
  </r>
  <r>
    <s v="O000123"/>
    <d v="2024-04-07T00:00:00"/>
    <x v="390"/>
    <x v="390"/>
    <s v="P0061"/>
    <x v="78"/>
    <s v="S010"/>
    <x v="1"/>
    <n v="3"/>
    <n v="0.05"/>
    <s v="Debit Card"/>
    <n v="22102.15"/>
    <n v="66306.450000000012"/>
    <n v="3315.3225000000007"/>
    <n v="62991.12750000001"/>
    <n v="15710.91"/>
    <n v="47132.729999999996"/>
    <n v="15858.397500000014"/>
    <x v="3"/>
  </r>
  <r>
    <s v="O000749"/>
    <d v="2024-04-09T00:00:00"/>
    <x v="391"/>
    <x v="391"/>
    <s v="P0030"/>
    <x v="95"/>
    <s v="S013"/>
    <x v="0"/>
    <n v="1"/>
    <n v="0"/>
    <s v="Cash"/>
    <n v="76019.78"/>
    <n v="76019.78"/>
    <n v="0"/>
    <n v="76019.78"/>
    <n v="53305.15"/>
    <n v="53305.15"/>
    <n v="22714.629999999997"/>
    <x v="1"/>
  </r>
  <r>
    <s v="O000060"/>
    <d v="2024-04-11T00:00:00"/>
    <x v="392"/>
    <x v="392"/>
    <s v="P0061"/>
    <x v="78"/>
    <s v="S004"/>
    <x v="3"/>
    <n v="1"/>
    <n v="0.1"/>
    <s v="UPI"/>
    <n v="22102.15"/>
    <n v="22102.15"/>
    <n v="2210.2150000000001"/>
    <n v="19891.935000000001"/>
    <n v="15710.91"/>
    <n v="15710.91"/>
    <n v="4181.0250000000015"/>
    <x v="3"/>
  </r>
  <r>
    <s v="O000379"/>
    <d v="2024-04-11T00:00:00"/>
    <x v="393"/>
    <x v="393"/>
    <s v="P0035"/>
    <x v="53"/>
    <s v="S009"/>
    <x v="0"/>
    <n v="2"/>
    <n v="0.1"/>
    <s v="UPI"/>
    <n v="29153.55"/>
    <n v="58307.1"/>
    <n v="5830.71"/>
    <n v="52476.39"/>
    <n v="21894.27"/>
    <n v="43788.54"/>
    <n v="8687.8499999999985"/>
    <x v="1"/>
  </r>
  <r>
    <s v="O000877"/>
    <d v="2024-04-11T00:00:00"/>
    <x v="394"/>
    <x v="394"/>
    <s v="P0131"/>
    <x v="22"/>
    <s v="S025"/>
    <x v="2"/>
    <n v="1"/>
    <n v="0"/>
    <s v="Cash"/>
    <n v="4780.68"/>
    <n v="4780.68"/>
    <n v="0"/>
    <n v="4780.68"/>
    <n v="3940.05"/>
    <n v="3940.05"/>
    <n v="840.63000000000011"/>
    <x v="0"/>
  </r>
  <r>
    <s v="O000780"/>
    <d v="2024-04-13T00:00:00"/>
    <x v="395"/>
    <x v="395"/>
    <s v="P0016"/>
    <x v="38"/>
    <s v="S021"/>
    <x v="0"/>
    <n v="1"/>
    <n v="0"/>
    <s v="UPI"/>
    <n v="63665.16"/>
    <n v="63665.16"/>
    <n v="0"/>
    <n v="63665.16"/>
    <n v="52565.61"/>
    <n v="52565.61"/>
    <n v="11099.550000000003"/>
    <x v="1"/>
  </r>
  <r>
    <s v="O000873"/>
    <d v="2024-04-13T00:00:00"/>
    <x v="396"/>
    <x v="396"/>
    <s v="P0041"/>
    <x v="110"/>
    <s v="S023"/>
    <x v="1"/>
    <n v="1"/>
    <n v="0.1"/>
    <s v="Credit Card"/>
    <n v="11511.46"/>
    <n v="11511.46"/>
    <n v="1151.146"/>
    <n v="10360.313999999998"/>
    <n v="9046.98"/>
    <n v="9046.98"/>
    <n v="1313.3339999999989"/>
    <x v="3"/>
  </r>
  <r>
    <s v="O000249"/>
    <d v="2024-04-14T00:00:00"/>
    <x v="397"/>
    <x v="397"/>
    <s v="P0088"/>
    <x v="140"/>
    <s v="S014"/>
    <x v="1"/>
    <n v="1"/>
    <n v="0.2"/>
    <s v="Credit Card"/>
    <n v="7414.77"/>
    <n v="7414.77"/>
    <n v="1482.9540000000002"/>
    <n v="5931.8160000000007"/>
    <n v="4859.1400000000003"/>
    <n v="4859.1400000000003"/>
    <n v="1072.6760000000004"/>
    <x v="2"/>
  </r>
  <r>
    <s v="O000160"/>
    <d v="2024-04-15T00:00:00"/>
    <x v="398"/>
    <x v="398"/>
    <s v="P0088"/>
    <x v="140"/>
    <s v="S011"/>
    <x v="0"/>
    <n v="1"/>
    <n v="0.2"/>
    <s v="Credit Card"/>
    <n v="7414.77"/>
    <n v="7414.77"/>
    <n v="1482.9540000000002"/>
    <n v="5931.8160000000007"/>
    <n v="4859.1400000000003"/>
    <n v="4859.1400000000003"/>
    <n v="1072.6760000000004"/>
    <x v="2"/>
  </r>
  <r>
    <s v="O000507"/>
    <d v="2024-04-17T00:00:00"/>
    <x v="399"/>
    <x v="399"/>
    <s v="P0066"/>
    <x v="49"/>
    <s v="S004"/>
    <x v="3"/>
    <n v="1"/>
    <n v="0.1"/>
    <s v="Debit Card"/>
    <n v="7801.86"/>
    <n v="7801.86"/>
    <n v="780.18600000000004"/>
    <n v="7021.674"/>
    <n v="5332.9"/>
    <n v="5332.9"/>
    <n v="1688.7740000000003"/>
    <x v="3"/>
  </r>
  <r>
    <s v="O000680"/>
    <d v="2024-04-19T00:00:00"/>
    <x v="400"/>
    <x v="400"/>
    <s v="P0057"/>
    <x v="41"/>
    <s v="S003"/>
    <x v="3"/>
    <n v="2"/>
    <n v="0.05"/>
    <s v="UPI"/>
    <n v="21084.61"/>
    <n v="42169.22"/>
    <n v="2108.4610000000002"/>
    <n v="40060.758999999998"/>
    <n v="12896.65"/>
    <n v="25793.3"/>
    <n v="14267.458999999999"/>
    <x v="3"/>
  </r>
  <r>
    <s v="O000324"/>
    <d v="2024-04-20T00:00:00"/>
    <x v="401"/>
    <x v="401"/>
    <s v="P0089"/>
    <x v="142"/>
    <s v="S003"/>
    <x v="3"/>
    <n v="1"/>
    <n v="0.15"/>
    <s v="UPI"/>
    <n v="7419.82"/>
    <n v="7419.82"/>
    <n v="1112.973"/>
    <n v="6306.8469999999998"/>
    <n v="5155.9799999999996"/>
    <n v="5155.9799999999996"/>
    <n v="1150.8670000000002"/>
    <x v="2"/>
  </r>
  <r>
    <s v="O000344"/>
    <d v="2024-04-20T00:00:00"/>
    <x v="402"/>
    <x v="402"/>
    <s v="P0103"/>
    <x v="120"/>
    <s v="S008"/>
    <x v="1"/>
    <n v="1"/>
    <n v="0"/>
    <s v="Credit Card"/>
    <n v="500.73"/>
    <n v="500.73"/>
    <n v="0"/>
    <n v="500.73"/>
    <n v="407.66"/>
    <n v="407.66"/>
    <n v="93.07"/>
    <x v="4"/>
  </r>
  <r>
    <s v="O000383"/>
    <d v="2024-04-20T00:00:00"/>
    <x v="403"/>
    <x v="403"/>
    <s v="P0101"/>
    <x v="54"/>
    <s v="S012"/>
    <x v="1"/>
    <n v="1"/>
    <n v="0.1"/>
    <s v="Credit Card"/>
    <n v="775.19"/>
    <n v="775.19"/>
    <n v="77.519000000000005"/>
    <n v="697.67100000000005"/>
    <n v="597.84"/>
    <n v="597.84"/>
    <n v="99.831000000000017"/>
    <x v="4"/>
  </r>
  <r>
    <s v="O000836"/>
    <d v="2024-04-20T00:00:00"/>
    <x v="404"/>
    <x v="404"/>
    <s v="P0083"/>
    <x v="26"/>
    <s v="S002"/>
    <x v="2"/>
    <n v="3"/>
    <n v="0.05"/>
    <s v="Debit Card"/>
    <n v="1436.28"/>
    <n v="4308.84"/>
    <n v="215.44200000000001"/>
    <n v="4093.3980000000001"/>
    <n v="1097.5"/>
    <n v="3292.5"/>
    <n v="800.89800000000014"/>
    <x v="2"/>
  </r>
  <r>
    <s v="O000810"/>
    <d v="2024-04-21T00:00:00"/>
    <x v="405"/>
    <x v="405"/>
    <s v="P0126"/>
    <x v="0"/>
    <s v="S009"/>
    <x v="0"/>
    <n v="1"/>
    <n v="0"/>
    <s v="Debit Card"/>
    <n v="3082.2"/>
    <n v="3082.2"/>
    <n v="0"/>
    <n v="3082.2"/>
    <n v="2561.06"/>
    <n v="2561.06"/>
    <n v="521.13999999999987"/>
    <x v="0"/>
  </r>
  <r>
    <s v="O000981"/>
    <d v="2024-04-21T00:00:00"/>
    <x v="406"/>
    <x v="406"/>
    <s v="P0031"/>
    <x v="91"/>
    <s v="S009"/>
    <x v="0"/>
    <n v="1"/>
    <n v="0.1"/>
    <s v="Debit Card"/>
    <n v="52596.38"/>
    <n v="52596.38"/>
    <n v="5259.6379999999999"/>
    <n v="47336.741999999998"/>
    <n v="36028.78"/>
    <n v="36028.78"/>
    <n v="11307.962"/>
    <x v="1"/>
  </r>
  <r>
    <s v="O000946"/>
    <d v="2024-04-22T00:00:00"/>
    <x v="407"/>
    <x v="407"/>
    <s v="P0048"/>
    <x v="48"/>
    <s v="S004"/>
    <x v="3"/>
    <n v="2"/>
    <n v="0.05"/>
    <s v="UPI"/>
    <n v="29675.72"/>
    <n v="59351.44"/>
    <n v="2967.5720000000001"/>
    <n v="56383.868000000002"/>
    <n v="17695.330000000002"/>
    <n v="35390.660000000003"/>
    <n v="20993.207999999999"/>
    <x v="3"/>
  </r>
  <r>
    <s v="O000200"/>
    <d v="2024-04-26T00:00:00"/>
    <x v="408"/>
    <x v="408"/>
    <s v="P0013"/>
    <x v="111"/>
    <s v="S018"/>
    <x v="0"/>
    <n v="2"/>
    <n v="0"/>
    <s v="UPI"/>
    <n v="36179.730000000003"/>
    <n v="72359.460000000006"/>
    <n v="0"/>
    <n v="72359.460000000006"/>
    <n v="25344.32"/>
    <n v="50688.639999999999"/>
    <n v="21670.820000000007"/>
    <x v="1"/>
  </r>
  <r>
    <s v="O000358"/>
    <d v="2024-04-26T00:00:00"/>
    <x v="409"/>
    <x v="409"/>
    <s v="P0097"/>
    <x v="90"/>
    <s v="S014"/>
    <x v="1"/>
    <n v="1"/>
    <n v="0"/>
    <s v="Credit Card"/>
    <n v="1140.1600000000001"/>
    <n v="1140.1600000000001"/>
    <n v="0"/>
    <n v="1140.1600000000001"/>
    <n v="763.74"/>
    <n v="763.74"/>
    <n v="376.42000000000007"/>
    <x v="4"/>
  </r>
  <r>
    <s v="O000116"/>
    <d v="2024-04-27T00:00:00"/>
    <x v="410"/>
    <x v="410"/>
    <s v="P0129"/>
    <x v="58"/>
    <s v="S016"/>
    <x v="0"/>
    <n v="1"/>
    <n v="0.05"/>
    <s v="Net Banking"/>
    <n v="3285.82"/>
    <n v="3285.82"/>
    <n v="164.29100000000003"/>
    <n v="3121.529"/>
    <n v="2256.9699999999998"/>
    <n v="2256.9699999999998"/>
    <n v="864.5590000000002"/>
    <x v="0"/>
  </r>
  <r>
    <s v="O000099"/>
    <d v="2024-04-28T00:00:00"/>
    <x v="411"/>
    <x v="411"/>
    <s v="P0003"/>
    <x v="92"/>
    <s v="S012"/>
    <x v="1"/>
    <n v="1"/>
    <n v="0"/>
    <s v="UPI"/>
    <n v="14374.7"/>
    <n v="14374.7"/>
    <n v="0"/>
    <n v="14374.7"/>
    <n v="11335.72"/>
    <n v="11335.72"/>
    <n v="3038.9800000000014"/>
    <x v="1"/>
  </r>
  <r>
    <s v="O000486"/>
    <d v="2024-04-28T00:00:00"/>
    <x v="412"/>
    <x v="412"/>
    <s v="P0025"/>
    <x v="57"/>
    <s v="S014"/>
    <x v="1"/>
    <n v="2"/>
    <n v="0.1"/>
    <s v="UPI"/>
    <n v="45527.55"/>
    <n v="91055.1"/>
    <n v="9105.51"/>
    <n v="81949.590000000011"/>
    <n v="35089.57"/>
    <n v="70179.14"/>
    <n v="11770.450000000012"/>
    <x v="1"/>
  </r>
  <r>
    <s v="O000164"/>
    <d v="2024-04-29T00:00:00"/>
    <x v="413"/>
    <x v="413"/>
    <s v="P0112"/>
    <x v="43"/>
    <s v="S024"/>
    <x v="0"/>
    <n v="1"/>
    <n v="0"/>
    <s v="Credit Card"/>
    <n v="985.76"/>
    <n v="985.76"/>
    <n v="0"/>
    <n v="985.76"/>
    <n v="669.86"/>
    <n v="669.86"/>
    <n v="315.89999999999998"/>
    <x v="4"/>
  </r>
  <r>
    <s v="O000783"/>
    <d v="2024-05-02T00:00:00"/>
    <x v="414"/>
    <x v="414"/>
    <s v="P0109"/>
    <x v="104"/>
    <s v="S013"/>
    <x v="0"/>
    <n v="1"/>
    <n v="0"/>
    <s v="Cash"/>
    <n v="675.13"/>
    <n v="675.13"/>
    <n v="0"/>
    <n v="675.13"/>
    <n v="510.45"/>
    <n v="510.45"/>
    <n v="164.68"/>
    <x v="4"/>
  </r>
  <r>
    <s v="O000142"/>
    <d v="2024-05-03T00:00:00"/>
    <x v="415"/>
    <x v="415"/>
    <s v="P0123"/>
    <x v="77"/>
    <s v="S018"/>
    <x v="0"/>
    <n v="2"/>
    <n v="0.05"/>
    <s v="Net Banking"/>
    <n v="1666.93"/>
    <n v="3333.86"/>
    <n v="166.69300000000001"/>
    <n v="3167.1669999999999"/>
    <n v="983.54"/>
    <n v="1967.08"/>
    <n v="1200.087"/>
    <x v="0"/>
  </r>
  <r>
    <s v="O000812"/>
    <d v="2024-05-03T00:00:00"/>
    <x v="416"/>
    <x v="416"/>
    <s v="P0124"/>
    <x v="68"/>
    <s v="S009"/>
    <x v="0"/>
    <n v="1"/>
    <n v="0.1"/>
    <s v="Credit Card"/>
    <n v="1841.85"/>
    <n v="1841.85"/>
    <n v="184.185"/>
    <n v="1657.665"/>
    <n v="1327.7"/>
    <n v="1327.7"/>
    <n v="329.96499999999992"/>
    <x v="0"/>
  </r>
  <r>
    <s v="O000382"/>
    <d v="2024-05-05T00:00:00"/>
    <x v="417"/>
    <x v="417"/>
    <s v="P0059"/>
    <x v="13"/>
    <s v="S017"/>
    <x v="0"/>
    <n v="4"/>
    <n v="0"/>
    <s v="UPI"/>
    <n v="24743.52"/>
    <n v="98974.080000000002"/>
    <n v="0"/>
    <n v="98974.080000000002"/>
    <n v="16620.189999999999"/>
    <n v="66480.759999999995"/>
    <n v="32493.320000000007"/>
    <x v="3"/>
  </r>
  <r>
    <s v="O000341"/>
    <d v="2024-05-07T00:00:00"/>
    <x v="418"/>
    <x v="418"/>
    <s v="P0149"/>
    <x v="86"/>
    <s v="S009"/>
    <x v="0"/>
    <n v="3"/>
    <n v="0"/>
    <s v="Cash"/>
    <n v="4294.7"/>
    <n v="12884.099999999999"/>
    <n v="0"/>
    <n v="12884.099999999999"/>
    <n v="3317.06"/>
    <n v="9951.18"/>
    <n v="2932.9199999999983"/>
    <x v="0"/>
  </r>
  <r>
    <s v="O000932"/>
    <d v="2024-05-07T00:00:00"/>
    <x v="419"/>
    <x v="419"/>
    <s v="P0131"/>
    <x v="22"/>
    <s v="S022"/>
    <x v="2"/>
    <n v="1"/>
    <n v="0"/>
    <s v="Cash"/>
    <n v="4780.68"/>
    <n v="4780.68"/>
    <n v="0"/>
    <n v="4780.68"/>
    <n v="3940.05"/>
    <n v="3940.05"/>
    <n v="840.63000000000011"/>
    <x v="0"/>
  </r>
  <r>
    <s v="O000053"/>
    <d v="2024-05-08T00:00:00"/>
    <x v="420"/>
    <x v="420"/>
    <s v="P0065"/>
    <x v="83"/>
    <s v="S014"/>
    <x v="1"/>
    <n v="1"/>
    <n v="0"/>
    <s v="UPI"/>
    <n v="3429.74"/>
    <n v="3429.74"/>
    <n v="0"/>
    <n v="3429.74"/>
    <n v="2172.39"/>
    <n v="2172.39"/>
    <n v="1257.3499999999999"/>
    <x v="3"/>
  </r>
  <r>
    <s v="O000287"/>
    <d v="2024-05-08T00:00:00"/>
    <x v="421"/>
    <x v="421"/>
    <s v="P0013"/>
    <x v="111"/>
    <s v="S025"/>
    <x v="2"/>
    <n v="1"/>
    <n v="0.1"/>
    <s v="Credit Card"/>
    <n v="36179.730000000003"/>
    <n v="36179.730000000003"/>
    <n v="3617.9730000000004"/>
    <n v="32561.757000000001"/>
    <n v="25344.32"/>
    <n v="25344.32"/>
    <n v="7217.4370000000017"/>
    <x v="1"/>
  </r>
  <r>
    <s v="O000714"/>
    <d v="2024-05-08T00:00:00"/>
    <x v="422"/>
    <x v="422"/>
    <s v="P0124"/>
    <x v="68"/>
    <s v="S018"/>
    <x v="0"/>
    <n v="3"/>
    <n v="0"/>
    <s v="Credit Card"/>
    <n v="1841.85"/>
    <n v="5525.5499999999993"/>
    <n v="0"/>
    <n v="5525.5499999999993"/>
    <n v="1327.7"/>
    <n v="3983.1000000000004"/>
    <n v="1542.4499999999989"/>
    <x v="0"/>
  </r>
  <r>
    <s v="O001000"/>
    <d v="2024-05-08T00:00:00"/>
    <x v="423"/>
    <x v="423"/>
    <s v="P0145"/>
    <x v="8"/>
    <s v="S008"/>
    <x v="1"/>
    <n v="4"/>
    <n v="0"/>
    <s v="UPI"/>
    <n v="543.23"/>
    <n v="2172.92"/>
    <n v="0"/>
    <n v="2172.92"/>
    <n v="441.82"/>
    <n v="1767.28"/>
    <n v="405.6400000000001"/>
    <x v="0"/>
  </r>
  <r>
    <s v="O000002"/>
    <d v="2024-05-09T00:00:00"/>
    <x v="424"/>
    <x v="424"/>
    <s v="P0034"/>
    <x v="40"/>
    <s v="S025"/>
    <x v="2"/>
    <n v="3"/>
    <n v="0.05"/>
    <s v="Debit Card"/>
    <n v="70426.350000000006"/>
    <n v="211279.05000000002"/>
    <n v="10563.952500000001"/>
    <n v="200715.0975"/>
    <n v="41048.31"/>
    <n v="123144.93"/>
    <n v="77570.16750000001"/>
    <x v="1"/>
  </r>
  <r>
    <s v="O000739"/>
    <d v="2024-05-10T00:00:00"/>
    <x v="425"/>
    <x v="425"/>
    <s v="P0090"/>
    <x v="93"/>
    <s v="S012"/>
    <x v="1"/>
    <n v="4"/>
    <n v="0.1"/>
    <s v="Debit Card"/>
    <n v="6708.36"/>
    <n v="26833.439999999999"/>
    <n v="2683.3440000000001"/>
    <n v="24150.095999999998"/>
    <n v="5031.45"/>
    <n v="20125.8"/>
    <n v="4024.2959999999985"/>
    <x v="2"/>
  </r>
  <r>
    <s v="O000788"/>
    <d v="2024-05-10T00:00:00"/>
    <x v="426"/>
    <x v="426"/>
    <s v="P0027"/>
    <x v="81"/>
    <s v="S025"/>
    <x v="2"/>
    <n v="2"/>
    <n v="0.05"/>
    <s v="Credit Card"/>
    <n v="76661.149999999994"/>
    <n v="153322.29999999999"/>
    <n v="7666.1149999999998"/>
    <n v="145656.185"/>
    <n v="44142.48"/>
    <n v="88284.96"/>
    <n v="57371.224999999991"/>
    <x v="1"/>
  </r>
  <r>
    <s v="O000878"/>
    <d v="2024-05-10T00:00:00"/>
    <x v="427"/>
    <x v="427"/>
    <s v="P0114"/>
    <x v="31"/>
    <s v="S021"/>
    <x v="0"/>
    <n v="1"/>
    <n v="0"/>
    <s v="Debit Card"/>
    <n v="252.55"/>
    <n v="252.55"/>
    <n v="0"/>
    <n v="252.55"/>
    <n v="170.34"/>
    <n v="170.34"/>
    <n v="82.210000000000008"/>
    <x v="4"/>
  </r>
  <r>
    <s v="O000309"/>
    <d v="2024-05-11T00:00:00"/>
    <x v="428"/>
    <x v="428"/>
    <s v="P0043"/>
    <x v="124"/>
    <s v="S001"/>
    <x v="2"/>
    <n v="1"/>
    <n v="0"/>
    <s v="Net Banking"/>
    <n v="22827.119999999999"/>
    <n v="22827.119999999999"/>
    <n v="0"/>
    <n v="22827.119999999999"/>
    <n v="18264.07"/>
    <n v="18264.07"/>
    <n v="4563.0499999999993"/>
    <x v="3"/>
  </r>
  <r>
    <s v="O000927"/>
    <d v="2024-05-13T00:00:00"/>
    <x v="429"/>
    <x v="429"/>
    <s v="P0046"/>
    <x v="144"/>
    <s v="S015"/>
    <x v="3"/>
    <n v="1"/>
    <n v="0"/>
    <s v="Debit Card"/>
    <n v="23401.279999999999"/>
    <n v="23401.279999999999"/>
    <n v="0"/>
    <n v="23401.279999999999"/>
    <n v="13697.77"/>
    <n v="13697.77"/>
    <n v="9703.5099999999984"/>
    <x v="3"/>
  </r>
  <r>
    <s v="O000492"/>
    <d v="2024-05-16T00:00:00"/>
    <x v="430"/>
    <x v="430"/>
    <s v="P0021"/>
    <x v="45"/>
    <s v="S024"/>
    <x v="0"/>
    <n v="3"/>
    <n v="0.05"/>
    <s v="UPI"/>
    <n v="48777.16"/>
    <n v="146331.48000000001"/>
    <n v="7316.5740000000005"/>
    <n v="139014.90600000002"/>
    <n v="29771.48"/>
    <n v="89314.44"/>
    <n v="49700.466000000015"/>
    <x v="1"/>
  </r>
  <r>
    <s v="O000559"/>
    <d v="2024-05-16T00:00:00"/>
    <x v="431"/>
    <x v="431"/>
    <s v="P0013"/>
    <x v="111"/>
    <s v="S007"/>
    <x v="0"/>
    <n v="-1"/>
    <n v="0"/>
    <s v="UPI"/>
    <n v="36179.730000000003"/>
    <n v="-36179.730000000003"/>
    <n v="0"/>
    <n v="-36179.730000000003"/>
    <n v="25344.32"/>
    <n v="-25344.32"/>
    <n v="-10835.410000000003"/>
    <x v="1"/>
  </r>
  <r>
    <s v="O000190"/>
    <d v="2024-05-17T00:00:00"/>
    <x v="432"/>
    <x v="432"/>
    <s v="P0060"/>
    <x v="7"/>
    <s v="S002"/>
    <x v="2"/>
    <n v="1"/>
    <n v="0"/>
    <s v="UPI"/>
    <n v="4187.79"/>
    <n v="4187.79"/>
    <n v="0"/>
    <n v="4187.79"/>
    <n v="2951.03"/>
    <n v="2951.03"/>
    <n v="1236.7599999999998"/>
    <x v="3"/>
  </r>
  <r>
    <s v="O000058"/>
    <d v="2024-05-18T00:00:00"/>
    <x v="433"/>
    <x v="433"/>
    <s v="P0093"/>
    <x v="122"/>
    <s v="S003"/>
    <x v="3"/>
    <n v="1"/>
    <n v="0.15"/>
    <s v="Debit Card"/>
    <n v="4565.2299999999996"/>
    <n v="4565.2299999999996"/>
    <n v="684.78449999999987"/>
    <n v="3880.4454999999998"/>
    <n v="3658.34"/>
    <n v="3658.34"/>
    <n v="222.10549999999967"/>
    <x v="2"/>
  </r>
  <r>
    <s v="O000186"/>
    <d v="2024-05-18T00:00:00"/>
    <x v="434"/>
    <x v="434"/>
    <s v="P0068"/>
    <x v="15"/>
    <s v="S014"/>
    <x v="1"/>
    <n v="1"/>
    <n v="0.2"/>
    <s v="Credit Card"/>
    <n v="5944.75"/>
    <n v="5944.75"/>
    <n v="1188.95"/>
    <n v="4755.8"/>
    <n v="4447.5200000000004"/>
    <n v="4447.5200000000004"/>
    <n v="308.27999999999975"/>
    <x v="2"/>
  </r>
  <r>
    <s v="O000107"/>
    <d v="2024-05-19T00:00:00"/>
    <x v="435"/>
    <x v="435"/>
    <s v="P0134"/>
    <x v="108"/>
    <s v="S004"/>
    <x v="3"/>
    <n v="2"/>
    <n v="0"/>
    <s v="UPI"/>
    <n v="3581.9"/>
    <n v="7163.8"/>
    <n v="0"/>
    <n v="7163.8"/>
    <n v="2770.12"/>
    <n v="5540.24"/>
    <n v="1623.5600000000004"/>
    <x v="0"/>
  </r>
  <r>
    <s v="O000528"/>
    <d v="2024-05-20T00:00:00"/>
    <x v="436"/>
    <x v="436"/>
    <s v="P0129"/>
    <x v="58"/>
    <s v="S020"/>
    <x v="3"/>
    <n v="1"/>
    <n v="0.05"/>
    <s v="UPI"/>
    <n v="3285.82"/>
    <n v="3285.82"/>
    <n v="164.29100000000003"/>
    <n v="3121.529"/>
    <n v="2256.9699999999998"/>
    <n v="2256.9699999999998"/>
    <n v="864.5590000000002"/>
    <x v="0"/>
  </r>
  <r>
    <s v="O000620"/>
    <d v="2024-05-20T00:00:00"/>
    <x v="437"/>
    <x v="437"/>
    <s v="P0015"/>
    <x v="19"/>
    <s v="S025"/>
    <x v="2"/>
    <n v="4"/>
    <n v="0.05"/>
    <s v="UPI"/>
    <n v="61606.59"/>
    <n v="246426.36"/>
    <n v="12321.317999999999"/>
    <n v="234105.04199999999"/>
    <n v="36366.370000000003"/>
    <n v="145465.48000000001"/>
    <n v="88639.561999999976"/>
    <x v="1"/>
  </r>
  <r>
    <s v="O000063"/>
    <d v="2024-05-22T00:00:00"/>
    <x v="438"/>
    <x v="438"/>
    <s v="P0142"/>
    <x v="21"/>
    <s v="S001"/>
    <x v="2"/>
    <n v="1"/>
    <n v="0"/>
    <s v="UPI"/>
    <n v="773.2"/>
    <n v="773.2"/>
    <n v="0"/>
    <n v="773.2"/>
    <n v="547.09"/>
    <n v="547.09"/>
    <n v="226.11"/>
    <x v="0"/>
  </r>
  <r>
    <s v="O000735"/>
    <d v="2024-05-24T00:00:00"/>
    <x v="439"/>
    <x v="439"/>
    <s v="P0076"/>
    <x v="25"/>
    <s v="S016"/>
    <x v="0"/>
    <n v="2"/>
    <n v="0.1"/>
    <s v="UPI"/>
    <n v="3661.03"/>
    <n v="7322.06"/>
    <n v="732.20600000000013"/>
    <n v="6589.8540000000003"/>
    <n v="2588.56"/>
    <n v="5177.12"/>
    <n v="1412.7340000000004"/>
    <x v="2"/>
  </r>
  <r>
    <s v="O000201"/>
    <d v="2024-05-25T00:00:00"/>
    <x v="440"/>
    <x v="440"/>
    <s v="P0022"/>
    <x v="130"/>
    <s v="S007"/>
    <x v="0"/>
    <n v="1"/>
    <n v="0"/>
    <s v="UPI"/>
    <n v="9422.92"/>
    <n v="9422.92"/>
    <n v="0"/>
    <n v="9422.92"/>
    <n v="7399.19"/>
    <n v="7399.19"/>
    <n v="2023.7300000000005"/>
    <x v="1"/>
  </r>
  <r>
    <s v="O000481"/>
    <d v="2024-05-26T00:00:00"/>
    <x v="441"/>
    <x v="441"/>
    <s v="P0004"/>
    <x v="76"/>
    <s v="S017"/>
    <x v="0"/>
    <n v="3"/>
    <n v="0"/>
    <s v="Credit Card"/>
    <n v="10619.36"/>
    <n v="31858.080000000002"/>
    <n v="0"/>
    <n v="31858.080000000002"/>
    <n v="6544.82"/>
    <n v="19634.46"/>
    <n v="12223.620000000003"/>
    <x v="1"/>
  </r>
  <r>
    <s v="O000198"/>
    <d v="2024-05-27T00:00:00"/>
    <x v="442"/>
    <x v="442"/>
    <s v="P0092"/>
    <x v="129"/>
    <s v="S025"/>
    <x v="2"/>
    <n v="2"/>
    <n v="0"/>
    <s v="UPI"/>
    <n v="3368.47"/>
    <n v="6736.94"/>
    <n v="0"/>
    <n v="6736.94"/>
    <n v="2152.4899999999998"/>
    <n v="4304.9799999999996"/>
    <n v="2431.96"/>
    <x v="2"/>
  </r>
  <r>
    <s v="O000978"/>
    <d v="2024-05-27T00:00:00"/>
    <x v="443"/>
    <x v="443"/>
    <s v="P0130"/>
    <x v="145"/>
    <s v="S010"/>
    <x v="1"/>
    <n v="4"/>
    <n v="0"/>
    <s v="Credit Card"/>
    <n v="3317.98"/>
    <n v="13271.92"/>
    <n v="0"/>
    <n v="13271.92"/>
    <n v="2151.56"/>
    <n v="8606.24"/>
    <n v="4665.68"/>
    <x v="0"/>
  </r>
  <r>
    <s v="O000479"/>
    <d v="2024-05-29T00:00:00"/>
    <x v="444"/>
    <x v="444"/>
    <s v="P0115"/>
    <x v="118"/>
    <s v="S025"/>
    <x v="2"/>
    <n v="2"/>
    <n v="0"/>
    <s v="Credit Card"/>
    <n v="343.15"/>
    <n v="686.3"/>
    <n v="0"/>
    <n v="686.3"/>
    <n v="192.59"/>
    <n v="385.18"/>
    <n v="301.11999999999995"/>
    <x v="4"/>
  </r>
  <r>
    <s v="O000113"/>
    <d v="2024-05-30T00:00:00"/>
    <x v="445"/>
    <x v="445"/>
    <s v="P0090"/>
    <x v="93"/>
    <s v="S008"/>
    <x v="1"/>
    <n v="1"/>
    <n v="0.2"/>
    <s v="Cash"/>
    <n v="6708.36"/>
    <n v="6708.36"/>
    <n v="1341.672"/>
    <n v="5366.6880000000001"/>
    <n v="5031.45"/>
    <n v="5031.45"/>
    <n v="335.23800000000028"/>
    <x v="2"/>
  </r>
  <r>
    <s v="O000682"/>
    <d v="2024-06-01T00:00:00"/>
    <x v="446"/>
    <x v="446"/>
    <s v="P0023"/>
    <x v="98"/>
    <s v="S014"/>
    <x v="1"/>
    <n v="1"/>
    <n v="0"/>
    <s v="UPI"/>
    <n v="36481.47"/>
    <n v="36481.47"/>
    <n v="0"/>
    <n v="36481.47"/>
    <n v="30666.16"/>
    <n v="30666.16"/>
    <n v="5815.3100000000013"/>
    <x v="1"/>
  </r>
  <r>
    <s v="O000390"/>
    <d v="2024-06-02T00:00:00"/>
    <x v="447"/>
    <x v="447"/>
    <s v="P0066"/>
    <x v="49"/>
    <s v="S016"/>
    <x v="0"/>
    <n v="2"/>
    <n v="0"/>
    <s v="Credit Card"/>
    <n v="7801.86"/>
    <n v="15603.72"/>
    <n v="0"/>
    <n v="15603.72"/>
    <n v="5332.9"/>
    <n v="10665.8"/>
    <n v="4937.92"/>
    <x v="3"/>
  </r>
  <r>
    <s v="O000609"/>
    <d v="2024-06-02T00:00:00"/>
    <x v="448"/>
    <x v="448"/>
    <s v="P0068"/>
    <x v="15"/>
    <s v="S009"/>
    <x v="0"/>
    <n v="4"/>
    <n v="0.2"/>
    <s v="Net Banking"/>
    <n v="5944.75"/>
    <n v="23779"/>
    <n v="4755.8"/>
    <n v="19023.2"/>
    <n v="4447.5200000000004"/>
    <n v="17790.080000000002"/>
    <n v="1233.119999999999"/>
    <x v="2"/>
  </r>
  <r>
    <s v="O000890"/>
    <d v="2024-06-02T00:00:00"/>
    <x v="449"/>
    <x v="449"/>
    <s v="P0088"/>
    <x v="140"/>
    <s v="S019"/>
    <x v="0"/>
    <n v="2"/>
    <n v="0.2"/>
    <s v="UPI"/>
    <n v="7414.77"/>
    <n v="14829.54"/>
    <n v="2965.9080000000004"/>
    <n v="11863.632000000001"/>
    <n v="4859.1400000000003"/>
    <n v="9718.2800000000007"/>
    <n v="2145.3520000000008"/>
    <x v="2"/>
  </r>
  <r>
    <s v="O000369"/>
    <d v="2024-06-04T00:00:00"/>
    <x v="450"/>
    <x v="450"/>
    <s v="P0004"/>
    <x v="76"/>
    <s v="S015"/>
    <x v="3"/>
    <n v="1"/>
    <n v="0"/>
    <s v="Debit Card"/>
    <n v="10619.36"/>
    <n v="10619.36"/>
    <n v="0"/>
    <n v="10619.36"/>
    <n v="6544.82"/>
    <n v="6544.82"/>
    <n v="4074.5400000000009"/>
    <x v="1"/>
  </r>
  <r>
    <s v="O000863"/>
    <d v="2024-06-05T00:00:00"/>
    <x v="451"/>
    <x v="451"/>
    <s v="P0092"/>
    <x v="129"/>
    <s v="S009"/>
    <x v="0"/>
    <n v="2"/>
    <n v="0.15"/>
    <s v="Credit Card"/>
    <n v="3368.47"/>
    <n v="6736.94"/>
    <n v="1010.5409999999999"/>
    <n v="5726.3989999999994"/>
    <n v="2152.4899999999998"/>
    <n v="4304.9799999999996"/>
    <n v="1421.4189999999999"/>
    <x v="2"/>
  </r>
  <r>
    <s v="O000118"/>
    <d v="2024-06-06T00:00:00"/>
    <x v="452"/>
    <x v="452"/>
    <s v="P0063"/>
    <x v="33"/>
    <s v="S019"/>
    <x v="0"/>
    <n v="1"/>
    <n v="0.05"/>
    <s v="UPI"/>
    <n v="22222.83"/>
    <n v="22222.83"/>
    <n v="1111.1415000000002"/>
    <n v="21111.6885"/>
    <n v="17564.490000000002"/>
    <n v="17564.490000000002"/>
    <n v="3547.1984999999986"/>
    <x v="3"/>
  </r>
  <r>
    <s v="O000882"/>
    <d v="2024-06-06T00:00:00"/>
    <x v="453"/>
    <x v="453"/>
    <s v="P0104"/>
    <x v="6"/>
    <s v="S008"/>
    <x v="1"/>
    <n v="3"/>
    <n v="0.1"/>
    <s v="UPI"/>
    <n v="152.38"/>
    <n v="457.14"/>
    <n v="45.713999999999999"/>
    <n v="411.42599999999999"/>
    <n v="100.44"/>
    <n v="301.32"/>
    <n v="110.10599999999999"/>
    <x v="4"/>
  </r>
  <r>
    <s v="O000428"/>
    <d v="2024-06-07T00:00:00"/>
    <x v="454"/>
    <x v="454"/>
    <s v="P0141"/>
    <x v="141"/>
    <s v="S023"/>
    <x v="1"/>
    <n v="4"/>
    <n v="0"/>
    <s v="UPI"/>
    <n v="3000.36"/>
    <n v="12001.44"/>
    <n v="0"/>
    <n v="12001.44"/>
    <n v="2004.24"/>
    <n v="8016.96"/>
    <n v="3984.4800000000005"/>
    <x v="0"/>
  </r>
  <r>
    <s v="O000392"/>
    <d v="2024-06-08T00:00:00"/>
    <x v="129"/>
    <x v="129"/>
    <s v="P0101"/>
    <x v="54"/>
    <s v="S017"/>
    <x v="0"/>
    <n v="2"/>
    <n v="0.1"/>
    <s v="Debit Card"/>
    <n v="775.19"/>
    <n v="1550.38"/>
    <n v="155.03800000000001"/>
    <n v="1395.3420000000001"/>
    <n v="597.84"/>
    <n v="1195.68"/>
    <n v="199.66200000000003"/>
    <x v="4"/>
  </r>
  <r>
    <s v="O000550"/>
    <d v="2024-06-08T00:00:00"/>
    <x v="455"/>
    <x v="455"/>
    <s v="P0061"/>
    <x v="78"/>
    <s v="S011"/>
    <x v="0"/>
    <n v="1"/>
    <n v="0.05"/>
    <s v="Credit Card"/>
    <n v="22102.15"/>
    <n v="22102.15"/>
    <n v="1105.1075000000001"/>
    <n v="20997.042500000003"/>
    <n v="15710.91"/>
    <n v="15710.91"/>
    <n v="5286.1325000000033"/>
    <x v="3"/>
  </r>
  <r>
    <s v="O000554"/>
    <d v="2024-06-09T00:00:00"/>
    <x v="456"/>
    <x v="456"/>
    <s v="P0121"/>
    <x v="82"/>
    <s v="S016"/>
    <x v="0"/>
    <n v="1"/>
    <n v="0"/>
    <s v="Cash"/>
    <n v="1019.45"/>
    <n v="1019.45"/>
    <n v="0"/>
    <n v="1019.45"/>
    <n v="683.18"/>
    <n v="683.18"/>
    <n v="336.2700000000001"/>
    <x v="4"/>
  </r>
  <r>
    <s v="O000871"/>
    <d v="2024-06-09T00:00:00"/>
    <x v="457"/>
    <x v="457"/>
    <s v="P0111"/>
    <x v="126"/>
    <s v="S022"/>
    <x v="2"/>
    <n v="1"/>
    <n v="0.05"/>
    <s v="Cash"/>
    <n v="912.62"/>
    <n v="912.62"/>
    <n v="45.631"/>
    <n v="866.98900000000003"/>
    <n v="648.75"/>
    <n v="648.75"/>
    <n v="218.23900000000003"/>
    <x v="4"/>
  </r>
  <r>
    <s v="O000859"/>
    <d v="2024-06-11T00:00:00"/>
    <x v="458"/>
    <x v="458"/>
    <s v="P0021"/>
    <x v="45"/>
    <s v="S010"/>
    <x v="1"/>
    <n v="3"/>
    <n v="0"/>
    <s v="Debit Card"/>
    <n v="48777.16"/>
    <n v="146331.48000000001"/>
    <n v="0"/>
    <n v="146331.48000000001"/>
    <n v="29771.48"/>
    <n v="89314.44"/>
    <n v="57017.040000000008"/>
    <x v="1"/>
  </r>
  <r>
    <s v="O000961"/>
    <d v="2024-06-12T00:00:00"/>
    <x v="459"/>
    <x v="459"/>
    <s v="P0028"/>
    <x v="27"/>
    <s v="S024"/>
    <x v="0"/>
    <n v="1"/>
    <n v="0.05"/>
    <s v="Debit Card"/>
    <n v="52004.72"/>
    <n v="52004.72"/>
    <n v="2600.2360000000003"/>
    <n v="49404.484000000004"/>
    <n v="43224.87"/>
    <n v="43224.87"/>
    <n v="6179.6140000000014"/>
    <x v="1"/>
  </r>
  <r>
    <s v="O000434"/>
    <d v="2024-06-13T00:00:00"/>
    <x v="460"/>
    <x v="460"/>
    <s v="P0125"/>
    <x v="23"/>
    <s v="S019"/>
    <x v="0"/>
    <n v="3"/>
    <n v="0.1"/>
    <s v="UPI"/>
    <n v="1783.65"/>
    <n v="5350.9500000000007"/>
    <n v="535.09500000000014"/>
    <n v="4815.8550000000005"/>
    <n v="1128.95"/>
    <n v="3386.8500000000004"/>
    <n v="1429.0050000000001"/>
    <x v="0"/>
  </r>
  <r>
    <s v="O000595"/>
    <d v="2024-06-16T00:00:00"/>
    <x v="461"/>
    <x v="461"/>
    <s v="P0128"/>
    <x v="14"/>
    <s v="S014"/>
    <x v="1"/>
    <n v="1"/>
    <n v="0"/>
    <s v="Credit Card"/>
    <n v="1655.17"/>
    <n v="1655.17"/>
    <n v="0"/>
    <n v="1655.17"/>
    <n v="1375.84"/>
    <n v="1375.84"/>
    <n v="279.33000000000015"/>
    <x v="0"/>
  </r>
  <r>
    <s v="O000668"/>
    <d v="2024-06-16T00:00:00"/>
    <x v="462"/>
    <x v="462"/>
    <s v="P0055"/>
    <x v="117"/>
    <s v="S019"/>
    <x v="0"/>
    <n v="3"/>
    <n v="0.1"/>
    <s v="UPI"/>
    <n v="26326.12"/>
    <n v="78978.36"/>
    <n v="7897.8360000000002"/>
    <n v="71080.524000000005"/>
    <n v="17114.43"/>
    <n v="51343.29"/>
    <n v="19737.234000000004"/>
    <x v="3"/>
  </r>
  <r>
    <s v="O000715"/>
    <d v="2024-06-16T00:00:00"/>
    <x v="463"/>
    <x v="463"/>
    <s v="P0023"/>
    <x v="98"/>
    <s v="S011"/>
    <x v="0"/>
    <n v="2"/>
    <n v="0"/>
    <s v="UPI"/>
    <n v="36481.47"/>
    <n v="72962.94"/>
    <n v="0"/>
    <n v="72962.94"/>
    <n v="30666.16"/>
    <n v="61332.32"/>
    <n v="11630.620000000003"/>
    <x v="1"/>
  </r>
  <r>
    <s v="O000476"/>
    <d v="2024-06-19T00:00:00"/>
    <x v="464"/>
    <x v="464"/>
    <s v="P0116"/>
    <x v="17"/>
    <s v="S002"/>
    <x v="2"/>
    <n v="2"/>
    <n v="0.1"/>
    <s v="UPI"/>
    <n v="1210.1500000000001"/>
    <n v="2420.3000000000002"/>
    <n v="242.03000000000003"/>
    <n v="2178.27"/>
    <n v="697.43"/>
    <n v="1394.86"/>
    <n v="783.41000000000008"/>
    <x v="4"/>
  </r>
  <r>
    <s v="O000419"/>
    <d v="2024-06-24T00:00:00"/>
    <x v="465"/>
    <x v="465"/>
    <s v="P0085"/>
    <x v="9"/>
    <s v="S015"/>
    <x v="3"/>
    <n v="5"/>
    <n v="0.15"/>
    <s v="Credit Card"/>
    <n v="508.67"/>
    <n v="2543.35"/>
    <n v="381.5025"/>
    <n v="2161.8474999999999"/>
    <n v="386.39"/>
    <n v="1931.9499999999998"/>
    <n v="229.89750000000004"/>
    <x v="2"/>
  </r>
  <r>
    <s v="O000211"/>
    <d v="2024-06-25T00:00:00"/>
    <x v="466"/>
    <x v="466"/>
    <s v="P0144"/>
    <x v="28"/>
    <s v="S020"/>
    <x v="3"/>
    <n v="3"/>
    <n v="0.1"/>
    <s v="Debit Card"/>
    <n v="1037.07"/>
    <n v="3111.21"/>
    <n v="311.12100000000004"/>
    <n v="2800.0889999999999"/>
    <n v="720.16"/>
    <n v="2160.48"/>
    <n v="639.60899999999992"/>
    <x v="0"/>
  </r>
  <r>
    <s v="O000384"/>
    <d v="2024-06-28T00:00:00"/>
    <x v="467"/>
    <x v="467"/>
    <s v="P0144"/>
    <x v="28"/>
    <s v="S025"/>
    <x v="2"/>
    <n v="1"/>
    <n v="0.1"/>
    <s v="UPI"/>
    <n v="1037.07"/>
    <n v="1037.07"/>
    <n v="103.70699999999999"/>
    <n v="933.36299999999994"/>
    <n v="720.16"/>
    <n v="720.16"/>
    <n v="213.20299999999997"/>
    <x v="0"/>
  </r>
  <r>
    <s v="O000466"/>
    <d v="2024-06-30T00:00:00"/>
    <x v="468"/>
    <x v="468"/>
    <s v="P0024"/>
    <x v="119"/>
    <s v="S005"/>
    <x v="1"/>
    <n v="2"/>
    <n v="0"/>
    <s v="Net Banking"/>
    <n v="44917.11"/>
    <n v="89834.22"/>
    <n v="0"/>
    <n v="89834.22"/>
    <n v="33851.120000000003"/>
    <n v="67702.240000000005"/>
    <n v="22131.979999999996"/>
    <x v="1"/>
  </r>
  <r>
    <s v="O000490"/>
    <d v="2024-07-01T00:00:00"/>
    <x v="469"/>
    <x v="469"/>
    <s v="P0131"/>
    <x v="22"/>
    <s v="S018"/>
    <x v="0"/>
    <n v="2"/>
    <n v="0"/>
    <s v="Credit Card"/>
    <n v="4780.68"/>
    <n v="9561.36"/>
    <n v="0"/>
    <n v="9561.36"/>
    <n v="3940.05"/>
    <n v="7880.1"/>
    <n v="1681.2600000000002"/>
    <x v="0"/>
  </r>
  <r>
    <s v="O000899"/>
    <d v="2024-07-01T00:00:00"/>
    <x v="470"/>
    <x v="470"/>
    <s v="P0141"/>
    <x v="141"/>
    <s v="S009"/>
    <x v="0"/>
    <n v="1"/>
    <n v="0"/>
    <s v="Debit Card"/>
    <n v="3000.36"/>
    <n v="3000.36"/>
    <n v="0"/>
    <n v="3000.36"/>
    <n v="2004.24"/>
    <n v="2004.24"/>
    <n v="996.12000000000012"/>
    <x v="0"/>
  </r>
  <r>
    <s v="O000404"/>
    <d v="2024-07-02T00:00:00"/>
    <x v="471"/>
    <x v="471"/>
    <s v="P0132"/>
    <x v="70"/>
    <s v="S008"/>
    <x v="1"/>
    <n v="2"/>
    <n v="0"/>
    <s v="UPI"/>
    <n v="4869.55"/>
    <n v="9739.1"/>
    <n v="0"/>
    <n v="9739.1"/>
    <n v="3039.73"/>
    <n v="6079.46"/>
    <n v="3659.6400000000003"/>
    <x v="0"/>
  </r>
  <r>
    <s v="O000224"/>
    <d v="2024-07-03T00:00:00"/>
    <x v="472"/>
    <x v="472"/>
    <s v="P0124"/>
    <x v="68"/>
    <s v="S011"/>
    <x v="0"/>
    <n v="3"/>
    <n v="0.05"/>
    <s v="UPI"/>
    <n v="1841.85"/>
    <n v="5525.5499999999993"/>
    <n v="276.27749999999997"/>
    <n v="5249.2724999999991"/>
    <n v="1327.7"/>
    <n v="3983.1000000000004"/>
    <n v="1266.1724999999988"/>
    <x v="0"/>
  </r>
  <r>
    <s v="O000266"/>
    <d v="2024-07-03T00:00:00"/>
    <x v="473"/>
    <x v="473"/>
    <s v="P0023"/>
    <x v="98"/>
    <s v="S008"/>
    <x v="1"/>
    <n v="1"/>
    <n v="0"/>
    <s v="Credit Card"/>
    <n v="36481.47"/>
    <n v="36481.47"/>
    <n v="0"/>
    <n v="36481.47"/>
    <n v="30666.16"/>
    <n v="30666.16"/>
    <n v="5815.3100000000013"/>
    <x v="1"/>
  </r>
  <r>
    <s v="O000604"/>
    <d v="2024-07-06T00:00:00"/>
    <x v="474"/>
    <x v="474"/>
    <s v="P0125"/>
    <x v="23"/>
    <s v="S015"/>
    <x v="3"/>
    <n v="1"/>
    <n v="0.05"/>
    <s v="UPI"/>
    <n v="1783.65"/>
    <n v="1783.65"/>
    <n v="89.182500000000005"/>
    <n v="1694.4675000000002"/>
    <n v="1128.95"/>
    <n v="1128.95"/>
    <n v="565.51750000000015"/>
    <x v="0"/>
  </r>
  <r>
    <s v="O000738"/>
    <d v="2024-07-06T00:00:00"/>
    <x v="475"/>
    <x v="475"/>
    <s v="P0110"/>
    <x v="18"/>
    <s v="S007"/>
    <x v="0"/>
    <n v="1"/>
    <n v="0.1"/>
    <s v="Cash"/>
    <n v="1053.9000000000001"/>
    <n v="1053.9000000000001"/>
    <n v="105.39000000000001"/>
    <n v="948.5100000000001"/>
    <n v="710.59"/>
    <n v="710.59"/>
    <n v="237.92000000000007"/>
    <x v="4"/>
  </r>
  <r>
    <s v="O000952"/>
    <d v="2024-07-08T00:00:00"/>
    <x v="476"/>
    <x v="476"/>
    <s v="P0088"/>
    <x v="140"/>
    <s v="S018"/>
    <x v="0"/>
    <n v="2"/>
    <n v="0.1"/>
    <s v="Cash"/>
    <n v="7414.77"/>
    <n v="14829.54"/>
    <n v="1482.9540000000002"/>
    <n v="13346.586000000001"/>
    <n v="4859.1400000000003"/>
    <n v="9718.2800000000007"/>
    <n v="3628.3060000000005"/>
    <x v="2"/>
  </r>
  <r>
    <s v="O000057"/>
    <d v="2024-07-10T00:00:00"/>
    <x v="477"/>
    <x v="477"/>
    <s v="P0065"/>
    <x v="83"/>
    <s v="S020"/>
    <x v="3"/>
    <n v="3"/>
    <n v="0"/>
    <s v="Cash"/>
    <n v="3429.74"/>
    <n v="10289.219999999999"/>
    <n v="0"/>
    <n v="10289.219999999999"/>
    <n v="2172.39"/>
    <n v="6517.17"/>
    <n v="3772.0499999999993"/>
    <x v="3"/>
  </r>
  <r>
    <s v="O000104"/>
    <d v="2024-07-10T00:00:00"/>
    <x v="478"/>
    <x v="478"/>
    <s v="P0091"/>
    <x v="87"/>
    <s v="S015"/>
    <x v="3"/>
    <n v="2"/>
    <n v="0.2"/>
    <s v="Credit Card"/>
    <n v="5979.07"/>
    <n v="11958.14"/>
    <n v="2391.6280000000002"/>
    <n v="9566.5119999999988"/>
    <n v="4121.96"/>
    <n v="8243.92"/>
    <n v="1322.5919999999987"/>
    <x v="2"/>
  </r>
  <r>
    <s v="O000861"/>
    <d v="2024-07-10T00:00:00"/>
    <x v="479"/>
    <x v="479"/>
    <s v="P0111"/>
    <x v="126"/>
    <s v="S012"/>
    <x v="1"/>
    <n v="1"/>
    <n v="0"/>
    <s v="UPI"/>
    <n v="912.62"/>
    <n v="912.62"/>
    <n v="0"/>
    <n v="912.62"/>
    <n v="648.75"/>
    <n v="648.75"/>
    <n v="263.87"/>
    <x v="4"/>
  </r>
  <r>
    <s v="O000368"/>
    <d v="2024-07-14T00:00:00"/>
    <x v="480"/>
    <x v="480"/>
    <s v="P0055"/>
    <x v="117"/>
    <s v="S025"/>
    <x v="2"/>
    <n v="1"/>
    <n v="0"/>
    <s v="UPI"/>
    <n v="26326.12"/>
    <n v="26326.12"/>
    <n v="0"/>
    <n v="26326.12"/>
    <n v="17114.43"/>
    <n v="17114.43"/>
    <n v="9211.6899999999987"/>
    <x v="3"/>
  </r>
  <r>
    <s v="O000108"/>
    <d v="2024-07-15T00:00:00"/>
    <x v="481"/>
    <x v="481"/>
    <s v="P0086"/>
    <x v="20"/>
    <s v="S023"/>
    <x v="1"/>
    <n v="1"/>
    <n v="0.15"/>
    <s v="Credit Card"/>
    <n v="2008.33"/>
    <n v="2008.33"/>
    <n v="301.24949999999995"/>
    <n v="1707.0805"/>
    <n v="1688.91"/>
    <n v="1688.91"/>
    <n v="18.170499999999947"/>
    <x v="2"/>
  </r>
  <r>
    <s v="O000659"/>
    <d v="2024-07-18T00:00:00"/>
    <x v="482"/>
    <x v="482"/>
    <s v="P0092"/>
    <x v="129"/>
    <s v="S002"/>
    <x v="2"/>
    <n v="1"/>
    <n v="0.1"/>
    <s v="UPI"/>
    <n v="3368.47"/>
    <n v="3368.47"/>
    <n v="336.84699999999998"/>
    <n v="3031.6229999999996"/>
    <n v="2152.4899999999998"/>
    <n v="2152.4899999999998"/>
    <n v="879.13299999999981"/>
    <x v="2"/>
  </r>
  <r>
    <s v="O000296"/>
    <d v="2024-07-19T00:00:00"/>
    <x v="483"/>
    <x v="483"/>
    <s v="P0054"/>
    <x v="59"/>
    <s v="S004"/>
    <x v="3"/>
    <n v="2"/>
    <n v="0"/>
    <s v="Net Banking"/>
    <n v="17619.849999999999"/>
    <n v="35239.699999999997"/>
    <n v="0"/>
    <n v="35239.699999999997"/>
    <n v="13837.65"/>
    <n v="27675.3"/>
    <n v="7564.3999999999978"/>
    <x v="3"/>
  </r>
  <r>
    <s v="O000171"/>
    <d v="2024-07-20T00:00:00"/>
    <x v="484"/>
    <x v="484"/>
    <s v="P0063"/>
    <x v="33"/>
    <s v="S016"/>
    <x v="0"/>
    <n v="2"/>
    <n v="0.1"/>
    <s v="UPI"/>
    <n v="22222.83"/>
    <n v="44445.66"/>
    <n v="4444.5660000000007"/>
    <n v="40001.094000000005"/>
    <n v="17564.490000000002"/>
    <n v="35128.980000000003"/>
    <n v="4872.1140000000014"/>
    <x v="3"/>
  </r>
  <r>
    <s v="O000394"/>
    <d v="2024-07-23T00:00:00"/>
    <x v="485"/>
    <x v="485"/>
    <s v="P0097"/>
    <x v="90"/>
    <s v="S013"/>
    <x v="0"/>
    <n v="1"/>
    <n v="0"/>
    <s v="Credit Card"/>
    <n v="1140.1600000000001"/>
    <n v="1140.1600000000001"/>
    <n v="0"/>
    <n v="1140.1600000000001"/>
    <n v="763.74"/>
    <n v="763.74"/>
    <n v="376.42000000000007"/>
    <x v="4"/>
  </r>
  <r>
    <s v="O000426"/>
    <d v="2024-07-23T00:00:00"/>
    <x v="486"/>
    <x v="486"/>
    <s v="P0117"/>
    <x v="55"/>
    <s v="S014"/>
    <x v="1"/>
    <n v="1"/>
    <n v="0.1"/>
    <s v="UPI"/>
    <n v="130.63"/>
    <n v="130.63"/>
    <n v="13.063000000000001"/>
    <n v="117.56699999999999"/>
    <n v="75.33"/>
    <n v="75.33"/>
    <n v="42.236999999999995"/>
    <x v="4"/>
  </r>
  <r>
    <s v="O000821"/>
    <d v="2024-07-25T00:00:00"/>
    <x v="487"/>
    <x v="487"/>
    <s v="P0135"/>
    <x v="127"/>
    <s v="S025"/>
    <x v="2"/>
    <n v="3"/>
    <n v="0"/>
    <s v="UPI"/>
    <n v="3355.04"/>
    <n v="10065.119999999999"/>
    <n v="0"/>
    <n v="10065.119999999999"/>
    <n v="1914.01"/>
    <n v="5742.03"/>
    <n v="4323.0899999999992"/>
    <x v="0"/>
  </r>
  <r>
    <s v="O000740"/>
    <d v="2024-07-27T00:00:00"/>
    <x v="488"/>
    <x v="488"/>
    <s v="P0087"/>
    <x v="60"/>
    <s v="S018"/>
    <x v="0"/>
    <n v="1"/>
    <n v="0.15"/>
    <s v="UPI"/>
    <n v="2599.96"/>
    <n v="2599.96"/>
    <n v="389.99399999999997"/>
    <n v="2209.9659999999999"/>
    <n v="1643"/>
    <n v="1643"/>
    <n v="566.96599999999989"/>
    <x v="2"/>
  </r>
  <r>
    <s v="O000939"/>
    <d v="2024-07-27T00:00:00"/>
    <x v="489"/>
    <x v="489"/>
    <s v="P0064"/>
    <x v="135"/>
    <s v="S015"/>
    <x v="3"/>
    <n v="1"/>
    <n v="0"/>
    <s v="Credit Card"/>
    <n v="1797.31"/>
    <n v="1797.31"/>
    <n v="0"/>
    <n v="1797.31"/>
    <n v="1257.43"/>
    <n v="1257.43"/>
    <n v="539.87999999999988"/>
    <x v="3"/>
  </r>
  <r>
    <s v="O000857"/>
    <d v="2024-07-28T00:00:00"/>
    <x v="490"/>
    <x v="490"/>
    <s v="P0145"/>
    <x v="8"/>
    <s v="S006"/>
    <x v="3"/>
    <n v="1"/>
    <n v="0.05"/>
    <s v="Debit Card"/>
    <n v="543.23"/>
    <n v="543.23"/>
    <n v="27.161500000000004"/>
    <n v="516.06849999999997"/>
    <n v="441.82"/>
    <n v="441.82"/>
    <n v="74.248499999999979"/>
    <x v="0"/>
  </r>
  <r>
    <s v="O000984"/>
    <d v="2024-07-28T00:00:00"/>
    <x v="491"/>
    <x v="491"/>
    <s v="P0014"/>
    <x v="106"/>
    <s v="S017"/>
    <x v="0"/>
    <n v="2"/>
    <n v="0"/>
    <s v="UPI"/>
    <n v="9246.34"/>
    <n v="18492.68"/>
    <n v="0"/>
    <n v="18492.68"/>
    <n v="7613.27"/>
    <n v="15226.54"/>
    <n v="3266.1399999999994"/>
    <x v="1"/>
  </r>
  <r>
    <s v="O000240"/>
    <d v="2024-07-30T00:00:00"/>
    <x v="492"/>
    <x v="492"/>
    <s v="P0003"/>
    <x v="92"/>
    <s v="S004"/>
    <x v="3"/>
    <n v="1"/>
    <n v="0"/>
    <s v="Net Banking"/>
    <n v="14374.7"/>
    <n v="14374.7"/>
    <n v="0"/>
    <n v="14374.7"/>
    <n v="11335.72"/>
    <n v="11335.72"/>
    <n v="3038.9800000000014"/>
    <x v="1"/>
  </r>
  <r>
    <s v="O000524"/>
    <d v="2024-07-31T00:00:00"/>
    <x v="120"/>
    <x v="120"/>
    <s v="P0080"/>
    <x v="105"/>
    <s v="S014"/>
    <x v="1"/>
    <n v="5"/>
    <n v="0.05"/>
    <s v="Debit Card"/>
    <n v="1227.0899999999999"/>
    <n v="6135.45"/>
    <n v="306.77249999999998"/>
    <n v="5828.6774999999998"/>
    <n v="945.11"/>
    <n v="4725.55"/>
    <n v="1103.1274999999996"/>
    <x v="2"/>
  </r>
  <r>
    <s v="O000865"/>
    <d v="2024-07-31T00:00:00"/>
    <x v="493"/>
    <x v="493"/>
    <s v="P0142"/>
    <x v="21"/>
    <s v="S019"/>
    <x v="0"/>
    <n v="2"/>
    <n v="0"/>
    <s v="UPI"/>
    <n v="773.2"/>
    <n v="1546.4"/>
    <n v="0"/>
    <n v="1546.4"/>
    <n v="547.09"/>
    <n v="1094.18"/>
    <n v="452.22"/>
    <x v="0"/>
  </r>
  <r>
    <s v="O000897"/>
    <d v="2024-07-31T00:00:00"/>
    <x v="494"/>
    <x v="494"/>
    <s v="P0073"/>
    <x v="72"/>
    <s v="S002"/>
    <x v="2"/>
    <n v="2"/>
    <n v="0.2"/>
    <s v="Debit Card"/>
    <n v="7179.47"/>
    <n v="14358.94"/>
    <n v="2871.7880000000005"/>
    <n v="11487.152"/>
    <n v="5473.35"/>
    <n v="10946.7"/>
    <n v="540.45199999999932"/>
    <x v="2"/>
  </r>
  <r>
    <s v="O000520"/>
    <d v="2024-08-01T00:00:00"/>
    <x v="495"/>
    <x v="495"/>
    <s v="P0035"/>
    <x v="53"/>
    <s v="S011"/>
    <x v="0"/>
    <n v="1"/>
    <n v="0"/>
    <s v="Net Banking"/>
    <n v="29153.55"/>
    <n v="29153.55"/>
    <n v="0"/>
    <n v="29153.55"/>
    <n v="21894.27"/>
    <n v="21894.27"/>
    <n v="7259.2799999999988"/>
    <x v="1"/>
  </r>
  <r>
    <s v="O000263"/>
    <d v="2024-08-04T00:00:00"/>
    <x v="496"/>
    <x v="496"/>
    <s v="P0075"/>
    <x v="10"/>
    <s v="S018"/>
    <x v="0"/>
    <n v="2"/>
    <n v="0.2"/>
    <s v="UPI"/>
    <n v="7788.99"/>
    <n v="15577.98"/>
    <n v="3115.596"/>
    <n v="12462.384"/>
    <n v="6231.21"/>
    <n v="12462.42"/>
    <n v="-3.6000000000058208E-2"/>
    <x v="2"/>
  </r>
  <r>
    <s v="O000184"/>
    <d v="2024-08-05T00:00:00"/>
    <x v="497"/>
    <x v="497"/>
    <s v="P0019"/>
    <x v="132"/>
    <s v="S010"/>
    <x v="1"/>
    <n v="1"/>
    <n v="0.05"/>
    <s v="Debit Card"/>
    <n v="12552.69"/>
    <n v="12552.69"/>
    <n v="627.63450000000012"/>
    <n v="11925.0555"/>
    <n v="8737.9"/>
    <n v="8737.9"/>
    <n v="3187.1555000000008"/>
    <x v="1"/>
  </r>
  <r>
    <s v="O000527"/>
    <d v="2024-08-07T00:00:00"/>
    <x v="498"/>
    <x v="498"/>
    <s v="P0085"/>
    <x v="9"/>
    <s v="S023"/>
    <x v="1"/>
    <n v="2"/>
    <n v="0.2"/>
    <s v="Debit Card"/>
    <n v="508.67"/>
    <n v="1017.34"/>
    <n v="203.46800000000002"/>
    <n v="813.87200000000007"/>
    <n v="386.39"/>
    <n v="772.78"/>
    <n v="41.092000000000098"/>
    <x v="2"/>
  </r>
  <r>
    <s v="O000155"/>
    <d v="2024-08-08T00:00:00"/>
    <x v="499"/>
    <x v="499"/>
    <s v="P0072"/>
    <x v="133"/>
    <s v="S009"/>
    <x v="0"/>
    <n v="1"/>
    <n v="0.15"/>
    <s v="UPI"/>
    <n v="3718.64"/>
    <n v="3718.64"/>
    <n v="557.79599999999994"/>
    <n v="3160.8440000000001"/>
    <n v="3021.38"/>
    <n v="3021.38"/>
    <n v="139.46399999999994"/>
    <x v="2"/>
  </r>
  <r>
    <s v="O000685"/>
    <d v="2024-08-08T00:00:00"/>
    <x v="500"/>
    <x v="500"/>
    <s v="P0095"/>
    <x v="102"/>
    <s v="S009"/>
    <x v="0"/>
    <n v="1"/>
    <n v="0.1"/>
    <s v="Debit Card"/>
    <n v="587.35"/>
    <n v="587.35"/>
    <n v="58.735000000000007"/>
    <n v="528.61500000000001"/>
    <n v="438.09"/>
    <n v="438.09"/>
    <n v="90.525000000000034"/>
    <x v="4"/>
  </r>
  <r>
    <s v="O000027"/>
    <d v="2024-08-10T00:00:00"/>
    <x v="501"/>
    <x v="501"/>
    <s v="P0097"/>
    <x v="90"/>
    <s v="S012"/>
    <x v="1"/>
    <n v="2"/>
    <n v="0.05"/>
    <s v="Cash"/>
    <n v="1140.1600000000001"/>
    <n v="2280.3200000000002"/>
    <n v="114.01600000000002"/>
    <n v="2166.3040000000001"/>
    <n v="763.74"/>
    <n v="1527.48"/>
    <n v="638.82400000000007"/>
    <x v="4"/>
  </r>
  <r>
    <s v="O000925"/>
    <d v="2024-08-10T00:00:00"/>
    <x v="165"/>
    <x v="165"/>
    <s v="P0041"/>
    <x v="110"/>
    <s v="S017"/>
    <x v="0"/>
    <n v="1"/>
    <n v="0.05"/>
    <s v="UPI"/>
    <n v="11511.46"/>
    <n v="11511.46"/>
    <n v="575.57299999999998"/>
    <n v="10935.886999999999"/>
    <n v="9046.98"/>
    <n v="9046.98"/>
    <n v="1888.9069999999992"/>
    <x v="3"/>
  </r>
  <r>
    <s v="O000580"/>
    <d v="2024-08-11T00:00:00"/>
    <x v="502"/>
    <x v="502"/>
    <s v="P0093"/>
    <x v="122"/>
    <s v="S016"/>
    <x v="0"/>
    <n v="1"/>
    <n v="0.05"/>
    <s v="Debit Card"/>
    <n v="4565.2299999999996"/>
    <n v="4565.2299999999996"/>
    <n v="228.26149999999998"/>
    <n v="4336.9684999999999"/>
    <n v="3658.34"/>
    <n v="3658.34"/>
    <n v="678.6284999999998"/>
    <x v="2"/>
  </r>
  <r>
    <s v="O000759"/>
    <d v="2024-08-11T00:00:00"/>
    <x v="503"/>
    <x v="503"/>
    <s v="P0078"/>
    <x v="100"/>
    <s v="S019"/>
    <x v="0"/>
    <n v="1"/>
    <n v="0.15"/>
    <s v="UPI"/>
    <n v="909.72"/>
    <n v="909.72"/>
    <n v="136.458"/>
    <n v="773.26200000000006"/>
    <n v="546.83000000000004"/>
    <n v="546.83000000000004"/>
    <n v="226.43200000000002"/>
    <x v="2"/>
  </r>
  <r>
    <s v="O000813"/>
    <d v="2024-08-11T00:00:00"/>
    <x v="504"/>
    <x v="504"/>
    <s v="P0088"/>
    <x v="140"/>
    <s v="S002"/>
    <x v="2"/>
    <n v="4"/>
    <n v="0.1"/>
    <s v="Net Banking"/>
    <n v="7414.77"/>
    <n v="29659.08"/>
    <n v="2965.9080000000004"/>
    <n v="26693.172000000002"/>
    <n v="4859.1400000000003"/>
    <n v="19436.560000000001"/>
    <n v="7256.612000000001"/>
    <x v="2"/>
  </r>
  <r>
    <s v="O000910"/>
    <d v="2024-08-12T00:00:00"/>
    <x v="505"/>
    <x v="505"/>
    <s v="P0017"/>
    <x v="69"/>
    <s v="S019"/>
    <x v="0"/>
    <n v="1"/>
    <n v="0"/>
    <s v="Net Banking"/>
    <n v="61469.2"/>
    <n v="61469.2"/>
    <n v="0"/>
    <n v="61469.2"/>
    <n v="39781.99"/>
    <n v="39781.99"/>
    <n v="21687.21"/>
    <x v="1"/>
  </r>
  <r>
    <s v="O000135"/>
    <d v="2024-08-13T00:00:00"/>
    <x v="506"/>
    <x v="506"/>
    <s v="P0129"/>
    <x v="58"/>
    <s v="S015"/>
    <x v="3"/>
    <n v="1"/>
    <n v="0.05"/>
    <s v="Debit Card"/>
    <n v="3285.82"/>
    <n v="3285.82"/>
    <n v="164.29100000000003"/>
    <n v="3121.529"/>
    <n v="2256.9699999999998"/>
    <n v="2256.9699999999998"/>
    <n v="864.5590000000002"/>
    <x v="0"/>
  </r>
  <r>
    <s v="O000655"/>
    <d v="2024-08-13T00:00:00"/>
    <x v="507"/>
    <x v="507"/>
    <s v="P0030"/>
    <x v="95"/>
    <s v="S001"/>
    <x v="2"/>
    <n v="2"/>
    <n v="0"/>
    <s v="UPI"/>
    <n v="76019.78"/>
    <n v="152039.56"/>
    <n v="0"/>
    <n v="152039.56"/>
    <n v="53305.15"/>
    <n v="106610.3"/>
    <n v="45429.259999999995"/>
    <x v="1"/>
  </r>
  <r>
    <s v="O000245"/>
    <d v="2024-08-15T00:00:00"/>
    <x v="508"/>
    <x v="508"/>
    <s v="P0134"/>
    <x v="108"/>
    <s v="S010"/>
    <x v="1"/>
    <n v="3"/>
    <n v="0"/>
    <s v="Debit Card"/>
    <n v="3581.9"/>
    <n v="10745.7"/>
    <n v="0"/>
    <n v="10745.7"/>
    <n v="2770.12"/>
    <n v="8310.36"/>
    <n v="2435.34"/>
    <x v="0"/>
  </r>
  <r>
    <s v="O000704"/>
    <d v="2024-08-15T00:00:00"/>
    <x v="509"/>
    <x v="509"/>
    <s v="P0050"/>
    <x v="5"/>
    <s v="S003"/>
    <x v="3"/>
    <n v="1"/>
    <n v="0.05"/>
    <s v="UPI"/>
    <n v="14006.13"/>
    <n v="14006.13"/>
    <n v="700.30650000000003"/>
    <n v="13305.823499999999"/>
    <n v="9829.2800000000007"/>
    <n v="9829.2800000000007"/>
    <n v="3476.5434999999979"/>
    <x v="3"/>
  </r>
  <r>
    <s v="O000883"/>
    <d v="2024-08-15T00:00:00"/>
    <x v="510"/>
    <x v="510"/>
    <s v="P0129"/>
    <x v="58"/>
    <s v="S016"/>
    <x v="0"/>
    <n v="2"/>
    <n v="0.05"/>
    <s v="Debit Card"/>
    <n v="3285.82"/>
    <n v="6571.64"/>
    <n v="328.58200000000005"/>
    <n v="6243.058"/>
    <n v="2256.9699999999998"/>
    <n v="4513.9399999999996"/>
    <n v="1729.1180000000004"/>
    <x v="0"/>
  </r>
  <r>
    <s v="O000532"/>
    <d v="2024-08-16T00:00:00"/>
    <x v="511"/>
    <x v="511"/>
    <s v="P0114"/>
    <x v="31"/>
    <s v="S021"/>
    <x v="0"/>
    <n v="1"/>
    <n v="0"/>
    <s v="Credit Card"/>
    <n v="252.55"/>
    <n v="252.55"/>
    <n v="0"/>
    <n v="252.55"/>
    <n v="170.34"/>
    <n v="170.34"/>
    <n v="82.210000000000008"/>
    <x v="4"/>
  </r>
  <r>
    <s v="O000602"/>
    <d v="2024-08-16T00:00:00"/>
    <x v="512"/>
    <x v="512"/>
    <s v="P0082"/>
    <x v="61"/>
    <s v="S021"/>
    <x v="0"/>
    <n v="1"/>
    <n v="0.15"/>
    <s v="UPI"/>
    <n v="5613.98"/>
    <n v="5613.98"/>
    <n v="842.09699999999987"/>
    <n v="4771.8829999999998"/>
    <n v="3377.41"/>
    <n v="3377.41"/>
    <n v="1394.473"/>
    <x v="2"/>
  </r>
  <r>
    <s v="O000175"/>
    <d v="2024-08-17T00:00:00"/>
    <x v="513"/>
    <x v="513"/>
    <s v="P0118"/>
    <x v="116"/>
    <s v="S019"/>
    <x v="0"/>
    <n v="3"/>
    <n v="0"/>
    <s v="UPI"/>
    <n v="1499.75"/>
    <n v="4499.25"/>
    <n v="0"/>
    <n v="4499.25"/>
    <n v="1194.1400000000001"/>
    <n v="3582.42"/>
    <n v="916.82999999999993"/>
    <x v="4"/>
  </r>
  <r>
    <s v="O000407"/>
    <d v="2024-08-17T00:00:00"/>
    <x v="514"/>
    <x v="514"/>
    <s v="P0008"/>
    <x v="136"/>
    <s v="S003"/>
    <x v="3"/>
    <n v="1"/>
    <n v="0.1"/>
    <s v="Cash"/>
    <n v="76009.95"/>
    <n v="76009.95"/>
    <n v="7600.9949999999999"/>
    <n v="68408.955000000002"/>
    <n v="41916.89"/>
    <n v="41916.89"/>
    <n v="26492.065000000002"/>
    <x v="1"/>
  </r>
  <r>
    <s v="O000924"/>
    <d v="2024-08-17T00:00:00"/>
    <x v="515"/>
    <x v="515"/>
    <s v="P0049"/>
    <x v="79"/>
    <s v="S018"/>
    <x v="0"/>
    <n v="2"/>
    <n v="0.05"/>
    <s v="UPI"/>
    <n v="643.36"/>
    <n v="1286.72"/>
    <n v="64.335999999999999"/>
    <n v="1222.384"/>
    <n v="460.5"/>
    <n v="921"/>
    <n v="301.38400000000001"/>
    <x v="3"/>
  </r>
  <r>
    <s v="O000779"/>
    <d v="2024-08-20T00:00:00"/>
    <x v="516"/>
    <x v="516"/>
    <s v="P0102"/>
    <x v="37"/>
    <s v="S014"/>
    <x v="1"/>
    <n v="1"/>
    <n v="0.1"/>
    <s v="UPI"/>
    <n v="1282.31"/>
    <n v="1282.31"/>
    <n v="128.23099999999999"/>
    <n v="1154.079"/>
    <n v="759"/>
    <n v="759"/>
    <n v="395.07899999999995"/>
    <x v="4"/>
  </r>
  <r>
    <s v="O000765"/>
    <d v="2024-08-22T00:00:00"/>
    <x v="517"/>
    <x v="517"/>
    <s v="P0129"/>
    <x v="58"/>
    <s v="S010"/>
    <x v="1"/>
    <n v="5"/>
    <n v="0"/>
    <s v="Net Banking"/>
    <n v="3285.82"/>
    <n v="16429.100000000002"/>
    <n v="0"/>
    <n v="16429.100000000002"/>
    <n v="2256.9699999999998"/>
    <n v="11284.849999999999"/>
    <n v="5144.2500000000036"/>
    <x v="0"/>
  </r>
  <r>
    <s v="O000214"/>
    <d v="2024-08-23T00:00:00"/>
    <x v="518"/>
    <x v="518"/>
    <s v="P0111"/>
    <x v="126"/>
    <s v="S009"/>
    <x v="0"/>
    <n v="2"/>
    <n v="0"/>
    <s v="UPI"/>
    <n v="912.62"/>
    <n v="1825.24"/>
    <n v="0"/>
    <n v="1825.24"/>
    <n v="648.75"/>
    <n v="1297.5"/>
    <n v="527.74"/>
    <x v="4"/>
  </r>
  <r>
    <s v="O000353"/>
    <d v="2024-08-24T00:00:00"/>
    <x v="519"/>
    <x v="519"/>
    <s v="P0011"/>
    <x v="73"/>
    <s v="S004"/>
    <x v="3"/>
    <n v="1"/>
    <n v="0.05"/>
    <s v="Net Banking"/>
    <n v="14902.07"/>
    <n v="14902.07"/>
    <n v="745.10350000000005"/>
    <n v="14156.9665"/>
    <n v="9305.33"/>
    <n v="9305.33"/>
    <n v="4851.6365000000005"/>
    <x v="1"/>
  </r>
  <r>
    <s v="O000044"/>
    <d v="2024-08-25T00:00:00"/>
    <x v="520"/>
    <x v="520"/>
    <s v="P0128"/>
    <x v="14"/>
    <s v="S013"/>
    <x v="0"/>
    <n v="1"/>
    <n v="0.1"/>
    <s v="UPI"/>
    <n v="1655.17"/>
    <n v="1655.17"/>
    <n v="165.51700000000002"/>
    <n v="1489.653"/>
    <n v="1375.84"/>
    <n v="1375.84"/>
    <n v="113.8130000000001"/>
    <x v="0"/>
  </r>
  <r>
    <s v="O000096"/>
    <d v="2024-08-25T00:00:00"/>
    <x v="521"/>
    <x v="521"/>
    <s v="P0011"/>
    <x v="73"/>
    <s v="S011"/>
    <x v="0"/>
    <n v="4"/>
    <n v="0"/>
    <s v="UPI"/>
    <n v="14902.07"/>
    <n v="59608.28"/>
    <n v="0"/>
    <n v="59608.28"/>
    <n v="9305.33"/>
    <n v="37221.32"/>
    <n v="22386.959999999999"/>
    <x v="1"/>
  </r>
  <r>
    <s v="O000447"/>
    <d v="2024-08-25T00:00:00"/>
    <x v="522"/>
    <x v="522"/>
    <s v="P0132"/>
    <x v="70"/>
    <s v="S018"/>
    <x v="0"/>
    <n v="2"/>
    <n v="0.05"/>
    <s v="Cash"/>
    <n v="4869.55"/>
    <n v="9739.1"/>
    <n v="486.95500000000004"/>
    <n v="9252.1450000000004"/>
    <n v="3039.73"/>
    <n v="6079.46"/>
    <n v="3172.6850000000004"/>
    <x v="0"/>
  </r>
  <r>
    <s v="O000758"/>
    <d v="2024-08-26T00:00:00"/>
    <x v="523"/>
    <x v="523"/>
    <s v="P0043"/>
    <x v="124"/>
    <s v="S007"/>
    <x v="0"/>
    <n v="1"/>
    <n v="0.05"/>
    <s v="Credit Card"/>
    <n v="22827.119999999999"/>
    <n v="22827.119999999999"/>
    <n v="1141.356"/>
    <n v="21685.763999999999"/>
    <n v="18264.07"/>
    <n v="18264.07"/>
    <n v="3421.6939999999995"/>
    <x v="3"/>
  </r>
  <r>
    <s v="O000380"/>
    <d v="2024-08-27T00:00:00"/>
    <x v="524"/>
    <x v="524"/>
    <s v="P0014"/>
    <x v="106"/>
    <s v="S008"/>
    <x v="1"/>
    <n v="3"/>
    <n v="0"/>
    <s v="UPI"/>
    <n v="9246.34"/>
    <n v="27739.02"/>
    <n v="0"/>
    <n v="27739.02"/>
    <n v="7613.27"/>
    <n v="22839.81"/>
    <n v="4899.2099999999991"/>
    <x v="1"/>
  </r>
  <r>
    <s v="O000816"/>
    <d v="2024-08-27T00:00:00"/>
    <x v="525"/>
    <x v="525"/>
    <s v="P0047"/>
    <x v="47"/>
    <s v="S016"/>
    <x v="0"/>
    <n v="1"/>
    <n v="0.1"/>
    <s v="UPI"/>
    <n v="11987.07"/>
    <n v="11987.07"/>
    <n v="1198.7070000000001"/>
    <n v="10788.362999999999"/>
    <n v="8332.57"/>
    <n v="8332.57"/>
    <n v="2455.7929999999997"/>
    <x v="3"/>
  </r>
  <r>
    <s v="O000446"/>
    <d v="2024-08-28T00:00:00"/>
    <x v="526"/>
    <x v="526"/>
    <s v="P0118"/>
    <x v="116"/>
    <s v="S006"/>
    <x v="3"/>
    <n v="2"/>
    <n v="0.1"/>
    <s v="Cash"/>
    <n v="1499.75"/>
    <n v="2999.5"/>
    <n v="299.95"/>
    <n v="2699.55"/>
    <n v="1194.1400000000001"/>
    <n v="2388.2800000000002"/>
    <n v="311.27"/>
    <x v="4"/>
  </r>
  <r>
    <s v="O000270"/>
    <d v="2024-08-30T00:00:00"/>
    <x v="527"/>
    <x v="527"/>
    <s v="P0066"/>
    <x v="49"/>
    <s v="S024"/>
    <x v="0"/>
    <n v="3"/>
    <n v="0.05"/>
    <s v="Credit Card"/>
    <n v="7801.86"/>
    <n v="23405.579999999998"/>
    <n v="1170.279"/>
    <n v="22235.300999999999"/>
    <n v="5332.9"/>
    <n v="15998.699999999999"/>
    <n v="6236.6010000000006"/>
    <x v="3"/>
  </r>
  <r>
    <s v="O000666"/>
    <d v="2024-08-30T00:00:00"/>
    <x v="528"/>
    <x v="528"/>
    <s v="P0048"/>
    <x v="48"/>
    <s v="S009"/>
    <x v="0"/>
    <n v="1"/>
    <n v="0.1"/>
    <s v="Debit Card"/>
    <n v="29675.72"/>
    <n v="29675.72"/>
    <n v="2967.5720000000001"/>
    <n v="26708.148000000001"/>
    <n v="17695.330000000002"/>
    <n v="17695.330000000002"/>
    <n v="9012.8179999999993"/>
    <x v="3"/>
  </r>
  <r>
    <s v="O000205"/>
    <d v="2024-08-31T00:00:00"/>
    <x v="529"/>
    <x v="529"/>
    <s v="P0130"/>
    <x v="145"/>
    <s v="S016"/>
    <x v="0"/>
    <n v="1"/>
    <n v="0"/>
    <s v="Net Banking"/>
    <n v="3317.98"/>
    <n v="3317.98"/>
    <n v="0"/>
    <n v="3317.98"/>
    <n v="2151.56"/>
    <n v="2151.56"/>
    <n v="1166.42"/>
    <x v="0"/>
  </r>
  <r>
    <s v="O000563"/>
    <d v="2024-09-01T00:00:00"/>
    <x v="530"/>
    <x v="530"/>
    <s v="P0119"/>
    <x v="29"/>
    <s v="S013"/>
    <x v="0"/>
    <n v="1"/>
    <n v="0.05"/>
    <s v="Debit Card"/>
    <n v="400.63"/>
    <n v="400.63"/>
    <n v="20.031500000000001"/>
    <n v="380.5985"/>
    <n v="222.73"/>
    <n v="222.73"/>
    <n v="157.86850000000001"/>
    <x v="4"/>
  </r>
  <r>
    <s v="O000606"/>
    <d v="2024-09-02T00:00:00"/>
    <x v="531"/>
    <x v="531"/>
    <s v="P0060"/>
    <x v="7"/>
    <s v="S013"/>
    <x v="0"/>
    <n v="1"/>
    <n v="0"/>
    <s v="Credit Card"/>
    <n v="4187.79"/>
    <n v="4187.79"/>
    <n v="0"/>
    <n v="4187.79"/>
    <n v="2951.03"/>
    <n v="2951.03"/>
    <n v="1236.7599999999998"/>
    <x v="3"/>
  </r>
  <r>
    <s v="O000848"/>
    <d v="2024-09-03T00:00:00"/>
    <x v="532"/>
    <x v="532"/>
    <s v="P0077"/>
    <x v="88"/>
    <s v="S014"/>
    <x v="1"/>
    <n v="2"/>
    <n v="0.15"/>
    <s v="UPI"/>
    <n v="6178.38"/>
    <n v="12356.76"/>
    <n v="1853.5139999999999"/>
    <n v="10503.246000000001"/>
    <n v="4740.8599999999997"/>
    <n v="9481.7199999999993"/>
    <n v="1021.5260000000017"/>
    <x v="2"/>
  </r>
  <r>
    <s v="O000966"/>
    <d v="2024-09-04T00:00:00"/>
    <x v="533"/>
    <x v="533"/>
    <s v="P0072"/>
    <x v="133"/>
    <s v="S024"/>
    <x v="0"/>
    <n v="1"/>
    <n v="0.1"/>
    <s v="Debit Card"/>
    <n v="3718.64"/>
    <n v="3718.64"/>
    <n v="371.86400000000003"/>
    <n v="3346.7759999999998"/>
    <n v="3021.38"/>
    <n v="3021.38"/>
    <n v="325.39599999999973"/>
    <x v="2"/>
  </r>
  <r>
    <s v="O000212"/>
    <d v="2024-09-06T00:00:00"/>
    <x v="534"/>
    <x v="534"/>
    <s v="P0092"/>
    <x v="129"/>
    <s v="S003"/>
    <x v="3"/>
    <n v="1"/>
    <n v="0.1"/>
    <s v="Debit Card"/>
    <n v="3368.47"/>
    <n v="3368.47"/>
    <n v="336.84699999999998"/>
    <n v="3031.6229999999996"/>
    <n v="2152.4899999999998"/>
    <n v="2152.4899999999998"/>
    <n v="879.13299999999981"/>
    <x v="2"/>
  </r>
  <r>
    <s v="O000660"/>
    <d v="2024-09-08T00:00:00"/>
    <x v="535"/>
    <x v="535"/>
    <s v="P0142"/>
    <x v="21"/>
    <s v="S019"/>
    <x v="0"/>
    <n v="1"/>
    <n v="0.05"/>
    <s v="UPI"/>
    <n v="773.2"/>
    <n v="773.2"/>
    <n v="38.660000000000004"/>
    <n v="734.54000000000008"/>
    <n v="547.09"/>
    <n v="547.09"/>
    <n v="187.45000000000005"/>
    <x v="0"/>
  </r>
  <r>
    <s v="O000829"/>
    <d v="2024-09-09T00:00:00"/>
    <x v="536"/>
    <x v="536"/>
    <s v="P0140"/>
    <x v="32"/>
    <s v="S018"/>
    <x v="0"/>
    <n v="2"/>
    <n v="0"/>
    <s v="Credit Card"/>
    <n v="3205.72"/>
    <n v="6411.44"/>
    <n v="0"/>
    <n v="6411.44"/>
    <n v="2167.94"/>
    <n v="4335.88"/>
    <n v="2075.5599999999995"/>
    <x v="0"/>
  </r>
  <r>
    <s v="O000709"/>
    <d v="2024-09-11T00:00:00"/>
    <x v="537"/>
    <x v="537"/>
    <s v="P0054"/>
    <x v="59"/>
    <s v="S018"/>
    <x v="0"/>
    <n v="2"/>
    <n v="0"/>
    <s v="UPI"/>
    <n v="17619.849999999999"/>
    <n v="35239.699999999997"/>
    <n v="0"/>
    <n v="35239.699999999997"/>
    <n v="13837.65"/>
    <n v="27675.3"/>
    <n v="7564.3999999999978"/>
    <x v="3"/>
  </r>
  <r>
    <s v="O000894"/>
    <d v="2024-09-12T00:00:00"/>
    <x v="538"/>
    <x v="538"/>
    <s v="P0072"/>
    <x v="133"/>
    <s v="S015"/>
    <x v="3"/>
    <n v="1"/>
    <n v="0.15"/>
    <s v="Cash"/>
    <n v="3718.64"/>
    <n v="3718.64"/>
    <n v="557.79599999999994"/>
    <n v="3160.8440000000001"/>
    <n v="3021.38"/>
    <n v="3021.38"/>
    <n v="139.46399999999994"/>
    <x v="2"/>
  </r>
  <r>
    <s v="O000051"/>
    <d v="2024-09-14T00:00:00"/>
    <x v="539"/>
    <x v="539"/>
    <s v="P0106"/>
    <x v="44"/>
    <s v="S018"/>
    <x v="0"/>
    <n v="3"/>
    <n v="0.1"/>
    <s v="Debit Card"/>
    <n v="817.37"/>
    <n v="2452.11"/>
    <n v="245.21100000000001"/>
    <n v="2206.8990000000003"/>
    <n v="595.03"/>
    <n v="1785.09"/>
    <n v="421.80900000000042"/>
    <x v="4"/>
  </r>
  <r>
    <s v="O000248"/>
    <d v="2024-09-15T00:00:00"/>
    <x v="540"/>
    <x v="540"/>
    <s v="P0098"/>
    <x v="74"/>
    <s v="S007"/>
    <x v="0"/>
    <n v="2"/>
    <n v="0"/>
    <s v="UPI"/>
    <n v="1233.81"/>
    <n v="2467.62"/>
    <n v="0"/>
    <n v="2467.62"/>
    <n v="944.94"/>
    <n v="1889.88"/>
    <n v="577.73999999999978"/>
    <x v="4"/>
  </r>
  <r>
    <s v="O000824"/>
    <d v="2024-09-15T00:00:00"/>
    <x v="541"/>
    <x v="541"/>
    <s v="P0150"/>
    <x v="66"/>
    <s v="S004"/>
    <x v="3"/>
    <n v="1"/>
    <n v="0"/>
    <s v="Net Banking"/>
    <n v="4199.75"/>
    <n v="4199.75"/>
    <n v="0"/>
    <n v="4199.75"/>
    <n v="2546.5700000000002"/>
    <n v="2546.5700000000002"/>
    <n v="1653.1799999999998"/>
    <x v="0"/>
  </r>
  <r>
    <s v="O000429"/>
    <d v="2024-09-17T00:00:00"/>
    <x v="542"/>
    <x v="542"/>
    <s v="P0002"/>
    <x v="35"/>
    <s v="S002"/>
    <x v="2"/>
    <n v="2"/>
    <n v="0"/>
    <s v="UPI"/>
    <n v="75177.759999999995"/>
    <n v="150355.51999999999"/>
    <n v="0"/>
    <n v="150355.51999999999"/>
    <n v="51831.839999999997"/>
    <n v="103663.67999999999"/>
    <n v="46691.839999999997"/>
    <x v="1"/>
  </r>
  <r>
    <s v="O000143"/>
    <d v="2024-09-23T00:00:00"/>
    <x v="455"/>
    <x v="455"/>
    <s v="P0013"/>
    <x v="111"/>
    <s v="S021"/>
    <x v="0"/>
    <n v="1"/>
    <n v="0"/>
    <s v="Debit Card"/>
    <n v="36179.730000000003"/>
    <n v="36179.730000000003"/>
    <n v="0"/>
    <n v="36179.730000000003"/>
    <n v="25344.32"/>
    <n v="25344.32"/>
    <n v="10835.410000000003"/>
    <x v="1"/>
  </r>
  <r>
    <s v="O000074"/>
    <d v="2024-09-24T00:00:00"/>
    <x v="543"/>
    <x v="543"/>
    <s v="P0062"/>
    <x v="101"/>
    <s v="S009"/>
    <x v="0"/>
    <n v="5"/>
    <n v="0.1"/>
    <s v="Cash"/>
    <n v="26039.41"/>
    <n v="130197.05"/>
    <n v="13019.705000000002"/>
    <n v="117177.345"/>
    <n v="20592.23"/>
    <n v="102961.15"/>
    <n v="14216.195000000007"/>
    <x v="3"/>
  </r>
  <r>
    <s v="O000811"/>
    <d v="2024-09-25T00:00:00"/>
    <x v="544"/>
    <x v="544"/>
    <s v="P0039"/>
    <x v="146"/>
    <s v="S001"/>
    <x v="2"/>
    <n v="2"/>
    <n v="0"/>
    <s v="UPI"/>
    <n v="14732.95"/>
    <n v="29465.9"/>
    <n v="0"/>
    <n v="29465.9"/>
    <n v="10707.23"/>
    <n v="21414.46"/>
    <n v="8051.4400000000023"/>
    <x v="3"/>
  </r>
  <r>
    <s v="O000005"/>
    <d v="2024-09-26T00:00:00"/>
    <x v="545"/>
    <x v="545"/>
    <s v="P0028"/>
    <x v="27"/>
    <s v="S010"/>
    <x v="1"/>
    <n v="1"/>
    <n v="0"/>
    <s v="UPI"/>
    <n v="52004.72"/>
    <n v="52004.72"/>
    <n v="0"/>
    <n v="52004.72"/>
    <n v="43224.87"/>
    <n v="43224.87"/>
    <n v="8779.8499999999985"/>
    <x v="1"/>
  </r>
  <r>
    <s v="O000235"/>
    <d v="2024-09-30T00:00:00"/>
    <x v="546"/>
    <x v="546"/>
    <s v="P0100"/>
    <x v="125"/>
    <s v="S019"/>
    <x v="0"/>
    <n v="1"/>
    <n v="0"/>
    <s v="Credit Card"/>
    <n v="117.96"/>
    <n v="117.96"/>
    <n v="0"/>
    <n v="117.96"/>
    <n v="77.36"/>
    <n v="77.36"/>
    <n v="40.599999999999994"/>
    <x v="4"/>
  </r>
  <r>
    <s v="O000689"/>
    <d v="2024-10-01T00:00:00"/>
    <x v="547"/>
    <x v="547"/>
    <s v="P0045"/>
    <x v="114"/>
    <s v="S016"/>
    <x v="0"/>
    <n v="2"/>
    <n v="0"/>
    <s v="Debit Card"/>
    <n v="14353.88"/>
    <n v="28707.759999999998"/>
    <n v="0"/>
    <n v="28707.759999999998"/>
    <n v="8791.7900000000009"/>
    <n v="17583.580000000002"/>
    <n v="11124.179999999997"/>
    <x v="3"/>
  </r>
  <r>
    <s v="O000349"/>
    <d v="2024-10-04T00:00:00"/>
    <x v="548"/>
    <x v="548"/>
    <s v="P0075"/>
    <x v="10"/>
    <s v="S021"/>
    <x v="0"/>
    <n v="1"/>
    <n v="0.15"/>
    <s v="UPI"/>
    <n v="7788.99"/>
    <n v="7788.99"/>
    <n v="1168.3484999999998"/>
    <n v="6620.6414999999997"/>
    <n v="6231.21"/>
    <n v="6231.21"/>
    <n v="389.43149999999969"/>
    <x v="2"/>
  </r>
  <r>
    <s v="O000415"/>
    <d v="2024-10-04T00:00:00"/>
    <x v="549"/>
    <x v="549"/>
    <s v="P0072"/>
    <x v="133"/>
    <s v="S007"/>
    <x v="0"/>
    <n v="1"/>
    <n v="0.05"/>
    <s v="Cash"/>
    <n v="3718.64"/>
    <n v="3718.64"/>
    <n v="185.93200000000002"/>
    <n v="3532.7079999999996"/>
    <n v="3021.38"/>
    <n v="3021.38"/>
    <n v="511.32799999999952"/>
    <x v="2"/>
  </r>
  <r>
    <s v="O000102"/>
    <d v="2024-10-06T00:00:00"/>
    <x v="550"/>
    <x v="550"/>
    <s v="P0017"/>
    <x v="69"/>
    <s v="S022"/>
    <x v="2"/>
    <n v="1"/>
    <n v="0"/>
    <s v="Cash"/>
    <n v="61469.2"/>
    <n v="61469.2"/>
    <n v="0"/>
    <n v="61469.2"/>
    <n v="39781.99"/>
    <n v="39781.99"/>
    <n v="21687.21"/>
    <x v="1"/>
  </r>
  <r>
    <s v="O000635"/>
    <d v="2024-10-08T00:00:00"/>
    <x v="551"/>
    <x v="551"/>
    <s v="P0024"/>
    <x v="119"/>
    <s v="S023"/>
    <x v="1"/>
    <n v="3"/>
    <n v="0.1"/>
    <s v="Credit Card"/>
    <n v="44917.11"/>
    <n v="134751.33000000002"/>
    <n v="13475.133000000002"/>
    <n v="121276.19700000001"/>
    <n v="33851.120000000003"/>
    <n v="101553.36000000002"/>
    <n v="19722.837"/>
    <x v="1"/>
  </r>
  <r>
    <s v="O000858"/>
    <d v="2024-10-09T00:00:00"/>
    <x v="552"/>
    <x v="552"/>
    <s v="P0063"/>
    <x v="33"/>
    <s v="S002"/>
    <x v="2"/>
    <n v="4"/>
    <n v="0"/>
    <s v="UPI"/>
    <n v="22222.83"/>
    <n v="88891.32"/>
    <n v="0"/>
    <n v="88891.32"/>
    <n v="17564.490000000002"/>
    <n v="70257.960000000006"/>
    <n v="18633.36"/>
    <x v="3"/>
  </r>
  <r>
    <s v="O000374"/>
    <d v="2024-10-10T00:00:00"/>
    <x v="553"/>
    <x v="553"/>
    <s v="P0066"/>
    <x v="49"/>
    <s v="S024"/>
    <x v="0"/>
    <n v="3"/>
    <n v="0"/>
    <s v="Credit Card"/>
    <n v="7801.86"/>
    <n v="23405.579999999998"/>
    <n v="0"/>
    <n v="23405.579999999998"/>
    <n v="5332.9"/>
    <n v="15998.699999999999"/>
    <n v="7406.8799999999992"/>
    <x v="3"/>
  </r>
  <r>
    <s v="O000958"/>
    <d v="2024-10-10T00:00:00"/>
    <x v="554"/>
    <x v="554"/>
    <s v="P0090"/>
    <x v="93"/>
    <s v="S001"/>
    <x v="2"/>
    <n v="3"/>
    <n v="0.05"/>
    <s v="UPI"/>
    <n v="6708.36"/>
    <n v="20125.079999999998"/>
    <n v="1006.2539999999999"/>
    <n v="19118.825999999997"/>
    <n v="5031.45"/>
    <n v="15094.349999999999"/>
    <n v="4024.4759999999987"/>
    <x v="2"/>
  </r>
  <r>
    <s v="O000574"/>
    <d v="2024-10-11T00:00:00"/>
    <x v="555"/>
    <x v="555"/>
    <s v="P0140"/>
    <x v="32"/>
    <s v="S013"/>
    <x v="0"/>
    <n v="1"/>
    <n v="0.05"/>
    <s v="Debit Card"/>
    <n v="3205.72"/>
    <n v="3205.72"/>
    <n v="160.286"/>
    <n v="3045.4339999999997"/>
    <n v="2167.94"/>
    <n v="2167.94"/>
    <n v="877.49399999999969"/>
    <x v="0"/>
  </r>
  <r>
    <s v="O000941"/>
    <d v="2024-10-12T00:00:00"/>
    <x v="452"/>
    <x v="452"/>
    <s v="P0021"/>
    <x v="45"/>
    <s v="S019"/>
    <x v="0"/>
    <n v="1"/>
    <n v="0"/>
    <s v="Cash"/>
    <n v="48777.16"/>
    <n v="48777.16"/>
    <n v="0"/>
    <n v="48777.16"/>
    <n v="29771.48"/>
    <n v="29771.48"/>
    <n v="19005.680000000004"/>
    <x v="1"/>
  </r>
  <r>
    <s v="O000343"/>
    <d v="2024-10-13T00:00:00"/>
    <x v="556"/>
    <x v="556"/>
    <s v="P0136"/>
    <x v="42"/>
    <s v="S008"/>
    <x v="1"/>
    <n v="1"/>
    <n v="0"/>
    <s v="UPI"/>
    <n v="1702.4"/>
    <n v="1702.4"/>
    <n v="0"/>
    <n v="1702.4"/>
    <n v="1284.8900000000001"/>
    <n v="1284.8900000000001"/>
    <n v="417.51"/>
    <x v="0"/>
  </r>
  <r>
    <s v="O000634"/>
    <d v="2024-10-16T00:00:00"/>
    <x v="557"/>
    <x v="557"/>
    <s v="P0150"/>
    <x v="66"/>
    <s v="S018"/>
    <x v="0"/>
    <n v="3"/>
    <n v="0.05"/>
    <s v="UPI"/>
    <n v="4199.75"/>
    <n v="12599.25"/>
    <n v="629.96250000000009"/>
    <n v="11969.2875"/>
    <n v="2546.5700000000002"/>
    <n v="7639.7100000000009"/>
    <n v="4329.5774999999994"/>
    <x v="0"/>
  </r>
  <r>
    <s v="O000071"/>
    <d v="2024-10-17T00:00:00"/>
    <x v="558"/>
    <x v="558"/>
    <s v="P0148"/>
    <x v="94"/>
    <s v="S023"/>
    <x v="1"/>
    <n v="2"/>
    <n v="0"/>
    <s v="Debit Card"/>
    <n v="3430.41"/>
    <n v="6860.82"/>
    <n v="0"/>
    <n v="6860.82"/>
    <n v="2912.56"/>
    <n v="5825.12"/>
    <n v="1035.6999999999998"/>
    <x v="0"/>
  </r>
  <r>
    <s v="O000328"/>
    <d v="2024-10-17T00:00:00"/>
    <x v="559"/>
    <x v="559"/>
    <s v="P0110"/>
    <x v="18"/>
    <s v="S002"/>
    <x v="2"/>
    <n v="1"/>
    <n v="0"/>
    <s v="Debit Card"/>
    <n v="1053.9000000000001"/>
    <n v="1053.9000000000001"/>
    <n v="0"/>
    <n v="1053.9000000000001"/>
    <n v="710.59"/>
    <n v="710.59"/>
    <n v="343.31000000000006"/>
    <x v="4"/>
  </r>
  <r>
    <s v="O000898"/>
    <d v="2024-10-18T00:00:00"/>
    <x v="560"/>
    <x v="560"/>
    <s v="P0083"/>
    <x v="26"/>
    <s v="S005"/>
    <x v="1"/>
    <n v="1"/>
    <n v="0.05"/>
    <s v="Credit Card"/>
    <n v="1436.28"/>
    <n v="1436.28"/>
    <n v="71.814000000000007"/>
    <n v="1364.4659999999999"/>
    <n v="1097.5"/>
    <n v="1097.5"/>
    <n v="266.96599999999989"/>
    <x v="2"/>
  </r>
  <r>
    <s v="O000331"/>
    <d v="2024-10-19T00:00:00"/>
    <x v="561"/>
    <x v="561"/>
    <s v="P0014"/>
    <x v="106"/>
    <s v="S011"/>
    <x v="0"/>
    <n v="1"/>
    <n v="0"/>
    <s v="Debit Card"/>
    <n v="9246.34"/>
    <n v="9246.34"/>
    <n v="0"/>
    <n v="9246.34"/>
    <n v="7613.27"/>
    <n v="7613.27"/>
    <n v="1633.0699999999997"/>
    <x v="1"/>
  </r>
  <r>
    <s v="O000491"/>
    <d v="2024-10-19T00:00:00"/>
    <x v="485"/>
    <x v="485"/>
    <s v="P0020"/>
    <x v="1"/>
    <s v="S006"/>
    <x v="3"/>
    <n v="1"/>
    <n v="0.1"/>
    <s v="UPI"/>
    <n v="21602.44"/>
    <n v="21602.44"/>
    <n v="2160.2440000000001"/>
    <n v="19442.196"/>
    <n v="13134.58"/>
    <n v="13134.58"/>
    <n v="6307.616"/>
    <x v="1"/>
  </r>
  <r>
    <s v="O000436"/>
    <d v="2024-10-20T00:00:00"/>
    <x v="562"/>
    <x v="562"/>
    <s v="P0115"/>
    <x v="118"/>
    <s v="S024"/>
    <x v="0"/>
    <n v="4"/>
    <n v="0.1"/>
    <s v="Cash"/>
    <n v="343.15"/>
    <n v="1372.6"/>
    <n v="137.26"/>
    <n v="1235.3399999999999"/>
    <n v="192.59"/>
    <n v="770.36"/>
    <n v="464.9799999999999"/>
    <x v="4"/>
  </r>
  <r>
    <s v="O000158"/>
    <d v="2024-10-21T00:00:00"/>
    <x v="563"/>
    <x v="563"/>
    <s v="P0070"/>
    <x v="4"/>
    <s v="S015"/>
    <x v="3"/>
    <n v="4"/>
    <n v="0.15"/>
    <s v="Debit Card"/>
    <n v="4654.63"/>
    <n v="18618.52"/>
    <n v="2792.7779999999998"/>
    <n v="15825.742"/>
    <n v="2675.18"/>
    <n v="10700.72"/>
    <n v="5125.0220000000008"/>
    <x v="2"/>
  </r>
  <r>
    <s v="O000834"/>
    <d v="2024-10-21T00:00:00"/>
    <x v="564"/>
    <x v="564"/>
    <s v="P0130"/>
    <x v="145"/>
    <s v="S017"/>
    <x v="0"/>
    <n v="1"/>
    <n v="0"/>
    <s v="Cash"/>
    <n v="3317.98"/>
    <n v="3317.98"/>
    <n v="0"/>
    <n v="3317.98"/>
    <n v="2151.56"/>
    <n v="2151.56"/>
    <n v="1166.42"/>
    <x v="0"/>
  </r>
  <r>
    <s v="O000136"/>
    <d v="2024-10-23T00:00:00"/>
    <x v="565"/>
    <x v="565"/>
    <s v="P0136"/>
    <x v="42"/>
    <s v="S016"/>
    <x v="0"/>
    <n v="1"/>
    <n v="0.1"/>
    <s v="Cash"/>
    <n v="1702.4"/>
    <n v="1702.4"/>
    <n v="170.24"/>
    <n v="1532.16"/>
    <n v="1284.8900000000001"/>
    <n v="1284.8900000000001"/>
    <n v="247.26999999999998"/>
    <x v="0"/>
  </r>
  <r>
    <s v="O000321"/>
    <d v="2024-10-23T00:00:00"/>
    <x v="380"/>
    <x v="380"/>
    <s v="P0108"/>
    <x v="24"/>
    <s v="S021"/>
    <x v="0"/>
    <n v="3"/>
    <n v="0.1"/>
    <s v="Credit Card"/>
    <n v="1123.58"/>
    <n v="3370.74"/>
    <n v="337.07400000000001"/>
    <n v="3033.6659999999997"/>
    <n v="665.75"/>
    <n v="1997.25"/>
    <n v="1036.4159999999997"/>
    <x v="4"/>
  </r>
  <r>
    <s v="O000497"/>
    <d v="2024-10-23T00:00:00"/>
    <x v="566"/>
    <x v="566"/>
    <s v="P0034"/>
    <x v="40"/>
    <s v="S025"/>
    <x v="2"/>
    <n v="1"/>
    <n v="0"/>
    <s v="UPI"/>
    <n v="70426.350000000006"/>
    <n v="70426.350000000006"/>
    <n v="0"/>
    <n v="70426.350000000006"/>
    <n v="41048.31"/>
    <n v="41048.31"/>
    <n v="29378.040000000008"/>
    <x v="1"/>
  </r>
  <r>
    <s v="O000616"/>
    <d v="2024-10-24T00:00:00"/>
    <x v="567"/>
    <x v="567"/>
    <s v="P0004"/>
    <x v="76"/>
    <s v="S011"/>
    <x v="0"/>
    <n v="1"/>
    <n v="0"/>
    <s v="Credit Card"/>
    <n v="10619.36"/>
    <n v="10619.36"/>
    <n v="0"/>
    <n v="10619.36"/>
    <n v="6544.82"/>
    <n v="6544.82"/>
    <n v="4074.5400000000009"/>
    <x v="1"/>
  </r>
  <r>
    <s v="O000786"/>
    <d v="2024-10-24T00:00:00"/>
    <x v="568"/>
    <x v="568"/>
    <s v="P0074"/>
    <x v="131"/>
    <s v="S004"/>
    <x v="3"/>
    <n v="1"/>
    <n v="0.05"/>
    <s v="Credit Card"/>
    <n v="6726.61"/>
    <n v="6726.61"/>
    <n v="336.33050000000003"/>
    <n v="6390.2794999999996"/>
    <n v="5191.03"/>
    <n v="5191.03"/>
    <n v="1199.2494999999999"/>
    <x v="2"/>
  </r>
  <r>
    <s v="O000059"/>
    <d v="2024-10-25T00:00:00"/>
    <x v="569"/>
    <x v="569"/>
    <s v="P0023"/>
    <x v="98"/>
    <s v="S008"/>
    <x v="1"/>
    <n v="2"/>
    <n v="0"/>
    <s v="UPI"/>
    <n v="36481.47"/>
    <n v="72962.94"/>
    <n v="0"/>
    <n v="72962.94"/>
    <n v="30666.16"/>
    <n v="61332.32"/>
    <n v="11630.620000000003"/>
    <x v="1"/>
  </r>
  <r>
    <s v="O000440"/>
    <d v="2024-10-25T00:00:00"/>
    <x v="570"/>
    <x v="570"/>
    <s v="P0103"/>
    <x v="120"/>
    <s v="S001"/>
    <x v="2"/>
    <n v="2"/>
    <n v="0"/>
    <s v="Credit Card"/>
    <n v="500.73"/>
    <n v="1001.46"/>
    <n v="0"/>
    <n v="1001.46"/>
    <n v="407.66"/>
    <n v="815.32"/>
    <n v="186.14"/>
    <x v="4"/>
  </r>
  <r>
    <s v="O000534"/>
    <d v="2024-10-28T00:00:00"/>
    <x v="571"/>
    <x v="571"/>
    <s v="P0075"/>
    <x v="10"/>
    <s v="S025"/>
    <x v="2"/>
    <n v="2"/>
    <n v="0.2"/>
    <s v="UPI"/>
    <n v="7788.99"/>
    <n v="15577.98"/>
    <n v="3115.596"/>
    <n v="12462.384"/>
    <n v="6231.21"/>
    <n v="12462.42"/>
    <n v="-3.6000000000058208E-2"/>
    <x v="2"/>
  </r>
  <r>
    <s v="O000653"/>
    <d v="2024-10-28T00:00:00"/>
    <x v="572"/>
    <x v="572"/>
    <s v="P0115"/>
    <x v="118"/>
    <s v="S005"/>
    <x v="1"/>
    <n v="1"/>
    <n v="0.05"/>
    <s v="Credit Card"/>
    <n v="343.15"/>
    <n v="343.15"/>
    <n v="17.157499999999999"/>
    <n v="325.99249999999995"/>
    <n v="192.59"/>
    <n v="192.59"/>
    <n v="133.40249999999995"/>
    <x v="4"/>
  </r>
  <r>
    <s v="O000256"/>
    <d v="2024-10-30T00:00:00"/>
    <x v="573"/>
    <x v="573"/>
    <s v="P0132"/>
    <x v="70"/>
    <s v="S009"/>
    <x v="0"/>
    <n v="1"/>
    <n v="0"/>
    <s v="UPI"/>
    <n v="4869.55"/>
    <n v="4869.55"/>
    <n v="0"/>
    <n v="4869.55"/>
    <n v="3039.73"/>
    <n v="3039.73"/>
    <n v="1829.8200000000002"/>
    <x v="0"/>
  </r>
  <r>
    <s v="O000650"/>
    <d v="2024-10-31T00:00:00"/>
    <x v="574"/>
    <x v="574"/>
    <s v="P0026"/>
    <x v="147"/>
    <s v="S001"/>
    <x v="2"/>
    <n v="1"/>
    <n v="0.05"/>
    <s v="Credit Card"/>
    <n v="43098.98"/>
    <n v="43098.98"/>
    <n v="2154.9490000000001"/>
    <n v="40944.031000000003"/>
    <n v="29477.79"/>
    <n v="29477.79"/>
    <n v="11466.241000000002"/>
    <x v="1"/>
  </r>
  <r>
    <s v="O000955"/>
    <d v="2024-11-02T00:00:00"/>
    <x v="575"/>
    <x v="575"/>
    <s v="P0105"/>
    <x v="138"/>
    <s v="S002"/>
    <x v="2"/>
    <n v="3"/>
    <n v="0"/>
    <s v="Credit Card"/>
    <n v="881.18"/>
    <n v="2643.54"/>
    <n v="0"/>
    <n v="2643.54"/>
    <n v="626.67999999999995"/>
    <n v="1880.04"/>
    <n v="763.5"/>
    <x v="4"/>
  </r>
  <r>
    <s v="O000043"/>
    <d v="2024-11-03T00:00:00"/>
    <x v="576"/>
    <x v="576"/>
    <s v="P0014"/>
    <x v="106"/>
    <s v="S018"/>
    <x v="0"/>
    <n v="1"/>
    <n v="0"/>
    <s v="Debit Card"/>
    <n v="9246.34"/>
    <n v="9246.34"/>
    <n v="0"/>
    <n v="9246.34"/>
    <n v="7613.27"/>
    <n v="7613.27"/>
    <n v="1633.0699999999997"/>
    <x v="1"/>
  </r>
  <r>
    <s v="O000251"/>
    <d v="2024-11-05T00:00:00"/>
    <x v="577"/>
    <x v="577"/>
    <s v="P0106"/>
    <x v="44"/>
    <s v="S005"/>
    <x v="1"/>
    <n v="2"/>
    <n v="0.1"/>
    <s v="UPI"/>
    <n v="817.37"/>
    <n v="1634.74"/>
    <n v="163.47400000000002"/>
    <n v="1471.2660000000001"/>
    <n v="595.03"/>
    <n v="1190.06"/>
    <n v="281.20600000000013"/>
    <x v="4"/>
  </r>
  <r>
    <s v="O000010"/>
    <d v="2024-11-07T00:00:00"/>
    <x v="578"/>
    <x v="578"/>
    <s v="P0047"/>
    <x v="47"/>
    <s v="S010"/>
    <x v="1"/>
    <n v="3"/>
    <n v="0.05"/>
    <s v="UPI"/>
    <n v="11987.07"/>
    <n v="35961.21"/>
    <n v="1798.0605"/>
    <n v="34163.1495"/>
    <n v="8332.57"/>
    <n v="24997.71"/>
    <n v="9165.4395000000004"/>
    <x v="3"/>
  </r>
  <r>
    <s v="O000433"/>
    <d v="2024-11-07T00:00:00"/>
    <x v="579"/>
    <x v="579"/>
    <s v="P0079"/>
    <x v="113"/>
    <s v="S005"/>
    <x v="1"/>
    <n v="1"/>
    <n v="0.05"/>
    <s v="Debit Card"/>
    <n v="7106.08"/>
    <n v="7106.08"/>
    <n v="355.30400000000003"/>
    <n v="6750.7759999999998"/>
    <n v="5246.63"/>
    <n v="5246.63"/>
    <n v="1504.1459999999997"/>
    <x v="2"/>
  </r>
  <r>
    <s v="O000597"/>
    <d v="2024-11-07T00:00:00"/>
    <x v="580"/>
    <x v="580"/>
    <s v="P0057"/>
    <x v="41"/>
    <s v="S008"/>
    <x v="1"/>
    <n v="1"/>
    <n v="0.05"/>
    <s v="Credit Card"/>
    <n v="21084.61"/>
    <n v="21084.61"/>
    <n v="1054.2305000000001"/>
    <n v="20030.379499999999"/>
    <n v="12896.65"/>
    <n v="12896.65"/>
    <n v="7133.7294999999995"/>
    <x v="3"/>
  </r>
  <r>
    <s v="O000964"/>
    <d v="2024-11-07T00:00:00"/>
    <x v="581"/>
    <x v="581"/>
    <s v="P0126"/>
    <x v="0"/>
    <s v="S002"/>
    <x v="2"/>
    <n v="2"/>
    <n v="0.05"/>
    <s v="Credit Card"/>
    <n v="3082.2"/>
    <n v="6164.4"/>
    <n v="308.22000000000003"/>
    <n v="5856.1799999999994"/>
    <n v="2561.06"/>
    <n v="5122.12"/>
    <n v="734.05999999999949"/>
    <x v="0"/>
  </r>
  <r>
    <s v="O000360"/>
    <d v="2024-11-09T00:00:00"/>
    <x v="582"/>
    <x v="582"/>
    <s v="P0097"/>
    <x v="90"/>
    <s v="S005"/>
    <x v="1"/>
    <n v="1"/>
    <n v="0.1"/>
    <s v="UPI"/>
    <n v="1140.1600000000001"/>
    <n v="1140.1600000000001"/>
    <n v="114.01600000000002"/>
    <n v="1026.144"/>
    <n v="763.74"/>
    <n v="763.74"/>
    <n v="262.404"/>
    <x v="4"/>
  </r>
  <r>
    <s v="O000131"/>
    <d v="2024-11-11T00:00:00"/>
    <x v="425"/>
    <x v="425"/>
    <s v="P0074"/>
    <x v="131"/>
    <s v="S006"/>
    <x v="3"/>
    <n v="2"/>
    <n v="0"/>
    <s v="Debit Card"/>
    <n v="6726.61"/>
    <n v="13453.22"/>
    <n v="0"/>
    <n v="13453.22"/>
    <n v="5191.03"/>
    <n v="10382.06"/>
    <n v="3071.16"/>
    <x v="2"/>
  </r>
  <r>
    <s v="O000536"/>
    <d v="2024-11-11T00:00:00"/>
    <x v="583"/>
    <x v="583"/>
    <s v="P0014"/>
    <x v="106"/>
    <s v="S003"/>
    <x v="3"/>
    <n v="2"/>
    <n v="0.05"/>
    <s v="UPI"/>
    <n v="9246.34"/>
    <n v="18492.68"/>
    <n v="924.63400000000001"/>
    <n v="17568.046000000002"/>
    <n v="7613.27"/>
    <n v="15226.54"/>
    <n v="2341.5060000000012"/>
    <x v="1"/>
  </r>
  <r>
    <s v="O000662"/>
    <d v="2024-11-11T00:00:00"/>
    <x v="584"/>
    <x v="584"/>
    <s v="P0090"/>
    <x v="93"/>
    <s v="S024"/>
    <x v="0"/>
    <n v="2"/>
    <n v="0.2"/>
    <s v="Net Banking"/>
    <n v="6708.36"/>
    <n v="13416.72"/>
    <n v="2683.3440000000001"/>
    <n v="10733.376"/>
    <n v="5031.45"/>
    <n v="10062.9"/>
    <n v="670.47600000000057"/>
    <x v="2"/>
  </r>
  <r>
    <s v="O000805"/>
    <d v="2024-11-11T00:00:00"/>
    <x v="585"/>
    <x v="585"/>
    <s v="P0036"/>
    <x v="39"/>
    <s v="S018"/>
    <x v="0"/>
    <n v="1"/>
    <n v="0"/>
    <s v="UPI"/>
    <n v="74177.87"/>
    <n v="74177.87"/>
    <n v="0"/>
    <n v="74177.87"/>
    <n v="46554.33"/>
    <n v="46554.33"/>
    <n v="27623.539999999994"/>
    <x v="1"/>
  </r>
  <r>
    <s v="O000029"/>
    <d v="2024-11-12T00:00:00"/>
    <x v="586"/>
    <x v="586"/>
    <s v="P0120"/>
    <x v="112"/>
    <s v="S011"/>
    <x v="0"/>
    <n v="1"/>
    <n v="0"/>
    <s v="Net Banking"/>
    <n v="207.32"/>
    <n v="207.32"/>
    <n v="0"/>
    <n v="207.32"/>
    <n v="120.99"/>
    <n v="120.99"/>
    <n v="86.33"/>
    <x v="4"/>
  </r>
  <r>
    <s v="O000461"/>
    <d v="2024-11-12T00:00:00"/>
    <x v="587"/>
    <x v="587"/>
    <s v="P0058"/>
    <x v="52"/>
    <s v="S006"/>
    <x v="3"/>
    <n v="1"/>
    <n v="0.05"/>
    <s v="Debit Card"/>
    <n v="27105.29"/>
    <n v="27105.29"/>
    <n v="1355.2645000000002"/>
    <n v="25750.0255"/>
    <n v="17092.599999999999"/>
    <n v="17092.599999999999"/>
    <n v="8657.4255000000012"/>
    <x v="3"/>
  </r>
  <r>
    <s v="O000232"/>
    <d v="2024-11-15T00:00:00"/>
    <x v="588"/>
    <x v="588"/>
    <s v="P0049"/>
    <x v="79"/>
    <s v="S006"/>
    <x v="3"/>
    <n v="1"/>
    <n v="0"/>
    <s v="Net Banking"/>
    <n v="643.36"/>
    <n v="643.36"/>
    <n v="0"/>
    <n v="643.36"/>
    <n v="460.5"/>
    <n v="460.5"/>
    <n v="182.86"/>
    <x v="3"/>
  </r>
  <r>
    <s v="O000425"/>
    <d v="2024-11-16T00:00:00"/>
    <x v="589"/>
    <x v="589"/>
    <s v="P0095"/>
    <x v="102"/>
    <s v="S007"/>
    <x v="0"/>
    <n v="1"/>
    <n v="0"/>
    <s v="UPI"/>
    <n v="587.35"/>
    <n v="587.35"/>
    <n v="0"/>
    <n v="587.35"/>
    <n v="438.09"/>
    <n v="438.09"/>
    <n v="149.26000000000005"/>
    <x v="4"/>
  </r>
  <r>
    <s v="O000469"/>
    <d v="2024-11-16T00:00:00"/>
    <x v="590"/>
    <x v="590"/>
    <s v="P0089"/>
    <x v="142"/>
    <s v="S003"/>
    <x v="3"/>
    <n v="1"/>
    <n v="0.15"/>
    <s v="Cash"/>
    <n v="7419.82"/>
    <n v="7419.82"/>
    <n v="1112.973"/>
    <n v="6306.8469999999998"/>
    <n v="5155.9799999999996"/>
    <n v="5155.9799999999996"/>
    <n v="1150.8670000000002"/>
    <x v="2"/>
  </r>
  <r>
    <s v="O000575"/>
    <d v="2024-11-16T00:00:00"/>
    <x v="591"/>
    <x v="591"/>
    <s v="P0077"/>
    <x v="88"/>
    <s v="S017"/>
    <x v="0"/>
    <n v="2"/>
    <n v="0"/>
    <s v="Credit Card"/>
    <n v="6178.38"/>
    <n v="12356.76"/>
    <n v="0"/>
    <n v="12356.76"/>
    <n v="4740.8599999999997"/>
    <n v="9481.7199999999993"/>
    <n v="2875.0400000000009"/>
    <x v="2"/>
  </r>
  <r>
    <s v="O000760"/>
    <d v="2024-11-21T00:00:00"/>
    <x v="592"/>
    <x v="592"/>
    <s v="P0039"/>
    <x v="146"/>
    <s v="S005"/>
    <x v="1"/>
    <n v="2"/>
    <n v="0.1"/>
    <s v="Net Banking"/>
    <n v="14732.95"/>
    <n v="29465.9"/>
    <n v="2946.59"/>
    <n v="26519.31"/>
    <n v="10707.23"/>
    <n v="21414.46"/>
    <n v="5104.8500000000022"/>
    <x v="3"/>
  </r>
  <r>
    <s v="O000090"/>
    <d v="2024-11-23T00:00:00"/>
    <x v="593"/>
    <x v="593"/>
    <s v="P0006"/>
    <x v="75"/>
    <s v="S010"/>
    <x v="1"/>
    <n v="4"/>
    <n v="0"/>
    <s v="UPI"/>
    <n v="39996.370000000003"/>
    <n v="159985.48000000001"/>
    <n v="0"/>
    <n v="159985.48000000001"/>
    <n v="26192.21"/>
    <n v="104768.84"/>
    <n v="55216.640000000014"/>
    <x v="1"/>
  </r>
  <r>
    <s v="O000870"/>
    <d v="2024-11-23T00:00:00"/>
    <x v="594"/>
    <x v="594"/>
    <s v="P0006"/>
    <x v="75"/>
    <s v="S015"/>
    <x v="3"/>
    <n v="3"/>
    <n v="0"/>
    <s v="Debit Card"/>
    <n v="39996.370000000003"/>
    <n v="119989.11000000002"/>
    <n v="0"/>
    <n v="119989.11000000002"/>
    <n v="26192.21"/>
    <n v="78576.63"/>
    <n v="41412.48000000001"/>
    <x v="1"/>
  </r>
  <r>
    <s v="O000593"/>
    <d v="2024-11-24T00:00:00"/>
    <x v="595"/>
    <x v="595"/>
    <s v="P0029"/>
    <x v="2"/>
    <s v="S021"/>
    <x v="0"/>
    <n v="1"/>
    <n v="0.1"/>
    <s v="UPI"/>
    <n v="51647.41"/>
    <n v="51647.41"/>
    <n v="5164.7410000000009"/>
    <n v="46482.669000000002"/>
    <n v="43564.65"/>
    <n v="43564.65"/>
    <n v="2918.0190000000002"/>
    <x v="1"/>
  </r>
  <r>
    <s v="O000954"/>
    <d v="2024-11-25T00:00:00"/>
    <x v="596"/>
    <x v="596"/>
    <s v="P0022"/>
    <x v="130"/>
    <s v="S011"/>
    <x v="0"/>
    <n v="2"/>
    <n v="0"/>
    <s v="Debit Card"/>
    <n v="9422.92"/>
    <n v="18845.84"/>
    <n v="0"/>
    <n v="18845.84"/>
    <n v="7399.19"/>
    <n v="14798.38"/>
    <n v="4047.4600000000009"/>
    <x v="1"/>
  </r>
  <r>
    <s v="O000543"/>
    <d v="2024-11-27T00:00:00"/>
    <x v="597"/>
    <x v="597"/>
    <s v="P0065"/>
    <x v="83"/>
    <s v="S019"/>
    <x v="0"/>
    <n v="2"/>
    <n v="0"/>
    <s v="Credit Card"/>
    <n v="3429.74"/>
    <n v="6859.48"/>
    <n v="0"/>
    <n v="6859.48"/>
    <n v="2172.39"/>
    <n v="4344.78"/>
    <n v="2514.6999999999998"/>
    <x v="3"/>
  </r>
  <r>
    <s v="O000838"/>
    <d v="2024-11-28T00:00:00"/>
    <x v="598"/>
    <x v="598"/>
    <s v="P0125"/>
    <x v="23"/>
    <s v="S024"/>
    <x v="0"/>
    <n v="1"/>
    <n v="0.05"/>
    <s v="UPI"/>
    <n v="1783.65"/>
    <n v="1783.65"/>
    <n v="89.182500000000005"/>
    <n v="1694.4675000000002"/>
    <n v="1128.95"/>
    <n v="1128.95"/>
    <n v="565.51750000000015"/>
    <x v="0"/>
  </r>
  <r>
    <s v="O000286"/>
    <d v="2024-11-30T00:00:00"/>
    <x v="599"/>
    <x v="599"/>
    <s v="P0109"/>
    <x v="104"/>
    <s v="S018"/>
    <x v="0"/>
    <n v="2"/>
    <n v="0.05"/>
    <s v="Debit Card"/>
    <n v="675.13"/>
    <n v="1350.26"/>
    <n v="67.513000000000005"/>
    <n v="1282.7470000000001"/>
    <n v="510.45"/>
    <n v="1020.9"/>
    <n v="261.84700000000009"/>
    <x v="4"/>
  </r>
  <r>
    <s v="O000261"/>
    <d v="2024-12-02T00:00:00"/>
    <x v="600"/>
    <x v="600"/>
    <s v="P0064"/>
    <x v="135"/>
    <s v="S002"/>
    <x v="2"/>
    <n v="1"/>
    <n v="0.1"/>
    <s v="Credit Card"/>
    <n v="1797.31"/>
    <n v="1797.31"/>
    <n v="179.73099999999999"/>
    <n v="1617.579"/>
    <n v="1257.43"/>
    <n v="1257.43"/>
    <n v="360.14899999999989"/>
    <x v="3"/>
  </r>
  <r>
    <s v="O000912"/>
    <d v="2024-12-03T00:00:00"/>
    <x v="287"/>
    <x v="287"/>
    <s v="P0046"/>
    <x v="144"/>
    <s v="S012"/>
    <x v="1"/>
    <n v="1"/>
    <n v="0.05"/>
    <s v="Credit Card"/>
    <n v="23401.279999999999"/>
    <n v="23401.279999999999"/>
    <n v="1170.0640000000001"/>
    <n v="22231.216"/>
    <n v="13697.77"/>
    <n v="13697.77"/>
    <n v="8533.4459999999999"/>
    <x v="3"/>
  </r>
  <r>
    <s v="O000329"/>
    <d v="2024-12-05T00:00:00"/>
    <x v="601"/>
    <x v="601"/>
    <s v="P0052"/>
    <x v="89"/>
    <s v="S023"/>
    <x v="1"/>
    <n v="1"/>
    <n v="0"/>
    <s v="Debit Card"/>
    <n v="4684.91"/>
    <n v="4684.91"/>
    <n v="0"/>
    <n v="4684.91"/>
    <n v="3005.28"/>
    <n v="3005.28"/>
    <n v="1679.6299999999997"/>
    <x v="3"/>
  </r>
  <r>
    <s v="O000337"/>
    <d v="2024-12-06T00:00:00"/>
    <x v="602"/>
    <x v="602"/>
    <s v="P0072"/>
    <x v="133"/>
    <s v="S016"/>
    <x v="0"/>
    <n v="2"/>
    <n v="0.15"/>
    <s v="Debit Card"/>
    <n v="3718.64"/>
    <n v="7437.28"/>
    <n v="1115.5919999999999"/>
    <n v="6321.6880000000001"/>
    <n v="3021.38"/>
    <n v="6042.76"/>
    <n v="278.92799999999988"/>
    <x v="2"/>
  </r>
  <r>
    <s v="O000508"/>
    <d v="2024-12-06T00:00:00"/>
    <x v="603"/>
    <x v="603"/>
    <s v="P0087"/>
    <x v="60"/>
    <s v="S021"/>
    <x v="0"/>
    <n v="5"/>
    <n v="0.2"/>
    <s v="Cash"/>
    <n v="2599.96"/>
    <n v="12999.8"/>
    <n v="2599.96"/>
    <n v="10399.84"/>
    <n v="1643"/>
    <n v="8215"/>
    <n v="2184.84"/>
    <x v="2"/>
  </r>
  <r>
    <s v="O000600"/>
    <d v="2024-12-07T00:00:00"/>
    <x v="604"/>
    <x v="604"/>
    <s v="P0047"/>
    <x v="47"/>
    <s v="S007"/>
    <x v="0"/>
    <n v="1"/>
    <n v="0"/>
    <s v="Credit Card"/>
    <n v="11987.07"/>
    <n v="11987.07"/>
    <n v="0"/>
    <n v="11987.07"/>
    <n v="8332.57"/>
    <n v="8332.57"/>
    <n v="3654.5"/>
    <x v="3"/>
  </r>
  <r>
    <s v="O000632"/>
    <d v="2024-12-08T00:00:00"/>
    <x v="605"/>
    <x v="605"/>
    <s v="P0099"/>
    <x v="46"/>
    <s v="S008"/>
    <x v="1"/>
    <n v="1"/>
    <n v="0.1"/>
    <s v="UPI"/>
    <n v="631.26"/>
    <n v="631.26"/>
    <n v="63.126000000000005"/>
    <n v="568.13400000000001"/>
    <n v="394.86"/>
    <n v="394.86"/>
    <n v="173.274"/>
    <x v="4"/>
  </r>
  <r>
    <s v="O000406"/>
    <d v="2024-12-09T00:00:00"/>
    <x v="606"/>
    <x v="606"/>
    <s v="P0047"/>
    <x v="47"/>
    <s v="S020"/>
    <x v="3"/>
    <n v="3"/>
    <n v="0.05"/>
    <s v="Cash"/>
    <n v="11987.07"/>
    <n v="35961.21"/>
    <n v="1798.0605"/>
    <n v="34163.1495"/>
    <n v="8332.57"/>
    <n v="24997.71"/>
    <n v="9165.4395000000004"/>
    <x v="3"/>
  </r>
  <r>
    <s v="O000084"/>
    <d v="2024-12-10T00:00:00"/>
    <x v="607"/>
    <x v="607"/>
    <s v="P0075"/>
    <x v="10"/>
    <s v="S006"/>
    <x v="3"/>
    <n v="1"/>
    <n v="0.05"/>
    <s v="UPI"/>
    <n v="7788.99"/>
    <n v="7788.99"/>
    <n v="389.4495"/>
    <n v="7399.5405000000001"/>
    <n v="6231.21"/>
    <n v="6231.21"/>
    <n v="1168.3305"/>
    <x v="2"/>
  </r>
  <r>
    <s v="O000218"/>
    <d v="2024-12-10T00:00:00"/>
    <x v="608"/>
    <x v="608"/>
    <s v="P0012"/>
    <x v="134"/>
    <s v="S004"/>
    <x v="3"/>
    <n v="3"/>
    <n v="0"/>
    <s v="UPI"/>
    <n v="50139.94"/>
    <n v="150419.82"/>
    <n v="0"/>
    <n v="150419.82"/>
    <n v="37762.71"/>
    <n v="113288.13"/>
    <n v="37131.69"/>
    <x v="1"/>
  </r>
  <r>
    <s v="O000608"/>
    <d v="2024-12-10T00:00:00"/>
    <x v="609"/>
    <x v="609"/>
    <s v="P0093"/>
    <x v="122"/>
    <s v="S015"/>
    <x v="3"/>
    <n v="1"/>
    <n v="0"/>
    <s v="Debit Card"/>
    <n v="4565.2299999999996"/>
    <n v="4565.2299999999996"/>
    <n v="0"/>
    <n v="4565.2299999999996"/>
    <n v="3658.34"/>
    <n v="3658.34"/>
    <n v="906.88999999999942"/>
    <x v="2"/>
  </r>
  <r>
    <s v="O000802"/>
    <d v="2024-12-10T00:00:00"/>
    <x v="610"/>
    <x v="610"/>
    <s v="P0069"/>
    <x v="36"/>
    <s v="S002"/>
    <x v="2"/>
    <n v="3"/>
    <n v="0.15"/>
    <s v="UPI"/>
    <n v="7177.2"/>
    <n v="21531.599999999999"/>
    <n v="3229.74"/>
    <n v="18301.86"/>
    <n v="4558.34"/>
    <n v="13675.02"/>
    <n v="4626.84"/>
    <x v="2"/>
  </r>
  <r>
    <s v="O000121"/>
    <d v="2024-12-11T00:00:00"/>
    <x v="611"/>
    <x v="611"/>
    <s v="P0062"/>
    <x v="101"/>
    <s v="S020"/>
    <x v="3"/>
    <n v="1"/>
    <n v="0.1"/>
    <s v="Credit Card"/>
    <n v="26039.41"/>
    <n v="26039.41"/>
    <n v="2603.9410000000003"/>
    <n v="23435.469000000001"/>
    <n v="20592.23"/>
    <n v="20592.23"/>
    <n v="2843.2390000000014"/>
    <x v="3"/>
  </r>
  <r>
    <s v="O000489"/>
    <d v="2024-12-11T00:00:00"/>
    <x v="612"/>
    <x v="612"/>
    <s v="P0135"/>
    <x v="127"/>
    <s v="S007"/>
    <x v="0"/>
    <n v="1"/>
    <n v="0"/>
    <s v="UPI"/>
    <n v="3355.04"/>
    <n v="3355.04"/>
    <n v="0"/>
    <n v="3355.04"/>
    <n v="1914.01"/>
    <n v="1914.01"/>
    <n v="1441.03"/>
    <x v="0"/>
  </r>
  <r>
    <s v="O000993"/>
    <d v="2024-12-12T00:00:00"/>
    <x v="613"/>
    <x v="613"/>
    <s v="P0102"/>
    <x v="37"/>
    <s v="S024"/>
    <x v="0"/>
    <n v="1"/>
    <n v="0"/>
    <s v="UPI"/>
    <n v="1282.31"/>
    <n v="1282.31"/>
    <n v="0"/>
    <n v="1282.31"/>
    <n v="759"/>
    <n v="759"/>
    <n v="523.30999999999995"/>
    <x v="4"/>
  </r>
  <r>
    <s v="O000170"/>
    <d v="2024-12-15T00:00:00"/>
    <x v="614"/>
    <x v="614"/>
    <s v="P0060"/>
    <x v="7"/>
    <s v="S011"/>
    <x v="0"/>
    <n v="1"/>
    <n v="0"/>
    <s v="UPI"/>
    <n v="4187.79"/>
    <n v="4187.79"/>
    <n v="0"/>
    <n v="4187.79"/>
    <n v="2951.03"/>
    <n v="2951.03"/>
    <n v="1236.7599999999998"/>
    <x v="3"/>
  </r>
  <r>
    <s v="O000913"/>
    <d v="2024-12-15T00:00:00"/>
    <x v="615"/>
    <x v="615"/>
    <s v="P0122"/>
    <x v="139"/>
    <s v="S017"/>
    <x v="0"/>
    <n v="1"/>
    <n v="0.1"/>
    <s v="Credit Card"/>
    <n v="777.56"/>
    <n v="777.56"/>
    <n v="77.756"/>
    <n v="699.80399999999997"/>
    <n v="503.09"/>
    <n v="503.09"/>
    <n v="196.714"/>
    <x v="4"/>
  </r>
  <r>
    <s v="O000188"/>
    <d v="2024-12-16T00:00:00"/>
    <x v="616"/>
    <x v="616"/>
    <s v="P0049"/>
    <x v="79"/>
    <s v="S022"/>
    <x v="2"/>
    <n v="1"/>
    <n v="0.1"/>
    <s v="UPI"/>
    <n v="643.36"/>
    <n v="643.36"/>
    <n v="64.335999999999999"/>
    <n v="579.024"/>
    <n v="460.5"/>
    <n v="460.5"/>
    <n v="118.524"/>
    <x v="3"/>
  </r>
  <r>
    <s v="O000676"/>
    <d v="2024-12-16T00:00:00"/>
    <x v="617"/>
    <x v="617"/>
    <s v="P0108"/>
    <x v="24"/>
    <s v="S004"/>
    <x v="3"/>
    <n v="1"/>
    <n v="0.05"/>
    <s v="Credit Card"/>
    <n v="1123.58"/>
    <n v="1123.58"/>
    <n v="56.179000000000002"/>
    <n v="1067.4009999999998"/>
    <n v="665.75"/>
    <n v="665.75"/>
    <n v="401.65099999999984"/>
    <x v="4"/>
  </r>
  <r>
    <s v="O000148"/>
    <d v="2024-12-17T00:00:00"/>
    <x v="618"/>
    <x v="618"/>
    <s v="P0003"/>
    <x v="92"/>
    <s v="S004"/>
    <x v="3"/>
    <n v="1"/>
    <n v="0"/>
    <s v="UPI"/>
    <n v="14374.7"/>
    <n v="14374.7"/>
    <n v="0"/>
    <n v="14374.7"/>
    <n v="11335.72"/>
    <n v="11335.72"/>
    <n v="3038.9800000000014"/>
    <x v="1"/>
  </r>
  <r>
    <s v="O000082"/>
    <d v="2024-12-18T00:00:00"/>
    <x v="619"/>
    <x v="619"/>
    <s v="P0116"/>
    <x v="17"/>
    <s v="S013"/>
    <x v="0"/>
    <n v="1"/>
    <n v="0"/>
    <s v="Debit Card"/>
    <n v="1210.1500000000001"/>
    <n v="1210.1500000000001"/>
    <n v="0"/>
    <n v="1210.1500000000001"/>
    <n v="697.43"/>
    <n v="697.43"/>
    <n v="512.72000000000014"/>
    <x v="4"/>
  </r>
  <r>
    <s v="O000799"/>
    <d v="2024-12-18T00:00:00"/>
    <x v="620"/>
    <x v="620"/>
    <s v="P0147"/>
    <x v="109"/>
    <s v="S005"/>
    <x v="1"/>
    <n v="1"/>
    <n v="0.1"/>
    <s v="UPI"/>
    <n v="4084.63"/>
    <n v="4084.63"/>
    <n v="408.46300000000002"/>
    <n v="3676.1669999999999"/>
    <n v="2990.01"/>
    <n v="2990.01"/>
    <n v="686.1569999999997"/>
    <x v="0"/>
  </r>
  <r>
    <s v="O000454"/>
    <d v="2024-12-19T00:00:00"/>
    <x v="621"/>
    <x v="621"/>
    <s v="P0048"/>
    <x v="48"/>
    <s v="S013"/>
    <x v="0"/>
    <n v="3"/>
    <n v="0"/>
    <s v="UPI"/>
    <n v="29675.72"/>
    <n v="89027.16"/>
    <n v="0"/>
    <n v="89027.16"/>
    <n v="17695.330000000002"/>
    <n v="53085.990000000005"/>
    <n v="35941.17"/>
    <x v="3"/>
  </r>
  <r>
    <s v="O000886"/>
    <d v="2024-12-19T00:00:00"/>
    <x v="622"/>
    <x v="622"/>
    <s v="P0145"/>
    <x v="8"/>
    <s v="S004"/>
    <x v="3"/>
    <n v="3"/>
    <n v="0.05"/>
    <s v="UPI"/>
    <n v="543.23"/>
    <n v="1629.69"/>
    <n v="81.484500000000011"/>
    <n v="1548.2055"/>
    <n v="441.82"/>
    <n v="1325.46"/>
    <n v="222.74549999999999"/>
    <x v="0"/>
  </r>
  <r>
    <s v="O000267"/>
    <d v="2024-12-21T00:00:00"/>
    <x v="482"/>
    <x v="482"/>
    <s v="P0106"/>
    <x v="44"/>
    <s v="S012"/>
    <x v="1"/>
    <n v="1"/>
    <n v="0"/>
    <s v="Net Banking"/>
    <n v="817.37"/>
    <n v="817.37"/>
    <n v="0"/>
    <n v="817.37"/>
    <n v="595.03"/>
    <n v="595.03"/>
    <n v="222.34000000000003"/>
    <x v="4"/>
  </r>
  <r>
    <s v="O000769"/>
    <d v="2024-12-21T00:00:00"/>
    <x v="623"/>
    <x v="623"/>
    <s v="P0002"/>
    <x v="35"/>
    <s v="S007"/>
    <x v="0"/>
    <n v="1"/>
    <n v="0"/>
    <s v="Debit Card"/>
    <n v="75177.759999999995"/>
    <n v="75177.759999999995"/>
    <n v="0"/>
    <n v="75177.759999999995"/>
    <n v="51831.839999999997"/>
    <n v="51831.839999999997"/>
    <n v="23345.919999999998"/>
    <x v="1"/>
  </r>
  <r>
    <s v="O000991"/>
    <d v="2024-12-21T00:00:00"/>
    <x v="624"/>
    <x v="624"/>
    <s v="P0028"/>
    <x v="27"/>
    <s v="S011"/>
    <x v="0"/>
    <n v="1"/>
    <n v="0.05"/>
    <s v="Cash"/>
    <n v="52004.72"/>
    <n v="52004.72"/>
    <n v="2600.2360000000003"/>
    <n v="49404.484000000004"/>
    <n v="43224.87"/>
    <n v="43224.87"/>
    <n v="6179.6140000000014"/>
    <x v="1"/>
  </r>
  <r>
    <s v="O000115"/>
    <d v="2024-12-24T00:00:00"/>
    <x v="625"/>
    <x v="625"/>
    <s v="P0047"/>
    <x v="47"/>
    <s v="S018"/>
    <x v="0"/>
    <n v="1"/>
    <n v="0.1"/>
    <s v="Credit Card"/>
    <n v="11987.07"/>
    <n v="11987.07"/>
    <n v="1198.7070000000001"/>
    <n v="10788.362999999999"/>
    <n v="8332.57"/>
    <n v="8332.57"/>
    <n v="2455.7929999999997"/>
    <x v="3"/>
  </r>
  <r>
    <s v="O000582"/>
    <d v="2024-12-24T00:00:00"/>
    <x v="626"/>
    <x v="626"/>
    <s v="P0106"/>
    <x v="44"/>
    <s v="S025"/>
    <x v="2"/>
    <n v="1"/>
    <n v="0.05"/>
    <s v="Debit Card"/>
    <n v="817.37"/>
    <n v="817.37"/>
    <n v="40.868500000000004"/>
    <n v="776.50149999999996"/>
    <n v="595.03"/>
    <n v="595.03"/>
    <n v="181.47149999999999"/>
    <x v="4"/>
  </r>
  <r>
    <s v="O000692"/>
    <d v="2024-12-24T00:00:00"/>
    <x v="627"/>
    <x v="627"/>
    <s v="P0099"/>
    <x v="46"/>
    <s v="S003"/>
    <x v="3"/>
    <n v="2"/>
    <n v="0"/>
    <s v="Cash"/>
    <n v="631.26"/>
    <n v="1262.52"/>
    <n v="0"/>
    <n v="1262.52"/>
    <n v="394.86"/>
    <n v="789.72"/>
    <n v="472.79999999999995"/>
    <x v="4"/>
  </r>
  <r>
    <s v="O000825"/>
    <d v="2024-12-24T00:00:00"/>
    <x v="628"/>
    <x v="628"/>
    <s v="P0113"/>
    <x v="148"/>
    <s v="S017"/>
    <x v="0"/>
    <n v="1"/>
    <n v="0.1"/>
    <s v="UPI"/>
    <n v="100.32"/>
    <n v="100.32"/>
    <n v="10.032"/>
    <n v="90.287999999999997"/>
    <n v="66.61"/>
    <n v="66.61"/>
    <n v="23.677999999999997"/>
    <x v="4"/>
  </r>
  <r>
    <s v="O000493"/>
    <d v="2024-12-25T00:00:00"/>
    <x v="629"/>
    <x v="629"/>
    <s v="P0031"/>
    <x v="91"/>
    <s v="S025"/>
    <x v="2"/>
    <n v="1"/>
    <n v="0"/>
    <s v="Credit Card"/>
    <n v="52596.38"/>
    <n v="52596.38"/>
    <n v="0"/>
    <n v="52596.38"/>
    <n v="36028.78"/>
    <n v="36028.78"/>
    <n v="16567.599999999999"/>
    <x v="1"/>
  </r>
  <r>
    <s v="O000320"/>
    <d v="2024-12-28T00:00:00"/>
    <x v="630"/>
    <x v="630"/>
    <s v="P0077"/>
    <x v="88"/>
    <s v="S010"/>
    <x v="1"/>
    <n v="2"/>
    <n v="0.2"/>
    <s v="Credit Card"/>
    <n v="6178.38"/>
    <n v="12356.76"/>
    <n v="2471.3520000000003"/>
    <n v="9885.4079999999994"/>
    <n v="4740.8599999999997"/>
    <n v="9481.7199999999993"/>
    <n v="403.6880000000001"/>
    <x v="2"/>
  </r>
  <r>
    <s v="O000892"/>
    <d v="2024-12-28T00:00:00"/>
    <x v="47"/>
    <x v="47"/>
    <s v="P0115"/>
    <x v="118"/>
    <s v="S011"/>
    <x v="0"/>
    <n v="2"/>
    <n v="0"/>
    <s v="Debit Card"/>
    <n v="343.15"/>
    <n v="686.3"/>
    <n v="0"/>
    <n v="686.3"/>
    <n v="192.59"/>
    <n v="385.18"/>
    <n v="301.11999999999995"/>
    <x v="4"/>
  </r>
  <r>
    <s v="O000463"/>
    <d v="2024-12-31T00:00:00"/>
    <x v="631"/>
    <x v="631"/>
    <s v="P0096"/>
    <x v="128"/>
    <s v="S005"/>
    <x v="1"/>
    <n v="1"/>
    <n v="0"/>
    <s v="UPI"/>
    <n v="1384.91"/>
    <n v="1384.91"/>
    <n v="0"/>
    <n v="1384.91"/>
    <n v="1102.07"/>
    <n v="1102.07"/>
    <n v="282.84000000000015"/>
    <x v="4"/>
  </r>
  <r>
    <s v="O000166"/>
    <d v="2025-01-01T00:00:00"/>
    <x v="632"/>
    <x v="632"/>
    <s v="P0120"/>
    <x v="112"/>
    <s v="S013"/>
    <x v="0"/>
    <n v="1"/>
    <n v="0.05"/>
    <s v="UPI"/>
    <n v="207.32"/>
    <n v="207.32"/>
    <n v="10.366"/>
    <n v="196.95400000000001"/>
    <n v="120.99"/>
    <n v="120.99"/>
    <n v="75.964000000000013"/>
    <x v="4"/>
  </r>
  <r>
    <s v="O000405"/>
    <d v="2025-01-02T00:00:00"/>
    <x v="633"/>
    <x v="633"/>
    <s v="P0094"/>
    <x v="80"/>
    <s v="S005"/>
    <x v="1"/>
    <n v="2"/>
    <n v="0.15"/>
    <s v="UPI"/>
    <n v="7178.77"/>
    <n v="14357.54"/>
    <n v="2153.6309999999999"/>
    <n v="12203.909000000001"/>
    <n v="4813.8"/>
    <n v="9627.6"/>
    <n v="2576.3090000000011"/>
    <x v="2"/>
  </r>
  <r>
    <s v="O000798"/>
    <d v="2025-01-04T00:00:00"/>
    <x v="634"/>
    <x v="634"/>
    <s v="P0145"/>
    <x v="8"/>
    <s v="S001"/>
    <x v="2"/>
    <n v="1"/>
    <n v="0"/>
    <s v="UPI"/>
    <n v="543.23"/>
    <n v="543.23"/>
    <n v="0"/>
    <n v="543.23"/>
    <n v="441.82"/>
    <n v="441.82"/>
    <n v="101.41000000000003"/>
    <x v="0"/>
  </r>
  <r>
    <s v="O000654"/>
    <d v="2025-01-06T00:00:00"/>
    <x v="635"/>
    <x v="635"/>
    <s v="P0121"/>
    <x v="82"/>
    <s v="S021"/>
    <x v="0"/>
    <n v="1"/>
    <n v="0.1"/>
    <s v="UPI"/>
    <n v="1019.45"/>
    <n v="1019.45"/>
    <n v="101.94500000000001"/>
    <n v="917.505"/>
    <n v="683.18"/>
    <n v="683.18"/>
    <n v="234.32500000000005"/>
    <x v="4"/>
  </r>
  <r>
    <s v="O000994"/>
    <d v="2025-01-06T00:00:00"/>
    <x v="636"/>
    <x v="636"/>
    <s v="P0097"/>
    <x v="90"/>
    <s v="S017"/>
    <x v="0"/>
    <n v="1"/>
    <n v="0"/>
    <s v="Cash"/>
    <n v="1140.1600000000001"/>
    <n v="1140.1600000000001"/>
    <n v="0"/>
    <n v="1140.1600000000001"/>
    <n v="763.74"/>
    <n v="763.74"/>
    <n v="376.42000000000007"/>
    <x v="4"/>
  </r>
  <r>
    <s v="O000137"/>
    <d v="2025-01-07T00:00:00"/>
    <x v="637"/>
    <x v="637"/>
    <s v="P0001"/>
    <x v="84"/>
    <s v="S002"/>
    <x v="2"/>
    <n v="1"/>
    <n v="0"/>
    <s v="UPI"/>
    <n v="69234.210000000006"/>
    <n v="69234.210000000006"/>
    <n v="0"/>
    <n v="69234.210000000006"/>
    <n v="56481.05"/>
    <n v="56481.05"/>
    <n v="12753.160000000003"/>
    <x v="1"/>
  </r>
  <r>
    <s v="O000694"/>
    <d v="2025-01-07T00:00:00"/>
    <x v="638"/>
    <x v="638"/>
    <s v="P0019"/>
    <x v="132"/>
    <s v="S001"/>
    <x v="2"/>
    <n v="2"/>
    <n v="0"/>
    <s v="UPI"/>
    <n v="12552.69"/>
    <n v="25105.38"/>
    <n v="0"/>
    <n v="25105.38"/>
    <n v="8737.9"/>
    <n v="17475.8"/>
    <n v="7629.5800000000017"/>
    <x v="1"/>
  </r>
  <r>
    <s v="O000849"/>
    <d v="2025-01-07T00:00:00"/>
    <x v="639"/>
    <x v="639"/>
    <s v="P0083"/>
    <x v="26"/>
    <s v="S002"/>
    <x v="2"/>
    <n v="2"/>
    <n v="0.1"/>
    <s v="Cash"/>
    <n v="1436.28"/>
    <n v="2872.56"/>
    <n v="287.25600000000003"/>
    <n v="2585.3040000000001"/>
    <n v="1097.5"/>
    <n v="2195"/>
    <n v="390.30400000000009"/>
    <x v="2"/>
  </r>
  <r>
    <s v="O000973"/>
    <d v="2025-01-07T00:00:00"/>
    <x v="640"/>
    <x v="640"/>
    <s v="P0121"/>
    <x v="82"/>
    <s v="S005"/>
    <x v="1"/>
    <n v="2"/>
    <n v="0"/>
    <s v="Credit Card"/>
    <n v="1019.45"/>
    <n v="2038.9"/>
    <n v="0"/>
    <n v="2038.9"/>
    <n v="683.18"/>
    <n v="1366.36"/>
    <n v="672.54000000000019"/>
    <x v="4"/>
  </r>
  <r>
    <s v="O000342"/>
    <d v="2025-01-08T00:00:00"/>
    <x v="641"/>
    <x v="641"/>
    <s v="P0088"/>
    <x v="140"/>
    <s v="S012"/>
    <x v="1"/>
    <n v="1"/>
    <n v="0.2"/>
    <s v="Credit Card"/>
    <n v="7414.77"/>
    <n v="7414.77"/>
    <n v="1482.9540000000002"/>
    <n v="5931.8160000000007"/>
    <n v="4859.1400000000003"/>
    <n v="4859.1400000000003"/>
    <n v="1072.6760000000004"/>
    <x v="2"/>
  </r>
  <r>
    <s v="O000040"/>
    <d v="2025-01-10T00:00:00"/>
    <x v="642"/>
    <x v="642"/>
    <s v="P0039"/>
    <x v="146"/>
    <s v="S010"/>
    <x v="1"/>
    <n v="3"/>
    <n v="0"/>
    <s v="Credit Card"/>
    <n v="14732.95"/>
    <n v="44198.850000000006"/>
    <n v="0"/>
    <n v="44198.850000000006"/>
    <n v="10707.23"/>
    <n v="32121.69"/>
    <n v="12077.160000000007"/>
    <x v="3"/>
  </r>
  <r>
    <s v="O000351"/>
    <d v="2025-01-10T00:00:00"/>
    <x v="643"/>
    <x v="643"/>
    <s v="P0113"/>
    <x v="148"/>
    <s v="S006"/>
    <x v="3"/>
    <n v="1"/>
    <n v="0"/>
    <s v="UPI"/>
    <n v="100.32"/>
    <n v="100.32"/>
    <n v="0"/>
    <n v="100.32"/>
    <n v="66.61"/>
    <n v="66.61"/>
    <n v="33.709999999999994"/>
    <x v="4"/>
  </r>
  <r>
    <s v="O000584"/>
    <d v="2025-01-10T00:00:00"/>
    <x v="644"/>
    <x v="644"/>
    <s v="P0034"/>
    <x v="40"/>
    <s v="S023"/>
    <x v="1"/>
    <n v="1"/>
    <n v="0.1"/>
    <s v="Credit Card"/>
    <n v="70426.350000000006"/>
    <n v="70426.350000000006"/>
    <n v="7042.6350000000011"/>
    <n v="63383.715000000004"/>
    <n v="41048.31"/>
    <n v="41048.31"/>
    <n v="22335.405000000006"/>
    <x v="1"/>
  </r>
  <r>
    <s v="O000856"/>
    <d v="2025-01-10T00:00:00"/>
    <x v="645"/>
    <x v="645"/>
    <s v="P0022"/>
    <x v="130"/>
    <s v="S012"/>
    <x v="1"/>
    <n v="4"/>
    <n v="0"/>
    <s v="Credit Card"/>
    <n v="9422.92"/>
    <n v="37691.68"/>
    <n v="0"/>
    <n v="37691.68"/>
    <n v="7399.19"/>
    <n v="29596.76"/>
    <n v="8094.9200000000019"/>
    <x v="1"/>
  </r>
  <r>
    <s v="O000013"/>
    <d v="2025-01-12T00:00:00"/>
    <x v="646"/>
    <x v="646"/>
    <s v="P0119"/>
    <x v="29"/>
    <s v="S022"/>
    <x v="2"/>
    <n v="4"/>
    <n v="0"/>
    <s v="Cash"/>
    <n v="400.63"/>
    <n v="1602.52"/>
    <n v="0"/>
    <n v="1602.52"/>
    <n v="222.73"/>
    <n v="890.92"/>
    <n v="711.6"/>
    <x v="4"/>
  </r>
  <r>
    <s v="O000242"/>
    <d v="2025-01-13T00:00:00"/>
    <x v="647"/>
    <x v="647"/>
    <s v="P0089"/>
    <x v="142"/>
    <s v="S008"/>
    <x v="1"/>
    <n v="3"/>
    <n v="0"/>
    <s v="Credit Card"/>
    <n v="7419.82"/>
    <n v="22259.46"/>
    <n v="0"/>
    <n v="22259.46"/>
    <n v="5155.9799999999996"/>
    <n v="15467.939999999999"/>
    <n v="6791.52"/>
    <x v="2"/>
  </r>
  <r>
    <s v="O000359"/>
    <d v="2025-01-13T00:00:00"/>
    <x v="648"/>
    <x v="648"/>
    <s v="P0082"/>
    <x v="61"/>
    <s v="S010"/>
    <x v="1"/>
    <n v="1"/>
    <n v="0"/>
    <s v="Credit Card"/>
    <n v="5613.98"/>
    <n v="5613.98"/>
    <n v="0"/>
    <n v="5613.98"/>
    <n v="3377.41"/>
    <n v="3377.41"/>
    <n v="2236.5699999999997"/>
    <x v="2"/>
  </r>
  <r>
    <s v="O000500"/>
    <d v="2025-01-13T00:00:00"/>
    <x v="649"/>
    <x v="649"/>
    <s v="P0065"/>
    <x v="83"/>
    <s v="S011"/>
    <x v="0"/>
    <n v="1"/>
    <n v="0"/>
    <s v="Credit Card"/>
    <n v="3429.74"/>
    <n v="3429.74"/>
    <n v="0"/>
    <n v="3429.74"/>
    <n v="2172.39"/>
    <n v="2172.39"/>
    <n v="1257.3499999999999"/>
    <x v="3"/>
  </r>
  <r>
    <s v="O000815"/>
    <d v="2025-01-15T00:00:00"/>
    <x v="650"/>
    <x v="650"/>
    <s v="P0141"/>
    <x v="141"/>
    <s v="S016"/>
    <x v="0"/>
    <n v="1"/>
    <n v="0"/>
    <s v="UPI"/>
    <n v="3000.36"/>
    <n v="3000.36"/>
    <n v="0"/>
    <n v="3000.36"/>
    <n v="2004.24"/>
    <n v="2004.24"/>
    <n v="996.12000000000012"/>
    <x v="0"/>
  </r>
  <r>
    <s v="O000583"/>
    <d v="2025-01-16T00:00:00"/>
    <x v="651"/>
    <x v="651"/>
    <s v="P0143"/>
    <x v="3"/>
    <s v="S020"/>
    <x v="3"/>
    <n v="1"/>
    <n v="0"/>
    <s v="Debit Card"/>
    <n v="4198.8999999999996"/>
    <n v="4198.8999999999996"/>
    <n v="0"/>
    <n v="4198.8999999999996"/>
    <n v="2920.65"/>
    <n v="2920.65"/>
    <n v="1278.2499999999995"/>
    <x v="0"/>
  </r>
  <r>
    <s v="O000573"/>
    <d v="2025-01-17T00:00:00"/>
    <x v="652"/>
    <x v="652"/>
    <s v="P0041"/>
    <x v="110"/>
    <s v="S016"/>
    <x v="0"/>
    <n v="4"/>
    <n v="0"/>
    <s v="Debit Card"/>
    <n v="11511.46"/>
    <n v="46045.84"/>
    <n v="0"/>
    <n v="46045.84"/>
    <n v="9046.98"/>
    <n v="36187.919999999998"/>
    <n v="9857.9199999999983"/>
    <x v="3"/>
  </r>
  <r>
    <s v="O000348"/>
    <d v="2025-01-20T00:00:00"/>
    <x v="653"/>
    <x v="653"/>
    <s v="P0135"/>
    <x v="127"/>
    <s v="S014"/>
    <x v="1"/>
    <n v="1"/>
    <n v="0.1"/>
    <s v="Credit Card"/>
    <n v="3355.04"/>
    <n v="3355.04"/>
    <n v="335.50400000000002"/>
    <n v="3019.5360000000001"/>
    <n v="1914.01"/>
    <n v="1914.01"/>
    <n v="1105.5260000000001"/>
    <x v="0"/>
  </r>
  <r>
    <s v="O000658"/>
    <d v="2025-01-21T00:00:00"/>
    <x v="654"/>
    <x v="654"/>
    <s v="P0098"/>
    <x v="74"/>
    <s v="S014"/>
    <x v="1"/>
    <n v="1"/>
    <n v="0"/>
    <s v="UPI"/>
    <n v="1233.81"/>
    <n v="1233.81"/>
    <n v="0"/>
    <n v="1233.81"/>
    <n v="944.94"/>
    <n v="944.94"/>
    <n v="288.86999999999989"/>
    <x v="4"/>
  </r>
  <r>
    <s v="O000696"/>
    <d v="2025-01-23T00:00:00"/>
    <x v="655"/>
    <x v="655"/>
    <s v="P0139"/>
    <x v="143"/>
    <s v="S017"/>
    <x v="0"/>
    <n v="2"/>
    <n v="0.1"/>
    <s v="Cash"/>
    <n v="731.65"/>
    <n v="1463.3"/>
    <n v="146.33000000000001"/>
    <n v="1316.97"/>
    <n v="591.33000000000004"/>
    <n v="1182.6600000000001"/>
    <n v="134.30999999999995"/>
    <x v="0"/>
  </r>
  <r>
    <s v="O000036"/>
    <d v="2025-01-24T00:00:00"/>
    <x v="656"/>
    <x v="656"/>
    <s v="P0051"/>
    <x v="107"/>
    <s v="S015"/>
    <x v="3"/>
    <n v="2"/>
    <n v="0"/>
    <s v="Credit Card"/>
    <n v="23736.31"/>
    <n v="47472.62"/>
    <n v="0"/>
    <n v="47472.62"/>
    <n v="13874.86"/>
    <n v="27749.72"/>
    <n v="19722.900000000001"/>
    <x v="3"/>
  </r>
  <r>
    <s v="O000963"/>
    <d v="2025-01-25T00:00:00"/>
    <x v="657"/>
    <x v="657"/>
    <s v="P0143"/>
    <x v="3"/>
    <s v="S001"/>
    <x v="2"/>
    <n v="4"/>
    <n v="0.1"/>
    <s v="Credit Card"/>
    <n v="4198.8999999999996"/>
    <n v="16795.599999999999"/>
    <n v="1679.56"/>
    <n v="15116.039999999999"/>
    <n v="2920.65"/>
    <n v="11682.6"/>
    <n v="3433.4399999999987"/>
    <x v="0"/>
  </r>
  <r>
    <s v="O000613"/>
    <d v="2025-01-26T00:00:00"/>
    <x v="658"/>
    <x v="658"/>
    <s v="P0019"/>
    <x v="132"/>
    <s v="S020"/>
    <x v="3"/>
    <n v="1"/>
    <n v="0.1"/>
    <s v="Debit Card"/>
    <n v="12552.69"/>
    <n v="12552.69"/>
    <n v="1255.2690000000002"/>
    <n v="11297.421"/>
    <n v="8737.9"/>
    <n v="8737.9"/>
    <n v="2559.5210000000006"/>
    <x v="1"/>
  </r>
  <r>
    <s v="O000231"/>
    <d v="2025-01-28T00:00:00"/>
    <x v="659"/>
    <x v="659"/>
    <s v="P0031"/>
    <x v="91"/>
    <s v="S023"/>
    <x v="1"/>
    <n v="1"/>
    <n v="0"/>
    <s v="UPI"/>
    <n v="52596.38"/>
    <n v="52596.38"/>
    <n v="0"/>
    <n v="52596.38"/>
    <n v="36028.78"/>
    <n v="36028.78"/>
    <n v="16567.599999999999"/>
    <x v="1"/>
  </r>
  <r>
    <s v="O000649"/>
    <d v="2025-01-30T00:00:00"/>
    <x v="660"/>
    <x v="660"/>
    <s v="P0090"/>
    <x v="93"/>
    <s v="S019"/>
    <x v="0"/>
    <n v="1"/>
    <n v="0.05"/>
    <s v="Debit Card"/>
    <n v="6708.36"/>
    <n v="6708.36"/>
    <n v="335.41800000000001"/>
    <n v="6372.942"/>
    <n v="5031.45"/>
    <n v="5031.45"/>
    <n v="1341.4920000000002"/>
    <x v="2"/>
  </r>
  <r>
    <s v="O000839"/>
    <d v="2025-01-30T00:00:00"/>
    <x v="661"/>
    <x v="661"/>
    <s v="P0076"/>
    <x v="25"/>
    <s v="S004"/>
    <x v="3"/>
    <n v="1"/>
    <n v="0.05"/>
    <s v="UPI"/>
    <n v="3661.03"/>
    <n v="3661.03"/>
    <n v="183.05150000000003"/>
    <n v="3477.9785000000002"/>
    <n v="2588.56"/>
    <n v="2588.56"/>
    <n v="889.41850000000022"/>
    <x v="2"/>
  </r>
  <r>
    <s v="O000560"/>
    <d v="2025-01-31T00:00:00"/>
    <x v="662"/>
    <x v="662"/>
    <s v="P0037"/>
    <x v="65"/>
    <s v="S012"/>
    <x v="1"/>
    <n v="1"/>
    <n v="0.05"/>
    <s v="Debit Card"/>
    <n v="78938.720000000001"/>
    <n v="78938.720000000001"/>
    <n v="3946.9360000000001"/>
    <n v="74991.784"/>
    <n v="53801.63"/>
    <n v="53801.63"/>
    <n v="21190.154000000002"/>
    <x v="1"/>
  </r>
  <r>
    <s v="O000820"/>
    <d v="2025-02-02T00:00:00"/>
    <x v="663"/>
    <x v="663"/>
    <s v="P0012"/>
    <x v="134"/>
    <s v="S006"/>
    <x v="3"/>
    <n v="3"/>
    <n v="0.05"/>
    <s v="Net Banking"/>
    <n v="50139.94"/>
    <n v="150419.82"/>
    <n v="7520.9910000000009"/>
    <n v="142898.829"/>
    <n v="37762.71"/>
    <n v="113288.13"/>
    <n v="29610.698999999993"/>
    <x v="1"/>
  </r>
  <r>
    <s v="O000435"/>
    <d v="2025-02-06T00:00:00"/>
    <x v="664"/>
    <x v="664"/>
    <s v="P0123"/>
    <x v="77"/>
    <s v="S023"/>
    <x v="1"/>
    <n v="1"/>
    <n v="0.05"/>
    <s v="Credit Card"/>
    <n v="1666.93"/>
    <n v="1666.93"/>
    <n v="83.346500000000006"/>
    <n v="1583.5835"/>
    <n v="983.54"/>
    <n v="983.54"/>
    <n v="600.04349999999999"/>
    <x v="0"/>
  </r>
  <r>
    <s v="O000282"/>
    <d v="2025-02-07T00:00:00"/>
    <x v="665"/>
    <x v="665"/>
    <s v="P0108"/>
    <x v="24"/>
    <s v="S016"/>
    <x v="0"/>
    <n v="1"/>
    <n v="0"/>
    <s v="Credit Card"/>
    <n v="1123.58"/>
    <n v="1123.58"/>
    <n v="0"/>
    <n v="1123.58"/>
    <n v="665.75"/>
    <n v="665.75"/>
    <n v="457.82999999999993"/>
    <x v="4"/>
  </r>
  <r>
    <s v="O000790"/>
    <d v="2025-02-08T00:00:00"/>
    <x v="356"/>
    <x v="356"/>
    <s v="P0029"/>
    <x v="2"/>
    <s v="S018"/>
    <x v="0"/>
    <n v="3"/>
    <n v="0.1"/>
    <s v="UPI"/>
    <n v="51647.41"/>
    <n v="154942.23000000001"/>
    <n v="15494.223000000002"/>
    <n v="139448.00700000001"/>
    <n v="43564.65"/>
    <n v="130693.95000000001"/>
    <n v="8754.0570000000007"/>
    <x v="1"/>
  </r>
  <r>
    <s v="O000827"/>
    <d v="2025-02-08T00:00:00"/>
    <x v="666"/>
    <x v="666"/>
    <s v="P0014"/>
    <x v="106"/>
    <s v="S017"/>
    <x v="0"/>
    <n v="1"/>
    <n v="0.1"/>
    <s v="UPI"/>
    <n v="9246.34"/>
    <n v="9246.34"/>
    <n v="924.63400000000001"/>
    <n v="8321.7060000000001"/>
    <n v="7613.27"/>
    <n v="7613.27"/>
    <n v="708.43599999999969"/>
    <x v="1"/>
  </r>
  <r>
    <s v="O000073"/>
    <d v="2025-02-09T00:00:00"/>
    <x v="255"/>
    <x v="255"/>
    <s v="P0088"/>
    <x v="140"/>
    <s v="S007"/>
    <x v="0"/>
    <n v="3"/>
    <n v="0.05"/>
    <s v="Net Banking"/>
    <n v="7414.77"/>
    <n v="22244.31"/>
    <n v="1112.2155"/>
    <n v="21132.094500000003"/>
    <n v="4859.1400000000003"/>
    <n v="14577.420000000002"/>
    <n v="6554.674500000001"/>
    <x v="2"/>
  </r>
  <r>
    <s v="O000203"/>
    <d v="2025-02-10T00:00:00"/>
    <x v="667"/>
    <x v="667"/>
    <s v="P0005"/>
    <x v="56"/>
    <s v="S014"/>
    <x v="1"/>
    <n v="1"/>
    <n v="0.05"/>
    <s v="UPI"/>
    <n v="4719.2700000000004"/>
    <n v="4719.2700000000004"/>
    <n v="235.96350000000004"/>
    <n v="4483.3065000000006"/>
    <n v="3322.23"/>
    <n v="3322.23"/>
    <n v="1161.0765000000006"/>
    <x v="1"/>
  </r>
  <r>
    <s v="O000670"/>
    <d v="2025-02-10T00:00:00"/>
    <x v="668"/>
    <x v="668"/>
    <s v="P0113"/>
    <x v="148"/>
    <s v="S002"/>
    <x v="2"/>
    <n v="2"/>
    <n v="0.1"/>
    <s v="Net Banking"/>
    <n v="100.32"/>
    <n v="200.64"/>
    <n v="20.064"/>
    <n v="180.57599999999999"/>
    <n v="66.61"/>
    <n v="133.22"/>
    <n v="47.355999999999995"/>
    <x v="4"/>
  </r>
  <r>
    <s v="O000046"/>
    <d v="2025-02-11T00:00:00"/>
    <x v="669"/>
    <x v="669"/>
    <s v="P0080"/>
    <x v="105"/>
    <s v="S023"/>
    <x v="1"/>
    <n v="2"/>
    <n v="0.15"/>
    <s v="Net Banking"/>
    <n v="1227.0899999999999"/>
    <n v="2454.1799999999998"/>
    <n v="368.12699999999995"/>
    <n v="2086.0529999999999"/>
    <n v="945.11"/>
    <n v="1890.22"/>
    <n v="195.83299999999986"/>
    <x v="2"/>
  </r>
  <r>
    <s v="O000334"/>
    <d v="2025-02-12T00:00:00"/>
    <x v="670"/>
    <x v="670"/>
    <s v="P0135"/>
    <x v="127"/>
    <s v="S024"/>
    <x v="0"/>
    <n v="2"/>
    <n v="0"/>
    <s v="Debit Card"/>
    <n v="3355.04"/>
    <n v="6710.08"/>
    <n v="0"/>
    <n v="6710.08"/>
    <n v="1914.01"/>
    <n v="3828.02"/>
    <n v="2882.06"/>
    <x v="0"/>
  </r>
  <r>
    <s v="O000716"/>
    <d v="2025-02-12T00:00:00"/>
    <x v="671"/>
    <x v="671"/>
    <s v="P0110"/>
    <x v="18"/>
    <s v="S001"/>
    <x v="2"/>
    <n v="1"/>
    <n v="0"/>
    <s v="UPI"/>
    <n v="1053.9000000000001"/>
    <n v="1053.9000000000001"/>
    <n v="0"/>
    <n v="1053.9000000000001"/>
    <n v="710.59"/>
    <n v="710.59"/>
    <n v="343.31000000000006"/>
    <x v="4"/>
  </r>
  <r>
    <s v="O000297"/>
    <d v="2025-02-13T00:00:00"/>
    <x v="672"/>
    <x v="672"/>
    <s v="P0018"/>
    <x v="62"/>
    <s v="S017"/>
    <x v="0"/>
    <n v="1"/>
    <n v="0"/>
    <s v="UPI"/>
    <n v="54876.34"/>
    <n v="54876.34"/>
    <n v="0"/>
    <n v="54876.34"/>
    <n v="41521.22"/>
    <n v="41521.22"/>
    <n v="13355.119999999995"/>
    <x v="1"/>
  </r>
  <r>
    <s v="O000538"/>
    <d v="2025-02-15T00:00:00"/>
    <x v="673"/>
    <x v="673"/>
    <s v="P0091"/>
    <x v="87"/>
    <s v="S010"/>
    <x v="1"/>
    <n v="2"/>
    <n v="0.2"/>
    <s v="Net Banking"/>
    <n v="5979.07"/>
    <n v="11958.14"/>
    <n v="2391.6280000000002"/>
    <n v="9566.5119999999988"/>
    <n v="4121.96"/>
    <n v="8243.92"/>
    <n v="1322.5919999999987"/>
    <x v="2"/>
  </r>
  <r>
    <s v="O000918"/>
    <d v="2025-02-15T00:00:00"/>
    <x v="674"/>
    <x v="674"/>
    <s v="P0148"/>
    <x v="94"/>
    <s v="S021"/>
    <x v="0"/>
    <n v="1"/>
    <n v="0.1"/>
    <s v="Credit Card"/>
    <n v="3430.41"/>
    <n v="3430.41"/>
    <n v="343.041"/>
    <n v="3087.3689999999997"/>
    <n v="2912.56"/>
    <n v="2912.56"/>
    <n v="174.80899999999974"/>
    <x v="0"/>
  </r>
  <r>
    <s v="O000365"/>
    <d v="2025-02-16T00:00:00"/>
    <x v="675"/>
    <x v="675"/>
    <s v="P0035"/>
    <x v="53"/>
    <s v="S010"/>
    <x v="1"/>
    <n v="1"/>
    <n v="0"/>
    <s v="Credit Card"/>
    <n v="29153.55"/>
    <n v="29153.55"/>
    <n v="0"/>
    <n v="29153.55"/>
    <n v="21894.27"/>
    <n v="21894.27"/>
    <n v="7259.2799999999988"/>
    <x v="1"/>
  </r>
  <r>
    <s v="O000561"/>
    <d v="2025-02-16T00:00:00"/>
    <x v="376"/>
    <x v="376"/>
    <s v="P0053"/>
    <x v="123"/>
    <s v="S011"/>
    <x v="0"/>
    <n v="2"/>
    <n v="0.05"/>
    <s v="Net Banking"/>
    <n v="23380"/>
    <n v="46760"/>
    <n v="2338"/>
    <n v="44422"/>
    <n v="15528.93"/>
    <n v="31057.86"/>
    <n v="13364.14"/>
    <x v="3"/>
  </r>
  <r>
    <s v="O000617"/>
    <d v="2025-02-16T00:00:00"/>
    <x v="676"/>
    <x v="676"/>
    <s v="P0141"/>
    <x v="141"/>
    <s v="S012"/>
    <x v="1"/>
    <n v="1"/>
    <n v="0"/>
    <s v="Debit Card"/>
    <n v="3000.36"/>
    <n v="3000.36"/>
    <n v="0"/>
    <n v="3000.36"/>
    <n v="2004.24"/>
    <n v="2004.24"/>
    <n v="996.12000000000012"/>
    <x v="0"/>
  </r>
  <r>
    <s v="O000717"/>
    <d v="2025-02-17T00:00:00"/>
    <x v="677"/>
    <x v="677"/>
    <s v="P0016"/>
    <x v="38"/>
    <s v="S010"/>
    <x v="1"/>
    <n v="1"/>
    <n v="0"/>
    <s v="Credit Card"/>
    <n v="63665.16"/>
    <n v="63665.16"/>
    <n v="0"/>
    <n v="63665.16"/>
    <n v="52565.61"/>
    <n v="52565.61"/>
    <n v="11099.550000000003"/>
    <x v="1"/>
  </r>
  <r>
    <s v="O000080"/>
    <d v="2025-02-18T00:00:00"/>
    <x v="678"/>
    <x v="678"/>
    <s v="P0004"/>
    <x v="76"/>
    <s v="S001"/>
    <x v="2"/>
    <n v="1"/>
    <n v="0.1"/>
    <s v="Cash"/>
    <n v="10619.36"/>
    <n v="10619.36"/>
    <n v="1061.9360000000001"/>
    <n v="9557.4240000000009"/>
    <n v="6544.82"/>
    <n v="6544.82"/>
    <n v="3012.6040000000012"/>
    <x v="1"/>
  </r>
  <r>
    <s v="O000936"/>
    <d v="2025-02-19T00:00:00"/>
    <x v="659"/>
    <x v="659"/>
    <s v="P0047"/>
    <x v="47"/>
    <s v="S024"/>
    <x v="0"/>
    <n v="1"/>
    <n v="0"/>
    <s v="Credit Card"/>
    <n v="11987.07"/>
    <n v="11987.07"/>
    <n v="0"/>
    <n v="11987.07"/>
    <n v="8332.57"/>
    <n v="8332.57"/>
    <n v="3654.5"/>
    <x v="3"/>
  </r>
  <r>
    <s v="O000965"/>
    <d v="2025-02-20T00:00:00"/>
    <x v="679"/>
    <x v="679"/>
    <s v="P0084"/>
    <x v="96"/>
    <s v="S002"/>
    <x v="2"/>
    <n v="1"/>
    <n v="0.1"/>
    <s v="UPI"/>
    <n v="1332.31"/>
    <n v="1332.31"/>
    <n v="133.23099999999999"/>
    <n v="1199.079"/>
    <n v="957.87"/>
    <n v="957.87"/>
    <n v="241.20899999999995"/>
    <x v="2"/>
  </r>
  <r>
    <s v="O000362"/>
    <d v="2025-02-22T00:00:00"/>
    <x v="680"/>
    <x v="680"/>
    <s v="P0107"/>
    <x v="63"/>
    <s v="S024"/>
    <x v="0"/>
    <n v="1"/>
    <n v="0"/>
    <s v="UPI"/>
    <n v="1494.3"/>
    <n v="1494.3"/>
    <n v="0"/>
    <n v="1494.3"/>
    <n v="1031.67"/>
    <n v="1031.67"/>
    <n v="462.62999999999988"/>
    <x v="4"/>
  </r>
  <r>
    <s v="O000529"/>
    <d v="2025-02-24T00:00:00"/>
    <x v="681"/>
    <x v="681"/>
    <s v="P0063"/>
    <x v="33"/>
    <s v="S022"/>
    <x v="2"/>
    <n v="2"/>
    <n v="0.1"/>
    <s v="UPI"/>
    <n v="22222.83"/>
    <n v="44445.66"/>
    <n v="4444.5660000000007"/>
    <n v="40001.094000000005"/>
    <n v="17564.490000000002"/>
    <n v="35128.980000000003"/>
    <n v="4872.1140000000014"/>
    <x v="3"/>
  </r>
  <r>
    <s v="O000452"/>
    <d v="2025-02-25T00:00:00"/>
    <x v="682"/>
    <x v="682"/>
    <s v="P0120"/>
    <x v="112"/>
    <s v="S017"/>
    <x v="0"/>
    <n v="1"/>
    <n v="0"/>
    <s v="Debit Card"/>
    <n v="207.32"/>
    <n v="207.32"/>
    <n v="0"/>
    <n v="207.32"/>
    <n v="120.99"/>
    <n v="120.99"/>
    <n v="86.33"/>
    <x v="4"/>
  </r>
  <r>
    <s v="O000412"/>
    <d v="2025-02-27T00:00:00"/>
    <x v="683"/>
    <x v="683"/>
    <s v="P0009"/>
    <x v="71"/>
    <s v="S022"/>
    <x v="2"/>
    <n v="1"/>
    <n v="0"/>
    <s v="UPI"/>
    <n v="46428.19"/>
    <n v="46428.19"/>
    <n v="0"/>
    <n v="46428.19"/>
    <n v="26886.09"/>
    <n v="26886.09"/>
    <n v="19542.100000000002"/>
    <x v="1"/>
  </r>
  <r>
    <s v="O000923"/>
    <d v="2025-02-27T00:00:00"/>
    <x v="684"/>
    <x v="684"/>
    <s v="P0111"/>
    <x v="126"/>
    <s v="S021"/>
    <x v="0"/>
    <n v="2"/>
    <n v="0"/>
    <s v="UPI"/>
    <n v="912.62"/>
    <n v="1825.24"/>
    <n v="0"/>
    <n v="1825.24"/>
    <n v="648.75"/>
    <n v="1297.5"/>
    <n v="527.74"/>
    <x v="4"/>
  </r>
  <r>
    <s v="O000031"/>
    <d v="2025-03-02T00:00:00"/>
    <x v="650"/>
    <x v="650"/>
    <s v="P0145"/>
    <x v="8"/>
    <s v="S012"/>
    <x v="1"/>
    <n v="3"/>
    <n v="0.05"/>
    <s v="UPI"/>
    <n v="543.23"/>
    <n v="1629.69"/>
    <n v="81.484500000000011"/>
    <n v="1548.2055"/>
    <n v="441.82"/>
    <n v="1325.46"/>
    <n v="222.74549999999999"/>
    <x v="0"/>
  </r>
  <r>
    <s v="O000085"/>
    <d v="2025-03-02T00:00:00"/>
    <x v="685"/>
    <x v="685"/>
    <s v="P0007"/>
    <x v="115"/>
    <s v="S004"/>
    <x v="3"/>
    <n v="2"/>
    <n v="0"/>
    <s v="Credit Card"/>
    <n v="26638.81"/>
    <n v="53277.62"/>
    <n v="0"/>
    <n v="53277.62"/>
    <n v="20107.810000000001"/>
    <n v="40215.620000000003"/>
    <n v="13062"/>
    <x v="1"/>
  </r>
  <r>
    <s v="O000511"/>
    <d v="2025-03-02T00:00:00"/>
    <x v="686"/>
    <x v="686"/>
    <s v="P0147"/>
    <x v="109"/>
    <s v="S010"/>
    <x v="1"/>
    <n v="1"/>
    <n v="0"/>
    <s v="Debit Card"/>
    <n v="4084.63"/>
    <n v="4084.63"/>
    <n v="0"/>
    <n v="4084.63"/>
    <n v="2990.01"/>
    <n v="2990.01"/>
    <n v="1094.6199999999999"/>
    <x v="0"/>
  </r>
  <r>
    <s v="O000268"/>
    <d v="2025-03-03T00:00:00"/>
    <x v="687"/>
    <x v="687"/>
    <s v="P0146"/>
    <x v="51"/>
    <s v="S021"/>
    <x v="0"/>
    <n v="1"/>
    <n v="0"/>
    <s v="Debit Card"/>
    <n v="3309.4"/>
    <n v="3309.4"/>
    <n v="0"/>
    <n v="3309.4"/>
    <n v="2744.04"/>
    <n v="2744.04"/>
    <n v="565.36000000000013"/>
    <x v="0"/>
  </r>
  <r>
    <s v="O000771"/>
    <d v="2025-03-03T00:00:00"/>
    <x v="170"/>
    <x v="170"/>
    <s v="P0053"/>
    <x v="123"/>
    <s v="S021"/>
    <x v="0"/>
    <n v="3"/>
    <n v="0"/>
    <s v="UPI"/>
    <n v="23380"/>
    <n v="70140"/>
    <n v="0"/>
    <n v="70140"/>
    <n v="15528.93"/>
    <n v="46586.79"/>
    <n v="23553.21"/>
    <x v="3"/>
  </r>
  <r>
    <s v="O000304"/>
    <d v="2025-03-04T00:00:00"/>
    <x v="125"/>
    <x v="125"/>
    <s v="P0043"/>
    <x v="124"/>
    <s v="S024"/>
    <x v="0"/>
    <n v="1"/>
    <n v="0"/>
    <s v="Cash"/>
    <n v="22827.119999999999"/>
    <n v="22827.119999999999"/>
    <n v="0"/>
    <n v="22827.119999999999"/>
    <n v="18264.07"/>
    <n v="18264.07"/>
    <n v="4563.0499999999993"/>
    <x v="3"/>
  </r>
  <r>
    <s v="O000872"/>
    <d v="2025-03-04T00:00:00"/>
    <x v="688"/>
    <x v="688"/>
    <s v="P0049"/>
    <x v="79"/>
    <s v="S025"/>
    <x v="2"/>
    <n v="3"/>
    <n v="0"/>
    <s v="Debit Card"/>
    <n v="643.36"/>
    <n v="1930.08"/>
    <n v="0"/>
    <n v="1930.08"/>
    <n v="460.5"/>
    <n v="1381.5"/>
    <n v="548.57999999999993"/>
    <x v="3"/>
  </r>
  <r>
    <s v="O000748"/>
    <d v="2025-03-05T00:00:00"/>
    <x v="689"/>
    <x v="689"/>
    <s v="P0071"/>
    <x v="67"/>
    <s v="S005"/>
    <x v="1"/>
    <n v="2"/>
    <n v="0.15"/>
    <s v="Cash"/>
    <n v="2211.5500000000002"/>
    <n v="4423.1000000000004"/>
    <n v="663.46500000000003"/>
    <n v="3759.6350000000002"/>
    <n v="1820.39"/>
    <n v="3640.78"/>
    <n v="118.85500000000002"/>
    <x v="2"/>
  </r>
  <r>
    <s v="O000006"/>
    <d v="2025-03-08T00:00:00"/>
    <x v="690"/>
    <x v="690"/>
    <s v="P0110"/>
    <x v="18"/>
    <s v="S004"/>
    <x v="3"/>
    <n v="1"/>
    <n v="0"/>
    <s v="Credit Card"/>
    <n v="1053.9000000000001"/>
    <n v="1053.9000000000001"/>
    <n v="0"/>
    <n v="1053.9000000000001"/>
    <n v="710.59"/>
    <n v="710.59"/>
    <n v="343.31000000000006"/>
    <x v="4"/>
  </r>
  <r>
    <s v="O000168"/>
    <d v="2025-03-08T00:00:00"/>
    <x v="691"/>
    <x v="691"/>
    <s v="P0036"/>
    <x v="39"/>
    <s v="S013"/>
    <x v="0"/>
    <n v="1"/>
    <n v="0"/>
    <s v="Cash"/>
    <n v="74177.87"/>
    <n v="74177.87"/>
    <n v="0"/>
    <n v="74177.87"/>
    <n v="46554.33"/>
    <n v="46554.33"/>
    <n v="27623.539999999994"/>
    <x v="1"/>
  </r>
  <r>
    <s v="O000363"/>
    <d v="2025-03-08T00:00:00"/>
    <x v="692"/>
    <x v="692"/>
    <s v="P0002"/>
    <x v="35"/>
    <s v="S010"/>
    <x v="1"/>
    <n v="1"/>
    <n v="0"/>
    <s v="Debit Card"/>
    <n v="75177.759999999995"/>
    <n v="75177.759999999995"/>
    <n v="0"/>
    <n v="75177.759999999995"/>
    <n v="51831.839999999997"/>
    <n v="51831.839999999997"/>
    <n v="23345.919999999998"/>
    <x v="1"/>
  </r>
  <r>
    <s v="O000411"/>
    <d v="2025-03-08T00:00:00"/>
    <x v="693"/>
    <x v="693"/>
    <s v="P0087"/>
    <x v="60"/>
    <s v="S019"/>
    <x v="0"/>
    <n v="1"/>
    <n v="0.15"/>
    <s v="UPI"/>
    <n v="2599.96"/>
    <n v="2599.96"/>
    <n v="389.99399999999997"/>
    <n v="2209.9659999999999"/>
    <n v="1643"/>
    <n v="1643"/>
    <n v="566.96599999999989"/>
    <x v="2"/>
  </r>
  <r>
    <s v="O000152"/>
    <d v="2025-03-11T00:00:00"/>
    <x v="694"/>
    <x v="694"/>
    <s v="P0021"/>
    <x v="45"/>
    <s v="S009"/>
    <x v="0"/>
    <n v="2"/>
    <n v="0.1"/>
    <s v="Credit Card"/>
    <n v="48777.16"/>
    <n v="97554.32"/>
    <n v="9755.4320000000007"/>
    <n v="87798.888000000006"/>
    <n v="29771.48"/>
    <n v="59542.96"/>
    <n v="28255.928000000007"/>
    <x v="1"/>
  </r>
  <r>
    <s v="O000986"/>
    <d v="2025-03-11T00:00:00"/>
    <x v="695"/>
    <x v="695"/>
    <s v="P0137"/>
    <x v="121"/>
    <s v="S018"/>
    <x v="0"/>
    <n v="1"/>
    <n v="0"/>
    <s v="Debit Card"/>
    <n v="3493.25"/>
    <n v="3493.25"/>
    <n v="0"/>
    <n v="3493.25"/>
    <n v="2550.08"/>
    <n v="2550.08"/>
    <n v="943.17000000000007"/>
    <x v="0"/>
  </r>
  <r>
    <s v="O000017"/>
    <d v="2025-03-14T00:00:00"/>
    <x v="696"/>
    <x v="696"/>
    <s v="P0075"/>
    <x v="10"/>
    <s v="S009"/>
    <x v="0"/>
    <n v="1"/>
    <n v="0.05"/>
    <s v="Debit Card"/>
    <n v="7788.99"/>
    <n v="7788.99"/>
    <n v="389.4495"/>
    <n v="7399.5405000000001"/>
    <n v="6231.21"/>
    <n v="6231.21"/>
    <n v="1168.3305"/>
    <x v="2"/>
  </r>
  <r>
    <s v="O000547"/>
    <d v="2025-03-18T00:00:00"/>
    <x v="697"/>
    <x v="697"/>
    <s v="P0090"/>
    <x v="93"/>
    <s v="S023"/>
    <x v="1"/>
    <n v="2"/>
    <n v="0.2"/>
    <s v="UPI"/>
    <n v="6708.36"/>
    <n v="13416.72"/>
    <n v="2683.3440000000001"/>
    <n v="10733.376"/>
    <n v="5031.45"/>
    <n v="10062.9"/>
    <n v="670.47600000000057"/>
    <x v="2"/>
  </r>
  <r>
    <s v="O000648"/>
    <d v="2025-03-19T00:00:00"/>
    <x v="698"/>
    <x v="698"/>
    <s v="P0087"/>
    <x v="60"/>
    <s v="S022"/>
    <x v="2"/>
    <n v="1"/>
    <n v="0.15"/>
    <s v="Credit Card"/>
    <n v="2599.96"/>
    <n v="2599.96"/>
    <n v="389.99399999999997"/>
    <n v="2209.9659999999999"/>
    <n v="1643"/>
    <n v="1643"/>
    <n v="566.96599999999989"/>
    <x v="2"/>
  </r>
  <r>
    <s v="O000061"/>
    <d v="2025-03-20T00:00:00"/>
    <x v="699"/>
    <x v="699"/>
    <s v="P0049"/>
    <x v="79"/>
    <s v="S009"/>
    <x v="0"/>
    <n v="1"/>
    <n v="0.1"/>
    <s v="UPI"/>
    <n v="643.36"/>
    <n v="643.36"/>
    <n v="64.335999999999999"/>
    <n v="579.024"/>
    <n v="460.5"/>
    <n v="460.5"/>
    <n v="118.524"/>
    <x v="3"/>
  </r>
  <r>
    <s v="O000400"/>
    <d v="2025-03-21T00:00:00"/>
    <x v="700"/>
    <x v="700"/>
    <s v="P0085"/>
    <x v="9"/>
    <s v="S016"/>
    <x v="0"/>
    <n v="4"/>
    <n v="0.1"/>
    <s v="UPI"/>
    <n v="508.67"/>
    <n v="2034.68"/>
    <n v="203.46800000000002"/>
    <n v="1831.212"/>
    <n v="386.39"/>
    <n v="1545.56"/>
    <n v="285.65200000000004"/>
    <x v="2"/>
  </r>
  <r>
    <s v="O000832"/>
    <d v="2025-03-21T00:00:00"/>
    <x v="701"/>
    <x v="701"/>
    <s v="P0079"/>
    <x v="113"/>
    <s v="S012"/>
    <x v="1"/>
    <n v="1"/>
    <n v="0"/>
    <s v="Credit Card"/>
    <n v="7106.08"/>
    <n v="7106.08"/>
    <n v="0"/>
    <n v="7106.08"/>
    <n v="5246.63"/>
    <n v="5246.63"/>
    <n v="1859.4499999999998"/>
    <x v="2"/>
  </r>
  <r>
    <s v="O000280"/>
    <d v="2025-03-22T00:00:00"/>
    <x v="702"/>
    <x v="702"/>
    <s v="P0123"/>
    <x v="77"/>
    <s v="S014"/>
    <x v="1"/>
    <n v="4"/>
    <n v="0.05"/>
    <s v="UPI"/>
    <n v="1666.93"/>
    <n v="6667.72"/>
    <n v="333.38600000000002"/>
    <n v="6334.3339999999998"/>
    <n v="983.54"/>
    <n v="3934.16"/>
    <n v="2400.174"/>
    <x v="0"/>
  </r>
  <r>
    <s v="O000450"/>
    <d v="2025-03-22T00:00:00"/>
    <x v="703"/>
    <x v="703"/>
    <s v="P0060"/>
    <x v="7"/>
    <s v="S019"/>
    <x v="0"/>
    <n v="1"/>
    <n v="0.1"/>
    <s v="UPI"/>
    <n v="4187.79"/>
    <n v="4187.79"/>
    <n v="418.779"/>
    <n v="3769.011"/>
    <n v="2951.03"/>
    <n v="2951.03"/>
    <n v="817.98099999999977"/>
    <x v="3"/>
  </r>
  <r>
    <s v="O000443"/>
    <d v="2025-03-23T00:00:00"/>
    <x v="224"/>
    <x v="224"/>
    <s v="P0127"/>
    <x v="103"/>
    <s v="S015"/>
    <x v="3"/>
    <n v="1"/>
    <n v="0.05"/>
    <s v="Debit Card"/>
    <n v="2328.63"/>
    <n v="2328.63"/>
    <n v="116.43150000000001"/>
    <n v="2212.1985"/>
    <n v="1946.99"/>
    <n v="1946.99"/>
    <n v="265.20849999999996"/>
    <x v="0"/>
  </r>
  <r>
    <s v="O000544"/>
    <d v="2025-03-25T00:00:00"/>
    <x v="704"/>
    <x v="704"/>
    <s v="P0026"/>
    <x v="147"/>
    <s v="S021"/>
    <x v="0"/>
    <n v="2"/>
    <n v="0"/>
    <s v="Debit Card"/>
    <n v="43098.98"/>
    <n v="86197.96"/>
    <n v="0"/>
    <n v="86197.96"/>
    <n v="29477.79"/>
    <n v="58955.58"/>
    <n v="27242.380000000005"/>
    <x v="1"/>
  </r>
  <r>
    <s v="O000797"/>
    <d v="2025-03-25T00:00:00"/>
    <x v="705"/>
    <x v="705"/>
    <s v="P0147"/>
    <x v="109"/>
    <s v="S023"/>
    <x v="1"/>
    <n v="1"/>
    <n v="0"/>
    <s v="Debit Card"/>
    <n v="4084.63"/>
    <n v="4084.63"/>
    <n v="0"/>
    <n v="4084.63"/>
    <n v="2990.01"/>
    <n v="2990.01"/>
    <n v="1094.6199999999999"/>
    <x v="0"/>
  </r>
  <r>
    <s v="O000672"/>
    <d v="2025-03-26T00:00:00"/>
    <x v="706"/>
    <x v="706"/>
    <s v="P0105"/>
    <x v="138"/>
    <s v="S018"/>
    <x v="0"/>
    <n v="3"/>
    <n v="0"/>
    <s v="UPI"/>
    <n v="881.18"/>
    <n v="2643.54"/>
    <n v="0"/>
    <n v="2643.54"/>
    <n v="626.67999999999995"/>
    <n v="1880.04"/>
    <n v="763.5"/>
    <x v="4"/>
  </r>
  <r>
    <s v="O000990"/>
    <d v="2025-03-26T00:00:00"/>
    <x v="707"/>
    <x v="707"/>
    <s v="P0062"/>
    <x v="101"/>
    <s v="S015"/>
    <x v="3"/>
    <n v="1"/>
    <n v="0"/>
    <s v="Net Banking"/>
    <n v="26039.41"/>
    <n v="26039.41"/>
    <n v="0"/>
    <n v="26039.41"/>
    <n v="20592.23"/>
    <n v="20592.23"/>
    <n v="5447.18"/>
    <x v="3"/>
  </r>
  <r>
    <s v="O000110"/>
    <d v="2025-03-28T00:00:00"/>
    <x v="143"/>
    <x v="143"/>
    <s v="P0008"/>
    <x v="136"/>
    <s v="S004"/>
    <x v="3"/>
    <n v="1"/>
    <n v="0.1"/>
    <s v="UPI"/>
    <n v="76009.95"/>
    <n v="76009.95"/>
    <n v="7600.9949999999999"/>
    <n v="68408.955000000002"/>
    <n v="41916.89"/>
    <n v="41916.89"/>
    <n v="26492.065000000002"/>
    <x v="1"/>
  </r>
  <r>
    <s v="O000468"/>
    <d v="2025-03-28T00:00:00"/>
    <x v="708"/>
    <x v="708"/>
    <s v="P0081"/>
    <x v="149"/>
    <s v="S014"/>
    <x v="1"/>
    <n v="1"/>
    <n v="0.15"/>
    <s v="Debit Card"/>
    <n v="1715.72"/>
    <n v="1715.72"/>
    <n v="257.358"/>
    <n v="1458.3620000000001"/>
    <n v="1050.32"/>
    <n v="1050.32"/>
    <n v="408.04200000000014"/>
    <x v="2"/>
  </r>
  <r>
    <s v="O000226"/>
    <d v="2025-03-29T00:00:00"/>
    <x v="709"/>
    <x v="709"/>
    <s v="P0129"/>
    <x v="58"/>
    <s v="S011"/>
    <x v="0"/>
    <n v="4"/>
    <n v="0"/>
    <s v="Debit Card"/>
    <n v="3285.82"/>
    <n v="13143.28"/>
    <n v="0"/>
    <n v="13143.28"/>
    <n v="2256.9699999999998"/>
    <n v="9027.8799999999992"/>
    <n v="4115.4000000000015"/>
    <x v="0"/>
  </r>
  <r>
    <s v="O000959"/>
    <d v="2025-03-31T00:00:00"/>
    <x v="540"/>
    <x v="540"/>
    <s v="P0067"/>
    <x v="12"/>
    <s v="S025"/>
    <x v="2"/>
    <n v="1"/>
    <n v="0.2"/>
    <s v="Cash"/>
    <n v="6357.9"/>
    <n v="6357.9"/>
    <n v="1271.58"/>
    <n v="5086.32"/>
    <n v="4895.43"/>
    <n v="4895.43"/>
    <n v="190.88999999999942"/>
    <x v="2"/>
  </r>
  <r>
    <s v="O000568"/>
    <d v="2025-04-01T00:00:00"/>
    <x v="710"/>
    <x v="710"/>
    <s v="P0005"/>
    <x v="56"/>
    <s v="S002"/>
    <x v="2"/>
    <n v="2"/>
    <n v="0"/>
    <s v="UPI"/>
    <n v="4719.2700000000004"/>
    <n v="9438.5400000000009"/>
    <n v="0"/>
    <n v="9438.5400000000009"/>
    <n v="3322.23"/>
    <n v="6644.46"/>
    <n v="2794.0800000000008"/>
    <x v="1"/>
  </r>
  <r>
    <s v="O000841"/>
    <d v="2025-04-02T00:00:00"/>
    <x v="711"/>
    <x v="711"/>
    <s v="P0060"/>
    <x v="7"/>
    <s v="S003"/>
    <x v="3"/>
    <n v="1"/>
    <n v="0"/>
    <s v="Debit Card"/>
    <n v="4187.79"/>
    <n v="4187.79"/>
    <n v="0"/>
    <n v="4187.79"/>
    <n v="2951.03"/>
    <n v="2951.03"/>
    <n v="1236.7599999999998"/>
    <x v="3"/>
  </r>
  <r>
    <s v="O000295"/>
    <d v="2025-04-03T00:00:00"/>
    <x v="712"/>
    <x v="712"/>
    <s v="P0147"/>
    <x v="109"/>
    <s v="S008"/>
    <x v="1"/>
    <n v="3"/>
    <n v="0"/>
    <s v="Credit Card"/>
    <n v="4084.63"/>
    <n v="12253.89"/>
    <n v="0"/>
    <n v="12253.89"/>
    <n v="2990.01"/>
    <n v="8970.0300000000007"/>
    <n v="3283.8599999999988"/>
    <x v="0"/>
  </r>
  <r>
    <s v="O000768"/>
    <d v="2025-04-03T00:00:00"/>
    <x v="713"/>
    <x v="713"/>
    <s v="P0083"/>
    <x v="26"/>
    <s v="S010"/>
    <x v="1"/>
    <n v="3"/>
    <n v="0.1"/>
    <s v="Debit Card"/>
    <n v="1436.28"/>
    <n v="4308.84"/>
    <n v="430.88400000000001"/>
    <n v="3877.9560000000001"/>
    <n v="1097.5"/>
    <n v="3292.5"/>
    <n v="585.45600000000013"/>
    <x v="2"/>
  </r>
  <r>
    <s v="O000427"/>
    <d v="2025-04-06T00:00:00"/>
    <x v="714"/>
    <x v="714"/>
    <s v="P0127"/>
    <x v="103"/>
    <s v="S001"/>
    <x v="2"/>
    <n v="1"/>
    <n v="0"/>
    <s v="Credit Card"/>
    <n v="2328.63"/>
    <n v="2328.63"/>
    <n v="0"/>
    <n v="2328.63"/>
    <n v="1946.99"/>
    <n v="1946.99"/>
    <n v="381.6400000000001"/>
    <x v="0"/>
  </r>
  <r>
    <s v="O000967"/>
    <d v="2025-04-08T00:00:00"/>
    <x v="715"/>
    <x v="715"/>
    <s v="P0005"/>
    <x v="56"/>
    <s v="S017"/>
    <x v="0"/>
    <n v="1"/>
    <n v="0"/>
    <s v="Cash"/>
    <n v="4719.2700000000004"/>
    <n v="4719.2700000000004"/>
    <n v="0"/>
    <n v="4719.2700000000004"/>
    <n v="3322.23"/>
    <n v="3322.23"/>
    <n v="1397.0400000000004"/>
    <x v="1"/>
  </r>
  <r>
    <s v="O000318"/>
    <d v="2025-04-09T00:00:00"/>
    <x v="716"/>
    <x v="716"/>
    <s v="P0148"/>
    <x v="94"/>
    <s v="S014"/>
    <x v="1"/>
    <n v="1"/>
    <n v="0"/>
    <s v="Debit Card"/>
    <n v="3430.41"/>
    <n v="3430.41"/>
    <n v="0"/>
    <n v="3430.41"/>
    <n v="2912.56"/>
    <n v="2912.56"/>
    <n v="517.84999999999991"/>
    <x v="0"/>
  </r>
  <r>
    <s v="O000565"/>
    <d v="2025-04-09T00:00:00"/>
    <x v="717"/>
    <x v="717"/>
    <s v="P0061"/>
    <x v="78"/>
    <s v="S004"/>
    <x v="3"/>
    <n v="2"/>
    <n v="0.05"/>
    <s v="UPI"/>
    <n v="22102.15"/>
    <n v="44204.3"/>
    <n v="2210.2150000000001"/>
    <n v="41994.085000000006"/>
    <n v="15710.91"/>
    <n v="31421.82"/>
    <n v="10572.265000000007"/>
    <x v="3"/>
  </r>
  <r>
    <s v="O000448"/>
    <d v="2025-04-13T00:00:00"/>
    <x v="718"/>
    <x v="718"/>
    <s v="P0102"/>
    <x v="37"/>
    <s v="S005"/>
    <x v="1"/>
    <n v="4"/>
    <n v="0"/>
    <s v="Cash"/>
    <n v="1282.31"/>
    <n v="5129.24"/>
    <n v="0"/>
    <n v="5129.24"/>
    <n v="759"/>
    <n v="3036"/>
    <n v="2093.2399999999998"/>
    <x v="4"/>
  </r>
  <r>
    <s v="O000667"/>
    <d v="2025-04-13T00:00:00"/>
    <x v="719"/>
    <x v="719"/>
    <s v="P0064"/>
    <x v="135"/>
    <s v="S022"/>
    <x v="2"/>
    <n v="2"/>
    <n v="0"/>
    <s v="Debit Card"/>
    <n v="1797.31"/>
    <n v="3594.62"/>
    <n v="0"/>
    <n v="3594.62"/>
    <n v="1257.43"/>
    <n v="2514.86"/>
    <n v="1079.7599999999998"/>
    <x v="3"/>
  </r>
  <r>
    <s v="O000134"/>
    <d v="2025-04-15T00:00:00"/>
    <x v="720"/>
    <x v="720"/>
    <s v="P0126"/>
    <x v="0"/>
    <s v="S021"/>
    <x v="0"/>
    <n v="2"/>
    <n v="0"/>
    <s v="Debit Card"/>
    <n v="3082.2"/>
    <n v="6164.4"/>
    <n v="0"/>
    <n v="6164.4"/>
    <n v="2561.06"/>
    <n v="5122.12"/>
    <n v="1042.2799999999997"/>
    <x v="0"/>
  </r>
  <r>
    <s v="O000598"/>
    <d v="2025-04-16T00:00:00"/>
    <x v="721"/>
    <x v="721"/>
    <s v="P0059"/>
    <x v="13"/>
    <s v="S007"/>
    <x v="0"/>
    <n v="4"/>
    <n v="0.1"/>
    <s v="Cash"/>
    <n v="24743.52"/>
    <n v="98974.080000000002"/>
    <n v="9897.4080000000013"/>
    <n v="89076.672000000006"/>
    <n v="16620.189999999999"/>
    <n v="66480.759999999995"/>
    <n v="22595.912000000011"/>
    <x v="3"/>
  </r>
  <r>
    <s v="O000675"/>
    <d v="2025-04-17T00:00:00"/>
    <x v="722"/>
    <x v="722"/>
    <s v="P0040"/>
    <x v="11"/>
    <s v="S012"/>
    <x v="1"/>
    <n v="1"/>
    <n v="0"/>
    <s v="UPI"/>
    <n v="10664.54"/>
    <n v="10664.54"/>
    <n v="0"/>
    <n v="10664.54"/>
    <n v="8430.75"/>
    <n v="8430.75"/>
    <n v="2233.7900000000009"/>
    <x v="3"/>
  </r>
  <r>
    <s v="O000271"/>
    <d v="2025-04-18T00:00:00"/>
    <x v="723"/>
    <x v="723"/>
    <s v="P0102"/>
    <x v="37"/>
    <s v="S003"/>
    <x v="3"/>
    <n v="2"/>
    <n v="0"/>
    <s v="Cash"/>
    <n v="1282.31"/>
    <n v="2564.62"/>
    <n v="0"/>
    <n v="2564.62"/>
    <n v="759"/>
    <n v="1518"/>
    <n v="1046.6199999999999"/>
    <x v="4"/>
  </r>
  <r>
    <s v="O000165"/>
    <d v="2025-04-19T00:00:00"/>
    <x v="724"/>
    <x v="724"/>
    <s v="P0099"/>
    <x v="46"/>
    <s v="S014"/>
    <x v="1"/>
    <n v="2"/>
    <n v="0.1"/>
    <s v="Credit Card"/>
    <n v="631.26"/>
    <n v="1262.52"/>
    <n v="126.25200000000001"/>
    <n v="1136.268"/>
    <n v="394.86"/>
    <n v="789.72"/>
    <n v="346.548"/>
    <x v="4"/>
  </r>
  <r>
    <s v="O000277"/>
    <d v="2025-04-19T00:00:00"/>
    <x v="725"/>
    <x v="725"/>
    <s v="P0136"/>
    <x v="42"/>
    <s v="S016"/>
    <x v="0"/>
    <n v="1"/>
    <n v="0.05"/>
    <s v="UPI"/>
    <n v="1702.4"/>
    <n v="1702.4"/>
    <n v="85.12"/>
    <n v="1617.2800000000002"/>
    <n v="1284.8900000000001"/>
    <n v="1284.8900000000001"/>
    <n v="332.3900000000001"/>
    <x v="0"/>
  </r>
  <r>
    <s v="O000588"/>
    <d v="2025-04-19T00:00:00"/>
    <x v="726"/>
    <x v="726"/>
    <s v="P0125"/>
    <x v="23"/>
    <s v="S006"/>
    <x v="3"/>
    <n v="1"/>
    <n v="0"/>
    <s v="Cash"/>
    <n v="1783.65"/>
    <n v="1783.65"/>
    <n v="0"/>
    <n v="1783.65"/>
    <n v="1128.95"/>
    <n v="1128.95"/>
    <n v="654.70000000000005"/>
    <x v="0"/>
  </r>
  <r>
    <s v="O000432"/>
    <d v="2025-04-21T00:00:00"/>
    <x v="727"/>
    <x v="727"/>
    <s v="P0042"/>
    <x v="64"/>
    <s v="S006"/>
    <x v="3"/>
    <n v="2"/>
    <n v="0.1"/>
    <s v="Debit Card"/>
    <n v="29579.63"/>
    <n v="59159.26"/>
    <n v="5915.9260000000004"/>
    <n v="53243.334000000003"/>
    <n v="24254.720000000001"/>
    <n v="48509.440000000002"/>
    <n v="4733.8940000000002"/>
    <x v="3"/>
  </r>
  <r>
    <s v="O000087"/>
    <d v="2025-04-22T00:00:00"/>
    <x v="728"/>
    <x v="728"/>
    <s v="P0035"/>
    <x v="53"/>
    <s v="S020"/>
    <x v="3"/>
    <n v="1"/>
    <n v="0"/>
    <s v="UPI"/>
    <n v="29153.55"/>
    <n v="29153.55"/>
    <n v="0"/>
    <n v="29153.55"/>
    <n v="21894.27"/>
    <n v="21894.27"/>
    <n v="7259.2799999999988"/>
    <x v="1"/>
  </r>
  <r>
    <s v="O000386"/>
    <d v="2025-04-22T00:00:00"/>
    <x v="729"/>
    <x v="729"/>
    <s v="P0063"/>
    <x v="33"/>
    <s v="S005"/>
    <x v="1"/>
    <n v="2"/>
    <n v="0"/>
    <s v="Credit Card"/>
    <n v="22222.83"/>
    <n v="44445.66"/>
    <n v="0"/>
    <n v="44445.66"/>
    <n v="17564.490000000002"/>
    <n v="35128.980000000003"/>
    <n v="9316.68"/>
    <x v="3"/>
  </r>
  <r>
    <s v="O000032"/>
    <d v="2025-04-23T00:00:00"/>
    <x v="730"/>
    <x v="730"/>
    <s v="P0011"/>
    <x v="73"/>
    <s v="S021"/>
    <x v="0"/>
    <n v="4"/>
    <n v="0"/>
    <s v="Debit Card"/>
    <n v="14902.07"/>
    <n v="59608.28"/>
    <n v="0"/>
    <n v="59608.28"/>
    <n v="9305.33"/>
    <n v="37221.32"/>
    <n v="22386.959999999999"/>
    <x v="1"/>
  </r>
  <r>
    <s v="O000025"/>
    <d v="2025-04-26T00:00:00"/>
    <x v="731"/>
    <x v="731"/>
    <s v="P0123"/>
    <x v="77"/>
    <s v="S006"/>
    <x v="3"/>
    <n v="2"/>
    <n v="0"/>
    <s v="Net Banking"/>
    <n v="1666.93"/>
    <n v="3333.86"/>
    <n v="0"/>
    <n v="3333.86"/>
    <n v="983.54"/>
    <n v="1967.08"/>
    <n v="1366.7800000000002"/>
    <x v="0"/>
  </r>
  <r>
    <s v="O000037"/>
    <d v="2025-04-26T00:00:00"/>
    <x v="732"/>
    <x v="732"/>
    <s v="P0070"/>
    <x v="4"/>
    <s v="S003"/>
    <x v="3"/>
    <n v="1"/>
    <n v="0.15"/>
    <s v="UPI"/>
    <n v="4654.63"/>
    <n v="4654.63"/>
    <n v="698.19449999999995"/>
    <n v="3956.4355"/>
    <n v="2675.18"/>
    <n v="2675.18"/>
    <n v="1281.2555000000002"/>
    <x v="2"/>
  </r>
  <r>
    <s v="O000195"/>
    <d v="2025-04-26T00:00:00"/>
    <x v="733"/>
    <x v="733"/>
    <s v="P0118"/>
    <x v="116"/>
    <s v="S015"/>
    <x v="3"/>
    <n v="1"/>
    <n v="0.05"/>
    <s v="UPI"/>
    <n v="1499.75"/>
    <n v="1499.75"/>
    <n v="74.987499999999997"/>
    <n v="1424.7625"/>
    <n v="1194.1400000000001"/>
    <n v="1194.1400000000001"/>
    <n v="230.62249999999995"/>
    <x v="4"/>
  </r>
  <r>
    <s v="O000499"/>
    <d v="2025-04-26T00:00:00"/>
    <x v="734"/>
    <x v="734"/>
    <s v="P0056"/>
    <x v="50"/>
    <s v="S022"/>
    <x v="2"/>
    <n v="3"/>
    <n v="0"/>
    <s v="Cash"/>
    <n v="24430.33"/>
    <n v="73290.990000000005"/>
    <n v="0"/>
    <n v="73290.990000000005"/>
    <n v="14996.73"/>
    <n v="44990.19"/>
    <n v="28300.800000000003"/>
    <x v="3"/>
  </r>
  <r>
    <s v="O000721"/>
    <d v="2025-05-01T00:00:00"/>
    <x v="735"/>
    <x v="735"/>
    <s v="P0017"/>
    <x v="69"/>
    <s v="S002"/>
    <x v="2"/>
    <n v="1"/>
    <n v="0"/>
    <s v="UPI"/>
    <n v="61469.2"/>
    <n v="61469.2"/>
    <n v="0"/>
    <n v="61469.2"/>
    <n v="39781.99"/>
    <n v="39781.99"/>
    <n v="21687.21"/>
    <x v="1"/>
  </r>
  <r>
    <s v="O000109"/>
    <d v="2025-05-02T00:00:00"/>
    <x v="736"/>
    <x v="736"/>
    <s v="P0019"/>
    <x v="132"/>
    <s v="S019"/>
    <x v="0"/>
    <n v="3"/>
    <n v="0"/>
    <s v="UPI"/>
    <n v="12552.69"/>
    <n v="37658.07"/>
    <n v="0"/>
    <n v="37658.07"/>
    <n v="8737.9"/>
    <n v="26213.699999999997"/>
    <n v="11444.370000000003"/>
    <x v="1"/>
  </r>
  <r>
    <s v="O000603"/>
    <d v="2025-05-03T00:00:00"/>
    <x v="737"/>
    <x v="737"/>
    <s v="P0123"/>
    <x v="77"/>
    <s v="S021"/>
    <x v="0"/>
    <n v="2"/>
    <n v="0"/>
    <s v="Credit Card"/>
    <n v="1666.93"/>
    <n v="3333.86"/>
    <n v="0"/>
    <n v="3333.86"/>
    <n v="983.54"/>
    <n v="1967.08"/>
    <n v="1366.7800000000002"/>
    <x v="0"/>
  </r>
  <r>
    <s v="O000669"/>
    <d v="2025-05-04T00:00:00"/>
    <x v="738"/>
    <x v="738"/>
    <s v="P0043"/>
    <x v="124"/>
    <s v="S011"/>
    <x v="0"/>
    <n v="1"/>
    <n v="0"/>
    <s v="Debit Card"/>
    <n v="22827.119999999999"/>
    <n v="22827.119999999999"/>
    <n v="0"/>
    <n v="22827.119999999999"/>
    <n v="18264.07"/>
    <n v="18264.07"/>
    <n v="4563.0499999999993"/>
    <x v="3"/>
  </r>
  <r>
    <s v="O000957"/>
    <d v="2025-05-04T00:00:00"/>
    <x v="739"/>
    <x v="739"/>
    <s v="P0084"/>
    <x v="96"/>
    <s v="S009"/>
    <x v="0"/>
    <n v="3"/>
    <n v="0.1"/>
    <s v="UPI"/>
    <n v="1332.31"/>
    <n v="3996.93"/>
    <n v="399.69299999999998"/>
    <n v="3597.2370000000001"/>
    <n v="957.87"/>
    <n v="2873.61"/>
    <n v="723.62699999999995"/>
    <x v="2"/>
  </r>
  <r>
    <s v="O000018"/>
    <d v="2025-05-06T00:00:00"/>
    <x v="740"/>
    <x v="429"/>
    <s v="P0024"/>
    <x v="119"/>
    <s v="S009"/>
    <x v="0"/>
    <n v="1"/>
    <n v="0"/>
    <s v="Debit Card"/>
    <n v="44917.11"/>
    <n v="44917.11"/>
    <n v="0"/>
    <n v="44917.11"/>
    <n v="33851.120000000003"/>
    <n v="33851.120000000003"/>
    <n v="11065.989999999998"/>
    <x v="1"/>
  </r>
  <r>
    <s v="O000206"/>
    <d v="2025-05-10T00:00:00"/>
    <x v="448"/>
    <x v="448"/>
    <s v="P0074"/>
    <x v="131"/>
    <s v="S018"/>
    <x v="0"/>
    <n v="5"/>
    <n v="0.1"/>
    <s v="Debit Card"/>
    <n v="6726.61"/>
    <n v="33633.049999999996"/>
    <n v="3363.3049999999998"/>
    <n v="30269.744999999995"/>
    <n v="5191.03"/>
    <n v="25955.149999999998"/>
    <n v="4314.5949999999975"/>
    <x v="2"/>
  </r>
  <r>
    <s v="O000230"/>
    <d v="2025-05-11T00:00:00"/>
    <x v="741"/>
    <x v="740"/>
    <s v="P0062"/>
    <x v="101"/>
    <s v="S013"/>
    <x v="0"/>
    <n v="1"/>
    <n v="0"/>
    <s v="UPI"/>
    <n v="26039.41"/>
    <n v="26039.41"/>
    <n v="0"/>
    <n v="26039.41"/>
    <n v="20592.23"/>
    <n v="20592.23"/>
    <n v="5447.18"/>
    <x v="3"/>
  </r>
  <r>
    <s v="O000325"/>
    <d v="2025-05-11T00:00:00"/>
    <x v="742"/>
    <x v="741"/>
    <s v="P0010"/>
    <x v="16"/>
    <s v="S021"/>
    <x v="0"/>
    <n v="1"/>
    <n v="0.05"/>
    <s v="Debit Card"/>
    <n v="4404.4399999999996"/>
    <n v="4404.4399999999996"/>
    <n v="220.22199999999998"/>
    <n v="4184.2179999999998"/>
    <n v="3239.84"/>
    <n v="3239.84"/>
    <n v="944.3779999999997"/>
    <x v="1"/>
  </r>
  <r>
    <s v="O000745"/>
    <d v="2025-05-11T00:00:00"/>
    <x v="743"/>
    <x v="742"/>
    <s v="P0005"/>
    <x v="56"/>
    <s v="S004"/>
    <x v="3"/>
    <n v="1"/>
    <n v="0"/>
    <s v="Credit Card"/>
    <n v="4719.2700000000004"/>
    <n v="4719.2700000000004"/>
    <n v="0"/>
    <n v="4719.2700000000004"/>
    <n v="3322.23"/>
    <n v="3322.23"/>
    <n v="1397.0400000000004"/>
    <x v="1"/>
  </r>
  <r>
    <s v="O000229"/>
    <d v="2025-05-12T00:00:00"/>
    <x v="744"/>
    <x v="743"/>
    <s v="P0144"/>
    <x v="28"/>
    <s v="S019"/>
    <x v="0"/>
    <n v="3"/>
    <n v="0"/>
    <s v="Credit Card"/>
    <n v="1037.07"/>
    <n v="3111.21"/>
    <n v="0"/>
    <n v="3111.21"/>
    <n v="720.16"/>
    <n v="2160.48"/>
    <n v="950.73"/>
    <x v="0"/>
  </r>
  <r>
    <s v="O000451"/>
    <d v="2025-05-12T00:00:00"/>
    <x v="745"/>
    <x v="744"/>
    <s v="P0124"/>
    <x v="68"/>
    <s v="S005"/>
    <x v="1"/>
    <n v="1"/>
    <n v="0"/>
    <s v="Cash"/>
    <n v="1841.85"/>
    <n v="1841.85"/>
    <n v="0"/>
    <n v="1841.85"/>
    <n v="1327.7"/>
    <n v="1327.7"/>
    <n v="514.14999999999986"/>
    <x v="0"/>
  </r>
  <r>
    <s v="O000515"/>
    <d v="2025-05-14T00:00:00"/>
    <x v="746"/>
    <x v="745"/>
    <s v="P0125"/>
    <x v="23"/>
    <s v="S024"/>
    <x v="0"/>
    <n v="1"/>
    <n v="0.05"/>
    <s v="Debit Card"/>
    <n v="1783.65"/>
    <n v="1783.65"/>
    <n v="89.182500000000005"/>
    <n v="1694.4675000000002"/>
    <n v="1128.95"/>
    <n v="1128.95"/>
    <n v="565.51750000000015"/>
    <x v="0"/>
  </r>
  <r>
    <s v="O000431"/>
    <d v="2025-05-15T00:00:00"/>
    <x v="747"/>
    <x v="746"/>
    <s v="P0011"/>
    <x v="73"/>
    <s v="S015"/>
    <x v="3"/>
    <n v="2"/>
    <n v="0.1"/>
    <s v="Credit Card"/>
    <n v="14902.07"/>
    <n v="29804.14"/>
    <n v="2980.4140000000002"/>
    <n v="26823.725999999999"/>
    <n v="9305.33"/>
    <n v="18610.66"/>
    <n v="8213.0659999999989"/>
    <x v="1"/>
  </r>
  <r>
    <s v="O000227"/>
    <d v="2025-05-16T00:00:00"/>
    <x v="748"/>
    <x v="747"/>
    <s v="P0101"/>
    <x v="54"/>
    <s v="S017"/>
    <x v="0"/>
    <n v="4"/>
    <n v="0"/>
    <s v="UPI"/>
    <n v="775.19"/>
    <n v="3100.76"/>
    <n v="0"/>
    <n v="3100.76"/>
    <n v="597.84"/>
    <n v="2391.36"/>
    <n v="709.40000000000009"/>
    <x v="4"/>
  </r>
  <r>
    <s v="O000222"/>
    <d v="2025-05-17T00:00:00"/>
    <x v="749"/>
    <x v="748"/>
    <s v="P0064"/>
    <x v="135"/>
    <s v="S004"/>
    <x v="3"/>
    <n v="1"/>
    <n v="0"/>
    <s v="Debit Card"/>
    <n v="1797.31"/>
    <n v="1797.31"/>
    <n v="0"/>
    <n v="1797.31"/>
    <n v="1257.43"/>
    <n v="1257.43"/>
    <n v="539.87999999999988"/>
    <x v="3"/>
  </r>
  <r>
    <s v="O000712"/>
    <d v="2025-05-17T00:00:00"/>
    <x v="750"/>
    <x v="749"/>
    <s v="P0138"/>
    <x v="99"/>
    <s v="S002"/>
    <x v="2"/>
    <n v="3"/>
    <n v="0.1"/>
    <s v="UPI"/>
    <n v="3897.08"/>
    <n v="11691.24"/>
    <n v="1169.124"/>
    <n v="10522.116"/>
    <n v="3214.46"/>
    <n v="9643.380000000001"/>
    <n v="878.73599999999897"/>
    <x v="0"/>
  </r>
  <r>
    <s v="O000024"/>
    <d v="2025-05-18T00:00:00"/>
    <x v="240"/>
    <x v="240"/>
    <s v="P0122"/>
    <x v="139"/>
    <s v="S015"/>
    <x v="3"/>
    <n v="3"/>
    <n v="0"/>
    <s v="Credit Card"/>
    <n v="777.56"/>
    <n v="2332.6799999999998"/>
    <n v="0"/>
    <n v="2332.6799999999998"/>
    <n v="503.09"/>
    <n v="1509.27"/>
    <n v="823.40999999999985"/>
    <x v="4"/>
  </r>
  <r>
    <s v="O000254"/>
    <d v="2025-05-18T00:00:00"/>
    <x v="751"/>
    <x v="750"/>
    <s v="P0101"/>
    <x v="54"/>
    <s v="S008"/>
    <x v="1"/>
    <n v="1"/>
    <n v="0.1"/>
    <s v="UPI"/>
    <n v="775.19"/>
    <n v="775.19"/>
    <n v="77.519000000000005"/>
    <n v="697.67100000000005"/>
    <n v="597.84"/>
    <n v="597.84"/>
    <n v="99.831000000000017"/>
    <x v="4"/>
  </r>
  <r>
    <s v="O000681"/>
    <d v="2025-05-18T00:00:00"/>
    <x v="752"/>
    <x v="751"/>
    <s v="P0072"/>
    <x v="133"/>
    <s v="S006"/>
    <x v="3"/>
    <n v="1"/>
    <n v="0"/>
    <s v="UPI"/>
    <n v="3718.64"/>
    <n v="3718.64"/>
    <n v="0"/>
    <n v="3718.64"/>
    <n v="3021.38"/>
    <n v="3021.38"/>
    <n v="697.25999999999976"/>
    <x v="2"/>
  </r>
  <r>
    <s v="O000417"/>
    <d v="2025-05-19T00:00:00"/>
    <x v="753"/>
    <x v="752"/>
    <s v="P0148"/>
    <x v="94"/>
    <s v="S019"/>
    <x v="0"/>
    <n v="1"/>
    <n v="0"/>
    <s v="Credit Card"/>
    <n v="3430.41"/>
    <n v="3430.41"/>
    <n v="0"/>
    <n v="3430.41"/>
    <n v="2912.56"/>
    <n v="2912.56"/>
    <n v="517.84999999999991"/>
    <x v="0"/>
  </r>
  <r>
    <s v="O000647"/>
    <d v="2025-05-20T00:00:00"/>
    <x v="754"/>
    <x v="753"/>
    <s v="P0133"/>
    <x v="137"/>
    <s v="S004"/>
    <x v="3"/>
    <n v="1"/>
    <n v="0"/>
    <s v="UPI"/>
    <n v="4058.64"/>
    <n v="4058.64"/>
    <n v="0"/>
    <n v="4058.64"/>
    <n v="2892.93"/>
    <n v="2892.93"/>
    <n v="1165.71"/>
    <x v="0"/>
  </r>
  <r>
    <s v="O000645"/>
    <d v="2025-05-22T00:00:00"/>
    <x v="755"/>
    <x v="754"/>
    <s v="P0050"/>
    <x v="5"/>
    <s v="S019"/>
    <x v="0"/>
    <n v="1"/>
    <n v="0.1"/>
    <s v="UPI"/>
    <n v="14006.13"/>
    <n v="14006.13"/>
    <n v="1400.6130000000001"/>
    <n v="12605.517"/>
    <n v="9829.2800000000007"/>
    <n v="9829.2800000000007"/>
    <n v="2776.2369999999992"/>
    <x v="3"/>
  </r>
  <r>
    <s v="O000069"/>
    <d v="2025-05-23T00:00:00"/>
    <x v="756"/>
    <x v="755"/>
    <s v="P0048"/>
    <x v="48"/>
    <s v="S002"/>
    <x v="2"/>
    <n v="3"/>
    <n v="0"/>
    <s v="Debit Card"/>
    <n v="29675.72"/>
    <n v="89027.16"/>
    <n v="0"/>
    <n v="89027.16"/>
    <n v="17695.330000000002"/>
    <n v="53085.990000000005"/>
    <n v="35941.17"/>
    <x v="3"/>
  </r>
  <r>
    <s v="O000794"/>
    <d v="2025-05-23T00:00:00"/>
    <x v="757"/>
    <x v="756"/>
    <s v="P0093"/>
    <x v="122"/>
    <s v="S005"/>
    <x v="1"/>
    <n v="3"/>
    <n v="0.1"/>
    <s v="Cash"/>
    <n v="4565.2299999999996"/>
    <n v="13695.689999999999"/>
    <n v="1369.569"/>
    <n v="12326.120999999999"/>
    <n v="3658.34"/>
    <n v="10975.02"/>
    <n v="1351.1009999999987"/>
    <x v="2"/>
  </r>
  <r>
    <s v="O000905"/>
    <d v="2025-05-23T00:00:00"/>
    <x v="758"/>
    <x v="757"/>
    <s v="P0104"/>
    <x v="6"/>
    <s v="S001"/>
    <x v="2"/>
    <n v="1"/>
    <n v="0.05"/>
    <s v="Cash"/>
    <n v="152.38"/>
    <n v="152.38"/>
    <n v="7.6189999999999998"/>
    <n v="144.761"/>
    <n v="100.44"/>
    <n v="100.44"/>
    <n v="44.320999999999998"/>
    <x v="4"/>
  </r>
  <r>
    <s v="O000951"/>
    <d v="2025-05-23T00:00:00"/>
    <x v="759"/>
    <x v="758"/>
    <s v="P0104"/>
    <x v="6"/>
    <s v="S002"/>
    <x v="2"/>
    <n v="1"/>
    <n v="0"/>
    <s v="Cash"/>
    <n v="152.38"/>
    <n v="152.38"/>
    <n v="0"/>
    <n v="152.38"/>
    <n v="100.44"/>
    <n v="100.44"/>
    <n v="51.94"/>
    <x v="4"/>
  </r>
  <r>
    <s v="O000596"/>
    <d v="2025-05-24T00:00:00"/>
    <x v="760"/>
    <x v="759"/>
    <s v="P0050"/>
    <x v="5"/>
    <s v="S013"/>
    <x v="0"/>
    <n v="2"/>
    <n v="0"/>
    <s v="UPI"/>
    <n v="14006.13"/>
    <n v="28012.26"/>
    <n v="0"/>
    <n v="28012.26"/>
    <n v="9829.2800000000007"/>
    <n v="19658.560000000001"/>
    <n v="8353.6999999999971"/>
    <x v="3"/>
  </r>
  <r>
    <s v="O000911"/>
    <d v="2025-05-27T00:00:00"/>
    <x v="761"/>
    <x v="760"/>
    <s v="P0086"/>
    <x v="20"/>
    <s v="S001"/>
    <x v="2"/>
    <n v="3"/>
    <n v="0.15"/>
    <s v="Cash"/>
    <n v="2008.33"/>
    <n v="6024.99"/>
    <n v="903.74849999999992"/>
    <n v="5121.2415000000001"/>
    <n v="1688.91"/>
    <n v="5066.7300000000005"/>
    <n v="54.511499999999614"/>
    <x v="2"/>
  </r>
  <r>
    <s v="O000378"/>
    <d v="2025-05-30T00:00:00"/>
    <x v="508"/>
    <x v="508"/>
    <s v="P0086"/>
    <x v="20"/>
    <s v="S002"/>
    <x v="2"/>
    <n v="3"/>
    <n v="0"/>
    <s v="Credit Card"/>
    <n v="2008.33"/>
    <n v="6024.99"/>
    <n v="0"/>
    <n v="6024.99"/>
    <n v="1688.91"/>
    <n v="5066.7300000000005"/>
    <n v="958.25999999999931"/>
    <x v="2"/>
  </r>
  <r>
    <s v="O000401"/>
    <d v="2025-05-31T00:00:00"/>
    <x v="762"/>
    <x v="761"/>
    <s v="P0144"/>
    <x v="28"/>
    <s v="S010"/>
    <x v="1"/>
    <n v="4"/>
    <n v="0"/>
    <s v="UPI"/>
    <n v="1037.07"/>
    <n v="4148.28"/>
    <n v="0"/>
    <n v="4148.28"/>
    <n v="720.16"/>
    <n v="2880.64"/>
    <n v="1267.6399999999999"/>
    <x v="0"/>
  </r>
  <r>
    <s v="O000693"/>
    <d v="2025-05-31T00:00:00"/>
    <x v="763"/>
    <x v="762"/>
    <s v="P0040"/>
    <x v="11"/>
    <s v="S003"/>
    <x v="3"/>
    <n v="1"/>
    <n v="0"/>
    <s v="Net Banking"/>
    <n v="10664.54"/>
    <n v="10664.54"/>
    <n v="0"/>
    <n v="10664.54"/>
    <n v="8430.75"/>
    <n v="8430.75"/>
    <n v="2233.7900000000009"/>
    <x v="3"/>
  </r>
  <r>
    <s v="O000345"/>
    <d v="2025-06-01T00:00:00"/>
    <x v="250"/>
    <x v="250"/>
    <s v="P0049"/>
    <x v="79"/>
    <s v="S011"/>
    <x v="0"/>
    <n v="2"/>
    <n v="0.1"/>
    <s v="UPI"/>
    <n v="643.36"/>
    <n v="1286.72"/>
    <n v="128.672"/>
    <n v="1158.048"/>
    <n v="460.5"/>
    <n v="921"/>
    <n v="237.048"/>
    <x v="3"/>
  </r>
  <r>
    <s v="O000475"/>
    <d v="2025-06-02T00:00:00"/>
    <x v="764"/>
    <x v="763"/>
    <s v="P0086"/>
    <x v="20"/>
    <s v="S008"/>
    <x v="1"/>
    <n v="1"/>
    <n v="0.05"/>
    <s v="UPI"/>
    <n v="2008.33"/>
    <n v="2008.33"/>
    <n v="100.4165"/>
    <n v="1907.9134999999999"/>
    <n v="1688.91"/>
    <n v="1688.91"/>
    <n v="219.0034999999998"/>
    <x v="2"/>
  </r>
  <r>
    <s v="O000514"/>
    <d v="2025-06-02T00:00:00"/>
    <x v="765"/>
    <x v="764"/>
    <s v="P0110"/>
    <x v="18"/>
    <s v="S015"/>
    <x v="3"/>
    <n v="3"/>
    <n v="0"/>
    <s v="Cash"/>
    <n v="1053.9000000000001"/>
    <n v="3161.7000000000003"/>
    <n v="0"/>
    <n v="3161.7000000000003"/>
    <n v="710.59"/>
    <n v="2131.77"/>
    <n v="1029.9300000000003"/>
    <x v="4"/>
  </r>
  <r>
    <s v="O000456"/>
    <d v="2025-06-03T00:00:00"/>
    <x v="766"/>
    <x v="765"/>
    <s v="P0113"/>
    <x v="148"/>
    <s v="S014"/>
    <x v="1"/>
    <n v="1"/>
    <n v="0"/>
    <s v="UPI"/>
    <n v="100.32"/>
    <n v="100.32"/>
    <n v="0"/>
    <n v="100.32"/>
    <n v="66.61"/>
    <n v="66.61"/>
    <n v="33.709999999999994"/>
    <x v="4"/>
  </r>
  <r>
    <s v="O000755"/>
    <d v="2025-06-04T00:00:00"/>
    <x v="524"/>
    <x v="524"/>
    <s v="P0093"/>
    <x v="122"/>
    <s v="S006"/>
    <x v="3"/>
    <n v="1"/>
    <n v="0.05"/>
    <s v="Debit Card"/>
    <n v="4565.2299999999996"/>
    <n v="4565.2299999999996"/>
    <n v="228.26149999999998"/>
    <n v="4336.9684999999999"/>
    <n v="3658.34"/>
    <n v="3658.34"/>
    <n v="678.6284999999998"/>
    <x v="2"/>
  </r>
  <r>
    <s v="O000976"/>
    <d v="2025-06-04T00:00:00"/>
    <x v="767"/>
    <x v="766"/>
    <s v="P0021"/>
    <x v="45"/>
    <s v="S023"/>
    <x v="1"/>
    <n v="3"/>
    <n v="0.05"/>
    <s v="UPI"/>
    <n v="48777.16"/>
    <n v="146331.48000000001"/>
    <n v="7316.5740000000005"/>
    <n v="139014.90600000002"/>
    <n v="29771.48"/>
    <n v="89314.44"/>
    <n v="49700.466000000015"/>
    <x v="1"/>
  </r>
  <r>
    <s v="O000785"/>
    <d v="2025-06-06T00:00:00"/>
    <x v="768"/>
    <x v="767"/>
    <s v="P0070"/>
    <x v="4"/>
    <s v="S019"/>
    <x v="0"/>
    <n v="2"/>
    <n v="0"/>
    <s v="Credit Card"/>
    <n v="4654.63"/>
    <n v="9309.26"/>
    <n v="0"/>
    <n v="9309.26"/>
    <n v="2675.18"/>
    <n v="5350.36"/>
    <n v="3958.9000000000005"/>
    <x v="2"/>
  </r>
  <r>
    <s v="O000372"/>
    <d v="2025-06-07T00:00:00"/>
    <x v="769"/>
    <x v="768"/>
    <s v="P0025"/>
    <x v="57"/>
    <s v="S009"/>
    <x v="0"/>
    <n v="1"/>
    <n v="0"/>
    <s v="Net Banking"/>
    <n v="45527.55"/>
    <n v="45527.55"/>
    <n v="0"/>
    <n v="45527.55"/>
    <n v="35089.57"/>
    <n v="35089.57"/>
    <n v="10437.980000000003"/>
    <x v="1"/>
  </r>
  <r>
    <s v="O000467"/>
    <d v="2025-06-07T00:00:00"/>
    <x v="770"/>
    <x v="769"/>
    <s v="P0045"/>
    <x v="114"/>
    <s v="S011"/>
    <x v="0"/>
    <n v="2"/>
    <n v="0.1"/>
    <s v="UPI"/>
    <n v="14353.88"/>
    <n v="28707.759999999998"/>
    <n v="2870.7759999999998"/>
    <n v="25836.983999999997"/>
    <n v="8791.7900000000009"/>
    <n v="17583.580000000002"/>
    <n v="8253.403999999995"/>
    <x v="3"/>
  </r>
  <r>
    <s v="O000747"/>
    <d v="2025-06-09T00:00:00"/>
    <x v="771"/>
    <x v="770"/>
    <s v="P0045"/>
    <x v="114"/>
    <s v="S013"/>
    <x v="0"/>
    <n v="1"/>
    <n v="0.1"/>
    <s v="UPI"/>
    <n v="14353.88"/>
    <n v="14353.88"/>
    <n v="1435.3879999999999"/>
    <n v="12918.491999999998"/>
    <n v="8791.7900000000009"/>
    <n v="8791.7900000000009"/>
    <n v="4126.7019999999975"/>
    <x v="3"/>
  </r>
  <r>
    <s v="O000854"/>
    <d v="2025-06-10T00:00:00"/>
    <x v="772"/>
    <x v="771"/>
    <s v="P0115"/>
    <x v="118"/>
    <s v="S024"/>
    <x v="0"/>
    <n v="2"/>
    <n v="0.1"/>
    <s v="Debit Card"/>
    <n v="343.15"/>
    <n v="686.3"/>
    <n v="68.63"/>
    <n v="617.66999999999996"/>
    <n v="192.59"/>
    <n v="385.18"/>
    <n v="232.48999999999995"/>
    <x v="4"/>
  </r>
  <r>
    <s v="O000453"/>
    <d v="2025-06-11T00:00:00"/>
    <x v="773"/>
    <x v="772"/>
    <s v="P0006"/>
    <x v="75"/>
    <s v="S013"/>
    <x v="0"/>
    <n v="2"/>
    <n v="0"/>
    <s v="UPI"/>
    <n v="39996.370000000003"/>
    <n v="79992.740000000005"/>
    <n v="0"/>
    <n v="79992.740000000005"/>
    <n v="26192.21"/>
    <n v="52384.42"/>
    <n v="27608.320000000007"/>
    <x v="1"/>
  </r>
  <r>
    <s v="O000893"/>
    <d v="2025-06-12T00:00:00"/>
    <x v="774"/>
    <x v="773"/>
    <s v="P0055"/>
    <x v="117"/>
    <s v="S024"/>
    <x v="0"/>
    <n v="2"/>
    <n v="0.05"/>
    <s v="Credit Card"/>
    <n v="26326.12"/>
    <n v="52652.24"/>
    <n v="2632.6120000000001"/>
    <n v="50019.627999999997"/>
    <n v="17114.43"/>
    <n v="34228.86"/>
    <n v="15790.767999999996"/>
    <x v="3"/>
  </r>
  <r>
    <s v="O000272"/>
    <d v="2025-06-13T00:00:00"/>
    <x v="775"/>
    <x v="774"/>
    <s v="P0088"/>
    <x v="140"/>
    <s v="S001"/>
    <x v="2"/>
    <n v="2"/>
    <n v="0"/>
    <s v="Debit Card"/>
    <n v="7414.77"/>
    <n v="14829.54"/>
    <n v="0"/>
    <n v="14829.54"/>
    <n v="4859.1400000000003"/>
    <n v="9718.2800000000007"/>
    <n v="5111.26"/>
    <x v="2"/>
  </r>
  <r>
    <s v="O000999"/>
    <d v="2025-06-14T00:00:00"/>
    <x v="776"/>
    <x v="775"/>
    <s v="P0083"/>
    <x v="26"/>
    <s v="S018"/>
    <x v="0"/>
    <n v="1"/>
    <n v="0.1"/>
    <s v="Net Banking"/>
    <n v="1436.28"/>
    <n v="1436.28"/>
    <n v="143.62800000000001"/>
    <n v="1292.652"/>
    <n v="1097.5"/>
    <n v="1097.5"/>
    <n v="195.15200000000004"/>
    <x v="2"/>
  </r>
  <r>
    <s v="O000004"/>
    <d v="2025-06-15T00:00:00"/>
    <x v="777"/>
    <x v="776"/>
    <s v="P0114"/>
    <x v="31"/>
    <s v="S012"/>
    <x v="1"/>
    <n v="1"/>
    <n v="0"/>
    <s v="UPI"/>
    <n v="252.55"/>
    <n v="252.55"/>
    <n v="0"/>
    <n v="252.55"/>
    <n v="170.34"/>
    <n v="170.34"/>
    <n v="82.210000000000008"/>
    <x v="4"/>
  </r>
  <r>
    <s v="O000180"/>
    <d v="2025-06-15T00:00:00"/>
    <x v="778"/>
    <x v="777"/>
    <s v="P0016"/>
    <x v="38"/>
    <s v="S018"/>
    <x v="0"/>
    <n v="1"/>
    <n v="0"/>
    <s v="UPI"/>
    <n v="63665.16"/>
    <n v="63665.16"/>
    <n v="0"/>
    <n v="63665.16"/>
    <n v="52565.61"/>
    <n v="52565.61"/>
    <n v="11099.550000000003"/>
    <x v="1"/>
  </r>
  <r>
    <s v="O000940"/>
    <d v="2025-06-15T00:00:00"/>
    <x v="159"/>
    <x v="159"/>
    <s v="P0026"/>
    <x v="147"/>
    <s v="S010"/>
    <x v="1"/>
    <n v="2"/>
    <n v="0"/>
    <s v="Cash"/>
    <n v="43098.98"/>
    <n v="86197.96"/>
    <n v="0"/>
    <n v="86197.96"/>
    <n v="29477.79"/>
    <n v="58955.58"/>
    <n v="27242.380000000005"/>
    <x v="1"/>
  </r>
  <r>
    <s v="O000045"/>
    <d v="2025-06-16T00:00:00"/>
    <x v="779"/>
    <x v="778"/>
    <s v="P0040"/>
    <x v="11"/>
    <s v="S010"/>
    <x v="1"/>
    <n v="1"/>
    <n v="0.05"/>
    <s v="Net Banking"/>
    <n v="10664.54"/>
    <n v="10664.54"/>
    <n v="533.22700000000009"/>
    <n v="10131.313"/>
    <n v="8430.75"/>
    <n v="8430.75"/>
    <n v="1700.5630000000001"/>
    <x v="3"/>
  </r>
  <r>
    <s v="O000449"/>
    <d v="2025-06-16T00:00:00"/>
    <x v="780"/>
    <x v="779"/>
    <s v="P0037"/>
    <x v="65"/>
    <s v="S024"/>
    <x v="0"/>
    <n v="1"/>
    <n v="0"/>
    <s v="Net Banking"/>
    <n v="78938.720000000001"/>
    <n v="78938.720000000001"/>
    <n v="0"/>
    <n v="78938.720000000001"/>
    <n v="53801.63"/>
    <n v="53801.63"/>
    <n v="25137.090000000004"/>
    <x v="1"/>
  </r>
  <r>
    <s v="O000587"/>
    <d v="2025-06-17T00:00:00"/>
    <x v="781"/>
    <x v="780"/>
    <s v="P0128"/>
    <x v="14"/>
    <s v="S004"/>
    <x v="3"/>
    <n v="1"/>
    <n v="0"/>
    <s v="UPI"/>
    <n v="1655.17"/>
    <n v="1655.17"/>
    <n v="0"/>
    <n v="1655.17"/>
    <n v="1375.84"/>
    <n v="1375.84"/>
    <n v="279.33000000000015"/>
    <x v="0"/>
  </r>
  <r>
    <s v="O000766"/>
    <d v="2025-06-19T00:00:00"/>
    <x v="782"/>
    <x v="781"/>
    <s v="P0020"/>
    <x v="1"/>
    <s v="S022"/>
    <x v="2"/>
    <n v="4"/>
    <n v="0.05"/>
    <s v="UPI"/>
    <n v="21602.44"/>
    <n v="86409.76"/>
    <n v="4320.4880000000003"/>
    <n v="82089.271999999997"/>
    <n v="13134.58"/>
    <n v="52538.32"/>
    <n v="29550.951999999997"/>
    <x v="1"/>
  </r>
  <r>
    <s v="O000114"/>
    <d v="2025-06-20T00:00:00"/>
    <x v="783"/>
    <x v="782"/>
    <s v="P0035"/>
    <x v="53"/>
    <s v="S011"/>
    <x v="0"/>
    <n v="3"/>
    <n v="0"/>
    <s v="UPI"/>
    <n v="29153.55"/>
    <n v="87460.65"/>
    <n v="0"/>
    <n v="87460.65"/>
    <n v="21894.27"/>
    <n v="65682.81"/>
    <n v="21777.839999999997"/>
    <x v="1"/>
  </r>
  <r>
    <s v="O000204"/>
    <d v="2025-06-20T00:00:00"/>
    <x v="784"/>
    <x v="783"/>
    <s v="P0028"/>
    <x v="27"/>
    <s v="S011"/>
    <x v="0"/>
    <n v="2"/>
    <n v="0"/>
    <s v="Debit Card"/>
    <n v="52004.72"/>
    <n v="104009.44"/>
    <n v="0"/>
    <n v="104009.44"/>
    <n v="43224.87"/>
    <n v="86449.74"/>
    <n v="17559.699999999997"/>
    <x v="1"/>
  </r>
  <r>
    <s v="O000377"/>
    <d v="2025-06-21T00:00:00"/>
    <x v="785"/>
    <x v="784"/>
    <s v="P0101"/>
    <x v="54"/>
    <s v="S018"/>
    <x v="0"/>
    <n v="1"/>
    <n v="0"/>
    <s v="Credit Card"/>
    <n v="775.19"/>
    <n v="775.19"/>
    <n v="0"/>
    <n v="775.19"/>
    <n v="597.84"/>
    <n v="597.84"/>
    <n v="177.35000000000002"/>
    <x v="4"/>
  </r>
  <r>
    <s v="O000464"/>
    <d v="2025-06-21T00:00:00"/>
    <x v="786"/>
    <x v="785"/>
    <s v="P0090"/>
    <x v="93"/>
    <s v="S022"/>
    <x v="2"/>
    <n v="1"/>
    <n v="0.15"/>
    <s v="UPI"/>
    <n v="6708.36"/>
    <n v="6708.36"/>
    <n v="1006.2539999999999"/>
    <n v="5702.1059999999998"/>
    <n v="5031.45"/>
    <n v="5031.45"/>
    <n v="670.65599999999995"/>
    <x v="2"/>
  </r>
  <r>
    <s v="O000294"/>
    <d v="2025-06-22T00:00:00"/>
    <x v="787"/>
    <x v="786"/>
    <s v="P0060"/>
    <x v="7"/>
    <s v="S021"/>
    <x v="0"/>
    <n v="1"/>
    <n v="0.05"/>
    <s v="UPI"/>
    <n v="4187.79"/>
    <n v="4187.79"/>
    <n v="209.3895"/>
    <n v="3978.4004999999997"/>
    <n v="2951.03"/>
    <n v="2951.03"/>
    <n v="1027.3704999999995"/>
    <x v="3"/>
  </r>
  <r>
    <s v="O000566"/>
    <d v="2025-06-22T00:00:00"/>
    <x v="788"/>
    <x v="787"/>
    <s v="P0101"/>
    <x v="54"/>
    <s v="S023"/>
    <x v="1"/>
    <n v="1"/>
    <n v="0"/>
    <s v="Credit Card"/>
    <n v="775.19"/>
    <n v="775.19"/>
    <n v="0"/>
    <n v="775.19"/>
    <n v="597.84"/>
    <n v="597.84"/>
    <n v="177.35000000000002"/>
    <x v="4"/>
  </r>
  <r>
    <s v="O000364"/>
    <d v="2025-06-24T00:00:00"/>
    <x v="789"/>
    <x v="788"/>
    <s v="P0086"/>
    <x v="20"/>
    <s v="S007"/>
    <x v="0"/>
    <n v="1"/>
    <n v="0.2"/>
    <s v="UPI"/>
    <n v="2008.33"/>
    <n v="2008.33"/>
    <n v="401.666"/>
    <n v="1606.664"/>
    <n v="1688.91"/>
    <n v="1688.91"/>
    <n v="-82.246000000000095"/>
    <x v="2"/>
  </r>
  <r>
    <s v="O000098"/>
    <d v="2025-06-25T00:00:00"/>
    <x v="790"/>
    <x v="789"/>
    <s v="P0036"/>
    <x v="39"/>
    <s v="S018"/>
    <x v="0"/>
    <n v="1"/>
    <n v="0"/>
    <s v="UPI"/>
    <n v="74177.87"/>
    <n v="74177.87"/>
    <n v="0"/>
    <n v="74177.87"/>
    <n v="46554.33"/>
    <n v="46554.33"/>
    <n v="27623.539999999994"/>
    <x v="1"/>
  </r>
  <r>
    <s v="O000478"/>
    <d v="2025-06-25T00:00:00"/>
    <x v="791"/>
    <x v="790"/>
    <s v="P0143"/>
    <x v="3"/>
    <s v="S018"/>
    <x v="0"/>
    <n v="1"/>
    <n v="0.1"/>
    <s v="Credit Card"/>
    <n v="4198.8999999999996"/>
    <n v="4198.8999999999996"/>
    <n v="419.89"/>
    <n v="3779.0099999999998"/>
    <n v="2920.65"/>
    <n v="2920.65"/>
    <n v="858.35999999999967"/>
    <x v="0"/>
  </r>
  <r>
    <s v="O000943"/>
    <d v="2025-06-26T00:00:00"/>
    <x v="792"/>
    <x v="791"/>
    <s v="P0058"/>
    <x v="52"/>
    <s v="S003"/>
    <x v="3"/>
    <n v="3"/>
    <n v="0.05"/>
    <s v="UPI"/>
    <n v="27105.29"/>
    <n v="81315.87"/>
    <n v="4065.7934999999998"/>
    <n v="77250.076499999996"/>
    <n v="17092.599999999999"/>
    <n v="51277.799999999996"/>
    <n v="25972.2765"/>
    <x v="3"/>
  </r>
  <r>
    <s v="O000462"/>
    <d v="2025-06-27T00:00:00"/>
    <x v="793"/>
    <x v="792"/>
    <s v="P0143"/>
    <x v="3"/>
    <s v="S025"/>
    <x v="2"/>
    <n v="4"/>
    <n v="0.1"/>
    <s v="UPI"/>
    <n v="4198.8999999999996"/>
    <n v="16795.599999999999"/>
    <n v="1679.56"/>
    <n v="15116.039999999999"/>
    <n v="2920.65"/>
    <n v="11682.6"/>
    <n v="3433.4399999999987"/>
    <x v="0"/>
  </r>
  <r>
    <s v="O000314"/>
    <d v="2025-06-28T00:00:00"/>
    <x v="794"/>
    <x v="793"/>
    <s v="P0113"/>
    <x v="148"/>
    <s v="S009"/>
    <x v="0"/>
    <n v="1"/>
    <n v="0.1"/>
    <s v="Debit Card"/>
    <n v="100.32"/>
    <n v="100.32"/>
    <n v="10.032"/>
    <n v="90.287999999999997"/>
    <n v="66.61"/>
    <n v="66.61"/>
    <n v="23.677999999999997"/>
    <x v="4"/>
  </r>
  <r>
    <s v="O000430"/>
    <d v="2025-06-29T00:00:00"/>
    <x v="795"/>
    <x v="794"/>
    <s v="P0106"/>
    <x v="44"/>
    <s v="S002"/>
    <x v="2"/>
    <n v="1"/>
    <n v="0"/>
    <s v="UPI"/>
    <n v="817.37"/>
    <n v="817.37"/>
    <n v="0"/>
    <n v="817.37"/>
    <n v="595.03"/>
    <n v="595.03"/>
    <n v="222.34000000000003"/>
    <x v="4"/>
  </r>
  <r>
    <s v="O000570"/>
    <d v="2025-07-01T00:00:00"/>
    <x v="796"/>
    <x v="795"/>
    <s v="P0119"/>
    <x v="29"/>
    <s v="S024"/>
    <x v="0"/>
    <n v="4"/>
    <n v="0"/>
    <s v="Cash"/>
    <n v="400.63"/>
    <n v="1602.52"/>
    <n v="0"/>
    <n v="1602.52"/>
    <n v="222.73"/>
    <n v="890.92"/>
    <n v="711.6"/>
    <x v="4"/>
  </r>
  <r>
    <s v="O000346"/>
    <d v="2025-07-03T00:00:00"/>
    <x v="797"/>
    <x v="796"/>
    <s v="P0140"/>
    <x v="32"/>
    <s v="S013"/>
    <x v="0"/>
    <n v="1"/>
    <n v="0"/>
    <s v="Credit Card"/>
    <n v="3205.72"/>
    <n v="3205.72"/>
    <n v="0"/>
    <n v="3205.72"/>
    <n v="2167.94"/>
    <n v="2167.94"/>
    <n v="1037.7799999999997"/>
    <x v="0"/>
  </r>
  <r>
    <s v="O000470"/>
    <d v="2025-07-03T00:00:00"/>
    <x v="798"/>
    <x v="797"/>
    <s v="P0093"/>
    <x v="122"/>
    <s v="S003"/>
    <x v="3"/>
    <n v="3"/>
    <n v="0.05"/>
    <s v="Credit Card"/>
    <n v="4565.2299999999996"/>
    <n v="13695.689999999999"/>
    <n v="684.78449999999998"/>
    <n v="13010.905499999999"/>
    <n v="3658.34"/>
    <n v="10975.02"/>
    <n v="2035.8854999999985"/>
    <x v="2"/>
  </r>
  <r>
    <s v="O000703"/>
    <d v="2025-07-03T00:00:00"/>
    <x v="799"/>
    <x v="798"/>
    <s v="P0118"/>
    <x v="116"/>
    <s v="S025"/>
    <x v="2"/>
    <n v="1"/>
    <n v="0"/>
    <s v="Net Banking"/>
    <n v="1499.75"/>
    <n v="1499.75"/>
    <n v="0"/>
    <n v="1499.75"/>
    <n v="1194.1400000000001"/>
    <n v="1194.1400000000001"/>
    <n v="305.6099999999999"/>
    <x v="4"/>
  </r>
  <r>
    <s v="O000172"/>
    <d v="2025-07-04T00:00:00"/>
    <x v="800"/>
    <x v="799"/>
    <s v="P0107"/>
    <x v="63"/>
    <s v="S022"/>
    <x v="2"/>
    <n v="4"/>
    <n v="0"/>
    <s v="Credit Card"/>
    <n v="1494.3"/>
    <n v="5977.2"/>
    <n v="0"/>
    <n v="5977.2"/>
    <n v="1031.67"/>
    <n v="4126.68"/>
    <n v="1850.5199999999995"/>
    <x v="4"/>
  </r>
  <r>
    <s v="O000519"/>
    <d v="2025-07-04T00:00:00"/>
    <x v="801"/>
    <x v="800"/>
    <s v="P0122"/>
    <x v="139"/>
    <s v="S020"/>
    <x v="3"/>
    <n v="2"/>
    <n v="0"/>
    <s v="UPI"/>
    <n v="777.56"/>
    <n v="1555.12"/>
    <n v="0"/>
    <n v="1555.12"/>
    <n v="503.09"/>
    <n v="1006.18"/>
    <n v="548.93999999999994"/>
    <x v="4"/>
  </r>
  <r>
    <s v="O000701"/>
    <d v="2025-07-04T00:00:00"/>
    <x v="802"/>
    <x v="801"/>
    <s v="P0110"/>
    <x v="18"/>
    <s v="S015"/>
    <x v="3"/>
    <n v="1"/>
    <n v="0.1"/>
    <s v="UPI"/>
    <n v="1053.9000000000001"/>
    <n v="1053.9000000000001"/>
    <n v="105.39000000000001"/>
    <n v="948.5100000000001"/>
    <n v="710.59"/>
    <n v="710.59"/>
    <n v="237.92000000000007"/>
    <x v="4"/>
  </r>
  <r>
    <s v="O000855"/>
    <d v="2025-07-04T00:00:00"/>
    <x v="803"/>
    <x v="802"/>
    <s v="P0076"/>
    <x v="25"/>
    <s v="S006"/>
    <x v="3"/>
    <n v="1"/>
    <n v="0.1"/>
    <s v="UPI"/>
    <n v="3661.03"/>
    <n v="3661.03"/>
    <n v="366.10300000000007"/>
    <n v="3294.9270000000001"/>
    <n v="2588.56"/>
    <n v="2588.56"/>
    <n v="706.36700000000019"/>
    <x v="2"/>
  </r>
  <r>
    <s v="O000033"/>
    <d v="2025-07-05T00:00:00"/>
    <x v="804"/>
    <x v="803"/>
    <s v="P0081"/>
    <x v="149"/>
    <s v="S005"/>
    <x v="1"/>
    <n v="1"/>
    <n v="0.15"/>
    <s v="Debit Card"/>
    <n v="1715.72"/>
    <n v="1715.72"/>
    <n v="257.358"/>
    <n v="1458.3620000000001"/>
    <n v="1050.32"/>
    <n v="1050.32"/>
    <n v="408.04200000000014"/>
    <x v="2"/>
  </r>
  <r>
    <s v="O000303"/>
    <d v="2025-07-05T00:00:00"/>
    <x v="805"/>
    <x v="804"/>
    <s v="P0108"/>
    <x v="24"/>
    <s v="S015"/>
    <x v="3"/>
    <n v="1"/>
    <n v="0.05"/>
    <s v="UPI"/>
    <n v="1123.58"/>
    <n v="1123.58"/>
    <n v="56.179000000000002"/>
    <n v="1067.4009999999998"/>
    <n v="665.75"/>
    <n v="665.75"/>
    <n v="401.65099999999984"/>
    <x v="4"/>
  </r>
  <r>
    <s v="O000551"/>
    <d v="2025-07-05T00:00:00"/>
    <x v="806"/>
    <x v="805"/>
    <s v="P0124"/>
    <x v="68"/>
    <s v="S016"/>
    <x v="0"/>
    <n v="1"/>
    <n v="0"/>
    <s v="Cash"/>
    <n v="1841.85"/>
    <n v="1841.85"/>
    <n v="0"/>
    <n v="1841.85"/>
    <n v="1327.7"/>
    <n v="1327.7"/>
    <n v="514.14999999999986"/>
    <x v="0"/>
  </r>
  <r>
    <s v="O000106"/>
    <d v="2025-07-06T00:00:00"/>
    <x v="807"/>
    <x v="806"/>
    <s v="P0007"/>
    <x v="115"/>
    <s v="S010"/>
    <x v="1"/>
    <n v="2"/>
    <n v="0.1"/>
    <s v="Debit Card"/>
    <n v="26638.81"/>
    <n v="53277.62"/>
    <n v="5327.7620000000006"/>
    <n v="47949.858"/>
    <n v="20107.810000000001"/>
    <n v="40215.620000000003"/>
    <n v="7734.2379999999976"/>
    <x v="1"/>
  </r>
  <r>
    <s v="O000488"/>
    <d v="2025-07-06T00:00:00"/>
    <x v="808"/>
    <x v="807"/>
    <s v="P0109"/>
    <x v="104"/>
    <s v="S025"/>
    <x v="2"/>
    <n v="1"/>
    <n v="0.1"/>
    <s v="UPI"/>
    <n v="675.13"/>
    <n v="675.13"/>
    <n v="67.513000000000005"/>
    <n v="607.61699999999996"/>
    <n v="510.45"/>
    <n v="510.45"/>
    <n v="97.166999999999973"/>
    <x v="4"/>
  </r>
  <r>
    <s v="O000302"/>
    <d v="2025-07-07T00:00:00"/>
    <x v="809"/>
    <x v="808"/>
    <s v="P0010"/>
    <x v="16"/>
    <s v="S024"/>
    <x v="0"/>
    <n v="2"/>
    <n v="0"/>
    <s v="UPI"/>
    <n v="4404.4399999999996"/>
    <n v="8808.8799999999992"/>
    <n v="0"/>
    <n v="8808.8799999999992"/>
    <n v="3239.84"/>
    <n v="6479.68"/>
    <n v="2329.1999999999989"/>
    <x v="1"/>
  </r>
  <r>
    <s v="O000891"/>
    <d v="2025-07-07T00:00:00"/>
    <x v="810"/>
    <x v="809"/>
    <s v="P0149"/>
    <x v="86"/>
    <s v="S016"/>
    <x v="0"/>
    <n v="3"/>
    <n v="0"/>
    <s v="Credit Card"/>
    <n v="4294.7"/>
    <n v="12884.099999999999"/>
    <n v="0"/>
    <n v="12884.099999999999"/>
    <n v="3317.06"/>
    <n v="9951.18"/>
    <n v="2932.9199999999983"/>
    <x v="0"/>
  </r>
  <r>
    <s v="O000285"/>
    <d v="2025-07-11T00:00:00"/>
    <x v="811"/>
    <x v="810"/>
    <s v="P0063"/>
    <x v="33"/>
    <s v="S003"/>
    <x v="3"/>
    <n v="1"/>
    <n v="0.1"/>
    <s v="UPI"/>
    <n v="22222.83"/>
    <n v="22222.83"/>
    <n v="2222.2830000000004"/>
    <n v="20000.547000000002"/>
    <n v="17564.490000000002"/>
    <n v="17564.490000000002"/>
    <n v="2436.0570000000007"/>
    <x v="3"/>
  </r>
  <r>
    <s v="O000312"/>
    <d v="2025-07-15T00:00:00"/>
    <x v="812"/>
    <x v="811"/>
    <s v="P0019"/>
    <x v="132"/>
    <s v="S019"/>
    <x v="0"/>
    <n v="1"/>
    <n v="0.1"/>
    <s v="Credit Card"/>
    <n v="12552.69"/>
    <n v="12552.69"/>
    <n v="1255.2690000000002"/>
    <n v="11297.421"/>
    <n v="8737.9"/>
    <n v="8737.9"/>
    <n v="2559.5210000000006"/>
    <x v="1"/>
  </r>
  <r>
    <s v="O000677"/>
    <d v="2025-07-15T00:00:00"/>
    <x v="813"/>
    <x v="812"/>
    <s v="P0045"/>
    <x v="114"/>
    <s v="S025"/>
    <x v="2"/>
    <n v="3"/>
    <n v="0.1"/>
    <s v="UPI"/>
    <n v="14353.88"/>
    <n v="43061.64"/>
    <n v="4306.1639999999998"/>
    <n v="38755.476000000002"/>
    <n v="8791.7900000000009"/>
    <n v="26375.370000000003"/>
    <n v="12380.106"/>
    <x v="3"/>
  </r>
  <r>
    <s v="O000154"/>
    <d v="2025-07-16T00:00:00"/>
    <x v="814"/>
    <x v="813"/>
    <s v="P0067"/>
    <x v="12"/>
    <s v="S006"/>
    <x v="3"/>
    <n v="1"/>
    <n v="0"/>
    <s v="Debit Card"/>
    <n v="6357.9"/>
    <n v="6357.9"/>
    <n v="0"/>
    <n v="6357.9"/>
    <n v="4895.43"/>
    <n v="4895.43"/>
    <n v="1462.4699999999993"/>
    <x v="2"/>
  </r>
  <r>
    <s v="O000207"/>
    <d v="2025-07-17T00:00:00"/>
    <x v="815"/>
    <x v="814"/>
    <s v="P0149"/>
    <x v="86"/>
    <s v="S015"/>
    <x v="3"/>
    <n v="1"/>
    <n v="0"/>
    <s v="Credit Card"/>
    <n v="4294.7"/>
    <n v="4294.7"/>
    <n v="0"/>
    <n v="4294.7"/>
    <n v="3317.06"/>
    <n v="3317.06"/>
    <n v="977.63999999999987"/>
    <x v="0"/>
  </r>
  <r>
    <s v="O000734"/>
    <d v="2025-07-17T00:00:00"/>
    <x v="816"/>
    <x v="815"/>
    <s v="P0045"/>
    <x v="114"/>
    <s v="S025"/>
    <x v="2"/>
    <n v="1"/>
    <n v="0"/>
    <s v="UPI"/>
    <n v="14353.88"/>
    <n v="14353.88"/>
    <n v="0"/>
    <n v="14353.88"/>
    <n v="8791.7900000000009"/>
    <n v="8791.7900000000009"/>
    <n v="5562.0899999999983"/>
    <x v="3"/>
  </r>
  <r>
    <s v="O000122"/>
    <d v="2025-07-18T00:00:00"/>
    <x v="817"/>
    <x v="816"/>
    <s v="P0043"/>
    <x v="124"/>
    <s v="S005"/>
    <x v="1"/>
    <n v="-1"/>
    <n v="0"/>
    <s v="Net Banking"/>
    <n v="22827.119999999999"/>
    <n v="-22827.119999999999"/>
    <n v="0"/>
    <n v="-22827.119999999999"/>
    <n v="18264.07"/>
    <n v="-18264.07"/>
    <n v="-4563.0499999999993"/>
    <x v="3"/>
  </r>
  <r>
    <s v="O000737"/>
    <d v="2025-07-19T00:00:00"/>
    <x v="818"/>
    <x v="817"/>
    <s v="P0014"/>
    <x v="106"/>
    <s v="S002"/>
    <x v="2"/>
    <n v="1"/>
    <n v="0.1"/>
    <s v="UPI"/>
    <n v="9246.34"/>
    <n v="9246.34"/>
    <n v="924.63400000000001"/>
    <n v="8321.7060000000001"/>
    <n v="7613.27"/>
    <n v="7613.27"/>
    <n v="708.43599999999969"/>
    <x v="1"/>
  </r>
  <r>
    <s v="O000120"/>
    <d v="2025-07-20T00:00:00"/>
    <x v="819"/>
    <x v="818"/>
    <s v="P0150"/>
    <x v="66"/>
    <s v="S018"/>
    <x v="0"/>
    <n v="1"/>
    <n v="0.05"/>
    <s v="Debit Card"/>
    <n v="4199.75"/>
    <n v="4199.75"/>
    <n v="209.98750000000001"/>
    <n v="3989.7624999999998"/>
    <n v="2546.5700000000002"/>
    <n v="2546.5700000000002"/>
    <n v="1443.1924999999997"/>
    <x v="0"/>
  </r>
  <r>
    <s v="O000196"/>
    <d v="2025-07-23T00:00:00"/>
    <x v="820"/>
    <x v="819"/>
    <s v="P0080"/>
    <x v="105"/>
    <s v="S012"/>
    <x v="1"/>
    <n v="1"/>
    <n v="0.1"/>
    <s v="Credit Card"/>
    <n v="1227.0899999999999"/>
    <n v="1227.0899999999999"/>
    <n v="122.709"/>
    <n v="1104.3809999999999"/>
    <n v="945.11"/>
    <n v="945.11"/>
    <n v="159.27099999999984"/>
    <x v="2"/>
  </r>
  <r>
    <s v="O000888"/>
    <d v="2025-07-26T00:00:00"/>
    <x v="821"/>
    <x v="820"/>
    <s v="P0109"/>
    <x v="104"/>
    <s v="S023"/>
    <x v="1"/>
    <n v="4"/>
    <n v="0"/>
    <s v="Debit Card"/>
    <n v="675.13"/>
    <n v="2700.52"/>
    <n v="0"/>
    <n v="2700.52"/>
    <n v="510.45"/>
    <n v="2041.8"/>
    <n v="658.72"/>
    <x v="4"/>
  </r>
  <r>
    <s v="O000128"/>
    <d v="2025-07-29T00:00:00"/>
    <x v="822"/>
    <x v="821"/>
    <s v="P0073"/>
    <x v="72"/>
    <s v="S009"/>
    <x v="0"/>
    <n v="1"/>
    <n v="0.1"/>
    <s v="Debit Card"/>
    <n v="7179.47"/>
    <n v="7179.47"/>
    <n v="717.94700000000012"/>
    <n v="6461.5230000000001"/>
    <n v="5473.35"/>
    <n v="5473.35"/>
    <n v="988.17299999999977"/>
    <x v="2"/>
  </r>
  <r>
    <s v="O000276"/>
    <d v="2025-07-30T00:00:00"/>
    <x v="823"/>
    <x v="822"/>
    <s v="P0107"/>
    <x v="63"/>
    <s v="S013"/>
    <x v="0"/>
    <n v="1"/>
    <n v="0"/>
    <s v="Debit Card"/>
    <n v="1494.3"/>
    <n v="1494.3"/>
    <n v="0"/>
    <n v="1494.3"/>
    <n v="1031.67"/>
    <n v="1031.67"/>
    <n v="462.62999999999988"/>
    <x v="4"/>
  </r>
  <r>
    <s v="O000808"/>
    <d v="2025-08-01T00:00:00"/>
    <x v="824"/>
    <x v="823"/>
    <s v="P0030"/>
    <x v="95"/>
    <s v="S009"/>
    <x v="0"/>
    <n v="1"/>
    <n v="0"/>
    <s v="Debit Card"/>
    <n v="76019.78"/>
    <n v="76019.78"/>
    <n v="0"/>
    <n v="76019.78"/>
    <n v="53305.15"/>
    <n v="53305.15"/>
    <n v="22714.629999999997"/>
    <x v="1"/>
  </r>
  <r>
    <s v="O000221"/>
    <d v="2025-08-03T00:00:00"/>
    <x v="825"/>
    <x v="824"/>
    <s v="P0009"/>
    <x v="71"/>
    <s v="S021"/>
    <x v="0"/>
    <n v="1"/>
    <n v="0"/>
    <s v="Debit Card"/>
    <n v="46428.19"/>
    <n v="46428.19"/>
    <n v="0"/>
    <n v="46428.19"/>
    <n v="26886.09"/>
    <n v="26886.09"/>
    <n v="19542.100000000002"/>
    <x v="1"/>
  </r>
  <r>
    <s v="O000437"/>
    <d v="2025-08-03T00:00:00"/>
    <x v="826"/>
    <x v="825"/>
    <s v="P0144"/>
    <x v="28"/>
    <s v="S023"/>
    <x v="1"/>
    <n v="4"/>
    <n v="0"/>
    <s v="Net Banking"/>
    <n v="1037.07"/>
    <n v="4148.28"/>
    <n v="0"/>
    <n v="4148.28"/>
    <n v="720.16"/>
    <n v="2880.64"/>
    <n v="1267.6399999999999"/>
    <x v="0"/>
  </r>
  <r>
    <s v="O000997"/>
    <d v="2025-08-06T00:00:00"/>
    <x v="827"/>
    <x v="826"/>
    <s v="P0053"/>
    <x v="123"/>
    <s v="S021"/>
    <x v="0"/>
    <n v="3"/>
    <n v="0.05"/>
    <s v="Cash"/>
    <n v="23380"/>
    <n v="70140"/>
    <n v="3507"/>
    <n v="66633"/>
    <n v="15528.93"/>
    <n v="46586.79"/>
    <n v="20046.21"/>
    <x v="3"/>
  </r>
  <r>
    <s v="O000019"/>
    <d v="2025-08-07T00:00:00"/>
    <x v="828"/>
    <x v="827"/>
    <s v="P0039"/>
    <x v="146"/>
    <s v="S006"/>
    <x v="3"/>
    <n v="3"/>
    <n v="0.05"/>
    <s v="UPI"/>
    <n v="14732.95"/>
    <n v="44198.850000000006"/>
    <n v="2209.9425000000006"/>
    <n v="41988.907500000008"/>
    <n v="10707.23"/>
    <n v="32121.69"/>
    <n v="9867.2175000000097"/>
    <x v="3"/>
  </r>
  <r>
    <s v="O000762"/>
    <d v="2025-08-09T00:00:00"/>
    <x v="829"/>
    <x v="828"/>
    <s v="P0134"/>
    <x v="108"/>
    <s v="S020"/>
    <x v="3"/>
    <n v="2"/>
    <n v="0.1"/>
    <s v="Credit Card"/>
    <n v="3581.9"/>
    <n v="7163.8"/>
    <n v="716.38000000000011"/>
    <n v="6447.42"/>
    <n v="2770.12"/>
    <n v="5540.24"/>
    <n v="907.18000000000029"/>
    <x v="0"/>
  </r>
  <r>
    <s v="O000625"/>
    <d v="2025-08-10T00:00:00"/>
    <x v="830"/>
    <x v="829"/>
    <s v="P0109"/>
    <x v="104"/>
    <s v="S008"/>
    <x v="1"/>
    <n v="1"/>
    <n v="0.05"/>
    <s v="Credit Card"/>
    <n v="675.13"/>
    <n v="675.13"/>
    <n v="33.756500000000003"/>
    <n v="641.37350000000004"/>
    <n v="510.45"/>
    <n v="510.45"/>
    <n v="130.92350000000005"/>
    <x v="4"/>
  </r>
  <r>
    <s v="O000931"/>
    <d v="2025-08-12T00:00:00"/>
    <x v="831"/>
    <x v="830"/>
    <s v="P0102"/>
    <x v="37"/>
    <s v="S018"/>
    <x v="0"/>
    <n v="2"/>
    <n v="0.05"/>
    <s v="Credit Card"/>
    <n v="1282.31"/>
    <n v="2564.62"/>
    <n v="128.23099999999999"/>
    <n v="2436.3890000000001"/>
    <n v="759"/>
    <n v="1518"/>
    <n v="918.38900000000012"/>
    <x v="4"/>
  </r>
  <r>
    <s v="O000112"/>
    <d v="2025-08-13T00:00:00"/>
    <x v="832"/>
    <x v="831"/>
    <s v="P0011"/>
    <x v="73"/>
    <s v="S005"/>
    <x v="1"/>
    <n v="3"/>
    <n v="0"/>
    <s v="Credit Card"/>
    <n v="14902.07"/>
    <n v="44706.21"/>
    <n v="0"/>
    <n v="44706.21"/>
    <n v="9305.33"/>
    <n v="27915.989999999998"/>
    <n v="16790.22"/>
    <x v="1"/>
  </r>
  <r>
    <s v="O000292"/>
    <d v="2025-08-14T00:00:00"/>
    <x v="409"/>
    <x v="409"/>
    <s v="P0004"/>
    <x v="76"/>
    <s v="S002"/>
    <x v="2"/>
    <n v="1"/>
    <n v="0.1"/>
    <s v="Debit Card"/>
    <n v="10619.36"/>
    <n v="10619.36"/>
    <n v="1061.9360000000001"/>
    <n v="9557.4240000000009"/>
    <n v="6544.82"/>
    <n v="6544.82"/>
    <n v="3012.6040000000012"/>
    <x v="1"/>
  </r>
  <r>
    <s v="O000656"/>
    <d v="2025-08-14T00:00:00"/>
    <x v="833"/>
    <x v="832"/>
    <s v="P0078"/>
    <x v="100"/>
    <s v="S019"/>
    <x v="0"/>
    <n v="1"/>
    <n v="0.15"/>
    <s v="UPI"/>
    <n v="909.72"/>
    <n v="909.72"/>
    <n v="136.458"/>
    <n v="773.26200000000006"/>
    <n v="546.83000000000004"/>
    <n v="546.83000000000004"/>
    <n v="226.43200000000002"/>
    <x v="2"/>
  </r>
  <r>
    <s v="O000909"/>
    <d v="2025-08-14T00:00:00"/>
    <x v="834"/>
    <x v="833"/>
    <s v="P0135"/>
    <x v="127"/>
    <s v="S009"/>
    <x v="0"/>
    <n v="1"/>
    <n v="0.05"/>
    <s v="UPI"/>
    <n v="3355.04"/>
    <n v="3355.04"/>
    <n v="167.75200000000001"/>
    <n v="3187.288"/>
    <n v="1914.01"/>
    <n v="1914.01"/>
    <n v="1273.278"/>
    <x v="0"/>
  </r>
  <r>
    <s v="O000974"/>
    <d v="2025-08-15T00:00:00"/>
    <x v="835"/>
    <x v="834"/>
    <s v="P0106"/>
    <x v="44"/>
    <s v="S024"/>
    <x v="0"/>
    <n v="1"/>
    <n v="0"/>
    <s v="UPI"/>
    <n v="817.37"/>
    <n v="817.37"/>
    <n v="0"/>
    <n v="817.37"/>
    <n v="595.03"/>
    <n v="595.03"/>
    <n v="222.34000000000003"/>
    <x v="4"/>
  </r>
  <r>
    <s v="O000228"/>
    <d v="2025-08-16T00:00:00"/>
    <x v="836"/>
    <x v="835"/>
    <s v="P0084"/>
    <x v="96"/>
    <s v="S012"/>
    <x v="1"/>
    <n v="3"/>
    <n v="0.15"/>
    <s v="UPI"/>
    <n v="1332.31"/>
    <n v="3996.93"/>
    <n v="599.53949999999998"/>
    <n v="3397.3905"/>
    <n v="957.87"/>
    <n v="2873.61"/>
    <n v="523.78049999999985"/>
    <x v="2"/>
  </r>
  <r>
    <s v="O000445"/>
    <d v="2025-08-17T00:00:00"/>
    <x v="837"/>
    <x v="836"/>
    <s v="P0113"/>
    <x v="148"/>
    <s v="S014"/>
    <x v="1"/>
    <n v="1"/>
    <n v="0"/>
    <s v="UPI"/>
    <n v="100.32"/>
    <n v="100.32"/>
    <n v="0"/>
    <n v="100.32"/>
    <n v="66.61"/>
    <n v="66.61"/>
    <n v="33.709999999999994"/>
    <x v="4"/>
  </r>
  <r>
    <s v="O000518"/>
    <d v="2025-08-17T00:00:00"/>
    <x v="838"/>
    <x v="837"/>
    <s v="P0143"/>
    <x v="3"/>
    <s v="S006"/>
    <x v="3"/>
    <n v="1"/>
    <n v="0"/>
    <s v="Debit Card"/>
    <n v="4198.8999999999996"/>
    <n v="4198.8999999999996"/>
    <n v="0"/>
    <n v="4198.8999999999996"/>
    <n v="2920.65"/>
    <n v="2920.65"/>
    <n v="1278.2499999999995"/>
    <x v="0"/>
  </r>
  <r>
    <s v="O000793"/>
    <d v="2025-08-18T00:00:00"/>
    <x v="839"/>
    <x v="838"/>
    <s v="P0111"/>
    <x v="126"/>
    <s v="S025"/>
    <x v="2"/>
    <n v="2"/>
    <n v="0"/>
    <s v="UPI"/>
    <n v="912.62"/>
    <n v="1825.24"/>
    <n v="0"/>
    <n v="1825.24"/>
    <n v="648.75"/>
    <n v="1297.5"/>
    <n v="527.74"/>
    <x v="4"/>
  </r>
  <r>
    <s v="O000182"/>
    <d v="2025-08-20T00:00:00"/>
    <x v="840"/>
    <x v="839"/>
    <s v="P0082"/>
    <x v="61"/>
    <s v="S008"/>
    <x v="1"/>
    <n v="3"/>
    <n v="0.2"/>
    <s v="UPI"/>
    <n v="5613.98"/>
    <n v="16841.939999999999"/>
    <n v="3368.3879999999999"/>
    <n v="13473.552"/>
    <n v="3377.41"/>
    <n v="10132.23"/>
    <n v="3341.3220000000001"/>
    <x v="2"/>
  </r>
  <r>
    <s v="O000311"/>
    <d v="2025-08-20T00:00:00"/>
    <x v="841"/>
    <x v="840"/>
    <s v="P0107"/>
    <x v="63"/>
    <s v="S002"/>
    <x v="2"/>
    <n v="1"/>
    <n v="0.05"/>
    <s v="Credit Card"/>
    <n v="1494.3"/>
    <n v="1494.3"/>
    <n v="74.715000000000003"/>
    <n v="1419.585"/>
    <n v="1031.67"/>
    <n v="1031.67"/>
    <n v="387.91499999999996"/>
    <x v="4"/>
  </r>
  <r>
    <s v="O000396"/>
    <d v="2025-08-20T00:00:00"/>
    <x v="842"/>
    <x v="841"/>
    <s v="P0027"/>
    <x v="81"/>
    <s v="S005"/>
    <x v="1"/>
    <n v="1"/>
    <n v="0"/>
    <s v="Credit Card"/>
    <n v="76661.149999999994"/>
    <n v="76661.149999999994"/>
    <n v="0"/>
    <n v="76661.149999999994"/>
    <n v="44142.48"/>
    <n v="44142.48"/>
    <n v="32518.669999999991"/>
    <x v="1"/>
  </r>
  <r>
    <s v="O000413"/>
    <d v="2025-08-20T00:00:00"/>
    <x v="455"/>
    <x v="455"/>
    <s v="P0103"/>
    <x v="120"/>
    <s v="S018"/>
    <x v="0"/>
    <n v="3"/>
    <n v="0.1"/>
    <s v="UPI"/>
    <n v="500.73"/>
    <n v="1502.19"/>
    <n v="150.21900000000002"/>
    <n v="1351.971"/>
    <n v="407.66"/>
    <n v="1222.98"/>
    <n v="128.99099999999999"/>
    <x v="4"/>
  </r>
  <r>
    <s v="O000700"/>
    <d v="2025-08-20T00:00:00"/>
    <x v="843"/>
    <x v="842"/>
    <s v="P0116"/>
    <x v="17"/>
    <s v="S008"/>
    <x v="1"/>
    <n v="1"/>
    <n v="0.05"/>
    <s v="UPI"/>
    <n v="1210.1500000000001"/>
    <n v="1210.1500000000001"/>
    <n v="60.507500000000007"/>
    <n v="1149.6425000000002"/>
    <n v="697.43"/>
    <n v="697.43"/>
    <n v="452.2125000000002"/>
    <x v="4"/>
  </r>
  <r>
    <s v="O000767"/>
    <d v="2025-08-20T00:00:00"/>
    <x v="844"/>
    <x v="843"/>
    <s v="P0068"/>
    <x v="15"/>
    <s v="S003"/>
    <x v="3"/>
    <n v="2"/>
    <n v="0"/>
    <s v="Debit Card"/>
    <n v="5944.75"/>
    <n v="11889.5"/>
    <n v="0"/>
    <n v="11889.5"/>
    <n v="4447.5200000000004"/>
    <n v="8895.0400000000009"/>
    <n v="2994.4599999999991"/>
    <x v="2"/>
  </r>
  <r>
    <s v="O000774"/>
    <d v="2025-08-20T00:00:00"/>
    <x v="845"/>
    <x v="844"/>
    <s v="P0098"/>
    <x v="74"/>
    <s v="S012"/>
    <x v="1"/>
    <n v="4"/>
    <n v="0.05"/>
    <s v="UPI"/>
    <n v="1233.81"/>
    <n v="4935.24"/>
    <n v="246.762"/>
    <n v="4688.4780000000001"/>
    <n v="944.94"/>
    <n v="3779.76"/>
    <n v="908.71799999999985"/>
    <x v="4"/>
  </r>
  <r>
    <s v="O000867"/>
    <d v="2025-08-21T00:00:00"/>
    <x v="846"/>
    <x v="845"/>
    <s v="P0085"/>
    <x v="9"/>
    <s v="S024"/>
    <x v="0"/>
    <n v="1"/>
    <n v="0.2"/>
    <s v="UPI"/>
    <n v="508.67"/>
    <n v="508.67"/>
    <n v="101.73400000000001"/>
    <n v="406.93600000000004"/>
    <n v="386.39"/>
    <n v="386.39"/>
    <n v="20.546000000000049"/>
    <x v="2"/>
  </r>
  <r>
    <s v="O000193"/>
    <d v="2025-08-23T00:00:00"/>
    <x v="847"/>
    <x v="846"/>
    <s v="P0142"/>
    <x v="21"/>
    <s v="S018"/>
    <x v="0"/>
    <n v="1"/>
    <n v="0"/>
    <s v="Debit Card"/>
    <n v="773.2"/>
    <n v="773.2"/>
    <n v="0"/>
    <n v="773.2"/>
    <n v="547.09"/>
    <n v="547.09"/>
    <n v="226.11"/>
    <x v="0"/>
  </r>
  <r>
    <s v="O000455"/>
    <d v="2025-08-23T00:00:00"/>
    <x v="848"/>
    <x v="847"/>
    <s v="P0024"/>
    <x v="119"/>
    <s v="S005"/>
    <x v="1"/>
    <n v="1"/>
    <n v="0"/>
    <s v="Cash"/>
    <n v="44917.11"/>
    <n v="44917.11"/>
    <n v="0"/>
    <n v="44917.11"/>
    <n v="33851.120000000003"/>
    <n v="33851.120000000003"/>
    <n v="11065.989999999998"/>
    <x v="1"/>
  </r>
  <r>
    <s v="O000317"/>
    <d v="2025-08-24T00:00:00"/>
    <x v="849"/>
    <x v="848"/>
    <s v="P0045"/>
    <x v="114"/>
    <s v="S013"/>
    <x v="0"/>
    <n v="1"/>
    <n v="0.05"/>
    <s v="UPI"/>
    <n v="14353.88"/>
    <n v="14353.88"/>
    <n v="717.69399999999996"/>
    <n v="13636.186"/>
    <n v="8791.7900000000009"/>
    <n v="8791.7900000000009"/>
    <n v="4844.3959999999988"/>
    <x v="3"/>
  </r>
  <r>
    <s v="O000874"/>
    <d v="2025-08-24T00:00:00"/>
    <x v="850"/>
    <x v="849"/>
    <s v="P0042"/>
    <x v="64"/>
    <s v="S012"/>
    <x v="1"/>
    <n v="1"/>
    <n v="0.05"/>
    <s v="UPI"/>
    <n v="29579.63"/>
    <n v="29579.63"/>
    <n v="1478.9815000000001"/>
    <n v="28100.648499999999"/>
    <n v="24254.720000000001"/>
    <n v="24254.720000000001"/>
    <n v="3845.9284999999982"/>
    <x v="3"/>
  </r>
  <r>
    <s v="O000052"/>
    <d v="2025-08-27T00:00:00"/>
    <x v="851"/>
    <x v="850"/>
    <s v="P0015"/>
    <x v="19"/>
    <s v="S024"/>
    <x v="0"/>
    <n v="2"/>
    <n v="0"/>
    <s v="UPI"/>
    <n v="61606.59"/>
    <n v="123213.18"/>
    <n v="0"/>
    <n v="123213.18"/>
    <n v="36366.370000000003"/>
    <n v="72732.740000000005"/>
    <n v="50480.439999999988"/>
    <x v="1"/>
  </r>
  <r>
    <s v="O000900"/>
    <d v="2025-08-27T00:00:00"/>
    <x v="852"/>
    <x v="851"/>
    <s v="P0105"/>
    <x v="138"/>
    <s v="S007"/>
    <x v="0"/>
    <n v="1"/>
    <n v="0"/>
    <s v="Debit Card"/>
    <n v="881.18"/>
    <n v="881.18"/>
    <n v="0"/>
    <n v="881.18"/>
    <n v="626.67999999999995"/>
    <n v="626.67999999999995"/>
    <n v="254.5"/>
    <x v="4"/>
  </r>
  <r>
    <s v="O000503"/>
    <d v="2025-08-28T00:00:00"/>
    <x v="853"/>
    <x v="852"/>
    <s v="P0136"/>
    <x v="42"/>
    <s v="S012"/>
    <x v="1"/>
    <n v="2"/>
    <n v="0.1"/>
    <s v="UPI"/>
    <n v="1702.4"/>
    <n v="3404.8"/>
    <n v="340.48"/>
    <n v="3064.32"/>
    <n v="1284.8900000000001"/>
    <n v="2569.7800000000002"/>
    <n v="494.53999999999996"/>
    <x v="0"/>
  </r>
  <r>
    <s v="O000103"/>
    <d v="2025-08-30T00:00:00"/>
    <x v="854"/>
    <x v="853"/>
    <s v="P0020"/>
    <x v="1"/>
    <s v="S024"/>
    <x v="0"/>
    <n v="1"/>
    <n v="0"/>
    <s v="Debit Card"/>
    <n v="21602.44"/>
    <n v="21602.44"/>
    <n v="0"/>
    <n v="21602.44"/>
    <n v="13134.58"/>
    <n v="13134.58"/>
    <n v="8467.8599999999988"/>
    <x v="1"/>
  </r>
  <r>
    <s v="O000156"/>
    <d v="2025-09-01T00:00:00"/>
    <x v="855"/>
    <x v="854"/>
    <s v="P0126"/>
    <x v="0"/>
    <s v="S006"/>
    <x v="3"/>
    <n v="1"/>
    <n v="0.1"/>
    <s v="Cash"/>
    <n v="3082.2"/>
    <n v="3082.2"/>
    <n v="308.22000000000003"/>
    <n v="2773.9799999999996"/>
    <n v="2561.06"/>
    <n v="2561.06"/>
    <n v="212.91999999999962"/>
    <x v="0"/>
  </r>
  <r>
    <s v="O000852"/>
    <d v="2025-09-03T00:00:00"/>
    <x v="856"/>
    <x v="855"/>
    <s v="P0006"/>
    <x v="75"/>
    <s v="S008"/>
    <x v="1"/>
    <n v="1"/>
    <n v="0"/>
    <s v="UPI"/>
    <n v="39996.370000000003"/>
    <n v="39996.370000000003"/>
    <n v="0"/>
    <n v="39996.370000000003"/>
    <n v="26192.21"/>
    <n v="26192.21"/>
    <n v="13804.160000000003"/>
    <x v="1"/>
  </r>
  <r>
    <s v="O000638"/>
    <d v="2025-09-04T00:00:00"/>
    <x v="857"/>
    <x v="856"/>
    <s v="P0112"/>
    <x v="43"/>
    <s v="S017"/>
    <x v="0"/>
    <n v="1"/>
    <n v="0.1"/>
    <s v="Net Banking"/>
    <n v="985.76"/>
    <n v="985.76"/>
    <n v="98.576000000000008"/>
    <n v="887.18399999999997"/>
    <n v="669.86"/>
    <n v="669.86"/>
    <n v="217.32399999999996"/>
    <x v="4"/>
  </r>
  <r>
    <s v="O000884"/>
    <d v="2025-09-06T00:00:00"/>
    <x v="858"/>
    <x v="857"/>
    <s v="P0123"/>
    <x v="77"/>
    <s v="S014"/>
    <x v="1"/>
    <n v="3"/>
    <n v="0.1"/>
    <s v="Credit Card"/>
    <n v="1666.93"/>
    <n v="5000.79"/>
    <n v="500.07900000000001"/>
    <n v="4500.7110000000002"/>
    <n v="983.54"/>
    <n v="2950.62"/>
    <n v="1550.0910000000003"/>
    <x v="0"/>
  </r>
  <r>
    <s v="O000611"/>
    <d v="2025-09-07T00:00:00"/>
    <x v="859"/>
    <x v="858"/>
    <s v="P0123"/>
    <x v="77"/>
    <s v="S016"/>
    <x v="0"/>
    <n v="1"/>
    <n v="0"/>
    <s v="Credit Card"/>
    <n v="1666.93"/>
    <n v="1666.93"/>
    <n v="0"/>
    <n v="1666.93"/>
    <n v="983.54"/>
    <n v="983.54"/>
    <n v="683.3900000000001"/>
    <x v="0"/>
  </r>
  <r>
    <s v="O000926"/>
    <d v="2025-09-08T00:00:00"/>
    <x v="49"/>
    <x v="49"/>
    <s v="P0079"/>
    <x v="113"/>
    <s v="S021"/>
    <x v="0"/>
    <n v="1"/>
    <n v="0.1"/>
    <s v="UPI"/>
    <n v="7106.08"/>
    <n v="7106.08"/>
    <n v="710.60800000000006"/>
    <n v="6395.4719999999998"/>
    <n v="5246.63"/>
    <n v="5246.63"/>
    <n v="1148.8419999999996"/>
    <x v="2"/>
  </r>
  <r>
    <s v="O000592"/>
    <d v="2025-09-10T00:00:00"/>
    <x v="860"/>
    <x v="859"/>
    <s v="P0104"/>
    <x v="6"/>
    <s v="S024"/>
    <x v="0"/>
    <n v="1"/>
    <n v="0"/>
    <s v="Debit Card"/>
    <n v="152.38"/>
    <n v="152.38"/>
    <n v="0"/>
    <n v="152.38"/>
    <n v="100.44"/>
    <n v="100.44"/>
    <n v="51.94"/>
    <x v="4"/>
  </r>
  <r>
    <s v="O000722"/>
    <d v="2025-09-10T00:00:00"/>
    <x v="861"/>
    <x v="860"/>
    <s v="P0149"/>
    <x v="86"/>
    <s v="S016"/>
    <x v="0"/>
    <n v="4"/>
    <n v="0"/>
    <s v="UPI"/>
    <n v="4294.7"/>
    <n v="17178.8"/>
    <n v="0"/>
    <n v="17178.8"/>
    <n v="3317.06"/>
    <n v="13268.24"/>
    <n v="3910.5599999999995"/>
    <x v="0"/>
  </r>
  <r>
    <s v="O000916"/>
    <d v="2025-09-10T00:00:00"/>
    <x v="862"/>
    <x v="861"/>
    <s v="P0060"/>
    <x v="7"/>
    <s v="S006"/>
    <x v="3"/>
    <n v="3"/>
    <n v="0.05"/>
    <s v="Credit Card"/>
    <n v="4187.79"/>
    <n v="12563.369999999999"/>
    <n v="628.16849999999999"/>
    <n v="11935.201499999999"/>
    <n v="2951.03"/>
    <n v="8853.09"/>
    <n v="3082.1114999999991"/>
    <x v="3"/>
  </r>
  <r>
    <s v="O000075"/>
    <d v="2025-09-12T00:00:00"/>
    <x v="283"/>
    <x v="283"/>
    <s v="P0096"/>
    <x v="128"/>
    <s v="S003"/>
    <x v="3"/>
    <n v="1"/>
    <n v="0.05"/>
    <s v="UPI"/>
    <n v="1384.91"/>
    <n v="1384.91"/>
    <n v="69.245500000000007"/>
    <n v="1315.6645000000001"/>
    <n v="1102.07"/>
    <n v="1102.07"/>
    <n v="213.59450000000015"/>
    <x v="4"/>
  </r>
  <r>
    <s v="O000556"/>
    <d v="2025-09-12T00:00:00"/>
    <x v="863"/>
    <x v="862"/>
    <s v="P0068"/>
    <x v="15"/>
    <s v="S013"/>
    <x v="0"/>
    <n v="1"/>
    <n v="0.15"/>
    <s v="Credit Card"/>
    <n v="5944.75"/>
    <n v="5944.75"/>
    <n v="891.71249999999998"/>
    <n v="5053.0375000000004"/>
    <n v="4447.5200000000004"/>
    <n v="4447.5200000000004"/>
    <n v="605.51749999999993"/>
    <x v="2"/>
  </r>
  <r>
    <s v="O000908"/>
    <d v="2025-09-14T00:00:00"/>
    <x v="616"/>
    <x v="616"/>
    <s v="P0102"/>
    <x v="37"/>
    <s v="S004"/>
    <x v="3"/>
    <n v="1"/>
    <n v="0"/>
    <s v="Credit Card"/>
    <n v="1282.31"/>
    <n v="1282.31"/>
    <n v="0"/>
    <n v="1282.31"/>
    <n v="759"/>
    <n v="759"/>
    <n v="523.30999999999995"/>
    <x v="4"/>
  </r>
  <r>
    <s v="O000438"/>
    <d v="2025-09-18T00:00:00"/>
    <x v="864"/>
    <x v="863"/>
    <s v="P0018"/>
    <x v="62"/>
    <s v="S002"/>
    <x v="2"/>
    <n v="3"/>
    <n v="0"/>
    <s v="UPI"/>
    <n v="54876.34"/>
    <n v="164629.01999999999"/>
    <n v="0"/>
    <n v="164629.01999999999"/>
    <n v="41521.22"/>
    <n v="124563.66"/>
    <n v="40065.359999999986"/>
    <x v="1"/>
  </r>
  <r>
    <s v="O000823"/>
    <d v="2025-09-18T00:00:00"/>
    <x v="865"/>
    <x v="864"/>
    <s v="P0064"/>
    <x v="135"/>
    <s v="S017"/>
    <x v="0"/>
    <n v="2"/>
    <n v="0.05"/>
    <s v="UPI"/>
    <n v="1797.31"/>
    <n v="3594.62"/>
    <n v="179.73099999999999"/>
    <n v="3414.8890000000001"/>
    <n v="1257.43"/>
    <n v="2514.86"/>
    <n v="900.029"/>
    <x v="3"/>
  </r>
  <r>
    <s v="O000690"/>
    <d v="2025-09-22T00:00:00"/>
    <x v="866"/>
    <x v="865"/>
    <s v="P0031"/>
    <x v="91"/>
    <s v="S010"/>
    <x v="1"/>
    <n v="1"/>
    <n v="0"/>
    <s v="UPI"/>
    <n v="52596.38"/>
    <n v="52596.38"/>
    <n v="0"/>
    <n v="52596.38"/>
    <n v="36028.78"/>
    <n v="36028.78"/>
    <n v="16567.599999999999"/>
    <x v="1"/>
  </r>
  <r>
    <s v="O000537"/>
    <d v="2025-09-25T00:00:00"/>
    <x v="867"/>
    <x v="866"/>
    <s v="P0109"/>
    <x v="104"/>
    <s v="S005"/>
    <x v="1"/>
    <n v="1"/>
    <n v="0"/>
    <s v="Credit Card"/>
    <n v="675.13"/>
    <n v="675.13"/>
    <n v="0"/>
    <n v="675.13"/>
    <n v="510.45"/>
    <n v="510.45"/>
    <n v="164.68"/>
    <x v="4"/>
  </r>
  <r>
    <s v="O000934"/>
    <d v="2025-09-25T00:00:00"/>
    <x v="868"/>
    <x v="867"/>
    <s v="P0066"/>
    <x v="49"/>
    <s v="S016"/>
    <x v="0"/>
    <n v="2"/>
    <n v="0.05"/>
    <s v="Cash"/>
    <n v="7801.86"/>
    <n v="15603.72"/>
    <n v="780.18600000000004"/>
    <n v="14823.534"/>
    <n v="5332.9"/>
    <n v="10665.8"/>
    <n v="4157.7340000000004"/>
    <x v="3"/>
  </r>
  <r>
    <s v="O000803"/>
    <d v="2025-09-26T00:00:00"/>
    <x v="869"/>
    <x v="868"/>
    <s v="P0007"/>
    <x v="115"/>
    <s v="S017"/>
    <x v="0"/>
    <n v="4"/>
    <n v="0"/>
    <s v="UPI"/>
    <n v="26638.81"/>
    <n v="106555.24"/>
    <n v="0"/>
    <n v="106555.24"/>
    <n v="20107.810000000001"/>
    <n v="80431.240000000005"/>
    <n v="26124"/>
    <x v="1"/>
  </r>
  <r>
    <s v="O000833"/>
    <d v="2025-09-26T00:00:00"/>
    <x v="870"/>
    <x v="869"/>
    <s v="P0004"/>
    <x v="76"/>
    <s v="S001"/>
    <x v="2"/>
    <n v="1"/>
    <n v="0"/>
    <s v="Cash"/>
    <n v="10619.36"/>
    <n v="10619.36"/>
    <n v="0"/>
    <n v="10619.36"/>
    <n v="6544.82"/>
    <n v="6544.82"/>
    <n v="4074.5400000000009"/>
    <x v="1"/>
  </r>
  <r>
    <s v="O000980"/>
    <d v="2025-09-26T00:00:00"/>
    <x v="871"/>
    <x v="870"/>
    <s v="P0024"/>
    <x v="119"/>
    <s v="S020"/>
    <x v="3"/>
    <n v="2"/>
    <n v="0"/>
    <s v="Credit Card"/>
    <n v="44917.11"/>
    <n v="89834.22"/>
    <n v="0"/>
    <n v="89834.22"/>
    <n v="33851.120000000003"/>
    <n v="67702.240000000005"/>
    <n v="22131.979999999996"/>
    <x v="1"/>
  </r>
  <r>
    <s v="O000792"/>
    <d v="2025-09-27T00:00:00"/>
    <x v="872"/>
    <x v="871"/>
    <s v="P0128"/>
    <x v="14"/>
    <s v="S008"/>
    <x v="1"/>
    <n v="1"/>
    <n v="0"/>
    <s v="UPI"/>
    <n v="1655.17"/>
    <n v="1655.17"/>
    <n v="0"/>
    <n v="1655.17"/>
    <n v="1375.84"/>
    <n v="1375.84"/>
    <n v="279.33000000000015"/>
    <x v="0"/>
  </r>
  <r>
    <s v="O000408"/>
    <d v="2025-09-28T00:00:00"/>
    <x v="873"/>
    <x v="872"/>
    <s v="P0078"/>
    <x v="100"/>
    <s v="S015"/>
    <x v="3"/>
    <n v="4"/>
    <n v="0.1"/>
    <s v="Debit Card"/>
    <n v="909.72"/>
    <n v="3638.88"/>
    <n v="363.88800000000003"/>
    <n v="3274.9920000000002"/>
    <n v="546.83000000000004"/>
    <n v="2187.3200000000002"/>
    <n v="1087.672"/>
    <x v="2"/>
  </r>
  <r>
    <s v="O000843"/>
    <d v="2025-09-30T00:00:00"/>
    <x v="874"/>
    <x v="873"/>
    <s v="P0030"/>
    <x v="95"/>
    <s v="S007"/>
    <x v="0"/>
    <n v="1"/>
    <n v="0"/>
    <s v="UPI"/>
    <n v="76019.78"/>
    <n v="76019.78"/>
    <n v="0"/>
    <n v="76019.78"/>
    <n v="53305.15"/>
    <n v="53305.15"/>
    <n v="22714.629999999997"/>
    <x v="1"/>
  </r>
  <r>
    <s v="O000422"/>
    <d v="2025-10-01T00:00:00"/>
    <x v="875"/>
    <x v="874"/>
    <s v="P0144"/>
    <x v="28"/>
    <s v="S020"/>
    <x v="3"/>
    <n v="2"/>
    <n v="0.1"/>
    <s v="Credit Card"/>
    <n v="1037.07"/>
    <n v="2074.14"/>
    <n v="207.41399999999999"/>
    <n v="1866.7259999999999"/>
    <n v="720.16"/>
    <n v="1440.32"/>
    <n v="426.40599999999995"/>
    <x v="0"/>
  </r>
  <r>
    <s v="O000257"/>
    <d v="2025-10-03T00:00:00"/>
    <x v="876"/>
    <x v="875"/>
    <s v="P0013"/>
    <x v="111"/>
    <s v="S023"/>
    <x v="1"/>
    <n v="1"/>
    <n v="0.1"/>
    <s v="UPI"/>
    <n v="36179.730000000003"/>
    <n v="36179.730000000003"/>
    <n v="3617.9730000000004"/>
    <n v="32561.757000000001"/>
    <n v="25344.32"/>
    <n v="25344.32"/>
    <n v="7217.4370000000017"/>
    <x v="1"/>
  </r>
  <r>
    <s v="O000366"/>
    <d v="2025-10-03T00:00:00"/>
    <x v="877"/>
    <x v="876"/>
    <s v="P0140"/>
    <x v="32"/>
    <s v="S010"/>
    <x v="1"/>
    <n v="1"/>
    <n v="0.05"/>
    <s v="Cash"/>
    <n v="3205.72"/>
    <n v="3205.72"/>
    <n v="160.286"/>
    <n v="3045.4339999999997"/>
    <n v="2167.94"/>
    <n v="2167.94"/>
    <n v="877.49399999999969"/>
    <x v="0"/>
  </r>
  <r>
    <s v="O000176"/>
    <d v="2025-10-04T00:00:00"/>
    <x v="878"/>
    <x v="877"/>
    <s v="P0084"/>
    <x v="96"/>
    <s v="S025"/>
    <x v="2"/>
    <n v="1"/>
    <n v="0.05"/>
    <s v="Cash"/>
    <n v="1332.31"/>
    <n v="1332.31"/>
    <n v="66.615499999999997"/>
    <n v="1265.6945000000001"/>
    <n v="957.87"/>
    <n v="957.87"/>
    <n v="307.82450000000006"/>
    <x v="2"/>
  </r>
  <r>
    <s v="O000473"/>
    <d v="2025-10-05T00:00:00"/>
    <x v="879"/>
    <x v="878"/>
    <s v="P0041"/>
    <x v="110"/>
    <s v="S004"/>
    <x v="3"/>
    <n v="1"/>
    <n v="0"/>
    <s v="Credit Card"/>
    <n v="11511.46"/>
    <n v="11511.46"/>
    <n v="0"/>
    <n v="11511.46"/>
    <n v="9046.98"/>
    <n v="9046.98"/>
    <n v="2464.4799999999996"/>
    <x v="3"/>
  </r>
  <r>
    <s v="O000844"/>
    <d v="2025-10-06T00:00:00"/>
    <x v="880"/>
    <x v="879"/>
    <s v="P0020"/>
    <x v="1"/>
    <s v="S015"/>
    <x v="3"/>
    <n v="1"/>
    <n v="0"/>
    <s v="Credit Card"/>
    <n v="21602.44"/>
    <n v="21602.44"/>
    <n v="0"/>
    <n v="21602.44"/>
    <n v="13134.58"/>
    <n v="13134.58"/>
    <n v="8467.8599999999988"/>
    <x v="1"/>
  </r>
  <r>
    <s v="O000539"/>
    <d v="2025-10-07T00:00:00"/>
    <x v="881"/>
    <x v="880"/>
    <s v="P0119"/>
    <x v="29"/>
    <s v="S019"/>
    <x v="0"/>
    <n v="1"/>
    <n v="0.05"/>
    <s v="Credit Card"/>
    <n v="400.63"/>
    <n v="400.63"/>
    <n v="20.031500000000001"/>
    <n v="380.5985"/>
    <n v="222.73"/>
    <n v="222.73"/>
    <n v="157.86850000000001"/>
    <x v="4"/>
  </r>
  <r>
    <s v="O000761"/>
    <d v="2025-10-07T00:00:00"/>
    <x v="882"/>
    <x v="881"/>
    <s v="P0090"/>
    <x v="93"/>
    <s v="S006"/>
    <x v="3"/>
    <n v="1"/>
    <n v="0"/>
    <s v="UPI"/>
    <n v="6708.36"/>
    <n v="6708.36"/>
    <n v="0"/>
    <n v="6708.36"/>
    <n v="5031.45"/>
    <n v="5031.45"/>
    <n v="1676.9099999999999"/>
    <x v="2"/>
  </r>
  <r>
    <s v="O000217"/>
    <d v="2025-10-08T00:00:00"/>
    <x v="883"/>
    <x v="882"/>
    <s v="P0003"/>
    <x v="92"/>
    <s v="S003"/>
    <x v="3"/>
    <n v="1"/>
    <n v="0.05"/>
    <s v="Debit Card"/>
    <n v="14374.7"/>
    <n v="14374.7"/>
    <n v="718.73500000000013"/>
    <n v="13655.965"/>
    <n v="11335.72"/>
    <n v="11335.72"/>
    <n v="2320.2450000000008"/>
    <x v="1"/>
  </r>
  <r>
    <s v="O000705"/>
    <d v="2025-10-10T00:00:00"/>
    <x v="884"/>
    <x v="883"/>
    <s v="P0104"/>
    <x v="6"/>
    <s v="S014"/>
    <x v="1"/>
    <n v="1"/>
    <n v="0.1"/>
    <s v="Net Banking"/>
    <n v="152.38"/>
    <n v="152.38"/>
    <n v="15.238"/>
    <n v="137.142"/>
    <n v="100.44"/>
    <n v="100.44"/>
    <n v="36.701999999999998"/>
    <x v="4"/>
  </r>
  <r>
    <s v="O000784"/>
    <d v="2025-10-11T00:00:00"/>
    <x v="885"/>
    <x v="884"/>
    <s v="P0109"/>
    <x v="104"/>
    <s v="S009"/>
    <x v="0"/>
    <n v="1"/>
    <n v="0"/>
    <s v="UPI"/>
    <n v="675.13"/>
    <n v="675.13"/>
    <n v="0"/>
    <n v="675.13"/>
    <n v="510.45"/>
    <n v="510.45"/>
    <n v="164.68"/>
    <x v="4"/>
  </r>
  <r>
    <s v="O000094"/>
    <d v="2025-10-13T00:00:00"/>
    <x v="578"/>
    <x v="578"/>
    <s v="P0065"/>
    <x v="83"/>
    <s v="S014"/>
    <x v="1"/>
    <n v="1"/>
    <n v="0.05"/>
    <s v="UPI"/>
    <n v="3429.74"/>
    <n v="3429.74"/>
    <n v="171.48699999999999"/>
    <n v="3258.2529999999997"/>
    <n v="2172.39"/>
    <n v="2172.39"/>
    <n v="1085.8629999999998"/>
    <x v="3"/>
  </r>
  <r>
    <s v="O000809"/>
    <d v="2025-10-14T00:00:00"/>
    <x v="886"/>
    <x v="885"/>
    <s v="P0127"/>
    <x v="103"/>
    <s v="S007"/>
    <x v="0"/>
    <n v="1"/>
    <n v="0"/>
    <s v="Debit Card"/>
    <n v="2328.63"/>
    <n v="2328.63"/>
    <n v="0"/>
    <n v="2328.63"/>
    <n v="1946.99"/>
    <n v="1946.99"/>
    <n v="381.6400000000001"/>
    <x v="0"/>
  </r>
  <r>
    <s v="O000557"/>
    <d v="2025-10-15T00:00:00"/>
    <x v="58"/>
    <x v="58"/>
    <s v="P0070"/>
    <x v="4"/>
    <s v="S016"/>
    <x v="0"/>
    <n v="1"/>
    <n v="0"/>
    <s v="Credit Card"/>
    <n v="4654.63"/>
    <n v="4654.63"/>
    <n v="0"/>
    <n v="4654.63"/>
    <n v="2675.18"/>
    <n v="2675.18"/>
    <n v="1979.4500000000003"/>
    <x v="2"/>
  </r>
  <r>
    <s v="O000904"/>
    <d v="2025-10-16T00:00:00"/>
    <x v="887"/>
    <x v="886"/>
    <s v="P0143"/>
    <x v="3"/>
    <s v="S019"/>
    <x v="0"/>
    <n v="5"/>
    <n v="0"/>
    <s v="Debit Card"/>
    <n v="4198.8999999999996"/>
    <n v="20994.5"/>
    <n v="0"/>
    <n v="20994.5"/>
    <n v="2920.65"/>
    <n v="14603.25"/>
    <n v="6391.25"/>
    <x v="0"/>
  </r>
  <r>
    <s v="O000678"/>
    <d v="2025-10-17T00:00:00"/>
    <x v="888"/>
    <x v="887"/>
    <s v="P0150"/>
    <x v="66"/>
    <s v="S010"/>
    <x v="1"/>
    <n v="1"/>
    <n v="0"/>
    <s v="UPI"/>
    <n v="4199.75"/>
    <n v="4199.75"/>
    <n v="0"/>
    <n v="4199.75"/>
    <n v="2546.5700000000002"/>
    <n v="2546.5700000000002"/>
    <n v="1653.1799999999998"/>
    <x v="0"/>
  </r>
  <r>
    <s v="O000589"/>
    <d v="2025-10-18T00:00:00"/>
    <x v="889"/>
    <x v="888"/>
    <s v="P0106"/>
    <x v="44"/>
    <s v="S009"/>
    <x v="0"/>
    <n v="2"/>
    <n v="0"/>
    <s v="UPI"/>
    <n v="817.37"/>
    <n v="1634.74"/>
    <n v="0"/>
    <n v="1634.74"/>
    <n v="595.03"/>
    <n v="1190.06"/>
    <n v="444.68000000000006"/>
    <x v="4"/>
  </r>
  <r>
    <s v="O000601"/>
    <d v="2025-10-18T00:00:00"/>
    <x v="890"/>
    <x v="889"/>
    <s v="P0074"/>
    <x v="131"/>
    <s v="S011"/>
    <x v="0"/>
    <n v="1"/>
    <n v="0.05"/>
    <s v="UPI"/>
    <n v="6726.61"/>
    <n v="6726.61"/>
    <n v="336.33050000000003"/>
    <n v="6390.2794999999996"/>
    <n v="5191.03"/>
    <n v="5191.03"/>
    <n v="1199.2494999999999"/>
    <x v="2"/>
  </r>
  <r>
    <s v="O000627"/>
    <d v="2025-10-20T00:00:00"/>
    <x v="891"/>
    <x v="890"/>
    <s v="P0146"/>
    <x v="51"/>
    <s v="S016"/>
    <x v="0"/>
    <n v="1"/>
    <n v="0"/>
    <s v="Net Banking"/>
    <n v="3309.4"/>
    <n v="3309.4"/>
    <n v="0"/>
    <n v="3309.4"/>
    <n v="2744.04"/>
    <n v="2744.04"/>
    <n v="565.36000000000013"/>
    <x v="0"/>
  </r>
  <r>
    <s v="O000020"/>
    <d v="2025-10-21T00:00:00"/>
    <x v="892"/>
    <x v="891"/>
    <s v="P0082"/>
    <x v="61"/>
    <s v="S006"/>
    <x v="3"/>
    <n v="1"/>
    <n v="0"/>
    <s v="Cash"/>
    <n v="5613.98"/>
    <n v="5613.98"/>
    <n v="0"/>
    <n v="5613.98"/>
    <n v="3377.41"/>
    <n v="3377.41"/>
    <n v="2236.5699999999997"/>
    <x v="2"/>
  </r>
  <r>
    <s v="O000684"/>
    <d v="2025-10-21T00:00:00"/>
    <x v="563"/>
    <x v="563"/>
    <s v="P0037"/>
    <x v="65"/>
    <s v="S020"/>
    <x v="3"/>
    <n v="3"/>
    <n v="0.05"/>
    <s v="Debit Card"/>
    <n v="78938.720000000001"/>
    <n v="236816.16"/>
    <n v="11840.808000000001"/>
    <n v="224975.35200000001"/>
    <n v="53801.63"/>
    <n v="161404.88999999998"/>
    <n v="63570.462000000029"/>
    <x v="1"/>
  </r>
  <r>
    <s v="O000960"/>
    <d v="2025-10-21T00:00:00"/>
    <x v="893"/>
    <x v="892"/>
    <s v="P0029"/>
    <x v="2"/>
    <s v="S025"/>
    <x v="2"/>
    <n v="2"/>
    <n v="0.05"/>
    <s v="UPI"/>
    <n v="51647.41"/>
    <n v="103294.82"/>
    <n v="5164.7410000000009"/>
    <n v="98130.079000000012"/>
    <n v="43564.65"/>
    <n v="87129.3"/>
    <n v="11000.77900000001"/>
    <x v="1"/>
  </r>
  <r>
    <s v="O000571"/>
    <d v="2025-10-23T00:00:00"/>
    <x v="894"/>
    <x v="893"/>
    <s v="P0024"/>
    <x v="119"/>
    <s v="S007"/>
    <x v="0"/>
    <n v="2"/>
    <n v="0"/>
    <s v="Debit Card"/>
    <n v="44917.11"/>
    <n v="89834.22"/>
    <n v="0"/>
    <n v="89834.22"/>
    <n v="33851.120000000003"/>
    <n v="67702.240000000005"/>
    <n v="22131.979999999996"/>
    <x v="1"/>
  </r>
  <r>
    <s v="O000707"/>
    <d v="2025-10-23T00:00:00"/>
    <x v="895"/>
    <x v="894"/>
    <s v="P0048"/>
    <x v="48"/>
    <s v="S002"/>
    <x v="2"/>
    <n v="1"/>
    <n v="0.05"/>
    <s v="UPI"/>
    <n v="29675.72"/>
    <n v="29675.72"/>
    <n v="1483.7860000000001"/>
    <n v="28191.934000000001"/>
    <n v="17695.330000000002"/>
    <n v="17695.330000000002"/>
    <n v="10496.603999999999"/>
    <x v="3"/>
  </r>
  <r>
    <s v="O000416"/>
    <d v="2025-10-26T00:00:00"/>
    <x v="896"/>
    <x v="895"/>
    <s v="P0130"/>
    <x v="145"/>
    <s v="S015"/>
    <x v="3"/>
    <n v="2"/>
    <n v="0"/>
    <s v="Debit Card"/>
    <n v="3317.98"/>
    <n v="6635.96"/>
    <n v="0"/>
    <n v="6635.96"/>
    <n v="2151.56"/>
    <n v="4303.12"/>
    <n v="2332.84"/>
    <x v="0"/>
  </r>
  <r>
    <s v="O000141"/>
    <d v="2025-10-27T00:00:00"/>
    <x v="897"/>
    <x v="896"/>
    <s v="P0036"/>
    <x v="39"/>
    <s v="S009"/>
    <x v="0"/>
    <n v="1"/>
    <n v="0"/>
    <s v="Cash"/>
    <n v="74177.87"/>
    <n v="74177.87"/>
    <n v="0"/>
    <n v="74177.87"/>
    <n v="46554.33"/>
    <n v="46554.33"/>
    <n v="27623.539999999994"/>
    <x v="1"/>
  </r>
  <r>
    <s v="O000347"/>
    <d v="2025-10-28T00:00:00"/>
    <x v="898"/>
    <x v="897"/>
    <s v="P0112"/>
    <x v="43"/>
    <s v="S021"/>
    <x v="0"/>
    <n v="1"/>
    <n v="0"/>
    <s v="UPI"/>
    <n v="985.76"/>
    <n v="985.76"/>
    <n v="0"/>
    <n v="985.76"/>
    <n v="669.86"/>
    <n v="669.86"/>
    <n v="315.89999999999998"/>
    <x v="4"/>
  </r>
  <r>
    <s v="O000624"/>
    <d v="2025-10-29T00:00:00"/>
    <x v="899"/>
    <x v="898"/>
    <s v="P0142"/>
    <x v="21"/>
    <s v="S005"/>
    <x v="1"/>
    <n v="2"/>
    <n v="0.05"/>
    <s v="Net Banking"/>
    <n v="773.2"/>
    <n v="1546.4"/>
    <n v="77.320000000000007"/>
    <n v="1469.0800000000002"/>
    <n v="547.09"/>
    <n v="1094.18"/>
    <n v="374.90000000000009"/>
    <x v="0"/>
  </r>
  <r>
    <s v="O000264"/>
    <d v="2025-10-31T00:00:00"/>
    <x v="900"/>
    <x v="899"/>
    <s v="P0130"/>
    <x v="145"/>
    <s v="S017"/>
    <x v="0"/>
    <n v="3"/>
    <n v="0"/>
    <s v="Cash"/>
    <n v="3317.98"/>
    <n v="9953.94"/>
    <n v="0"/>
    <n v="9953.94"/>
    <n v="2151.56"/>
    <n v="6454.68"/>
    <n v="3499.26"/>
    <x v="0"/>
  </r>
  <r>
    <s v="O000876"/>
    <d v="2025-10-31T00:00:00"/>
    <x v="901"/>
    <x v="900"/>
    <s v="P0047"/>
    <x v="47"/>
    <s v="S009"/>
    <x v="0"/>
    <n v="2"/>
    <n v="0"/>
    <s v="Net Banking"/>
    <n v="11987.07"/>
    <n v="23974.14"/>
    <n v="0"/>
    <n v="23974.14"/>
    <n v="8332.57"/>
    <n v="16665.14"/>
    <n v="7309"/>
    <x v="3"/>
  </r>
  <r>
    <s v="O000086"/>
    <d v="2025-11-01T00:00:00"/>
    <x v="902"/>
    <x v="901"/>
    <s v="P0029"/>
    <x v="2"/>
    <s v="S014"/>
    <x v="1"/>
    <n v="5"/>
    <n v="0.05"/>
    <s v="Debit Card"/>
    <n v="51647.41"/>
    <n v="258237.05000000002"/>
    <n v="12911.852500000001"/>
    <n v="245325.19750000001"/>
    <n v="43564.65"/>
    <n v="217823.25"/>
    <n v="27501.947500000009"/>
    <x v="1"/>
  </r>
  <r>
    <s v="O000133"/>
    <d v="2025-11-01T00:00:00"/>
    <x v="903"/>
    <x v="902"/>
    <s v="P0094"/>
    <x v="80"/>
    <s v="S003"/>
    <x v="3"/>
    <n v="1"/>
    <n v="0"/>
    <s v="UPI"/>
    <n v="7178.77"/>
    <n v="7178.77"/>
    <n v="0"/>
    <n v="7178.77"/>
    <n v="4813.8"/>
    <n v="4813.8"/>
    <n v="2364.9700000000003"/>
    <x v="2"/>
  </r>
  <r>
    <s v="O000526"/>
    <d v="2025-11-01T00:00:00"/>
    <x v="904"/>
    <x v="903"/>
    <s v="P0077"/>
    <x v="88"/>
    <s v="S006"/>
    <x v="3"/>
    <n v="3"/>
    <n v="0"/>
    <s v="Debit Card"/>
    <n v="6178.38"/>
    <n v="18535.14"/>
    <n v="0"/>
    <n v="18535.14"/>
    <n v="4740.8599999999997"/>
    <n v="14222.579999999998"/>
    <n v="4312.5600000000013"/>
    <x v="2"/>
  </r>
  <r>
    <s v="O000687"/>
    <d v="2025-11-02T00:00:00"/>
    <x v="905"/>
    <x v="904"/>
    <s v="P0110"/>
    <x v="18"/>
    <s v="S005"/>
    <x v="1"/>
    <n v="1"/>
    <n v="0"/>
    <s v="Cash"/>
    <n v="1053.9000000000001"/>
    <n v="1053.9000000000001"/>
    <n v="0"/>
    <n v="1053.9000000000001"/>
    <n v="710.59"/>
    <n v="710.59"/>
    <n v="343.31000000000006"/>
    <x v="4"/>
  </r>
  <r>
    <s v="O000702"/>
    <d v="2025-11-03T00:00:00"/>
    <x v="906"/>
    <x v="905"/>
    <s v="P0131"/>
    <x v="22"/>
    <s v="S004"/>
    <x v="3"/>
    <n v="2"/>
    <n v="0"/>
    <s v="Debit Card"/>
    <n v="4780.68"/>
    <n v="9561.36"/>
    <n v="0"/>
    <n v="9561.36"/>
    <n v="3940.05"/>
    <n v="7880.1"/>
    <n v="1681.2600000000002"/>
    <x v="0"/>
  </r>
  <r>
    <s v="O000021"/>
    <d v="2025-11-04T00:00:00"/>
    <x v="907"/>
    <x v="906"/>
    <s v="P0115"/>
    <x v="118"/>
    <s v="S018"/>
    <x v="0"/>
    <n v="1"/>
    <n v="0.05"/>
    <s v="UPI"/>
    <n v="343.15"/>
    <n v="343.15"/>
    <n v="17.157499999999999"/>
    <n v="325.99249999999995"/>
    <n v="192.59"/>
    <n v="192.59"/>
    <n v="133.40249999999995"/>
    <x v="4"/>
  </r>
  <r>
    <s v="O000236"/>
    <d v="2025-11-05T00:00:00"/>
    <x v="908"/>
    <x v="907"/>
    <s v="P0105"/>
    <x v="138"/>
    <s v="S024"/>
    <x v="0"/>
    <n v="1"/>
    <n v="0.1"/>
    <s v="Credit Card"/>
    <n v="881.18"/>
    <n v="881.18"/>
    <n v="88.117999999999995"/>
    <n v="793.0619999999999"/>
    <n v="626.67999999999995"/>
    <n v="626.67999999999995"/>
    <n v="166.38199999999995"/>
    <x v="4"/>
  </r>
  <r>
    <s v="O000875"/>
    <d v="2025-11-10T00:00:00"/>
    <x v="909"/>
    <x v="908"/>
    <s v="P0075"/>
    <x v="10"/>
    <s v="S009"/>
    <x v="0"/>
    <n v="1"/>
    <n v="0"/>
    <s v="UPI"/>
    <n v="7788.99"/>
    <n v="7788.99"/>
    <n v="0"/>
    <n v="7788.99"/>
    <n v="6231.21"/>
    <n v="6231.21"/>
    <n v="1557.7799999999997"/>
    <x v="2"/>
  </r>
  <r>
    <s v="O000233"/>
    <d v="2025-11-12T00:00:00"/>
    <x v="910"/>
    <x v="909"/>
    <s v="P0096"/>
    <x v="128"/>
    <s v="S013"/>
    <x v="0"/>
    <n v="2"/>
    <n v="0"/>
    <s v="Credit Card"/>
    <n v="1384.91"/>
    <n v="2769.82"/>
    <n v="0"/>
    <n v="2769.82"/>
    <n v="1102.07"/>
    <n v="2204.14"/>
    <n v="565.68000000000029"/>
    <x v="4"/>
  </r>
  <r>
    <s v="O000151"/>
    <d v="2025-11-13T00:00:00"/>
    <x v="911"/>
    <x v="910"/>
    <s v="P0059"/>
    <x v="13"/>
    <s v="S021"/>
    <x v="0"/>
    <n v="1"/>
    <n v="0"/>
    <s v="UPI"/>
    <n v="24743.52"/>
    <n v="24743.52"/>
    <n v="0"/>
    <n v="24743.52"/>
    <n v="16620.189999999999"/>
    <n v="16620.189999999999"/>
    <n v="8123.3300000000017"/>
    <x v="3"/>
  </r>
  <r>
    <s v="O000335"/>
    <d v="2025-11-13T00:00:00"/>
    <x v="912"/>
    <x v="911"/>
    <s v="P0097"/>
    <x v="90"/>
    <s v="S019"/>
    <x v="0"/>
    <n v="4"/>
    <n v="0"/>
    <s v="Credit Card"/>
    <n v="1140.1600000000001"/>
    <n v="4560.6400000000003"/>
    <n v="0"/>
    <n v="4560.6400000000003"/>
    <n v="763.74"/>
    <n v="3054.96"/>
    <n v="1505.6800000000003"/>
    <x v="4"/>
  </r>
  <r>
    <s v="O000494"/>
    <d v="2025-11-15T00:00:00"/>
    <x v="913"/>
    <x v="912"/>
    <s v="P0025"/>
    <x v="57"/>
    <s v="S007"/>
    <x v="0"/>
    <n v="1"/>
    <n v="0.1"/>
    <s v="Debit Card"/>
    <n v="45527.55"/>
    <n v="45527.55"/>
    <n v="4552.7550000000001"/>
    <n v="40974.795000000006"/>
    <n v="35089.57"/>
    <n v="35089.57"/>
    <n v="5885.2250000000058"/>
    <x v="1"/>
  </r>
  <r>
    <s v="O000731"/>
    <d v="2025-11-17T00:00:00"/>
    <x v="914"/>
    <x v="913"/>
    <s v="P0084"/>
    <x v="96"/>
    <s v="S021"/>
    <x v="0"/>
    <n v="1"/>
    <n v="0.2"/>
    <s v="Debit Card"/>
    <n v="1332.31"/>
    <n v="1332.31"/>
    <n v="266.46199999999999"/>
    <n v="1065.848"/>
    <n v="957.87"/>
    <n v="957.87"/>
    <n v="107.97799999999995"/>
    <x v="2"/>
  </r>
  <r>
    <s v="O000274"/>
    <d v="2025-11-21T00:00:00"/>
    <x v="915"/>
    <x v="914"/>
    <s v="P0037"/>
    <x v="65"/>
    <s v="S007"/>
    <x v="0"/>
    <n v="2"/>
    <n v="0"/>
    <s v="Net Banking"/>
    <n v="78938.720000000001"/>
    <n v="157877.44"/>
    <n v="0"/>
    <n v="157877.44"/>
    <n v="53801.63"/>
    <n v="107603.26"/>
    <n v="50274.180000000008"/>
    <x v="1"/>
  </r>
  <r>
    <s v="O000626"/>
    <d v="2025-11-21T00:00:00"/>
    <x v="916"/>
    <x v="915"/>
    <s v="P0064"/>
    <x v="135"/>
    <s v="S014"/>
    <x v="1"/>
    <n v="3"/>
    <n v="0.05"/>
    <s v="UPI"/>
    <n v="1797.31"/>
    <n v="5391.93"/>
    <n v="269.59650000000005"/>
    <n v="5122.3335000000006"/>
    <n v="1257.43"/>
    <n v="3772.29"/>
    <n v="1350.0435000000007"/>
    <x v="3"/>
  </r>
  <r>
    <s v="O000034"/>
    <d v="2025-11-22T00:00:00"/>
    <x v="917"/>
    <x v="916"/>
    <s v="P0036"/>
    <x v="39"/>
    <s v="S003"/>
    <x v="3"/>
    <n v="1"/>
    <n v="0"/>
    <s v="UPI"/>
    <n v="74177.87"/>
    <n v="74177.87"/>
    <n v="0"/>
    <n v="74177.87"/>
    <n v="46554.33"/>
    <n v="46554.33"/>
    <n v="27623.539999999994"/>
    <x v="1"/>
  </r>
  <r>
    <s v="O000548"/>
    <d v="2025-11-23T00:00:00"/>
    <x v="918"/>
    <x v="917"/>
    <s v="P0012"/>
    <x v="134"/>
    <s v="S012"/>
    <x v="1"/>
    <n v="1"/>
    <n v="0"/>
    <s v="Credit Card"/>
    <n v="50139.94"/>
    <n v="50139.94"/>
    <n v="0"/>
    <n v="50139.94"/>
    <n v="37762.71"/>
    <n v="37762.71"/>
    <n v="12377.230000000003"/>
    <x v="1"/>
  </r>
  <r>
    <s v="O000533"/>
    <d v="2025-11-24T00:00:00"/>
    <x v="919"/>
    <x v="918"/>
    <s v="P0112"/>
    <x v="43"/>
    <s v="S007"/>
    <x v="0"/>
    <n v="2"/>
    <n v="0"/>
    <s v="Cash"/>
    <n v="985.76"/>
    <n v="1971.52"/>
    <n v="0"/>
    <n v="1971.52"/>
    <n v="669.86"/>
    <n v="1339.72"/>
    <n v="631.79999999999995"/>
    <x v="4"/>
  </r>
  <r>
    <s v="O000485"/>
    <d v="2025-11-27T00:00:00"/>
    <x v="920"/>
    <x v="919"/>
    <s v="P0111"/>
    <x v="126"/>
    <s v="S019"/>
    <x v="0"/>
    <n v="2"/>
    <n v="0"/>
    <s v="Net Banking"/>
    <n v="912.62"/>
    <n v="1825.24"/>
    <n v="0"/>
    <n v="1825.24"/>
    <n v="648.75"/>
    <n v="1297.5"/>
    <n v="527.74"/>
    <x v="4"/>
  </r>
  <r>
    <s v="O000614"/>
    <d v="2025-11-29T00:00:00"/>
    <x v="921"/>
    <x v="920"/>
    <s v="P0086"/>
    <x v="20"/>
    <s v="S012"/>
    <x v="1"/>
    <n v="1"/>
    <n v="0.2"/>
    <s v="Cash"/>
    <n v="2008.33"/>
    <n v="2008.33"/>
    <n v="401.666"/>
    <n v="1606.664"/>
    <n v="1688.91"/>
    <n v="1688.91"/>
    <n v="-82.246000000000095"/>
    <x v="2"/>
  </r>
  <r>
    <s v="O000056"/>
    <d v="2025-11-30T00:00:00"/>
    <x v="392"/>
    <x v="392"/>
    <s v="P0134"/>
    <x v="108"/>
    <s v="S016"/>
    <x v="0"/>
    <n v="4"/>
    <n v="0.1"/>
    <s v="Net Banking"/>
    <n v="3581.9"/>
    <n v="14327.6"/>
    <n v="1432.7600000000002"/>
    <n v="12894.84"/>
    <n v="2770.12"/>
    <n v="11080.48"/>
    <n v="1814.3600000000006"/>
    <x v="0"/>
  </r>
  <r>
    <s v="O000202"/>
    <d v="2025-12-01T00:00:00"/>
    <x v="922"/>
    <x v="921"/>
    <s v="P0087"/>
    <x v="60"/>
    <s v="S024"/>
    <x v="0"/>
    <n v="2"/>
    <n v="0.15"/>
    <s v="UPI"/>
    <n v="2599.96"/>
    <n v="5199.92"/>
    <n v="779.98799999999994"/>
    <n v="4419.9319999999998"/>
    <n v="1643"/>
    <n v="3286"/>
    <n v="1133.9319999999998"/>
    <x v="2"/>
  </r>
  <r>
    <s v="O000471"/>
    <d v="2025-12-02T00:00:00"/>
    <x v="667"/>
    <x v="667"/>
    <s v="P0086"/>
    <x v="20"/>
    <s v="S007"/>
    <x v="0"/>
    <n v="1"/>
    <n v="0.05"/>
    <s v="Credit Card"/>
    <n v="2008.33"/>
    <n v="2008.33"/>
    <n v="100.4165"/>
    <n v="1907.9134999999999"/>
    <n v="1688.91"/>
    <n v="1688.91"/>
    <n v="219.0034999999998"/>
    <x v="2"/>
  </r>
  <r>
    <s v="O000773"/>
    <d v="2025-12-05T00:00:00"/>
    <x v="923"/>
    <x v="922"/>
    <s v="P0023"/>
    <x v="98"/>
    <s v="S015"/>
    <x v="3"/>
    <n v="1"/>
    <n v="0"/>
    <s v="Net Banking"/>
    <n v="36481.47"/>
    <n v="36481.47"/>
    <n v="0"/>
    <n v="36481.47"/>
    <n v="30666.16"/>
    <n v="30666.16"/>
    <n v="5815.3100000000013"/>
    <x v="1"/>
  </r>
  <r>
    <s v="O000657"/>
    <d v="2025-12-07T00:00:00"/>
    <x v="924"/>
    <x v="923"/>
    <s v="P0031"/>
    <x v="91"/>
    <s v="S014"/>
    <x v="1"/>
    <n v="2"/>
    <n v="0"/>
    <s v="UPI"/>
    <n v="52596.38"/>
    <n v="105192.76"/>
    <n v="0"/>
    <n v="105192.76"/>
    <n v="36028.78"/>
    <n v="72057.56"/>
    <n v="33135.199999999997"/>
    <x v="1"/>
  </r>
  <r>
    <s v="O000350"/>
    <d v="2025-12-08T00:00:00"/>
    <x v="925"/>
    <x v="924"/>
    <s v="P0138"/>
    <x v="99"/>
    <s v="S006"/>
    <x v="3"/>
    <n v="1"/>
    <n v="0.1"/>
    <s v="UPI"/>
    <n v="3897.08"/>
    <n v="3897.08"/>
    <n v="389.70800000000003"/>
    <n v="3507.3719999999998"/>
    <n v="3214.46"/>
    <n v="3214.46"/>
    <n v="292.91199999999981"/>
    <x v="0"/>
  </r>
  <r>
    <s v="O000723"/>
    <d v="2025-12-08T00:00:00"/>
    <x v="550"/>
    <x v="550"/>
    <s v="P0010"/>
    <x v="16"/>
    <s v="S019"/>
    <x v="0"/>
    <n v="5"/>
    <n v="0.05"/>
    <s v="Debit Card"/>
    <n v="4404.4399999999996"/>
    <n v="22022.199999999997"/>
    <n v="1101.1099999999999"/>
    <n v="20921.089999999997"/>
    <n v="3239.84"/>
    <n v="16199.2"/>
    <n v="4721.8899999999958"/>
    <x v="1"/>
  </r>
  <r>
    <s v="O000187"/>
    <d v="2025-12-12T00:00:00"/>
    <x v="926"/>
    <x v="925"/>
    <s v="P0049"/>
    <x v="79"/>
    <s v="S015"/>
    <x v="3"/>
    <n v="1"/>
    <n v="0"/>
    <s v="Debit Card"/>
    <n v="643.36"/>
    <n v="643.36"/>
    <n v="0"/>
    <n v="643.36"/>
    <n v="460.5"/>
    <n v="460.5"/>
    <n v="182.86"/>
    <x v="3"/>
  </r>
  <r>
    <s v="O000697"/>
    <d v="2025-12-12T00:00:00"/>
    <x v="927"/>
    <x v="926"/>
    <s v="P0045"/>
    <x v="114"/>
    <s v="S023"/>
    <x v="1"/>
    <n v="1"/>
    <n v="0"/>
    <s v="Credit Card"/>
    <n v="14353.88"/>
    <n v="14353.88"/>
    <n v="0"/>
    <n v="14353.88"/>
    <n v="8791.7900000000009"/>
    <n v="8791.7900000000009"/>
    <n v="5562.0899999999983"/>
    <x v="3"/>
  </r>
  <r>
    <s v="O000169"/>
    <d v="2025-12-14T00:00:00"/>
    <x v="928"/>
    <x v="927"/>
    <s v="P0034"/>
    <x v="40"/>
    <s v="S009"/>
    <x v="0"/>
    <n v="1"/>
    <n v="0"/>
    <s v="UPI"/>
    <n v="70426.350000000006"/>
    <n v="70426.350000000006"/>
    <n v="0"/>
    <n v="70426.350000000006"/>
    <n v="41048.31"/>
    <n v="41048.31"/>
    <n v="29378.040000000008"/>
    <x v="1"/>
  </r>
  <r>
    <s v="O000028"/>
    <d v="2025-12-18T00:00:00"/>
    <x v="929"/>
    <x v="928"/>
    <s v="P0017"/>
    <x v="69"/>
    <s v="S011"/>
    <x v="0"/>
    <n v="1"/>
    <n v="0.05"/>
    <s v="Debit Card"/>
    <n v="61469.2"/>
    <n v="61469.2"/>
    <n v="3073.46"/>
    <n v="58395.74"/>
    <n v="39781.99"/>
    <n v="39781.99"/>
    <n v="18613.75"/>
    <x v="1"/>
  </r>
  <r>
    <s v="O000119"/>
    <d v="2025-12-18T00:00:00"/>
    <x v="930"/>
    <x v="929"/>
    <s v="P0099"/>
    <x v="46"/>
    <s v="S010"/>
    <x v="1"/>
    <n v="1"/>
    <n v="0"/>
    <s v="UPI"/>
    <n v="631.26"/>
    <n v="631.26"/>
    <n v="0"/>
    <n v="631.26"/>
    <n v="394.86"/>
    <n v="394.86"/>
    <n v="236.39999999999998"/>
    <x v="4"/>
  </r>
  <r>
    <s v="O000607"/>
    <d v="2025-12-18T00:00:00"/>
    <x v="781"/>
    <x v="780"/>
    <s v="P0090"/>
    <x v="93"/>
    <s v="S017"/>
    <x v="0"/>
    <n v="1"/>
    <n v="0.1"/>
    <s v="Credit Card"/>
    <n v="6708.36"/>
    <n v="6708.36"/>
    <n v="670.83600000000001"/>
    <n v="6037.5239999999994"/>
    <n v="5031.45"/>
    <n v="5031.45"/>
    <n v="1006.0739999999996"/>
    <x v="2"/>
  </r>
  <r>
    <s v="O000713"/>
    <d v="2025-12-18T00:00:00"/>
    <x v="931"/>
    <x v="930"/>
    <s v="P0094"/>
    <x v="80"/>
    <s v="S007"/>
    <x v="0"/>
    <n v="1"/>
    <n v="0.1"/>
    <s v="UPI"/>
    <n v="7178.77"/>
    <n v="7178.77"/>
    <n v="717.87700000000007"/>
    <n v="6460.893"/>
    <n v="4813.8"/>
    <n v="4813.8"/>
    <n v="1647.0929999999998"/>
    <x v="2"/>
  </r>
  <r>
    <s v="O000732"/>
    <d v="2025-12-20T00:00:00"/>
    <x v="932"/>
    <x v="931"/>
    <s v="P0044"/>
    <x v="30"/>
    <s v="S003"/>
    <x v="3"/>
    <n v="1"/>
    <n v="0.05"/>
    <s v="UPI"/>
    <n v="20212.79"/>
    <n v="20212.79"/>
    <n v="1010.6395000000001"/>
    <n v="19202.1505"/>
    <n v="16868.88"/>
    <n v="16868.88"/>
    <n v="2333.2704999999987"/>
    <x v="3"/>
  </r>
  <r>
    <s v="O000316"/>
    <d v="2025-12-21T00:00:00"/>
    <x v="933"/>
    <x v="932"/>
    <s v="P0029"/>
    <x v="2"/>
    <s v="S020"/>
    <x v="3"/>
    <n v="3"/>
    <n v="0"/>
    <s v="UPI"/>
    <n v="51647.41"/>
    <n v="154942.23000000001"/>
    <n v="0"/>
    <n v="154942.23000000001"/>
    <n v="43564.65"/>
    <n v="130693.95000000001"/>
    <n v="24248.28"/>
    <x v="1"/>
  </r>
  <r>
    <s v="O000393"/>
    <d v="2025-12-21T00:00:00"/>
    <x v="934"/>
    <x v="933"/>
    <s v="P0085"/>
    <x v="9"/>
    <s v="S022"/>
    <x v="2"/>
    <n v="4"/>
    <n v="0.05"/>
    <s v="Credit Card"/>
    <n v="508.67"/>
    <n v="2034.68"/>
    <n v="101.73400000000001"/>
    <n v="1932.9460000000001"/>
    <n v="386.39"/>
    <n v="1545.56"/>
    <n v="387.38600000000019"/>
    <x v="2"/>
  </r>
  <r>
    <s v="O000332"/>
    <d v="2025-12-22T00:00:00"/>
    <x v="935"/>
    <x v="934"/>
    <s v="P0035"/>
    <x v="53"/>
    <s v="S013"/>
    <x v="0"/>
    <n v="1"/>
    <n v="0.1"/>
    <s v="UPI"/>
    <n v="29153.55"/>
    <n v="29153.55"/>
    <n v="2915.355"/>
    <n v="26238.195"/>
    <n v="21894.27"/>
    <n v="21894.27"/>
    <n v="4343.9249999999993"/>
    <x v="1"/>
  </r>
  <r>
    <s v="O000132"/>
    <d v="2025-12-24T00:00:00"/>
    <x v="936"/>
    <x v="935"/>
    <s v="P0077"/>
    <x v="88"/>
    <s v="S006"/>
    <x v="3"/>
    <n v="3"/>
    <n v="0.1"/>
    <s v="UPI"/>
    <n v="6178.38"/>
    <n v="18535.14"/>
    <n v="1853.5140000000001"/>
    <n v="16681.626"/>
    <n v="4740.8599999999997"/>
    <n v="14222.579999999998"/>
    <n v="2459.0460000000021"/>
    <x v="2"/>
  </r>
  <r>
    <s v="O000326"/>
    <d v="2025-12-25T00:00:00"/>
    <x v="937"/>
    <x v="936"/>
    <s v="P0140"/>
    <x v="32"/>
    <s v="S007"/>
    <x v="0"/>
    <n v="1"/>
    <n v="0"/>
    <s v="Net Banking"/>
    <n v="3205.72"/>
    <n v="3205.72"/>
    <n v="0"/>
    <n v="3205.72"/>
    <n v="2167.94"/>
    <n v="2167.94"/>
    <n v="1037.7799999999997"/>
    <x v="0"/>
  </r>
  <r>
    <s v="O000605"/>
    <d v="2025-12-26T00:00:00"/>
    <x v="938"/>
    <x v="937"/>
    <s v="P0082"/>
    <x v="61"/>
    <s v="S019"/>
    <x v="0"/>
    <n v="1"/>
    <n v="0.2"/>
    <s v="UPI"/>
    <n v="5613.98"/>
    <n v="5613.98"/>
    <n v="1122.796"/>
    <n v="4491.1839999999993"/>
    <n v="3377.41"/>
    <n v="3377.41"/>
    <n v="1113.7739999999994"/>
    <x v="2"/>
  </r>
  <r>
    <s v="O000652"/>
    <d v="2025-12-27T00:00:00"/>
    <x v="939"/>
    <x v="938"/>
    <s v="P0129"/>
    <x v="58"/>
    <s v="S018"/>
    <x v="0"/>
    <n v="1"/>
    <n v="0.1"/>
    <s v="Cash"/>
    <n v="3285.82"/>
    <n v="3285.82"/>
    <n v="328.58200000000005"/>
    <n v="2957.2380000000003"/>
    <n v="2256.9699999999998"/>
    <n v="2256.9699999999998"/>
    <n v="700.26800000000048"/>
    <x v="0"/>
  </r>
  <r>
    <s v="O000725"/>
    <d v="2025-12-28T00:00:00"/>
    <x v="565"/>
    <x v="565"/>
    <s v="P0108"/>
    <x v="24"/>
    <s v="S018"/>
    <x v="0"/>
    <n v="1"/>
    <n v="0.05"/>
    <s v="Credit Card"/>
    <n v="1123.58"/>
    <n v="1123.58"/>
    <n v="56.179000000000002"/>
    <n v="1067.4009999999998"/>
    <n v="665.75"/>
    <n v="665.75"/>
    <n v="401.65099999999984"/>
    <x v="4"/>
  </r>
  <r>
    <s v="O000161"/>
    <d v="2025-12-30T00:00:00"/>
    <x v="940"/>
    <x v="939"/>
    <s v="P0054"/>
    <x v="59"/>
    <s v="S013"/>
    <x v="0"/>
    <n v="1"/>
    <n v="0"/>
    <s v="Credit Card"/>
    <n v="17619.849999999999"/>
    <n v="17619.849999999999"/>
    <n v="0"/>
    <n v="17619.849999999999"/>
    <n v="13837.65"/>
    <n v="13837.65"/>
    <n v="3782.1999999999989"/>
    <x v="3"/>
  </r>
  <r>
    <s v="O000837"/>
    <d v="2025-12-31T00:00:00"/>
    <x v="941"/>
    <x v="940"/>
    <s v="P0126"/>
    <x v="0"/>
    <s v="S016"/>
    <x v="0"/>
    <n v="2"/>
    <n v="0.1"/>
    <s v="Debit Card"/>
    <n v="3082.2"/>
    <n v="6164.4"/>
    <n v="616.44000000000005"/>
    <n v="5547.9599999999991"/>
    <n v="2561.06"/>
    <n v="5122.12"/>
    <n v="425.83999999999924"/>
    <x v="0"/>
  </r>
  <r>
    <s v="O000983"/>
    <d v="2025-12-31T00:00:00"/>
    <x v="942"/>
    <x v="941"/>
    <s v="P0051"/>
    <x v="107"/>
    <s v="S014"/>
    <x v="1"/>
    <n v="4"/>
    <n v="0.05"/>
    <s v="Cash"/>
    <n v="23736.31"/>
    <n v="94945.24"/>
    <n v="4747.2620000000006"/>
    <n v="90197.978000000003"/>
    <n v="13874.86"/>
    <n v="55499.44"/>
    <n v="34698.53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A5C32-0CC0-4818-84CC-1E74C040850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4:N967" firstHeaderRow="0" firstDataRow="1" firstDataCol="1"/>
  <pivotFields count="21">
    <pivotField dataField="1" showAll="0"/>
    <pivotField numFmtId="14" showAll="0"/>
    <pivotField showAll="0" sortType="descending">
      <items count="944">
        <item x="604"/>
        <item x="778"/>
        <item x="456"/>
        <item x="15"/>
        <item x="542"/>
        <item x="321"/>
        <item x="81"/>
        <item x="20"/>
        <item x="407"/>
        <item x="441"/>
        <item x="512"/>
        <item x="124"/>
        <item x="937"/>
        <item x="490"/>
        <item x="429"/>
        <item x="786"/>
        <item x="730"/>
        <item x="265"/>
        <item x="90"/>
        <item x="767"/>
        <item x="297"/>
        <item x="332"/>
        <item x="928"/>
        <item x="273"/>
        <item x="387"/>
        <item x="737"/>
        <item x="252"/>
        <item x="398"/>
        <item x="247"/>
        <item x="452"/>
        <item x="12"/>
        <item x="147"/>
        <item x="823"/>
        <item x="115"/>
        <item x="822"/>
        <item x="621"/>
        <item x="368"/>
        <item x="535"/>
        <item x="725"/>
        <item x="780"/>
        <item x="752"/>
        <item x="181"/>
        <item x="537"/>
        <item x="749"/>
        <item x="18"/>
        <item x="732"/>
        <item x="97"/>
        <item x="106"/>
        <item x="600"/>
        <item x="739"/>
        <item x="154"/>
        <item x="596"/>
        <item x="356"/>
        <item x="337"/>
        <item x="178"/>
        <item x="850"/>
        <item x="221"/>
        <item x="383"/>
        <item x="653"/>
        <item x="887"/>
        <item x="57"/>
        <item x="155"/>
        <item x="550"/>
        <item x="412"/>
        <item x="457"/>
        <item x="791"/>
        <item x="357"/>
        <item x="502"/>
        <item x="50"/>
        <item x="157"/>
        <item x="339"/>
        <item x="278"/>
        <item x="503"/>
        <item x="14"/>
        <item x="499"/>
        <item x="346"/>
        <item x="897"/>
        <item x="207"/>
        <item x="683"/>
        <item x="54"/>
        <item x="10"/>
        <item x="734"/>
        <item x="837"/>
        <item x="170"/>
        <item x="483"/>
        <item x="4"/>
        <item x="597"/>
        <item x="894"/>
        <item x="687"/>
        <item x="668"/>
        <item x="903"/>
        <item x="836"/>
        <item x="670"/>
        <item x="902"/>
        <item x="622"/>
        <item x="210"/>
        <item x="283"/>
        <item x="112"/>
        <item x="664"/>
        <item x="107"/>
        <item x="731"/>
        <item x="586"/>
        <item x="735"/>
        <item x="449"/>
        <item x="378"/>
        <item x="532"/>
        <item x="777"/>
        <item x="128"/>
        <item x="217"/>
        <item x="411"/>
        <item x="611"/>
        <item x="871"/>
        <item x="229"/>
        <item x="100"/>
        <item x="750"/>
        <item x="380"/>
        <item x="91"/>
        <item x="857"/>
        <item x="96"/>
        <item x="495"/>
        <item x="504"/>
        <item x="831"/>
        <item x="234"/>
        <item x="910"/>
        <item x="53"/>
        <item x="480"/>
        <item x="467"/>
        <item x="257"/>
        <item x="471"/>
        <item x="884"/>
        <item x="62"/>
        <item x="843"/>
        <item x="60"/>
        <item x="691"/>
        <item x="508"/>
        <item x="771"/>
        <item x="144"/>
        <item x="701"/>
        <item x="634"/>
        <item x="31"/>
        <item x="263"/>
        <item x="258"/>
        <item x="367"/>
        <item x="506"/>
        <item x="526"/>
        <item x="272"/>
        <item x="443"/>
        <item x="130"/>
        <item x="102"/>
        <item x="394"/>
        <item x="150"/>
        <item x="619"/>
        <item x="95"/>
        <item x="915"/>
        <item x="606"/>
        <item x="374"/>
        <item x="440"/>
        <item x="527"/>
        <item x="566"/>
        <item x="275"/>
        <item x="592"/>
        <item x="570"/>
        <item x="576"/>
        <item x="918"/>
        <item x="32"/>
        <item x="811"/>
        <item x="442"/>
        <item x="432"/>
        <item x="557"/>
        <item x="434"/>
        <item x="874"/>
        <item x="455"/>
        <item x="541"/>
        <item x="105"/>
        <item x="593"/>
        <item x="281"/>
        <item x="895"/>
        <item x="522"/>
        <item x="254"/>
        <item x="711"/>
        <item x="565"/>
        <item x="486"/>
        <item x="326"/>
        <item x="782"/>
        <item x="710"/>
        <item x="35"/>
        <item x="617"/>
        <item x="942"/>
        <item x="260"/>
        <item x="855"/>
        <item x="175"/>
        <item x="430"/>
        <item x="848"/>
        <item x="65"/>
        <item x="33"/>
        <item x="391"/>
        <item x="314"/>
        <item x="362"/>
        <item x="900"/>
        <item x="323"/>
        <item x="524"/>
        <item x="892"/>
        <item x="134"/>
        <item x="637"/>
        <item x="245"/>
        <item x="633"/>
        <item x="49"/>
        <item x="580"/>
        <item x="790"/>
        <item x="636"/>
        <item x="291"/>
        <item x="264"/>
        <item x="890"/>
        <item x="444"/>
        <item x="708"/>
        <item x="73"/>
        <item x="819"/>
        <item x="839"/>
        <item x="489"/>
        <item x="476"/>
        <item x="667"/>
        <item x="859"/>
        <item x="420"/>
        <item x="461"/>
        <item x="909"/>
        <item x="251"/>
        <item x="454"/>
        <item x="336"/>
        <item x="329"/>
        <item x="494"/>
        <item x="917"/>
        <item x="284"/>
        <item x="382"/>
        <item x="296"/>
        <item x="261"/>
        <item x="789"/>
        <item x="172"/>
        <item x="842"/>
        <item x="803"/>
        <item x="743"/>
        <item x="889"/>
        <item x="696"/>
        <item x="342"/>
        <item x="509"/>
        <item x="536"/>
        <item x="599"/>
        <item x="40"/>
        <item x="203"/>
        <item x="745"/>
        <item x="319"/>
        <item x="720"/>
        <item x="28"/>
        <item x="641"/>
        <item x="562"/>
        <item x="364"/>
        <item x="253"/>
        <item x="414"/>
        <item x="941"/>
        <item x="866"/>
        <item x="784"/>
        <item x="716"/>
        <item x="371"/>
        <item x="5"/>
        <item x="347"/>
        <item x="929"/>
        <item x="885"/>
        <item x="298"/>
        <item x="447"/>
        <item x="468"/>
        <item x="605"/>
        <item x="292"/>
        <item x="574"/>
        <item x="286"/>
        <item x="109"/>
        <item x="358"/>
        <item x="518"/>
        <item x="406"/>
        <item x="862"/>
        <item x="726"/>
        <item x="299"/>
        <item x="103"/>
        <item x="529"/>
        <item x="872"/>
        <item x="632"/>
        <item x="930"/>
        <item x="294"/>
        <item x="747"/>
        <item x="659"/>
        <item x="922"/>
        <item x="646"/>
        <item x="860"/>
        <item x="239"/>
        <item x="190"/>
        <item x="794"/>
        <item x="676"/>
        <item x="7"/>
        <item x="226"/>
        <item x="772"/>
        <item x="135"/>
        <item x="114"/>
        <item x="22"/>
        <item x="271"/>
        <item x="631"/>
        <item x="38"/>
        <item x="788"/>
        <item x="312"/>
        <item x="196"/>
        <item x="43"/>
        <item x="651"/>
        <item x="413"/>
        <item x="627"/>
        <item x="285"/>
        <item x="775"/>
        <item x="638"/>
        <item x="80"/>
        <item x="123"/>
        <item x="402"/>
        <item x="6"/>
        <item x="472"/>
        <item x="25"/>
        <item x="677"/>
        <item x="233"/>
        <item x="581"/>
        <item x="249"/>
        <item x="474"/>
        <item x="129"/>
        <item x="553"/>
        <item x="462"/>
        <item x="304"/>
        <item x="650"/>
        <item x="591"/>
        <item x="410"/>
        <item x="665"/>
        <item x="202"/>
        <item x="174"/>
        <item x="21"/>
        <item x="213"/>
        <item x="436"/>
        <item x="795"/>
        <item x="193"/>
        <item x="310"/>
        <item x="248"/>
        <item x="121"/>
        <item x="601"/>
        <item x="760"/>
        <item x="820"/>
        <item x="46"/>
        <item x="86"/>
        <item x="658"/>
        <item x="324"/>
        <item x="766"/>
        <item x="751"/>
        <item x="722"/>
        <item x="69"/>
        <item x="548"/>
        <item x="37"/>
        <item x="519"/>
        <item x="94"/>
        <item x="231"/>
        <item x="352"/>
        <item x="776"/>
        <item x="852"/>
        <item x="269"/>
        <item x="267"/>
        <item x="835"/>
        <item x="363"/>
        <item x="375"/>
        <item x="813"/>
        <item x="104"/>
        <item x="934"/>
        <item x="160"/>
        <item x="858"/>
        <item x="184"/>
        <item x="195"/>
        <item x="558"/>
        <item x="211"/>
        <item x="719"/>
        <item x="655"/>
        <item x="817"/>
        <item x="492"/>
        <item x="690"/>
        <item x="307"/>
        <item x="511"/>
        <item x="322"/>
        <item x="744"/>
        <item x="893"/>
        <item x="588"/>
        <item x="1"/>
        <item x="569"/>
        <item x="497"/>
        <item x="762"/>
        <item x="513"/>
        <item x="47"/>
        <item x="141"/>
        <item x="306"/>
        <item x="879"/>
        <item x="697"/>
        <item x="698"/>
        <item x="24"/>
        <item x="661"/>
        <item x="615"/>
        <item x="179"/>
        <item x="549"/>
        <item x="684"/>
        <item x="821"/>
        <item x="161"/>
        <item x="810"/>
        <item x="293"/>
        <item x="138"/>
        <item x="330"/>
        <item x="98"/>
        <item x="584"/>
        <item x="2"/>
        <item x="482"/>
        <item x="630"/>
        <item x="83"/>
        <item x="328"/>
        <item x="769"/>
        <item x="704"/>
        <item x="64"/>
        <item x="51"/>
        <item x="446"/>
        <item x="385"/>
        <item x="171"/>
        <item x="67"/>
        <item x="222"/>
        <item x="561"/>
        <item x="353"/>
        <item x="587"/>
        <item x="582"/>
        <item x="145"/>
        <item x="315"/>
        <item x="110"/>
        <item x="560"/>
        <item x="783"/>
        <item x="718"/>
        <item x="498"/>
        <item x="142"/>
        <item x="801"/>
        <item x="921"/>
        <item x="334"/>
        <item x="127"/>
        <item x="554"/>
        <item x="365"/>
        <item x="250"/>
        <item x="623"/>
        <item x="79"/>
        <item x="425"/>
        <item x="868"/>
        <item x="403"/>
        <item x="933"/>
        <item x="75"/>
        <item x="238"/>
        <item x="620"/>
        <item x="825"/>
        <item x="756"/>
        <item x="177"/>
        <item x="531"/>
        <item x="905"/>
        <item x="381"/>
        <item x="290"/>
        <item x="359"/>
        <item x="376"/>
        <item x="709"/>
        <item x="649"/>
        <item x="812"/>
        <item x="715"/>
        <item x="685"/>
        <item x="742"/>
        <item x="629"/>
        <item x="738"/>
        <item x="926"/>
        <item x="672"/>
        <item x="733"/>
        <item x="757"/>
        <item x="578"/>
        <item x="814"/>
        <item x="577"/>
        <item x="779"/>
        <item x="158"/>
        <item x="66"/>
        <item x="303"/>
        <item x="559"/>
        <item x="841"/>
        <item x="428"/>
        <item x="796"/>
        <item x="869"/>
        <item x="268"/>
        <item x="853"/>
        <item x="598"/>
        <item x="89"/>
        <item x="404"/>
        <item x="68"/>
        <item x="386"/>
        <item x="92"/>
        <item x="366"/>
        <item x="727"/>
        <item x="0"/>
        <item x="120"/>
        <item x="781"/>
        <item x="572"/>
        <item x="159"/>
        <item x="189"/>
        <item x="543"/>
        <item x="466"/>
        <item x="325"/>
        <item x="228"/>
        <item x="465"/>
        <item x="556"/>
        <item x="478"/>
        <item x="613"/>
        <item x="435"/>
        <item x="595"/>
        <item x="401"/>
        <item x="643"/>
        <item x="877"/>
        <item x="818"/>
        <item x="282"/>
        <item x="856"/>
        <item x="220"/>
        <item x="439"/>
        <item x="148"/>
        <item x="116"/>
        <item x="551"/>
        <item x="237"/>
        <item x="705"/>
        <item x="545"/>
        <item x="546"/>
        <item x="13"/>
        <item x="510"/>
        <item x="417"/>
        <item x="628"/>
        <item x="3"/>
        <item x="422"/>
        <item x="360"/>
        <item x="505"/>
        <item x="612"/>
        <item x="180"/>
        <item x="39"/>
        <item x="162"/>
        <item x="867"/>
        <item x="118"/>
        <item x="473"/>
        <item x="74"/>
        <item x="681"/>
        <item x="640"/>
        <item x="340"/>
        <item x="699"/>
        <item x="797"/>
        <item x="555"/>
        <item x="370"/>
        <item x="523"/>
        <item x="618"/>
        <item x="573"/>
        <item x="761"/>
        <item x="71"/>
        <item x="898"/>
        <item x="845"/>
        <item x="740"/>
        <item x="152"/>
        <item x="460"/>
        <item x="331"/>
        <item x="567"/>
        <item x="695"/>
        <item x="713"/>
        <item x="485"/>
        <item x="552"/>
        <item x="218"/>
        <item x="846"/>
        <item x="585"/>
        <item x="616"/>
        <item x="200"/>
        <item x="901"/>
        <item x="225"/>
        <item x="287"/>
        <item x="669"/>
        <item x="700"/>
        <item x="309"/>
        <item x="876"/>
        <item x="575"/>
        <item x="932"/>
        <item x="571"/>
        <item x="724"/>
        <item x="773"/>
        <item x="302"/>
        <item x="809"/>
        <item x="469"/>
        <item x="880"/>
        <item x="276"/>
        <item x="11"/>
        <item x="908"/>
        <item x="828"/>
        <item x="654"/>
        <item x="333"/>
        <item x="108"/>
        <item x="923"/>
        <item x="438"/>
        <item x="913"/>
        <item x="426"/>
        <item x="351"/>
        <item x="191"/>
        <item x="344"/>
        <item x="625"/>
        <item x="379"/>
        <item x="44"/>
        <item x="642"/>
        <item x="82"/>
        <item x="746"/>
        <item x="799"/>
        <item x="703"/>
        <item x="484"/>
        <item x="354"/>
        <item x="300"/>
        <item x="215"/>
        <item x="232"/>
        <item x="240"/>
        <item x="568"/>
        <item x="666"/>
        <item x="564"/>
        <item x="939"/>
        <item x="602"/>
        <item x="899"/>
        <item x="400"/>
        <item x="886"/>
        <item x="186"/>
        <item x="729"/>
        <item x="770"/>
        <item x="194"/>
        <item x="891"/>
        <item x="197"/>
        <item x="516"/>
        <item x="896"/>
        <item x="686"/>
        <item x="288"/>
        <item x="849"/>
        <item x="243"/>
        <item x="590"/>
        <item x="136"/>
        <item x="678"/>
        <item x="341"/>
        <item x="185"/>
        <item x="647"/>
        <item x="176"/>
        <item x="717"/>
        <item x="816"/>
        <item x="924"/>
        <item x="525"/>
        <item x="349"/>
        <item x="674"/>
        <item x="348"/>
        <item x="313"/>
        <item x="372"/>
        <item x="881"/>
        <item x="805"/>
        <item x="806"/>
        <item x="8"/>
        <item x="433"/>
        <item x="834"/>
        <item x="418"/>
        <item x="17"/>
        <item x="48"/>
        <item x="87"/>
        <item x="30"/>
        <item x="26"/>
        <item x="755"/>
        <item x="205"/>
        <item x="316"/>
        <item x="345"/>
        <item x="208"/>
        <item x="317"/>
        <item x="882"/>
        <item x="173"/>
        <item x="798"/>
        <item x="206"/>
        <item x="392"/>
        <item x="815"/>
        <item x="163"/>
        <item x="824"/>
        <item x="405"/>
        <item x="384"/>
        <item x="517"/>
        <item x="445"/>
        <item x="139"/>
        <item x="514"/>
        <item x="88"/>
        <item x="111"/>
        <item x="204"/>
        <item x="187"/>
        <item x="393"/>
        <item x="662"/>
        <item x="168"/>
        <item x="539"/>
        <item x="707"/>
        <item x="119"/>
        <item x="936"/>
        <item x="421"/>
        <item x="763"/>
        <item x="920"/>
        <item x="544"/>
        <item x="800"/>
        <item x="84"/>
        <item x="916"/>
        <item x="607"/>
        <item x="244"/>
        <item x="500"/>
        <item x="680"/>
        <item x="99"/>
        <item x="774"/>
        <item x="419"/>
        <item x="833"/>
        <item x="728"/>
        <item x="143"/>
        <item x="807"/>
        <item x="563"/>
        <item x="212"/>
        <item x="415"/>
        <item x="56"/>
        <item x="689"/>
        <item x="804"/>
        <item x="169"/>
        <item x="23"/>
        <item x="78"/>
        <item x="117"/>
        <item x="579"/>
        <item x="938"/>
        <item x="242"/>
        <item x="520"/>
        <item x="768"/>
        <item x="712"/>
        <item x="475"/>
        <item x="369"/>
        <item x="338"/>
        <item x="305"/>
        <item x="875"/>
        <item x="832"/>
        <item x="241"/>
        <item x="608"/>
        <item x="409"/>
        <item x="63"/>
        <item x="764"/>
        <item x="671"/>
        <item x="373"/>
        <item x="343"/>
        <item x="396"/>
        <item x="754"/>
        <item x="164"/>
        <item x="230"/>
        <item x="431"/>
        <item x="635"/>
        <item x="491"/>
        <item x="865"/>
        <item x="614"/>
        <item x="397"/>
        <item x="919"/>
        <item x="59"/>
        <item x="388"/>
        <item x="156"/>
        <item x="235"/>
        <item x="19"/>
        <item x="888"/>
        <item x="72"/>
        <item x="214"/>
        <item x="198"/>
        <item x="199"/>
        <item x="906"/>
        <item x="140"/>
        <item x="626"/>
        <item x="133"/>
        <item x="137"/>
        <item x="151"/>
        <item x="327"/>
        <item x="256"/>
        <item x="295"/>
        <item x="146"/>
        <item x="854"/>
        <item x="277"/>
        <item x="350"/>
        <item x="878"/>
        <item x="682"/>
        <item x="463"/>
        <item x="216"/>
        <item x="301"/>
        <item x="270"/>
        <item x="530"/>
        <item x="758"/>
        <item x="122"/>
        <item x="188"/>
        <item x="827"/>
        <item x="501"/>
        <item x="481"/>
        <item x="408"/>
        <item x="246"/>
        <item x="925"/>
        <item x="914"/>
        <item x="515"/>
        <item x="52"/>
        <item x="808"/>
        <item x="534"/>
        <item x="390"/>
        <item x="521"/>
        <item x="125"/>
        <item x="488"/>
        <item x="58"/>
        <item x="61"/>
        <item x="209"/>
        <item x="873"/>
        <item x="826"/>
        <item x="931"/>
        <item x="648"/>
        <item x="765"/>
        <item x="16"/>
        <item x="656"/>
        <item x="863"/>
        <item x="792"/>
        <item x="861"/>
        <item x="223"/>
        <item x="838"/>
        <item x="224"/>
        <item x="450"/>
        <item x="377"/>
        <item x="940"/>
        <item x="496"/>
        <item x="451"/>
        <item x="679"/>
        <item x="423"/>
        <item x="259"/>
        <item x="830"/>
        <item x="101"/>
        <item x="149"/>
        <item x="702"/>
        <item x="538"/>
        <item x="793"/>
        <item x="29"/>
        <item x="693"/>
        <item x="610"/>
        <item x="723"/>
        <item x="427"/>
        <item x="458"/>
        <item x="540"/>
        <item x="219"/>
        <item x="320"/>
        <item x="255"/>
        <item x="45"/>
        <item x="236"/>
        <item x="528"/>
        <item x="785"/>
        <item x="904"/>
        <item x="335"/>
        <item x="262"/>
        <item x="355"/>
        <item x="27"/>
        <item x="589"/>
        <item x="274"/>
        <item x="688"/>
        <item x="280"/>
        <item x="639"/>
        <item x="459"/>
        <item x="870"/>
        <item x="644"/>
        <item x="673"/>
        <item x="76"/>
        <item x="624"/>
        <item x="132"/>
        <item x="165"/>
        <item x="694"/>
        <item x="840"/>
        <item x="36"/>
        <item x="42"/>
        <item x="41"/>
        <item x="883"/>
        <item x="692"/>
        <item x="675"/>
        <item x="126"/>
        <item x="493"/>
        <item x="361"/>
        <item x="844"/>
        <item x="93"/>
        <item x="416"/>
        <item x="266"/>
        <item x="453"/>
        <item x="34"/>
        <item x="547"/>
        <item x="77"/>
        <item x="736"/>
        <item x="907"/>
        <item x="464"/>
        <item x="609"/>
        <item x="645"/>
        <item x="167"/>
        <item x="399"/>
        <item x="533"/>
        <item x="748"/>
        <item x="227"/>
        <item x="912"/>
        <item x="864"/>
        <item x="9"/>
        <item x="847"/>
        <item x="802"/>
        <item x="308"/>
        <item x="787"/>
        <item x="113"/>
        <item x="279"/>
        <item x="927"/>
        <item x="759"/>
        <item x="70"/>
        <item x="131"/>
        <item x="652"/>
        <item x="192"/>
        <item x="166"/>
        <item x="470"/>
        <item x="660"/>
        <item x="741"/>
        <item x="182"/>
        <item x="437"/>
        <item x="935"/>
        <item x="424"/>
        <item x="594"/>
        <item x="201"/>
        <item x="507"/>
        <item x="153"/>
        <item x="183"/>
        <item x="829"/>
        <item x="289"/>
        <item x="663"/>
        <item x="85"/>
        <item x="389"/>
        <item x="395"/>
        <item x="311"/>
        <item x="753"/>
        <item x="479"/>
        <item x="487"/>
        <item x="55"/>
        <item x="448"/>
        <item x="851"/>
        <item x="583"/>
        <item x="911"/>
        <item x="657"/>
        <item x="603"/>
        <item x="706"/>
        <item x="714"/>
        <item x="477"/>
        <item x="318"/>
        <item x="72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943">
        <item x="348"/>
        <item x="406"/>
        <item x="191"/>
        <item x="675"/>
        <item x="153"/>
        <item x="13"/>
        <item x="830"/>
        <item x="888"/>
        <item x="42"/>
        <item x="157"/>
        <item x="691"/>
        <item x="829"/>
        <item x="103"/>
        <item x="858"/>
        <item x="750"/>
        <item x="168"/>
        <item x="188"/>
        <item x="329"/>
        <item x="404"/>
        <item x="444"/>
        <item x="110"/>
        <item x="547"/>
        <item x="317"/>
        <item x="608"/>
        <item x="520"/>
        <item x="584"/>
        <item x="533"/>
        <item x="498"/>
        <item x="918"/>
        <item x="553"/>
        <item x="123"/>
        <item x="54"/>
        <item x="402"/>
        <item x="160"/>
        <item x="449"/>
        <item x="400"/>
        <item x="879"/>
        <item x="511"/>
        <item x="831"/>
        <item x="730"/>
        <item x="550"/>
        <item x="60"/>
        <item x="350"/>
        <item x="347"/>
        <item x="690"/>
        <item x="398"/>
        <item x="85"/>
        <item x="932"/>
        <item x="548"/>
        <item x="345"/>
        <item x="336"/>
        <item x="872"/>
        <item x="538"/>
        <item x="828"/>
        <item x="431"/>
        <item x="137"/>
        <item x="275"/>
        <item x="677"/>
        <item x="560"/>
        <item x="661"/>
        <item x="272"/>
        <item x="45"/>
        <item x="445"/>
        <item x="819"/>
        <item x="432"/>
        <item x="883"/>
        <item x="763"/>
        <item x="346"/>
        <item x="453"/>
        <item x="620"/>
        <item x="383"/>
        <item x="374"/>
        <item x="554"/>
        <item x="876"/>
        <item x="327"/>
        <item x="22"/>
        <item x="822"/>
        <item x="505"/>
        <item x="427"/>
        <item x="867"/>
        <item x="692"/>
        <item x="169"/>
        <item x="728"/>
        <item x="840"/>
        <item x="667"/>
        <item x="259"/>
        <item x="375"/>
        <item x="724"/>
        <item x="590"/>
        <item x="359"/>
        <item x="242"/>
        <item x="456"/>
        <item x="706"/>
        <item x="393"/>
        <item x="684"/>
        <item x="253"/>
        <item x="898"/>
        <item x="729"/>
        <item x="376"/>
        <item x="792"/>
        <item x="175"/>
        <item x="639"/>
        <item x="488"/>
        <item x="913"/>
        <item x="609"/>
        <item x="296"/>
        <item x="58"/>
        <item x="365"/>
        <item x="109"/>
        <item x="306"/>
        <item x="920"/>
        <item x="536"/>
        <item x="301"/>
        <item x="220"/>
        <item x="313"/>
        <item x="596"/>
        <item x="513"/>
        <item x="870"/>
        <item x="674"/>
        <item x="544"/>
        <item x="209"/>
        <item x="231"/>
        <item x="736"/>
        <item x="344"/>
        <item x="695"/>
        <item x="353"/>
        <item x="727"/>
        <item x="2"/>
        <item x="99"/>
        <item x="713"/>
        <item x="408"/>
        <item x="309"/>
        <item x="848"/>
        <item x="170"/>
        <item x="36"/>
        <item x="928"/>
        <item x="496"/>
        <item x="107"/>
        <item x="909"/>
        <item x="836"/>
        <item x="491"/>
        <item x="17"/>
        <item x="539"/>
        <item x="636"/>
        <item x="260"/>
        <item x="914"/>
        <item x="791"/>
        <item x="783"/>
        <item x="333"/>
        <item x="865"/>
        <item x="782"/>
        <item x="614"/>
        <item x="239"/>
        <item x="767"/>
        <item x="86"/>
        <item x="254"/>
        <item x="790"/>
        <item x="541"/>
        <item x="570"/>
        <item x="130"/>
        <item x="76"/>
        <item x="270"/>
        <item x="854"/>
        <item x="474"/>
        <item x="588"/>
        <item x="845"/>
        <item x="771"/>
        <item x="337"/>
        <item x="235"/>
        <item x="668"/>
        <item x="248"/>
        <item x="686"/>
        <item x="941"/>
        <item x="244"/>
        <item x="80"/>
        <item x="741"/>
        <item x="21"/>
        <item x="631"/>
        <item x="59"/>
        <item x="551"/>
        <item x="759"/>
        <item x="935"/>
        <item x="740"/>
        <item x="664"/>
        <item x="852"/>
        <item x="303"/>
        <item x="34"/>
        <item x="233"/>
        <item x="165"/>
        <item x="499"/>
        <item x="862"/>
        <item x="452"/>
        <item x="861"/>
        <item x="460"/>
        <item x="651"/>
        <item x="612"/>
        <item x="817"/>
        <item x="755"/>
        <item x="405"/>
        <item x="357"/>
        <item x="32"/>
        <item x="656"/>
        <item x="676"/>
        <item x="125"/>
        <item x="486"/>
        <item x="192"/>
        <item x="158"/>
        <item x="503"/>
        <item x="598"/>
        <item x="561"/>
        <item x="150"/>
        <item x="200"/>
        <item x="268"/>
        <item x="351"/>
        <item x="681"/>
        <item x="429"/>
        <item x="871"/>
        <item x="645"/>
        <item x="707"/>
        <item x="114"/>
        <item x="166"/>
        <item x="769"/>
        <item x="279"/>
        <item x="851"/>
        <item x="121"/>
        <item x="880"/>
        <item x="814"/>
        <item x="440"/>
        <item x="438"/>
        <item x="518"/>
        <item x="214"/>
        <item x="154"/>
        <item x="382"/>
        <item x="643"/>
        <item x="227"/>
        <item x="385"/>
        <item x="172"/>
        <item x="811"/>
        <item x="72"/>
        <item x="20"/>
        <item x="407"/>
        <item x="471"/>
        <item x="781"/>
        <item x="758"/>
        <item x="23"/>
        <item x="448"/>
        <item x="288"/>
        <item x="506"/>
        <item x="895"/>
        <item x="663"/>
        <item x="199"/>
        <item x="274"/>
        <item x="627"/>
        <item x="117"/>
        <item x="778"/>
        <item x="924"/>
        <item x="642"/>
        <item x="719"/>
        <item x="141"/>
        <item x="911"/>
        <item x="129"/>
        <item x="338"/>
        <item x="265"/>
        <item x="896"/>
        <item x="837"/>
        <item x="24"/>
        <item x="437"/>
        <item x="46"/>
        <item x="369"/>
        <item x="581"/>
        <item x="662"/>
        <item x="878"/>
        <item x="388"/>
        <item x="318"/>
        <item x="342"/>
        <item x="177"/>
        <item x="115"/>
        <item x="859"/>
        <item x="180"/>
        <item x="203"/>
        <item x="605"/>
        <item x="842"/>
        <item x="187"/>
        <item x="731"/>
        <item x="128"/>
        <item x="711"/>
        <item x="378"/>
        <item x="243"/>
        <item x="193"/>
        <item x="922"/>
        <item x="194"/>
        <item x="389"/>
        <item x="886"/>
        <item x="766"/>
        <item x="640"/>
        <item x="33"/>
        <item x="839"/>
        <item x="632"/>
        <item x="897"/>
        <item x="610"/>
        <item x="120"/>
        <item x="81"/>
        <item x="4"/>
        <item x="79"/>
        <item x="567"/>
        <item x="339"/>
        <item x="183"/>
        <item x="722"/>
        <item x="629"/>
        <item x="512"/>
        <item x="207"/>
        <item x="142"/>
        <item x="234"/>
        <item x="652"/>
        <item x="424"/>
        <item x="613"/>
        <item x="29"/>
        <item x="776"/>
        <item x="176"/>
        <item x="167"/>
        <item x="416"/>
        <item x="574"/>
        <item x="849"/>
        <item x="753"/>
        <item x="328"/>
        <item x="252"/>
        <item x="298"/>
        <item x="535"/>
        <item x="786"/>
        <item x="531"/>
        <item x="51"/>
        <item x="890"/>
        <item x="299"/>
        <item x="395"/>
        <item x="295"/>
        <item x="905"/>
        <item x="300"/>
        <item x="602"/>
        <item x="893"/>
        <item x="420"/>
        <item x="201"/>
        <item x="277"/>
        <item x="510"/>
        <item x="362"/>
        <item x="910"/>
        <item x="586"/>
        <item x="788"/>
        <item x="412"/>
        <item x="580"/>
        <item x="151"/>
        <item x="558"/>
        <item x="246"/>
        <item x="611"/>
        <item x="794"/>
        <item x="5"/>
        <item x="810"/>
        <item x="900"/>
        <item x="923"/>
        <item x="774"/>
        <item x="181"/>
        <item x="106"/>
        <item x="635"/>
        <item x="927"/>
        <item x="373"/>
        <item x="297"/>
        <item x="261"/>
        <item x="682"/>
        <item x="712"/>
        <item x="813"/>
        <item x="178"/>
        <item x="679"/>
        <item x="697"/>
        <item x="687"/>
        <item x="519"/>
        <item x="825"/>
        <item x="754"/>
        <item x="173"/>
        <item x="899"/>
        <item x="641"/>
        <item x="593"/>
        <item x="311"/>
        <item x="908"/>
        <item x="607"/>
        <item x="835"/>
        <item x="418"/>
        <item x="671"/>
        <item x="569"/>
        <item x="716"/>
        <item x="615"/>
        <item x="495"/>
        <item x="372"/>
        <item x="263"/>
        <item x="140"/>
        <item x="855"/>
        <item x="484"/>
        <item x="226"/>
        <item x="219"/>
        <item x="517"/>
        <item x="746"/>
        <item x="352"/>
        <item x="324"/>
        <item x="648"/>
        <item x="618"/>
        <item x="108"/>
        <item x="358"/>
        <item x="421"/>
        <item x="457"/>
        <item x="330"/>
        <item x="583"/>
        <item x="25"/>
        <item x="576"/>
        <item x="48"/>
        <item x="185"/>
        <item x="937"/>
        <item x="386"/>
        <item x="597"/>
        <item x="401"/>
        <item x="102"/>
        <item x="105"/>
        <item x="258"/>
        <item x="653"/>
        <item x="670"/>
        <item x="101"/>
        <item x="672"/>
        <item x="542"/>
        <item x="694"/>
        <item x="49"/>
        <item x="284"/>
        <item x="577"/>
        <item x="225"/>
        <item x="863"/>
        <item x="87"/>
        <item x="803"/>
        <item x="606"/>
        <item x="601"/>
        <item x="619"/>
        <item x="514"/>
        <item x="523"/>
        <item x="269"/>
        <item x="322"/>
        <item x="617"/>
        <item x="650"/>
        <item x="685"/>
        <item x="112"/>
        <item x="461"/>
        <item x="267"/>
        <item x="325"/>
        <item x="349"/>
        <item x="592"/>
        <item x="500"/>
        <item x="286"/>
        <item x="718"/>
        <item x="204"/>
        <item x="91"/>
        <item x="463"/>
        <item x="312"/>
        <item x="278"/>
        <item x="509"/>
        <item x="68"/>
        <item x="508"/>
        <item x="637"/>
        <item x="410"/>
        <item x="282"/>
        <item x="573"/>
        <item x="189"/>
        <item x="749"/>
        <item x="516"/>
        <item x="725"/>
        <item x="93"/>
        <item x="250"/>
        <item x="647"/>
        <item x="552"/>
        <item x="850"/>
        <item x="316"/>
        <item x="575"/>
        <item x="917"/>
        <item x="764"/>
        <item x="626"/>
        <item x="262"/>
        <item x="307"/>
        <item x="88"/>
        <item x="208"/>
        <item x="594"/>
        <item x="14"/>
        <item x="720"/>
        <item x="326"/>
        <item x="186"/>
        <item x="179"/>
        <item x="683"/>
        <item x="71"/>
        <item x="206"/>
        <item x="422"/>
        <item x="721"/>
        <item x="53"/>
        <item x="399"/>
        <item x="501"/>
        <item x="537"/>
        <item x="760"/>
        <item x="67"/>
        <item x="441"/>
        <item x="44"/>
        <item x="907"/>
        <item x="930"/>
        <item x="572"/>
        <item x="240"/>
        <item x="748"/>
        <item x="873"/>
        <item x="69"/>
        <item x="765"/>
        <item x="936"/>
        <item x="578"/>
        <item x="8"/>
        <item x="145"/>
        <item x="379"/>
        <item x="470"/>
        <item x="708"/>
        <item x="808"/>
        <item x="638"/>
        <item x="816"/>
        <item x="481"/>
        <item x="283"/>
        <item x="161"/>
        <item x="302"/>
        <item x="384"/>
        <item x="341"/>
        <item x="673"/>
        <item x="292"/>
        <item x="853"/>
        <item x="757"/>
        <item x="9"/>
        <item x="119"/>
        <item x="305"/>
        <item x="564"/>
        <item x="436"/>
        <item x="26"/>
        <item x="62"/>
        <item x="549"/>
        <item x="304"/>
        <item x="546"/>
        <item x="77"/>
        <item x="148"/>
        <item x="411"/>
        <item x="715"/>
        <item x="218"/>
        <item x="846"/>
        <item x="698"/>
        <item x="396"/>
        <item x="430"/>
        <item x="97"/>
        <item x="308"/>
        <item x="61"/>
        <item x="704"/>
        <item x="600"/>
        <item x="801"/>
        <item x="621"/>
        <item x="777"/>
        <item x="703"/>
        <item x="820"/>
        <item x="701"/>
        <item x="89"/>
        <item x="875"/>
        <item x="215"/>
        <item x="12"/>
        <item x="289"/>
        <item x="467"/>
        <item x="745"/>
        <item x="196"/>
        <item x="41"/>
        <item x="370"/>
        <item x="74"/>
        <item x="747"/>
        <item x="35"/>
        <item x="331"/>
        <item x="152"/>
        <item x="442"/>
        <item x="515"/>
        <item x="838"/>
        <item x="47"/>
        <item x="916"/>
        <item x="625"/>
        <item x="603"/>
        <item x="762"/>
        <item x="83"/>
        <item x="464"/>
        <item x="881"/>
        <item x="532"/>
        <item x="3"/>
        <item x="287"/>
        <item x="868"/>
        <item x="124"/>
        <item x="702"/>
        <item x="280"/>
        <item x="502"/>
        <item x="799"/>
        <item x="775"/>
        <item x="479"/>
        <item x="815"/>
        <item x="889"/>
        <item x="931"/>
        <item x="802"/>
        <item x="768"/>
        <item x="738"/>
        <item x="182"/>
        <item x="818"/>
        <item x="806"/>
        <item x="526"/>
        <item x="906"/>
        <item x="921"/>
        <item x="843"/>
        <item x="680"/>
        <item x="149"/>
        <item x="733"/>
        <item x="403"/>
        <item x="84"/>
        <item x="455"/>
        <item x="363"/>
        <item x="521"/>
        <item x="184"/>
        <item x="589"/>
        <item x="135"/>
        <item x="197"/>
        <item x="96"/>
        <item x="784"/>
        <item x="857"/>
        <item x="367"/>
        <item x="237"/>
        <item x="939"/>
        <item x="355"/>
        <item x="717"/>
        <item x="417"/>
        <item x="340"/>
        <item x="28"/>
        <item x="56"/>
        <item x="224"/>
        <item x="912"/>
        <item x="113"/>
        <item x="213"/>
        <item x="134"/>
        <item x="824"/>
        <item x="723"/>
        <item x="229"/>
        <item x="450"/>
        <item x="414"/>
        <item x="434"/>
        <item x="205"/>
        <item x="751"/>
        <item x="568"/>
        <item x="657"/>
        <item x="477"/>
        <item x="507"/>
        <item x="156"/>
        <item x="494"/>
        <item x="529"/>
        <item x="223"/>
        <item x="377"/>
        <item x="371"/>
        <item x="585"/>
        <item x="737"/>
        <item x="451"/>
        <item x="756"/>
        <item x="50"/>
        <item x="933"/>
        <item x="940"/>
        <item x="562"/>
        <item x="579"/>
        <item x="732"/>
        <item x="864"/>
        <item x="361"/>
        <item x="834"/>
        <item x="556"/>
        <item x="435"/>
        <item x="742"/>
        <item x="891"/>
        <item x="257"/>
        <item x="473"/>
        <item x="700"/>
        <item x="821"/>
        <item x="397"/>
        <item x="622"/>
        <item x="147"/>
        <item x="709"/>
        <item x="735"/>
        <item x="734"/>
        <item x="291"/>
        <item x="343"/>
        <item x="320"/>
        <item x="787"/>
        <item x="530"/>
        <item x="174"/>
        <item x="493"/>
        <item x="356"/>
        <item x="212"/>
        <item x="95"/>
        <item x="812"/>
        <item x="387"/>
        <item x="833"/>
        <item x="38"/>
        <item x="281"/>
        <item x="480"/>
        <item x="0"/>
        <item x="929"/>
        <item x="315"/>
        <item x="447"/>
        <item x="52"/>
        <item x="163"/>
        <item x="563"/>
        <item x="800"/>
        <item x="882"/>
        <item x="251"/>
        <item x="832"/>
        <item x="27"/>
        <item x="290"/>
        <item x="57"/>
        <item x="714"/>
        <item x="443"/>
        <item x="468"/>
        <item x="587"/>
        <item x="795"/>
        <item x="770"/>
        <item x="70"/>
        <item x="271"/>
        <item x="39"/>
        <item x="475"/>
        <item x="487"/>
        <item x="144"/>
        <item x="162"/>
        <item x="335"/>
        <item x="104"/>
        <item x="466"/>
        <item x="669"/>
        <item x="413"/>
        <item x="847"/>
        <item x="10"/>
        <item x="139"/>
        <item x="366"/>
        <item x="426"/>
        <item x="884"/>
        <item x="894"/>
        <item x="660"/>
        <item x="394"/>
        <item x="655"/>
        <item x="63"/>
        <item x="582"/>
        <item x="7"/>
        <item x="247"/>
        <item x="364"/>
        <item x="616"/>
        <item x="202"/>
        <item x="321"/>
        <item x="133"/>
        <item x="293"/>
        <item x="599"/>
        <item x="877"/>
        <item x="82"/>
        <item x="744"/>
        <item x="482"/>
        <item x="266"/>
        <item x="118"/>
        <item x="43"/>
        <item x="37"/>
        <item x="785"/>
        <item x="216"/>
        <item x="904"/>
        <item x="666"/>
        <item x="659"/>
        <item x="559"/>
        <item x="472"/>
        <item x="624"/>
        <item x="18"/>
        <item x="497"/>
        <item x="94"/>
        <item x="314"/>
        <item x="524"/>
        <item x="490"/>
        <item x="919"/>
        <item x="55"/>
        <item x="773"/>
        <item x="492"/>
        <item x="323"/>
        <item x="143"/>
        <item x="527"/>
        <item x="15"/>
        <item x="866"/>
        <item x="73"/>
        <item x="869"/>
        <item x="159"/>
        <item x="164"/>
        <item x="752"/>
        <item x="332"/>
        <item x="458"/>
        <item x="425"/>
        <item x="489"/>
        <item x="522"/>
        <item x="633"/>
        <item x="534"/>
        <item x="710"/>
        <item x="285"/>
        <item x="75"/>
        <item x="319"/>
        <item x="122"/>
        <item x="478"/>
        <item x="390"/>
        <item x="623"/>
        <item x="793"/>
        <item x="555"/>
        <item x="354"/>
        <item x="236"/>
        <item x="705"/>
        <item x="566"/>
        <item x="628"/>
        <item x="689"/>
        <item x="915"/>
        <item x="11"/>
        <item x="211"/>
        <item x="827"/>
        <item x="469"/>
        <item x="222"/>
        <item x="138"/>
        <item x="874"/>
        <item x="66"/>
        <item x="649"/>
        <item x="221"/>
        <item x="210"/>
        <item x="459"/>
        <item x="100"/>
        <item x="415"/>
        <item x="798"/>
        <item x="276"/>
        <item x="926"/>
        <item x="230"/>
        <item x="217"/>
        <item x="688"/>
        <item x="761"/>
        <item x="98"/>
        <item x="380"/>
        <item x="925"/>
        <item x="6"/>
        <item x="245"/>
        <item x="198"/>
        <item x="249"/>
        <item x="938"/>
        <item x="368"/>
        <item x="797"/>
        <item x="540"/>
        <item x="743"/>
        <item x="696"/>
        <item x="658"/>
        <item x="264"/>
        <item x="19"/>
        <item x="887"/>
        <item x="381"/>
        <item x="241"/>
        <item x="934"/>
        <item x="392"/>
        <item x="604"/>
        <item x="780"/>
        <item x="779"/>
        <item x="423"/>
        <item x="476"/>
        <item x="439"/>
        <item x="462"/>
        <item x="630"/>
        <item x="826"/>
        <item x="805"/>
        <item x="595"/>
        <item x="809"/>
        <item x="465"/>
        <item x="885"/>
        <item x="195"/>
        <item x="90"/>
        <item x="726"/>
        <item x="360"/>
        <item x="841"/>
        <item x="131"/>
        <item x="92"/>
        <item x="31"/>
        <item x="228"/>
        <item x="238"/>
        <item x="419"/>
        <item x="902"/>
        <item x="256"/>
        <item x="111"/>
        <item x="428"/>
        <item x="678"/>
        <item x="391"/>
        <item x="739"/>
        <item x="796"/>
        <item x="485"/>
        <item x="772"/>
        <item x="901"/>
        <item x="789"/>
        <item x="591"/>
        <item x="823"/>
        <item x="16"/>
        <item x="693"/>
        <item x="860"/>
        <item x="565"/>
        <item x="454"/>
        <item x="654"/>
        <item x="446"/>
        <item x="433"/>
        <item x="409"/>
        <item x="634"/>
        <item x="844"/>
        <item x="646"/>
        <item x="644"/>
        <item x="665"/>
        <item x="504"/>
        <item x="136"/>
        <item x="1"/>
        <item x="310"/>
        <item x="699"/>
        <item x="543"/>
        <item x="557"/>
        <item x="146"/>
        <item x="132"/>
        <item x="334"/>
        <item x="190"/>
        <item x="903"/>
        <item x="294"/>
        <item x="171"/>
        <item x="126"/>
        <item x="127"/>
        <item x="64"/>
        <item x="892"/>
        <item x="804"/>
        <item x="116"/>
        <item x="525"/>
        <item x="483"/>
        <item x="30"/>
        <item x="40"/>
        <item x="255"/>
        <item x="232"/>
        <item x="571"/>
        <item x="155"/>
        <item x="65"/>
        <item x="273"/>
        <item x="807"/>
        <item x="856"/>
        <item x="545"/>
        <item x="78"/>
        <item x="52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3"/>
  </rowFields>
  <rowItems count="943">
    <i>
      <x v="363"/>
    </i>
    <i>
      <x v="877"/>
    </i>
    <i>
      <x v="478"/>
    </i>
    <i>
      <x v="644"/>
    </i>
    <i>
      <x v="889"/>
    </i>
    <i>
      <x v="705"/>
    </i>
    <i>
      <x v="203"/>
    </i>
    <i>
      <x v="266"/>
    </i>
    <i>
      <x v="112"/>
    </i>
    <i>
      <x v="17"/>
    </i>
    <i>
      <x v="314"/>
    </i>
    <i>
      <x v="749"/>
    </i>
    <i>
      <x v="411"/>
    </i>
    <i>
      <x v="422"/>
    </i>
    <i>
      <x v="696"/>
    </i>
    <i>
      <x v="880"/>
    </i>
    <i>
      <x v="430"/>
    </i>
    <i>
      <x v="238"/>
    </i>
    <i>
      <x v="379"/>
    </i>
    <i>
      <x v="926"/>
    </i>
    <i>
      <x v="145"/>
    </i>
    <i>
      <x v="47"/>
    </i>
    <i>
      <x v="571"/>
    </i>
    <i>
      <x v="881"/>
    </i>
    <i>
      <x v="649"/>
    </i>
    <i>
      <x v="250"/>
    </i>
    <i>
      <x v="23"/>
    </i>
    <i>
      <x v="424"/>
    </i>
    <i>
      <x v="789"/>
    </i>
    <i>
      <x v="650"/>
    </i>
    <i>
      <x v="735"/>
    </i>
    <i>
      <x v="249"/>
    </i>
    <i>
      <x v="134"/>
    </i>
    <i>
      <x v="690"/>
    </i>
    <i>
      <x v="127"/>
    </i>
    <i>
      <x v="291"/>
    </i>
    <i>
      <x v="547"/>
    </i>
    <i>
      <x v="293"/>
    </i>
    <i>
      <x v="830"/>
    </i>
    <i>
      <x v="279"/>
    </i>
    <i>
      <x v="621"/>
    </i>
    <i>
      <x v="848"/>
    </i>
    <i>
      <x v="472"/>
    </i>
    <i>
      <x v="613"/>
    </i>
    <i>
      <x v="179"/>
    </i>
    <i>
      <x v="482"/>
    </i>
    <i>
      <x v="655"/>
    </i>
    <i>
      <x v="912"/>
    </i>
    <i>
      <x v="839"/>
    </i>
    <i>
      <x v="42"/>
    </i>
    <i>
      <x v="874"/>
    </i>
    <i>
      <x v="708"/>
    </i>
    <i>
      <x v="148"/>
    </i>
    <i>
      <x v="588"/>
    </i>
    <i>
      <x v="357"/>
    </i>
    <i>
      <x v="20"/>
    </i>
    <i>
      <x v="631"/>
    </i>
    <i>
      <x v="147"/>
    </i>
    <i>
      <x v="619"/>
    </i>
    <i>
      <x v="548"/>
    </i>
    <i>
      <x v="629"/>
    </i>
    <i>
      <x v="390"/>
    </i>
    <i>
      <x v="632"/>
    </i>
    <i>
      <x v="924"/>
    </i>
    <i>
      <x v="16"/>
    </i>
    <i>
      <x v="935"/>
    </i>
    <i>
      <x v="172"/>
    </i>
    <i>
      <x v="715"/>
    </i>
    <i>
      <x v="338"/>
    </i>
    <i>
      <x v="117"/>
    </i>
    <i>
      <x v="492"/>
    </i>
    <i>
      <x v="554"/>
    </i>
    <i>
      <x v="197"/>
    </i>
    <i>
      <x v="471"/>
    </i>
    <i>
      <x v="425"/>
    </i>
    <i>
      <x v="150"/>
    </i>
    <i>
      <x v="785"/>
    </i>
    <i>
      <x v="504"/>
    </i>
    <i>
      <x v="326"/>
    </i>
    <i>
      <x v="551"/>
    </i>
    <i>
      <x v="40"/>
    </i>
    <i>
      <x v="242"/>
    </i>
    <i>
      <x v="347"/>
    </i>
    <i>
      <x v="888"/>
    </i>
    <i>
      <x v="856"/>
    </i>
    <i>
      <x v="303"/>
    </i>
    <i>
      <x v="155"/>
    </i>
    <i>
      <x v="521"/>
    </i>
    <i>
      <x v="351"/>
    </i>
    <i>
      <x v="146"/>
    </i>
    <i>
      <x v="914"/>
    </i>
    <i>
      <x v="872"/>
    </i>
    <i>
      <x v="56"/>
    </i>
    <i>
      <x v="884"/>
    </i>
    <i>
      <x v="679"/>
    </i>
    <i>
      <x v="892"/>
    </i>
    <i>
      <x v="506"/>
    </i>
    <i>
      <x v="917"/>
    </i>
    <i>
      <x v="802"/>
    </i>
    <i>
      <x v="797"/>
    </i>
    <i>
      <x v="80"/>
    </i>
    <i>
      <x v="779"/>
    </i>
    <i>
      <x v="270"/>
    </i>
    <i>
      <x v="567"/>
    </i>
    <i>
      <x v="890"/>
    </i>
    <i>
      <x v="656"/>
    </i>
    <i>
      <x v="578"/>
    </i>
    <i>
      <x v="263"/>
    </i>
    <i>
      <x v="10"/>
    </i>
    <i>
      <x v="133"/>
    </i>
    <i>
      <x v="682"/>
    </i>
    <i>
      <x v="386"/>
    </i>
    <i>
      <x v="454"/>
    </i>
    <i>
      <x v="922"/>
    </i>
    <i>
      <x v="67"/>
    </i>
    <i>
      <x v="130"/>
    </i>
    <i>
      <x v="577"/>
    </i>
    <i>
      <x v="860"/>
    </i>
    <i>
      <x v="456"/>
    </i>
    <i>
      <x v="808"/>
    </i>
    <i>
      <x v="362"/>
    </i>
    <i>
      <x v="8"/>
    </i>
    <i>
      <x v="191"/>
    </i>
    <i>
      <x v="4"/>
    </i>
    <i>
      <x v="460"/>
    </i>
    <i>
      <x v="108"/>
    </i>
    <i>
      <x v="9"/>
    </i>
    <i>
      <x v="436"/>
    </i>
    <i>
      <x v="215"/>
    </i>
    <i>
      <x v="446"/>
    </i>
    <i>
      <x v="582"/>
    </i>
    <i>
      <x v="862"/>
    </i>
    <i>
      <x v="2"/>
    </i>
    <i>
      <x v="764"/>
    </i>
    <i>
      <x v="930"/>
    </i>
    <i>
      <x v="555"/>
    </i>
    <i>
      <x v="333"/>
    </i>
    <i>
      <x v="539"/>
    </i>
    <i>
      <x v="57"/>
    </i>
    <i>
      <x v="30"/>
    </i>
    <i>
      <x v="905"/>
    </i>
    <i>
      <x v="801"/>
    </i>
    <i>
      <x v="681"/>
    </i>
    <i>
      <x v="77"/>
    </i>
    <i>
      <x v="758"/>
    </i>
    <i>
      <x v="616"/>
    </i>
    <i>
      <x v="39"/>
    </i>
    <i>
      <x v="614"/>
    </i>
    <i>
      <x v="135"/>
    </i>
    <i>
      <x v="282"/>
    </i>
    <i>
      <x v="120"/>
    </i>
    <i>
      <x v="493"/>
    </i>
    <i>
      <x v="240"/>
    </i>
    <i>
      <x v="81"/>
    </i>
    <i>
      <x v="423"/>
    </i>
    <i>
      <x v="310"/>
    </i>
    <i>
      <x v="205"/>
    </i>
    <i>
      <x v="683"/>
    </i>
    <i>
      <x v="442"/>
    </i>
    <i>
      <x v="126"/>
    </i>
    <i>
      <x v="468"/>
    </i>
    <i>
      <x v="573"/>
    </i>
    <i>
      <x v="149"/>
    </i>
    <i>
      <x v="308"/>
    </i>
    <i>
      <x v="93"/>
    </i>
    <i>
      <x v="332"/>
    </i>
    <i>
      <x v="876"/>
    </i>
    <i>
      <x v="939"/>
    </i>
    <i>
      <x v="627"/>
    </i>
    <i>
      <x v="524"/>
    </i>
    <i>
      <x v="480"/>
    </i>
    <i>
      <x v="475"/>
    </i>
    <i>
      <x v="776"/>
    </i>
    <i>
      <x v="535"/>
    </i>
    <i>
      <x v="767"/>
    </i>
    <i>
      <x v="823"/>
    </i>
    <i>
      <x v="224"/>
    </i>
    <i>
      <x v="783"/>
    </i>
    <i>
      <x v="537"/>
    </i>
    <i>
      <x v="306"/>
    </i>
    <i>
      <x v="245"/>
    </i>
    <i>
      <x v="744"/>
    </i>
    <i>
      <x v="604"/>
    </i>
    <i>
      <x v="201"/>
    </i>
    <i>
      <x v="1"/>
    </i>
    <i>
      <x v="5"/>
    </i>
    <i>
      <x v="864"/>
    </i>
    <i>
      <x v="638"/>
    </i>
    <i>
      <x v="851"/>
    </i>
    <i>
      <x v="431"/>
    </i>
    <i>
      <x v="488"/>
    </i>
    <i>
      <x v="932"/>
    </i>
    <i>
      <x v="747"/>
    </i>
    <i>
      <x v="313"/>
    </i>
    <i>
      <x v="745"/>
    </i>
    <i>
      <x v="600"/>
    </i>
    <i>
      <x v="98"/>
    </i>
    <i>
      <x v="731"/>
    </i>
    <i>
      <x v="395"/>
    </i>
    <i>
      <x v="38"/>
    </i>
    <i>
      <x v="97"/>
    </i>
    <i>
      <x v="256"/>
    </i>
    <i>
      <x v="561"/>
    </i>
    <i>
      <x v="186"/>
    </i>
    <i>
      <x v="628"/>
    </i>
    <i>
      <x v="12"/>
    </i>
    <i>
      <x v="814"/>
    </i>
    <i>
      <x v="634"/>
    </i>
    <i>
      <x v="321"/>
    </i>
    <i>
      <x v="46"/>
    </i>
    <i>
      <x v="875"/>
    </i>
    <i>
      <x v="212"/>
    </i>
    <i>
      <x v="35"/>
    </i>
    <i>
      <x v="394"/>
    </i>
    <i>
      <x v="214"/>
    </i>
    <i>
      <x v="393"/>
    </i>
    <i>
      <x v="523"/>
    </i>
    <i>
      <x v="873"/>
    </i>
    <i>
      <x v="733"/>
    </i>
    <i>
      <x v="693"/>
    </i>
    <i>
      <x v="217"/>
    </i>
    <i>
      <x v="122"/>
    </i>
    <i>
      <x v="790"/>
    </i>
    <i>
      <x v="510"/>
    </i>
    <i>
      <x v="90"/>
    </i>
    <i>
      <x v="899"/>
    </i>
    <i>
      <x v="674"/>
    </i>
    <i>
      <x v="289"/>
    </i>
    <i>
      <x v="684"/>
    </i>
    <i>
      <x v="490"/>
    </i>
    <i>
      <x v="15"/>
    </i>
    <i>
      <x v="928"/>
    </i>
    <i>
      <x v="496"/>
    </i>
    <i>
      <x v="433"/>
    </i>
    <i>
      <x v="853"/>
    </i>
    <i>
      <x v="405"/>
    </i>
    <i>
      <x v="560"/>
    </i>
    <i>
      <x v="703"/>
    </i>
    <i>
      <x v="772"/>
    </i>
    <i>
      <x v="499"/>
    </i>
    <i>
      <x v="106"/>
    </i>
    <i>
      <x v="286"/>
    </i>
    <i>
      <x v="288"/>
    </i>
    <i>
      <x v="178"/>
    </i>
    <i>
      <x v="821"/>
    </i>
    <i>
      <x v="160"/>
    </i>
    <i>
      <x v="119"/>
    </i>
    <i>
      <x v="389"/>
    </i>
    <i>
      <x v="82"/>
    </i>
    <i>
      <x v="3"/>
    </i>
    <i>
      <x v="161"/>
    </i>
    <i>
      <x v="21"/>
    </i>
    <i>
      <x v="426"/>
    </i>
    <i>
      <x v="737"/>
    </i>
    <i>
      <x v="322"/>
    </i>
    <i>
      <x v="180"/>
    </i>
    <i>
      <x v="761"/>
    </i>
    <i>
      <x v="41"/>
    </i>
    <i>
      <x v="757"/>
    </i>
    <i>
      <x v="131"/>
    </i>
    <i>
      <x v="398"/>
    </i>
    <i>
      <x v="941"/>
    </i>
    <i>
      <x v="907"/>
    </i>
    <i>
      <x v="448"/>
    </i>
    <i>
      <x v="462"/>
    </i>
    <i>
      <x v="936"/>
    </i>
    <i>
      <x v="816"/>
    </i>
    <i>
      <x v="698"/>
    </i>
    <i>
      <x v="852"/>
    </i>
    <i>
      <x v="218"/>
    </i>
    <i>
      <x v="182"/>
    </i>
    <i>
      <x v="221"/>
    </i>
    <i>
      <x v="716"/>
    </i>
    <i>
      <x v="50"/>
    </i>
    <i>
      <x v="517"/>
    </i>
    <i>
      <x v="940"/>
    </i>
    <i>
      <x v="344"/>
    </i>
    <i>
      <x v="380"/>
    </i>
    <i>
      <x v="806"/>
    </i>
    <i>
      <x v="562"/>
    </i>
    <i>
      <x v="356"/>
    </i>
    <i>
      <x v="487"/>
    </i>
    <i>
      <x v="352"/>
    </i>
    <i>
      <x v="29"/>
    </i>
    <i>
      <x v="222"/>
    </i>
    <i>
      <x v="882"/>
    </i>
    <i>
      <x v="601"/>
    </i>
    <i>
      <x v="587"/>
    </i>
    <i>
      <x v="486"/>
    </i>
    <i>
      <x v="654"/>
    </i>
    <i>
      <x v="526"/>
    </i>
    <i>
      <x v="392"/>
    </i>
    <i>
      <x v="734"/>
    </i>
    <i>
      <x v="470"/>
    </i>
    <i>
      <x v="847"/>
    </i>
    <i>
      <x v="780"/>
    </i>
    <i>
      <x v="931"/>
    </i>
    <i>
      <x v="437"/>
    </i>
    <i>
      <x v="170"/>
    </i>
    <i>
      <x v="720"/>
    </i>
    <i>
      <x v="527"/>
    </i>
    <i>
      <x v="36"/>
    </i>
    <i>
      <x v="290"/>
    </i>
    <i>
      <x v="812"/>
    </i>
    <i>
      <x v="340"/>
    </i>
    <i>
      <x v="473"/>
    </i>
    <i>
      <x v="400"/>
    </i>
    <i>
      <x v="262"/>
    </i>
    <i>
      <x v="458"/>
    </i>
    <i>
      <x v="549"/>
    </i>
    <i>
      <x v="292"/>
    </i>
    <i>
      <x v="887"/>
    </i>
    <i>
      <x v="348"/>
    </i>
    <i>
      <x v="355"/>
    </i>
    <i>
      <x v="598"/>
    </i>
    <i>
      <x v="72"/>
    </i>
    <i>
      <x v="781"/>
    </i>
    <i>
      <x v="115"/>
    </i>
    <i>
      <x v="300"/>
    </i>
    <i>
      <x v="921"/>
    </i>
    <i>
      <x v="918"/>
    </i>
    <i>
      <x v="140"/>
    </i>
    <i>
      <x v="299"/>
    </i>
    <i>
      <x v="349"/>
    </i>
    <i>
      <x v="750"/>
    </i>
    <i>
      <x v="137"/>
    </i>
    <i>
      <x v="498"/>
    </i>
    <i>
      <x v="626"/>
    </i>
    <i>
      <x v="615"/>
    </i>
    <i>
      <x v="100"/>
    </i>
    <i>
      <x v="408"/>
    </i>
    <i>
      <x v="230"/>
    </i>
    <i>
      <x v="895"/>
    </i>
    <i>
      <x v="459"/>
    </i>
    <i>
      <x v="637"/>
    </i>
    <i>
      <x v="181"/>
    </i>
    <i>
      <x v="397"/>
    </i>
    <i>
      <x v="276"/>
    </i>
    <i>
      <x v="412"/>
    </i>
    <i>
      <x v="219"/>
    </i>
    <i>
      <x v="188"/>
    </i>
    <i>
      <x v="702"/>
    </i>
    <i>
      <x v="647"/>
    </i>
    <i>
      <x v="99"/>
    </i>
    <i>
      <x v="869"/>
    </i>
    <i>
      <x v="915"/>
    </i>
    <i>
      <x v="358"/>
    </i>
    <i>
      <x v="79"/>
    </i>
    <i>
      <x v="777"/>
    </i>
    <i>
      <x v="402"/>
    </i>
    <i>
      <x v="541"/>
    </i>
    <i>
      <x v="185"/>
    </i>
    <i>
      <x v="828"/>
    </i>
    <i>
      <x v="596"/>
    </i>
    <i>
      <x v="107"/>
    </i>
    <i>
      <x v="373"/>
    </i>
    <i>
      <x v="354"/>
    </i>
    <i>
      <x v="391"/>
    </i>
    <i>
      <x v="168"/>
    </i>
    <i>
      <x v="707"/>
    </i>
    <i>
      <x v="132"/>
    </i>
    <i>
      <x v="479"/>
    </i>
    <i>
      <x v="268"/>
    </i>
    <i>
      <x v="296"/>
    </i>
    <i>
      <x v="336"/>
    </i>
    <i>
      <x v="123"/>
    </i>
    <i>
      <x v="167"/>
    </i>
    <i>
      <x v="260"/>
    </i>
    <i>
      <x v="858"/>
    </i>
    <i>
      <x v="457"/>
    </i>
    <i>
      <x v="714"/>
    </i>
    <i>
      <x v="893"/>
    </i>
    <i>
      <x v="680"/>
    </i>
    <i>
      <x v="842"/>
    </i>
    <i>
      <x v="718"/>
    </i>
    <i>
      <x v="865"/>
    </i>
    <i>
      <x v="384"/>
    </i>
    <i>
      <x v="375"/>
    </i>
    <i>
      <x v="566"/>
    </i>
    <i>
      <x v="934"/>
    </i>
    <i>
      <x v="933"/>
    </i>
    <i>
      <x v="136"/>
    </i>
    <i>
      <x v="891"/>
    </i>
    <i>
      <x v="659"/>
    </i>
    <i>
      <x v="367"/>
    </i>
    <i>
      <x v="793"/>
    </i>
    <i>
      <x v="834"/>
    </i>
    <i>
      <x v="414"/>
    </i>
    <i>
      <x v="897"/>
    </i>
    <i>
      <x v="854"/>
    </i>
    <i>
      <x v="913"/>
    </i>
    <i>
      <x v="174"/>
    </i>
    <i>
      <x v="586"/>
    </i>
    <i>
      <x v="192"/>
    </i>
    <i>
      <x v="769"/>
    </i>
    <i>
      <x v="608"/>
    </i>
    <i>
      <x v="34"/>
    </i>
    <i>
      <x v="409"/>
    </i>
    <i>
      <x v="798"/>
    </i>
    <i>
      <x v="271"/>
    </i>
    <i>
      <x v="651"/>
    </i>
    <i>
      <x v="759"/>
    </i>
    <i>
      <x v="727"/>
    </i>
    <i>
      <x v="95"/>
    </i>
    <i>
      <x v="846"/>
    </i>
    <i>
      <x v="237"/>
    </i>
    <i>
      <x v="927"/>
    </i>
    <i>
      <x v="579"/>
    </i>
    <i>
      <x v="620"/>
    </i>
    <i>
      <x v="371"/>
    </i>
    <i>
      <x v="25"/>
    </i>
    <i>
      <x v="901"/>
    </i>
    <i>
      <x v="581"/>
    </i>
    <i>
      <x v="307"/>
    </i>
    <i>
      <x v="641"/>
    </i>
    <i>
      <x v="784"/>
    </i>
    <i>
      <x v="304"/>
    </i>
    <i>
      <x v="187"/>
    </i>
    <i>
      <x v="465"/>
    </i>
    <i>
      <x v="602"/>
    </i>
    <i>
      <x v="585"/>
    </i>
    <i>
      <x v="589"/>
    </i>
    <i>
      <x v="580"/>
    </i>
    <i>
      <x v="546"/>
    </i>
    <i>
      <x v="648"/>
    </i>
    <i>
      <x v="850"/>
    </i>
    <i>
      <x v="512"/>
    </i>
    <i>
      <x v="254"/>
    </i>
    <i>
      <x v="489"/>
    </i>
    <i>
      <x v="778"/>
    </i>
    <i>
      <x v="723"/>
    </i>
    <i>
      <x v="377"/>
    </i>
    <i>
      <x v="833"/>
    </i>
    <i>
      <x v="861"/>
    </i>
    <i>
      <x v="241"/>
    </i>
    <i>
      <x v="800"/>
    </i>
    <i>
      <x v="525"/>
    </i>
    <i>
      <x v="113"/>
    </i>
    <i>
      <x v="815"/>
    </i>
    <i>
      <x v="335"/>
    </i>
    <i>
      <x v="883"/>
    </i>
    <i>
      <x v="795"/>
    </i>
    <i>
      <x v="114"/>
    </i>
    <i>
      <x v="227"/>
    </i>
    <i>
      <x v="153"/>
    </i>
    <i>
      <x v="792"/>
    </i>
    <i>
      <x v="688"/>
    </i>
    <i>
      <x v="410"/>
    </i>
    <i>
      <x v="209"/>
    </i>
    <i>
      <x v="829"/>
    </i>
    <i>
      <x v="748"/>
    </i>
    <i>
      <x v="919"/>
    </i>
    <i>
      <x v="302"/>
    </i>
    <i>
      <x v="516"/>
    </i>
    <i>
      <x v="275"/>
    </i>
    <i>
      <x v="520"/>
    </i>
    <i>
      <x v="630"/>
    </i>
    <i>
      <x v="743"/>
    </i>
    <i>
      <x v="763"/>
    </i>
    <i>
      <x v="196"/>
    </i>
    <i>
      <x v="206"/>
    </i>
    <i>
      <x v="381"/>
    </i>
    <i>
      <x v="855"/>
    </i>
    <i>
      <x v="843"/>
    </i>
    <i>
      <x v="70"/>
    </i>
    <i>
      <x v="31"/>
    </i>
    <i>
      <x v="732"/>
    </i>
    <i>
      <x v="845"/>
    </i>
    <i>
      <x v="382"/>
    </i>
    <i>
      <x v="824"/>
    </i>
    <i>
      <x v="879"/>
    </i>
    <i>
      <x v="429"/>
    </i>
    <i>
      <x v="670"/>
    </i>
    <i>
      <x v="694"/>
    </i>
    <i>
      <x v="305"/>
    </i>
    <i>
      <x v="558"/>
    </i>
    <i>
      <x v="494"/>
    </i>
    <i>
      <x v="85"/>
    </i>
    <i>
      <x v="220"/>
    </i>
    <i>
      <x v="350"/>
    </i>
    <i>
      <x v="415"/>
    </i>
    <i>
      <x v="144"/>
    </i>
    <i>
      <x v="664"/>
    </i>
    <i>
      <x v="574"/>
    </i>
    <i>
      <x v="908"/>
    </i>
    <i>
      <x v="421"/>
    </i>
    <i>
      <x v="439"/>
    </i>
    <i>
      <x v="584"/>
    </i>
    <i>
      <x v="248"/>
    </i>
    <i>
      <x v="48"/>
    </i>
    <i>
      <x v="712"/>
    </i>
    <i>
      <x v="235"/>
    </i>
    <i>
      <x v="859"/>
    </i>
    <i>
      <x v="676"/>
    </i>
    <i>
      <x v="502"/>
    </i>
    <i>
      <x v="53"/>
    </i>
    <i>
      <x v="111"/>
    </i>
    <i>
      <x v="691"/>
    </i>
    <i>
      <x v="84"/>
    </i>
    <i>
      <x v="646"/>
    </i>
    <i>
      <x v="597"/>
    </i>
    <i>
      <x v="738"/>
    </i>
    <i>
      <x v="368"/>
    </i>
    <i>
      <x v="590"/>
    </i>
    <i>
      <x v="337"/>
    </i>
    <i>
      <x v="416"/>
    </i>
    <i>
      <x v="88"/>
    </i>
    <i>
      <x v="342"/>
    </i>
    <i>
      <x v="427"/>
    </i>
    <i>
      <x v="484"/>
    </i>
    <i>
      <x v="316"/>
    </i>
    <i>
      <x v="261"/>
    </i>
    <i>
      <x v="593"/>
    </i>
    <i>
      <x v="199"/>
    </i>
    <i>
      <x v="916"/>
    </i>
    <i>
      <x v="677"/>
    </i>
    <i>
      <x v="378"/>
    </i>
    <i>
      <x v="45"/>
    </i>
    <i>
      <x v="633"/>
    </i>
    <i>
      <x v="269"/>
    </i>
    <i>
      <x v="559"/>
    </i>
    <i>
      <x v="658"/>
    </i>
    <i>
      <x v="760"/>
    </i>
    <i>
      <x v="910"/>
    </i>
    <i>
      <x v="624"/>
    </i>
    <i>
      <x v="672"/>
    </i>
    <i>
      <x v="401"/>
    </i>
    <i>
      <x v="667"/>
    </i>
    <i>
      <x v="662"/>
    </i>
    <i>
      <x v="491"/>
    </i>
    <i>
      <x v="121"/>
    </i>
    <i>
      <x v="625"/>
    </i>
    <i>
      <x v="62"/>
    </i>
    <i>
      <x v="324"/>
    </i>
    <i>
      <x v="325"/>
    </i>
    <i>
      <x v="766"/>
    </i>
    <i>
      <x v="451"/>
    </i>
    <i>
      <x v="811"/>
    </i>
    <i>
      <x v="497"/>
    </i>
    <i>
      <x v="805"/>
    </i>
    <i>
      <x v="640"/>
    </i>
    <i>
      <x v="190"/>
    </i>
    <i>
      <x v="60"/>
    </i>
    <i>
      <x v="463"/>
    </i>
    <i>
      <x v="55"/>
    </i>
    <i>
      <x v="193"/>
    </i>
    <i>
      <x v="530"/>
    </i>
    <i>
      <x v="739"/>
    </i>
    <i>
      <x v="878"/>
    </i>
    <i>
      <x v="75"/>
    </i>
    <i>
      <x v="309"/>
    </i>
    <i>
      <x v="643"/>
    </i>
    <i>
      <x v="671"/>
    </i>
    <i>
      <x v="542"/>
    </i>
    <i>
      <x v="903"/>
    </i>
    <i>
      <x v="434"/>
    </i>
    <i>
      <x v="799"/>
    </i>
    <i>
      <x v="104"/>
    </i>
    <i>
      <x v="259"/>
    </i>
    <i>
      <x v="441"/>
    </i>
    <i>
      <x v="623"/>
    </i>
    <i>
      <x v="116"/>
    </i>
    <i>
      <x v="413"/>
    </i>
    <i>
      <x v="923"/>
    </i>
    <i>
      <x v="278"/>
    </i>
    <i>
      <x v="607"/>
    </i>
    <i>
      <x v="154"/>
    </i>
    <i>
      <x v="592"/>
    </i>
    <i>
      <x v="450"/>
    </i>
    <i>
      <x v="226"/>
    </i>
    <i>
      <x v="849"/>
    </i>
    <i>
      <x v="543"/>
    </i>
    <i>
      <x v="284"/>
    </i>
    <i>
      <x v="157"/>
    </i>
    <i>
      <x v="318"/>
    </i>
    <i>
      <x v="194"/>
    </i>
    <i>
      <x v="264"/>
    </i>
    <i>
      <x v="329"/>
    </i>
    <i>
      <x v="151"/>
    </i>
    <i>
      <x v="285"/>
    </i>
    <i>
      <x v="64"/>
    </i>
    <i>
      <x v="175"/>
    </i>
    <i>
      <x v="312"/>
    </i>
    <i>
      <x v="832"/>
    </i>
    <i>
      <x v="374"/>
    </i>
    <i>
      <x v="18"/>
    </i>
    <i>
      <x v="807"/>
    </i>
    <i>
      <x v="399"/>
    </i>
    <i>
      <x v="171"/>
    </i>
    <i>
      <x v="211"/>
    </i>
    <i>
      <x v="323"/>
    </i>
    <i>
      <x v="407"/>
    </i>
    <i>
      <x v="603"/>
    </i>
    <i>
      <x v="253"/>
    </i>
    <i>
      <x v="328"/>
    </i>
    <i>
      <x v="665"/>
    </i>
    <i>
      <x v="617"/>
    </i>
    <i>
      <x v="404"/>
    </i>
    <i>
      <x v="817"/>
    </i>
    <i>
      <x v="900"/>
    </i>
    <i>
      <x v="129"/>
    </i>
    <i>
      <x v="755"/>
    </i>
    <i>
      <x v="239"/>
    </i>
    <i>
      <x v="156"/>
    </i>
    <i>
      <x v="556"/>
    </i>
    <i>
      <x v="810"/>
    </i>
    <i>
      <x v="522"/>
    </i>
    <i>
      <x v="645"/>
    </i>
    <i>
      <x v="452"/>
    </i>
    <i>
      <x v="343"/>
    </i>
    <i>
      <x/>
    </i>
    <i>
      <x v="69"/>
    </i>
    <i>
      <x v="360"/>
    </i>
    <i>
      <x v="885"/>
    </i>
    <i>
      <x v="257"/>
    </i>
    <i>
      <x v="756"/>
    </i>
    <i>
      <x v="244"/>
    </i>
    <i>
      <x v="536"/>
    </i>
    <i>
      <x v="255"/>
    </i>
    <i>
      <x v="124"/>
    </i>
    <i>
      <x v="59"/>
    </i>
    <i>
      <x v="231"/>
    </i>
    <i>
      <x v="787"/>
    </i>
    <i>
      <x v="387"/>
    </i>
    <i>
      <x v="246"/>
    </i>
    <i>
      <x v="711"/>
    </i>
    <i>
      <x v="820"/>
    </i>
    <i>
      <x v="339"/>
    </i>
    <i>
      <x v="418"/>
    </i>
    <i>
      <x v="274"/>
    </i>
    <i>
      <x v="258"/>
    </i>
    <i>
      <x v="666"/>
    </i>
    <i>
      <x v="89"/>
    </i>
    <i>
      <x v="383"/>
    </i>
    <i>
      <x v="311"/>
    </i>
    <i>
      <x v="195"/>
    </i>
    <i>
      <x v="251"/>
    </i>
    <i>
      <x v="26"/>
    </i>
    <i>
      <x v="770"/>
    </i>
    <i>
      <x v="657"/>
    </i>
    <i>
      <x v="283"/>
    </i>
    <i>
      <x v="652"/>
    </i>
    <i>
      <x v="532"/>
    </i>
    <i>
      <x v="692"/>
    </i>
    <i>
      <x v="372"/>
    </i>
    <i>
      <x v="331"/>
    </i>
    <i>
      <x v="43"/>
    </i>
    <i>
      <x v="786"/>
    </i>
    <i>
      <x v="599"/>
    </i>
    <i>
      <x v="725"/>
    </i>
    <i>
      <x v="819"/>
    </i>
    <i>
      <x v="563"/>
    </i>
    <i>
      <x v="234"/>
    </i>
    <i>
      <x v="51"/>
    </i>
    <i>
      <x v="886"/>
    </i>
    <i>
      <x v="509"/>
    </i>
    <i>
      <x v="295"/>
    </i>
    <i>
      <x v="695"/>
    </i>
    <i>
      <x v="825"/>
    </i>
    <i>
      <x v="476"/>
    </i>
    <i>
      <x v="189"/>
    </i>
    <i>
      <x v="52"/>
    </i>
    <i>
      <x v="461"/>
    </i>
    <i>
      <x v="533"/>
    </i>
    <i>
      <x v="247"/>
    </i>
    <i>
      <x v="844"/>
    </i>
    <i>
      <x v="570"/>
    </i>
    <i>
      <x v="118"/>
    </i>
    <i>
      <x v="699"/>
    </i>
    <i>
      <x v="198"/>
    </i>
    <i>
      <x v="184"/>
    </i>
    <i>
      <x v="804"/>
    </i>
    <i>
      <x v="73"/>
    </i>
    <i>
      <x v="794"/>
    </i>
    <i>
      <x v="591"/>
    </i>
    <i>
      <x v="420"/>
    </i>
    <i>
      <x v="514"/>
    </i>
    <i>
      <x v="202"/>
    </i>
    <i>
      <x v="635"/>
    </i>
    <i>
      <x v="840"/>
    </i>
    <i>
      <x v="775"/>
    </i>
    <i>
      <x v="49"/>
    </i>
    <i>
      <x v="728"/>
    </i>
    <i>
      <x v="162"/>
    </i>
    <i>
      <x v="138"/>
    </i>
    <i>
      <x v="557"/>
    </i>
    <i>
      <x v="605"/>
    </i>
    <i>
      <x v="474"/>
    </i>
    <i>
      <x v="92"/>
    </i>
    <i>
      <x v="485"/>
    </i>
    <i>
      <x v="896"/>
    </i>
    <i>
      <x v="101"/>
    </i>
    <i>
      <x v="639"/>
    </i>
    <i>
      <x v="827"/>
    </i>
    <i>
      <x v="6"/>
    </i>
    <i>
      <x v="507"/>
    </i>
    <i>
      <x v="713"/>
    </i>
    <i>
      <x v="867"/>
    </i>
    <i>
      <x v="894"/>
    </i>
    <i>
      <x v="545"/>
    </i>
    <i>
      <x v="102"/>
    </i>
    <i>
      <x v="142"/>
    </i>
    <i>
      <x v="583"/>
    </i>
    <i>
      <x v="857"/>
    </i>
    <i>
      <x v="495"/>
    </i>
    <i>
      <x v="866"/>
    </i>
    <i>
      <x v="610"/>
    </i>
    <i>
      <x v="265"/>
    </i>
    <i>
      <x v="455"/>
    </i>
    <i>
      <x v="729"/>
    </i>
    <i>
      <x v="443"/>
    </i>
    <i>
      <x v="294"/>
    </i>
    <i>
      <x v="287"/>
    </i>
    <i>
      <x v="301"/>
    </i>
    <i>
      <x v="33"/>
    </i>
    <i>
      <x v="28"/>
    </i>
    <i>
      <x v="236"/>
    </i>
    <i>
      <x v="232"/>
    </i>
    <i>
      <x v="661"/>
    </i>
    <i>
      <x v="831"/>
    </i>
    <i>
      <x v="66"/>
    </i>
    <i>
      <x v="74"/>
    </i>
    <i>
      <x v="818"/>
    </i>
    <i>
      <x v="746"/>
    </i>
    <i>
      <x v="753"/>
    </i>
    <i>
      <x v="863"/>
    </i>
    <i>
      <x v="754"/>
    </i>
    <i>
      <x v="675"/>
    </i>
    <i>
      <x v="774"/>
    </i>
    <i>
      <x v="576"/>
    </i>
    <i>
      <x v="229"/>
    </i>
    <i>
      <x v="94"/>
    </i>
    <i>
      <x v="791"/>
    </i>
    <i>
      <x v="505"/>
    </i>
    <i>
      <x v="513"/>
    </i>
    <i>
      <x v="724"/>
    </i>
    <i>
      <x v="870"/>
    </i>
    <i>
      <x v="568"/>
    </i>
    <i>
      <x v="519"/>
    </i>
    <i>
      <x v="669"/>
    </i>
    <i>
      <x v="500"/>
    </i>
    <i>
      <x v="334"/>
    </i>
    <i>
      <x v="125"/>
    </i>
    <i>
      <x v="565"/>
    </i>
    <i>
      <x v="163"/>
    </i>
    <i>
      <x v="208"/>
    </i>
    <i>
      <x v="273"/>
    </i>
    <i>
      <x v="13"/>
    </i>
    <i>
      <x v="320"/>
    </i>
    <i>
      <x v="710"/>
    </i>
    <i>
      <x v="444"/>
    </i>
    <i>
      <x v="216"/>
    </i>
    <i>
      <x v="7"/>
    </i>
    <i>
      <x v="267"/>
    </i>
    <i>
      <x v="552"/>
    </i>
    <i>
      <x v="788"/>
    </i>
    <i>
      <x v="467"/>
    </i>
    <i>
      <x v="346"/>
    </i>
    <i>
      <x v="110"/>
    </i>
    <i>
      <x v="717"/>
    </i>
    <i>
      <x v="904"/>
    </i>
    <i>
      <x v="183"/>
    </i>
    <i>
      <x v="483"/>
    </i>
    <i>
      <x v="706"/>
    </i>
    <i>
      <x v="726"/>
    </i>
    <i>
      <x v="550"/>
    </i>
    <i>
      <x v="678"/>
    </i>
    <i>
      <x v="689"/>
    </i>
    <i>
      <x v="826"/>
    </i>
    <i>
      <x v="396"/>
    </i>
    <i>
      <x v="837"/>
    </i>
    <i>
      <x v="341"/>
    </i>
    <i>
      <x v="609"/>
    </i>
    <i>
      <x v="76"/>
    </i>
    <i>
      <x v="24"/>
    </i>
    <i>
      <x v="272"/>
    </i>
    <i>
      <x v="428"/>
    </i>
    <i>
      <x v="96"/>
    </i>
    <i>
      <x v="515"/>
    </i>
    <i>
      <x v="432"/>
    </i>
    <i>
      <x v="611"/>
    </i>
    <i>
      <x v="83"/>
    </i>
    <i>
      <x v="177"/>
    </i>
    <i>
      <x v="534"/>
    </i>
    <i>
      <x v="58"/>
    </i>
    <i>
      <x v="569"/>
    </i>
    <i>
      <x v="540"/>
    </i>
    <i>
      <x v="105"/>
    </i>
    <i>
      <x v="740"/>
    </i>
    <i>
      <x v="330"/>
    </i>
    <i>
      <x v="594"/>
    </i>
    <i>
      <x v="751"/>
    </i>
    <i>
      <x v="721"/>
    </i>
    <i>
      <x v="315"/>
    </i>
    <i>
      <x v="438"/>
    </i>
    <i>
      <x v="752"/>
    </i>
    <i>
      <x v="469"/>
    </i>
    <i>
      <x v="719"/>
    </i>
    <i>
      <x v="252"/>
    </i>
    <i>
      <x v="22"/>
    </i>
    <i>
      <x v="663"/>
    </i>
    <i>
      <x v="898"/>
    </i>
    <i>
      <x v="453"/>
    </i>
    <i>
      <x v="575"/>
    </i>
    <i>
      <x v="369"/>
    </i>
    <i>
      <x v="435"/>
    </i>
    <i>
      <x v="319"/>
    </i>
    <i>
      <x v="370"/>
    </i>
    <i>
      <x v="697"/>
    </i>
    <i>
      <x v="466"/>
    </i>
    <i>
      <x v="141"/>
    </i>
    <i>
      <x v="281"/>
    </i>
    <i>
      <x v="86"/>
    </i>
    <i>
      <x v="143"/>
    </i>
    <i>
      <x v="87"/>
    </i>
    <i>
      <x v="906"/>
    </i>
    <i>
      <x v="376"/>
    </i>
    <i>
      <x v="63"/>
    </i>
    <i>
      <x v="447"/>
    </i>
    <i>
      <x v="636"/>
    </i>
    <i>
      <x v="925"/>
    </i>
    <i>
      <x v="440"/>
    </i>
    <i>
      <x v="109"/>
    </i>
    <i>
      <x v="419"/>
    </i>
    <i>
      <x v="103"/>
    </i>
    <i>
      <x v="762"/>
    </i>
    <i>
      <x v="765"/>
    </i>
    <i>
      <x v="768"/>
    </i>
    <i>
      <x v="385"/>
    </i>
    <i>
      <x v="464"/>
    </i>
    <i>
      <x v="44"/>
    </i>
    <i>
      <x v="742"/>
    </i>
    <i>
      <x v="159"/>
    </i>
    <i>
      <x v="417"/>
    </i>
    <i>
      <x v="91"/>
    </i>
    <i>
      <x v="158"/>
    </i>
    <i>
      <x v="730"/>
    </i>
    <i>
      <x v="298"/>
    </i>
    <i>
      <x v="61"/>
    </i>
    <i>
      <x v="871"/>
    </i>
    <i>
      <x v="722"/>
    </i>
    <i>
      <x v="553"/>
    </i>
    <i>
      <x v="564"/>
    </i>
    <i>
      <x v="361"/>
    </i>
    <i>
      <x v="595"/>
    </i>
    <i>
      <x v="938"/>
    </i>
    <i>
      <x v="841"/>
    </i>
    <i>
      <x v="572"/>
    </i>
    <i>
      <x v="223"/>
    </i>
    <i>
      <x v="406"/>
    </i>
    <i>
      <x v="364"/>
    </i>
    <i>
      <x v="673"/>
    </i>
    <i>
      <x v="668"/>
    </i>
    <i>
      <x v="771"/>
    </i>
    <i>
      <x v="481"/>
    </i>
    <i>
      <x v="353"/>
    </i>
    <i>
      <x v="27"/>
    </i>
    <i>
      <x v="501"/>
    </i>
    <i>
      <x v="477"/>
    </i>
    <i>
      <x v="686"/>
    </i>
    <i>
      <x v="622"/>
    </i>
    <i>
      <x v="709"/>
    </i>
    <i>
      <x v="207"/>
    </i>
    <i>
      <x v="813"/>
    </i>
    <i>
      <x v="365"/>
    </i>
    <i>
      <x v="544"/>
    </i>
    <i>
      <x v="228"/>
    </i>
    <i>
      <x v="327"/>
    </i>
    <i>
      <x v="71"/>
    </i>
    <i>
      <x v="388"/>
    </i>
    <i>
      <x v="612"/>
    </i>
    <i>
      <x v="14"/>
    </i>
    <i>
      <x v="176"/>
    </i>
    <i>
      <x v="19"/>
    </i>
    <i>
      <x v="782"/>
    </i>
    <i>
      <x v="736"/>
    </i>
    <i>
      <x v="642"/>
    </i>
    <i>
      <x v="685"/>
    </i>
    <i>
      <x v="835"/>
    </i>
    <i>
      <x v="445"/>
    </i>
    <i>
      <x v="164"/>
    </i>
    <i>
      <x v="173"/>
    </i>
    <i>
      <x v="128"/>
    </i>
    <i>
      <x v="920"/>
    </i>
    <i>
      <x v="11"/>
    </i>
    <i>
      <x v="660"/>
    </i>
    <i>
      <x v="700"/>
    </i>
    <i>
      <x v="838"/>
    </i>
    <i>
      <x v="166"/>
    </i>
    <i>
      <x v="937"/>
    </i>
    <i>
      <x v="618"/>
    </i>
    <i>
      <x v="359"/>
    </i>
    <i>
      <x v="911"/>
    </i>
    <i>
      <x v="280"/>
    </i>
    <i>
      <x v="704"/>
    </i>
    <i>
      <x v="902"/>
    </i>
    <i>
      <x v="449"/>
    </i>
    <i>
      <x v="773"/>
    </i>
    <i>
      <x v="403"/>
    </i>
    <i>
      <x v="32"/>
    </i>
    <i>
      <x v="511"/>
    </i>
    <i>
      <x v="210"/>
    </i>
    <i>
      <x v="836"/>
    </i>
    <i>
      <x v="529"/>
    </i>
    <i>
      <x v="68"/>
    </i>
    <i>
      <x v="165"/>
    </i>
    <i>
      <x v="687"/>
    </i>
    <i>
      <x v="225"/>
    </i>
    <i>
      <x v="929"/>
    </i>
    <i>
      <x v="653"/>
    </i>
    <i>
      <x v="503"/>
    </i>
    <i>
      <x v="606"/>
    </i>
    <i>
      <x v="213"/>
    </i>
    <i>
      <x v="317"/>
    </i>
    <i>
      <x v="200"/>
    </i>
    <i>
      <x v="78"/>
    </i>
    <i>
      <x v="37"/>
    </i>
    <i>
      <x v="152"/>
    </i>
    <i>
      <x v="366"/>
    </i>
    <i>
      <x v="345"/>
    </i>
    <i>
      <x v="297"/>
    </i>
    <i>
      <x v="822"/>
    </i>
    <i>
      <x v="169"/>
    </i>
    <i>
      <x v="796"/>
    </i>
    <i>
      <x v="868"/>
    </i>
    <i>
      <x v="243"/>
    </i>
    <i>
      <x v="277"/>
    </i>
    <i>
      <x v="528"/>
    </i>
    <i>
      <x v="65"/>
    </i>
    <i>
      <x v="701"/>
    </i>
    <i>
      <x v="538"/>
    </i>
    <i>
      <x v="204"/>
    </i>
    <i>
      <x v="508"/>
    </i>
    <i>
      <x v="233"/>
    </i>
    <i>
      <x v="139"/>
    </i>
    <i>
      <x v="809"/>
    </i>
    <i>
      <x v="803"/>
    </i>
    <i>
      <x v="741"/>
    </i>
    <i>
      <x v="531"/>
    </i>
    <i>
      <x v="909"/>
    </i>
    <i>
      <x v="518"/>
    </i>
    <i>
      <x v="5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OrderID" fld="0" subtotal="count" baseField="0" baseItem="0"/>
    <dataField name="Sum of NetRevenue" fld="14" baseField="0" baseItem="0" numFmtId="164"/>
    <dataField name="Sum of Profit" fld="17" baseField="0" baseItem="0" numFmtId="164"/>
    <dataField name="Sum of Quantity" fld="8" baseField="0" baseItem="0"/>
    <dataField name="Sum of Profit Margin" fld="19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2402F-97D7-4895-B9BE-C1A711780BBB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5:N20" firstHeaderRow="0" firstDataRow="1" firstDataCol="1"/>
  <pivotFields count="21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7"/>
  </rowFields>
  <rowItems count="5">
    <i>
      <x v="2"/>
    </i>
    <i>
      <x v="3"/>
    </i>
    <i>
      <x v="1"/>
    </i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OrderID" fld="0" subtotal="count" baseField="0" baseItem="0"/>
    <dataField name="Sum of NetRevenue" fld="14" baseField="0" baseItem="0" numFmtId="164"/>
    <dataField name="Sum of Profit" fld="17" baseField="0" baseItem="0" numFmtId="164"/>
    <dataField name="Sum of Quantity" fld="8" baseField="0" baseItem="0"/>
    <dataField name="Sum of Profit Margin" fld="19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2CA86-E395-4FAB-BF32-F79A335C0051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:G166" firstHeaderRow="0" firstDataRow="1" firstDataCol="1"/>
  <pivotFields count="21">
    <pivotField showAll="0"/>
    <pivotField numFmtId="14"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151">
        <item x="111"/>
        <item x="86"/>
        <item x="81"/>
        <item x="21"/>
        <item x="3"/>
        <item x="32"/>
        <item x="121"/>
        <item x="99"/>
        <item x="144"/>
        <item x="107"/>
        <item x="47"/>
        <item x="5"/>
        <item x="112"/>
        <item x="71"/>
        <item x="106"/>
        <item x="16"/>
        <item x="19"/>
        <item x="38"/>
        <item x="62"/>
        <item x="6"/>
        <item x="63"/>
        <item x="120"/>
        <item x="44"/>
        <item x="126"/>
        <item x="43"/>
        <item x="42"/>
        <item x="137"/>
        <item x="102"/>
        <item x="74"/>
        <item x="123"/>
        <item x="83"/>
        <item x="78"/>
        <item x="101"/>
        <item x="135"/>
        <item x="143"/>
        <item x="95"/>
        <item x="147"/>
        <item x="11"/>
        <item x="110"/>
        <item x="77"/>
        <item x="0"/>
        <item x="23"/>
        <item x="50"/>
        <item x="84"/>
        <item x="75"/>
        <item x="115"/>
        <item x="108"/>
        <item x="127"/>
        <item x="22"/>
        <item x="70"/>
        <item x="17"/>
        <item x="55"/>
        <item x="116"/>
        <item x="29"/>
        <item x="18"/>
        <item x="148"/>
        <item x="26"/>
        <item x="96"/>
        <item x="149"/>
        <item x="61"/>
        <item x="20"/>
        <item x="60"/>
        <item x="9"/>
        <item x="133"/>
        <item x="4"/>
        <item x="67"/>
        <item x="72"/>
        <item x="36"/>
        <item x="12"/>
        <item x="15"/>
        <item x="30"/>
        <item x="114"/>
        <item x="64"/>
        <item x="124"/>
        <item x="146"/>
        <item x="14"/>
        <item x="58"/>
        <item x="37"/>
        <item x="24"/>
        <item x="138"/>
        <item x="59"/>
        <item x="117"/>
        <item x="41"/>
        <item x="82"/>
        <item x="139"/>
        <item x="85"/>
        <item x="53"/>
        <item x="73"/>
        <item x="134"/>
        <item x="52"/>
        <item x="13"/>
        <item x="35"/>
        <item x="136"/>
        <item x="76"/>
        <item x="28"/>
        <item x="109"/>
        <item x="54"/>
        <item x="80"/>
        <item x="87"/>
        <item x="140"/>
        <item x="93"/>
        <item x="145"/>
        <item x="8"/>
        <item x="94"/>
        <item x="92"/>
        <item x="56"/>
        <item x="141"/>
        <item x="31"/>
        <item x="118"/>
        <item x="57"/>
        <item x="27"/>
        <item x="2"/>
        <item x="122"/>
        <item x="142"/>
        <item x="129"/>
        <item x="98"/>
        <item x="132"/>
        <item x="119"/>
        <item x="1"/>
        <item x="89"/>
        <item x="48"/>
        <item x="79"/>
        <item x="125"/>
        <item x="128"/>
        <item x="90"/>
        <item x="46"/>
        <item x="68"/>
        <item x="103"/>
        <item x="33"/>
        <item x="104"/>
        <item x="66"/>
        <item x="51"/>
        <item x="69"/>
        <item x="130"/>
        <item x="45"/>
        <item x="34"/>
        <item x="97"/>
        <item x="7"/>
        <item x="49"/>
        <item x="65"/>
        <item x="40"/>
        <item x="39"/>
        <item x="91"/>
        <item x="25"/>
        <item x="131"/>
        <item x="113"/>
        <item x="10"/>
        <item x="105"/>
        <item x="88"/>
        <item x="1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151">
    <i>
      <x v="51"/>
    </i>
    <i>
      <x v="122"/>
    </i>
    <i>
      <x v="55"/>
    </i>
    <i>
      <x v="12"/>
    </i>
    <i>
      <x v="107"/>
    </i>
    <i>
      <x v="19"/>
    </i>
    <i>
      <x v="34"/>
    </i>
    <i>
      <x v="27"/>
    </i>
    <i>
      <x v="58"/>
    </i>
    <i>
      <x v="21"/>
    </i>
    <i>
      <x v="108"/>
    </i>
    <i>
      <x v="53"/>
    </i>
    <i>
      <x v="149"/>
    </i>
    <i>
      <x v="84"/>
    </i>
    <i>
      <x v="125"/>
    </i>
    <i>
      <x v="123"/>
    </i>
    <i>
      <x v="50"/>
    </i>
    <i>
      <x v="26"/>
    </i>
    <i>
      <x v="3"/>
    </i>
    <i>
      <x v="102"/>
    </i>
    <i>
      <x v="129"/>
    </i>
    <i>
      <x v="79"/>
    </i>
    <i>
      <x v="28"/>
    </i>
    <i>
      <x v="121"/>
    </i>
    <i>
      <x v="147"/>
    </i>
    <i>
      <x v="96"/>
    </i>
    <i>
      <x v="23"/>
    </i>
    <i>
      <x v="83"/>
    </i>
    <i>
      <x v="62"/>
    </i>
    <i>
      <x v="52"/>
    </i>
    <i>
      <x v="78"/>
    </i>
    <i>
      <x v="124"/>
    </i>
    <i>
      <x v="65"/>
    </i>
    <i>
      <x v="24"/>
    </i>
    <i>
      <x v="127"/>
    </i>
    <i>
      <x v="57"/>
    </i>
    <i>
      <x v="54"/>
    </i>
    <i>
      <x v="75"/>
    </i>
    <i>
      <x v="56"/>
    </i>
    <i>
      <x v="6"/>
    </i>
    <i>
      <x v="22"/>
    </i>
    <i>
      <x v="41"/>
    </i>
    <i>
      <x v="94"/>
    </i>
    <i>
      <x v="77"/>
    </i>
    <i>
      <x v="114"/>
    </i>
    <i>
      <x v="5"/>
    </i>
    <i>
      <x v="33"/>
    </i>
    <i>
      <x v="25"/>
    </i>
    <i>
      <x v="66"/>
    </i>
    <i>
      <x v="63"/>
    </i>
    <i>
      <x v="106"/>
    </i>
    <i>
      <x v="119"/>
    </i>
    <i>
      <x v="20"/>
    </i>
    <i>
      <x v="39"/>
    </i>
    <i>
      <x v="126"/>
    </i>
    <i>
      <x v="61"/>
    </i>
    <i>
      <x v="40"/>
    </i>
    <i>
      <x v="97"/>
    </i>
    <i>
      <x v="131"/>
    </i>
    <i>
      <x v="7"/>
    </i>
    <i>
      <x v="143"/>
    </i>
    <i>
      <x v="103"/>
    </i>
    <i>
      <x v="95"/>
    </i>
    <i>
      <x v="101"/>
    </i>
    <i>
      <x v="49"/>
    </i>
    <i>
      <x v="68"/>
    </i>
    <i>
      <x v="60"/>
    </i>
    <i>
      <x v="98"/>
    </i>
    <i>
      <x v="137"/>
    </i>
    <i>
      <x v="8"/>
    </i>
    <i>
      <x v="112"/>
    </i>
    <i>
      <x v="64"/>
    </i>
    <i>
      <x v="47"/>
    </i>
    <i>
      <x v="30"/>
    </i>
    <i>
      <x v="145"/>
    </i>
    <i>
      <x v="37"/>
    </i>
    <i>
      <x v="48"/>
    </i>
    <i>
      <x v="105"/>
    </i>
    <i>
      <x v="130"/>
    </i>
    <i>
      <x v="15"/>
    </i>
    <i>
      <x v="113"/>
    </i>
    <i>
      <x v="59"/>
    </i>
    <i>
      <x v="46"/>
    </i>
    <i>
      <x v="67"/>
    </i>
    <i>
      <x v="76"/>
    </i>
    <i>
      <x v="133"/>
    </i>
    <i>
      <x v="144"/>
    </i>
    <i>
      <x v="138"/>
    </i>
    <i>
      <x v="4"/>
    </i>
    <i>
      <x v="69"/>
    </i>
    <i>
      <x v="104"/>
    </i>
    <i>
      <x v="1"/>
    </i>
    <i>
      <x v="136"/>
    </i>
    <i>
      <x v="116"/>
    </i>
    <i>
      <x v="148"/>
    </i>
    <i>
      <x v="100"/>
    </i>
    <i>
      <x v="146"/>
    </i>
    <i>
      <x v="99"/>
    </i>
    <i>
      <x v="11"/>
    </i>
    <i>
      <x v="72"/>
    </i>
    <i>
      <x v="74"/>
    </i>
    <i>
      <x v="70"/>
    </i>
    <i>
      <x v="80"/>
    </i>
    <i>
      <x v="38"/>
    </i>
    <i>
      <x v="9"/>
    </i>
    <i>
      <x/>
    </i>
    <i>
      <x v="81"/>
    </i>
    <i>
      <x v="71"/>
    </i>
    <i>
      <x v="10"/>
    </i>
    <i>
      <x v="42"/>
    </i>
    <i>
      <x v="82"/>
    </i>
    <i>
      <x v="73"/>
    </i>
    <i>
      <x v="43"/>
    </i>
    <i>
      <x v="36"/>
    </i>
    <i>
      <x v="93"/>
    </i>
    <i>
      <x v="118"/>
    </i>
    <i>
      <x v="85"/>
    </i>
    <i>
      <x v="87"/>
    </i>
    <i>
      <x v="14"/>
    </i>
    <i>
      <x v="29"/>
    </i>
    <i>
      <x v="32"/>
    </i>
    <i>
      <x v="89"/>
    </i>
    <i>
      <x v="135"/>
    </i>
    <i>
      <x v="109"/>
    </i>
    <i>
      <x v="31"/>
    </i>
    <i>
      <x v="128"/>
    </i>
    <i>
      <x v="13"/>
    </i>
    <i>
      <x v="86"/>
    </i>
    <i>
      <x v="92"/>
    </i>
    <i>
      <x v="120"/>
    </i>
    <i>
      <x v="88"/>
    </i>
    <i>
      <x v="90"/>
    </i>
    <i>
      <x v="142"/>
    </i>
    <i>
      <x v="17"/>
    </i>
    <i>
      <x v="115"/>
    </i>
    <i>
      <x v="141"/>
    </i>
    <i>
      <x v="45"/>
    </i>
    <i>
      <x v="117"/>
    </i>
    <i>
      <x v="44"/>
    </i>
    <i>
      <x v="110"/>
    </i>
    <i>
      <x v="35"/>
    </i>
    <i>
      <x v="132"/>
    </i>
    <i>
      <x v="140"/>
    </i>
    <i>
      <x v="16"/>
    </i>
    <i>
      <x v="18"/>
    </i>
    <i>
      <x v="91"/>
    </i>
    <i>
      <x v="134"/>
    </i>
    <i>
      <x v="2"/>
    </i>
    <i>
      <x v="111"/>
    </i>
    <i>
      <x v="13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Revenue" fld="14" baseField="0" baseItem="0" numFmtId="164"/>
    <dataField name="Sum of Profit" fld="17" baseField="0" baseItem="0" numFmtId="164"/>
    <dataField name="Sum of Quanti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6625D-F884-4E7E-BE40-19C5493EE4F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H9" firstHeaderRow="0" firstDataRow="1" firstDataCol="1"/>
  <pivotFields count="21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6">
        <item x="2"/>
        <item x="1"/>
        <item x="4"/>
        <item x="3"/>
        <item x="0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tRevenue" fld="14" baseField="0" baseItem="0" numFmtId="164"/>
    <dataField name="Sum of Profit" fld="17" baseField="0" baseItem="0" numFmtId="164"/>
    <dataField name="Sum of Quantity" fld="8" baseField="0" baseItem="0"/>
    <dataField name="Sum of Profit Margin" fld="19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17F512-5588-4A1E-BA8F-00CDE73C7EAF}" autoFormatId="16" applyNumberFormats="0" applyBorderFormats="0" applyFontFormats="0" applyPatternFormats="0" applyAlignmentFormats="0" applyWidthHeightFormats="0">
  <queryTableRefresh nextId="9">
    <queryTableFields count="8">
      <queryTableField id="1" name="CustomerID" tableColumnId="1"/>
      <queryTableField id="2" name="CustomerName" tableColumnId="2"/>
      <queryTableField id="3" name="Gender" tableColumnId="3"/>
      <queryTableField id="4" name="Age" tableColumnId="4"/>
      <queryTableField id="5" name="City" tableColumnId="5"/>
      <queryTableField id="6" name="State" tableColumnId="6"/>
      <queryTableField id="7" name="Region" tableColumnId="7"/>
      <queryTableField id="8" name="SignupDat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355DFC0-64BE-4CDD-903F-0E8B99E6B2C1}" autoFormatId="16" applyNumberFormats="0" applyBorderFormats="0" applyFontFormats="0" applyPatternFormats="0" applyAlignmentFormats="0" applyWidthHeightFormats="0">
  <queryTableRefresh nextId="7">
    <queryTableFields count="6">
      <queryTableField id="1" name="ProductID" tableColumnId="1"/>
      <queryTableField id="2" name="ProductName" tableColumnId="2"/>
      <queryTableField id="3" name="Category" tableColumnId="3"/>
      <queryTableField id="4" name="SubCategory" tableColumnId="4"/>
      <queryTableField id="5" name="UnitCost" tableColumnId="5"/>
      <queryTableField id="6" name="UnitPric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B89F46E-B364-4E31-A501-406478EEF64C}" autoFormatId="16" applyNumberFormats="0" applyBorderFormats="0" applyFontFormats="0" applyPatternFormats="0" applyAlignmentFormats="0" applyWidthHeightFormats="0">
  <queryTableRefresh nextId="20" unboundColumnsRight="8">
    <queryTableFields count="19">
      <queryTableField id="1" name="OrderID" tableColumnId="1"/>
      <queryTableField id="2" name="OrderDate" tableColumnId="2"/>
      <queryTableField id="3" name="CustomerID" tableColumnId="3"/>
      <queryTableField id="19" dataBound="0" tableColumnId="20"/>
      <queryTableField id="4" name="ProductID" tableColumnId="4"/>
      <queryTableField id="17" dataBound="0" tableColumnId="18"/>
      <queryTableField id="5" name="StoreID" tableColumnId="5"/>
      <queryTableField id="18" dataBound="0" tableColumnId="19"/>
      <queryTableField id="6" name="Quantity" tableColumnId="6"/>
      <queryTableField id="7" name="Discount" tableColumnId="7"/>
      <queryTableField id="8" name="PaymentMethod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99A97-DC27-475D-831B-D906247E4B25}" name="tblCustomers" displayName="tblCustomers" ref="A1:H8001" tableType="queryTable" totalsRowShown="0">
  <autoFilter ref="A1:H8001" xr:uid="{F5E99A97-DC27-475D-831B-D906247E4B25}"/>
  <tableColumns count="8">
    <tableColumn id="1" xr3:uid="{4EF9A157-10A4-486D-A381-33810FE80EAD}" uniqueName="1" name="CustomerID" queryTableFieldId="1" dataDxfId="26"/>
    <tableColumn id="2" xr3:uid="{16301E9C-AB02-4EA7-9568-8F8E114A5CD8}" uniqueName="2" name="CustomerName" queryTableFieldId="2" dataDxfId="25"/>
    <tableColumn id="3" xr3:uid="{EB414718-B519-4172-BD25-E3E1C26F6967}" uniqueName="3" name="Gender" queryTableFieldId="3" dataDxfId="24"/>
    <tableColumn id="4" xr3:uid="{93EE5733-2F48-45A6-875B-77FC4D35A3A7}" uniqueName="4" name="Age" queryTableFieldId="4"/>
    <tableColumn id="5" xr3:uid="{72E430E9-0AF8-4226-A14C-B52DC8A37342}" uniqueName="5" name="City" queryTableFieldId="5" dataDxfId="23"/>
    <tableColumn id="6" xr3:uid="{B5BDB1F4-189F-47EB-8C70-03E49653204C}" uniqueName="6" name="State" queryTableFieldId="6" dataDxfId="22"/>
    <tableColumn id="7" xr3:uid="{105AE364-4E53-4BE7-89DD-00C4ADE3033A}" uniqueName="7" name="Region" queryTableFieldId="7" dataDxfId="21"/>
    <tableColumn id="8" xr3:uid="{1973FD37-4386-4DF3-B0B5-1114E74865EC}" uniqueName="8" name="SignupDate" queryTableFieldId="8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96C91-F2E2-4851-9CE9-E43C72A8141B}" name="tblProducts" displayName="tblProducts" ref="A1:F151" tableType="queryTable" totalsRowShown="0">
  <autoFilter ref="A1:F151" xr:uid="{0F596C91-F2E2-4851-9CE9-E43C72A8141B}"/>
  <tableColumns count="6">
    <tableColumn id="1" xr3:uid="{164B1C21-249F-467E-9C30-3E68991C4279}" uniqueName="1" name="ProductID" queryTableFieldId="1" dataDxfId="19"/>
    <tableColumn id="2" xr3:uid="{1C3CEBD9-4C7B-4D1F-9191-70CEC020E722}" uniqueName="2" name="ProductName" queryTableFieldId="2" dataDxfId="18"/>
    <tableColumn id="3" xr3:uid="{00EB6339-6C34-4BB1-99F9-FD55442103E4}" uniqueName="3" name="Category" queryTableFieldId="3" dataDxfId="17"/>
    <tableColumn id="4" xr3:uid="{E61BB09E-CFF6-472F-9352-260B66F32B2F}" uniqueName="4" name="SubCategory" queryTableFieldId="4" dataDxfId="16"/>
    <tableColumn id="5" xr3:uid="{0BF2D03A-94CC-448A-B853-7E348887C502}" uniqueName="5" name="UnitCost" queryTableFieldId="5"/>
    <tableColumn id="6" xr3:uid="{7A08D21A-E225-4D84-B6D2-8B296A21D9F1}" uniqueName="6" name="UnitPric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FFB29C-4B1B-4CE7-B0EE-F482FF3FA1DA}" name="tblStores" displayName="tblStores" ref="A1:F26" totalsRowShown="0" headerRowDxfId="15" dataDxfId="14" tableBorderDxfId="13">
  <autoFilter ref="A1:F26" xr:uid="{91FFB29C-4B1B-4CE7-B0EE-F482FF3FA1DA}"/>
  <tableColumns count="6">
    <tableColumn id="1" xr3:uid="{9791010B-2599-4467-B260-0D28B4EE4409}" name="StoreID" dataDxfId="12"/>
    <tableColumn id="2" xr3:uid="{2F232BED-1CF2-4EDF-9AC2-9A32334F570F}" name="StoreName" dataDxfId="11"/>
    <tableColumn id="3" xr3:uid="{12205704-B401-4768-814A-D1EB31454C37}" name="City" dataDxfId="10"/>
    <tableColumn id="4" xr3:uid="{A0FE3B3A-F9E3-49F5-B27A-D1583B2E35C8}" name="State" dataDxfId="9"/>
    <tableColumn id="5" xr3:uid="{DD968E09-6AB7-495E-AA67-079BB6CDCC34}" name="Region" dataDxfId="8"/>
    <tableColumn id="6" xr3:uid="{25951601-D86A-4E95-A4BD-88E843182DBE}" name="StoreType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F6B9F0-C7E2-4959-A548-5D12681810C2}" name="tblTransactions" displayName="tblTransactions" ref="A1:S1001" tableType="queryTable" totalsRowShown="0">
  <autoFilter ref="A1:S1001" xr:uid="{BEF6B9F0-C7E2-4959-A548-5D12681810C2}"/>
  <tableColumns count="19">
    <tableColumn id="1" xr3:uid="{487020AA-5D5C-49E0-A820-D99D3E3D10BA}" uniqueName="1" name="OrderID" queryTableFieldId="1" dataDxfId="36"/>
    <tableColumn id="2" xr3:uid="{0FE6BED9-18D7-4569-A2F5-7A1589BE9F60}" uniqueName="2" name="OrderDate" queryTableFieldId="2" dataDxfId="35"/>
    <tableColumn id="3" xr3:uid="{6C8E2862-95C6-4BFB-9D5B-1A2D84FB04FE}" uniqueName="3" name="CustomerID" queryTableFieldId="3" dataDxfId="34"/>
    <tableColumn id="20" xr3:uid="{B8A673CE-7DC5-47AA-8B07-99FCDD3F1D9C}" uniqueName="20" name="CustomerName" queryTableFieldId="19" dataDxfId="33">
      <calculatedColumnFormula>_xlfn.XLOOKUP(tblTransactions[[#This Row],[CustomerID]],tblCustomers[CustomerID],tblCustomers[CustomerName])</calculatedColumnFormula>
    </tableColumn>
    <tableColumn id="4" xr3:uid="{C7351B1E-787E-4C90-B6EF-B865692F0A25}" uniqueName="4" name="ProductID" queryTableFieldId="4" dataDxfId="32"/>
    <tableColumn id="18" xr3:uid="{C2DC6825-78DA-4164-8800-2E915F4828D2}" uniqueName="18" name="ProductName" queryTableFieldId="17" dataDxfId="31">
      <calculatedColumnFormula>_xlfn.XLOOKUP(tblTransactions[[#This Row],[ProductID]],tblProducts[ProductID],tblProducts[ProductName])</calculatedColumnFormula>
    </tableColumn>
    <tableColumn id="5" xr3:uid="{572A9E46-F62A-488E-8A8B-5A4D05C1E538}" uniqueName="5" name="StoreID" queryTableFieldId="5" dataDxfId="30"/>
    <tableColumn id="19" xr3:uid="{D9EC8A2B-F4EC-41AE-B676-F8999048ABC7}" uniqueName="19" name="Region" queryTableFieldId="18" dataDxfId="29">
      <calculatedColumnFormula>_xlfn.XLOOKUP(tblTransactions[[#This Row],[StoreID]],tblStores[StoreID],tblStores[Region])</calculatedColumnFormula>
    </tableColumn>
    <tableColumn id="6" xr3:uid="{3C7ADC94-DE2D-4728-BE34-0F313A0533A8}" uniqueName="6" name="Quantity" queryTableFieldId="6"/>
    <tableColumn id="7" xr3:uid="{6597C18E-62A5-40E9-AA03-912102DA99F8}" uniqueName="7" name="Discount" queryTableFieldId="7"/>
    <tableColumn id="8" xr3:uid="{106BAD05-1AFA-4BEE-90C0-69CF2C6170D3}" uniqueName="8" name="PaymentMethod" queryTableFieldId="8" dataDxfId="28"/>
    <tableColumn id="9" xr3:uid="{CBA3EEBD-DFDE-46C2-8599-3FD20B9EE015}" uniqueName="9" name="UnitPrice" queryTableFieldId="9" dataDxfId="0">
      <calculatedColumnFormula>_xlfn.XLOOKUP(tblTransactions[[#This Row],[ProductID]],tblProducts[ProductID],tblProducts[UnitPrice])</calculatedColumnFormula>
    </tableColumn>
    <tableColumn id="10" xr3:uid="{7EC116E9-1BB0-44A7-B24F-DEB79F41E5CA}" uniqueName="10" name="GrossSales" queryTableFieldId="10" dataDxfId="2">
      <calculatedColumnFormula>tblTransactions[[#This Row],[Quantity]]*tblTransactions[[#This Row],[UnitPrice]]</calculatedColumnFormula>
    </tableColumn>
    <tableColumn id="11" xr3:uid="{DC02EFB9-3FFF-4891-B1A7-F5DD48A15E5B}" uniqueName="11" name="DiscountAmount" queryTableFieldId="11" dataDxfId="1">
      <calculatedColumnFormula>tblTransactions[[#This Row],[GrossSales]]*tblTransactions[[#This Row],[Discount]]</calculatedColumnFormula>
    </tableColumn>
    <tableColumn id="12" xr3:uid="{D73B28A4-2821-4FB8-92EE-AEDED4AB5117}" uniqueName="12" name="NetRevenue" queryTableFieldId="12" dataDxfId="3">
      <calculatedColumnFormula>tblTransactions[[#This Row],[GrossSales]]-tblTransactions[[#This Row],[DiscountAmount]]</calculatedColumnFormula>
    </tableColumn>
    <tableColumn id="13" xr3:uid="{A2FB22CE-814C-47A1-A3DF-E74301344A4A}" uniqueName="13" name="UnitCost" queryTableFieldId="13" dataDxfId="4">
      <calculatedColumnFormula>_xlfn.XLOOKUP(tblTransactions[[#This Row],[ProductID]],tblProducts[ProductID],tblProducts[UnitCost])</calculatedColumnFormula>
    </tableColumn>
    <tableColumn id="14" xr3:uid="{95882F89-E41E-4CCF-8006-7F7862AB8A5A}" uniqueName="14" name="TotalCost" queryTableFieldId="14" dataDxfId="5">
      <calculatedColumnFormula>tblTransactions[[#This Row],[Quantity]]*tblTransactions[[#This Row],[UnitCost]]</calculatedColumnFormula>
    </tableColumn>
    <tableColumn id="15" xr3:uid="{0C3044CD-56D1-4BB3-A3A2-9689D4E7927D}" uniqueName="15" name="Profit" queryTableFieldId="15" dataDxfId="6">
      <calculatedColumnFormula>tblTransactions[[#This Row],[NetRevenue]]-tblTransactions[[#This Row],[TotalCost]]</calculatedColumnFormula>
    </tableColumn>
    <tableColumn id="16" xr3:uid="{68ABD274-A4AE-432E-8CB2-ACB930A5AE42}" uniqueName="16" name="Category" queryTableFieldId="16" dataDxfId="27">
      <calculatedColumnFormula>_xlfn.XLOOKUP(tblTransactions[[#This Row],[ProductID]],tblProducts[ProductID],tblProducts[Category])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6BC4-EB56-49E3-B7F2-EF8F41E17564}">
  <dimension ref="A1:H8001"/>
  <sheetViews>
    <sheetView workbookViewId="0">
      <selection activeCell="A5" sqref="A5"/>
    </sheetView>
  </sheetViews>
  <sheetFormatPr defaultRowHeight="14.4"/>
  <cols>
    <col min="1" max="1" width="13.109375" bestFit="1" customWidth="1"/>
    <col min="2" max="2" width="23.109375" bestFit="1" customWidth="1"/>
    <col min="3" max="3" width="9.33203125" bestFit="1" customWidth="1"/>
    <col min="4" max="4" width="6.44140625" bestFit="1" customWidth="1"/>
    <col min="5" max="5" width="12" bestFit="1" customWidth="1"/>
    <col min="6" max="6" width="12.21875" bestFit="1" customWidth="1"/>
    <col min="7" max="7" width="9" bestFit="1" customWidth="1"/>
    <col min="8" max="8" width="12.88671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32</v>
      </c>
      <c r="E2" t="s">
        <v>11</v>
      </c>
      <c r="F2" t="s">
        <v>11</v>
      </c>
      <c r="G2" t="s">
        <v>12</v>
      </c>
      <c r="H2" s="1">
        <v>45125</v>
      </c>
    </row>
    <row r="3" spans="1:8">
      <c r="A3" t="s">
        <v>13</v>
      </c>
      <c r="B3" t="s">
        <v>14</v>
      </c>
      <c r="C3" t="s">
        <v>10</v>
      </c>
      <c r="D3">
        <v>55</v>
      </c>
      <c r="E3" t="s">
        <v>15</v>
      </c>
      <c r="F3" t="s">
        <v>16</v>
      </c>
      <c r="G3" t="s">
        <v>17</v>
      </c>
      <c r="H3" s="1">
        <v>45947</v>
      </c>
    </row>
    <row r="4" spans="1:8">
      <c r="A4" t="s">
        <v>18</v>
      </c>
      <c r="B4" t="s">
        <v>19</v>
      </c>
      <c r="C4" t="s">
        <v>10</v>
      </c>
      <c r="D4">
        <v>32</v>
      </c>
      <c r="E4" t="s">
        <v>20</v>
      </c>
      <c r="F4" t="s">
        <v>21</v>
      </c>
      <c r="G4" t="s">
        <v>22</v>
      </c>
      <c r="H4" s="1">
        <v>44753</v>
      </c>
    </row>
    <row r="5" spans="1:8">
      <c r="A5" t="s">
        <v>23</v>
      </c>
      <c r="B5" t="s">
        <v>24</v>
      </c>
      <c r="C5" t="s">
        <v>10</v>
      </c>
      <c r="D5">
        <v>63</v>
      </c>
      <c r="E5" t="s">
        <v>20</v>
      </c>
      <c r="F5" t="s">
        <v>21</v>
      </c>
      <c r="G5" t="s">
        <v>22</v>
      </c>
      <c r="H5" s="1">
        <v>45711</v>
      </c>
    </row>
    <row r="6" spans="1:8">
      <c r="A6" t="s">
        <v>25</v>
      </c>
      <c r="B6" t="s">
        <v>26</v>
      </c>
      <c r="C6" t="s">
        <v>10</v>
      </c>
      <c r="D6">
        <v>46</v>
      </c>
      <c r="E6" t="s">
        <v>27</v>
      </c>
      <c r="F6" t="s">
        <v>28</v>
      </c>
      <c r="G6" t="s">
        <v>12</v>
      </c>
      <c r="H6" s="1">
        <v>45421</v>
      </c>
    </row>
    <row r="7" spans="1:8">
      <c r="A7" t="s">
        <v>29</v>
      </c>
      <c r="B7" t="s">
        <v>30</v>
      </c>
      <c r="C7" t="s">
        <v>31</v>
      </c>
      <c r="D7">
        <v>39</v>
      </c>
      <c r="E7" t="s">
        <v>11</v>
      </c>
      <c r="F7" t="s">
        <v>11</v>
      </c>
      <c r="G7" t="s">
        <v>12</v>
      </c>
      <c r="H7" s="1">
        <v>44888</v>
      </c>
    </row>
    <row r="8" spans="1:8">
      <c r="A8" t="s">
        <v>32</v>
      </c>
      <c r="B8" t="s">
        <v>33</v>
      </c>
      <c r="C8" t="s">
        <v>10</v>
      </c>
      <c r="D8">
        <v>23</v>
      </c>
      <c r="E8" t="s">
        <v>34</v>
      </c>
      <c r="F8" t="s">
        <v>16</v>
      </c>
      <c r="G8" t="s">
        <v>17</v>
      </c>
      <c r="H8" s="1">
        <v>45251</v>
      </c>
    </row>
    <row r="9" spans="1:8">
      <c r="A9" t="s">
        <v>35</v>
      </c>
      <c r="B9" t="s">
        <v>36</v>
      </c>
      <c r="C9" t="s">
        <v>31</v>
      </c>
      <c r="D9">
        <v>69</v>
      </c>
      <c r="E9" t="s">
        <v>37</v>
      </c>
      <c r="F9" t="s">
        <v>38</v>
      </c>
      <c r="G9" t="s">
        <v>22</v>
      </c>
      <c r="H9" s="1">
        <v>45266</v>
      </c>
    </row>
    <row r="10" spans="1:8">
      <c r="A10" t="s">
        <v>39</v>
      </c>
      <c r="B10" t="s">
        <v>40</v>
      </c>
      <c r="C10" t="s">
        <v>10</v>
      </c>
      <c r="D10">
        <v>42</v>
      </c>
      <c r="E10" t="s">
        <v>41</v>
      </c>
      <c r="F10" t="s">
        <v>42</v>
      </c>
      <c r="G10" t="s">
        <v>17</v>
      </c>
      <c r="H10" s="1">
        <v>45660</v>
      </c>
    </row>
    <row r="11" spans="1:8">
      <c r="A11" t="s">
        <v>43</v>
      </c>
      <c r="B11" t="s">
        <v>44</v>
      </c>
      <c r="C11" t="s">
        <v>31</v>
      </c>
      <c r="D11">
        <v>54</v>
      </c>
      <c r="E11" t="s">
        <v>45</v>
      </c>
      <c r="F11" t="s">
        <v>46</v>
      </c>
      <c r="G11" t="s">
        <v>17</v>
      </c>
      <c r="H11" s="1">
        <v>45849</v>
      </c>
    </row>
    <row r="12" spans="1:8">
      <c r="A12" t="s">
        <v>47</v>
      </c>
      <c r="B12" t="s">
        <v>48</v>
      </c>
      <c r="C12" t="s">
        <v>10</v>
      </c>
      <c r="D12">
        <v>67</v>
      </c>
      <c r="E12" t="s">
        <v>49</v>
      </c>
      <c r="F12" t="s">
        <v>16</v>
      </c>
      <c r="G12" t="s">
        <v>17</v>
      </c>
      <c r="H12" s="1">
        <v>44655</v>
      </c>
    </row>
    <row r="13" spans="1:8">
      <c r="A13" t="s">
        <v>50</v>
      </c>
      <c r="B13" t="s">
        <v>51</v>
      </c>
      <c r="C13" t="s">
        <v>10</v>
      </c>
      <c r="D13">
        <v>42</v>
      </c>
      <c r="E13" t="s">
        <v>15</v>
      </c>
      <c r="F13" t="s">
        <v>16</v>
      </c>
      <c r="G13" t="s">
        <v>17</v>
      </c>
      <c r="H13" s="1">
        <v>45038</v>
      </c>
    </row>
    <row r="14" spans="1:8">
      <c r="A14" t="s">
        <v>52</v>
      </c>
      <c r="B14" t="s">
        <v>53</v>
      </c>
      <c r="C14" t="s">
        <v>31</v>
      </c>
      <c r="D14">
        <v>40</v>
      </c>
      <c r="E14" t="s">
        <v>45</v>
      </c>
      <c r="F14" t="s">
        <v>46</v>
      </c>
      <c r="G14" t="s">
        <v>17</v>
      </c>
      <c r="H14" s="1">
        <v>44895</v>
      </c>
    </row>
    <row r="15" spans="1:8">
      <c r="A15" t="s">
        <v>54</v>
      </c>
      <c r="B15" t="s">
        <v>55</v>
      </c>
      <c r="C15" t="s">
        <v>10</v>
      </c>
      <c r="D15">
        <v>56</v>
      </c>
      <c r="E15" t="s">
        <v>45</v>
      </c>
      <c r="F15" t="s">
        <v>46</v>
      </c>
      <c r="G15" t="s">
        <v>17</v>
      </c>
      <c r="H15" s="1">
        <v>45999</v>
      </c>
    </row>
    <row r="16" spans="1:8">
      <c r="A16" t="s">
        <v>56</v>
      </c>
      <c r="B16" t="s">
        <v>57</v>
      </c>
      <c r="C16" t="s">
        <v>10</v>
      </c>
      <c r="D16">
        <v>47</v>
      </c>
      <c r="E16" t="s">
        <v>27</v>
      </c>
      <c r="F16" t="s">
        <v>28</v>
      </c>
      <c r="G16" t="s">
        <v>12</v>
      </c>
      <c r="H16" s="1">
        <v>45063</v>
      </c>
    </row>
    <row r="17" spans="1:8">
      <c r="A17" t="s">
        <v>58</v>
      </c>
      <c r="B17" t="s">
        <v>59</v>
      </c>
      <c r="C17" t="s">
        <v>31</v>
      </c>
      <c r="D17">
        <v>67</v>
      </c>
      <c r="E17" t="s">
        <v>60</v>
      </c>
      <c r="F17" t="s">
        <v>21</v>
      </c>
      <c r="G17" t="s">
        <v>22</v>
      </c>
      <c r="H17" s="1">
        <v>45011</v>
      </c>
    </row>
    <row r="18" spans="1:8">
      <c r="A18" t="s">
        <v>61</v>
      </c>
      <c r="B18" t="s">
        <v>62</v>
      </c>
      <c r="C18" t="s">
        <v>31</v>
      </c>
      <c r="D18">
        <v>43</v>
      </c>
      <c r="E18" t="s">
        <v>63</v>
      </c>
      <c r="F18" t="s">
        <v>64</v>
      </c>
      <c r="G18" t="s">
        <v>12</v>
      </c>
      <c r="H18" s="1">
        <v>44627</v>
      </c>
    </row>
    <row r="19" spans="1:8">
      <c r="A19" t="s">
        <v>65</v>
      </c>
      <c r="B19" t="s">
        <v>66</v>
      </c>
      <c r="C19" t="s">
        <v>31</v>
      </c>
      <c r="D19">
        <v>31</v>
      </c>
      <c r="E19" t="s">
        <v>34</v>
      </c>
      <c r="F19" t="s">
        <v>16</v>
      </c>
      <c r="G19" t="s">
        <v>17</v>
      </c>
      <c r="H19" s="1">
        <v>45723</v>
      </c>
    </row>
    <row r="20" spans="1:8">
      <c r="A20" t="s">
        <v>67</v>
      </c>
      <c r="B20" t="s">
        <v>68</v>
      </c>
      <c r="C20" t="s">
        <v>31</v>
      </c>
      <c r="D20">
        <v>27</v>
      </c>
      <c r="E20" t="s">
        <v>69</v>
      </c>
      <c r="F20" t="s">
        <v>69</v>
      </c>
      <c r="G20" t="s">
        <v>12</v>
      </c>
      <c r="H20" s="1">
        <v>45878</v>
      </c>
    </row>
    <row r="21" spans="1:8">
      <c r="A21" t="s">
        <v>70</v>
      </c>
      <c r="B21" t="s">
        <v>71</v>
      </c>
      <c r="C21" t="s">
        <v>31</v>
      </c>
      <c r="D21">
        <v>65</v>
      </c>
      <c r="E21" t="s">
        <v>34</v>
      </c>
      <c r="F21" t="s">
        <v>16</v>
      </c>
      <c r="G21" t="s">
        <v>17</v>
      </c>
      <c r="H21" s="1">
        <v>45711</v>
      </c>
    </row>
    <row r="22" spans="1:8">
      <c r="A22" t="s">
        <v>72</v>
      </c>
      <c r="B22" t="s">
        <v>73</v>
      </c>
      <c r="C22" t="s">
        <v>31</v>
      </c>
      <c r="D22">
        <v>32</v>
      </c>
      <c r="E22" t="s">
        <v>27</v>
      </c>
      <c r="F22" t="s">
        <v>28</v>
      </c>
      <c r="G22" t="s">
        <v>12</v>
      </c>
      <c r="H22" s="1">
        <v>45379</v>
      </c>
    </row>
    <row r="23" spans="1:8">
      <c r="A23" t="s">
        <v>74</v>
      </c>
      <c r="B23" t="s">
        <v>75</v>
      </c>
      <c r="C23" t="s">
        <v>31</v>
      </c>
      <c r="D23">
        <v>23</v>
      </c>
      <c r="E23" t="s">
        <v>76</v>
      </c>
      <c r="F23" t="s">
        <v>77</v>
      </c>
      <c r="G23" t="s">
        <v>78</v>
      </c>
      <c r="H23" s="1">
        <v>45605</v>
      </c>
    </row>
    <row r="24" spans="1:8">
      <c r="A24" t="s">
        <v>79</v>
      </c>
      <c r="B24" t="s">
        <v>80</v>
      </c>
      <c r="C24" t="s">
        <v>10</v>
      </c>
      <c r="D24">
        <v>68</v>
      </c>
      <c r="E24" t="s">
        <v>11</v>
      </c>
      <c r="F24" t="s">
        <v>11</v>
      </c>
      <c r="G24" t="s">
        <v>12</v>
      </c>
      <c r="H24" s="1">
        <v>44875</v>
      </c>
    </row>
    <row r="25" spans="1:8">
      <c r="A25" t="s">
        <v>81</v>
      </c>
      <c r="B25" t="s">
        <v>82</v>
      </c>
      <c r="C25" t="s">
        <v>31</v>
      </c>
      <c r="D25">
        <v>42</v>
      </c>
      <c r="E25" t="s">
        <v>27</v>
      </c>
      <c r="F25" t="s">
        <v>28</v>
      </c>
      <c r="G25" t="s">
        <v>12</v>
      </c>
      <c r="H25" s="1">
        <v>44692</v>
      </c>
    </row>
    <row r="26" spans="1:8">
      <c r="A26" t="s">
        <v>83</v>
      </c>
      <c r="B26" t="s">
        <v>84</v>
      </c>
      <c r="C26" t="s">
        <v>31</v>
      </c>
      <c r="D26">
        <v>53</v>
      </c>
      <c r="E26" t="s">
        <v>69</v>
      </c>
      <c r="F26" t="s">
        <v>69</v>
      </c>
      <c r="G26" t="s">
        <v>12</v>
      </c>
      <c r="H26" s="1">
        <v>45645</v>
      </c>
    </row>
    <row r="27" spans="1:8">
      <c r="A27" t="s">
        <v>85</v>
      </c>
      <c r="B27" t="s">
        <v>86</v>
      </c>
      <c r="C27" t="s">
        <v>10</v>
      </c>
      <c r="D27">
        <v>61</v>
      </c>
      <c r="E27" t="s">
        <v>87</v>
      </c>
      <c r="F27" t="s">
        <v>88</v>
      </c>
      <c r="G27" t="s">
        <v>78</v>
      </c>
      <c r="H27" s="1">
        <v>45955</v>
      </c>
    </row>
    <row r="28" spans="1:8">
      <c r="A28" t="s">
        <v>89</v>
      </c>
      <c r="B28" t="s">
        <v>90</v>
      </c>
      <c r="C28" t="s">
        <v>31</v>
      </c>
      <c r="D28">
        <v>25</v>
      </c>
      <c r="E28" t="s">
        <v>91</v>
      </c>
      <c r="F28" t="s">
        <v>92</v>
      </c>
      <c r="G28" t="s">
        <v>78</v>
      </c>
      <c r="H28" s="1">
        <v>45874</v>
      </c>
    </row>
    <row r="29" spans="1:8">
      <c r="A29" t="s">
        <v>93</v>
      </c>
      <c r="B29" t="s">
        <v>94</v>
      </c>
      <c r="C29" t="s">
        <v>10</v>
      </c>
      <c r="D29">
        <v>64</v>
      </c>
      <c r="E29" t="s">
        <v>34</v>
      </c>
      <c r="F29" t="s">
        <v>16</v>
      </c>
      <c r="G29" t="s">
        <v>17</v>
      </c>
      <c r="H29" s="1">
        <v>45491</v>
      </c>
    </row>
    <row r="30" spans="1:8">
      <c r="A30" t="s">
        <v>95</v>
      </c>
      <c r="B30" t="s">
        <v>96</v>
      </c>
      <c r="C30" t="s">
        <v>10</v>
      </c>
      <c r="D30">
        <v>50</v>
      </c>
      <c r="E30" t="s">
        <v>91</v>
      </c>
      <c r="F30" t="s">
        <v>92</v>
      </c>
      <c r="G30" t="s">
        <v>78</v>
      </c>
      <c r="H30" s="1">
        <v>45587</v>
      </c>
    </row>
    <row r="31" spans="1:8">
      <c r="A31" t="s">
        <v>97</v>
      </c>
      <c r="B31" t="s">
        <v>98</v>
      </c>
      <c r="C31" t="s">
        <v>10</v>
      </c>
      <c r="D31">
        <v>27</v>
      </c>
      <c r="E31" t="s">
        <v>91</v>
      </c>
      <c r="F31" t="s">
        <v>92</v>
      </c>
      <c r="G31" t="s">
        <v>78</v>
      </c>
      <c r="H31" s="1">
        <v>45870</v>
      </c>
    </row>
    <row r="32" spans="1:8">
      <c r="A32" t="s">
        <v>99</v>
      </c>
      <c r="B32" t="s">
        <v>100</v>
      </c>
      <c r="C32" t="s">
        <v>10</v>
      </c>
      <c r="D32">
        <v>56</v>
      </c>
      <c r="E32" t="s">
        <v>101</v>
      </c>
      <c r="F32" t="s">
        <v>21</v>
      </c>
      <c r="G32" t="s">
        <v>22</v>
      </c>
      <c r="H32" s="1">
        <v>45666</v>
      </c>
    </row>
    <row r="33" spans="1:8">
      <c r="A33" t="s">
        <v>102</v>
      </c>
      <c r="B33" t="s">
        <v>103</v>
      </c>
      <c r="C33" t="s">
        <v>31</v>
      </c>
      <c r="D33">
        <v>69</v>
      </c>
      <c r="E33" t="s">
        <v>20</v>
      </c>
      <c r="F33" t="s">
        <v>21</v>
      </c>
      <c r="G33" t="s">
        <v>22</v>
      </c>
      <c r="H33" s="1">
        <v>44791</v>
      </c>
    </row>
    <row r="34" spans="1:8">
      <c r="A34" t="s">
        <v>104</v>
      </c>
      <c r="B34" t="s">
        <v>105</v>
      </c>
      <c r="C34" t="s">
        <v>10</v>
      </c>
      <c r="D34">
        <v>23</v>
      </c>
      <c r="E34" t="s">
        <v>20</v>
      </c>
      <c r="F34" t="s">
        <v>21</v>
      </c>
      <c r="G34" t="s">
        <v>22</v>
      </c>
      <c r="H34" s="1">
        <v>45055</v>
      </c>
    </row>
    <row r="35" spans="1:8">
      <c r="A35" t="s">
        <v>106</v>
      </c>
      <c r="B35" t="s">
        <v>107</v>
      </c>
      <c r="C35" t="s">
        <v>10</v>
      </c>
      <c r="D35">
        <v>26</v>
      </c>
      <c r="E35" t="s">
        <v>11</v>
      </c>
      <c r="F35" t="s">
        <v>11</v>
      </c>
      <c r="G35" t="s">
        <v>12</v>
      </c>
      <c r="H35" s="1">
        <v>45652</v>
      </c>
    </row>
    <row r="36" spans="1:8">
      <c r="A36" t="s">
        <v>108</v>
      </c>
      <c r="B36" t="s">
        <v>109</v>
      </c>
      <c r="C36" t="s">
        <v>31</v>
      </c>
      <c r="D36">
        <v>51</v>
      </c>
      <c r="E36" t="s">
        <v>27</v>
      </c>
      <c r="F36" t="s">
        <v>28</v>
      </c>
      <c r="G36" t="s">
        <v>12</v>
      </c>
      <c r="H36" s="1">
        <v>44900</v>
      </c>
    </row>
    <row r="37" spans="1:8">
      <c r="A37" t="s">
        <v>110</v>
      </c>
      <c r="B37" t="s">
        <v>111</v>
      </c>
      <c r="C37" t="s">
        <v>10</v>
      </c>
      <c r="D37">
        <v>63</v>
      </c>
      <c r="E37" t="s">
        <v>112</v>
      </c>
      <c r="F37" t="s">
        <v>113</v>
      </c>
      <c r="G37" t="s">
        <v>78</v>
      </c>
      <c r="H37" s="1">
        <v>44995</v>
      </c>
    </row>
    <row r="38" spans="1:8">
      <c r="A38" t="s">
        <v>114</v>
      </c>
      <c r="B38" t="s">
        <v>115</v>
      </c>
      <c r="C38" t="s">
        <v>31</v>
      </c>
      <c r="D38">
        <v>25</v>
      </c>
      <c r="E38" t="s">
        <v>37</v>
      </c>
      <c r="F38" t="s">
        <v>38</v>
      </c>
      <c r="G38" t="s">
        <v>22</v>
      </c>
      <c r="H38" s="1">
        <v>45459</v>
      </c>
    </row>
    <row r="39" spans="1:8">
      <c r="A39" t="s">
        <v>116</v>
      </c>
      <c r="B39" t="s">
        <v>117</v>
      </c>
      <c r="C39" t="s">
        <v>10</v>
      </c>
      <c r="D39">
        <v>55</v>
      </c>
      <c r="E39" t="s">
        <v>15</v>
      </c>
      <c r="F39" t="s">
        <v>16</v>
      </c>
      <c r="G39" t="s">
        <v>17</v>
      </c>
      <c r="H39" s="1">
        <v>45254</v>
      </c>
    </row>
    <row r="40" spans="1:8">
      <c r="A40" t="s">
        <v>118</v>
      </c>
      <c r="B40" t="s">
        <v>119</v>
      </c>
      <c r="C40" t="s">
        <v>10</v>
      </c>
      <c r="D40">
        <v>22</v>
      </c>
      <c r="E40" t="s">
        <v>60</v>
      </c>
      <c r="F40" t="s">
        <v>21</v>
      </c>
      <c r="G40" t="s">
        <v>22</v>
      </c>
      <c r="H40" s="1">
        <v>45013</v>
      </c>
    </row>
    <row r="41" spans="1:8">
      <c r="A41" t="s">
        <v>120</v>
      </c>
      <c r="B41" t="s">
        <v>121</v>
      </c>
      <c r="C41" t="s">
        <v>10</v>
      </c>
      <c r="D41">
        <v>20</v>
      </c>
      <c r="E41" t="s">
        <v>11</v>
      </c>
      <c r="F41" t="s">
        <v>11</v>
      </c>
      <c r="G41" t="s">
        <v>12</v>
      </c>
      <c r="H41" s="1">
        <v>45030</v>
      </c>
    </row>
    <row r="42" spans="1:8">
      <c r="A42" t="s">
        <v>122</v>
      </c>
      <c r="B42" t="s">
        <v>123</v>
      </c>
      <c r="C42" t="s">
        <v>10</v>
      </c>
      <c r="D42">
        <v>35</v>
      </c>
      <c r="E42" t="s">
        <v>87</v>
      </c>
      <c r="F42" t="s">
        <v>88</v>
      </c>
      <c r="G42" t="s">
        <v>78</v>
      </c>
      <c r="H42" s="1">
        <v>45614</v>
      </c>
    </row>
    <row r="43" spans="1:8">
      <c r="A43" t="s">
        <v>124</v>
      </c>
      <c r="B43" t="s">
        <v>125</v>
      </c>
      <c r="C43" t="s">
        <v>10</v>
      </c>
      <c r="D43">
        <v>64</v>
      </c>
      <c r="E43" t="s">
        <v>63</v>
      </c>
      <c r="F43" t="s">
        <v>64</v>
      </c>
      <c r="G43" t="s">
        <v>12</v>
      </c>
      <c r="H43" s="1">
        <v>45666</v>
      </c>
    </row>
    <row r="44" spans="1:8">
      <c r="A44" t="s">
        <v>126</v>
      </c>
      <c r="B44" t="s">
        <v>127</v>
      </c>
      <c r="C44" t="s">
        <v>31</v>
      </c>
      <c r="D44">
        <v>33</v>
      </c>
      <c r="E44" t="s">
        <v>128</v>
      </c>
      <c r="F44" t="s">
        <v>129</v>
      </c>
      <c r="G44" t="s">
        <v>78</v>
      </c>
      <c r="H44" s="1">
        <v>45742</v>
      </c>
    </row>
    <row r="45" spans="1:8">
      <c r="A45" t="s">
        <v>130</v>
      </c>
      <c r="B45" t="s">
        <v>131</v>
      </c>
      <c r="C45" t="s">
        <v>10</v>
      </c>
      <c r="D45">
        <v>24</v>
      </c>
      <c r="E45" t="s">
        <v>69</v>
      </c>
      <c r="F45" t="s">
        <v>69</v>
      </c>
      <c r="G45" t="s">
        <v>12</v>
      </c>
      <c r="H45" s="1">
        <v>44951</v>
      </c>
    </row>
    <row r="46" spans="1:8">
      <c r="A46" t="s">
        <v>132</v>
      </c>
      <c r="B46" t="s">
        <v>133</v>
      </c>
      <c r="C46" t="s">
        <v>31</v>
      </c>
      <c r="D46">
        <v>47</v>
      </c>
      <c r="E46" t="s">
        <v>134</v>
      </c>
      <c r="F46" t="s">
        <v>28</v>
      </c>
      <c r="G46" t="s">
        <v>12</v>
      </c>
      <c r="H46" s="1">
        <v>45429</v>
      </c>
    </row>
    <row r="47" spans="1:8">
      <c r="A47" t="s">
        <v>135</v>
      </c>
      <c r="B47" t="s">
        <v>136</v>
      </c>
      <c r="C47" t="s">
        <v>10</v>
      </c>
      <c r="D47">
        <v>21</v>
      </c>
      <c r="E47" t="s">
        <v>87</v>
      </c>
      <c r="F47" t="s">
        <v>88</v>
      </c>
      <c r="G47" t="s">
        <v>78</v>
      </c>
      <c r="H47" s="1">
        <v>45941</v>
      </c>
    </row>
    <row r="48" spans="1:8">
      <c r="A48" t="s">
        <v>137</v>
      </c>
      <c r="B48" t="s">
        <v>138</v>
      </c>
      <c r="C48" t="s">
        <v>10</v>
      </c>
      <c r="D48">
        <v>30</v>
      </c>
      <c r="E48" t="s">
        <v>37</v>
      </c>
      <c r="F48" t="s">
        <v>38</v>
      </c>
      <c r="G48" t="s">
        <v>22</v>
      </c>
      <c r="H48" s="1">
        <v>44785</v>
      </c>
    </row>
    <row r="49" spans="1:8">
      <c r="A49" t="s">
        <v>139</v>
      </c>
      <c r="B49" t="s">
        <v>140</v>
      </c>
      <c r="C49" t="s">
        <v>31</v>
      </c>
      <c r="D49">
        <v>29</v>
      </c>
      <c r="E49" t="s">
        <v>41</v>
      </c>
      <c r="F49" t="s">
        <v>42</v>
      </c>
      <c r="G49" t="s">
        <v>17</v>
      </c>
      <c r="H49" s="1">
        <v>44849</v>
      </c>
    </row>
    <row r="50" spans="1:8">
      <c r="A50" t="s">
        <v>141</v>
      </c>
      <c r="B50" t="s">
        <v>142</v>
      </c>
      <c r="C50" t="s">
        <v>31</v>
      </c>
      <c r="D50">
        <v>69</v>
      </c>
      <c r="E50" t="s">
        <v>34</v>
      </c>
      <c r="F50" t="s">
        <v>16</v>
      </c>
      <c r="G50" t="s">
        <v>17</v>
      </c>
      <c r="H50" s="1">
        <v>44716</v>
      </c>
    </row>
    <row r="51" spans="1:8">
      <c r="A51" t="s">
        <v>143</v>
      </c>
      <c r="B51" t="s">
        <v>144</v>
      </c>
      <c r="C51" t="s">
        <v>10</v>
      </c>
      <c r="D51">
        <v>59</v>
      </c>
      <c r="E51" t="s">
        <v>128</v>
      </c>
      <c r="F51" t="s">
        <v>129</v>
      </c>
      <c r="G51" t="s">
        <v>78</v>
      </c>
      <c r="H51" s="1">
        <v>44762</v>
      </c>
    </row>
    <row r="52" spans="1:8">
      <c r="A52" t="s">
        <v>145</v>
      </c>
      <c r="B52" t="s">
        <v>146</v>
      </c>
      <c r="C52" t="s">
        <v>10</v>
      </c>
      <c r="D52">
        <v>28</v>
      </c>
      <c r="E52" t="s">
        <v>87</v>
      </c>
      <c r="F52" t="s">
        <v>88</v>
      </c>
      <c r="G52" t="s">
        <v>78</v>
      </c>
      <c r="H52" s="1">
        <v>44753</v>
      </c>
    </row>
    <row r="53" spans="1:8">
      <c r="A53" t="s">
        <v>147</v>
      </c>
      <c r="B53" t="s">
        <v>148</v>
      </c>
      <c r="C53" t="s">
        <v>31</v>
      </c>
      <c r="D53">
        <v>21</v>
      </c>
      <c r="E53" t="s">
        <v>149</v>
      </c>
      <c r="F53" t="s">
        <v>38</v>
      </c>
      <c r="G53" t="s">
        <v>22</v>
      </c>
      <c r="H53" s="1">
        <v>44999</v>
      </c>
    </row>
    <row r="54" spans="1:8">
      <c r="A54" t="s">
        <v>150</v>
      </c>
      <c r="B54" t="s">
        <v>151</v>
      </c>
      <c r="C54" t="s">
        <v>31</v>
      </c>
      <c r="D54">
        <v>68</v>
      </c>
      <c r="E54" t="s">
        <v>15</v>
      </c>
      <c r="F54" t="s">
        <v>16</v>
      </c>
      <c r="G54" t="s">
        <v>17</v>
      </c>
      <c r="H54" s="1">
        <v>45361</v>
      </c>
    </row>
    <row r="55" spans="1:8">
      <c r="A55" t="s">
        <v>152</v>
      </c>
      <c r="B55" t="s">
        <v>153</v>
      </c>
      <c r="C55" t="s">
        <v>31</v>
      </c>
      <c r="D55">
        <v>27</v>
      </c>
      <c r="E55" t="s">
        <v>134</v>
      </c>
      <c r="F55" t="s">
        <v>28</v>
      </c>
      <c r="G55" t="s">
        <v>12</v>
      </c>
      <c r="H55" s="1">
        <v>45428</v>
      </c>
    </row>
    <row r="56" spans="1:8">
      <c r="A56" t="s">
        <v>154</v>
      </c>
      <c r="B56" t="s">
        <v>155</v>
      </c>
      <c r="C56" t="s">
        <v>10</v>
      </c>
      <c r="D56">
        <v>65</v>
      </c>
      <c r="E56" t="s">
        <v>34</v>
      </c>
      <c r="F56" t="s">
        <v>16</v>
      </c>
      <c r="G56" t="s">
        <v>17</v>
      </c>
      <c r="H56" s="1">
        <v>44681</v>
      </c>
    </row>
    <row r="57" spans="1:8">
      <c r="A57" t="s">
        <v>156</v>
      </c>
      <c r="B57" t="s">
        <v>157</v>
      </c>
      <c r="C57" t="s">
        <v>31</v>
      </c>
      <c r="D57">
        <v>50</v>
      </c>
      <c r="E57" t="s">
        <v>20</v>
      </c>
      <c r="F57" t="s">
        <v>21</v>
      </c>
      <c r="G57" t="s">
        <v>22</v>
      </c>
      <c r="H57" s="1">
        <v>45758</v>
      </c>
    </row>
    <row r="58" spans="1:8">
      <c r="A58" t="s">
        <v>158</v>
      </c>
      <c r="B58" t="s">
        <v>159</v>
      </c>
      <c r="C58" t="s">
        <v>10</v>
      </c>
      <c r="D58">
        <v>50</v>
      </c>
      <c r="E58" t="s">
        <v>128</v>
      </c>
      <c r="F58" t="s">
        <v>129</v>
      </c>
      <c r="G58" t="s">
        <v>78</v>
      </c>
      <c r="H58" s="1">
        <v>44884</v>
      </c>
    </row>
    <row r="59" spans="1:8">
      <c r="A59" t="s">
        <v>160</v>
      </c>
      <c r="B59" t="s">
        <v>161</v>
      </c>
      <c r="C59" t="s">
        <v>10</v>
      </c>
      <c r="D59">
        <v>61</v>
      </c>
      <c r="E59" t="s">
        <v>34</v>
      </c>
      <c r="F59" t="s">
        <v>16</v>
      </c>
      <c r="G59" t="s">
        <v>17</v>
      </c>
      <c r="H59" s="1">
        <v>44702</v>
      </c>
    </row>
    <row r="60" spans="1:8">
      <c r="A60" t="s">
        <v>162</v>
      </c>
      <c r="B60" t="s">
        <v>163</v>
      </c>
      <c r="C60" t="s">
        <v>10</v>
      </c>
      <c r="D60">
        <v>55</v>
      </c>
      <c r="E60" t="s">
        <v>112</v>
      </c>
      <c r="F60" t="s">
        <v>113</v>
      </c>
      <c r="G60" t="s">
        <v>78</v>
      </c>
      <c r="H60" s="1">
        <v>44807</v>
      </c>
    </row>
    <row r="61" spans="1:8">
      <c r="A61" t="s">
        <v>164</v>
      </c>
      <c r="B61" t="s">
        <v>165</v>
      </c>
      <c r="C61" t="s">
        <v>31</v>
      </c>
      <c r="D61">
        <v>60</v>
      </c>
      <c r="E61" t="s">
        <v>27</v>
      </c>
      <c r="F61" t="s">
        <v>28</v>
      </c>
      <c r="G61" t="s">
        <v>12</v>
      </c>
      <c r="H61" s="1">
        <v>44729</v>
      </c>
    </row>
    <row r="62" spans="1:8">
      <c r="A62" t="s">
        <v>166</v>
      </c>
      <c r="B62" t="s">
        <v>167</v>
      </c>
      <c r="C62" t="s">
        <v>31</v>
      </c>
      <c r="D62">
        <v>31</v>
      </c>
      <c r="E62" t="s">
        <v>27</v>
      </c>
      <c r="F62" t="s">
        <v>28</v>
      </c>
      <c r="G62" t="s">
        <v>12</v>
      </c>
      <c r="H62" s="1">
        <v>45209</v>
      </c>
    </row>
    <row r="63" spans="1:8">
      <c r="A63" t="s">
        <v>168</v>
      </c>
      <c r="B63" t="s">
        <v>169</v>
      </c>
      <c r="C63" t="s">
        <v>31</v>
      </c>
      <c r="D63">
        <v>43</v>
      </c>
      <c r="E63" t="s">
        <v>134</v>
      </c>
      <c r="F63" t="s">
        <v>28</v>
      </c>
      <c r="G63" t="s">
        <v>12</v>
      </c>
      <c r="H63" s="1">
        <v>45050</v>
      </c>
    </row>
    <row r="64" spans="1:8">
      <c r="A64" t="s">
        <v>170</v>
      </c>
      <c r="B64" t="s">
        <v>171</v>
      </c>
      <c r="C64" t="s">
        <v>31</v>
      </c>
      <c r="D64">
        <v>66</v>
      </c>
      <c r="E64" t="s">
        <v>45</v>
      </c>
      <c r="F64" t="s">
        <v>46</v>
      </c>
      <c r="G64" t="s">
        <v>17</v>
      </c>
      <c r="H64" s="1">
        <v>45498</v>
      </c>
    </row>
    <row r="65" spans="1:8">
      <c r="A65" t="s">
        <v>172</v>
      </c>
      <c r="B65" t="s">
        <v>173</v>
      </c>
      <c r="C65" t="s">
        <v>10</v>
      </c>
      <c r="D65">
        <v>22</v>
      </c>
      <c r="E65" t="s">
        <v>87</v>
      </c>
      <c r="F65" t="s">
        <v>88</v>
      </c>
      <c r="G65" t="s">
        <v>78</v>
      </c>
      <c r="H65" s="1">
        <v>45500</v>
      </c>
    </row>
    <row r="66" spans="1:8">
      <c r="A66" t="s">
        <v>174</v>
      </c>
      <c r="B66" t="s">
        <v>175</v>
      </c>
      <c r="C66" t="s">
        <v>10</v>
      </c>
      <c r="D66">
        <v>40</v>
      </c>
      <c r="E66" t="s">
        <v>60</v>
      </c>
      <c r="F66" t="s">
        <v>21</v>
      </c>
      <c r="G66" t="s">
        <v>22</v>
      </c>
      <c r="H66" s="1">
        <v>45105</v>
      </c>
    </row>
    <row r="67" spans="1:8">
      <c r="A67" t="s">
        <v>176</v>
      </c>
      <c r="B67" t="s">
        <v>177</v>
      </c>
      <c r="C67" t="s">
        <v>31</v>
      </c>
      <c r="D67">
        <v>28</v>
      </c>
      <c r="E67" t="s">
        <v>76</v>
      </c>
      <c r="F67" t="s">
        <v>77</v>
      </c>
      <c r="G67" t="s">
        <v>78</v>
      </c>
      <c r="H67" s="1">
        <v>45318</v>
      </c>
    </row>
    <row r="68" spans="1:8">
      <c r="A68" t="s">
        <v>178</v>
      </c>
      <c r="B68" t="s">
        <v>179</v>
      </c>
      <c r="C68" t="s">
        <v>31</v>
      </c>
      <c r="D68">
        <v>57</v>
      </c>
      <c r="E68" t="s">
        <v>60</v>
      </c>
      <c r="F68" t="s">
        <v>21</v>
      </c>
      <c r="G68" t="s">
        <v>22</v>
      </c>
      <c r="H68" s="1">
        <v>46002</v>
      </c>
    </row>
    <row r="69" spans="1:8">
      <c r="A69" t="s">
        <v>180</v>
      </c>
      <c r="B69" t="s">
        <v>181</v>
      </c>
      <c r="C69" t="s">
        <v>31</v>
      </c>
      <c r="D69">
        <v>60</v>
      </c>
      <c r="E69" t="s">
        <v>128</v>
      </c>
      <c r="F69" t="s">
        <v>129</v>
      </c>
      <c r="G69" t="s">
        <v>78</v>
      </c>
      <c r="H69" s="1">
        <v>44578</v>
      </c>
    </row>
    <row r="70" spans="1:8">
      <c r="A70" t="s">
        <v>182</v>
      </c>
      <c r="B70" t="s">
        <v>183</v>
      </c>
      <c r="C70" t="s">
        <v>10</v>
      </c>
      <c r="D70">
        <v>24</v>
      </c>
      <c r="E70" t="s">
        <v>34</v>
      </c>
      <c r="F70" t="s">
        <v>16</v>
      </c>
      <c r="G70" t="s">
        <v>17</v>
      </c>
      <c r="H70" s="1">
        <v>45103</v>
      </c>
    </row>
    <row r="71" spans="1:8">
      <c r="A71" t="s">
        <v>184</v>
      </c>
      <c r="B71" t="s">
        <v>185</v>
      </c>
      <c r="C71" t="s">
        <v>31</v>
      </c>
      <c r="D71">
        <v>56</v>
      </c>
      <c r="E71" t="s">
        <v>63</v>
      </c>
      <c r="F71" t="s">
        <v>64</v>
      </c>
      <c r="G71" t="s">
        <v>12</v>
      </c>
      <c r="H71" s="1">
        <v>45119</v>
      </c>
    </row>
    <row r="72" spans="1:8">
      <c r="A72" t="s">
        <v>186</v>
      </c>
      <c r="B72" t="s">
        <v>187</v>
      </c>
      <c r="C72" t="s">
        <v>31</v>
      </c>
      <c r="D72">
        <v>50</v>
      </c>
      <c r="E72" t="s">
        <v>45</v>
      </c>
      <c r="F72" t="s">
        <v>46</v>
      </c>
      <c r="G72" t="s">
        <v>17</v>
      </c>
      <c r="H72" s="1">
        <v>44978</v>
      </c>
    </row>
    <row r="73" spans="1:8">
      <c r="A73" t="s">
        <v>188</v>
      </c>
      <c r="B73" t="s">
        <v>189</v>
      </c>
      <c r="C73" t="s">
        <v>31</v>
      </c>
      <c r="D73">
        <v>35</v>
      </c>
      <c r="E73" t="s">
        <v>20</v>
      </c>
      <c r="F73" t="s">
        <v>21</v>
      </c>
      <c r="G73" t="s">
        <v>22</v>
      </c>
      <c r="H73" s="1">
        <v>44751</v>
      </c>
    </row>
    <row r="74" spans="1:8">
      <c r="A74" t="s">
        <v>190</v>
      </c>
      <c r="B74" t="s">
        <v>191</v>
      </c>
      <c r="C74" t="s">
        <v>31</v>
      </c>
      <c r="D74">
        <v>28</v>
      </c>
      <c r="E74" t="s">
        <v>45</v>
      </c>
      <c r="F74" t="s">
        <v>46</v>
      </c>
      <c r="G74" t="s">
        <v>17</v>
      </c>
      <c r="H74" s="1">
        <v>44829</v>
      </c>
    </row>
    <row r="75" spans="1:8">
      <c r="A75" t="s">
        <v>192</v>
      </c>
      <c r="B75" t="s">
        <v>193</v>
      </c>
      <c r="C75" t="s">
        <v>31</v>
      </c>
      <c r="D75">
        <v>53</v>
      </c>
      <c r="E75" t="s">
        <v>27</v>
      </c>
      <c r="F75" t="s">
        <v>28</v>
      </c>
      <c r="G75" t="s">
        <v>12</v>
      </c>
      <c r="H75" s="1">
        <v>46007</v>
      </c>
    </row>
    <row r="76" spans="1:8">
      <c r="A76" t="s">
        <v>194</v>
      </c>
      <c r="B76" t="s">
        <v>195</v>
      </c>
      <c r="C76" t="s">
        <v>10</v>
      </c>
      <c r="D76">
        <v>52</v>
      </c>
      <c r="E76" t="s">
        <v>15</v>
      </c>
      <c r="F76" t="s">
        <v>16</v>
      </c>
      <c r="G76" t="s">
        <v>17</v>
      </c>
      <c r="H76" s="1">
        <v>45977</v>
      </c>
    </row>
    <row r="77" spans="1:8">
      <c r="A77" t="s">
        <v>196</v>
      </c>
      <c r="B77" t="s">
        <v>197</v>
      </c>
      <c r="C77" t="s">
        <v>10</v>
      </c>
      <c r="D77">
        <v>45</v>
      </c>
      <c r="E77" t="s">
        <v>45</v>
      </c>
      <c r="F77" t="s">
        <v>46</v>
      </c>
      <c r="G77" t="s">
        <v>17</v>
      </c>
      <c r="H77" s="1">
        <v>45754</v>
      </c>
    </row>
    <row r="78" spans="1:8">
      <c r="A78" t="s">
        <v>198</v>
      </c>
      <c r="B78" t="s">
        <v>199</v>
      </c>
      <c r="C78" t="s">
        <v>10</v>
      </c>
      <c r="D78">
        <v>40</v>
      </c>
      <c r="E78" t="s">
        <v>45</v>
      </c>
      <c r="F78" t="s">
        <v>46</v>
      </c>
      <c r="G78" t="s">
        <v>17</v>
      </c>
      <c r="H78" s="1">
        <v>45308</v>
      </c>
    </row>
    <row r="79" spans="1:8">
      <c r="A79" t="s">
        <v>200</v>
      </c>
      <c r="B79" t="s">
        <v>201</v>
      </c>
      <c r="C79" t="s">
        <v>10</v>
      </c>
      <c r="D79">
        <v>40</v>
      </c>
      <c r="E79" t="s">
        <v>34</v>
      </c>
      <c r="F79" t="s">
        <v>16</v>
      </c>
      <c r="G79" t="s">
        <v>17</v>
      </c>
      <c r="H79" s="1">
        <v>45927</v>
      </c>
    </row>
    <row r="80" spans="1:8">
      <c r="A80" t="s">
        <v>202</v>
      </c>
      <c r="B80" t="s">
        <v>203</v>
      </c>
      <c r="C80" t="s">
        <v>10</v>
      </c>
      <c r="D80">
        <v>33</v>
      </c>
      <c r="E80" t="s">
        <v>69</v>
      </c>
      <c r="F80" t="s">
        <v>69</v>
      </c>
      <c r="G80" t="s">
        <v>12</v>
      </c>
      <c r="H80" s="1">
        <v>45833</v>
      </c>
    </row>
    <row r="81" spans="1:8">
      <c r="A81" t="s">
        <v>204</v>
      </c>
      <c r="B81" t="s">
        <v>205</v>
      </c>
      <c r="C81" t="s">
        <v>10</v>
      </c>
      <c r="D81">
        <v>29</v>
      </c>
      <c r="E81" t="s">
        <v>76</v>
      </c>
      <c r="F81" t="s">
        <v>77</v>
      </c>
      <c r="G81" t="s">
        <v>78</v>
      </c>
      <c r="H81" s="1">
        <v>45406</v>
      </c>
    </row>
    <row r="82" spans="1:8">
      <c r="A82" t="s">
        <v>206</v>
      </c>
      <c r="B82" t="s">
        <v>207</v>
      </c>
      <c r="C82" t="s">
        <v>10</v>
      </c>
      <c r="D82">
        <v>35</v>
      </c>
      <c r="E82" t="s">
        <v>134</v>
      </c>
      <c r="F82" t="s">
        <v>28</v>
      </c>
      <c r="G82" t="s">
        <v>12</v>
      </c>
      <c r="H82" s="1">
        <v>45405</v>
      </c>
    </row>
    <row r="83" spans="1:8">
      <c r="A83" t="s">
        <v>208</v>
      </c>
      <c r="B83" t="s">
        <v>209</v>
      </c>
      <c r="C83" t="s">
        <v>10</v>
      </c>
      <c r="D83">
        <v>48</v>
      </c>
      <c r="E83" t="s">
        <v>15</v>
      </c>
      <c r="F83" t="s">
        <v>16</v>
      </c>
      <c r="G83" t="s">
        <v>17</v>
      </c>
      <c r="H83" s="1">
        <v>45345</v>
      </c>
    </row>
    <row r="84" spans="1:8">
      <c r="A84" t="s">
        <v>210</v>
      </c>
      <c r="B84" t="s">
        <v>211</v>
      </c>
      <c r="C84" t="s">
        <v>31</v>
      </c>
      <c r="D84">
        <v>70</v>
      </c>
      <c r="E84" t="s">
        <v>41</v>
      </c>
      <c r="F84" t="s">
        <v>42</v>
      </c>
      <c r="G84" t="s">
        <v>17</v>
      </c>
      <c r="H84" s="1">
        <v>45278</v>
      </c>
    </row>
    <row r="85" spans="1:8">
      <c r="A85" t="s">
        <v>212</v>
      </c>
      <c r="B85" t="s">
        <v>213</v>
      </c>
      <c r="C85" t="s">
        <v>10</v>
      </c>
      <c r="D85">
        <v>60</v>
      </c>
      <c r="E85" t="s">
        <v>63</v>
      </c>
      <c r="F85" t="s">
        <v>64</v>
      </c>
      <c r="G85" t="s">
        <v>12</v>
      </c>
      <c r="H85" s="1">
        <v>45018</v>
      </c>
    </row>
    <row r="86" spans="1:8">
      <c r="A86" t="s">
        <v>214</v>
      </c>
      <c r="B86" t="s">
        <v>215</v>
      </c>
      <c r="C86" t="s">
        <v>10</v>
      </c>
      <c r="D86">
        <v>67</v>
      </c>
      <c r="E86" t="s">
        <v>45</v>
      </c>
      <c r="F86" t="s">
        <v>46</v>
      </c>
      <c r="G86" t="s">
        <v>17</v>
      </c>
      <c r="H86" s="1">
        <v>45132</v>
      </c>
    </row>
    <row r="87" spans="1:8">
      <c r="A87" t="s">
        <v>216</v>
      </c>
      <c r="B87" t="s">
        <v>217</v>
      </c>
      <c r="C87" t="s">
        <v>31</v>
      </c>
      <c r="D87">
        <v>19</v>
      </c>
      <c r="E87" t="s">
        <v>218</v>
      </c>
      <c r="F87" t="s">
        <v>219</v>
      </c>
      <c r="G87" t="s">
        <v>17</v>
      </c>
      <c r="H87" s="1">
        <v>45380</v>
      </c>
    </row>
    <row r="88" spans="1:8">
      <c r="A88" t="s">
        <v>220</v>
      </c>
      <c r="B88" t="s">
        <v>221</v>
      </c>
      <c r="C88" t="s">
        <v>31</v>
      </c>
      <c r="D88">
        <v>20</v>
      </c>
      <c r="E88" t="s">
        <v>45</v>
      </c>
      <c r="F88" t="s">
        <v>46</v>
      </c>
      <c r="G88" t="s">
        <v>17</v>
      </c>
      <c r="H88" s="1">
        <v>44927</v>
      </c>
    </row>
    <row r="89" spans="1:8">
      <c r="A89" t="s">
        <v>222</v>
      </c>
      <c r="B89" t="s">
        <v>223</v>
      </c>
      <c r="C89" t="s">
        <v>31</v>
      </c>
      <c r="D89">
        <v>45</v>
      </c>
      <c r="E89" t="s">
        <v>41</v>
      </c>
      <c r="F89" t="s">
        <v>42</v>
      </c>
      <c r="G89" t="s">
        <v>17</v>
      </c>
      <c r="H89" s="1">
        <v>45269</v>
      </c>
    </row>
    <row r="90" spans="1:8">
      <c r="A90" t="s">
        <v>224</v>
      </c>
      <c r="B90" t="s">
        <v>225</v>
      </c>
      <c r="C90" t="s">
        <v>31</v>
      </c>
      <c r="D90">
        <v>54</v>
      </c>
      <c r="E90" t="s">
        <v>27</v>
      </c>
      <c r="F90" t="s">
        <v>28</v>
      </c>
      <c r="G90" t="s">
        <v>12</v>
      </c>
      <c r="H90" s="1">
        <v>44798</v>
      </c>
    </row>
    <row r="91" spans="1:8">
      <c r="A91" t="s">
        <v>226</v>
      </c>
      <c r="B91" t="s">
        <v>227</v>
      </c>
      <c r="C91" t="s">
        <v>31</v>
      </c>
      <c r="D91">
        <v>18</v>
      </c>
      <c r="E91" t="s">
        <v>15</v>
      </c>
      <c r="F91" t="s">
        <v>16</v>
      </c>
      <c r="G91" t="s">
        <v>17</v>
      </c>
      <c r="H91" s="1">
        <v>46013</v>
      </c>
    </row>
    <row r="92" spans="1:8">
      <c r="A92" t="s">
        <v>228</v>
      </c>
      <c r="B92" t="s">
        <v>229</v>
      </c>
      <c r="C92" t="s">
        <v>10</v>
      </c>
      <c r="D92">
        <v>41</v>
      </c>
      <c r="E92" t="s">
        <v>60</v>
      </c>
      <c r="F92" t="s">
        <v>21</v>
      </c>
      <c r="G92" t="s">
        <v>22</v>
      </c>
      <c r="H92" s="1">
        <v>45968</v>
      </c>
    </row>
    <row r="93" spans="1:8">
      <c r="A93" t="s">
        <v>230</v>
      </c>
      <c r="B93" t="s">
        <v>231</v>
      </c>
      <c r="C93" t="s">
        <v>31</v>
      </c>
      <c r="D93">
        <v>60</v>
      </c>
      <c r="E93" t="s">
        <v>37</v>
      </c>
      <c r="F93" t="s">
        <v>38</v>
      </c>
      <c r="G93" t="s">
        <v>22</v>
      </c>
      <c r="H93" s="1">
        <v>45838</v>
      </c>
    </row>
    <row r="94" spans="1:8">
      <c r="A94" t="s">
        <v>232</v>
      </c>
      <c r="B94" t="s">
        <v>233</v>
      </c>
      <c r="C94" t="s">
        <v>31</v>
      </c>
      <c r="D94">
        <v>60</v>
      </c>
      <c r="E94" t="s">
        <v>91</v>
      </c>
      <c r="F94" t="s">
        <v>92</v>
      </c>
      <c r="G94" t="s">
        <v>78</v>
      </c>
      <c r="H94" s="1">
        <v>45600</v>
      </c>
    </row>
    <row r="95" spans="1:8">
      <c r="A95" t="s">
        <v>234</v>
      </c>
      <c r="B95" t="s">
        <v>235</v>
      </c>
      <c r="C95" t="s">
        <v>31</v>
      </c>
      <c r="D95">
        <v>53</v>
      </c>
      <c r="E95" t="s">
        <v>149</v>
      </c>
      <c r="F95" t="s">
        <v>38</v>
      </c>
      <c r="G95" t="s">
        <v>22</v>
      </c>
      <c r="H95" s="1">
        <v>45989</v>
      </c>
    </row>
    <row r="96" spans="1:8">
      <c r="A96" t="s">
        <v>236</v>
      </c>
      <c r="B96" t="s">
        <v>237</v>
      </c>
      <c r="C96" t="s">
        <v>31</v>
      </c>
      <c r="D96">
        <v>61</v>
      </c>
      <c r="E96" t="s">
        <v>41</v>
      </c>
      <c r="F96" t="s">
        <v>42</v>
      </c>
      <c r="G96" t="s">
        <v>17</v>
      </c>
      <c r="H96" s="1">
        <v>45923</v>
      </c>
    </row>
    <row r="97" spans="1:8">
      <c r="A97" t="s">
        <v>238</v>
      </c>
      <c r="B97" t="s">
        <v>239</v>
      </c>
      <c r="C97" t="s">
        <v>31</v>
      </c>
      <c r="D97">
        <v>43</v>
      </c>
      <c r="E97" t="s">
        <v>63</v>
      </c>
      <c r="F97" t="s">
        <v>64</v>
      </c>
      <c r="G97" t="s">
        <v>12</v>
      </c>
      <c r="H97" s="1">
        <v>45822</v>
      </c>
    </row>
    <row r="98" spans="1:8">
      <c r="A98" t="s">
        <v>240</v>
      </c>
      <c r="B98" t="s">
        <v>241</v>
      </c>
      <c r="C98" t="s">
        <v>31</v>
      </c>
      <c r="D98">
        <v>31</v>
      </c>
      <c r="E98" t="s">
        <v>20</v>
      </c>
      <c r="F98" t="s">
        <v>21</v>
      </c>
      <c r="G98" t="s">
        <v>22</v>
      </c>
      <c r="H98" s="1">
        <v>45184</v>
      </c>
    </row>
    <row r="99" spans="1:8">
      <c r="A99" t="s">
        <v>242</v>
      </c>
      <c r="B99" t="s">
        <v>243</v>
      </c>
      <c r="C99" t="s">
        <v>31</v>
      </c>
      <c r="D99">
        <v>47</v>
      </c>
      <c r="E99" t="s">
        <v>60</v>
      </c>
      <c r="F99" t="s">
        <v>21</v>
      </c>
      <c r="G99" t="s">
        <v>22</v>
      </c>
      <c r="H99" s="1">
        <v>45804</v>
      </c>
    </row>
    <row r="100" spans="1:8">
      <c r="A100" t="s">
        <v>244</v>
      </c>
      <c r="B100" t="s">
        <v>245</v>
      </c>
      <c r="C100" t="s">
        <v>31</v>
      </c>
      <c r="D100">
        <v>68</v>
      </c>
      <c r="E100" t="s">
        <v>101</v>
      </c>
      <c r="F100" t="s">
        <v>21</v>
      </c>
      <c r="G100" t="s">
        <v>22</v>
      </c>
      <c r="H100" s="1">
        <v>45608</v>
      </c>
    </row>
    <row r="101" spans="1:8">
      <c r="A101" t="s">
        <v>246</v>
      </c>
      <c r="B101" t="s">
        <v>247</v>
      </c>
      <c r="C101" t="s">
        <v>10</v>
      </c>
      <c r="D101">
        <v>36</v>
      </c>
      <c r="E101" t="s">
        <v>76</v>
      </c>
      <c r="F101" t="s">
        <v>77</v>
      </c>
      <c r="G101" t="s">
        <v>78</v>
      </c>
      <c r="H101" s="1">
        <v>45911</v>
      </c>
    </row>
    <row r="102" spans="1:8">
      <c r="A102" t="s">
        <v>248</v>
      </c>
      <c r="B102" t="s">
        <v>249</v>
      </c>
      <c r="C102" t="s">
        <v>10</v>
      </c>
      <c r="D102">
        <v>70</v>
      </c>
      <c r="E102" t="s">
        <v>60</v>
      </c>
      <c r="F102" t="s">
        <v>21</v>
      </c>
      <c r="G102" t="s">
        <v>22</v>
      </c>
      <c r="H102" s="1">
        <v>45248</v>
      </c>
    </row>
    <row r="103" spans="1:8">
      <c r="A103" t="s">
        <v>250</v>
      </c>
      <c r="B103" t="s">
        <v>251</v>
      </c>
      <c r="C103" t="s">
        <v>31</v>
      </c>
      <c r="D103">
        <v>32</v>
      </c>
      <c r="E103" t="s">
        <v>76</v>
      </c>
      <c r="F103" t="s">
        <v>77</v>
      </c>
      <c r="G103" t="s">
        <v>78</v>
      </c>
      <c r="H103" s="1">
        <v>45939</v>
      </c>
    </row>
    <row r="104" spans="1:8">
      <c r="A104" t="s">
        <v>252</v>
      </c>
      <c r="B104" t="s">
        <v>253</v>
      </c>
      <c r="C104" t="s">
        <v>10</v>
      </c>
      <c r="D104">
        <v>33</v>
      </c>
      <c r="E104" t="s">
        <v>63</v>
      </c>
      <c r="F104" t="s">
        <v>64</v>
      </c>
      <c r="G104" t="s">
        <v>12</v>
      </c>
      <c r="H104" s="1">
        <v>44612</v>
      </c>
    </row>
    <row r="105" spans="1:8">
      <c r="A105" t="s">
        <v>254</v>
      </c>
      <c r="B105" t="s">
        <v>255</v>
      </c>
      <c r="C105" t="s">
        <v>31</v>
      </c>
      <c r="D105">
        <v>44</v>
      </c>
      <c r="E105" t="s">
        <v>128</v>
      </c>
      <c r="F105" t="s">
        <v>129</v>
      </c>
      <c r="G105" t="s">
        <v>78</v>
      </c>
      <c r="H105" s="1">
        <v>44711</v>
      </c>
    </row>
    <row r="106" spans="1:8">
      <c r="A106" t="s">
        <v>256</v>
      </c>
      <c r="B106" t="s">
        <v>257</v>
      </c>
      <c r="C106" t="s">
        <v>31</v>
      </c>
      <c r="D106">
        <v>49</v>
      </c>
      <c r="E106" t="s">
        <v>128</v>
      </c>
      <c r="F106" t="s">
        <v>129</v>
      </c>
      <c r="G106" t="s">
        <v>78</v>
      </c>
      <c r="H106" s="1">
        <v>44960</v>
      </c>
    </row>
    <row r="107" spans="1:8">
      <c r="A107" t="s">
        <v>258</v>
      </c>
      <c r="B107" t="s">
        <v>259</v>
      </c>
      <c r="C107" t="s">
        <v>10</v>
      </c>
      <c r="D107">
        <v>66</v>
      </c>
      <c r="E107" t="s">
        <v>101</v>
      </c>
      <c r="F107" t="s">
        <v>21</v>
      </c>
      <c r="G107" t="s">
        <v>22</v>
      </c>
      <c r="H107" s="1">
        <v>45905</v>
      </c>
    </row>
    <row r="108" spans="1:8">
      <c r="A108" t="s">
        <v>260</v>
      </c>
      <c r="B108" t="s">
        <v>261</v>
      </c>
      <c r="C108" t="s">
        <v>10</v>
      </c>
      <c r="D108">
        <v>29</v>
      </c>
      <c r="E108" t="s">
        <v>87</v>
      </c>
      <c r="F108" t="s">
        <v>88</v>
      </c>
      <c r="G108" t="s">
        <v>78</v>
      </c>
      <c r="H108" s="1">
        <v>45432</v>
      </c>
    </row>
    <row r="109" spans="1:8">
      <c r="A109" t="s">
        <v>262</v>
      </c>
      <c r="B109" t="s">
        <v>263</v>
      </c>
      <c r="C109" t="s">
        <v>10</v>
      </c>
      <c r="D109">
        <v>53</v>
      </c>
      <c r="E109" t="s">
        <v>27</v>
      </c>
      <c r="F109" t="s">
        <v>28</v>
      </c>
      <c r="G109" t="s">
        <v>12</v>
      </c>
      <c r="H109" s="1">
        <v>45513</v>
      </c>
    </row>
    <row r="110" spans="1:8">
      <c r="A110" t="s">
        <v>264</v>
      </c>
      <c r="B110" t="s">
        <v>265</v>
      </c>
      <c r="C110" t="s">
        <v>10</v>
      </c>
      <c r="D110">
        <v>69</v>
      </c>
      <c r="E110" t="s">
        <v>15</v>
      </c>
      <c r="F110" t="s">
        <v>16</v>
      </c>
      <c r="G110" t="s">
        <v>17</v>
      </c>
      <c r="H110" s="1">
        <v>45496</v>
      </c>
    </row>
    <row r="111" spans="1:8">
      <c r="A111" t="s">
        <v>266</v>
      </c>
      <c r="B111" t="s">
        <v>267</v>
      </c>
      <c r="C111" t="s">
        <v>31</v>
      </c>
      <c r="D111">
        <v>66</v>
      </c>
      <c r="E111" t="s">
        <v>60</v>
      </c>
      <c r="F111" t="s">
        <v>21</v>
      </c>
      <c r="G111" t="s">
        <v>22</v>
      </c>
      <c r="H111" s="1">
        <v>45706</v>
      </c>
    </row>
    <row r="112" spans="1:8">
      <c r="A112" t="s">
        <v>268</v>
      </c>
      <c r="B112" t="s">
        <v>269</v>
      </c>
      <c r="C112" t="s">
        <v>31</v>
      </c>
      <c r="D112">
        <v>53</v>
      </c>
      <c r="E112" t="s">
        <v>128</v>
      </c>
      <c r="F112" t="s">
        <v>129</v>
      </c>
      <c r="G112" t="s">
        <v>78</v>
      </c>
      <c r="H112" s="1">
        <v>45595</v>
      </c>
    </row>
    <row r="113" spans="1:8">
      <c r="A113" t="s">
        <v>270</v>
      </c>
      <c r="B113" t="s">
        <v>271</v>
      </c>
      <c r="C113" t="s">
        <v>31</v>
      </c>
      <c r="D113">
        <v>34</v>
      </c>
      <c r="E113" t="s">
        <v>101</v>
      </c>
      <c r="F113" t="s">
        <v>21</v>
      </c>
      <c r="G113" t="s">
        <v>22</v>
      </c>
      <c r="H113" s="1">
        <v>45534</v>
      </c>
    </row>
    <row r="114" spans="1:8">
      <c r="A114" t="s">
        <v>272</v>
      </c>
      <c r="B114" t="s">
        <v>273</v>
      </c>
      <c r="C114" t="s">
        <v>31</v>
      </c>
      <c r="D114">
        <v>58</v>
      </c>
      <c r="E114" t="s">
        <v>134</v>
      </c>
      <c r="F114" t="s">
        <v>28</v>
      </c>
      <c r="G114" t="s">
        <v>12</v>
      </c>
      <c r="H114" s="1">
        <v>45629</v>
      </c>
    </row>
    <row r="115" spans="1:8">
      <c r="A115" t="s">
        <v>274</v>
      </c>
      <c r="B115" t="s">
        <v>275</v>
      </c>
      <c r="C115" t="s">
        <v>31</v>
      </c>
      <c r="D115">
        <v>33</v>
      </c>
      <c r="E115" t="s">
        <v>41</v>
      </c>
      <c r="F115" t="s">
        <v>42</v>
      </c>
      <c r="G115" t="s">
        <v>17</v>
      </c>
      <c r="H115" s="1">
        <v>44720</v>
      </c>
    </row>
    <row r="116" spans="1:8">
      <c r="A116" t="s">
        <v>276</v>
      </c>
      <c r="B116" t="s">
        <v>277</v>
      </c>
      <c r="C116" t="s">
        <v>10</v>
      </c>
      <c r="D116">
        <v>26</v>
      </c>
      <c r="E116" t="s">
        <v>45</v>
      </c>
      <c r="F116" t="s">
        <v>46</v>
      </c>
      <c r="G116" t="s">
        <v>17</v>
      </c>
      <c r="H116" s="1">
        <v>45668</v>
      </c>
    </row>
    <row r="117" spans="1:8">
      <c r="A117" t="s">
        <v>278</v>
      </c>
      <c r="B117" t="s">
        <v>279</v>
      </c>
      <c r="C117" t="s">
        <v>10</v>
      </c>
      <c r="D117">
        <v>63</v>
      </c>
      <c r="E117" t="s">
        <v>41</v>
      </c>
      <c r="F117" t="s">
        <v>42</v>
      </c>
      <c r="G117" t="s">
        <v>17</v>
      </c>
      <c r="H117" s="1">
        <v>45983</v>
      </c>
    </row>
    <row r="118" spans="1:8">
      <c r="A118" t="s">
        <v>280</v>
      </c>
      <c r="B118" t="s">
        <v>281</v>
      </c>
      <c r="C118" t="s">
        <v>31</v>
      </c>
      <c r="D118">
        <v>52</v>
      </c>
      <c r="E118" t="s">
        <v>41</v>
      </c>
      <c r="F118" t="s">
        <v>42</v>
      </c>
      <c r="G118" t="s">
        <v>17</v>
      </c>
      <c r="H118" s="1">
        <v>45396</v>
      </c>
    </row>
    <row r="119" spans="1:8">
      <c r="A119" t="s">
        <v>282</v>
      </c>
      <c r="B119" t="s">
        <v>283</v>
      </c>
      <c r="C119" t="s">
        <v>31</v>
      </c>
      <c r="D119">
        <v>42</v>
      </c>
      <c r="E119" t="s">
        <v>20</v>
      </c>
      <c r="F119" t="s">
        <v>21</v>
      </c>
      <c r="G119" t="s">
        <v>22</v>
      </c>
      <c r="H119" s="1">
        <v>44985</v>
      </c>
    </row>
    <row r="120" spans="1:8">
      <c r="A120" t="s">
        <v>284</v>
      </c>
      <c r="B120" t="s">
        <v>285</v>
      </c>
      <c r="C120" t="s">
        <v>10</v>
      </c>
      <c r="D120">
        <v>66</v>
      </c>
      <c r="E120" t="s">
        <v>128</v>
      </c>
      <c r="F120" t="s">
        <v>129</v>
      </c>
      <c r="G120" t="s">
        <v>78</v>
      </c>
      <c r="H120" s="1">
        <v>45986</v>
      </c>
    </row>
    <row r="121" spans="1:8">
      <c r="A121" t="s">
        <v>286</v>
      </c>
      <c r="B121" t="s">
        <v>287</v>
      </c>
      <c r="C121" t="s">
        <v>31</v>
      </c>
      <c r="D121">
        <v>37</v>
      </c>
      <c r="E121" t="s">
        <v>149</v>
      </c>
      <c r="F121" t="s">
        <v>38</v>
      </c>
      <c r="G121" t="s">
        <v>22</v>
      </c>
      <c r="H121" s="1">
        <v>44574</v>
      </c>
    </row>
    <row r="122" spans="1:8">
      <c r="A122" t="s">
        <v>288</v>
      </c>
      <c r="B122" t="s">
        <v>289</v>
      </c>
      <c r="C122" t="s">
        <v>10</v>
      </c>
      <c r="D122">
        <v>49</v>
      </c>
      <c r="E122" t="s">
        <v>69</v>
      </c>
      <c r="F122" t="s">
        <v>69</v>
      </c>
      <c r="G122" t="s">
        <v>12</v>
      </c>
      <c r="H122" s="1">
        <v>45664</v>
      </c>
    </row>
    <row r="123" spans="1:8">
      <c r="A123" t="s">
        <v>290</v>
      </c>
      <c r="B123" t="s">
        <v>291</v>
      </c>
      <c r="C123" t="s">
        <v>10</v>
      </c>
      <c r="D123">
        <v>42</v>
      </c>
      <c r="E123" t="s">
        <v>41</v>
      </c>
      <c r="F123" t="s">
        <v>42</v>
      </c>
      <c r="G123" t="s">
        <v>17</v>
      </c>
      <c r="H123" s="1">
        <v>45556</v>
      </c>
    </row>
    <row r="124" spans="1:8">
      <c r="A124" t="s">
        <v>292</v>
      </c>
      <c r="B124" t="s">
        <v>293</v>
      </c>
      <c r="C124" t="s">
        <v>31</v>
      </c>
      <c r="D124">
        <v>26</v>
      </c>
      <c r="E124" t="s">
        <v>149</v>
      </c>
      <c r="F124" t="s">
        <v>38</v>
      </c>
      <c r="G124" t="s">
        <v>22</v>
      </c>
      <c r="H124" s="1">
        <v>44900</v>
      </c>
    </row>
    <row r="125" spans="1:8">
      <c r="A125" t="s">
        <v>294</v>
      </c>
      <c r="B125" t="s">
        <v>295</v>
      </c>
      <c r="C125" t="s">
        <v>31</v>
      </c>
      <c r="D125">
        <v>55</v>
      </c>
      <c r="E125" t="s">
        <v>128</v>
      </c>
      <c r="F125" t="s">
        <v>129</v>
      </c>
      <c r="G125" t="s">
        <v>78</v>
      </c>
      <c r="H125" s="1">
        <v>44617</v>
      </c>
    </row>
    <row r="126" spans="1:8">
      <c r="A126" t="s">
        <v>296</v>
      </c>
      <c r="B126" t="s">
        <v>297</v>
      </c>
      <c r="C126" t="s">
        <v>31</v>
      </c>
      <c r="D126">
        <v>26</v>
      </c>
      <c r="E126" t="s">
        <v>20</v>
      </c>
      <c r="F126" t="s">
        <v>21</v>
      </c>
      <c r="G126" t="s">
        <v>22</v>
      </c>
      <c r="H126" s="1">
        <v>44733</v>
      </c>
    </row>
    <row r="127" spans="1:8">
      <c r="A127" t="s">
        <v>298</v>
      </c>
      <c r="B127" t="s">
        <v>299</v>
      </c>
      <c r="C127" t="s">
        <v>31</v>
      </c>
      <c r="D127">
        <v>42</v>
      </c>
      <c r="E127" t="s">
        <v>76</v>
      </c>
      <c r="F127" t="s">
        <v>77</v>
      </c>
      <c r="G127" t="s">
        <v>78</v>
      </c>
      <c r="H127" s="1">
        <v>44664</v>
      </c>
    </row>
    <row r="128" spans="1:8">
      <c r="A128" t="s">
        <v>300</v>
      </c>
      <c r="B128" t="s">
        <v>301</v>
      </c>
      <c r="C128" t="s">
        <v>31</v>
      </c>
      <c r="D128">
        <v>66</v>
      </c>
      <c r="E128" t="s">
        <v>149</v>
      </c>
      <c r="F128" t="s">
        <v>38</v>
      </c>
      <c r="G128" t="s">
        <v>22</v>
      </c>
      <c r="H128" s="1">
        <v>45231</v>
      </c>
    </row>
    <row r="129" spans="1:8">
      <c r="A129" t="s">
        <v>302</v>
      </c>
      <c r="B129" t="s">
        <v>303</v>
      </c>
      <c r="C129" t="s">
        <v>31</v>
      </c>
      <c r="D129">
        <v>23</v>
      </c>
      <c r="E129" t="s">
        <v>91</v>
      </c>
      <c r="F129" t="s">
        <v>92</v>
      </c>
      <c r="G129" t="s">
        <v>78</v>
      </c>
      <c r="H129" s="1">
        <v>45425</v>
      </c>
    </row>
    <row r="130" spans="1:8">
      <c r="A130" t="s">
        <v>304</v>
      </c>
      <c r="B130" t="s">
        <v>305</v>
      </c>
      <c r="C130" t="s">
        <v>31</v>
      </c>
      <c r="D130">
        <v>32</v>
      </c>
      <c r="E130" t="s">
        <v>60</v>
      </c>
      <c r="F130" t="s">
        <v>21</v>
      </c>
      <c r="G130" t="s">
        <v>22</v>
      </c>
      <c r="H130" s="1">
        <v>44668</v>
      </c>
    </row>
    <row r="131" spans="1:8">
      <c r="A131" t="s">
        <v>306</v>
      </c>
      <c r="B131" t="s">
        <v>307</v>
      </c>
      <c r="C131" t="s">
        <v>10</v>
      </c>
      <c r="D131">
        <v>30</v>
      </c>
      <c r="E131" t="s">
        <v>11</v>
      </c>
      <c r="F131" t="s">
        <v>11</v>
      </c>
      <c r="G131" t="s">
        <v>12</v>
      </c>
      <c r="H131" s="1">
        <v>44625</v>
      </c>
    </row>
    <row r="132" spans="1:8">
      <c r="A132" t="s">
        <v>308</v>
      </c>
      <c r="B132" t="s">
        <v>309</v>
      </c>
      <c r="C132" t="s">
        <v>10</v>
      </c>
      <c r="D132">
        <v>26</v>
      </c>
      <c r="E132" t="s">
        <v>128</v>
      </c>
      <c r="F132" t="s">
        <v>129</v>
      </c>
      <c r="G132" t="s">
        <v>78</v>
      </c>
      <c r="H132" s="1">
        <v>44874</v>
      </c>
    </row>
    <row r="133" spans="1:8">
      <c r="A133" t="s">
        <v>310</v>
      </c>
      <c r="B133" t="s">
        <v>311</v>
      </c>
      <c r="C133" t="s">
        <v>10</v>
      </c>
      <c r="D133">
        <v>47</v>
      </c>
      <c r="E133" t="s">
        <v>20</v>
      </c>
      <c r="F133" t="s">
        <v>21</v>
      </c>
      <c r="G133" t="s">
        <v>22</v>
      </c>
      <c r="H133" s="1">
        <v>45717</v>
      </c>
    </row>
    <row r="134" spans="1:8">
      <c r="A134" t="s">
        <v>312</v>
      </c>
      <c r="B134" t="s">
        <v>313</v>
      </c>
      <c r="C134" t="s">
        <v>10</v>
      </c>
      <c r="D134">
        <v>67</v>
      </c>
      <c r="E134" t="s">
        <v>134</v>
      </c>
      <c r="F134" t="s">
        <v>28</v>
      </c>
      <c r="G134" t="s">
        <v>12</v>
      </c>
      <c r="H134" s="1">
        <v>44905</v>
      </c>
    </row>
    <row r="135" spans="1:8">
      <c r="A135" t="s">
        <v>314</v>
      </c>
      <c r="B135" t="s">
        <v>315</v>
      </c>
      <c r="C135" t="s">
        <v>10</v>
      </c>
      <c r="D135">
        <v>37</v>
      </c>
      <c r="E135" t="s">
        <v>134</v>
      </c>
      <c r="F135" t="s">
        <v>28</v>
      </c>
      <c r="G135" t="s">
        <v>12</v>
      </c>
      <c r="H135" s="1">
        <v>44783</v>
      </c>
    </row>
    <row r="136" spans="1:8">
      <c r="A136" t="s">
        <v>316</v>
      </c>
      <c r="B136" t="s">
        <v>317</v>
      </c>
      <c r="C136" t="s">
        <v>10</v>
      </c>
      <c r="D136">
        <v>22</v>
      </c>
      <c r="E136" t="s">
        <v>149</v>
      </c>
      <c r="F136" t="s">
        <v>38</v>
      </c>
      <c r="G136" t="s">
        <v>22</v>
      </c>
      <c r="H136" s="1">
        <v>45374</v>
      </c>
    </row>
    <row r="137" spans="1:8">
      <c r="A137" t="s">
        <v>318</v>
      </c>
      <c r="B137" t="s">
        <v>319</v>
      </c>
      <c r="C137" t="s">
        <v>31</v>
      </c>
      <c r="D137">
        <v>61</v>
      </c>
      <c r="E137" t="s">
        <v>63</v>
      </c>
      <c r="F137" t="s">
        <v>64</v>
      </c>
      <c r="G137" t="s">
        <v>12</v>
      </c>
      <c r="H137" s="1">
        <v>44770</v>
      </c>
    </row>
    <row r="138" spans="1:8">
      <c r="A138" t="s">
        <v>320</v>
      </c>
      <c r="B138" t="s">
        <v>321</v>
      </c>
      <c r="C138" t="s">
        <v>10</v>
      </c>
      <c r="D138">
        <v>40</v>
      </c>
      <c r="E138" t="s">
        <v>11</v>
      </c>
      <c r="F138" t="s">
        <v>11</v>
      </c>
      <c r="G138" t="s">
        <v>12</v>
      </c>
      <c r="H138" s="1">
        <v>45721</v>
      </c>
    </row>
    <row r="139" spans="1:8">
      <c r="A139" t="s">
        <v>322</v>
      </c>
      <c r="B139" t="s">
        <v>323</v>
      </c>
      <c r="C139" t="s">
        <v>31</v>
      </c>
      <c r="D139">
        <v>18</v>
      </c>
      <c r="E139" t="s">
        <v>37</v>
      </c>
      <c r="F139" t="s">
        <v>38</v>
      </c>
      <c r="G139" t="s">
        <v>22</v>
      </c>
      <c r="H139" s="1">
        <v>44703</v>
      </c>
    </row>
    <row r="140" spans="1:8">
      <c r="A140" t="s">
        <v>324</v>
      </c>
      <c r="B140" t="s">
        <v>325</v>
      </c>
      <c r="C140" t="s">
        <v>31</v>
      </c>
      <c r="D140">
        <v>41</v>
      </c>
      <c r="E140" t="s">
        <v>112</v>
      </c>
      <c r="F140" t="s">
        <v>113</v>
      </c>
      <c r="G140" t="s">
        <v>78</v>
      </c>
      <c r="H140" s="1">
        <v>44778</v>
      </c>
    </row>
    <row r="141" spans="1:8">
      <c r="A141" t="s">
        <v>326</v>
      </c>
      <c r="B141" t="s">
        <v>327</v>
      </c>
      <c r="C141" t="s">
        <v>10</v>
      </c>
      <c r="D141">
        <v>45</v>
      </c>
      <c r="E141" t="s">
        <v>69</v>
      </c>
      <c r="F141" t="s">
        <v>69</v>
      </c>
      <c r="G141" t="s">
        <v>12</v>
      </c>
      <c r="H141" s="1">
        <v>46010</v>
      </c>
    </row>
    <row r="142" spans="1:8">
      <c r="A142" t="s">
        <v>328</v>
      </c>
      <c r="B142" t="s">
        <v>329</v>
      </c>
      <c r="C142" t="s">
        <v>31</v>
      </c>
      <c r="D142">
        <v>57</v>
      </c>
      <c r="E142" t="s">
        <v>218</v>
      </c>
      <c r="F142" t="s">
        <v>219</v>
      </c>
      <c r="G142" t="s">
        <v>17</v>
      </c>
      <c r="H142" s="1">
        <v>45894</v>
      </c>
    </row>
    <row r="143" spans="1:8">
      <c r="A143" t="s">
        <v>330</v>
      </c>
      <c r="B143" t="s">
        <v>331</v>
      </c>
      <c r="C143" t="s">
        <v>31</v>
      </c>
      <c r="D143">
        <v>45</v>
      </c>
      <c r="E143" t="s">
        <v>27</v>
      </c>
      <c r="F143" t="s">
        <v>28</v>
      </c>
      <c r="G143" t="s">
        <v>12</v>
      </c>
      <c r="H143" s="1">
        <v>45552</v>
      </c>
    </row>
    <row r="144" spans="1:8">
      <c r="A144" t="s">
        <v>332</v>
      </c>
      <c r="B144" t="s">
        <v>333</v>
      </c>
      <c r="C144" t="s">
        <v>31</v>
      </c>
      <c r="D144">
        <v>33</v>
      </c>
      <c r="E144" t="s">
        <v>128</v>
      </c>
      <c r="F144" t="s">
        <v>129</v>
      </c>
      <c r="G144" t="s">
        <v>78</v>
      </c>
      <c r="H144" s="1">
        <v>45111</v>
      </c>
    </row>
    <row r="145" spans="1:8">
      <c r="A145" t="s">
        <v>334</v>
      </c>
      <c r="B145" t="s">
        <v>335</v>
      </c>
      <c r="C145" t="s">
        <v>31</v>
      </c>
      <c r="D145">
        <v>33</v>
      </c>
      <c r="E145" t="s">
        <v>87</v>
      </c>
      <c r="F145" t="s">
        <v>88</v>
      </c>
      <c r="G145" t="s">
        <v>78</v>
      </c>
      <c r="H145" s="1">
        <v>45133</v>
      </c>
    </row>
    <row r="146" spans="1:8">
      <c r="A146" t="s">
        <v>336</v>
      </c>
      <c r="B146" t="s">
        <v>337</v>
      </c>
      <c r="C146" t="s">
        <v>31</v>
      </c>
      <c r="D146">
        <v>39</v>
      </c>
      <c r="E146" t="s">
        <v>27</v>
      </c>
      <c r="F146" t="s">
        <v>28</v>
      </c>
      <c r="G146" t="s">
        <v>12</v>
      </c>
      <c r="H146" s="1">
        <v>45811</v>
      </c>
    </row>
    <row r="147" spans="1:8">
      <c r="A147" t="s">
        <v>338</v>
      </c>
      <c r="B147" t="s">
        <v>339</v>
      </c>
      <c r="C147" t="s">
        <v>31</v>
      </c>
      <c r="D147">
        <v>31</v>
      </c>
      <c r="E147" t="s">
        <v>45</v>
      </c>
      <c r="F147" t="s">
        <v>46</v>
      </c>
      <c r="G147" t="s">
        <v>17</v>
      </c>
      <c r="H147" s="1">
        <v>44934</v>
      </c>
    </row>
    <row r="148" spans="1:8">
      <c r="A148" t="s">
        <v>340</v>
      </c>
      <c r="B148" t="s">
        <v>341</v>
      </c>
      <c r="C148" t="s">
        <v>31</v>
      </c>
      <c r="D148">
        <v>56</v>
      </c>
      <c r="E148" t="s">
        <v>37</v>
      </c>
      <c r="F148" t="s">
        <v>38</v>
      </c>
      <c r="G148" t="s">
        <v>22</v>
      </c>
      <c r="H148" s="1">
        <v>45259</v>
      </c>
    </row>
    <row r="149" spans="1:8">
      <c r="A149" t="s">
        <v>342</v>
      </c>
      <c r="B149" t="s">
        <v>343</v>
      </c>
      <c r="C149" t="s">
        <v>10</v>
      </c>
      <c r="D149">
        <v>51</v>
      </c>
      <c r="E149" t="s">
        <v>134</v>
      </c>
      <c r="F149" t="s">
        <v>28</v>
      </c>
      <c r="G149" t="s">
        <v>12</v>
      </c>
      <c r="H149" s="1">
        <v>45700</v>
      </c>
    </row>
    <row r="150" spans="1:8">
      <c r="A150" t="s">
        <v>344</v>
      </c>
      <c r="B150" t="s">
        <v>345</v>
      </c>
      <c r="C150" t="s">
        <v>31</v>
      </c>
      <c r="D150">
        <v>49</v>
      </c>
      <c r="E150" t="s">
        <v>87</v>
      </c>
      <c r="F150" t="s">
        <v>88</v>
      </c>
      <c r="G150" t="s">
        <v>78</v>
      </c>
      <c r="H150" s="1">
        <v>45056</v>
      </c>
    </row>
    <row r="151" spans="1:8">
      <c r="A151" t="s">
        <v>346</v>
      </c>
      <c r="B151" t="s">
        <v>347</v>
      </c>
      <c r="C151" t="s">
        <v>31</v>
      </c>
      <c r="D151">
        <v>59</v>
      </c>
      <c r="E151" t="s">
        <v>101</v>
      </c>
      <c r="F151" t="s">
        <v>21</v>
      </c>
      <c r="G151" t="s">
        <v>22</v>
      </c>
      <c r="H151" s="1">
        <v>45976</v>
      </c>
    </row>
    <row r="152" spans="1:8">
      <c r="A152" t="s">
        <v>348</v>
      </c>
      <c r="B152" t="s">
        <v>349</v>
      </c>
      <c r="C152" t="s">
        <v>10</v>
      </c>
      <c r="D152">
        <v>36</v>
      </c>
      <c r="E152" t="s">
        <v>69</v>
      </c>
      <c r="F152" t="s">
        <v>69</v>
      </c>
      <c r="G152" t="s">
        <v>12</v>
      </c>
      <c r="H152" s="1">
        <v>44597</v>
      </c>
    </row>
    <row r="153" spans="1:8">
      <c r="A153" t="s">
        <v>350</v>
      </c>
      <c r="B153" t="s">
        <v>351</v>
      </c>
      <c r="C153" t="s">
        <v>31</v>
      </c>
      <c r="D153">
        <v>48</v>
      </c>
      <c r="E153" t="s">
        <v>34</v>
      </c>
      <c r="F153" t="s">
        <v>16</v>
      </c>
      <c r="G153" t="s">
        <v>17</v>
      </c>
      <c r="H153" s="1">
        <v>45189</v>
      </c>
    </row>
    <row r="154" spans="1:8">
      <c r="A154" t="s">
        <v>352</v>
      </c>
      <c r="B154" t="s">
        <v>353</v>
      </c>
      <c r="C154" t="s">
        <v>31</v>
      </c>
      <c r="D154">
        <v>40</v>
      </c>
      <c r="E154" t="s">
        <v>37</v>
      </c>
      <c r="F154" t="s">
        <v>38</v>
      </c>
      <c r="G154" t="s">
        <v>22</v>
      </c>
      <c r="H154" s="1">
        <v>45433</v>
      </c>
    </row>
    <row r="155" spans="1:8">
      <c r="A155" t="s">
        <v>354</v>
      </c>
      <c r="B155" t="s">
        <v>355</v>
      </c>
      <c r="C155" t="s">
        <v>31</v>
      </c>
      <c r="D155">
        <v>32</v>
      </c>
      <c r="E155" t="s">
        <v>134</v>
      </c>
      <c r="F155" t="s">
        <v>28</v>
      </c>
      <c r="G155" t="s">
        <v>12</v>
      </c>
      <c r="H155" s="1">
        <v>45189</v>
      </c>
    </row>
    <row r="156" spans="1:8">
      <c r="A156" t="s">
        <v>356</v>
      </c>
      <c r="B156" t="s">
        <v>357</v>
      </c>
      <c r="C156" t="s">
        <v>10</v>
      </c>
      <c r="D156">
        <v>65</v>
      </c>
      <c r="E156" t="s">
        <v>34</v>
      </c>
      <c r="F156" t="s">
        <v>16</v>
      </c>
      <c r="G156" t="s">
        <v>17</v>
      </c>
      <c r="H156" s="1">
        <v>45208</v>
      </c>
    </row>
    <row r="157" spans="1:8">
      <c r="A157" t="s">
        <v>358</v>
      </c>
      <c r="B157" t="s">
        <v>359</v>
      </c>
      <c r="C157" t="s">
        <v>10</v>
      </c>
      <c r="D157">
        <v>65</v>
      </c>
      <c r="E157" t="s">
        <v>101</v>
      </c>
      <c r="F157" t="s">
        <v>21</v>
      </c>
      <c r="G157" t="s">
        <v>22</v>
      </c>
      <c r="H157" s="1">
        <v>44954</v>
      </c>
    </row>
    <row r="158" spans="1:8">
      <c r="A158" t="s">
        <v>360</v>
      </c>
      <c r="B158" t="s">
        <v>361</v>
      </c>
      <c r="C158" t="s">
        <v>31</v>
      </c>
      <c r="D158">
        <v>24</v>
      </c>
      <c r="E158" t="s">
        <v>60</v>
      </c>
      <c r="F158" t="s">
        <v>21</v>
      </c>
      <c r="G158" t="s">
        <v>22</v>
      </c>
      <c r="H158" s="1">
        <v>45636</v>
      </c>
    </row>
    <row r="159" spans="1:8">
      <c r="A159" t="s">
        <v>362</v>
      </c>
      <c r="B159" t="s">
        <v>363</v>
      </c>
      <c r="C159" t="s">
        <v>31</v>
      </c>
      <c r="D159">
        <v>29</v>
      </c>
      <c r="E159" t="s">
        <v>91</v>
      </c>
      <c r="F159" t="s">
        <v>92</v>
      </c>
      <c r="G159" t="s">
        <v>78</v>
      </c>
      <c r="H159" s="1">
        <v>45027</v>
      </c>
    </row>
    <row r="160" spans="1:8">
      <c r="A160" t="s">
        <v>364</v>
      </c>
      <c r="B160" t="s">
        <v>365</v>
      </c>
      <c r="C160" t="s">
        <v>31</v>
      </c>
      <c r="D160">
        <v>20</v>
      </c>
      <c r="E160" t="s">
        <v>60</v>
      </c>
      <c r="F160" t="s">
        <v>21</v>
      </c>
      <c r="G160" t="s">
        <v>22</v>
      </c>
      <c r="H160" s="1">
        <v>44821</v>
      </c>
    </row>
    <row r="161" spans="1:8">
      <c r="A161" t="s">
        <v>366</v>
      </c>
      <c r="B161" t="s">
        <v>367</v>
      </c>
      <c r="C161" t="s">
        <v>10</v>
      </c>
      <c r="D161">
        <v>58</v>
      </c>
      <c r="E161" t="s">
        <v>128</v>
      </c>
      <c r="F161" t="s">
        <v>129</v>
      </c>
      <c r="G161" t="s">
        <v>78</v>
      </c>
      <c r="H161" s="1">
        <v>45160</v>
      </c>
    </row>
    <row r="162" spans="1:8">
      <c r="A162" t="s">
        <v>368</v>
      </c>
      <c r="B162" t="s">
        <v>369</v>
      </c>
      <c r="C162" t="s">
        <v>10</v>
      </c>
      <c r="D162">
        <v>54</v>
      </c>
      <c r="E162" t="s">
        <v>112</v>
      </c>
      <c r="F162" t="s">
        <v>113</v>
      </c>
      <c r="G162" t="s">
        <v>78</v>
      </c>
      <c r="H162" s="1">
        <v>44772</v>
      </c>
    </row>
    <row r="163" spans="1:8">
      <c r="A163" t="s">
        <v>370</v>
      </c>
      <c r="B163" t="s">
        <v>371</v>
      </c>
      <c r="C163" t="s">
        <v>31</v>
      </c>
      <c r="D163">
        <v>29</v>
      </c>
      <c r="E163" t="s">
        <v>41</v>
      </c>
      <c r="F163" t="s">
        <v>42</v>
      </c>
      <c r="G163" t="s">
        <v>17</v>
      </c>
      <c r="H163" s="1">
        <v>45464</v>
      </c>
    </row>
    <row r="164" spans="1:8">
      <c r="A164" t="s">
        <v>372</v>
      </c>
      <c r="B164" t="s">
        <v>373</v>
      </c>
      <c r="C164" t="s">
        <v>10</v>
      </c>
      <c r="D164">
        <v>70</v>
      </c>
      <c r="E164" t="s">
        <v>91</v>
      </c>
      <c r="F164" t="s">
        <v>92</v>
      </c>
      <c r="G164" t="s">
        <v>78</v>
      </c>
      <c r="H164" s="1">
        <v>45540</v>
      </c>
    </row>
    <row r="165" spans="1:8">
      <c r="A165" t="s">
        <v>374</v>
      </c>
      <c r="B165" t="s">
        <v>375</v>
      </c>
      <c r="C165" t="s">
        <v>10</v>
      </c>
      <c r="D165">
        <v>27</v>
      </c>
      <c r="E165" t="s">
        <v>41</v>
      </c>
      <c r="F165" t="s">
        <v>42</v>
      </c>
      <c r="G165" t="s">
        <v>17</v>
      </c>
      <c r="H165" s="1">
        <v>44713</v>
      </c>
    </row>
    <row r="166" spans="1:8">
      <c r="A166" t="s">
        <v>376</v>
      </c>
      <c r="B166" t="s">
        <v>377</v>
      </c>
      <c r="C166" t="s">
        <v>10</v>
      </c>
      <c r="D166">
        <v>33</v>
      </c>
      <c r="E166" t="s">
        <v>218</v>
      </c>
      <c r="F166" t="s">
        <v>219</v>
      </c>
      <c r="G166" t="s">
        <v>17</v>
      </c>
      <c r="H166" s="1">
        <v>45184</v>
      </c>
    </row>
    <row r="167" spans="1:8">
      <c r="A167" t="s">
        <v>378</v>
      </c>
      <c r="B167" t="s">
        <v>379</v>
      </c>
      <c r="C167" t="s">
        <v>10</v>
      </c>
      <c r="D167">
        <v>67</v>
      </c>
      <c r="E167" t="s">
        <v>41</v>
      </c>
      <c r="F167" t="s">
        <v>42</v>
      </c>
      <c r="G167" t="s">
        <v>17</v>
      </c>
      <c r="H167" s="1">
        <v>45803</v>
      </c>
    </row>
    <row r="168" spans="1:8">
      <c r="A168" t="s">
        <v>380</v>
      </c>
      <c r="B168" t="s">
        <v>381</v>
      </c>
      <c r="C168" t="s">
        <v>31</v>
      </c>
      <c r="D168">
        <v>55</v>
      </c>
      <c r="E168" t="s">
        <v>149</v>
      </c>
      <c r="F168" t="s">
        <v>38</v>
      </c>
      <c r="G168" t="s">
        <v>22</v>
      </c>
      <c r="H168" s="1">
        <v>45468</v>
      </c>
    </row>
    <row r="169" spans="1:8">
      <c r="A169" t="s">
        <v>382</v>
      </c>
      <c r="B169" t="s">
        <v>383</v>
      </c>
      <c r="C169" t="s">
        <v>10</v>
      </c>
      <c r="D169">
        <v>57</v>
      </c>
      <c r="E169" t="s">
        <v>91</v>
      </c>
      <c r="F169" t="s">
        <v>92</v>
      </c>
      <c r="G169" t="s">
        <v>78</v>
      </c>
      <c r="H169" s="1">
        <v>45726</v>
      </c>
    </row>
    <row r="170" spans="1:8">
      <c r="A170" t="s">
        <v>384</v>
      </c>
      <c r="B170" t="s">
        <v>385</v>
      </c>
      <c r="C170" t="s">
        <v>10</v>
      </c>
      <c r="D170">
        <v>34</v>
      </c>
      <c r="E170" t="s">
        <v>87</v>
      </c>
      <c r="F170" t="s">
        <v>88</v>
      </c>
      <c r="G170" t="s">
        <v>78</v>
      </c>
      <c r="H170" s="1">
        <v>44987</v>
      </c>
    </row>
    <row r="171" spans="1:8">
      <c r="A171" t="s">
        <v>386</v>
      </c>
      <c r="B171" t="s">
        <v>387</v>
      </c>
      <c r="C171" t="s">
        <v>10</v>
      </c>
      <c r="D171">
        <v>53</v>
      </c>
      <c r="E171" t="s">
        <v>63</v>
      </c>
      <c r="F171" t="s">
        <v>64</v>
      </c>
      <c r="G171" t="s">
        <v>12</v>
      </c>
      <c r="H171" s="1">
        <v>45053</v>
      </c>
    </row>
    <row r="172" spans="1:8">
      <c r="A172" t="s">
        <v>388</v>
      </c>
      <c r="B172" t="s">
        <v>389</v>
      </c>
      <c r="C172" t="s">
        <v>31</v>
      </c>
      <c r="D172">
        <v>62</v>
      </c>
      <c r="E172" t="s">
        <v>15</v>
      </c>
      <c r="F172" t="s">
        <v>16</v>
      </c>
      <c r="G172" t="s">
        <v>17</v>
      </c>
      <c r="H172" s="1">
        <v>45398</v>
      </c>
    </row>
    <row r="173" spans="1:8">
      <c r="A173" t="s">
        <v>390</v>
      </c>
      <c r="B173" t="s">
        <v>391</v>
      </c>
      <c r="C173" t="s">
        <v>10</v>
      </c>
      <c r="D173">
        <v>36</v>
      </c>
      <c r="E173" t="s">
        <v>134</v>
      </c>
      <c r="F173" t="s">
        <v>28</v>
      </c>
      <c r="G173" t="s">
        <v>12</v>
      </c>
      <c r="H173" s="1">
        <v>44628</v>
      </c>
    </row>
    <row r="174" spans="1:8">
      <c r="A174" t="s">
        <v>392</v>
      </c>
      <c r="B174" t="s">
        <v>393</v>
      </c>
      <c r="C174" t="s">
        <v>10</v>
      </c>
      <c r="D174">
        <v>34</v>
      </c>
      <c r="E174" t="s">
        <v>69</v>
      </c>
      <c r="F174" t="s">
        <v>69</v>
      </c>
      <c r="G174" t="s">
        <v>12</v>
      </c>
      <c r="H174" s="1">
        <v>44707</v>
      </c>
    </row>
    <row r="175" spans="1:8">
      <c r="A175" t="s">
        <v>394</v>
      </c>
      <c r="B175" t="s">
        <v>395</v>
      </c>
      <c r="C175" t="s">
        <v>10</v>
      </c>
      <c r="D175">
        <v>45</v>
      </c>
      <c r="E175" t="s">
        <v>27</v>
      </c>
      <c r="F175" t="s">
        <v>28</v>
      </c>
      <c r="G175" t="s">
        <v>12</v>
      </c>
      <c r="H175" s="1">
        <v>45916</v>
      </c>
    </row>
    <row r="176" spans="1:8">
      <c r="A176" t="s">
        <v>396</v>
      </c>
      <c r="B176" t="s">
        <v>397</v>
      </c>
      <c r="C176" t="s">
        <v>10</v>
      </c>
      <c r="D176">
        <v>35</v>
      </c>
      <c r="E176" t="s">
        <v>34</v>
      </c>
      <c r="F176" t="s">
        <v>16</v>
      </c>
      <c r="G176" t="s">
        <v>17</v>
      </c>
      <c r="H176" s="1">
        <v>45888</v>
      </c>
    </row>
    <row r="177" spans="1:8">
      <c r="A177" t="s">
        <v>398</v>
      </c>
      <c r="B177" t="s">
        <v>399</v>
      </c>
      <c r="C177" t="s">
        <v>10</v>
      </c>
      <c r="D177">
        <v>68</v>
      </c>
      <c r="E177" t="s">
        <v>87</v>
      </c>
      <c r="F177" t="s">
        <v>88</v>
      </c>
      <c r="G177" t="s">
        <v>78</v>
      </c>
      <c r="H177" s="1">
        <v>44684</v>
      </c>
    </row>
    <row r="178" spans="1:8">
      <c r="A178" t="s">
        <v>400</v>
      </c>
      <c r="B178" t="s">
        <v>401</v>
      </c>
      <c r="C178" t="s">
        <v>31</v>
      </c>
      <c r="D178">
        <v>25</v>
      </c>
      <c r="E178" t="s">
        <v>60</v>
      </c>
      <c r="F178" t="s">
        <v>21</v>
      </c>
      <c r="G178" t="s">
        <v>22</v>
      </c>
      <c r="H178" s="1">
        <v>45153</v>
      </c>
    </row>
    <row r="179" spans="1:8">
      <c r="A179" t="s">
        <v>402</v>
      </c>
      <c r="B179" t="s">
        <v>403</v>
      </c>
      <c r="C179" t="s">
        <v>31</v>
      </c>
      <c r="D179">
        <v>35</v>
      </c>
      <c r="E179" t="s">
        <v>37</v>
      </c>
      <c r="F179" t="s">
        <v>38</v>
      </c>
      <c r="G179" t="s">
        <v>22</v>
      </c>
      <c r="H179" s="1">
        <v>45995</v>
      </c>
    </row>
    <row r="180" spans="1:8">
      <c r="A180" t="s">
        <v>404</v>
      </c>
      <c r="B180" t="s">
        <v>405</v>
      </c>
      <c r="C180" t="s">
        <v>10</v>
      </c>
      <c r="D180">
        <v>56</v>
      </c>
      <c r="E180" t="s">
        <v>149</v>
      </c>
      <c r="F180" t="s">
        <v>38</v>
      </c>
      <c r="G180" t="s">
        <v>22</v>
      </c>
      <c r="H180" s="1">
        <v>45458</v>
      </c>
    </row>
    <row r="181" spans="1:8">
      <c r="A181" t="s">
        <v>406</v>
      </c>
      <c r="B181" t="s">
        <v>407</v>
      </c>
      <c r="C181" t="s">
        <v>31</v>
      </c>
      <c r="D181">
        <v>19</v>
      </c>
      <c r="E181" t="s">
        <v>41</v>
      </c>
      <c r="F181" t="s">
        <v>42</v>
      </c>
      <c r="G181" t="s">
        <v>17</v>
      </c>
      <c r="H181" s="1">
        <v>45222</v>
      </c>
    </row>
    <row r="182" spans="1:8">
      <c r="A182" t="s">
        <v>408</v>
      </c>
      <c r="B182" t="s">
        <v>409</v>
      </c>
      <c r="C182" t="s">
        <v>10</v>
      </c>
      <c r="D182">
        <v>66</v>
      </c>
      <c r="E182" t="s">
        <v>218</v>
      </c>
      <c r="F182" t="s">
        <v>219</v>
      </c>
      <c r="G182" t="s">
        <v>17</v>
      </c>
      <c r="H182" s="1">
        <v>45764</v>
      </c>
    </row>
    <row r="183" spans="1:8">
      <c r="A183" t="s">
        <v>410</v>
      </c>
      <c r="B183" t="s">
        <v>411</v>
      </c>
      <c r="C183" t="s">
        <v>10</v>
      </c>
      <c r="D183">
        <v>66</v>
      </c>
      <c r="E183" t="s">
        <v>134</v>
      </c>
      <c r="F183" t="s">
        <v>28</v>
      </c>
      <c r="G183" t="s">
        <v>12</v>
      </c>
      <c r="H183" s="1">
        <v>45742</v>
      </c>
    </row>
    <row r="184" spans="1:8">
      <c r="A184" t="s">
        <v>412</v>
      </c>
      <c r="B184" t="s">
        <v>413</v>
      </c>
      <c r="C184" t="s">
        <v>31</v>
      </c>
      <c r="D184">
        <v>35</v>
      </c>
      <c r="E184" t="s">
        <v>69</v>
      </c>
      <c r="F184" t="s">
        <v>69</v>
      </c>
      <c r="G184" t="s">
        <v>12</v>
      </c>
      <c r="H184" s="1">
        <v>45624</v>
      </c>
    </row>
    <row r="185" spans="1:8">
      <c r="A185" t="s">
        <v>414</v>
      </c>
      <c r="B185" t="s">
        <v>415</v>
      </c>
      <c r="C185" t="s">
        <v>31</v>
      </c>
      <c r="D185">
        <v>23</v>
      </c>
      <c r="E185" t="s">
        <v>218</v>
      </c>
      <c r="F185" t="s">
        <v>219</v>
      </c>
      <c r="G185" t="s">
        <v>17</v>
      </c>
      <c r="H185" s="1">
        <v>45454</v>
      </c>
    </row>
    <row r="186" spans="1:8">
      <c r="A186" t="s">
        <v>416</v>
      </c>
      <c r="B186" t="s">
        <v>417</v>
      </c>
      <c r="C186" t="s">
        <v>31</v>
      </c>
      <c r="D186">
        <v>60</v>
      </c>
      <c r="E186" t="s">
        <v>149</v>
      </c>
      <c r="F186" t="s">
        <v>38</v>
      </c>
      <c r="G186" t="s">
        <v>22</v>
      </c>
      <c r="H186" s="1">
        <v>45244</v>
      </c>
    </row>
    <row r="187" spans="1:8">
      <c r="A187" t="s">
        <v>418</v>
      </c>
      <c r="B187" t="s">
        <v>419</v>
      </c>
      <c r="C187" t="s">
        <v>31</v>
      </c>
      <c r="D187">
        <v>62</v>
      </c>
      <c r="E187" t="s">
        <v>34</v>
      </c>
      <c r="F187" t="s">
        <v>16</v>
      </c>
      <c r="G187" t="s">
        <v>17</v>
      </c>
      <c r="H187" s="1">
        <v>45237</v>
      </c>
    </row>
    <row r="188" spans="1:8">
      <c r="A188" t="s">
        <v>420</v>
      </c>
      <c r="B188" t="s">
        <v>421</v>
      </c>
      <c r="C188" t="s">
        <v>10</v>
      </c>
      <c r="D188">
        <v>47</v>
      </c>
      <c r="E188" t="s">
        <v>149</v>
      </c>
      <c r="F188" t="s">
        <v>38</v>
      </c>
      <c r="G188" t="s">
        <v>22</v>
      </c>
      <c r="H188" s="1">
        <v>45688</v>
      </c>
    </row>
    <row r="189" spans="1:8">
      <c r="A189" t="s">
        <v>422</v>
      </c>
      <c r="B189" t="s">
        <v>423</v>
      </c>
      <c r="C189" t="s">
        <v>10</v>
      </c>
      <c r="D189">
        <v>67</v>
      </c>
      <c r="E189" t="s">
        <v>45</v>
      </c>
      <c r="F189" t="s">
        <v>46</v>
      </c>
      <c r="G189" t="s">
        <v>17</v>
      </c>
      <c r="H189" s="1">
        <v>45224</v>
      </c>
    </row>
    <row r="190" spans="1:8">
      <c r="A190" t="s">
        <v>424</v>
      </c>
      <c r="B190" t="s">
        <v>425</v>
      </c>
      <c r="C190" t="s">
        <v>31</v>
      </c>
      <c r="D190">
        <v>44</v>
      </c>
      <c r="E190" t="s">
        <v>60</v>
      </c>
      <c r="F190" t="s">
        <v>21</v>
      </c>
      <c r="G190" t="s">
        <v>22</v>
      </c>
      <c r="H190" s="1">
        <v>44564</v>
      </c>
    </row>
    <row r="191" spans="1:8">
      <c r="A191" t="s">
        <v>426</v>
      </c>
      <c r="B191" t="s">
        <v>427</v>
      </c>
      <c r="C191" t="s">
        <v>31</v>
      </c>
      <c r="D191">
        <v>58</v>
      </c>
      <c r="E191" t="s">
        <v>218</v>
      </c>
      <c r="F191" t="s">
        <v>219</v>
      </c>
      <c r="G191" t="s">
        <v>17</v>
      </c>
      <c r="H191" s="1">
        <v>45302</v>
      </c>
    </row>
    <row r="192" spans="1:8">
      <c r="A192" t="s">
        <v>428</v>
      </c>
      <c r="B192" t="s">
        <v>429</v>
      </c>
      <c r="C192" t="s">
        <v>31</v>
      </c>
      <c r="D192">
        <v>53</v>
      </c>
      <c r="E192" t="s">
        <v>20</v>
      </c>
      <c r="F192" t="s">
        <v>21</v>
      </c>
      <c r="G192" t="s">
        <v>22</v>
      </c>
      <c r="H192" s="1">
        <v>44978</v>
      </c>
    </row>
    <row r="193" spans="1:8">
      <c r="A193" t="s">
        <v>430</v>
      </c>
      <c r="B193" t="s">
        <v>431</v>
      </c>
      <c r="C193" t="s">
        <v>31</v>
      </c>
      <c r="D193">
        <v>25</v>
      </c>
      <c r="E193" t="s">
        <v>45</v>
      </c>
      <c r="F193" t="s">
        <v>46</v>
      </c>
      <c r="G193" t="s">
        <v>17</v>
      </c>
      <c r="H193" s="1">
        <v>45459</v>
      </c>
    </row>
    <row r="194" spans="1:8">
      <c r="A194" t="s">
        <v>432</v>
      </c>
      <c r="B194" t="s">
        <v>433</v>
      </c>
      <c r="C194" t="s">
        <v>10</v>
      </c>
      <c r="D194">
        <v>37</v>
      </c>
      <c r="E194" t="s">
        <v>218</v>
      </c>
      <c r="F194" t="s">
        <v>219</v>
      </c>
      <c r="G194" t="s">
        <v>17</v>
      </c>
      <c r="H194" s="1">
        <v>45052</v>
      </c>
    </row>
    <row r="195" spans="1:8">
      <c r="A195" t="s">
        <v>434</v>
      </c>
      <c r="B195" t="s">
        <v>435</v>
      </c>
      <c r="C195" t="s">
        <v>10</v>
      </c>
      <c r="D195">
        <v>32</v>
      </c>
      <c r="E195" t="s">
        <v>60</v>
      </c>
      <c r="F195" t="s">
        <v>21</v>
      </c>
      <c r="G195" t="s">
        <v>22</v>
      </c>
      <c r="H195" s="1">
        <v>45397</v>
      </c>
    </row>
    <row r="196" spans="1:8">
      <c r="A196" t="s">
        <v>436</v>
      </c>
      <c r="B196" t="s">
        <v>437</v>
      </c>
      <c r="C196" t="s">
        <v>10</v>
      </c>
      <c r="D196">
        <v>59</v>
      </c>
      <c r="E196" t="s">
        <v>87</v>
      </c>
      <c r="F196" t="s">
        <v>88</v>
      </c>
      <c r="G196" t="s">
        <v>78</v>
      </c>
      <c r="H196" s="1">
        <v>45507</v>
      </c>
    </row>
    <row r="197" spans="1:8">
      <c r="A197" t="s">
        <v>438</v>
      </c>
      <c r="B197" t="s">
        <v>439</v>
      </c>
      <c r="C197" t="s">
        <v>31</v>
      </c>
      <c r="D197">
        <v>44</v>
      </c>
      <c r="E197" t="s">
        <v>112</v>
      </c>
      <c r="F197" t="s">
        <v>113</v>
      </c>
      <c r="G197" t="s">
        <v>78</v>
      </c>
      <c r="H197" s="1">
        <v>45159</v>
      </c>
    </row>
    <row r="198" spans="1:8">
      <c r="A198" t="s">
        <v>440</v>
      </c>
      <c r="B198" t="s">
        <v>441</v>
      </c>
      <c r="C198" t="s">
        <v>31</v>
      </c>
      <c r="D198">
        <v>53</v>
      </c>
      <c r="E198" t="s">
        <v>112</v>
      </c>
      <c r="F198" t="s">
        <v>113</v>
      </c>
      <c r="G198" t="s">
        <v>78</v>
      </c>
      <c r="H198" s="1">
        <v>45061</v>
      </c>
    </row>
    <row r="199" spans="1:8">
      <c r="A199" t="s">
        <v>442</v>
      </c>
      <c r="B199" t="s">
        <v>443</v>
      </c>
      <c r="C199" t="s">
        <v>10</v>
      </c>
      <c r="D199">
        <v>22</v>
      </c>
      <c r="E199" t="s">
        <v>34</v>
      </c>
      <c r="F199" t="s">
        <v>16</v>
      </c>
      <c r="G199" t="s">
        <v>17</v>
      </c>
      <c r="H199" s="1">
        <v>45789</v>
      </c>
    </row>
    <row r="200" spans="1:8">
      <c r="A200" t="s">
        <v>444</v>
      </c>
      <c r="B200" t="s">
        <v>445</v>
      </c>
      <c r="C200" t="s">
        <v>31</v>
      </c>
      <c r="D200">
        <v>70</v>
      </c>
      <c r="E200" t="s">
        <v>41</v>
      </c>
      <c r="F200" t="s">
        <v>42</v>
      </c>
      <c r="G200" t="s">
        <v>17</v>
      </c>
      <c r="H200" s="1">
        <v>45258</v>
      </c>
    </row>
    <row r="201" spans="1:8">
      <c r="A201" t="s">
        <v>446</v>
      </c>
      <c r="B201" t="s">
        <v>447</v>
      </c>
      <c r="C201" t="s">
        <v>31</v>
      </c>
      <c r="D201">
        <v>27</v>
      </c>
      <c r="E201" t="s">
        <v>45</v>
      </c>
      <c r="F201" t="s">
        <v>46</v>
      </c>
      <c r="G201" t="s">
        <v>17</v>
      </c>
      <c r="H201" s="1">
        <v>45764</v>
      </c>
    </row>
    <row r="202" spans="1:8">
      <c r="A202" t="s">
        <v>448</v>
      </c>
      <c r="B202" t="s">
        <v>449</v>
      </c>
      <c r="C202" t="s">
        <v>31</v>
      </c>
      <c r="D202">
        <v>53</v>
      </c>
      <c r="E202" t="s">
        <v>149</v>
      </c>
      <c r="F202" t="s">
        <v>38</v>
      </c>
      <c r="G202" t="s">
        <v>22</v>
      </c>
      <c r="H202" s="1">
        <v>45268</v>
      </c>
    </row>
    <row r="203" spans="1:8">
      <c r="A203" t="s">
        <v>450</v>
      </c>
      <c r="B203" t="s">
        <v>451</v>
      </c>
      <c r="C203" t="s">
        <v>31</v>
      </c>
      <c r="D203">
        <v>30</v>
      </c>
      <c r="E203" t="s">
        <v>69</v>
      </c>
      <c r="F203" t="s">
        <v>69</v>
      </c>
      <c r="G203" t="s">
        <v>12</v>
      </c>
      <c r="H203" s="1">
        <v>45494</v>
      </c>
    </row>
    <row r="204" spans="1:8">
      <c r="A204" t="s">
        <v>452</v>
      </c>
      <c r="B204" t="s">
        <v>453</v>
      </c>
      <c r="C204" t="s">
        <v>31</v>
      </c>
      <c r="D204">
        <v>32</v>
      </c>
      <c r="E204" t="s">
        <v>76</v>
      </c>
      <c r="F204" t="s">
        <v>77</v>
      </c>
      <c r="G204" t="s">
        <v>78</v>
      </c>
      <c r="H204" s="1">
        <v>45733</v>
      </c>
    </row>
    <row r="205" spans="1:8">
      <c r="A205" t="s">
        <v>454</v>
      </c>
      <c r="B205" t="s">
        <v>455</v>
      </c>
      <c r="C205" t="s">
        <v>31</v>
      </c>
      <c r="D205">
        <v>65</v>
      </c>
      <c r="E205" t="s">
        <v>112</v>
      </c>
      <c r="F205" t="s">
        <v>113</v>
      </c>
      <c r="G205" t="s">
        <v>78</v>
      </c>
      <c r="H205" s="1">
        <v>44651</v>
      </c>
    </row>
    <row r="206" spans="1:8">
      <c r="A206" t="s">
        <v>456</v>
      </c>
      <c r="B206" t="s">
        <v>457</v>
      </c>
      <c r="C206" t="s">
        <v>10</v>
      </c>
      <c r="D206">
        <v>49</v>
      </c>
      <c r="E206" t="s">
        <v>149</v>
      </c>
      <c r="F206" t="s">
        <v>38</v>
      </c>
      <c r="G206" t="s">
        <v>22</v>
      </c>
      <c r="H206" s="1">
        <v>45352</v>
      </c>
    </row>
    <row r="207" spans="1:8">
      <c r="A207" t="s">
        <v>458</v>
      </c>
      <c r="B207" t="s">
        <v>459</v>
      </c>
      <c r="C207" t="s">
        <v>31</v>
      </c>
      <c r="D207">
        <v>24</v>
      </c>
      <c r="E207" t="s">
        <v>76</v>
      </c>
      <c r="F207" t="s">
        <v>77</v>
      </c>
      <c r="G207" t="s">
        <v>78</v>
      </c>
      <c r="H207" s="1">
        <v>45590</v>
      </c>
    </row>
    <row r="208" spans="1:8">
      <c r="A208" t="s">
        <v>460</v>
      </c>
      <c r="B208" t="s">
        <v>461</v>
      </c>
      <c r="C208" t="s">
        <v>31</v>
      </c>
      <c r="D208">
        <v>18</v>
      </c>
      <c r="E208" t="s">
        <v>112</v>
      </c>
      <c r="F208" t="s">
        <v>113</v>
      </c>
      <c r="G208" t="s">
        <v>78</v>
      </c>
      <c r="H208" s="1">
        <v>44766</v>
      </c>
    </row>
    <row r="209" spans="1:8">
      <c r="A209" t="s">
        <v>462</v>
      </c>
      <c r="B209" t="s">
        <v>463</v>
      </c>
      <c r="C209" t="s">
        <v>10</v>
      </c>
      <c r="D209">
        <v>22</v>
      </c>
      <c r="E209" t="s">
        <v>69</v>
      </c>
      <c r="F209" t="s">
        <v>69</v>
      </c>
      <c r="G209" t="s">
        <v>12</v>
      </c>
      <c r="H209" s="1">
        <v>45902</v>
      </c>
    </row>
    <row r="210" spans="1:8">
      <c r="A210" t="s">
        <v>464</v>
      </c>
      <c r="B210" t="s">
        <v>465</v>
      </c>
      <c r="C210" t="s">
        <v>31</v>
      </c>
      <c r="D210">
        <v>59</v>
      </c>
      <c r="E210" t="s">
        <v>37</v>
      </c>
      <c r="F210" t="s">
        <v>38</v>
      </c>
      <c r="G210" t="s">
        <v>22</v>
      </c>
      <c r="H210" s="1">
        <v>45255</v>
      </c>
    </row>
    <row r="211" spans="1:8">
      <c r="A211" t="s">
        <v>466</v>
      </c>
      <c r="B211" t="s">
        <v>467</v>
      </c>
      <c r="C211" t="s">
        <v>31</v>
      </c>
      <c r="D211">
        <v>38</v>
      </c>
      <c r="E211" t="s">
        <v>45</v>
      </c>
      <c r="F211" t="s">
        <v>46</v>
      </c>
      <c r="G211" t="s">
        <v>17</v>
      </c>
      <c r="H211" s="1">
        <v>45943</v>
      </c>
    </row>
    <row r="212" spans="1:8">
      <c r="A212" t="s">
        <v>468</v>
      </c>
      <c r="B212" t="s">
        <v>469</v>
      </c>
      <c r="C212" t="s">
        <v>10</v>
      </c>
      <c r="D212">
        <v>57</v>
      </c>
      <c r="E212" t="s">
        <v>69</v>
      </c>
      <c r="F212" t="s">
        <v>69</v>
      </c>
      <c r="G212" t="s">
        <v>12</v>
      </c>
      <c r="H212" s="1">
        <v>45670</v>
      </c>
    </row>
    <row r="213" spans="1:8">
      <c r="A213" t="s">
        <v>470</v>
      </c>
      <c r="B213" t="s">
        <v>471</v>
      </c>
      <c r="C213" t="s">
        <v>10</v>
      </c>
      <c r="D213">
        <v>45</v>
      </c>
      <c r="E213" t="s">
        <v>45</v>
      </c>
      <c r="F213" t="s">
        <v>46</v>
      </c>
      <c r="G213" t="s">
        <v>17</v>
      </c>
      <c r="H213" s="1">
        <v>45027</v>
      </c>
    </row>
    <row r="214" spans="1:8">
      <c r="A214" t="s">
        <v>472</v>
      </c>
      <c r="B214" t="s">
        <v>473</v>
      </c>
      <c r="C214" t="s">
        <v>10</v>
      </c>
      <c r="D214">
        <v>62</v>
      </c>
      <c r="E214" t="s">
        <v>87</v>
      </c>
      <c r="F214" t="s">
        <v>88</v>
      </c>
      <c r="G214" t="s">
        <v>78</v>
      </c>
      <c r="H214" s="1">
        <v>45470</v>
      </c>
    </row>
    <row r="215" spans="1:8">
      <c r="A215" t="s">
        <v>474</v>
      </c>
      <c r="B215" t="s">
        <v>475</v>
      </c>
      <c r="C215" t="s">
        <v>31</v>
      </c>
      <c r="D215">
        <v>68</v>
      </c>
      <c r="E215" t="s">
        <v>15</v>
      </c>
      <c r="F215" t="s">
        <v>16</v>
      </c>
      <c r="G215" t="s">
        <v>17</v>
      </c>
      <c r="H215" s="1">
        <v>44656</v>
      </c>
    </row>
    <row r="216" spans="1:8">
      <c r="A216" t="s">
        <v>476</v>
      </c>
      <c r="B216" t="s">
        <v>477</v>
      </c>
      <c r="C216" t="s">
        <v>31</v>
      </c>
      <c r="D216">
        <v>27</v>
      </c>
      <c r="E216" t="s">
        <v>45</v>
      </c>
      <c r="F216" t="s">
        <v>46</v>
      </c>
      <c r="G216" t="s">
        <v>17</v>
      </c>
      <c r="H216" s="1">
        <v>45329</v>
      </c>
    </row>
    <row r="217" spans="1:8">
      <c r="A217" t="s">
        <v>478</v>
      </c>
      <c r="B217" t="s">
        <v>479</v>
      </c>
      <c r="C217" t="s">
        <v>10</v>
      </c>
      <c r="D217">
        <v>28</v>
      </c>
      <c r="E217" t="s">
        <v>41</v>
      </c>
      <c r="F217" t="s">
        <v>42</v>
      </c>
      <c r="G217" t="s">
        <v>17</v>
      </c>
      <c r="H217" s="1">
        <v>45721</v>
      </c>
    </row>
    <row r="218" spans="1:8">
      <c r="A218" t="s">
        <v>480</v>
      </c>
      <c r="B218" t="s">
        <v>481</v>
      </c>
      <c r="C218" t="s">
        <v>10</v>
      </c>
      <c r="D218">
        <v>49</v>
      </c>
      <c r="E218" t="s">
        <v>218</v>
      </c>
      <c r="F218" t="s">
        <v>219</v>
      </c>
      <c r="G218" t="s">
        <v>17</v>
      </c>
      <c r="H218" s="1">
        <v>45345</v>
      </c>
    </row>
    <row r="219" spans="1:8">
      <c r="A219" t="s">
        <v>482</v>
      </c>
      <c r="B219" t="s">
        <v>483</v>
      </c>
      <c r="C219" t="s">
        <v>31</v>
      </c>
      <c r="D219">
        <v>58</v>
      </c>
      <c r="E219" t="s">
        <v>76</v>
      </c>
      <c r="F219" t="s">
        <v>77</v>
      </c>
      <c r="G219" t="s">
        <v>78</v>
      </c>
      <c r="H219" s="1">
        <v>45037</v>
      </c>
    </row>
    <row r="220" spans="1:8">
      <c r="A220" t="s">
        <v>484</v>
      </c>
      <c r="B220" t="s">
        <v>485</v>
      </c>
      <c r="C220" t="s">
        <v>10</v>
      </c>
      <c r="D220">
        <v>69</v>
      </c>
      <c r="E220" t="s">
        <v>45</v>
      </c>
      <c r="F220" t="s">
        <v>46</v>
      </c>
      <c r="G220" t="s">
        <v>17</v>
      </c>
      <c r="H220" s="1">
        <v>45927</v>
      </c>
    </row>
    <row r="221" spans="1:8">
      <c r="A221" t="s">
        <v>486</v>
      </c>
      <c r="B221" t="s">
        <v>487</v>
      </c>
      <c r="C221" t="s">
        <v>10</v>
      </c>
      <c r="D221">
        <v>22</v>
      </c>
      <c r="E221" t="s">
        <v>37</v>
      </c>
      <c r="F221" t="s">
        <v>38</v>
      </c>
      <c r="G221" t="s">
        <v>22</v>
      </c>
      <c r="H221" s="1">
        <v>45949</v>
      </c>
    </row>
    <row r="222" spans="1:8">
      <c r="A222" t="s">
        <v>488</v>
      </c>
      <c r="B222" t="s">
        <v>489</v>
      </c>
      <c r="C222" t="s">
        <v>31</v>
      </c>
      <c r="D222">
        <v>58</v>
      </c>
      <c r="E222" t="s">
        <v>37</v>
      </c>
      <c r="F222" t="s">
        <v>38</v>
      </c>
      <c r="G222" t="s">
        <v>22</v>
      </c>
      <c r="H222" s="1">
        <v>45765</v>
      </c>
    </row>
    <row r="223" spans="1:8">
      <c r="A223" t="s">
        <v>490</v>
      </c>
      <c r="B223" t="s">
        <v>491</v>
      </c>
      <c r="C223" t="s">
        <v>31</v>
      </c>
      <c r="D223">
        <v>30</v>
      </c>
      <c r="E223" t="s">
        <v>91</v>
      </c>
      <c r="F223" t="s">
        <v>92</v>
      </c>
      <c r="G223" t="s">
        <v>78</v>
      </c>
      <c r="H223" s="1">
        <v>45497</v>
      </c>
    </row>
    <row r="224" spans="1:8">
      <c r="A224" t="s">
        <v>492</v>
      </c>
      <c r="B224" t="s">
        <v>493</v>
      </c>
      <c r="C224" t="s">
        <v>10</v>
      </c>
      <c r="D224">
        <v>42</v>
      </c>
      <c r="E224" t="s">
        <v>112</v>
      </c>
      <c r="F224" t="s">
        <v>113</v>
      </c>
      <c r="G224" t="s">
        <v>78</v>
      </c>
      <c r="H224" s="1">
        <v>44780</v>
      </c>
    </row>
    <row r="225" spans="1:8">
      <c r="A225" t="s">
        <v>494</v>
      </c>
      <c r="B225" t="s">
        <v>495</v>
      </c>
      <c r="C225" t="s">
        <v>31</v>
      </c>
      <c r="D225">
        <v>19</v>
      </c>
      <c r="E225" t="s">
        <v>60</v>
      </c>
      <c r="F225" t="s">
        <v>21</v>
      </c>
      <c r="G225" t="s">
        <v>22</v>
      </c>
      <c r="H225" s="1">
        <v>45167</v>
      </c>
    </row>
    <row r="226" spans="1:8">
      <c r="A226" t="s">
        <v>496</v>
      </c>
      <c r="B226" t="s">
        <v>497</v>
      </c>
      <c r="C226" t="s">
        <v>10</v>
      </c>
      <c r="D226">
        <v>54</v>
      </c>
      <c r="E226" t="s">
        <v>112</v>
      </c>
      <c r="F226" t="s">
        <v>113</v>
      </c>
      <c r="G226" t="s">
        <v>78</v>
      </c>
      <c r="H226" s="1">
        <v>45124</v>
      </c>
    </row>
    <row r="227" spans="1:8">
      <c r="A227" t="s">
        <v>498</v>
      </c>
      <c r="B227" t="s">
        <v>499</v>
      </c>
      <c r="C227" t="s">
        <v>31</v>
      </c>
      <c r="D227">
        <v>36</v>
      </c>
      <c r="E227" t="s">
        <v>87</v>
      </c>
      <c r="F227" t="s">
        <v>88</v>
      </c>
      <c r="G227" t="s">
        <v>78</v>
      </c>
      <c r="H227" s="1">
        <v>45803</v>
      </c>
    </row>
    <row r="228" spans="1:8">
      <c r="A228" t="s">
        <v>500</v>
      </c>
      <c r="B228" t="s">
        <v>501</v>
      </c>
      <c r="C228" t="s">
        <v>31</v>
      </c>
      <c r="D228">
        <v>32</v>
      </c>
      <c r="E228" t="s">
        <v>63</v>
      </c>
      <c r="F228" t="s">
        <v>64</v>
      </c>
      <c r="G228" t="s">
        <v>12</v>
      </c>
      <c r="H228" s="1">
        <v>45805</v>
      </c>
    </row>
    <row r="229" spans="1:8">
      <c r="A229" t="s">
        <v>502</v>
      </c>
      <c r="B229" t="s">
        <v>503</v>
      </c>
      <c r="C229" t="s">
        <v>10</v>
      </c>
      <c r="D229">
        <v>58</v>
      </c>
      <c r="E229" t="s">
        <v>27</v>
      </c>
      <c r="F229" t="s">
        <v>28</v>
      </c>
      <c r="G229" t="s">
        <v>12</v>
      </c>
      <c r="H229" s="1">
        <v>45075</v>
      </c>
    </row>
    <row r="230" spans="1:8">
      <c r="A230" t="s">
        <v>504</v>
      </c>
      <c r="B230" t="s">
        <v>505</v>
      </c>
      <c r="C230" t="s">
        <v>31</v>
      </c>
      <c r="D230">
        <v>20</v>
      </c>
      <c r="E230" t="s">
        <v>15</v>
      </c>
      <c r="F230" t="s">
        <v>16</v>
      </c>
      <c r="G230" t="s">
        <v>17</v>
      </c>
      <c r="H230" s="1">
        <v>45194</v>
      </c>
    </row>
    <row r="231" spans="1:8">
      <c r="A231" t="s">
        <v>506</v>
      </c>
      <c r="B231" t="s">
        <v>507</v>
      </c>
      <c r="C231" t="s">
        <v>31</v>
      </c>
      <c r="D231">
        <v>38</v>
      </c>
      <c r="E231" t="s">
        <v>101</v>
      </c>
      <c r="F231" t="s">
        <v>21</v>
      </c>
      <c r="G231" t="s">
        <v>22</v>
      </c>
      <c r="H231" s="1">
        <v>44746</v>
      </c>
    </row>
    <row r="232" spans="1:8">
      <c r="A232" t="s">
        <v>508</v>
      </c>
      <c r="B232" t="s">
        <v>509</v>
      </c>
      <c r="C232" t="s">
        <v>10</v>
      </c>
      <c r="D232">
        <v>68</v>
      </c>
      <c r="E232" t="s">
        <v>63</v>
      </c>
      <c r="F232" t="s">
        <v>64</v>
      </c>
      <c r="G232" t="s">
        <v>12</v>
      </c>
      <c r="H232" s="1">
        <v>44973</v>
      </c>
    </row>
    <row r="233" spans="1:8">
      <c r="A233" t="s">
        <v>510</v>
      </c>
      <c r="B233" t="s">
        <v>511</v>
      </c>
      <c r="C233" t="s">
        <v>31</v>
      </c>
      <c r="D233">
        <v>28</v>
      </c>
      <c r="E233" t="s">
        <v>37</v>
      </c>
      <c r="F233" t="s">
        <v>38</v>
      </c>
      <c r="G233" t="s">
        <v>22</v>
      </c>
      <c r="H233" s="1">
        <v>45649</v>
      </c>
    </row>
    <row r="234" spans="1:8">
      <c r="A234" t="s">
        <v>512</v>
      </c>
      <c r="B234" t="s">
        <v>513</v>
      </c>
      <c r="C234" t="s">
        <v>31</v>
      </c>
      <c r="D234">
        <v>69</v>
      </c>
      <c r="E234" t="s">
        <v>41</v>
      </c>
      <c r="F234" t="s">
        <v>42</v>
      </c>
      <c r="G234" t="s">
        <v>17</v>
      </c>
      <c r="H234" s="1">
        <v>45166</v>
      </c>
    </row>
    <row r="235" spans="1:8">
      <c r="A235" t="s">
        <v>514</v>
      </c>
      <c r="B235" t="s">
        <v>515</v>
      </c>
      <c r="C235" t="s">
        <v>10</v>
      </c>
      <c r="D235">
        <v>61</v>
      </c>
      <c r="E235" t="s">
        <v>15</v>
      </c>
      <c r="F235" t="s">
        <v>16</v>
      </c>
      <c r="G235" t="s">
        <v>17</v>
      </c>
      <c r="H235" s="1">
        <v>44850</v>
      </c>
    </row>
    <row r="236" spans="1:8">
      <c r="A236" t="s">
        <v>516</v>
      </c>
      <c r="B236" t="s">
        <v>517</v>
      </c>
      <c r="C236" t="s">
        <v>31</v>
      </c>
      <c r="D236">
        <v>23</v>
      </c>
      <c r="E236" t="s">
        <v>69</v>
      </c>
      <c r="F236" t="s">
        <v>69</v>
      </c>
      <c r="G236" t="s">
        <v>12</v>
      </c>
      <c r="H236" s="1">
        <v>45703</v>
      </c>
    </row>
    <row r="237" spans="1:8">
      <c r="A237" t="s">
        <v>518</v>
      </c>
      <c r="B237" t="s">
        <v>519</v>
      </c>
      <c r="C237" t="s">
        <v>10</v>
      </c>
      <c r="D237">
        <v>47</v>
      </c>
      <c r="E237" t="s">
        <v>11</v>
      </c>
      <c r="F237" t="s">
        <v>11</v>
      </c>
      <c r="G237" t="s">
        <v>12</v>
      </c>
      <c r="H237" s="1">
        <v>45103</v>
      </c>
    </row>
    <row r="238" spans="1:8">
      <c r="A238" t="s">
        <v>520</v>
      </c>
      <c r="B238" t="s">
        <v>521</v>
      </c>
      <c r="C238" t="s">
        <v>31</v>
      </c>
      <c r="D238">
        <v>70</v>
      </c>
      <c r="E238" t="s">
        <v>37</v>
      </c>
      <c r="F238" t="s">
        <v>38</v>
      </c>
      <c r="G238" t="s">
        <v>22</v>
      </c>
      <c r="H238" s="1">
        <v>45759</v>
      </c>
    </row>
    <row r="239" spans="1:8">
      <c r="A239" t="s">
        <v>522</v>
      </c>
      <c r="B239" t="s">
        <v>523</v>
      </c>
      <c r="C239" t="s">
        <v>10</v>
      </c>
      <c r="D239">
        <v>48</v>
      </c>
      <c r="E239" t="s">
        <v>134</v>
      </c>
      <c r="F239" t="s">
        <v>28</v>
      </c>
      <c r="G239" t="s">
        <v>12</v>
      </c>
      <c r="H239" s="1">
        <v>44783</v>
      </c>
    </row>
    <row r="240" spans="1:8">
      <c r="A240" t="s">
        <v>524</v>
      </c>
      <c r="B240" t="s">
        <v>525</v>
      </c>
      <c r="C240" t="s">
        <v>10</v>
      </c>
      <c r="D240">
        <v>59</v>
      </c>
      <c r="E240" t="s">
        <v>218</v>
      </c>
      <c r="F240" t="s">
        <v>219</v>
      </c>
      <c r="G240" t="s">
        <v>17</v>
      </c>
      <c r="H240" s="1">
        <v>45233</v>
      </c>
    </row>
    <row r="241" spans="1:8">
      <c r="A241" t="s">
        <v>526</v>
      </c>
      <c r="B241" t="s">
        <v>527</v>
      </c>
      <c r="C241" t="s">
        <v>31</v>
      </c>
      <c r="D241">
        <v>59</v>
      </c>
      <c r="E241" t="s">
        <v>41</v>
      </c>
      <c r="F241" t="s">
        <v>42</v>
      </c>
      <c r="G241" t="s">
        <v>17</v>
      </c>
      <c r="H241" s="1">
        <v>45997</v>
      </c>
    </row>
    <row r="242" spans="1:8">
      <c r="A242" t="s">
        <v>528</v>
      </c>
      <c r="B242" t="s">
        <v>529</v>
      </c>
      <c r="C242" t="s">
        <v>10</v>
      </c>
      <c r="D242">
        <v>37</v>
      </c>
      <c r="E242" t="s">
        <v>101</v>
      </c>
      <c r="F242" t="s">
        <v>21</v>
      </c>
      <c r="G242" t="s">
        <v>22</v>
      </c>
      <c r="H242" s="1">
        <v>44654</v>
      </c>
    </row>
    <row r="243" spans="1:8">
      <c r="A243" t="s">
        <v>530</v>
      </c>
      <c r="B243" t="s">
        <v>531</v>
      </c>
      <c r="C243" t="s">
        <v>10</v>
      </c>
      <c r="D243">
        <v>52</v>
      </c>
      <c r="E243" t="s">
        <v>87</v>
      </c>
      <c r="F243" t="s">
        <v>88</v>
      </c>
      <c r="G243" t="s">
        <v>78</v>
      </c>
      <c r="H243" s="1">
        <v>44761</v>
      </c>
    </row>
    <row r="244" spans="1:8">
      <c r="A244" t="s">
        <v>532</v>
      </c>
      <c r="B244" t="s">
        <v>533</v>
      </c>
      <c r="C244" t="s">
        <v>31</v>
      </c>
      <c r="D244">
        <v>55</v>
      </c>
      <c r="E244" t="s">
        <v>41</v>
      </c>
      <c r="F244" t="s">
        <v>42</v>
      </c>
      <c r="G244" t="s">
        <v>17</v>
      </c>
      <c r="H244" s="1">
        <v>45321</v>
      </c>
    </row>
    <row r="245" spans="1:8">
      <c r="A245" t="s">
        <v>534</v>
      </c>
      <c r="B245" t="s">
        <v>535</v>
      </c>
      <c r="C245" t="s">
        <v>10</v>
      </c>
      <c r="D245">
        <v>49</v>
      </c>
      <c r="E245" t="s">
        <v>63</v>
      </c>
      <c r="F245" t="s">
        <v>64</v>
      </c>
      <c r="G245" t="s">
        <v>12</v>
      </c>
      <c r="H245" s="1">
        <v>45411</v>
      </c>
    </row>
    <row r="246" spans="1:8">
      <c r="A246" t="s">
        <v>536</v>
      </c>
      <c r="B246" t="s">
        <v>537</v>
      </c>
      <c r="C246" t="s">
        <v>31</v>
      </c>
      <c r="D246">
        <v>31</v>
      </c>
      <c r="E246" t="s">
        <v>134</v>
      </c>
      <c r="F246" t="s">
        <v>28</v>
      </c>
      <c r="G246" t="s">
        <v>12</v>
      </c>
      <c r="H246" s="1">
        <v>44629</v>
      </c>
    </row>
    <row r="247" spans="1:8">
      <c r="A247" t="s">
        <v>538</v>
      </c>
      <c r="B247" t="s">
        <v>539</v>
      </c>
      <c r="C247" t="s">
        <v>10</v>
      </c>
      <c r="D247">
        <v>61</v>
      </c>
      <c r="E247" t="s">
        <v>101</v>
      </c>
      <c r="F247" t="s">
        <v>21</v>
      </c>
      <c r="G247" t="s">
        <v>22</v>
      </c>
      <c r="H247" s="1">
        <v>45304</v>
      </c>
    </row>
    <row r="248" spans="1:8">
      <c r="A248" t="s">
        <v>540</v>
      </c>
      <c r="B248" t="s">
        <v>541</v>
      </c>
      <c r="C248" t="s">
        <v>31</v>
      </c>
      <c r="D248">
        <v>35</v>
      </c>
      <c r="E248" t="s">
        <v>37</v>
      </c>
      <c r="F248" t="s">
        <v>38</v>
      </c>
      <c r="G248" t="s">
        <v>22</v>
      </c>
      <c r="H248" s="1">
        <v>44686</v>
      </c>
    </row>
    <row r="249" spans="1:8">
      <c r="A249" t="s">
        <v>542</v>
      </c>
      <c r="B249" t="s">
        <v>543</v>
      </c>
      <c r="C249" t="s">
        <v>10</v>
      </c>
      <c r="D249">
        <v>60</v>
      </c>
      <c r="E249" t="s">
        <v>15</v>
      </c>
      <c r="F249" t="s">
        <v>16</v>
      </c>
      <c r="G249" t="s">
        <v>17</v>
      </c>
      <c r="H249" s="1">
        <v>45493</v>
      </c>
    </row>
    <row r="250" spans="1:8">
      <c r="A250" t="s">
        <v>544</v>
      </c>
      <c r="B250" t="s">
        <v>545</v>
      </c>
      <c r="C250" t="s">
        <v>10</v>
      </c>
      <c r="D250">
        <v>68</v>
      </c>
      <c r="E250" t="s">
        <v>218</v>
      </c>
      <c r="F250" t="s">
        <v>219</v>
      </c>
      <c r="G250" t="s">
        <v>17</v>
      </c>
      <c r="H250" s="1">
        <v>44605</v>
      </c>
    </row>
    <row r="251" spans="1:8">
      <c r="A251" t="s">
        <v>546</v>
      </c>
      <c r="B251" t="s">
        <v>547</v>
      </c>
      <c r="C251" t="s">
        <v>10</v>
      </c>
      <c r="D251">
        <v>22</v>
      </c>
      <c r="E251" t="s">
        <v>101</v>
      </c>
      <c r="F251" t="s">
        <v>21</v>
      </c>
      <c r="G251" t="s">
        <v>22</v>
      </c>
      <c r="H251" s="1">
        <v>45718</v>
      </c>
    </row>
    <row r="252" spans="1:8">
      <c r="A252" t="s">
        <v>548</v>
      </c>
      <c r="B252" t="s">
        <v>549</v>
      </c>
      <c r="C252" t="s">
        <v>10</v>
      </c>
      <c r="D252">
        <v>70</v>
      </c>
      <c r="E252" t="s">
        <v>128</v>
      </c>
      <c r="F252" t="s">
        <v>129</v>
      </c>
      <c r="G252" t="s">
        <v>78</v>
      </c>
      <c r="H252" s="1">
        <v>44986</v>
      </c>
    </row>
    <row r="253" spans="1:8">
      <c r="A253" t="s">
        <v>550</v>
      </c>
      <c r="B253" t="s">
        <v>551</v>
      </c>
      <c r="C253" t="s">
        <v>10</v>
      </c>
      <c r="D253">
        <v>35</v>
      </c>
      <c r="E253" t="s">
        <v>91</v>
      </c>
      <c r="F253" t="s">
        <v>92</v>
      </c>
      <c r="G253" t="s">
        <v>78</v>
      </c>
      <c r="H253" s="1">
        <v>44864</v>
      </c>
    </row>
    <row r="254" spans="1:8">
      <c r="A254" t="s">
        <v>552</v>
      </c>
      <c r="B254" t="s">
        <v>553</v>
      </c>
      <c r="C254" t="s">
        <v>31</v>
      </c>
      <c r="D254">
        <v>69</v>
      </c>
      <c r="E254" t="s">
        <v>76</v>
      </c>
      <c r="F254" t="s">
        <v>77</v>
      </c>
      <c r="G254" t="s">
        <v>78</v>
      </c>
      <c r="H254" s="1">
        <v>44828</v>
      </c>
    </row>
    <row r="255" spans="1:8">
      <c r="A255" t="s">
        <v>554</v>
      </c>
      <c r="B255" t="s">
        <v>555</v>
      </c>
      <c r="C255" t="s">
        <v>10</v>
      </c>
      <c r="D255">
        <v>40</v>
      </c>
      <c r="E255" t="s">
        <v>15</v>
      </c>
      <c r="F255" t="s">
        <v>16</v>
      </c>
      <c r="G255" t="s">
        <v>17</v>
      </c>
      <c r="H255" s="1">
        <v>44831</v>
      </c>
    </row>
    <row r="256" spans="1:8">
      <c r="A256" t="s">
        <v>556</v>
      </c>
      <c r="B256" t="s">
        <v>557</v>
      </c>
      <c r="C256" t="s">
        <v>31</v>
      </c>
      <c r="D256">
        <v>19</v>
      </c>
      <c r="E256" t="s">
        <v>63</v>
      </c>
      <c r="F256" t="s">
        <v>64</v>
      </c>
      <c r="G256" t="s">
        <v>12</v>
      </c>
      <c r="H256" s="1">
        <v>45767</v>
      </c>
    </row>
    <row r="257" spans="1:8">
      <c r="A257" t="s">
        <v>558</v>
      </c>
      <c r="B257" t="s">
        <v>559</v>
      </c>
      <c r="C257" t="s">
        <v>31</v>
      </c>
      <c r="D257">
        <v>51</v>
      </c>
      <c r="E257" t="s">
        <v>15</v>
      </c>
      <c r="F257" t="s">
        <v>16</v>
      </c>
      <c r="G257" t="s">
        <v>17</v>
      </c>
      <c r="H257" s="1">
        <v>44821</v>
      </c>
    </row>
    <row r="258" spans="1:8">
      <c r="A258" t="s">
        <v>560</v>
      </c>
      <c r="B258" t="s">
        <v>561</v>
      </c>
      <c r="C258" t="s">
        <v>31</v>
      </c>
      <c r="D258">
        <v>67</v>
      </c>
      <c r="E258" t="s">
        <v>15</v>
      </c>
      <c r="F258" t="s">
        <v>16</v>
      </c>
      <c r="G258" t="s">
        <v>17</v>
      </c>
      <c r="H258" s="1">
        <v>45537</v>
      </c>
    </row>
    <row r="259" spans="1:8">
      <c r="A259" t="s">
        <v>562</v>
      </c>
      <c r="B259" t="s">
        <v>563</v>
      </c>
      <c r="C259" t="s">
        <v>31</v>
      </c>
      <c r="D259">
        <v>50</v>
      </c>
      <c r="E259" t="s">
        <v>60</v>
      </c>
      <c r="F259" t="s">
        <v>21</v>
      </c>
      <c r="G259" t="s">
        <v>22</v>
      </c>
      <c r="H259" s="1">
        <v>44785</v>
      </c>
    </row>
    <row r="260" spans="1:8">
      <c r="A260" t="s">
        <v>564</v>
      </c>
      <c r="B260" t="s">
        <v>565</v>
      </c>
      <c r="C260" t="s">
        <v>31</v>
      </c>
      <c r="D260">
        <v>47</v>
      </c>
      <c r="E260" t="s">
        <v>218</v>
      </c>
      <c r="F260" t="s">
        <v>219</v>
      </c>
      <c r="G260" t="s">
        <v>17</v>
      </c>
      <c r="H260" s="1">
        <v>44650</v>
      </c>
    </row>
    <row r="261" spans="1:8">
      <c r="A261" t="s">
        <v>566</v>
      </c>
      <c r="B261" t="s">
        <v>567</v>
      </c>
      <c r="C261" t="s">
        <v>31</v>
      </c>
      <c r="D261">
        <v>43</v>
      </c>
      <c r="E261" t="s">
        <v>11</v>
      </c>
      <c r="F261" t="s">
        <v>11</v>
      </c>
      <c r="G261" t="s">
        <v>12</v>
      </c>
      <c r="H261" s="1">
        <v>44686</v>
      </c>
    </row>
    <row r="262" spans="1:8">
      <c r="A262" t="s">
        <v>568</v>
      </c>
      <c r="B262" t="s">
        <v>569</v>
      </c>
      <c r="C262" t="s">
        <v>31</v>
      </c>
      <c r="D262">
        <v>22</v>
      </c>
      <c r="E262" t="s">
        <v>20</v>
      </c>
      <c r="F262" t="s">
        <v>21</v>
      </c>
      <c r="G262" t="s">
        <v>22</v>
      </c>
      <c r="H262" s="1">
        <v>45566</v>
      </c>
    </row>
    <row r="263" spans="1:8">
      <c r="A263" t="s">
        <v>570</v>
      </c>
      <c r="B263" t="s">
        <v>571</v>
      </c>
      <c r="C263" t="s">
        <v>10</v>
      </c>
      <c r="D263">
        <v>22</v>
      </c>
      <c r="E263" t="s">
        <v>91</v>
      </c>
      <c r="F263" t="s">
        <v>92</v>
      </c>
      <c r="G263" t="s">
        <v>78</v>
      </c>
      <c r="H263" s="1">
        <v>45807</v>
      </c>
    </row>
    <row r="264" spans="1:8">
      <c r="A264" t="s">
        <v>572</v>
      </c>
      <c r="B264" t="s">
        <v>573</v>
      </c>
      <c r="C264" t="s">
        <v>31</v>
      </c>
      <c r="D264">
        <v>42</v>
      </c>
      <c r="E264" t="s">
        <v>218</v>
      </c>
      <c r="F264" t="s">
        <v>219</v>
      </c>
      <c r="G264" t="s">
        <v>17</v>
      </c>
      <c r="H264" s="1">
        <v>45858</v>
      </c>
    </row>
    <row r="265" spans="1:8">
      <c r="A265" t="s">
        <v>574</v>
      </c>
      <c r="B265" t="s">
        <v>575</v>
      </c>
      <c r="C265" t="s">
        <v>31</v>
      </c>
      <c r="D265">
        <v>50</v>
      </c>
      <c r="E265" t="s">
        <v>128</v>
      </c>
      <c r="F265" t="s">
        <v>129</v>
      </c>
      <c r="G265" t="s">
        <v>78</v>
      </c>
      <c r="H265" s="1">
        <v>45165</v>
      </c>
    </row>
    <row r="266" spans="1:8">
      <c r="A266" t="s">
        <v>576</v>
      </c>
      <c r="B266" t="s">
        <v>577</v>
      </c>
      <c r="C266" t="s">
        <v>10</v>
      </c>
      <c r="D266">
        <v>59</v>
      </c>
      <c r="E266" t="s">
        <v>11</v>
      </c>
      <c r="F266" t="s">
        <v>11</v>
      </c>
      <c r="G266" t="s">
        <v>12</v>
      </c>
      <c r="H266" s="1">
        <v>45999</v>
      </c>
    </row>
    <row r="267" spans="1:8">
      <c r="A267" t="s">
        <v>578</v>
      </c>
      <c r="B267" t="s">
        <v>579</v>
      </c>
      <c r="C267" t="s">
        <v>31</v>
      </c>
      <c r="D267">
        <v>46</v>
      </c>
      <c r="E267" t="s">
        <v>27</v>
      </c>
      <c r="F267" t="s">
        <v>28</v>
      </c>
      <c r="G267" t="s">
        <v>12</v>
      </c>
      <c r="H267" s="1">
        <v>45002</v>
      </c>
    </row>
    <row r="268" spans="1:8">
      <c r="A268" t="s">
        <v>580</v>
      </c>
      <c r="B268" t="s">
        <v>581</v>
      </c>
      <c r="C268" t="s">
        <v>31</v>
      </c>
      <c r="D268">
        <v>43</v>
      </c>
      <c r="E268" t="s">
        <v>112</v>
      </c>
      <c r="F268" t="s">
        <v>113</v>
      </c>
      <c r="G268" t="s">
        <v>78</v>
      </c>
      <c r="H268" s="1">
        <v>45256</v>
      </c>
    </row>
    <row r="269" spans="1:8">
      <c r="A269" t="s">
        <v>582</v>
      </c>
      <c r="B269" t="s">
        <v>583</v>
      </c>
      <c r="C269" t="s">
        <v>31</v>
      </c>
      <c r="D269">
        <v>38</v>
      </c>
      <c r="E269" t="s">
        <v>20</v>
      </c>
      <c r="F269" t="s">
        <v>21</v>
      </c>
      <c r="G269" t="s">
        <v>22</v>
      </c>
      <c r="H269" s="1">
        <v>45202</v>
      </c>
    </row>
    <row r="270" spans="1:8">
      <c r="A270" t="s">
        <v>584</v>
      </c>
      <c r="B270" t="s">
        <v>585</v>
      </c>
      <c r="C270" t="s">
        <v>31</v>
      </c>
      <c r="D270">
        <v>22</v>
      </c>
      <c r="E270" t="s">
        <v>134</v>
      </c>
      <c r="F270" t="s">
        <v>28</v>
      </c>
      <c r="G270" t="s">
        <v>12</v>
      </c>
      <c r="H270" s="1">
        <v>44874</v>
      </c>
    </row>
    <row r="271" spans="1:8">
      <c r="A271" t="s">
        <v>586</v>
      </c>
      <c r="B271" t="s">
        <v>587</v>
      </c>
      <c r="C271" t="s">
        <v>31</v>
      </c>
      <c r="D271">
        <v>24</v>
      </c>
      <c r="E271" t="s">
        <v>15</v>
      </c>
      <c r="F271" t="s">
        <v>16</v>
      </c>
      <c r="G271" t="s">
        <v>17</v>
      </c>
      <c r="H271" s="1">
        <v>44752</v>
      </c>
    </row>
    <row r="272" spans="1:8">
      <c r="A272" t="s">
        <v>588</v>
      </c>
      <c r="B272" t="s">
        <v>589</v>
      </c>
      <c r="C272" t="s">
        <v>10</v>
      </c>
      <c r="D272">
        <v>55</v>
      </c>
      <c r="E272" t="s">
        <v>134</v>
      </c>
      <c r="F272" t="s">
        <v>28</v>
      </c>
      <c r="G272" t="s">
        <v>12</v>
      </c>
      <c r="H272" s="1">
        <v>44828</v>
      </c>
    </row>
    <row r="273" spans="1:8">
      <c r="A273" t="s">
        <v>590</v>
      </c>
      <c r="B273" t="s">
        <v>591</v>
      </c>
      <c r="C273" t="s">
        <v>10</v>
      </c>
      <c r="D273">
        <v>44</v>
      </c>
      <c r="E273" t="s">
        <v>128</v>
      </c>
      <c r="F273" t="s">
        <v>129</v>
      </c>
      <c r="G273" t="s">
        <v>78</v>
      </c>
      <c r="H273" s="1">
        <v>45237</v>
      </c>
    </row>
    <row r="274" spans="1:8">
      <c r="A274" t="s">
        <v>592</v>
      </c>
      <c r="B274" t="s">
        <v>593</v>
      </c>
      <c r="C274" t="s">
        <v>31</v>
      </c>
      <c r="D274">
        <v>56</v>
      </c>
      <c r="E274" t="s">
        <v>149</v>
      </c>
      <c r="F274" t="s">
        <v>38</v>
      </c>
      <c r="G274" t="s">
        <v>22</v>
      </c>
      <c r="H274" s="1">
        <v>44667</v>
      </c>
    </row>
    <row r="275" spans="1:8">
      <c r="A275" t="s">
        <v>594</v>
      </c>
      <c r="B275" t="s">
        <v>595</v>
      </c>
      <c r="C275" t="s">
        <v>10</v>
      </c>
      <c r="D275">
        <v>27</v>
      </c>
      <c r="E275" t="s">
        <v>20</v>
      </c>
      <c r="F275" t="s">
        <v>21</v>
      </c>
      <c r="G275" t="s">
        <v>22</v>
      </c>
      <c r="H275" s="1">
        <v>45745</v>
      </c>
    </row>
    <row r="276" spans="1:8">
      <c r="A276" t="s">
        <v>596</v>
      </c>
      <c r="B276" t="s">
        <v>597</v>
      </c>
      <c r="C276" t="s">
        <v>31</v>
      </c>
      <c r="D276">
        <v>53</v>
      </c>
      <c r="E276" t="s">
        <v>63</v>
      </c>
      <c r="F276" t="s">
        <v>64</v>
      </c>
      <c r="G276" t="s">
        <v>12</v>
      </c>
      <c r="H276" s="1">
        <v>44783</v>
      </c>
    </row>
    <row r="277" spans="1:8">
      <c r="A277" t="s">
        <v>598</v>
      </c>
      <c r="B277" t="s">
        <v>599</v>
      </c>
      <c r="C277" t="s">
        <v>10</v>
      </c>
      <c r="D277">
        <v>69</v>
      </c>
      <c r="E277" t="s">
        <v>37</v>
      </c>
      <c r="F277" t="s">
        <v>38</v>
      </c>
      <c r="G277" t="s">
        <v>22</v>
      </c>
      <c r="H277" s="1">
        <v>45737</v>
      </c>
    </row>
    <row r="278" spans="1:8">
      <c r="A278" t="s">
        <v>600</v>
      </c>
      <c r="B278" t="s">
        <v>601</v>
      </c>
      <c r="C278" t="s">
        <v>10</v>
      </c>
      <c r="D278">
        <v>56</v>
      </c>
      <c r="E278" t="s">
        <v>60</v>
      </c>
      <c r="F278" t="s">
        <v>21</v>
      </c>
      <c r="G278" t="s">
        <v>22</v>
      </c>
      <c r="H278" s="1">
        <v>45835</v>
      </c>
    </row>
    <row r="279" spans="1:8">
      <c r="A279" t="s">
        <v>602</v>
      </c>
      <c r="B279" t="s">
        <v>603</v>
      </c>
      <c r="C279" t="s">
        <v>10</v>
      </c>
      <c r="D279">
        <v>35</v>
      </c>
      <c r="E279" t="s">
        <v>91</v>
      </c>
      <c r="F279" t="s">
        <v>92</v>
      </c>
      <c r="G279" t="s">
        <v>78</v>
      </c>
      <c r="H279" s="1">
        <v>44621</v>
      </c>
    </row>
    <row r="280" spans="1:8">
      <c r="A280" t="s">
        <v>604</v>
      </c>
      <c r="B280" t="s">
        <v>605</v>
      </c>
      <c r="C280" t="s">
        <v>31</v>
      </c>
      <c r="D280">
        <v>18</v>
      </c>
      <c r="E280" t="s">
        <v>134</v>
      </c>
      <c r="F280" t="s">
        <v>28</v>
      </c>
      <c r="G280" t="s">
        <v>12</v>
      </c>
      <c r="H280" s="1">
        <v>45257</v>
      </c>
    </row>
    <row r="281" spans="1:8">
      <c r="A281" t="s">
        <v>606</v>
      </c>
      <c r="B281" t="s">
        <v>607</v>
      </c>
      <c r="C281" t="s">
        <v>31</v>
      </c>
      <c r="D281">
        <v>22</v>
      </c>
      <c r="E281" t="s">
        <v>34</v>
      </c>
      <c r="F281" t="s">
        <v>16</v>
      </c>
      <c r="G281" t="s">
        <v>17</v>
      </c>
      <c r="H281" s="1">
        <v>45721</v>
      </c>
    </row>
    <row r="282" spans="1:8">
      <c r="A282" t="s">
        <v>608</v>
      </c>
      <c r="B282" t="s">
        <v>609</v>
      </c>
      <c r="C282" t="s">
        <v>10</v>
      </c>
      <c r="D282">
        <v>42</v>
      </c>
      <c r="E282" t="s">
        <v>15</v>
      </c>
      <c r="F282" t="s">
        <v>16</v>
      </c>
      <c r="G282" t="s">
        <v>17</v>
      </c>
      <c r="H282" s="1">
        <v>44749</v>
      </c>
    </row>
    <row r="283" spans="1:8">
      <c r="A283" t="s">
        <v>610</v>
      </c>
      <c r="B283" t="s">
        <v>611</v>
      </c>
      <c r="C283" t="s">
        <v>31</v>
      </c>
      <c r="D283">
        <v>37</v>
      </c>
      <c r="E283" t="s">
        <v>37</v>
      </c>
      <c r="F283" t="s">
        <v>38</v>
      </c>
      <c r="G283" t="s">
        <v>22</v>
      </c>
      <c r="H283" s="1">
        <v>44884</v>
      </c>
    </row>
    <row r="284" spans="1:8">
      <c r="A284" t="s">
        <v>612</v>
      </c>
      <c r="B284" t="s">
        <v>613</v>
      </c>
      <c r="C284" t="s">
        <v>10</v>
      </c>
      <c r="D284">
        <v>21</v>
      </c>
      <c r="E284" t="s">
        <v>27</v>
      </c>
      <c r="F284" t="s">
        <v>28</v>
      </c>
      <c r="G284" t="s">
        <v>12</v>
      </c>
      <c r="H284" s="1">
        <v>45783</v>
      </c>
    </row>
    <row r="285" spans="1:8">
      <c r="A285" t="s">
        <v>614</v>
      </c>
      <c r="B285" t="s">
        <v>615</v>
      </c>
      <c r="C285" t="s">
        <v>10</v>
      </c>
      <c r="D285">
        <v>35</v>
      </c>
      <c r="E285" t="s">
        <v>218</v>
      </c>
      <c r="F285" t="s">
        <v>219</v>
      </c>
      <c r="G285" t="s">
        <v>17</v>
      </c>
      <c r="H285" s="1">
        <v>44663</v>
      </c>
    </row>
    <row r="286" spans="1:8">
      <c r="A286" t="s">
        <v>616</v>
      </c>
      <c r="B286" t="s">
        <v>617</v>
      </c>
      <c r="C286" t="s">
        <v>31</v>
      </c>
      <c r="D286">
        <v>44</v>
      </c>
      <c r="E286" t="s">
        <v>149</v>
      </c>
      <c r="F286" t="s">
        <v>38</v>
      </c>
      <c r="G286" t="s">
        <v>22</v>
      </c>
      <c r="H286" s="1">
        <v>45556</v>
      </c>
    </row>
    <row r="287" spans="1:8">
      <c r="A287" t="s">
        <v>618</v>
      </c>
      <c r="B287" t="s">
        <v>619</v>
      </c>
      <c r="C287" t="s">
        <v>31</v>
      </c>
      <c r="D287">
        <v>45</v>
      </c>
      <c r="E287" t="s">
        <v>218</v>
      </c>
      <c r="F287" t="s">
        <v>219</v>
      </c>
      <c r="G287" t="s">
        <v>17</v>
      </c>
      <c r="H287" s="1">
        <v>44795</v>
      </c>
    </row>
    <row r="288" spans="1:8">
      <c r="A288" t="s">
        <v>620</v>
      </c>
      <c r="B288" t="s">
        <v>621</v>
      </c>
      <c r="C288" t="s">
        <v>31</v>
      </c>
      <c r="D288">
        <v>20</v>
      </c>
      <c r="E288" t="s">
        <v>218</v>
      </c>
      <c r="F288" t="s">
        <v>219</v>
      </c>
      <c r="G288" t="s">
        <v>17</v>
      </c>
      <c r="H288" s="1">
        <v>45558</v>
      </c>
    </row>
    <row r="289" spans="1:8">
      <c r="A289" t="s">
        <v>622</v>
      </c>
      <c r="B289" t="s">
        <v>623</v>
      </c>
      <c r="C289" t="s">
        <v>10</v>
      </c>
      <c r="D289">
        <v>31</v>
      </c>
      <c r="E289" t="s">
        <v>218</v>
      </c>
      <c r="F289" t="s">
        <v>219</v>
      </c>
      <c r="G289" t="s">
        <v>17</v>
      </c>
      <c r="H289" s="1">
        <v>44674</v>
      </c>
    </row>
    <row r="290" spans="1:8">
      <c r="A290" t="s">
        <v>624</v>
      </c>
      <c r="B290" t="s">
        <v>625</v>
      </c>
      <c r="C290" t="s">
        <v>31</v>
      </c>
      <c r="D290">
        <v>36</v>
      </c>
      <c r="E290" t="s">
        <v>101</v>
      </c>
      <c r="F290" t="s">
        <v>21</v>
      </c>
      <c r="G290" t="s">
        <v>22</v>
      </c>
      <c r="H290" s="1">
        <v>44843</v>
      </c>
    </row>
    <row r="291" spans="1:8">
      <c r="A291" t="s">
        <v>626</v>
      </c>
      <c r="B291" t="s">
        <v>627</v>
      </c>
      <c r="C291" t="s">
        <v>31</v>
      </c>
      <c r="D291">
        <v>29</v>
      </c>
      <c r="E291" t="s">
        <v>20</v>
      </c>
      <c r="F291" t="s">
        <v>21</v>
      </c>
      <c r="G291" t="s">
        <v>22</v>
      </c>
      <c r="H291" s="1">
        <v>45580</v>
      </c>
    </row>
    <row r="292" spans="1:8">
      <c r="A292" t="s">
        <v>628</v>
      </c>
      <c r="B292" t="s">
        <v>629</v>
      </c>
      <c r="C292" t="s">
        <v>10</v>
      </c>
      <c r="D292">
        <v>50</v>
      </c>
      <c r="E292" t="s">
        <v>218</v>
      </c>
      <c r="F292" t="s">
        <v>219</v>
      </c>
      <c r="G292" t="s">
        <v>17</v>
      </c>
      <c r="H292" s="1">
        <v>46003</v>
      </c>
    </row>
    <row r="293" spans="1:8">
      <c r="A293" t="s">
        <v>630</v>
      </c>
      <c r="B293" t="s">
        <v>631</v>
      </c>
      <c r="C293" t="s">
        <v>31</v>
      </c>
      <c r="D293">
        <v>65</v>
      </c>
      <c r="E293" t="s">
        <v>37</v>
      </c>
      <c r="F293" t="s">
        <v>38</v>
      </c>
      <c r="G293" t="s">
        <v>22</v>
      </c>
      <c r="H293" s="1">
        <v>44709</v>
      </c>
    </row>
    <row r="294" spans="1:8">
      <c r="A294" t="s">
        <v>632</v>
      </c>
      <c r="B294" t="s">
        <v>633</v>
      </c>
      <c r="C294" t="s">
        <v>10</v>
      </c>
      <c r="D294">
        <v>38</v>
      </c>
      <c r="E294" t="s">
        <v>15</v>
      </c>
      <c r="F294" t="s">
        <v>16</v>
      </c>
      <c r="G294" t="s">
        <v>17</v>
      </c>
      <c r="H294" s="1">
        <v>45503</v>
      </c>
    </row>
    <row r="295" spans="1:8">
      <c r="A295" t="s">
        <v>634</v>
      </c>
      <c r="B295" t="s">
        <v>635</v>
      </c>
      <c r="C295" t="s">
        <v>31</v>
      </c>
      <c r="D295">
        <v>36</v>
      </c>
      <c r="E295" t="s">
        <v>60</v>
      </c>
      <c r="F295" t="s">
        <v>21</v>
      </c>
      <c r="G295" t="s">
        <v>22</v>
      </c>
      <c r="H295" s="1">
        <v>45390</v>
      </c>
    </row>
    <row r="296" spans="1:8">
      <c r="A296" t="s">
        <v>636</v>
      </c>
      <c r="B296" t="s">
        <v>637</v>
      </c>
      <c r="C296" t="s">
        <v>10</v>
      </c>
      <c r="D296">
        <v>69</v>
      </c>
      <c r="E296" t="s">
        <v>15</v>
      </c>
      <c r="F296" t="s">
        <v>16</v>
      </c>
      <c r="G296" t="s">
        <v>17</v>
      </c>
      <c r="H296" s="1">
        <v>45227</v>
      </c>
    </row>
    <row r="297" spans="1:8">
      <c r="A297" t="s">
        <v>638</v>
      </c>
      <c r="B297" t="s">
        <v>639</v>
      </c>
      <c r="C297" t="s">
        <v>31</v>
      </c>
      <c r="D297">
        <v>23</v>
      </c>
      <c r="E297" t="s">
        <v>112</v>
      </c>
      <c r="F297" t="s">
        <v>113</v>
      </c>
      <c r="G297" t="s">
        <v>78</v>
      </c>
      <c r="H297" s="1">
        <v>45974</v>
      </c>
    </row>
    <row r="298" spans="1:8">
      <c r="A298" t="s">
        <v>640</v>
      </c>
      <c r="B298" t="s">
        <v>641</v>
      </c>
      <c r="C298" t="s">
        <v>31</v>
      </c>
      <c r="D298">
        <v>55</v>
      </c>
      <c r="E298" t="s">
        <v>20</v>
      </c>
      <c r="F298" t="s">
        <v>21</v>
      </c>
      <c r="G298" t="s">
        <v>22</v>
      </c>
      <c r="H298" s="1">
        <v>45060</v>
      </c>
    </row>
    <row r="299" spans="1:8">
      <c r="A299" t="s">
        <v>642</v>
      </c>
      <c r="B299" t="s">
        <v>643</v>
      </c>
      <c r="C299" t="s">
        <v>31</v>
      </c>
      <c r="D299">
        <v>65</v>
      </c>
      <c r="E299" t="s">
        <v>20</v>
      </c>
      <c r="F299" t="s">
        <v>21</v>
      </c>
      <c r="G299" t="s">
        <v>22</v>
      </c>
      <c r="H299" s="1">
        <v>45372</v>
      </c>
    </row>
    <row r="300" spans="1:8">
      <c r="A300" t="s">
        <v>644</v>
      </c>
      <c r="B300" t="s">
        <v>645</v>
      </c>
      <c r="C300" t="s">
        <v>10</v>
      </c>
      <c r="D300">
        <v>50</v>
      </c>
      <c r="E300" t="s">
        <v>37</v>
      </c>
      <c r="F300" t="s">
        <v>38</v>
      </c>
      <c r="G300" t="s">
        <v>22</v>
      </c>
      <c r="H300" s="1">
        <v>44906</v>
      </c>
    </row>
    <row r="301" spans="1:8">
      <c r="A301" t="s">
        <v>646</v>
      </c>
      <c r="B301" t="s">
        <v>647</v>
      </c>
      <c r="C301" t="s">
        <v>10</v>
      </c>
      <c r="D301">
        <v>67</v>
      </c>
      <c r="E301" t="s">
        <v>27</v>
      </c>
      <c r="F301" t="s">
        <v>28</v>
      </c>
      <c r="G301" t="s">
        <v>12</v>
      </c>
      <c r="H301" s="1">
        <v>45606</v>
      </c>
    </row>
    <row r="302" spans="1:8">
      <c r="A302" t="s">
        <v>648</v>
      </c>
      <c r="B302" t="s">
        <v>649</v>
      </c>
      <c r="C302" t="s">
        <v>10</v>
      </c>
      <c r="D302">
        <v>27</v>
      </c>
      <c r="E302" t="s">
        <v>101</v>
      </c>
      <c r="F302" t="s">
        <v>21</v>
      </c>
      <c r="G302" t="s">
        <v>22</v>
      </c>
      <c r="H302" s="1">
        <v>45045</v>
      </c>
    </row>
    <row r="303" spans="1:8">
      <c r="A303" t="s">
        <v>650</v>
      </c>
      <c r="B303" t="s">
        <v>651</v>
      </c>
      <c r="C303" t="s">
        <v>10</v>
      </c>
      <c r="D303">
        <v>66</v>
      </c>
      <c r="E303" t="s">
        <v>34</v>
      </c>
      <c r="F303" t="s">
        <v>16</v>
      </c>
      <c r="G303" t="s">
        <v>17</v>
      </c>
      <c r="H303" s="1">
        <v>45795</v>
      </c>
    </row>
    <row r="304" spans="1:8">
      <c r="A304" t="s">
        <v>652</v>
      </c>
      <c r="B304" t="s">
        <v>653</v>
      </c>
      <c r="C304" t="s">
        <v>31</v>
      </c>
      <c r="D304">
        <v>47</v>
      </c>
      <c r="E304" t="s">
        <v>11</v>
      </c>
      <c r="F304" t="s">
        <v>11</v>
      </c>
      <c r="G304" t="s">
        <v>12</v>
      </c>
      <c r="H304" s="1">
        <v>44924</v>
      </c>
    </row>
    <row r="305" spans="1:8">
      <c r="A305" t="s">
        <v>654</v>
      </c>
      <c r="B305" t="s">
        <v>655</v>
      </c>
      <c r="C305" t="s">
        <v>31</v>
      </c>
      <c r="D305">
        <v>58</v>
      </c>
      <c r="E305" t="s">
        <v>27</v>
      </c>
      <c r="F305" t="s">
        <v>28</v>
      </c>
      <c r="G305" t="s">
        <v>12</v>
      </c>
      <c r="H305" s="1">
        <v>45481</v>
      </c>
    </row>
    <row r="306" spans="1:8">
      <c r="A306" t="s">
        <v>656</v>
      </c>
      <c r="B306" t="s">
        <v>657</v>
      </c>
      <c r="C306" t="s">
        <v>31</v>
      </c>
      <c r="D306">
        <v>46</v>
      </c>
      <c r="E306" t="s">
        <v>149</v>
      </c>
      <c r="F306" t="s">
        <v>38</v>
      </c>
      <c r="G306" t="s">
        <v>22</v>
      </c>
      <c r="H306" s="1">
        <v>44701</v>
      </c>
    </row>
    <row r="307" spans="1:8">
      <c r="A307" t="s">
        <v>658</v>
      </c>
      <c r="B307" t="s">
        <v>659</v>
      </c>
      <c r="C307" t="s">
        <v>10</v>
      </c>
      <c r="D307">
        <v>40</v>
      </c>
      <c r="E307" t="s">
        <v>134</v>
      </c>
      <c r="F307" t="s">
        <v>28</v>
      </c>
      <c r="G307" t="s">
        <v>12</v>
      </c>
      <c r="H307" s="1">
        <v>45773</v>
      </c>
    </row>
    <row r="308" spans="1:8">
      <c r="A308" t="s">
        <v>660</v>
      </c>
      <c r="B308" t="s">
        <v>661</v>
      </c>
      <c r="C308" t="s">
        <v>31</v>
      </c>
      <c r="D308">
        <v>20</v>
      </c>
      <c r="E308" t="s">
        <v>37</v>
      </c>
      <c r="F308" t="s">
        <v>38</v>
      </c>
      <c r="G308" t="s">
        <v>22</v>
      </c>
      <c r="H308" s="1">
        <v>45507</v>
      </c>
    </row>
    <row r="309" spans="1:8">
      <c r="A309" t="s">
        <v>662</v>
      </c>
      <c r="B309" t="s">
        <v>663</v>
      </c>
      <c r="C309" t="s">
        <v>10</v>
      </c>
      <c r="D309">
        <v>57</v>
      </c>
      <c r="E309" t="s">
        <v>45</v>
      </c>
      <c r="F309" t="s">
        <v>46</v>
      </c>
      <c r="G309" t="s">
        <v>17</v>
      </c>
      <c r="H309" s="1">
        <v>44719</v>
      </c>
    </row>
    <row r="310" spans="1:8">
      <c r="A310" t="s">
        <v>664</v>
      </c>
      <c r="B310" t="s">
        <v>665</v>
      </c>
      <c r="C310" t="s">
        <v>10</v>
      </c>
      <c r="D310">
        <v>46</v>
      </c>
      <c r="E310" t="s">
        <v>69</v>
      </c>
      <c r="F310" t="s">
        <v>69</v>
      </c>
      <c r="G310" t="s">
        <v>12</v>
      </c>
      <c r="H310" s="1">
        <v>45509</v>
      </c>
    </row>
    <row r="311" spans="1:8">
      <c r="A311" t="s">
        <v>666</v>
      </c>
      <c r="B311" t="s">
        <v>667</v>
      </c>
      <c r="C311" t="s">
        <v>10</v>
      </c>
      <c r="D311">
        <v>38</v>
      </c>
      <c r="E311" t="s">
        <v>128</v>
      </c>
      <c r="F311" t="s">
        <v>129</v>
      </c>
      <c r="G311" t="s">
        <v>78</v>
      </c>
      <c r="H311" s="1">
        <v>45896</v>
      </c>
    </row>
    <row r="312" spans="1:8">
      <c r="A312" t="s">
        <v>668</v>
      </c>
      <c r="B312" t="s">
        <v>669</v>
      </c>
      <c r="C312" t="s">
        <v>10</v>
      </c>
      <c r="D312">
        <v>46</v>
      </c>
      <c r="E312" t="s">
        <v>27</v>
      </c>
      <c r="F312" t="s">
        <v>28</v>
      </c>
      <c r="G312" t="s">
        <v>12</v>
      </c>
      <c r="H312" s="1">
        <v>44870</v>
      </c>
    </row>
    <row r="313" spans="1:8">
      <c r="A313" t="s">
        <v>670</v>
      </c>
      <c r="B313" t="s">
        <v>671</v>
      </c>
      <c r="C313" t="s">
        <v>10</v>
      </c>
      <c r="D313">
        <v>20</v>
      </c>
      <c r="E313" t="s">
        <v>45</v>
      </c>
      <c r="F313" t="s">
        <v>46</v>
      </c>
      <c r="G313" t="s">
        <v>17</v>
      </c>
      <c r="H313" s="1">
        <v>44734</v>
      </c>
    </row>
    <row r="314" spans="1:8">
      <c r="A314" t="s">
        <v>672</v>
      </c>
      <c r="B314" t="s">
        <v>673</v>
      </c>
      <c r="C314" t="s">
        <v>10</v>
      </c>
      <c r="D314">
        <v>41</v>
      </c>
      <c r="E314" t="s">
        <v>49</v>
      </c>
      <c r="F314" t="s">
        <v>42</v>
      </c>
      <c r="G314" t="s">
        <v>17</v>
      </c>
      <c r="H314" s="1">
        <v>45461</v>
      </c>
    </row>
    <row r="315" spans="1:8">
      <c r="A315" t="s">
        <v>674</v>
      </c>
      <c r="B315" t="s">
        <v>675</v>
      </c>
      <c r="C315" t="s">
        <v>31</v>
      </c>
      <c r="D315">
        <v>67</v>
      </c>
      <c r="E315" t="s">
        <v>37</v>
      </c>
      <c r="F315" t="s">
        <v>38</v>
      </c>
      <c r="G315" t="s">
        <v>22</v>
      </c>
      <c r="H315" s="1">
        <v>45355</v>
      </c>
    </row>
    <row r="316" spans="1:8">
      <c r="A316" t="s">
        <v>676</v>
      </c>
      <c r="B316" t="s">
        <v>677</v>
      </c>
      <c r="C316" t="s">
        <v>31</v>
      </c>
      <c r="D316">
        <v>22</v>
      </c>
      <c r="E316" t="s">
        <v>60</v>
      </c>
      <c r="F316" t="s">
        <v>21</v>
      </c>
      <c r="G316" t="s">
        <v>22</v>
      </c>
      <c r="H316" s="1">
        <v>44669</v>
      </c>
    </row>
    <row r="317" spans="1:8">
      <c r="A317" t="s">
        <v>678</v>
      </c>
      <c r="B317" t="s">
        <v>679</v>
      </c>
      <c r="C317" t="s">
        <v>31</v>
      </c>
      <c r="D317">
        <v>36</v>
      </c>
      <c r="E317" t="s">
        <v>60</v>
      </c>
      <c r="F317" t="s">
        <v>21</v>
      </c>
      <c r="G317" t="s">
        <v>22</v>
      </c>
      <c r="H317" s="1">
        <v>45951</v>
      </c>
    </row>
    <row r="318" spans="1:8">
      <c r="A318" t="s">
        <v>680</v>
      </c>
      <c r="B318" t="s">
        <v>681</v>
      </c>
      <c r="C318" t="s">
        <v>31</v>
      </c>
      <c r="D318">
        <v>23</v>
      </c>
      <c r="E318" t="s">
        <v>218</v>
      </c>
      <c r="F318" t="s">
        <v>219</v>
      </c>
      <c r="G318" t="s">
        <v>17</v>
      </c>
      <c r="H318" s="1">
        <v>44869</v>
      </c>
    </row>
    <row r="319" spans="1:8">
      <c r="A319" t="s">
        <v>682</v>
      </c>
      <c r="B319" t="s">
        <v>683</v>
      </c>
      <c r="C319" t="s">
        <v>31</v>
      </c>
      <c r="D319">
        <v>59</v>
      </c>
      <c r="E319" t="s">
        <v>63</v>
      </c>
      <c r="F319" t="s">
        <v>64</v>
      </c>
      <c r="G319" t="s">
        <v>12</v>
      </c>
      <c r="H319" s="1">
        <v>45278</v>
      </c>
    </row>
    <row r="320" spans="1:8">
      <c r="A320" t="s">
        <v>684</v>
      </c>
      <c r="B320" t="s">
        <v>685</v>
      </c>
      <c r="C320" t="s">
        <v>10</v>
      </c>
      <c r="D320">
        <v>37</v>
      </c>
      <c r="E320" t="s">
        <v>69</v>
      </c>
      <c r="F320" t="s">
        <v>69</v>
      </c>
      <c r="G320" t="s">
        <v>12</v>
      </c>
      <c r="H320" s="1">
        <v>44826</v>
      </c>
    </row>
    <row r="321" spans="1:8">
      <c r="A321" t="s">
        <v>686</v>
      </c>
      <c r="B321" t="s">
        <v>687</v>
      </c>
      <c r="C321" t="s">
        <v>10</v>
      </c>
      <c r="D321">
        <v>59</v>
      </c>
      <c r="E321" t="s">
        <v>37</v>
      </c>
      <c r="F321" t="s">
        <v>38</v>
      </c>
      <c r="G321" t="s">
        <v>22</v>
      </c>
      <c r="H321" s="1">
        <v>44823</v>
      </c>
    </row>
    <row r="322" spans="1:8">
      <c r="A322" t="s">
        <v>688</v>
      </c>
      <c r="B322" t="s">
        <v>689</v>
      </c>
      <c r="C322" t="s">
        <v>10</v>
      </c>
      <c r="D322">
        <v>41</v>
      </c>
      <c r="E322" t="s">
        <v>27</v>
      </c>
      <c r="F322" t="s">
        <v>28</v>
      </c>
      <c r="G322" t="s">
        <v>12</v>
      </c>
      <c r="H322" s="1">
        <v>45303</v>
      </c>
    </row>
    <row r="323" spans="1:8">
      <c r="A323" t="s">
        <v>690</v>
      </c>
      <c r="B323" t="s">
        <v>691</v>
      </c>
      <c r="C323" t="s">
        <v>31</v>
      </c>
      <c r="D323">
        <v>30</v>
      </c>
      <c r="E323" t="s">
        <v>101</v>
      </c>
      <c r="F323" t="s">
        <v>21</v>
      </c>
      <c r="G323" t="s">
        <v>22</v>
      </c>
      <c r="H323" s="1">
        <v>45261</v>
      </c>
    </row>
    <row r="324" spans="1:8">
      <c r="A324" t="s">
        <v>692</v>
      </c>
      <c r="B324" t="s">
        <v>693</v>
      </c>
      <c r="C324" t="s">
        <v>10</v>
      </c>
      <c r="D324">
        <v>36</v>
      </c>
      <c r="E324" t="s">
        <v>34</v>
      </c>
      <c r="F324" t="s">
        <v>16</v>
      </c>
      <c r="G324" t="s">
        <v>17</v>
      </c>
      <c r="H324" s="1">
        <v>44879</v>
      </c>
    </row>
    <row r="325" spans="1:8">
      <c r="A325" t="s">
        <v>694</v>
      </c>
      <c r="B325" t="s">
        <v>695</v>
      </c>
      <c r="C325" t="s">
        <v>10</v>
      </c>
      <c r="D325">
        <v>60</v>
      </c>
      <c r="E325" t="s">
        <v>87</v>
      </c>
      <c r="F325" t="s">
        <v>88</v>
      </c>
      <c r="G325" t="s">
        <v>78</v>
      </c>
      <c r="H325" s="1">
        <v>45601</v>
      </c>
    </row>
    <row r="326" spans="1:8">
      <c r="A326" t="s">
        <v>696</v>
      </c>
      <c r="B326" t="s">
        <v>697</v>
      </c>
      <c r="C326" t="s">
        <v>31</v>
      </c>
      <c r="D326">
        <v>27</v>
      </c>
      <c r="E326" t="s">
        <v>60</v>
      </c>
      <c r="F326" t="s">
        <v>21</v>
      </c>
      <c r="G326" t="s">
        <v>22</v>
      </c>
      <c r="H326" s="1">
        <v>44830</v>
      </c>
    </row>
    <row r="327" spans="1:8">
      <c r="A327" t="s">
        <v>698</v>
      </c>
      <c r="B327" t="s">
        <v>699</v>
      </c>
      <c r="C327" t="s">
        <v>31</v>
      </c>
      <c r="D327">
        <v>20</v>
      </c>
      <c r="E327" t="s">
        <v>218</v>
      </c>
      <c r="F327" t="s">
        <v>219</v>
      </c>
      <c r="G327" t="s">
        <v>17</v>
      </c>
      <c r="H327" s="1">
        <v>44901</v>
      </c>
    </row>
    <row r="328" spans="1:8">
      <c r="A328" t="s">
        <v>700</v>
      </c>
      <c r="B328" t="s">
        <v>701</v>
      </c>
      <c r="C328" t="s">
        <v>31</v>
      </c>
      <c r="D328">
        <v>66</v>
      </c>
      <c r="E328" t="s">
        <v>101</v>
      </c>
      <c r="F328" t="s">
        <v>21</v>
      </c>
      <c r="G328" t="s">
        <v>22</v>
      </c>
      <c r="H328" s="1">
        <v>45471</v>
      </c>
    </row>
    <row r="329" spans="1:8">
      <c r="A329" t="s">
        <v>702</v>
      </c>
      <c r="B329" t="s">
        <v>703</v>
      </c>
      <c r="C329" t="s">
        <v>10</v>
      </c>
      <c r="D329">
        <v>37</v>
      </c>
      <c r="E329" t="s">
        <v>69</v>
      </c>
      <c r="F329" t="s">
        <v>69</v>
      </c>
      <c r="G329" t="s">
        <v>12</v>
      </c>
      <c r="H329" s="1">
        <v>45041</v>
      </c>
    </row>
    <row r="330" spans="1:8">
      <c r="A330" t="s">
        <v>704</v>
      </c>
      <c r="B330" t="s">
        <v>705</v>
      </c>
      <c r="C330" t="s">
        <v>31</v>
      </c>
      <c r="D330">
        <v>61</v>
      </c>
      <c r="E330" t="s">
        <v>112</v>
      </c>
      <c r="F330" t="s">
        <v>113</v>
      </c>
      <c r="G330" t="s">
        <v>78</v>
      </c>
      <c r="H330" s="1">
        <v>44959</v>
      </c>
    </row>
    <row r="331" spans="1:8">
      <c r="A331" t="s">
        <v>706</v>
      </c>
      <c r="B331" t="s">
        <v>707</v>
      </c>
      <c r="C331" t="s">
        <v>31</v>
      </c>
      <c r="D331">
        <v>67</v>
      </c>
      <c r="E331" t="s">
        <v>112</v>
      </c>
      <c r="F331" t="s">
        <v>113</v>
      </c>
      <c r="G331" t="s">
        <v>78</v>
      </c>
      <c r="H331" s="1">
        <v>45507</v>
      </c>
    </row>
    <row r="332" spans="1:8">
      <c r="A332" t="s">
        <v>708</v>
      </c>
      <c r="B332" t="s">
        <v>709</v>
      </c>
      <c r="C332" t="s">
        <v>10</v>
      </c>
      <c r="D332">
        <v>70</v>
      </c>
      <c r="E332" t="s">
        <v>60</v>
      </c>
      <c r="F332" t="s">
        <v>21</v>
      </c>
      <c r="G332" t="s">
        <v>22</v>
      </c>
      <c r="H332" s="1">
        <v>45419</v>
      </c>
    </row>
    <row r="333" spans="1:8">
      <c r="A333" t="s">
        <v>710</v>
      </c>
      <c r="B333" t="s">
        <v>711</v>
      </c>
      <c r="C333" t="s">
        <v>31</v>
      </c>
      <c r="D333">
        <v>21</v>
      </c>
      <c r="E333" t="s">
        <v>218</v>
      </c>
      <c r="F333" t="s">
        <v>219</v>
      </c>
      <c r="G333" t="s">
        <v>17</v>
      </c>
      <c r="H333" s="1">
        <v>44845</v>
      </c>
    </row>
    <row r="334" spans="1:8">
      <c r="A334" t="s">
        <v>712</v>
      </c>
      <c r="B334" t="s">
        <v>713</v>
      </c>
      <c r="C334" t="s">
        <v>10</v>
      </c>
      <c r="D334">
        <v>63</v>
      </c>
      <c r="E334" t="s">
        <v>134</v>
      </c>
      <c r="F334" t="s">
        <v>28</v>
      </c>
      <c r="G334" t="s">
        <v>12</v>
      </c>
      <c r="H334" s="1">
        <v>45697</v>
      </c>
    </row>
    <row r="335" spans="1:8">
      <c r="A335" t="s">
        <v>714</v>
      </c>
      <c r="B335" t="s">
        <v>715</v>
      </c>
      <c r="C335" t="s">
        <v>10</v>
      </c>
      <c r="D335">
        <v>66</v>
      </c>
      <c r="E335" t="s">
        <v>87</v>
      </c>
      <c r="F335" t="s">
        <v>88</v>
      </c>
      <c r="G335" t="s">
        <v>78</v>
      </c>
      <c r="H335" s="1">
        <v>45145</v>
      </c>
    </row>
    <row r="336" spans="1:8">
      <c r="A336" t="s">
        <v>716</v>
      </c>
      <c r="B336" t="s">
        <v>717</v>
      </c>
      <c r="C336" t="s">
        <v>10</v>
      </c>
      <c r="D336">
        <v>45</v>
      </c>
      <c r="E336" t="s">
        <v>41</v>
      </c>
      <c r="F336" t="s">
        <v>42</v>
      </c>
      <c r="G336" t="s">
        <v>17</v>
      </c>
      <c r="H336" s="1">
        <v>45613</v>
      </c>
    </row>
    <row r="337" spans="1:8">
      <c r="A337" t="s">
        <v>718</v>
      </c>
      <c r="B337" t="s">
        <v>719</v>
      </c>
      <c r="C337" t="s">
        <v>31</v>
      </c>
      <c r="D337">
        <v>19</v>
      </c>
      <c r="E337" t="s">
        <v>34</v>
      </c>
      <c r="F337" t="s">
        <v>16</v>
      </c>
      <c r="G337" t="s">
        <v>17</v>
      </c>
      <c r="H337" s="1">
        <v>45485</v>
      </c>
    </row>
    <row r="338" spans="1:8">
      <c r="A338" t="s">
        <v>720</v>
      </c>
      <c r="B338" t="s">
        <v>721</v>
      </c>
      <c r="C338" t="s">
        <v>31</v>
      </c>
      <c r="D338">
        <v>33</v>
      </c>
      <c r="E338" t="s">
        <v>149</v>
      </c>
      <c r="F338" t="s">
        <v>38</v>
      </c>
      <c r="G338" t="s">
        <v>22</v>
      </c>
      <c r="H338" s="1">
        <v>45590</v>
      </c>
    </row>
    <row r="339" spans="1:8">
      <c r="A339" t="s">
        <v>722</v>
      </c>
      <c r="B339" t="s">
        <v>723</v>
      </c>
      <c r="C339" t="s">
        <v>10</v>
      </c>
      <c r="D339">
        <v>19</v>
      </c>
      <c r="E339" t="s">
        <v>20</v>
      </c>
      <c r="F339" t="s">
        <v>21</v>
      </c>
      <c r="G339" t="s">
        <v>22</v>
      </c>
      <c r="H339" s="1">
        <v>45329</v>
      </c>
    </row>
    <row r="340" spans="1:8">
      <c r="A340" t="s">
        <v>724</v>
      </c>
      <c r="B340" t="s">
        <v>725</v>
      </c>
      <c r="C340" t="s">
        <v>31</v>
      </c>
      <c r="D340">
        <v>68</v>
      </c>
      <c r="E340" t="s">
        <v>20</v>
      </c>
      <c r="F340" t="s">
        <v>21</v>
      </c>
      <c r="G340" t="s">
        <v>22</v>
      </c>
      <c r="H340" s="1">
        <v>45893</v>
      </c>
    </row>
    <row r="341" spans="1:8">
      <c r="A341" t="s">
        <v>726</v>
      </c>
      <c r="B341" t="s">
        <v>727</v>
      </c>
      <c r="C341" t="s">
        <v>31</v>
      </c>
      <c r="D341">
        <v>62</v>
      </c>
      <c r="E341" t="s">
        <v>15</v>
      </c>
      <c r="F341" t="s">
        <v>16</v>
      </c>
      <c r="G341" t="s">
        <v>17</v>
      </c>
      <c r="H341" s="1">
        <v>45149</v>
      </c>
    </row>
    <row r="342" spans="1:8">
      <c r="A342" t="s">
        <v>728</v>
      </c>
      <c r="B342" t="s">
        <v>729</v>
      </c>
      <c r="C342" t="s">
        <v>10</v>
      </c>
      <c r="D342">
        <v>23</v>
      </c>
      <c r="E342" t="s">
        <v>112</v>
      </c>
      <c r="F342" t="s">
        <v>113</v>
      </c>
      <c r="G342" t="s">
        <v>78</v>
      </c>
      <c r="H342" s="1">
        <v>45480</v>
      </c>
    </row>
    <row r="343" spans="1:8">
      <c r="A343" t="s">
        <v>730</v>
      </c>
      <c r="B343" t="s">
        <v>731</v>
      </c>
      <c r="C343" t="s">
        <v>31</v>
      </c>
      <c r="D343">
        <v>25</v>
      </c>
      <c r="E343" t="s">
        <v>34</v>
      </c>
      <c r="F343" t="s">
        <v>16</v>
      </c>
      <c r="G343" t="s">
        <v>17</v>
      </c>
      <c r="H343" s="1">
        <v>44868</v>
      </c>
    </row>
    <row r="344" spans="1:8">
      <c r="A344" t="s">
        <v>732</v>
      </c>
      <c r="B344" t="s">
        <v>733</v>
      </c>
      <c r="C344" t="s">
        <v>10</v>
      </c>
      <c r="D344">
        <v>21</v>
      </c>
      <c r="E344" t="s">
        <v>63</v>
      </c>
      <c r="F344" t="s">
        <v>64</v>
      </c>
      <c r="G344" t="s">
        <v>12</v>
      </c>
      <c r="H344" s="1">
        <v>45178</v>
      </c>
    </row>
    <row r="345" spans="1:8">
      <c r="A345" t="s">
        <v>734</v>
      </c>
      <c r="B345" t="s">
        <v>735</v>
      </c>
      <c r="C345" t="s">
        <v>10</v>
      </c>
      <c r="D345">
        <v>25</v>
      </c>
      <c r="E345" t="s">
        <v>218</v>
      </c>
      <c r="F345" t="s">
        <v>219</v>
      </c>
      <c r="G345" t="s">
        <v>17</v>
      </c>
      <c r="H345" s="1">
        <v>45498</v>
      </c>
    </row>
    <row r="346" spans="1:8">
      <c r="A346" t="s">
        <v>736</v>
      </c>
      <c r="B346" t="s">
        <v>737</v>
      </c>
      <c r="C346" t="s">
        <v>10</v>
      </c>
      <c r="D346">
        <v>58</v>
      </c>
      <c r="E346" t="s">
        <v>112</v>
      </c>
      <c r="F346" t="s">
        <v>113</v>
      </c>
      <c r="G346" t="s">
        <v>78</v>
      </c>
      <c r="H346" s="1">
        <v>45784</v>
      </c>
    </row>
    <row r="347" spans="1:8">
      <c r="A347" t="s">
        <v>738</v>
      </c>
      <c r="B347" t="s">
        <v>739</v>
      </c>
      <c r="C347" t="s">
        <v>31</v>
      </c>
      <c r="D347">
        <v>45</v>
      </c>
      <c r="E347" t="s">
        <v>101</v>
      </c>
      <c r="F347" t="s">
        <v>21</v>
      </c>
      <c r="G347" t="s">
        <v>22</v>
      </c>
      <c r="H347" s="1">
        <v>44856</v>
      </c>
    </row>
    <row r="348" spans="1:8">
      <c r="A348" t="s">
        <v>740</v>
      </c>
      <c r="B348" t="s">
        <v>741</v>
      </c>
      <c r="C348" t="s">
        <v>31</v>
      </c>
      <c r="D348">
        <v>29</v>
      </c>
      <c r="E348" t="s">
        <v>45</v>
      </c>
      <c r="F348" t="s">
        <v>46</v>
      </c>
      <c r="G348" t="s">
        <v>17</v>
      </c>
      <c r="H348" s="1">
        <v>45054</v>
      </c>
    </row>
    <row r="349" spans="1:8">
      <c r="A349" t="s">
        <v>742</v>
      </c>
      <c r="B349" t="s">
        <v>743</v>
      </c>
      <c r="C349" t="s">
        <v>31</v>
      </c>
      <c r="D349">
        <v>22</v>
      </c>
      <c r="E349" t="s">
        <v>11</v>
      </c>
      <c r="F349" t="s">
        <v>11</v>
      </c>
      <c r="G349" t="s">
        <v>12</v>
      </c>
      <c r="H349" s="1">
        <v>45634</v>
      </c>
    </row>
    <row r="350" spans="1:8">
      <c r="A350" t="s">
        <v>744</v>
      </c>
      <c r="B350" t="s">
        <v>745</v>
      </c>
      <c r="C350" t="s">
        <v>10</v>
      </c>
      <c r="D350">
        <v>42</v>
      </c>
      <c r="E350" t="s">
        <v>128</v>
      </c>
      <c r="F350" t="s">
        <v>129</v>
      </c>
      <c r="G350" t="s">
        <v>78</v>
      </c>
      <c r="H350" s="1">
        <v>45601</v>
      </c>
    </row>
    <row r="351" spans="1:8">
      <c r="A351" t="s">
        <v>746</v>
      </c>
      <c r="B351" t="s">
        <v>747</v>
      </c>
      <c r="C351" t="s">
        <v>31</v>
      </c>
      <c r="D351">
        <v>41</v>
      </c>
      <c r="E351" t="s">
        <v>87</v>
      </c>
      <c r="F351" t="s">
        <v>88</v>
      </c>
      <c r="G351" t="s">
        <v>78</v>
      </c>
      <c r="H351" s="1">
        <v>45863</v>
      </c>
    </row>
    <row r="352" spans="1:8">
      <c r="A352" t="s">
        <v>748</v>
      </c>
      <c r="B352" t="s">
        <v>749</v>
      </c>
      <c r="C352" t="s">
        <v>10</v>
      </c>
      <c r="D352">
        <v>40</v>
      </c>
      <c r="E352" t="s">
        <v>15</v>
      </c>
      <c r="F352" t="s">
        <v>16</v>
      </c>
      <c r="G352" t="s">
        <v>17</v>
      </c>
      <c r="H352" s="1">
        <v>45293</v>
      </c>
    </row>
    <row r="353" spans="1:8">
      <c r="A353" t="s">
        <v>750</v>
      </c>
      <c r="B353" t="s">
        <v>751</v>
      </c>
      <c r="C353" t="s">
        <v>31</v>
      </c>
      <c r="D353">
        <v>26</v>
      </c>
      <c r="E353" t="s">
        <v>15</v>
      </c>
      <c r="F353" t="s">
        <v>16</v>
      </c>
      <c r="G353" t="s">
        <v>17</v>
      </c>
      <c r="H353" s="1">
        <v>45753</v>
      </c>
    </row>
    <row r="354" spans="1:8">
      <c r="A354" t="s">
        <v>752</v>
      </c>
      <c r="B354" t="s">
        <v>753</v>
      </c>
      <c r="C354" t="s">
        <v>10</v>
      </c>
      <c r="D354">
        <v>67</v>
      </c>
      <c r="E354" t="s">
        <v>218</v>
      </c>
      <c r="F354" t="s">
        <v>219</v>
      </c>
      <c r="G354" t="s">
        <v>17</v>
      </c>
      <c r="H354" s="1">
        <v>45255</v>
      </c>
    </row>
    <row r="355" spans="1:8">
      <c r="A355" t="s">
        <v>754</v>
      </c>
      <c r="B355" t="s">
        <v>755</v>
      </c>
      <c r="C355" t="s">
        <v>10</v>
      </c>
      <c r="D355">
        <v>69</v>
      </c>
      <c r="E355" t="s">
        <v>69</v>
      </c>
      <c r="F355" t="s">
        <v>69</v>
      </c>
      <c r="G355" t="s">
        <v>12</v>
      </c>
      <c r="H355" s="1">
        <v>45855</v>
      </c>
    </row>
    <row r="356" spans="1:8">
      <c r="A356" t="s">
        <v>756</v>
      </c>
      <c r="B356" t="s">
        <v>757</v>
      </c>
      <c r="C356" t="s">
        <v>31</v>
      </c>
      <c r="D356">
        <v>30</v>
      </c>
      <c r="E356" t="s">
        <v>41</v>
      </c>
      <c r="F356" t="s">
        <v>42</v>
      </c>
      <c r="G356" t="s">
        <v>17</v>
      </c>
      <c r="H356" s="1">
        <v>44637</v>
      </c>
    </row>
    <row r="357" spans="1:8">
      <c r="A357" t="s">
        <v>758</v>
      </c>
      <c r="B357" t="s">
        <v>759</v>
      </c>
      <c r="C357" t="s">
        <v>31</v>
      </c>
      <c r="D357">
        <v>37</v>
      </c>
      <c r="E357" t="s">
        <v>34</v>
      </c>
      <c r="F357" t="s">
        <v>16</v>
      </c>
      <c r="G357" t="s">
        <v>17</v>
      </c>
      <c r="H357" s="1">
        <v>44647</v>
      </c>
    </row>
    <row r="358" spans="1:8">
      <c r="A358" t="s">
        <v>760</v>
      </c>
      <c r="B358" t="s">
        <v>761</v>
      </c>
      <c r="C358" t="s">
        <v>31</v>
      </c>
      <c r="D358">
        <v>20</v>
      </c>
      <c r="E358" t="s">
        <v>60</v>
      </c>
      <c r="F358" t="s">
        <v>21</v>
      </c>
      <c r="G358" t="s">
        <v>22</v>
      </c>
      <c r="H358" s="1">
        <v>45531</v>
      </c>
    </row>
    <row r="359" spans="1:8">
      <c r="A359" t="s">
        <v>762</v>
      </c>
      <c r="B359" t="s">
        <v>763</v>
      </c>
      <c r="C359" t="s">
        <v>31</v>
      </c>
      <c r="D359">
        <v>67</v>
      </c>
      <c r="E359" t="s">
        <v>63</v>
      </c>
      <c r="F359" t="s">
        <v>64</v>
      </c>
      <c r="G359" t="s">
        <v>12</v>
      </c>
      <c r="H359" s="1">
        <v>45147</v>
      </c>
    </row>
    <row r="360" spans="1:8">
      <c r="A360" t="s">
        <v>764</v>
      </c>
      <c r="B360" t="s">
        <v>765</v>
      </c>
      <c r="C360" t="s">
        <v>10</v>
      </c>
      <c r="D360">
        <v>69</v>
      </c>
      <c r="E360" t="s">
        <v>45</v>
      </c>
      <c r="F360" t="s">
        <v>46</v>
      </c>
      <c r="G360" t="s">
        <v>17</v>
      </c>
      <c r="H360" s="1">
        <v>45121</v>
      </c>
    </row>
    <row r="361" spans="1:8">
      <c r="A361" t="s">
        <v>766</v>
      </c>
      <c r="B361" t="s">
        <v>767</v>
      </c>
      <c r="C361" t="s">
        <v>31</v>
      </c>
      <c r="D361">
        <v>39</v>
      </c>
      <c r="E361" t="s">
        <v>149</v>
      </c>
      <c r="F361" t="s">
        <v>38</v>
      </c>
      <c r="G361" t="s">
        <v>22</v>
      </c>
      <c r="H361" s="1">
        <v>45462</v>
      </c>
    </row>
    <row r="362" spans="1:8">
      <c r="A362" t="s">
        <v>768</v>
      </c>
      <c r="B362" t="s">
        <v>769</v>
      </c>
      <c r="C362" t="s">
        <v>31</v>
      </c>
      <c r="D362">
        <v>41</v>
      </c>
      <c r="E362" t="s">
        <v>112</v>
      </c>
      <c r="F362" t="s">
        <v>113</v>
      </c>
      <c r="G362" t="s">
        <v>78</v>
      </c>
      <c r="H362" s="1">
        <v>45979</v>
      </c>
    </row>
    <row r="363" spans="1:8">
      <c r="A363" t="s">
        <v>770</v>
      </c>
      <c r="B363" t="s">
        <v>771</v>
      </c>
      <c r="C363" t="s">
        <v>10</v>
      </c>
      <c r="D363">
        <v>64</v>
      </c>
      <c r="E363" t="s">
        <v>128</v>
      </c>
      <c r="F363" t="s">
        <v>129</v>
      </c>
      <c r="G363" t="s">
        <v>78</v>
      </c>
      <c r="H363" s="1">
        <v>45108</v>
      </c>
    </row>
    <row r="364" spans="1:8">
      <c r="A364" t="s">
        <v>772</v>
      </c>
      <c r="B364" t="s">
        <v>773</v>
      </c>
      <c r="C364" t="s">
        <v>10</v>
      </c>
      <c r="D364">
        <v>52</v>
      </c>
      <c r="E364" t="s">
        <v>149</v>
      </c>
      <c r="F364" t="s">
        <v>38</v>
      </c>
      <c r="G364" t="s">
        <v>22</v>
      </c>
      <c r="H364" s="1">
        <v>45795</v>
      </c>
    </row>
    <row r="365" spans="1:8">
      <c r="A365" t="s">
        <v>774</v>
      </c>
      <c r="B365" t="s">
        <v>775</v>
      </c>
      <c r="C365" t="s">
        <v>31</v>
      </c>
      <c r="D365">
        <v>60</v>
      </c>
      <c r="E365" t="s">
        <v>15</v>
      </c>
      <c r="F365" t="s">
        <v>16</v>
      </c>
      <c r="G365" t="s">
        <v>17</v>
      </c>
      <c r="H365" s="1">
        <v>44725</v>
      </c>
    </row>
    <row r="366" spans="1:8">
      <c r="A366" t="s">
        <v>776</v>
      </c>
      <c r="B366" t="s">
        <v>777</v>
      </c>
      <c r="C366" t="s">
        <v>31</v>
      </c>
      <c r="D366">
        <v>28</v>
      </c>
      <c r="E366" t="s">
        <v>41</v>
      </c>
      <c r="F366" t="s">
        <v>42</v>
      </c>
      <c r="G366" t="s">
        <v>17</v>
      </c>
      <c r="H366" s="1">
        <v>45796</v>
      </c>
    </row>
    <row r="367" spans="1:8">
      <c r="A367" t="s">
        <v>778</v>
      </c>
      <c r="B367" t="s">
        <v>779</v>
      </c>
      <c r="C367" t="s">
        <v>10</v>
      </c>
      <c r="D367">
        <v>64</v>
      </c>
      <c r="E367" t="s">
        <v>134</v>
      </c>
      <c r="F367" t="s">
        <v>28</v>
      </c>
      <c r="G367" t="s">
        <v>12</v>
      </c>
      <c r="H367" s="1">
        <v>45477</v>
      </c>
    </row>
    <row r="368" spans="1:8">
      <c r="A368" t="s">
        <v>780</v>
      </c>
      <c r="B368" t="s">
        <v>781</v>
      </c>
      <c r="C368" t="s">
        <v>31</v>
      </c>
      <c r="D368">
        <v>35</v>
      </c>
      <c r="E368" t="s">
        <v>91</v>
      </c>
      <c r="F368" t="s">
        <v>92</v>
      </c>
      <c r="G368" t="s">
        <v>78</v>
      </c>
      <c r="H368" s="1">
        <v>45821</v>
      </c>
    </row>
    <row r="369" spans="1:8">
      <c r="A369" t="s">
        <v>782</v>
      </c>
      <c r="B369" t="s">
        <v>783</v>
      </c>
      <c r="C369" t="s">
        <v>31</v>
      </c>
      <c r="D369">
        <v>41</v>
      </c>
      <c r="E369" t="s">
        <v>11</v>
      </c>
      <c r="F369" t="s">
        <v>11</v>
      </c>
      <c r="G369" t="s">
        <v>12</v>
      </c>
      <c r="H369" s="1">
        <v>44715</v>
      </c>
    </row>
    <row r="370" spans="1:8">
      <c r="A370" t="s">
        <v>784</v>
      </c>
      <c r="B370" t="s">
        <v>785</v>
      </c>
      <c r="C370" t="s">
        <v>10</v>
      </c>
      <c r="D370">
        <v>56</v>
      </c>
      <c r="E370" t="s">
        <v>101</v>
      </c>
      <c r="F370" t="s">
        <v>21</v>
      </c>
      <c r="G370" t="s">
        <v>22</v>
      </c>
      <c r="H370" s="1">
        <v>44625</v>
      </c>
    </row>
    <row r="371" spans="1:8">
      <c r="A371" t="s">
        <v>786</v>
      </c>
      <c r="B371" t="s">
        <v>787</v>
      </c>
      <c r="C371" t="s">
        <v>10</v>
      </c>
      <c r="D371">
        <v>22</v>
      </c>
      <c r="E371" t="s">
        <v>69</v>
      </c>
      <c r="F371" t="s">
        <v>69</v>
      </c>
      <c r="G371" t="s">
        <v>12</v>
      </c>
      <c r="H371" s="1">
        <v>44633</v>
      </c>
    </row>
    <row r="372" spans="1:8">
      <c r="A372" t="s">
        <v>788</v>
      </c>
      <c r="B372" t="s">
        <v>789</v>
      </c>
      <c r="C372" t="s">
        <v>31</v>
      </c>
      <c r="D372">
        <v>54</v>
      </c>
      <c r="E372" t="s">
        <v>45</v>
      </c>
      <c r="F372" t="s">
        <v>46</v>
      </c>
      <c r="G372" t="s">
        <v>17</v>
      </c>
      <c r="H372" s="1">
        <v>45303</v>
      </c>
    </row>
    <row r="373" spans="1:8">
      <c r="A373" t="s">
        <v>790</v>
      </c>
      <c r="B373" t="s">
        <v>791</v>
      </c>
      <c r="C373" t="s">
        <v>31</v>
      </c>
      <c r="D373">
        <v>41</v>
      </c>
      <c r="E373" t="s">
        <v>34</v>
      </c>
      <c r="F373" t="s">
        <v>16</v>
      </c>
      <c r="G373" t="s">
        <v>17</v>
      </c>
      <c r="H373" s="1">
        <v>45952</v>
      </c>
    </row>
    <row r="374" spans="1:8">
      <c r="A374" t="s">
        <v>792</v>
      </c>
      <c r="B374" t="s">
        <v>793</v>
      </c>
      <c r="C374" t="s">
        <v>10</v>
      </c>
      <c r="D374">
        <v>51</v>
      </c>
      <c r="E374" t="s">
        <v>20</v>
      </c>
      <c r="F374" t="s">
        <v>21</v>
      </c>
      <c r="G374" t="s">
        <v>22</v>
      </c>
      <c r="H374" s="1">
        <v>45737</v>
      </c>
    </row>
    <row r="375" spans="1:8">
      <c r="A375" t="s">
        <v>794</v>
      </c>
      <c r="B375" t="s">
        <v>795</v>
      </c>
      <c r="C375" t="s">
        <v>31</v>
      </c>
      <c r="D375">
        <v>33</v>
      </c>
      <c r="E375" t="s">
        <v>37</v>
      </c>
      <c r="F375" t="s">
        <v>38</v>
      </c>
      <c r="G375" t="s">
        <v>22</v>
      </c>
      <c r="H375" s="1">
        <v>45892</v>
      </c>
    </row>
    <row r="376" spans="1:8">
      <c r="A376" t="s">
        <v>796</v>
      </c>
      <c r="B376" t="s">
        <v>797</v>
      </c>
      <c r="C376" t="s">
        <v>31</v>
      </c>
      <c r="D376">
        <v>51</v>
      </c>
      <c r="E376" t="s">
        <v>87</v>
      </c>
      <c r="F376" t="s">
        <v>88</v>
      </c>
      <c r="G376" t="s">
        <v>78</v>
      </c>
      <c r="H376" s="1">
        <v>44943</v>
      </c>
    </row>
    <row r="377" spans="1:8">
      <c r="A377" t="s">
        <v>798</v>
      </c>
      <c r="B377" t="s">
        <v>799</v>
      </c>
      <c r="C377" t="s">
        <v>31</v>
      </c>
      <c r="D377">
        <v>67</v>
      </c>
      <c r="E377" t="s">
        <v>60</v>
      </c>
      <c r="F377" t="s">
        <v>21</v>
      </c>
      <c r="G377" t="s">
        <v>22</v>
      </c>
      <c r="H377" s="1">
        <v>44803</v>
      </c>
    </row>
    <row r="378" spans="1:8">
      <c r="A378" t="s">
        <v>800</v>
      </c>
      <c r="B378" t="s">
        <v>801</v>
      </c>
      <c r="C378" t="s">
        <v>31</v>
      </c>
      <c r="D378">
        <v>62</v>
      </c>
      <c r="E378" t="s">
        <v>41</v>
      </c>
      <c r="F378" t="s">
        <v>42</v>
      </c>
      <c r="G378" t="s">
        <v>17</v>
      </c>
      <c r="H378" s="1">
        <v>45001</v>
      </c>
    </row>
    <row r="379" spans="1:8">
      <c r="A379" t="s">
        <v>802</v>
      </c>
      <c r="B379" t="s">
        <v>803</v>
      </c>
      <c r="C379" t="s">
        <v>10</v>
      </c>
      <c r="D379">
        <v>26</v>
      </c>
      <c r="E379" t="s">
        <v>112</v>
      </c>
      <c r="F379" t="s">
        <v>113</v>
      </c>
      <c r="G379" t="s">
        <v>78</v>
      </c>
      <c r="H379" s="1">
        <v>44971</v>
      </c>
    </row>
    <row r="380" spans="1:8">
      <c r="A380" t="s">
        <v>804</v>
      </c>
      <c r="B380" t="s">
        <v>805</v>
      </c>
      <c r="C380" t="s">
        <v>31</v>
      </c>
      <c r="D380">
        <v>23</v>
      </c>
      <c r="E380" t="s">
        <v>112</v>
      </c>
      <c r="F380" t="s">
        <v>113</v>
      </c>
      <c r="G380" t="s">
        <v>78</v>
      </c>
      <c r="H380" s="1">
        <v>44915</v>
      </c>
    </row>
    <row r="381" spans="1:8">
      <c r="A381" t="s">
        <v>806</v>
      </c>
      <c r="B381" t="s">
        <v>807</v>
      </c>
      <c r="C381" t="s">
        <v>31</v>
      </c>
      <c r="D381">
        <v>63</v>
      </c>
      <c r="E381" t="s">
        <v>134</v>
      </c>
      <c r="F381" t="s">
        <v>28</v>
      </c>
      <c r="G381" t="s">
        <v>12</v>
      </c>
      <c r="H381" s="1">
        <v>45929</v>
      </c>
    </row>
    <row r="382" spans="1:8">
      <c r="A382" t="s">
        <v>808</v>
      </c>
      <c r="B382" t="s">
        <v>809</v>
      </c>
      <c r="C382" t="s">
        <v>31</v>
      </c>
      <c r="D382">
        <v>28</v>
      </c>
      <c r="E382" t="s">
        <v>218</v>
      </c>
      <c r="F382" t="s">
        <v>219</v>
      </c>
      <c r="G382" t="s">
        <v>17</v>
      </c>
      <c r="H382" s="1">
        <v>45156</v>
      </c>
    </row>
    <row r="383" spans="1:8">
      <c r="A383" t="s">
        <v>810</v>
      </c>
      <c r="B383" t="s">
        <v>811</v>
      </c>
      <c r="C383" t="s">
        <v>10</v>
      </c>
      <c r="D383">
        <v>25</v>
      </c>
      <c r="E383" t="s">
        <v>63</v>
      </c>
      <c r="F383" t="s">
        <v>64</v>
      </c>
      <c r="G383" t="s">
        <v>12</v>
      </c>
      <c r="H383" s="1">
        <v>45302</v>
      </c>
    </row>
    <row r="384" spans="1:8">
      <c r="A384" t="s">
        <v>812</v>
      </c>
      <c r="B384" t="s">
        <v>813</v>
      </c>
      <c r="C384" t="s">
        <v>31</v>
      </c>
      <c r="D384">
        <v>19</v>
      </c>
      <c r="E384" t="s">
        <v>76</v>
      </c>
      <c r="F384" t="s">
        <v>77</v>
      </c>
      <c r="G384" t="s">
        <v>78</v>
      </c>
      <c r="H384" s="1">
        <v>45046</v>
      </c>
    </row>
    <row r="385" spans="1:8">
      <c r="A385" t="s">
        <v>814</v>
      </c>
      <c r="B385" t="s">
        <v>815</v>
      </c>
      <c r="C385" t="s">
        <v>31</v>
      </c>
      <c r="D385">
        <v>69</v>
      </c>
      <c r="E385" t="s">
        <v>60</v>
      </c>
      <c r="F385" t="s">
        <v>21</v>
      </c>
      <c r="G385" t="s">
        <v>22</v>
      </c>
      <c r="H385" s="1">
        <v>45317</v>
      </c>
    </row>
    <row r="386" spans="1:8">
      <c r="A386" t="s">
        <v>816</v>
      </c>
      <c r="B386" t="s">
        <v>817</v>
      </c>
      <c r="C386" t="s">
        <v>10</v>
      </c>
      <c r="D386">
        <v>22</v>
      </c>
      <c r="E386" t="s">
        <v>76</v>
      </c>
      <c r="F386" t="s">
        <v>77</v>
      </c>
      <c r="G386" t="s">
        <v>78</v>
      </c>
      <c r="H386" s="1">
        <v>45815</v>
      </c>
    </row>
    <row r="387" spans="1:8">
      <c r="A387" t="s">
        <v>818</v>
      </c>
      <c r="B387" t="s">
        <v>819</v>
      </c>
      <c r="C387" t="s">
        <v>31</v>
      </c>
      <c r="D387">
        <v>67</v>
      </c>
      <c r="E387" t="s">
        <v>149</v>
      </c>
      <c r="F387" t="s">
        <v>38</v>
      </c>
      <c r="G387" t="s">
        <v>22</v>
      </c>
      <c r="H387" s="1">
        <v>45638</v>
      </c>
    </row>
    <row r="388" spans="1:8">
      <c r="A388" t="s">
        <v>820</v>
      </c>
      <c r="B388" t="s">
        <v>821</v>
      </c>
      <c r="C388" t="s">
        <v>10</v>
      </c>
      <c r="D388">
        <v>38</v>
      </c>
      <c r="E388" t="s">
        <v>60</v>
      </c>
      <c r="F388" t="s">
        <v>21</v>
      </c>
      <c r="G388" t="s">
        <v>22</v>
      </c>
      <c r="H388" s="1">
        <v>44713</v>
      </c>
    </row>
    <row r="389" spans="1:8">
      <c r="A389" t="s">
        <v>822</v>
      </c>
      <c r="B389" t="s">
        <v>823</v>
      </c>
      <c r="C389" t="s">
        <v>31</v>
      </c>
      <c r="D389">
        <v>26</v>
      </c>
      <c r="E389" t="s">
        <v>69</v>
      </c>
      <c r="F389" t="s">
        <v>69</v>
      </c>
      <c r="G389" t="s">
        <v>12</v>
      </c>
      <c r="H389" s="1">
        <v>45516</v>
      </c>
    </row>
    <row r="390" spans="1:8">
      <c r="A390" t="s">
        <v>824</v>
      </c>
      <c r="B390" t="s">
        <v>825</v>
      </c>
      <c r="C390" t="s">
        <v>10</v>
      </c>
      <c r="D390">
        <v>67</v>
      </c>
      <c r="E390" t="s">
        <v>128</v>
      </c>
      <c r="F390" t="s">
        <v>129</v>
      </c>
      <c r="G390" t="s">
        <v>78</v>
      </c>
      <c r="H390" s="1">
        <v>45872</v>
      </c>
    </row>
    <row r="391" spans="1:8">
      <c r="A391" t="s">
        <v>826</v>
      </c>
      <c r="B391" t="s">
        <v>827</v>
      </c>
      <c r="C391" t="s">
        <v>10</v>
      </c>
      <c r="D391">
        <v>25</v>
      </c>
      <c r="E391" t="s">
        <v>112</v>
      </c>
      <c r="F391" t="s">
        <v>113</v>
      </c>
      <c r="G391" t="s">
        <v>78</v>
      </c>
      <c r="H391" s="1">
        <v>45591</v>
      </c>
    </row>
    <row r="392" spans="1:8">
      <c r="A392" t="s">
        <v>828</v>
      </c>
      <c r="B392" t="s">
        <v>829</v>
      </c>
      <c r="C392" t="s">
        <v>10</v>
      </c>
      <c r="D392">
        <v>38</v>
      </c>
      <c r="E392" t="s">
        <v>37</v>
      </c>
      <c r="F392" t="s">
        <v>38</v>
      </c>
      <c r="G392" t="s">
        <v>22</v>
      </c>
      <c r="H392" s="1">
        <v>44899</v>
      </c>
    </row>
    <row r="393" spans="1:8">
      <c r="A393" t="s">
        <v>830</v>
      </c>
      <c r="B393" t="s">
        <v>831</v>
      </c>
      <c r="C393" t="s">
        <v>31</v>
      </c>
      <c r="D393">
        <v>23</v>
      </c>
      <c r="E393" t="s">
        <v>76</v>
      </c>
      <c r="F393" t="s">
        <v>77</v>
      </c>
      <c r="G393" t="s">
        <v>78</v>
      </c>
      <c r="H393" s="1">
        <v>45270</v>
      </c>
    </row>
    <row r="394" spans="1:8">
      <c r="A394" t="s">
        <v>832</v>
      </c>
      <c r="B394" t="s">
        <v>833</v>
      </c>
      <c r="C394" t="s">
        <v>10</v>
      </c>
      <c r="D394">
        <v>58</v>
      </c>
      <c r="E394" t="s">
        <v>218</v>
      </c>
      <c r="F394" t="s">
        <v>219</v>
      </c>
      <c r="G394" t="s">
        <v>17</v>
      </c>
      <c r="H394" s="1">
        <v>45124</v>
      </c>
    </row>
    <row r="395" spans="1:8">
      <c r="A395" t="s">
        <v>834</v>
      </c>
      <c r="B395" t="s">
        <v>835</v>
      </c>
      <c r="C395" t="s">
        <v>10</v>
      </c>
      <c r="D395">
        <v>55</v>
      </c>
      <c r="E395" t="s">
        <v>60</v>
      </c>
      <c r="F395" t="s">
        <v>21</v>
      </c>
      <c r="G395" t="s">
        <v>22</v>
      </c>
      <c r="H395" s="1">
        <v>44753</v>
      </c>
    </row>
    <row r="396" spans="1:8">
      <c r="A396" t="s">
        <v>836</v>
      </c>
      <c r="B396" t="s">
        <v>837</v>
      </c>
      <c r="C396" t="s">
        <v>31</v>
      </c>
      <c r="D396">
        <v>54</v>
      </c>
      <c r="E396" t="s">
        <v>76</v>
      </c>
      <c r="F396" t="s">
        <v>77</v>
      </c>
      <c r="G396" t="s">
        <v>78</v>
      </c>
      <c r="H396" s="1">
        <v>44912</v>
      </c>
    </row>
    <row r="397" spans="1:8">
      <c r="A397" t="s">
        <v>838</v>
      </c>
      <c r="B397" t="s">
        <v>839</v>
      </c>
      <c r="C397" t="s">
        <v>10</v>
      </c>
      <c r="D397">
        <v>59</v>
      </c>
      <c r="E397" t="s">
        <v>15</v>
      </c>
      <c r="F397" t="s">
        <v>16</v>
      </c>
      <c r="G397" t="s">
        <v>17</v>
      </c>
      <c r="H397" s="1">
        <v>44728</v>
      </c>
    </row>
    <row r="398" spans="1:8">
      <c r="A398" t="s">
        <v>840</v>
      </c>
      <c r="B398" t="s">
        <v>841</v>
      </c>
      <c r="C398" t="s">
        <v>10</v>
      </c>
      <c r="D398">
        <v>67</v>
      </c>
      <c r="E398" t="s">
        <v>134</v>
      </c>
      <c r="F398" t="s">
        <v>28</v>
      </c>
      <c r="G398" t="s">
        <v>12</v>
      </c>
      <c r="H398" s="1">
        <v>45895</v>
      </c>
    </row>
    <row r="399" spans="1:8">
      <c r="A399" t="s">
        <v>842</v>
      </c>
      <c r="B399" t="s">
        <v>843</v>
      </c>
      <c r="C399" t="s">
        <v>10</v>
      </c>
      <c r="D399">
        <v>49</v>
      </c>
      <c r="E399" t="s">
        <v>60</v>
      </c>
      <c r="F399" t="s">
        <v>21</v>
      </c>
      <c r="G399" t="s">
        <v>22</v>
      </c>
      <c r="H399" s="1">
        <v>45870</v>
      </c>
    </row>
    <row r="400" spans="1:8">
      <c r="A400" t="s">
        <v>844</v>
      </c>
      <c r="B400" t="s">
        <v>845</v>
      </c>
      <c r="C400" t="s">
        <v>31</v>
      </c>
      <c r="D400">
        <v>48</v>
      </c>
      <c r="E400" t="s">
        <v>128</v>
      </c>
      <c r="F400" t="s">
        <v>129</v>
      </c>
      <c r="G400" t="s">
        <v>78</v>
      </c>
      <c r="H400" s="1">
        <v>45155</v>
      </c>
    </row>
    <row r="401" spans="1:8">
      <c r="A401" t="s">
        <v>846</v>
      </c>
      <c r="B401" t="s">
        <v>847</v>
      </c>
      <c r="C401" t="s">
        <v>31</v>
      </c>
      <c r="D401">
        <v>22</v>
      </c>
      <c r="E401" t="s">
        <v>41</v>
      </c>
      <c r="F401" t="s">
        <v>42</v>
      </c>
      <c r="G401" t="s">
        <v>17</v>
      </c>
      <c r="H401" s="1">
        <v>45171</v>
      </c>
    </row>
    <row r="402" spans="1:8">
      <c r="A402" t="s">
        <v>848</v>
      </c>
      <c r="B402" t="s">
        <v>849</v>
      </c>
      <c r="C402" t="s">
        <v>31</v>
      </c>
      <c r="D402">
        <v>48</v>
      </c>
      <c r="E402" t="s">
        <v>63</v>
      </c>
      <c r="F402" t="s">
        <v>64</v>
      </c>
      <c r="G402" t="s">
        <v>12</v>
      </c>
      <c r="H402" s="1">
        <v>45462</v>
      </c>
    </row>
    <row r="403" spans="1:8">
      <c r="A403" t="s">
        <v>850</v>
      </c>
      <c r="B403" t="s">
        <v>851</v>
      </c>
      <c r="C403" t="s">
        <v>10</v>
      </c>
      <c r="D403">
        <v>38</v>
      </c>
      <c r="E403" t="s">
        <v>37</v>
      </c>
      <c r="F403" t="s">
        <v>38</v>
      </c>
      <c r="G403" t="s">
        <v>22</v>
      </c>
      <c r="H403" s="1">
        <v>45804</v>
      </c>
    </row>
    <row r="404" spans="1:8">
      <c r="A404" t="s">
        <v>852</v>
      </c>
      <c r="B404" t="s">
        <v>853</v>
      </c>
      <c r="C404" t="s">
        <v>31</v>
      </c>
      <c r="D404">
        <v>26</v>
      </c>
      <c r="E404" t="s">
        <v>91</v>
      </c>
      <c r="F404" t="s">
        <v>92</v>
      </c>
      <c r="G404" t="s">
        <v>78</v>
      </c>
      <c r="H404" s="1">
        <v>45269</v>
      </c>
    </row>
    <row r="405" spans="1:8">
      <c r="A405" t="s">
        <v>854</v>
      </c>
      <c r="B405" t="s">
        <v>855</v>
      </c>
      <c r="C405" t="s">
        <v>10</v>
      </c>
      <c r="D405">
        <v>38</v>
      </c>
      <c r="E405" t="s">
        <v>27</v>
      </c>
      <c r="F405" t="s">
        <v>28</v>
      </c>
      <c r="G405" t="s">
        <v>12</v>
      </c>
      <c r="H405" s="1">
        <v>45712</v>
      </c>
    </row>
    <row r="406" spans="1:8">
      <c r="A406" t="s">
        <v>856</v>
      </c>
      <c r="B406" t="s">
        <v>857</v>
      </c>
      <c r="C406" t="s">
        <v>31</v>
      </c>
      <c r="D406">
        <v>33</v>
      </c>
      <c r="E406" t="s">
        <v>15</v>
      </c>
      <c r="F406" t="s">
        <v>16</v>
      </c>
      <c r="G406" t="s">
        <v>17</v>
      </c>
      <c r="H406" s="1">
        <v>45109</v>
      </c>
    </row>
    <row r="407" spans="1:8">
      <c r="A407" t="s">
        <v>858</v>
      </c>
      <c r="B407" t="s">
        <v>859</v>
      </c>
      <c r="C407" t="s">
        <v>31</v>
      </c>
      <c r="D407">
        <v>57</v>
      </c>
      <c r="E407" t="s">
        <v>15</v>
      </c>
      <c r="F407" t="s">
        <v>16</v>
      </c>
      <c r="G407" t="s">
        <v>17</v>
      </c>
      <c r="H407" s="1">
        <v>45156</v>
      </c>
    </row>
    <row r="408" spans="1:8">
      <c r="A408" t="s">
        <v>860</v>
      </c>
      <c r="B408" t="s">
        <v>861</v>
      </c>
      <c r="C408" t="s">
        <v>31</v>
      </c>
      <c r="D408">
        <v>30</v>
      </c>
      <c r="E408" t="s">
        <v>101</v>
      </c>
      <c r="F408" t="s">
        <v>21</v>
      </c>
      <c r="G408" t="s">
        <v>22</v>
      </c>
      <c r="H408" s="1">
        <v>45232</v>
      </c>
    </row>
    <row r="409" spans="1:8">
      <c r="A409" t="s">
        <v>862</v>
      </c>
      <c r="B409" t="s">
        <v>863</v>
      </c>
      <c r="C409" t="s">
        <v>31</v>
      </c>
      <c r="D409">
        <v>49</v>
      </c>
      <c r="E409" t="s">
        <v>69</v>
      </c>
      <c r="F409" t="s">
        <v>69</v>
      </c>
      <c r="G409" t="s">
        <v>12</v>
      </c>
      <c r="H409" s="1">
        <v>45616</v>
      </c>
    </row>
    <row r="410" spans="1:8">
      <c r="A410" t="s">
        <v>864</v>
      </c>
      <c r="B410" t="s">
        <v>865</v>
      </c>
      <c r="C410" t="s">
        <v>10</v>
      </c>
      <c r="D410">
        <v>43</v>
      </c>
      <c r="E410" t="s">
        <v>112</v>
      </c>
      <c r="F410" t="s">
        <v>113</v>
      </c>
      <c r="G410" t="s">
        <v>78</v>
      </c>
      <c r="H410" s="1">
        <v>44609</v>
      </c>
    </row>
    <row r="411" spans="1:8">
      <c r="A411" t="s">
        <v>866</v>
      </c>
      <c r="B411" t="s">
        <v>867</v>
      </c>
      <c r="C411" t="s">
        <v>31</v>
      </c>
      <c r="D411">
        <v>21</v>
      </c>
      <c r="E411" t="s">
        <v>101</v>
      </c>
      <c r="F411" t="s">
        <v>21</v>
      </c>
      <c r="G411" t="s">
        <v>22</v>
      </c>
      <c r="H411" s="1">
        <v>45002</v>
      </c>
    </row>
    <row r="412" spans="1:8">
      <c r="A412" t="s">
        <v>868</v>
      </c>
      <c r="B412" t="s">
        <v>869</v>
      </c>
      <c r="C412" t="s">
        <v>31</v>
      </c>
      <c r="D412">
        <v>36</v>
      </c>
      <c r="E412" t="s">
        <v>41</v>
      </c>
      <c r="F412" t="s">
        <v>42</v>
      </c>
      <c r="G412" t="s">
        <v>17</v>
      </c>
      <c r="H412" s="1">
        <v>45785</v>
      </c>
    </row>
    <row r="413" spans="1:8">
      <c r="A413" t="s">
        <v>870</v>
      </c>
      <c r="B413" t="s">
        <v>871</v>
      </c>
      <c r="C413" t="s">
        <v>10</v>
      </c>
      <c r="D413">
        <v>34</v>
      </c>
      <c r="E413" t="s">
        <v>20</v>
      </c>
      <c r="F413" t="s">
        <v>21</v>
      </c>
      <c r="G413" t="s">
        <v>22</v>
      </c>
      <c r="H413" s="1">
        <v>45444</v>
      </c>
    </row>
    <row r="414" spans="1:8">
      <c r="A414" t="s">
        <v>872</v>
      </c>
      <c r="B414" t="s">
        <v>873</v>
      </c>
      <c r="C414" t="s">
        <v>10</v>
      </c>
      <c r="D414">
        <v>43</v>
      </c>
      <c r="E414" t="s">
        <v>69</v>
      </c>
      <c r="F414" t="s">
        <v>69</v>
      </c>
      <c r="G414" t="s">
        <v>12</v>
      </c>
      <c r="H414" s="1">
        <v>45311</v>
      </c>
    </row>
    <row r="415" spans="1:8">
      <c r="A415" t="s">
        <v>874</v>
      </c>
      <c r="B415" t="s">
        <v>875</v>
      </c>
      <c r="C415" t="s">
        <v>31</v>
      </c>
      <c r="D415">
        <v>53</v>
      </c>
      <c r="E415" t="s">
        <v>218</v>
      </c>
      <c r="F415" t="s">
        <v>219</v>
      </c>
      <c r="G415" t="s">
        <v>17</v>
      </c>
      <c r="H415" s="1">
        <v>44960</v>
      </c>
    </row>
    <row r="416" spans="1:8">
      <c r="A416" t="s">
        <v>876</v>
      </c>
      <c r="B416" t="s">
        <v>877</v>
      </c>
      <c r="C416" t="s">
        <v>31</v>
      </c>
      <c r="D416">
        <v>66</v>
      </c>
      <c r="E416" t="s">
        <v>41</v>
      </c>
      <c r="F416" t="s">
        <v>42</v>
      </c>
      <c r="G416" t="s">
        <v>17</v>
      </c>
      <c r="H416" s="1">
        <v>45594</v>
      </c>
    </row>
    <row r="417" spans="1:8">
      <c r="A417" t="s">
        <v>878</v>
      </c>
      <c r="B417" t="s">
        <v>879</v>
      </c>
      <c r="C417" t="s">
        <v>10</v>
      </c>
      <c r="D417">
        <v>26</v>
      </c>
      <c r="E417" t="s">
        <v>60</v>
      </c>
      <c r="F417" t="s">
        <v>21</v>
      </c>
      <c r="G417" t="s">
        <v>22</v>
      </c>
      <c r="H417" s="1">
        <v>45955</v>
      </c>
    </row>
    <row r="418" spans="1:8">
      <c r="A418" t="s">
        <v>880</v>
      </c>
      <c r="B418" t="s">
        <v>881</v>
      </c>
      <c r="C418" t="s">
        <v>31</v>
      </c>
      <c r="D418">
        <v>53</v>
      </c>
      <c r="E418" t="s">
        <v>112</v>
      </c>
      <c r="F418" t="s">
        <v>113</v>
      </c>
      <c r="G418" t="s">
        <v>78</v>
      </c>
      <c r="H418" s="1">
        <v>45326</v>
      </c>
    </row>
    <row r="419" spans="1:8">
      <c r="A419" t="s">
        <v>882</v>
      </c>
      <c r="B419" t="s">
        <v>883</v>
      </c>
      <c r="C419" t="s">
        <v>31</v>
      </c>
      <c r="D419">
        <v>50</v>
      </c>
      <c r="E419" t="s">
        <v>76</v>
      </c>
      <c r="F419" t="s">
        <v>77</v>
      </c>
      <c r="G419" t="s">
        <v>78</v>
      </c>
      <c r="H419" s="1">
        <v>44969</v>
      </c>
    </row>
    <row r="420" spans="1:8">
      <c r="A420" t="s">
        <v>884</v>
      </c>
      <c r="B420" t="s">
        <v>885</v>
      </c>
      <c r="C420" t="s">
        <v>31</v>
      </c>
      <c r="D420">
        <v>69</v>
      </c>
      <c r="E420" t="s">
        <v>15</v>
      </c>
      <c r="F420" t="s">
        <v>16</v>
      </c>
      <c r="G420" t="s">
        <v>17</v>
      </c>
      <c r="H420" s="1">
        <v>44842</v>
      </c>
    </row>
    <row r="421" spans="1:8">
      <c r="A421" t="s">
        <v>886</v>
      </c>
      <c r="B421" t="s">
        <v>887</v>
      </c>
      <c r="C421" t="s">
        <v>10</v>
      </c>
      <c r="D421">
        <v>38</v>
      </c>
      <c r="E421" t="s">
        <v>149</v>
      </c>
      <c r="F421" t="s">
        <v>38</v>
      </c>
      <c r="G421" t="s">
        <v>22</v>
      </c>
      <c r="H421" s="1">
        <v>44867</v>
      </c>
    </row>
    <row r="422" spans="1:8">
      <c r="A422" t="s">
        <v>888</v>
      </c>
      <c r="B422" t="s">
        <v>889</v>
      </c>
      <c r="C422" t="s">
        <v>31</v>
      </c>
      <c r="D422">
        <v>57</v>
      </c>
      <c r="E422" t="s">
        <v>91</v>
      </c>
      <c r="F422" t="s">
        <v>92</v>
      </c>
      <c r="G422" t="s">
        <v>78</v>
      </c>
      <c r="H422" s="1">
        <v>44894</v>
      </c>
    </row>
    <row r="423" spans="1:8">
      <c r="A423" t="s">
        <v>890</v>
      </c>
      <c r="B423" t="s">
        <v>891</v>
      </c>
      <c r="C423" t="s">
        <v>31</v>
      </c>
      <c r="D423">
        <v>50</v>
      </c>
      <c r="E423" t="s">
        <v>134</v>
      </c>
      <c r="F423" t="s">
        <v>28</v>
      </c>
      <c r="G423" t="s">
        <v>12</v>
      </c>
      <c r="H423" s="1">
        <v>45777</v>
      </c>
    </row>
    <row r="424" spans="1:8">
      <c r="A424" t="s">
        <v>892</v>
      </c>
      <c r="B424" t="s">
        <v>893</v>
      </c>
      <c r="C424" t="s">
        <v>31</v>
      </c>
      <c r="D424">
        <v>48</v>
      </c>
      <c r="E424" t="s">
        <v>128</v>
      </c>
      <c r="F424" t="s">
        <v>129</v>
      </c>
      <c r="G424" t="s">
        <v>78</v>
      </c>
      <c r="H424" s="1">
        <v>45565</v>
      </c>
    </row>
    <row r="425" spans="1:8">
      <c r="A425" t="s">
        <v>894</v>
      </c>
      <c r="B425" t="s">
        <v>895</v>
      </c>
      <c r="C425" t="s">
        <v>10</v>
      </c>
      <c r="D425">
        <v>44</v>
      </c>
      <c r="E425" t="s">
        <v>134</v>
      </c>
      <c r="F425" t="s">
        <v>28</v>
      </c>
      <c r="G425" t="s">
        <v>12</v>
      </c>
      <c r="H425" s="1">
        <v>45240</v>
      </c>
    </row>
    <row r="426" spans="1:8">
      <c r="A426" t="s">
        <v>896</v>
      </c>
      <c r="B426" t="s">
        <v>897</v>
      </c>
      <c r="C426" t="s">
        <v>31</v>
      </c>
      <c r="D426">
        <v>34</v>
      </c>
      <c r="E426" t="s">
        <v>11</v>
      </c>
      <c r="F426" t="s">
        <v>11</v>
      </c>
      <c r="G426" t="s">
        <v>12</v>
      </c>
      <c r="H426" s="1">
        <v>45784</v>
      </c>
    </row>
    <row r="427" spans="1:8">
      <c r="A427" t="s">
        <v>898</v>
      </c>
      <c r="B427" t="s">
        <v>899</v>
      </c>
      <c r="C427" t="s">
        <v>10</v>
      </c>
      <c r="D427">
        <v>64</v>
      </c>
      <c r="E427" t="s">
        <v>128</v>
      </c>
      <c r="F427" t="s">
        <v>129</v>
      </c>
      <c r="G427" t="s">
        <v>78</v>
      </c>
      <c r="H427" s="1">
        <v>45744</v>
      </c>
    </row>
    <row r="428" spans="1:8">
      <c r="A428" t="s">
        <v>900</v>
      </c>
      <c r="B428" t="s">
        <v>901</v>
      </c>
      <c r="C428" t="s">
        <v>31</v>
      </c>
      <c r="D428">
        <v>27</v>
      </c>
      <c r="E428" t="s">
        <v>41</v>
      </c>
      <c r="F428" t="s">
        <v>42</v>
      </c>
      <c r="G428" t="s">
        <v>17</v>
      </c>
      <c r="H428" s="1">
        <v>44911</v>
      </c>
    </row>
    <row r="429" spans="1:8">
      <c r="A429" t="s">
        <v>902</v>
      </c>
      <c r="B429" t="s">
        <v>903</v>
      </c>
      <c r="C429" t="s">
        <v>10</v>
      </c>
      <c r="D429">
        <v>30</v>
      </c>
      <c r="E429" t="s">
        <v>76</v>
      </c>
      <c r="F429" t="s">
        <v>77</v>
      </c>
      <c r="G429" t="s">
        <v>78</v>
      </c>
      <c r="H429" s="1">
        <v>44626</v>
      </c>
    </row>
    <row r="430" spans="1:8">
      <c r="A430" t="s">
        <v>904</v>
      </c>
      <c r="B430" t="s">
        <v>905</v>
      </c>
      <c r="C430" t="s">
        <v>10</v>
      </c>
      <c r="D430">
        <v>44</v>
      </c>
      <c r="E430" t="s">
        <v>45</v>
      </c>
      <c r="F430" t="s">
        <v>46</v>
      </c>
      <c r="G430" t="s">
        <v>17</v>
      </c>
      <c r="H430" s="1">
        <v>45419</v>
      </c>
    </row>
    <row r="431" spans="1:8">
      <c r="A431" t="s">
        <v>906</v>
      </c>
      <c r="B431" t="s">
        <v>907</v>
      </c>
      <c r="C431" t="s">
        <v>31</v>
      </c>
      <c r="D431">
        <v>65</v>
      </c>
      <c r="E431" t="s">
        <v>69</v>
      </c>
      <c r="F431" t="s">
        <v>69</v>
      </c>
      <c r="G431" t="s">
        <v>12</v>
      </c>
      <c r="H431" s="1">
        <v>45589</v>
      </c>
    </row>
    <row r="432" spans="1:8">
      <c r="A432" t="s">
        <v>908</v>
      </c>
      <c r="B432" t="s">
        <v>909</v>
      </c>
      <c r="C432" t="s">
        <v>10</v>
      </c>
      <c r="D432">
        <v>53</v>
      </c>
      <c r="E432" t="s">
        <v>63</v>
      </c>
      <c r="F432" t="s">
        <v>64</v>
      </c>
      <c r="G432" t="s">
        <v>12</v>
      </c>
      <c r="H432" s="1">
        <v>45624</v>
      </c>
    </row>
    <row r="433" spans="1:8">
      <c r="A433" t="s">
        <v>910</v>
      </c>
      <c r="B433" t="s">
        <v>911</v>
      </c>
      <c r="C433" t="s">
        <v>31</v>
      </c>
      <c r="D433">
        <v>38</v>
      </c>
      <c r="E433" t="s">
        <v>149</v>
      </c>
      <c r="F433" t="s">
        <v>38</v>
      </c>
      <c r="G433" t="s">
        <v>22</v>
      </c>
      <c r="H433" s="1">
        <v>45638</v>
      </c>
    </row>
    <row r="434" spans="1:8">
      <c r="A434" t="s">
        <v>912</v>
      </c>
      <c r="B434" t="s">
        <v>913</v>
      </c>
      <c r="C434" t="s">
        <v>31</v>
      </c>
      <c r="D434">
        <v>52</v>
      </c>
      <c r="E434" t="s">
        <v>112</v>
      </c>
      <c r="F434" t="s">
        <v>113</v>
      </c>
      <c r="G434" t="s">
        <v>78</v>
      </c>
      <c r="H434" s="1">
        <v>45653</v>
      </c>
    </row>
    <row r="435" spans="1:8">
      <c r="A435" t="s">
        <v>914</v>
      </c>
      <c r="B435" t="s">
        <v>915</v>
      </c>
      <c r="C435" t="s">
        <v>31</v>
      </c>
      <c r="D435">
        <v>30</v>
      </c>
      <c r="E435" t="s">
        <v>37</v>
      </c>
      <c r="F435" t="s">
        <v>38</v>
      </c>
      <c r="G435" t="s">
        <v>22</v>
      </c>
      <c r="H435" s="1">
        <v>45811</v>
      </c>
    </row>
    <row r="436" spans="1:8">
      <c r="A436" t="s">
        <v>916</v>
      </c>
      <c r="B436" t="s">
        <v>917</v>
      </c>
      <c r="C436" t="s">
        <v>31</v>
      </c>
      <c r="D436">
        <v>32</v>
      </c>
      <c r="E436" t="s">
        <v>91</v>
      </c>
      <c r="F436" t="s">
        <v>92</v>
      </c>
      <c r="G436" t="s">
        <v>78</v>
      </c>
      <c r="H436" s="1">
        <v>45704</v>
      </c>
    </row>
    <row r="437" spans="1:8">
      <c r="A437" t="s">
        <v>918</v>
      </c>
      <c r="B437" t="s">
        <v>919</v>
      </c>
      <c r="C437" t="s">
        <v>10</v>
      </c>
      <c r="D437">
        <v>62</v>
      </c>
      <c r="E437" t="s">
        <v>91</v>
      </c>
      <c r="F437" t="s">
        <v>92</v>
      </c>
      <c r="G437" t="s">
        <v>78</v>
      </c>
      <c r="H437" s="1">
        <v>45153</v>
      </c>
    </row>
    <row r="438" spans="1:8">
      <c r="A438" t="s">
        <v>920</v>
      </c>
      <c r="B438" t="s">
        <v>921</v>
      </c>
      <c r="C438" t="s">
        <v>31</v>
      </c>
      <c r="D438">
        <v>53</v>
      </c>
      <c r="E438" t="s">
        <v>134</v>
      </c>
      <c r="F438" t="s">
        <v>28</v>
      </c>
      <c r="G438" t="s">
        <v>12</v>
      </c>
      <c r="H438" s="1">
        <v>45544</v>
      </c>
    </row>
    <row r="439" spans="1:8">
      <c r="A439" t="s">
        <v>922</v>
      </c>
      <c r="B439" t="s">
        <v>923</v>
      </c>
      <c r="C439" t="s">
        <v>10</v>
      </c>
      <c r="D439">
        <v>54</v>
      </c>
      <c r="E439" t="s">
        <v>91</v>
      </c>
      <c r="F439" t="s">
        <v>92</v>
      </c>
      <c r="G439" t="s">
        <v>78</v>
      </c>
      <c r="H439" s="1">
        <v>45151</v>
      </c>
    </row>
    <row r="440" spans="1:8">
      <c r="A440" t="s">
        <v>924</v>
      </c>
      <c r="B440" t="s">
        <v>925</v>
      </c>
      <c r="C440" t="s">
        <v>31</v>
      </c>
      <c r="D440">
        <v>67</v>
      </c>
      <c r="E440" t="s">
        <v>69</v>
      </c>
      <c r="F440" t="s">
        <v>69</v>
      </c>
      <c r="G440" t="s">
        <v>12</v>
      </c>
      <c r="H440" s="1">
        <v>45370</v>
      </c>
    </row>
    <row r="441" spans="1:8">
      <c r="A441" t="s">
        <v>926</v>
      </c>
      <c r="B441" t="s">
        <v>927</v>
      </c>
      <c r="C441" t="s">
        <v>31</v>
      </c>
      <c r="D441">
        <v>63</v>
      </c>
      <c r="E441" t="s">
        <v>134</v>
      </c>
      <c r="F441" t="s">
        <v>28</v>
      </c>
      <c r="G441" t="s">
        <v>12</v>
      </c>
      <c r="H441" s="1">
        <v>44648</v>
      </c>
    </row>
    <row r="442" spans="1:8">
      <c r="A442" t="s">
        <v>928</v>
      </c>
      <c r="B442" t="s">
        <v>929</v>
      </c>
      <c r="C442" t="s">
        <v>31</v>
      </c>
      <c r="D442">
        <v>65</v>
      </c>
      <c r="E442" t="s">
        <v>41</v>
      </c>
      <c r="F442" t="s">
        <v>42</v>
      </c>
      <c r="G442" t="s">
        <v>17</v>
      </c>
      <c r="H442" s="1">
        <v>45905</v>
      </c>
    </row>
    <row r="443" spans="1:8">
      <c r="A443" t="s">
        <v>930</v>
      </c>
      <c r="B443" t="s">
        <v>931</v>
      </c>
      <c r="C443" t="s">
        <v>31</v>
      </c>
      <c r="D443">
        <v>53</v>
      </c>
      <c r="E443" t="s">
        <v>101</v>
      </c>
      <c r="F443" t="s">
        <v>21</v>
      </c>
      <c r="G443" t="s">
        <v>22</v>
      </c>
      <c r="H443" s="1">
        <v>45665</v>
      </c>
    </row>
    <row r="444" spans="1:8">
      <c r="A444" t="s">
        <v>932</v>
      </c>
      <c r="B444" t="s">
        <v>933</v>
      </c>
      <c r="C444" t="s">
        <v>10</v>
      </c>
      <c r="D444">
        <v>33</v>
      </c>
      <c r="E444" t="s">
        <v>63</v>
      </c>
      <c r="F444" t="s">
        <v>64</v>
      </c>
      <c r="G444" t="s">
        <v>12</v>
      </c>
      <c r="H444" s="1">
        <v>44785</v>
      </c>
    </row>
    <row r="445" spans="1:8">
      <c r="A445" t="s">
        <v>934</v>
      </c>
      <c r="B445" t="s">
        <v>935</v>
      </c>
      <c r="C445" t="s">
        <v>10</v>
      </c>
      <c r="D445">
        <v>21</v>
      </c>
      <c r="E445" t="s">
        <v>218</v>
      </c>
      <c r="F445" t="s">
        <v>219</v>
      </c>
      <c r="G445" t="s">
        <v>17</v>
      </c>
      <c r="H445" s="1">
        <v>45024</v>
      </c>
    </row>
    <row r="446" spans="1:8">
      <c r="A446" t="s">
        <v>936</v>
      </c>
      <c r="B446" t="s">
        <v>937</v>
      </c>
      <c r="C446" t="s">
        <v>10</v>
      </c>
      <c r="D446">
        <v>61</v>
      </c>
      <c r="E446" t="s">
        <v>45</v>
      </c>
      <c r="F446" t="s">
        <v>46</v>
      </c>
      <c r="G446" t="s">
        <v>17</v>
      </c>
      <c r="H446" s="1">
        <v>45529</v>
      </c>
    </row>
    <row r="447" spans="1:8">
      <c r="A447" t="s">
        <v>938</v>
      </c>
      <c r="B447" t="s">
        <v>939</v>
      </c>
      <c r="C447" t="s">
        <v>10</v>
      </c>
      <c r="D447">
        <v>44</v>
      </c>
      <c r="E447" t="s">
        <v>11</v>
      </c>
      <c r="F447" t="s">
        <v>11</v>
      </c>
      <c r="G447" t="s">
        <v>12</v>
      </c>
      <c r="H447" s="1">
        <v>45689</v>
      </c>
    </row>
    <row r="448" spans="1:8">
      <c r="A448" t="s">
        <v>940</v>
      </c>
      <c r="B448" t="s">
        <v>941</v>
      </c>
      <c r="C448" t="s">
        <v>10</v>
      </c>
      <c r="D448">
        <v>66</v>
      </c>
      <c r="E448" t="s">
        <v>69</v>
      </c>
      <c r="F448" t="s">
        <v>69</v>
      </c>
      <c r="G448" t="s">
        <v>12</v>
      </c>
      <c r="H448" s="1">
        <v>45539</v>
      </c>
    </row>
    <row r="449" spans="1:8">
      <c r="A449" t="s">
        <v>942</v>
      </c>
      <c r="B449" t="s">
        <v>943</v>
      </c>
      <c r="C449" t="s">
        <v>10</v>
      </c>
      <c r="D449">
        <v>67</v>
      </c>
      <c r="E449" t="s">
        <v>91</v>
      </c>
      <c r="F449" t="s">
        <v>92</v>
      </c>
      <c r="G449" t="s">
        <v>78</v>
      </c>
      <c r="H449" s="1">
        <v>45146</v>
      </c>
    </row>
    <row r="450" spans="1:8">
      <c r="A450" t="s">
        <v>944</v>
      </c>
      <c r="B450" t="s">
        <v>945</v>
      </c>
      <c r="C450" t="s">
        <v>10</v>
      </c>
      <c r="D450">
        <v>29</v>
      </c>
      <c r="E450" t="s">
        <v>218</v>
      </c>
      <c r="F450" t="s">
        <v>219</v>
      </c>
      <c r="G450" t="s">
        <v>17</v>
      </c>
      <c r="H450" s="1">
        <v>45037</v>
      </c>
    </row>
    <row r="451" spans="1:8">
      <c r="A451" t="s">
        <v>946</v>
      </c>
      <c r="B451" t="s">
        <v>947</v>
      </c>
      <c r="C451" t="s">
        <v>31</v>
      </c>
      <c r="D451">
        <v>68</v>
      </c>
      <c r="E451" t="s">
        <v>101</v>
      </c>
      <c r="F451" t="s">
        <v>21</v>
      </c>
      <c r="G451" t="s">
        <v>22</v>
      </c>
      <c r="H451" s="1">
        <v>44636</v>
      </c>
    </row>
    <row r="452" spans="1:8">
      <c r="A452" t="s">
        <v>948</v>
      </c>
      <c r="B452" t="s">
        <v>949</v>
      </c>
      <c r="C452" t="s">
        <v>10</v>
      </c>
      <c r="D452">
        <v>37</v>
      </c>
      <c r="E452" t="s">
        <v>37</v>
      </c>
      <c r="F452" t="s">
        <v>38</v>
      </c>
      <c r="G452" t="s">
        <v>22</v>
      </c>
      <c r="H452" s="1">
        <v>44638</v>
      </c>
    </row>
    <row r="453" spans="1:8">
      <c r="A453" t="s">
        <v>950</v>
      </c>
      <c r="B453" t="s">
        <v>951</v>
      </c>
      <c r="C453" t="s">
        <v>31</v>
      </c>
      <c r="D453">
        <v>47</v>
      </c>
      <c r="E453" t="s">
        <v>20</v>
      </c>
      <c r="F453" t="s">
        <v>21</v>
      </c>
      <c r="G453" t="s">
        <v>22</v>
      </c>
      <c r="H453" s="1">
        <v>45248</v>
      </c>
    </row>
    <row r="454" spans="1:8">
      <c r="A454" t="s">
        <v>952</v>
      </c>
      <c r="B454" t="s">
        <v>953</v>
      </c>
      <c r="C454" t="s">
        <v>31</v>
      </c>
      <c r="D454">
        <v>26</v>
      </c>
      <c r="E454" t="s">
        <v>128</v>
      </c>
      <c r="F454" t="s">
        <v>129</v>
      </c>
      <c r="G454" t="s">
        <v>78</v>
      </c>
      <c r="H454" s="1">
        <v>45635</v>
      </c>
    </row>
    <row r="455" spans="1:8">
      <c r="A455" t="s">
        <v>954</v>
      </c>
      <c r="B455" t="s">
        <v>955</v>
      </c>
      <c r="C455" t="s">
        <v>10</v>
      </c>
      <c r="D455">
        <v>69</v>
      </c>
      <c r="E455" t="s">
        <v>112</v>
      </c>
      <c r="F455" t="s">
        <v>113</v>
      </c>
      <c r="G455" t="s">
        <v>78</v>
      </c>
      <c r="H455" s="1">
        <v>45120</v>
      </c>
    </row>
    <row r="456" spans="1:8">
      <c r="A456" t="s">
        <v>956</v>
      </c>
      <c r="B456" t="s">
        <v>957</v>
      </c>
      <c r="C456" t="s">
        <v>31</v>
      </c>
      <c r="D456">
        <v>63</v>
      </c>
      <c r="E456" t="s">
        <v>34</v>
      </c>
      <c r="F456" t="s">
        <v>16</v>
      </c>
      <c r="G456" t="s">
        <v>17</v>
      </c>
      <c r="H456" s="1">
        <v>45501</v>
      </c>
    </row>
    <row r="457" spans="1:8">
      <c r="A457" t="s">
        <v>958</v>
      </c>
      <c r="B457" t="s">
        <v>959</v>
      </c>
      <c r="C457" t="s">
        <v>10</v>
      </c>
      <c r="D457">
        <v>29</v>
      </c>
      <c r="E457" t="s">
        <v>45</v>
      </c>
      <c r="F457" t="s">
        <v>46</v>
      </c>
      <c r="G457" t="s">
        <v>17</v>
      </c>
      <c r="H457" s="1">
        <v>45166</v>
      </c>
    </row>
    <row r="458" spans="1:8">
      <c r="A458" t="s">
        <v>960</v>
      </c>
      <c r="B458" t="s">
        <v>961</v>
      </c>
      <c r="C458" t="s">
        <v>31</v>
      </c>
      <c r="D458">
        <v>23</v>
      </c>
      <c r="E458" t="s">
        <v>69</v>
      </c>
      <c r="F458" t="s">
        <v>69</v>
      </c>
      <c r="G458" t="s">
        <v>12</v>
      </c>
      <c r="H458" s="1">
        <v>45437</v>
      </c>
    </row>
    <row r="459" spans="1:8">
      <c r="A459" t="s">
        <v>962</v>
      </c>
      <c r="B459" t="s">
        <v>963</v>
      </c>
      <c r="C459" t="s">
        <v>10</v>
      </c>
      <c r="D459">
        <v>48</v>
      </c>
      <c r="E459" t="s">
        <v>20</v>
      </c>
      <c r="F459" t="s">
        <v>21</v>
      </c>
      <c r="G459" t="s">
        <v>22</v>
      </c>
      <c r="H459" s="1">
        <v>44940</v>
      </c>
    </row>
    <row r="460" spans="1:8">
      <c r="A460" t="s">
        <v>964</v>
      </c>
      <c r="B460" t="s">
        <v>965</v>
      </c>
      <c r="C460" t="s">
        <v>31</v>
      </c>
      <c r="D460">
        <v>42</v>
      </c>
      <c r="E460" t="s">
        <v>101</v>
      </c>
      <c r="F460" t="s">
        <v>21</v>
      </c>
      <c r="G460" t="s">
        <v>22</v>
      </c>
      <c r="H460" s="1">
        <v>44575</v>
      </c>
    </row>
    <row r="461" spans="1:8">
      <c r="A461" t="s">
        <v>966</v>
      </c>
      <c r="B461" t="s">
        <v>967</v>
      </c>
      <c r="C461" t="s">
        <v>31</v>
      </c>
      <c r="D461">
        <v>55</v>
      </c>
      <c r="E461" t="s">
        <v>45</v>
      </c>
      <c r="F461" t="s">
        <v>46</v>
      </c>
      <c r="G461" t="s">
        <v>17</v>
      </c>
      <c r="H461" s="1">
        <v>45237</v>
      </c>
    </row>
    <row r="462" spans="1:8">
      <c r="A462" t="s">
        <v>968</v>
      </c>
      <c r="B462" t="s">
        <v>969</v>
      </c>
      <c r="C462" t="s">
        <v>31</v>
      </c>
      <c r="D462">
        <v>62</v>
      </c>
      <c r="E462" t="s">
        <v>11</v>
      </c>
      <c r="F462" t="s">
        <v>11</v>
      </c>
      <c r="G462" t="s">
        <v>12</v>
      </c>
      <c r="H462" s="1">
        <v>45097</v>
      </c>
    </row>
    <row r="463" spans="1:8">
      <c r="A463" t="s">
        <v>970</v>
      </c>
      <c r="B463" t="s">
        <v>971</v>
      </c>
      <c r="C463" t="s">
        <v>31</v>
      </c>
      <c r="D463">
        <v>28</v>
      </c>
      <c r="E463" t="s">
        <v>15</v>
      </c>
      <c r="F463" t="s">
        <v>16</v>
      </c>
      <c r="G463" t="s">
        <v>17</v>
      </c>
      <c r="H463" s="1">
        <v>45515</v>
      </c>
    </row>
    <row r="464" spans="1:8">
      <c r="A464" t="s">
        <v>972</v>
      </c>
      <c r="B464" t="s">
        <v>973</v>
      </c>
      <c r="C464" t="s">
        <v>31</v>
      </c>
      <c r="D464">
        <v>62</v>
      </c>
      <c r="E464" t="s">
        <v>60</v>
      </c>
      <c r="F464" t="s">
        <v>21</v>
      </c>
      <c r="G464" t="s">
        <v>22</v>
      </c>
      <c r="H464" s="1">
        <v>46002</v>
      </c>
    </row>
    <row r="465" spans="1:8">
      <c r="A465" t="s">
        <v>974</v>
      </c>
      <c r="B465" t="s">
        <v>975</v>
      </c>
      <c r="C465" t="s">
        <v>10</v>
      </c>
      <c r="D465">
        <v>32</v>
      </c>
      <c r="E465" t="s">
        <v>45</v>
      </c>
      <c r="F465" t="s">
        <v>46</v>
      </c>
      <c r="G465" t="s">
        <v>17</v>
      </c>
      <c r="H465" s="1">
        <v>45314</v>
      </c>
    </row>
    <row r="466" spans="1:8">
      <c r="A466" t="s">
        <v>976</v>
      </c>
      <c r="B466" t="s">
        <v>977</v>
      </c>
      <c r="C466" t="s">
        <v>31</v>
      </c>
      <c r="D466">
        <v>65</v>
      </c>
      <c r="E466" t="s">
        <v>112</v>
      </c>
      <c r="F466" t="s">
        <v>113</v>
      </c>
      <c r="G466" t="s">
        <v>78</v>
      </c>
      <c r="H466" s="1">
        <v>44875</v>
      </c>
    </row>
    <row r="467" spans="1:8">
      <c r="A467" t="s">
        <v>978</v>
      </c>
      <c r="B467" t="s">
        <v>979</v>
      </c>
      <c r="C467" t="s">
        <v>31</v>
      </c>
      <c r="D467">
        <v>66</v>
      </c>
      <c r="E467" t="s">
        <v>91</v>
      </c>
      <c r="F467" t="s">
        <v>92</v>
      </c>
      <c r="G467" t="s">
        <v>78</v>
      </c>
      <c r="H467" s="1">
        <v>45413</v>
      </c>
    </row>
    <row r="468" spans="1:8">
      <c r="A468" t="s">
        <v>980</v>
      </c>
      <c r="B468" t="s">
        <v>981</v>
      </c>
      <c r="C468" t="s">
        <v>10</v>
      </c>
      <c r="D468">
        <v>51</v>
      </c>
      <c r="E468" t="s">
        <v>101</v>
      </c>
      <c r="F468" t="s">
        <v>21</v>
      </c>
      <c r="G468" t="s">
        <v>22</v>
      </c>
      <c r="H468" s="1">
        <v>45068</v>
      </c>
    </row>
    <row r="469" spans="1:8">
      <c r="A469" t="s">
        <v>982</v>
      </c>
      <c r="B469" t="s">
        <v>983</v>
      </c>
      <c r="C469" t="s">
        <v>10</v>
      </c>
      <c r="D469">
        <v>21</v>
      </c>
      <c r="E469" t="s">
        <v>37</v>
      </c>
      <c r="F469" t="s">
        <v>38</v>
      </c>
      <c r="G469" t="s">
        <v>22</v>
      </c>
      <c r="H469" s="1">
        <v>44721</v>
      </c>
    </row>
    <row r="470" spans="1:8">
      <c r="A470" t="s">
        <v>984</v>
      </c>
      <c r="B470" t="s">
        <v>985</v>
      </c>
      <c r="C470" t="s">
        <v>10</v>
      </c>
      <c r="D470">
        <v>28</v>
      </c>
      <c r="E470" t="s">
        <v>128</v>
      </c>
      <c r="F470" t="s">
        <v>129</v>
      </c>
      <c r="G470" t="s">
        <v>78</v>
      </c>
      <c r="H470" s="1">
        <v>44976</v>
      </c>
    </row>
    <row r="471" spans="1:8">
      <c r="A471" t="s">
        <v>986</v>
      </c>
      <c r="B471" t="s">
        <v>987</v>
      </c>
      <c r="C471" t="s">
        <v>10</v>
      </c>
      <c r="D471">
        <v>61</v>
      </c>
      <c r="E471" t="s">
        <v>60</v>
      </c>
      <c r="F471" t="s">
        <v>21</v>
      </c>
      <c r="G471" t="s">
        <v>22</v>
      </c>
      <c r="H471" s="1">
        <v>45466</v>
      </c>
    </row>
    <row r="472" spans="1:8">
      <c r="A472" t="s">
        <v>988</v>
      </c>
      <c r="B472" t="s">
        <v>989</v>
      </c>
      <c r="C472" t="s">
        <v>10</v>
      </c>
      <c r="D472">
        <v>50</v>
      </c>
      <c r="E472" t="s">
        <v>218</v>
      </c>
      <c r="F472" t="s">
        <v>219</v>
      </c>
      <c r="G472" t="s">
        <v>17</v>
      </c>
      <c r="H472" s="1">
        <v>45563</v>
      </c>
    </row>
    <row r="473" spans="1:8">
      <c r="A473" t="s">
        <v>990</v>
      </c>
      <c r="B473" t="s">
        <v>991</v>
      </c>
      <c r="C473" t="s">
        <v>10</v>
      </c>
      <c r="D473">
        <v>50</v>
      </c>
      <c r="E473" t="s">
        <v>20</v>
      </c>
      <c r="F473" t="s">
        <v>21</v>
      </c>
      <c r="G473" t="s">
        <v>22</v>
      </c>
      <c r="H473" s="1">
        <v>45490</v>
      </c>
    </row>
    <row r="474" spans="1:8">
      <c r="A474" t="s">
        <v>992</v>
      </c>
      <c r="B474" t="s">
        <v>993</v>
      </c>
      <c r="C474" t="s">
        <v>31</v>
      </c>
      <c r="D474">
        <v>61</v>
      </c>
      <c r="E474" t="s">
        <v>60</v>
      </c>
      <c r="F474" t="s">
        <v>21</v>
      </c>
      <c r="G474" t="s">
        <v>22</v>
      </c>
      <c r="H474" s="1">
        <v>44680</v>
      </c>
    </row>
    <row r="475" spans="1:8">
      <c r="A475" t="s">
        <v>994</v>
      </c>
      <c r="B475" t="s">
        <v>995</v>
      </c>
      <c r="C475" t="s">
        <v>31</v>
      </c>
      <c r="D475">
        <v>70</v>
      </c>
      <c r="E475" t="s">
        <v>11</v>
      </c>
      <c r="F475" t="s">
        <v>11</v>
      </c>
      <c r="G475" t="s">
        <v>12</v>
      </c>
      <c r="H475" s="1">
        <v>45372</v>
      </c>
    </row>
    <row r="476" spans="1:8">
      <c r="A476" t="s">
        <v>996</v>
      </c>
      <c r="B476" t="s">
        <v>997</v>
      </c>
      <c r="C476" t="s">
        <v>10</v>
      </c>
      <c r="D476">
        <v>20</v>
      </c>
      <c r="E476" t="s">
        <v>34</v>
      </c>
      <c r="F476" t="s">
        <v>16</v>
      </c>
      <c r="G476" t="s">
        <v>17</v>
      </c>
      <c r="H476" s="1">
        <v>45746</v>
      </c>
    </row>
    <row r="477" spans="1:8">
      <c r="A477" t="s">
        <v>998</v>
      </c>
      <c r="B477" t="s">
        <v>999</v>
      </c>
      <c r="C477" t="s">
        <v>10</v>
      </c>
      <c r="D477">
        <v>22</v>
      </c>
      <c r="E477" t="s">
        <v>20</v>
      </c>
      <c r="F477" t="s">
        <v>21</v>
      </c>
      <c r="G477" t="s">
        <v>22</v>
      </c>
      <c r="H477" s="1">
        <v>45670</v>
      </c>
    </row>
    <row r="478" spans="1:8">
      <c r="A478" t="s">
        <v>1000</v>
      </c>
      <c r="B478" t="s">
        <v>1001</v>
      </c>
      <c r="C478" t="s">
        <v>31</v>
      </c>
      <c r="D478">
        <v>44</v>
      </c>
      <c r="E478" t="s">
        <v>112</v>
      </c>
      <c r="F478" t="s">
        <v>113</v>
      </c>
      <c r="G478" t="s">
        <v>78</v>
      </c>
      <c r="H478" s="1">
        <v>44626</v>
      </c>
    </row>
    <row r="479" spans="1:8">
      <c r="A479" t="s">
        <v>1002</v>
      </c>
      <c r="B479" t="s">
        <v>1003</v>
      </c>
      <c r="C479" t="s">
        <v>31</v>
      </c>
      <c r="D479">
        <v>41</v>
      </c>
      <c r="E479" t="s">
        <v>34</v>
      </c>
      <c r="F479" t="s">
        <v>16</v>
      </c>
      <c r="G479" t="s">
        <v>17</v>
      </c>
      <c r="H479" s="1">
        <v>45875</v>
      </c>
    </row>
    <row r="480" spans="1:8">
      <c r="A480" t="s">
        <v>1004</v>
      </c>
      <c r="B480" t="s">
        <v>1005</v>
      </c>
      <c r="C480" t="s">
        <v>31</v>
      </c>
      <c r="D480">
        <v>42</v>
      </c>
      <c r="E480" t="s">
        <v>112</v>
      </c>
      <c r="F480" t="s">
        <v>113</v>
      </c>
      <c r="G480" t="s">
        <v>78</v>
      </c>
      <c r="H480" s="1">
        <v>45480</v>
      </c>
    </row>
    <row r="481" spans="1:8">
      <c r="A481" t="s">
        <v>1006</v>
      </c>
      <c r="B481" t="s">
        <v>1007</v>
      </c>
      <c r="C481" t="s">
        <v>31</v>
      </c>
      <c r="D481">
        <v>25</v>
      </c>
      <c r="E481" t="s">
        <v>218</v>
      </c>
      <c r="F481" t="s">
        <v>219</v>
      </c>
      <c r="G481" t="s">
        <v>17</v>
      </c>
      <c r="H481" s="1">
        <v>44834</v>
      </c>
    </row>
    <row r="482" spans="1:8">
      <c r="A482" t="s">
        <v>1008</v>
      </c>
      <c r="B482" t="s">
        <v>1009</v>
      </c>
      <c r="C482" t="s">
        <v>10</v>
      </c>
      <c r="D482">
        <v>64</v>
      </c>
      <c r="E482" t="s">
        <v>218</v>
      </c>
      <c r="F482" t="s">
        <v>219</v>
      </c>
      <c r="G482" t="s">
        <v>17</v>
      </c>
      <c r="H482" s="1">
        <v>45366</v>
      </c>
    </row>
    <row r="483" spans="1:8">
      <c r="A483" t="s">
        <v>1010</v>
      </c>
      <c r="B483" t="s">
        <v>429</v>
      </c>
      <c r="C483" t="s">
        <v>31</v>
      </c>
      <c r="D483">
        <v>47</v>
      </c>
      <c r="E483" t="s">
        <v>87</v>
      </c>
      <c r="F483" t="s">
        <v>88</v>
      </c>
      <c r="G483" t="s">
        <v>78</v>
      </c>
      <c r="H483" s="1">
        <v>44608</v>
      </c>
    </row>
    <row r="484" spans="1:8">
      <c r="A484" t="s">
        <v>1011</v>
      </c>
      <c r="B484" t="s">
        <v>1012</v>
      </c>
      <c r="C484" t="s">
        <v>31</v>
      </c>
      <c r="D484">
        <v>70</v>
      </c>
      <c r="E484" t="s">
        <v>27</v>
      </c>
      <c r="F484" t="s">
        <v>28</v>
      </c>
      <c r="G484" t="s">
        <v>12</v>
      </c>
      <c r="H484" s="1">
        <v>45430</v>
      </c>
    </row>
    <row r="485" spans="1:8">
      <c r="A485" t="s">
        <v>1013</v>
      </c>
      <c r="B485" t="s">
        <v>1014</v>
      </c>
      <c r="C485" t="s">
        <v>10</v>
      </c>
      <c r="D485">
        <v>35</v>
      </c>
      <c r="E485" t="s">
        <v>41</v>
      </c>
      <c r="F485" t="s">
        <v>42</v>
      </c>
      <c r="G485" t="s">
        <v>17</v>
      </c>
      <c r="H485" s="1">
        <v>45270</v>
      </c>
    </row>
    <row r="486" spans="1:8">
      <c r="A486" t="s">
        <v>1015</v>
      </c>
      <c r="B486" t="s">
        <v>1016</v>
      </c>
      <c r="C486" t="s">
        <v>31</v>
      </c>
      <c r="D486">
        <v>57</v>
      </c>
      <c r="E486" t="s">
        <v>15</v>
      </c>
      <c r="F486" t="s">
        <v>16</v>
      </c>
      <c r="G486" t="s">
        <v>17</v>
      </c>
      <c r="H486" s="1">
        <v>44627</v>
      </c>
    </row>
    <row r="487" spans="1:8">
      <c r="A487" t="s">
        <v>1017</v>
      </c>
      <c r="B487" t="s">
        <v>1018</v>
      </c>
      <c r="C487" t="s">
        <v>10</v>
      </c>
      <c r="D487">
        <v>22</v>
      </c>
      <c r="E487" t="s">
        <v>11</v>
      </c>
      <c r="F487" t="s">
        <v>11</v>
      </c>
      <c r="G487" t="s">
        <v>12</v>
      </c>
      <c r="H487" s="1">
        <v>45054</v>
      </c>
    </row>
    <row r="488" spans="1:8">
      <c r="A488" t="s">
        <v>1019</v>
      </c>
      <c r="B488" t="s">
        <v>1020</v>
      </c>
      <c r="C488" t="s">
        <v>10</v>
      </c>
      <c r="D488">
        <v>33</v>
      </c>
      <c r="E488" t="s">
        <v>15</v>
      </c>
      <c r="F488" t="s">
        <v>16</v>
      </c>
      <c r="G488" t="s">
        <v>17</v>
      </c>
      <c r="H488" s="1">
        <v>45476</v>
      </c>
    </row>
    <row r="489" spans="1:8">
      <c r="A489" t="s">
        <v>1021</v>
      </c>
      <c r="B489" t="s">
        <v>1022</v>
      </c>
      <c r="C489" t="s">
        <v>10</v>
      </c>
      <c r="D489">
        <v>52</v>
      </c>
      <c r="E489" t="s">
        <v>69</v>
      </c>
      <c r="F489" t="s">
        <v>69</v>
      </c>
      <c r="G489" t="s">
        <v>12</v>
      </c>
      <c r="H489" s="1">
        <v>45460</v>
      </c>
    </row>
    <row r="490" spans="1:8">
      <c r="A490" t="s">
        <v>1023</v>
      </c>
      <c r="B490" t="s">
        <v>1024</v>
      </c>
      <c r="C490" t="s">
        <v>31</v>
      </c>
      <c r="D490">
        <v>32</v>
      </c>
      <c r="E490" t="s">
        <v>15</v>
      </c>
      <c r="F490" t="s">
        <v>16</v>
      </c>
      <c r="G490" t="s">
        <v>17</v>
      </c>
      <c r="H490" s="1">
        <v>44848</v>
      </c>
    </row>
    <row r="491" spans="1:8">
      <c r="A491" t="s">
        <v>1025</v>
      </c>
      <c r="B491" t="s">
        <v>1026</v>
      </c>
      <c r="C491" t="s">
        <v>31</v>
      </c>
      <c r="D491">
        <v>33</v>
      </c>
      <c r="E491" t="s">
        <v>27</v>
      </c>
      <c r="F491" t="s">
        <v>28</v>
      </c>
      <c r="G491" t="s">
        <v>12</v>
      </c>
      <c r="H491" s="1">
        <v>45215</v>
      </c>
    </row>
    <row r="492" spans="1:8">
      <c r="A492" t="s">
        <v>1027</v>
      </c>
      <c r="B492" t="s">
        <v>1028</v>
      </c>
      <c r="C492" t="s">
        <v>10</v>
      </c>
      <c r="D492">
        <v>44</v>
      </c>
      <c r="E492" t="s">
        <v>101</v>
      </c>
      <c r="F492" t="s">
        <v>21</v>
      </c>
      <c r="G492" t="s">
        <v>22</v>
      </c>
      <c r="H492" s="1">
        <v>45914</v>
      </c>
    </row>
    <row r="493" spans="1:8">
      <c r="A493" t="s">
        <v>1029</v>
      </c>
      <c r="B493" t="s">
        <v>1030</v>
      </c>
      <c r="C493" t="s">
        <v>10</v>
      </c>
      <c r="D493">
        <v>58</v>
      </c>
      <c r="E493" t="s">
        <v>20</v>
      </c>
      <c r="F493" t="s">
        <v>21</v>
      </c>
      <c r="G493" t="s">
        <v>22</v>
      </c>
      <c r="H493" s="1">
        <v>45702</v>
      </c>
    </row>
    <row r="494" spans="1:8">
      <c r="A494" t="s">
        <v>1031</v>
      </c>
      <c r="B494" t="s">
        <v>1032</v>
      </c>
      <c r="C494" t="s">
        <v>10</v>
      </c>
      <c r="D494">
        <v>40</v>
      </c>
      <c r="E494" t="s">
        <v>27</v>
      </c>
      <c r="F494" t="s">
        <v>28</v>
      </c>
      <c r="G494" t="s">
        <v>12</v>
      </c>
      <c r="H494" s="1">
        <v>45577</v>
      </c>
    </row>
    <row r="495" spans="1:8">
      <c r="A495" t="s">
        <v>1033</v>
      </c>
      <c r="B495" t="s">
        <v>1034</v>
      </c>
      <c r="C495" t="s">
        <v>31</v>
      </c>
      <c r="D495">
        <v>62</v>
      </c>
      <c r="E495" t="s">
        <v>112</v>
      </c>
      <c r="F495" t="s">
        <v>113</v>
      </c>
      <c r="G495" t="s">
        <v>78</v>
      </c>
      <c r="H495" s="1">
        <v>45636</v>
      </c>
    </row>
    <row r="496" spans="1:8">
      <c r="A496" t="s">
        <v>1035</v>
      </c>
      <c r="B496" t="s">
        <v>1036</v>
      </c>
      <c r="C496" t="s">
        <v>31</v>
      </c>
      <c r="D496">
        <v>29</v>
      </c>
      <c r="E496" t="s">
        <v>101</v>
      </c>
      <c r="F496" t="s">
        <v>21</v>
      </c>
      <c r="G496" t="s">
        <v>22</v>
      </c>
      <c r="H496" s="1">
        <v>45176</v>
      </c>
    </row>
    <row r="497" spans="1:8">
      <c r="A497" t="s">
        <v>1037</v>
      </c>
      <c r="B497" t="s">
        <v>1038</v>
      </c>
      <c r="C497" t="s">
        <v>10</v>
      </c>
      <c r="D497">
        <v>37</v>
      </c>
      <c r="E497" t="s">
        <v>69</v>
      </c>
      <c r="F497" t="s">
        <v>69</v>
      </c>
      <c r="G497" t="s">
        <v>12</v>
      </c>
      <c r="H497" s="1">
        <v>45055</v>
      </c>
    </row>
    <row r="498" spans="1:8">
      <c r="A498" t="s">
        <v>1039</v>
      </c>
      <c r="B498" t="s">
        <v>1040</v>
      </c>
      <c r="C498" t="s">
        <v>10</v>
      </c>
      <c r="D498">
        <v>53</v>
      </c>
      <c r="E498" t="s">
        <v>76</v>
      </c>
      <c r="F498" t="s">
        <v>77</v>
      </c>
      <c r="G498" t="s">
        <v>78</v>
      </c>
      <c r="H498" s="1">
        <v>45510</v>
      </c>
    </row>
    <row r="499" spans="1:8">
      <c r="A499" t="s">
        <v>1041</v>
      </c>
      <c r="B499" t="s">
        <v>1042</v>
      </c>
      <c r="C499" t="s">
        <v>10</v>
      </c>
      <c r="D499">
        <v>42</v>
      </c>
      <c r="E499" t="s">
        <v>149</v>
      </c>
      <c r="F499" t="s">
        <v>38</v>
      </c>
      <c r="G499" t="s">
        <v>22</v>
      </c>
      <c r="H499" s="1">
        <v>45703</v>
      </c>
    </row>
    <row r="500" spans="1:8">
      <c r="A500" t="s">
        <v>1043</v>
      </c>
      <c r="B500" t="s">
        <v>1044</v>
      </c>
      <c r="C500" t="s">
        <v>10</v>
      </c>
      <c r="D500">
        <v>46</v>
      </c>
      <c r="E500" t="s">
        <v>34</v>
      </c>
      <c r="F500" t="s">
        <v>16</v>
      </c>
      <c r="G500" t="s">
        <v>17</v>
      </c>
      <c r="H500" s="1">
        <v>45238</v>
      </c>
    </row>
    <row r="501" spans="1:8">
      <c r="A501" t="s">
        <v>1045</v>
      </c>
      <c r="B501" t="s">
        <v>1046</v>
      </c>
      <c r="C501" t="s">
        <v>10</v>
      </c>
      <c r="D501">
        <v>21</v>
      </c>
      <c r="E501" t="s">
        <v>87</v>
      </c>
      <c r="F501" t="s">
        <v>88</v>
      </c>
      <c r="G501" t="s">
        <v>78</v>
      </c>
      <c r="H501" s="1">
        <v>45658</v>
      </c>
    </row>
    <row r="502" spans="1:8">
      <c r="A502" t="s">
        <v>1047</v>
      </c>
      <c r="B502" t="s">
        <v>1048</v>
      </c>
      <c r="C502" t="s">
        <v>10</v>
      </c>
      <c r="D502">
        <v>22</v>
      </c>
      <c r="E502" t="s">
        <v>218</v>
      </c>
      <c r="F502" t="s">
        <v>219</v>
      </c>
      <c r="G502" t="s">
        <v>17</v>
      </c>
      <c r="H502" s="1">
        <v>45796</v>
      </c>
    </row>
    <row r="503" spans="1:8">
      <c r="A503" t="s">
        <v>1049</v>
      </c>
      <c r="B503" t="s">
        <v>1050</v>
      </c>
      <c r="C503" t="s">
        <v>10</v>
      </c>
      <c r="D503">
        <v>48</v>
      </c>
      <c r="E503" t="s">
        <v>218</v>
      </c>
      <c r="F503" t="s">
        <v>219</v>
      </c>
      <c r="G503" t="s">
        <v>17</v>
      </c>
      <c r="H503" s="1">
        <v>45937</v>
      </c>
    </row>
    <row r="504" spans="1:8">
      <c r="A504" t="s">
        <v>1051</v>
      </c>
      <c r="B504" t="s">
        <v>1052</v>
      </c>
      <c r="C504" t="s">
        <v>10</v>
      </c>
      <c r="D504">
        <v>31</v>
      </c>
      <c r="E504" t="s">
        <v>45</v>
      </c>
      <c r="F504" t="s">
        <v>46</v>
      </c>
      <c r="G504" t="s">
        <v>17</v>
      </c>
      <c r="H504" s="1">
        <v>45182</v>
      </c>
    </row>
    <row r="505" spans="1:8">
      <c r="A505" t="s">
        <v>1053</v>
      </c>
      <c r="B505" t="s">
        <v>1054</v>
      </c>
      <c r="C505" t="s">
        <v>10</v>
      </c>
      <c r="D505">
        <v>62</v>
      </c>
      <c r="E505" t="s">
        <v>87</v>
      </c>
      <c r="F505" t="s">
        <v>88</v>
      </c>
      <c r="G505" t="s">
        <v>78</v>
      </c>
      <c r="H505" s="1">
        <v>45542</v>
      </c>
    </row>
    <row r="506" spans="1:8">
      <c r="A506" t="s">
        <v>1055</v>
      </c>
      <c r="B506" t="s">
        <v>1056</v>
      </c>
      <c r="C506" t="s">
        <v>10</v>
      </c>
      <c r="D506">
        <v>53</v>
      </c>
      <c r="E506" t="s">
        <v>63</v>
      </c>
      <c r="F506" t="s">
        <v>64</v>
      </c>
      <c r="G506" t="s">
        <v>12</v>
      </c>
      <c r="H506" s="1">
        <v>45374</v>
      </c>
    </row>
    <row r="507" spans="1:8">
      <c r="A507" t="s">
        <v>1057</v>
      </c>
      <c r="B507" t="s">
        <v>1058</v>
      </c>
      <c r="C507" t="s">
        <v>31</v>
      </c>
      <c r="D507">
        <v>52</v>
      </c>
      <c r="E507" t="s">
        <v>37</v>
      </c>
      <c r="F507" t="s">
        <v>38</v>
      </c>
      <c r="G507" t="s">
        <v>22</v>
      </c>
      <c r="H507" s="1">
        <v>45341</v>
      </c>
    </row>
    <row r="508" spans="1:8">
      <c r="A508" t="s">
        <v>1059</v>
      </c>
      <c r="B508" t="s">
        <v>1060</v>
      </c>
      <c r="C508" t="s">
        <v>31</v>
      </c>
      <c r="D508">
        <v>50</v>
      </c>
      <c r="E508" t="s">
        <v>134</v>
      </c>
      <c r="F508" t="s">
        <v>28</v>
      </c>
      <c r="G508" t="s">
        <v>12</v>
      </c>
      <c r="H508" s="1">
        <v>45097</v>
      </c>
    </row>
    <row r="509" spans="1:8">
      <c r="A509" t="s">
        <v>1061</v>
      </c>
      <c r="B509" t="s">
        <v>1062</v>
      </c>
      <c r="C509" t="s">
        <v>31</v>
      </c>
      <c r="D509">
        <v>66</v>
      </c>
      <c r="E509" t="s">
        <v>49</v>
      </c>
      <c r="F509" t="s">
        <v>113</v>
      </c>
      <c r="G509" t="s">
        <v>78</v>
      </c>
      <c r="H509" s="1">
        <v>44763</v>
      </c>
    </row>
    <row r="510" spans="1:8">
      <c r="A510" t="s">
        <v>1063</v>
      </c>
      <c r="B510" t="s">
        <v>1064</v>
      </c>
      <c r="C510" t="s">
        <v>31</v>
      </c>
      <c r="D510">
        <v>44</v>
      </c>
      <c r="E510" t="s">
        <v>76</v>
      </c>
      <c r="F510" t="s">
        <v>77</v>
      </c>
      <c r="G510" t="s">
        <v>78</v>
      </c>
      <c r="H510" s="1">
        <v>45321</v>
      </c>
    </row>
    <row r="511" spans="1:8">
      <c r="A511" t="s">
        <v>1065</v>
      </c>
      <c r="B511" t="s">
        <v>1066</v>
      </c>
      <c r="C511" t="s">
        <v>10</v>
      </c>
      <c r="D511">
        <v>34</v>
      </c>
      <c r="E511" t="s">
        <v>34</v>
      </c>
      <c r="F511" t="s">
        <v>16</v>
      </c>
      <c r="G511" t="s">
        <v>17</v>
      </c>
      <c r="H511" s="1">
        <v>44860</v>
      </c>
    </row>
    <row r="512" spans="1:8">
      <c r="A512" t="s">
        <v>1067</v>
      </c>
      <c r="B512" t="s">
        <v>1068</v>
      </c>
      <c r="C512" t="s">
        <v>31</v>
      </c>
      <c r="D512">
        <v>36</v>
      </c>
      <c r="E512" t="s">
        <v>60</v>
      </c>
      <c r="F512" t="s">
        <v>21</v>
      </c>
      <c r="G512" t="s">
        <v>22</v>
      </c>
      <c r="H512" s="1">
        <v>45748</v>
      </c>
    </row>
    <row r="513" spans="1:8">
      <c r="A513" t="s">
        <v>1069</v>
      </c>
      <c r="B513" t="s">
        <v>1070</v>
      </c>
      <c r="C513" t="s">
        <v>31</v>
      </c>
      <c r="D513">
        <v>54</v>
      </c>
      <c r="E513" t="s">
        <v>45</v>
      </c>
      <c r="F513" t="s">
        <v>46</v>
      </c>
      <c r="G513" t="s">
        <v>17</v>
      </c>
      <c r="H513" s="1">
        <v>45033</v>
      </c>
    </row>
    <row r="514" spans="1:8">
      <c r="A514" t="s">
        <v>1071</v>
      </c>
      <c r="B514" t="s">
        <v>1072</v>
      </c>
      <c r="C514" t="s">
        <v>31</v>
      </c>
      <c r="D514">
        <v>34</v>
      </c>
      <c r="E514" t="s">
        <v>112</v>
      </c>
      <c r="F514" t="s">
        <v>113</v>
      </c>
      <c r="G514" t="s">
        <v>78</v>
      </c>
      <c r="H514" s="1">
        <v>45689</v>
      </c>
    </row>
    <row r="515" spans="1:8">
      <c r="A515" t="s">
        <v>1073</v>
      </c>
      <c r="B515" t="s">
        <v>1074</v>
      </c>
      <c r="C515" t="s">
        <v>31</v>
      </c>
      <c r="D515">
        <v>47</v>
      </c>
      <c r="E515" t="s">
        <v>69</v>
      </c>
      <c r="F515" t="s">
        <v>69</v>
      </c>
      <c r="G515" t="s">
        <v>12</v>
      </c>
      <c r="H515" s="1">
        <v>45876</v>
      </c>
    </row>
    <row r="516" spans="1:8">
      <c r="A516" t="s">
        <v>1075</v>
      </c>
      <c r="B516" t="s">
        <v>1076</v>
      </c>
      <c r="C516" t="s">
        <v>10</v>
      </c>
      <c r="D516">
        <v>64</v>
      </c>
      <c r="E516" t="s">
        <v>45</v>
      </c>
      <c r="F516" t="s">
        <v>46</v>
      </c>
      <c r="G516" t="s">
        <v>17</v>
      </c>
      <c r="H516" s="1">
        <v>44908</v>
      </c>
    </row>
    <row r="517" spans="1:8">
      <c r="A517" t="s">
        <v>1077</v>
      </c>
      <c r="B517" t="s">
        <v>1078</v>
      </c>
      <c r="C517" t="s">
        <v>10</v>
      </c>
      <c r="D517">
        <v>51</v>
      </c>
      <c r="E517" t="s">
        <v>101</v>
      </c>
      <c r="F517" t="s">
        <v>21</v>
      </c>
      <c r="G517" t="s">
        <v>22</v>
      </c>
      <c r="H517" s="1">
        <v>45672</v>
      </c>
    </row>
    <row r="518" spans="1:8">
      <c r="A518" t="s">
        <v>1079</v>
      </c>
      <c r="B518" t="s">
        <v>1080</v>
      </c>
      <c r="C518" t="s">
        <v>10</v>
      </c>
      <c r="D518">
        <v>66</v>
      </c>
      <c r="E518" t="s">
        <v>15</v>
      </c>
      <c r="F518" t="s">
        <v>16</v>
      </c>
      <c r="G518" t="s">
        <v>17</v>
      </c>
      <c r="H518" s="1">
        <v>45930</v>
      </c>
    </row>
    <row r="519" spans="1:8">
      <c r="A519" t="s">
        <v>1081</v>
      </c>
      <c r="B519" t="s">
        <v>1082</v>
      </c>
      <c r="C519" t="s">
        <v>10</v>
      </c>
      <c r="D519">
        <v>22</v>
      </c>
      <c r="E519" t="s">
        <v>34</v>
      </c>
      <c r="F519" t="s">
        <v>16</v>
      </c>
      <c r="G519" t="s">
        <v>17</v>
      </c>
      <c r="H519" s="1">
        <v>45853</v>
      </c>
    </row>
    <row r="520" spans="1:8">
      <c r="A520" t="s">
        <v>1083</v>
      </c>
      <c r="B520" t="s">
        <v>1084</v>
      </c>
      <c r="C520" t="s">
        <v>31</v>
      </c>
      <c r="D520">
        <v>41</v>
      </c>
      <c r="E520" t="s">
        <v>11</v>
      </c>
      <c r="F520" t="s">
        <v>11</v>
      </c>
      <c r="G520" t="s">
        <v>12</v>
      </c>
      <c r="H520" s="1">
        <v>45009</v>
      </c>
    </row>
    <row r="521" spans="1:8">
      <c r="A521" t="s">
        <v>1085</v>
      </c>
      <c r="B521" t="s">
        <v>1086</v>
      </c>
      <c r="C521" t="s">
        <v>31</v>
      </c>
      <c r="D521">
        <v>19</v>
      </c>
      <c r="E521" t="s">
        <v>218</v>
      </c>
      <c r="F521" t="s">
        <v>219</v>
      </c>
      <c r="G521" t="s">
        <v>17</v>
      </c>
      <c r="H521" s="1">
        <v>45551</v>
      </c>
    </row>
    <row r="522" spans="1:8">
      <c r="A522" t="s">
        <v>1087</v>
      </c>
      <c r="B522" t="s">
        <v>1088</v>
      </c>
      <c r="C522" t="s">
        <v>10</v>
      </c>
      <c r="D522">
        <v>19</v>
      </c>
      <c r="E522" t="s">
        <v>218</v>
      </c>
      <c r="F522" t="s">
        <v>219</v>
      </c>
      <c r="G522" t="s">
        <v>17</v>
      </c>
      <c r="H522" s="1">
        <v>45404</v>
      </c>
    </row>
    <row r="523" spans="1:8">
      <c r="A523" t="s">
        <v>1089</v>
      </c>
      <c r="B523" t="s">
        <v>1090</v>
      </c>
      <c r="C523" t="s">
        <v>31</v>
      </c>
      <c r="D523">
        <v>19</v>
      </c>
      <c r="E523" t="s">
        <v>37</v>
      </c>
      <c r="F523" t="s">
        <v>38</v>
      </c>
      <c r="G523" t="s">
        <v>22</v>
      </c>
      <c r="H523" s="1">
        <v>45659</v>
      </c>
    </row>
    <row r="524" spans="1:8">
      <c r="A524" t="s">
        <v>1091</v>
      </c>
      <c r="B524" t="s">
        <v>1092</v>
      </c>
      <c r="C524" t="s">
        <v>10</v>
      </c>
      <c r="D524">
        <v>24</v>
      </c>
      <c r="E524" t="s">
        <v>149</v>
      </c>
      <c r="F524" t="s">
        <v>38</v>
      </c>
      <c r="G524" t="s">
        <v>22</v>
      </c>
      <c r="H524" s="1">
        <v>44929</v>
      </c>
    </row>
    <row r="525" spans="1:8">
      <c r="A525" t="s">
        <v>1093</v>
      </c>
      <c r="B525" t="s">
        <v>1094</v>
      </c>
      <c r="C525" t="s">
        <v>31</v>
      </c>
      <c r="D525">
        <v>70</v>
      </c>
      <c r="E525" t="s">
        <v>101</v>
      </c>
      <c r="F525" t="s">
        <v>21</v>
      </c>
      <c r="G525" t="s">
        <v>22</v>
      </c>
      <c r="H525" s="1">
        <v>44955</v>
      </c>
    </row>
    <row r="526" spans="1:8">
      <c r="A526" t="s">
        <v>1095</v>
      </c>
      <c r="B526" t="s">
        <v>1096</v>
      </c>
      <c r="C526" t="s">
        <v>31</v>
      </c>
      <c r="D526">
        <v>43</v>
      </c>
      <c r="E526" t="s">
        <v>149</v>
      </c>
      <c r="F526" t="s">
        <v>38</v>
      </c>
      <c r="G526" t="s">
        <v>22</v>
      </c>
      <c r="H526" s="1">
        <v>44723</v>
      </c>
    </row>
    <row r="527" spans="1:8">
      <c r="A527" t="s">
        <v>1097</v>
      </c>
      <c r="B527" t="s">
        <v>1098</v>
      </c>
      <c r="C527" t="s">
        <v>10</v>
      </c>
      <c r="D527">
        <v>37</v>
      </c>
      <c r="E527" t="s">
        <v>101</v>
      </c>
      <c r="F527" t="s">
        <v>21</v>
      </c>
      <c r="G527" t="s">
        <v>22</v>
      </c>
      <c r="H527" s="1">
        <v>45989</v>
      </c>
    </row>
    <row r="528" spans="1:8">
      <c r="A528" t="s">
        <v>1099</v>
      </c>
      <c r="B528" t="s">
        <v>1100</v>
      </c>
      <c r="C528" t="s">
        <v>10</v>
      </c>
      <c r="D528">
        <v>23</v>
      </c>
      <c r="E528" t="s">
        <v>11</v>
      </c>
      <c r="F528" t="s">
        <v>11</v>
      </c>
      <c r="G528" t="s">
        <v>12</v>
      </c>
      <c r="H528" s="1">
        <v>45900</v>
      </c>
    </row>
    <row r="529" spans="1:8">
      <c r="A529" t="s">
        <v>1101</v>
      </c>
      <c r="B529" t="s">
        <v>1102</v>
      </c>
      <c r="C529" t="s">
        <v>31</v>
      </c>
      <c r="D529">
        <v>21</v>
      </c>
      <c r="E529" t="s">
        <v>149</v>
      </c>
      <c r="F529" t="s">
        <v>38</v>
      </c>
      <c r="G529" t="s">
        <v>22</v>
      </c>
      <c r="H529" s="1">
        <v>45693</v>
      </c>
    </row>
    <row r="530" spans="1:8">
      <c r="A530" t="s">
        <v>1103</v>
      </c>
      <c r="B530" t="s">
        <v>1104</v>
      </c>
      <c r="C530" t="s">
        <v>31</v>
      </c>
      <c r="D530">
        <v>45</v>
      </c>
      <c r="E530" t="s">
        <v>63</v>
      </c>
      <c r="F530" t="s">
        <v>64</v>
      </c>
      <c r="G530" t="s">
        <v>12</v>
      </c>
      <c r="H530" s="1">
        <v>44731</v>
      </c>
    </row>
    <row r="531" spans="1:8">
      <c r="A531" t="s">
        <v>1105</v>
      </c>
      <c r="B531" t="s">
        <v>1106</v>
      </c>
      <c r="C531" t="s">
        <v>10</v>
      </c>
      <c r="D531">
        <v>51</v>
      </c>
      <c r="E531" t="s">
        <v>134</v>
      </c>
      <c r="F531" t="s">
        <v>28</v>
      </c>
      <c r="G531" t="s">
        <v>12</v>
      </c>
      <c r="H531" s="1">
        <v>45720</v>
      </c>
    </row>
    <row r="532" spans="1:8">
      <c r="A532" t="s">
        <v>1107</v>
      </c>
      <c r="B532" t="s">
        <v>1108</v>
      </c>
      <c r="C532" t="s">
        <v>31</v>
      </c>
      <c r="D532">
        <v>35</v>
      </c>
      <c r="E532" t="s">
        <v>76</v>
      </c>
      <c r="F532" t="s">
        <v>77</v>
      </c>
      <c r="G532" t="s">
        <v>78</v>
      </c>
      <c r="H532" s="1">
        <v>44994</v>
      </c>
    </row>
    <row r="533" spans="1:8">
      <c r="A533" t="s">
        <v>1109</v>
      </c>
      <c r="B533" t="s">
        <v>1110</v>
      </c>
      <c r="C533" t="s">
        <v>31</v>
      </c>
      <c r="D533">
        <v>52</v>
      </c>
      <c r="E533" t="s">
        <v>15</v>
      </c>
      <c r="F533" t="s">
        <v>16</v>
      </c>
      <c r="G533" t="s">
        <v>17</v>
      </c>
      <c r="H533" s="1">
        <v>45963</v>
      </c>
    </row>
    <row r="534" spans="1:8">
      <c r="A534" t="s">
        <v>1111</v>
      </c>
      <c r="B534" t="s">
        <v>1112</v>
      </c>
      <c r="C534" t="s">
        <v>31</v>
      </c>
      <c r="D534">
        <v>19</v>
      </c>
      <c r="E534" t="s">
        <v>20</v>
      </c>
      <c r="F534" t="s">
        <v>21</v>
      </c>
      <c r="G534" t="s">
        <v>22</v>
      </c>
      <c r="H534" s="1">
        <v>44929</v>
      </c>
    </row>
    <row r="535" spans="1:8">
      <c r="A535" t="s">
        <v>1113</v>
      </c>
      <c r="B535" t="s">
        <v>1114</v>
      </c>
      <c r="C535" t="s">
        <v>31</v>
      </c>
      <c r="D535">
        <v>22</v>
      </c>
      <c r="E535" t="s">
        <v>128</v>
      </c>
      <c r="F535" t="s">
        <v>129</v>
      </c>
      <c r="G535" t="s">
        <v>78</v>
      </c>
      <c r="H535" s="1">
        <v>44857</v>
      </c>
    </row>
    <row r="536" spans="1:8">
      <c r="A536" t="s">
        <v>1115</v>
      </c>
      <c r="B536" t="s">
        <v>1116</v>
      </c>
      <c r="C536" t="s">
        <v>31</v>
      </c>
      <c r="D536">
        <v>61</v>
      </c>
      <c r="E536" t="s">
        <v>218</v>
      </c>
      <c r="F536" t="s">
        <v>219</v>
      </c>
      <c r="G536" t="s">
        <v>17</v>
      </c>
      <c r="H536" s="1">
        <v>45054</v>
      </c>
    </row>
    <row r="537" spans="1:8">
      <c r="A537" t="s">
        <v>1117</v>
      </c>
      <c r="B537" t="s">
        <v>1118</v>
      </c>
      <c r="C537" t="s">
        <v>10</v>
      </c>
      <c r="D537">
        <v>68</v>
      </c>
      <c r="E537" t="s">
        <v>91</v>
      </c>
      <c r="F537" t="s">
        <v>92</v>
      </c>
      <c r="G537" t="s">
        <v>78</v>
      </c>
      <c r="H537" s="1">
        <v>45348</v>
      </c>
    </row>
    <row r="538" spans="1:8">
      <c r="A538" t="s">
        <v>1119</v>
      </c>
      <c r="B538" t="s">
        <v>1120</v>
      </c>
      <c r="C538" t="s">
        <v>31</v>
      </c>
      <c r="D538">
        <v>21</v>
      </c>
      <c r="E538" t="s">
        <v>87</v>
      </c>
      <c r="F538" t="s">
        <v>88</v>
      </c>
      <c r="G538" t="s">
        <v>78</v>
      </c>
      <c r="H538" s="1">
        <v>45587</v>
      </c>
    </row>
    <row r="539" spans="1:8">
      <c r="A539" t="s">
        <v>1121</v>
      </c>
      <c r="B539" t="s">
        <v>1122</v>
      </c>
      <c r="C539" t="s">
        <v>31</v>
      </c>
      <c r="D539">
        <v>56</v>
      </c>
      <c r="E539" t="s">
        <v>34</v>
      </c>
      <c r="F539" t="s">
        <v>16</v>
      </c>
      <c r="G539" t="s">
        <v>17</v>
      </c>
      <c r="H539" s="1">
        <v>44717</v>
      </c>
    </row>
    <row r="540" spans="1:8">
      <c r="A540" t="s">
        <v>1123</v>
      </c>
      <c r="B540" t="s">
        <v>1124</v>
      </c>
      <c r="C540" t="s">
        <v>31</v>
      </c>
      <c r="D540">
        <v>19</v>
      </c>
      <c r="E540" t="s">
        <v>27</v>
      </c>
      <c r="F540" t="s">
        <v>28</v>
      </c>
      <c r="G540" t="s">
        <v>12</v>
      </c>
      <c r="H540" s="1">
        <v>45374</v>
      </c>
    </row>
    <row r="541" spans="1:8">
      <c r="A541" t="s">
        <v>1125</v>
      </c>
      <c r="B541" t="s">
        <v>1126</v>
      </c>
      <c r="C541" t="s">
        <v>10</v>
      </c>
      <c r="D541">
        <v>40</v>
      </c>
      <c r="E541" t="s">
        <v>69</v>
      </c>
      <c r="F541" t="s">
        <v>69</v>
      </c>
      <c r="G541" t="s">
        <v>12</v>
      </c>
      <c r="H541" s="1">
        <v>45566</v>
      </c>
    </row>
    <row r="542" spans="1:8">
      <c r="A542" t="s">
        <v>1127</v>
      </c>
      <c r="B542" t="s">
        <v>1128</v>
      </c>
      <c r="C542" t="s">
        <v>10</v>
      </c>
      <c r="D542">
        <v>61</v>
      </c>
      <c r="E542" t="s">
        <v>149</v>
      </c>
      <c r="F542" t="s">
        <v>38</v>
      </c>
      <c r="G542" t="s">
        <v>22</v>
      </c>
      <c r="H542" s="1">
        <v>45446</v>
      </c>
    </row>
    <row r="543" spans="1:8">
      <c r="A543" t="s">
        <v>1129</v>
      </c>
      <c r="B543" t="s">
        <v>1130</v>
      </c>
      <c r="C543" t="s">
        <v>31</v>
      </c>
      <c r="D543">
        <v>69</v>
      </c>
      <c r="E543" t="s">
        <v>69</v>
      </c>
      <c r="F543" t="s">
        <v>69</v>
      </c>
      <c r="G543" t="s">
        <v>12</v>
      </c>
      <c r="H543" s="1">
        <v>44737</v>
      </c>
    </row>
    <row r="544" spans="1:8">
      <c r="A544" t="s">
        <v>1131</v>
      </c>
      <c r="B544" t="s">
        <v>1132</v>
      </c>
      <c r="C544" t="s">
        <v>31</v>
      </c>
      <c r="D544">
        <v>27</v>
      </c>
      <c r="E544" t="s">
        <v>15</v>
      </c>
      <c r="F544" t="s">
        <v>16</v>
      </c>
      <c r="G544" t="s">
        <v>17</v>
      </c>
      <c r="H544" s="1">
        <v>44730</v>
      </c>
    </row>
    <row r="545" spans="1:8">
      <c r="A545" t="s">
        <v>1133</v>
      </c>
      <c r="B545" t="s">
        <v>1134</v>
      </c>
      <c r="C545" t="s">
        <v>31</v>
      </c>
      <c r="D545">
        <v>41</v>
      </c>
      <c r="E545" t="s">
        <v>101</v>
      </c>
      <c r="F545" t="s">
        <v>21</v>
      </c>
      <c r="G545" t="s">
        <v>22</v>
      </c>
      <c r="H545" s="1">
        <v>45359</v>
      </c>
    </row>
    <row r="546" spans="1:8">
      <c r="A546" t="s">
        <v>1135</v>
      </c>
      <c r="B546" t="s">
        <v>1136</v>
      </c>
      <c r="C546" t="s">
        <v>31</v>
      </c>
      <c r="D546">
        <v>41</v>
      </c>
      <c r="E546" t="s">
        <v>15</v>
      </c>
      <c r="F546" t="s">
        <v>16</v>
      </c>
      <c r="G546" t="s">
        <v>17</v>
      </c>
      <c r="H546" s="1">
        <v>45193</v>
      </c>
    </row>
    <row r="547" spans="1:8">
      <c r="A547" t="s">
        <v>1137</v>
      </c>
      <c r="B547" t="s">
        <v>1138</v>
      </c>
      <c r="C547" t="s">
        <v>10</v>
      </c>
      <c r="D547">
        <v>29</v>
      </c>
      <c r="E547" t="s">
        <v>11</v>
      </c>
      <c r="F547" t="s">
        <v>11</v>
      </c>
      <c r="G547" t="s">
        <v>12</v>
      </c>
      <c r="H547" s="1">
        <v>44833</v>
      </c>
    </row>
    <row r="548" spans="1:8">
      <c r="A548" t="s">
        <v>1139</v>
      </c>
      <c r="B548" t="s">
        <v>1140</v>
      </c>
      <c r="C548" t="s">
        <v>31</v>
      </c>
      <c r="D548">
        <v>24</v>
      </c>
      <c r="E548" t="s">
        <v>60</v>
      </c>
      <c r="F548" t="s">
        <v>21</v>
      </c>
      <c r="G548" t="s">
        <v>22</v>
      </c>
      <c r="H548" s="1">
        <v>45698</v>
      </c>
    </row>
    <row r="549" spans="1:8">
      <c r="A549" t="s">
        <v>1141</v>
      </c>
      <c r="B549" t="s">
        <v>1142</v>
      </c>
      <c r="C549" t="s">
        <v>10</v>
      </c>
      <c r="D549">
        <v>56</v>
      </c>
      <c r="E549" t="s">
        <v>45</v>
      </c>
      <c r="F549" t="s">
        <v>46</v>
      </c>
      <c r="G549" t="s">
        <v>17</v>
      </c>
      <c r="H549" s="1">
        <v>45697</v>
      </c>
    </row>
    <row r="550" spans="1:8">
      <c r="A550" t="s">
        <v>1143</v>
      </c>
      <c r="B550" t="s">
        <v>1144</v>
      </c>
      <c r="C550" t="s">
        <v>10</v>
      </c>
      <c r="D550">
        <v>36</v>
      </c>
      <c r="E550" t="s">
        <v>134</v>
      </c>
      <c r="F550" t="s">
        <v>28</v>
      </c>
      <c r="G550" t="s">
        <v>12</v>
      </c>
      <c r="H550" s="1">
        <v>45350</v>
      </c>
    </row>
    <row r="551" spans="1:8">
      <c r="A551" t="s">
        <v>1145</v>
      </c>
      <c r="B551" t="s">
        <v>1146</v>
      </c>
      <c r="C551" t="s">
        <v>10</v>
      </c>
      <c r="D551">
        <v>54</v>
      </c>
      <c r="E551" t="s">
        <v>20</v>
      </c>
      <c r="F551" t="s">
        <v>21</v>
      </c>
      <c r="G551" t="s">
        <v>22</v>
      </c>
      <c r="H551" s="1">
        <v>45707</v>
      </c>
    </row>
    <row r="552" spans="1:8">
      <c r="A552" t="s">
        <v>1147</v>
      </c>
      <c r="B552" t="s">
        <v>1148</v>
      </c>
      <c r="C552" t="s">
        <v>10</v>
      </c>
      <c r="D552">
        <v>35</v>
      </c>
      <c r="E552" t="s">
        <v>149</v>
      </c>
      <c r="F552" t="s">
        <v>38</v>
      </c>
      <c r="G552" t="s">
        <v>22</v>
      </c>
      <c r="H552" s="1">
        <v>44909</v>
      </c>
    </row>
    <row r="553" spans="1:8">
      <c r="A553" t="s">
        <v>1149</v>
      </c>
      <c r="B553" t="s">
        <v>1150</v>
      </c>
      <c r="C553" t="s">
        <v>10</v>
      </c>
      <c r="D553">
        <v>28</v>
      </c>
      <c r="E553" t="s">
        <v>149</v>
      </c>
      <c r="F553" t="s">
        <v>38</v>
      </c>
      <c r="G553" t="s">
        <v>22</v>
      </c>
      <c r="H553" s="1">
        <v>44860</v>
      </c>
    </row>
    <row r="554" spans="1:8">
      <c r="A554" t="s">
        <v>1151</v>
      </c>
      <c r="B554" t="s">
        <v>1152</v>
      </c>
      <c r="C554" t="s">
        <v>31</v>
      </c>
      <c r="D554">
        <v>68</v>
      </c>
      <c r="E554" t="s">
        <v>149</v>
      </c>
      <c r="F554" t="s">
        <v>38</v>
      </c>
      <c r="G554" t="s">
        <v>22</v>
      </c>
      <c r="H554" s="1">
        <v>45175</v>
      </c>
    </row>
    <row r="555" spans="1:8">
      <c r="A555" t="s">
        <v>1153</v>
      </c>
      <c r="B555" t="s">
        <v>1154</v>
      </c>
      <c r="C555" t="s">
        <v>31</v>
      </c>
      <c r="D555">
        <v>56</v>
      </c>
      <c r="E555" t="s">
        <v>45</v>
      </c>
      <c r="F555" t="s">
        <v>46</v>
      </c>
      <c r="G555" t="s">
        <v>17</v>
      </c>
      <c r="H555" s="1">
        <v>45067</v>
      </c>
    </row>
    <row r="556" spans="1:8">
      <c r="A556" t="s">
        <v>1155</v>
      </c>
      <c r="B556" t="s">
        <v>1156</v>
      </c>
      <c r="C556" t="s">
        <v>10</v>
      </c>
      <c r="D556">
        <v>37</v>
      </c>
      <c r="E556" t="s">
        <v>69</v>
      </c>
      <c r="F556" t="s">
        <v>69</v>
      </c>
      <c r="G556" t="s">
        <v>12</v>
      </c>
      <c r="H556" s="1">
        <v>44781</v>
      </c>
    </row>
    <row r="557" spans="1:8">
      <c r="A557" t="s">
        <v>1157</v>
      </c>
      <c r="B557" t="s">
        <v>1158</v>
      </c>
      <c r="C557" t="s">
        <v>31</v>
      </c>
      <c r="D557">
        <v>69</v>
      </c>
      <c r="E557" t="s">
        <v>41</v>
      </c>
      <c r="F557" t="s">
        <v>42</v>
      </c>
      <c r="G557" t="s">
        <v>17</v>
      </c>
      <c r="H557" s="1">
        <v>45242</v>
      </c>
    </row>
    <row r="558" spans="1:8">
      <c r="A558" t="s">
        <v>1159</v>
      </c>
      <c r="B558" t="s">
        <v>1160</v>
      </c>
      <c r="C558" t="s">
        <v>31</v>
      </c>
      <c r="D558">
        <v>70</v>
      </c>
      <c r="E558" t="s">
        <v>112</v>
      </c>
      <c r="F558" t="s">
        <v>113</v>
      </c>
      <c r="G558" t="s">
        <v>78</v>
      </c>
      <c r="H558" s="1">
        <v>45247</v>
      </c>
    </row>
    <row r="559" spans="1:8">
      <c r="A559" t="s">
        <v>1161</v>
      </c>
      <c r="B559" t="s">
        <v>1162</v>
      </c>
      <c r="C559" t="s">
        <v>31</v>
      </c>
      <c r="D559">
        <v>38</v>
      </c>
      <c r="E559" t="s">
        <v>128</v>
      </c>
      <c r="F559" t="s">
        <v>129</v>
      </c>
      <c r="G559" t="s">
        <v>78</v>
      </c>
      <c r="H559" s="1">
        <v>44840</v>
      </c>
    </row>
    <row r="560" spans="1:8">
      <c r="A560" t="s">
        <v>1163</v>
      </c>
      <c r="B560" t="s">
        <v>1164</v>
      </c>
      <c r="C560" t="s">
        <v>31</v>
      </c>
      <c r="D560">
        <v>29</v>
      </c>
      <c r="E560" t="s">
        <v>63</v>
      </c>
      <c r="F560" t="s">
        <v>64</v>
      </c>
      <c r="G560" t="s">
        <v>12</v>
      </c>
      <c r="H560" s="1">
        <v>45543</v>
      </c>
    </row>
    <row r="561" spans="1:8">
      <c r="A561" t="s">
        <v>1165</v>
      </c>
      <c r="B561" t="s">
        <v>1166</v>
      </c>
      <c r="C561" t="s">
        <v>31</v>
      </c>
      <c r="D561">
        <v>54</v>
      </c>
      <c r="E561" t="s">
        <v>91</v>
      </c>
      <c r="F561" t="s">
        <v>92</v>
      </c>
      <c r="G561" t="s">
        <v>78</v>
      </c>
      <c r="H561" s="1">
        <v>45158</v>
      </c>
    </row>
    <row r="562" spans="1:8">
      <c r="A562" t="s">
        <v>1167</v>
      </c>
      <c r="B562" t="s">
        <v>1168</v>
      </c>
      <c r="C562" t="s">
        <v>31</v>
      </c>
      <c r="D562">
        <v>70</v>
      </c>
      <c r="E562" t="s">
        <v>134</v>
      </c>
      <c r="F562" t="s">
        <v>28</v>
      </c>
      <c r="G562" t="s">
        <v>12</v>
      </c>
      <c r="H562" s="1">
        <v>45332</v>
      </c>
    </row>
    <row r="563" spans="1:8">
      <c r="A563" t="s">
        <v>1169</v>
      </c>
      <c r="B563" t="s">
        <v>1170</v>
      </c>
      <c r="C563" t="s">
        <v>10</v>
      </c>
      <c r="D563">
        <v>55</v>
      </c>
      <c r="E563" t="s">
        <v>134</v>
      </c>
      <c r="F563" t="s">
        <v>28</v>
      </c>
      <c r="G563" t="s">
        <v>12</v>
      </c>
      <c r="H563" s="1">
        <v>44795</v>
      </c>
    </row>
    <row r="564" spans="1:8">
      <c r="A564" t="s">
        <v>1171</v>
      </c>
      <c r="B564" t="s">
        <v>1172</v>
      </c>
      <c r="C564" t="s">
        <v>10</v>
      </c>
      <c r="D564">
        <v>64</v>
      </c>
      <c r="E564" t="s">
        <v>76</v>
      </c>
      <c r="F564" t="s">
        <v>77</v>
      </c>
      <c r="G564" t="s">
        <v>78</v>
      </c>
      <c r="H564" s="1">
        <v>45958</v>
      </c>
    </row>
    <row r="565" spans="1:8">
      <c r="A565" t="s">
        <v>1173</v>
      </c>
      <c r="B565" t="s">
        <v>1174</v>
      </c>
      <c r="C565" t="s">
        <v>31</v>
      </c>
      <c r="D565">
        <v>62</v>
      </c>
      <c r="E565" t="s">
        <v>101</v>
      </c>
      <c r="F565" t="s">
        <v>21</v>
      </c>
      <c r="G565" t="s">
        <v>22</v>
      </c>
      <c r="H565" s="1">
        <v>45459</v>
      </c>
    </row>
    <row r="566" spans="1:8">
      <c r="A566" t="s">
        <v>1175</v>
      </c>
      <c r="B566" t="s">
        <v>1176</v>
      </c>
      <c r="C566" t="s">
        <v>31</v>
      </c>
      <c r="D566">
        <v>26</v>
      </c>
      <c r="E566" t="s">
        <v>41</v>
      </c>
      <c r="F566" t="s">
        <v>42</v>
      </c>
      <c r="G566" t="s">
        <v>17</v>
      </c>
      <c r="H566" s="1">
        <v>45940</v>
      </c>
    </row>
    <row r="567" spans="1:8">
      <c r="A567" t="s">
        <v>1177</v>
      </c>
      <c r="B567" t="s">
        <v>1178</v>
      </c>
      <c r="C567" t="s">
        <v>10</v>
      </c>
      <c r="D567">
        <v>63</v>
      </c>
      <c r="E567" t="s">
        <v>63</v>
      </c>
      <c r="F567" t="s">
        <v>64</v>
      </c>
      <c r="G567" t="s">
        <v>12</v>
      </c>
      <c r="H567" s="1">
        <v>45079</v>
      </c>
    </row>
    <row r="568" spans="1:8">
      <c r="A568" t="s">
        <v>1179</v>
      </c>
      <c r="B568" t="s">
        <v>1180</v>
      </c>
      <c r="C568" t="s">
        <v>31</v>
      </c>
      <c r="D568">
        <v>56</v>
      </c>
      <c r="E568" t="s">
        <v>149</v>
      </c>
      <c r="F568" t="s">
        <v>38</v>
      </c>
      <c r="G568" t="s">
        <v>22</v>
      </c>
      <c r="H568" s="1">
        <v>44713</v>
      </c>
    </row>
    <row r="569" spans="1:8">
      <c r="A569" t="s">
        <v>1181</v>
      </c>
      <c r="B569" t="s">
        <v>1182</v>
      </c>
      <c r="C569" t="s">
        <v>31</v>
      </c>
      <c r="D569">
        <v>52</v>
      </c>
      <c r="E569" t="s">
        <v>149</v>
      </c>
      <c r="F569" t="s">
        <v>38</v>
      </c>
      <c r="G569" t="s">
        <v>22</v>
      </c>
      <c r="H569" s="1">
        <v>45656</v>
      </c>
    </row>
    <row r="570" spans="1:8">
      <c r="A570" t="s">
        <v>1183</v>
      </c>
      <c r="B570" t="s">
        <v>1184</v>
      </c>
      <c r="C570" t="s">
        <v>10</v>
      </c>
      <c r="D570">
        <v>24</v>
      </c>
      <c r="E570" t="s">
        <v>45</v>
      </c>
      <c r="F570" t="s">
        <v>46</v>
      </c>
      <c r="G570" t="s">
        <v>17</v>
      </c>
      <c r="H570" s="1">
        <v>45998</v>
      </c>
    </row>
    <row r="571" spans="1:8">
      <c r="A571" t="s">
        <v>1185</v>
      </c>
      <c r="B571" t="s">
        <v>1186</v>
      </c>
      <c r="C571" t="s">
        <v>10</v>
      </c>
      <c r="D571">
        <v>54</v>
      </c>
      <c r="E571" t="s">
        <v>134</v>
      </c>
      <c r="F571" t="s">
        <v>28</v>
      </c>
      <c r="G571" t="s">
        <v>12</v>
      </c>
      <c r="H571" s="1">
        <v>44902</v>
      </c>
    </row>
    <row r="572" spans="1:8">
      <c r="A572" t="s">
        <v>1187</v>
      </c>
      <c r="B572" t="s">
        <v>1188</v>
      </c>
      <c r="C572" t="s">
        <v>31</v>
      </c>
      <c r="D572">
        <v>24</v>
      </c>
      <c r="E572" t="s">
        <v>112</v>
      </c>
      <c r="F572" t="s">
        <v>113</v>
      </c>
      <c r="G572" t="s">
        <v>78</v>
      </c>
      <c r="H572" s="1">
        <v>45241</v>
      </c>
    </row>
    <row r="573" spans="1:8">
      <c r="A573" t="s">
        <v>1189</v>
      </c>
      <c r="B573" t="s">
        <v>1190</v>
      </c>
      <c r="C573" t="s">
        <v>10</v>
      </c>
      <c r="D573">
        <v>46</v>
      </c>
      <c r="E573" t="s">
        <v>45</v>
      </c>
      <c r="F573" t="s">
        <v>46</v>
      </c>
      <c r="G573" t="s">
        <v>17</v>
      </c>
      <c r="H573" s="1">
        <v>45016</v>
      </c>
    </row>
    <row r="574" spans="1:8">
      <c r="A574" t="s">
        <v>1191</v>
      </c>
      <c r="B574" t="s">
        <v>1192</v>
      </c>
      <c r="C574" t="s">
        <v>10</v>
      </c>
      <c r="D574">
        <v>40</v>
      </c>
      <c r="E574" t="s">
        <v>149</v>
      </c>
      <c r="F574" t="s">
        <v>38</v>
      </c>
      <c r="G574" t="s">
        <v>22</v>
      </c>
      <c r="H574" s="1">
        <v>45953</v>
      </c>
    </row>
    <row r="575" spans="1:8">
      <c r="A575" t="s">
        <v>1193</v>
      </c>
      <c r="B575" t="s">
        <v>1194</v>
      </c>
      <c r="C575" t="s">
        <v>31</v>
      </c>
      <c r="D575">
        <v>44</v>
      </c>
      <c r="E575" t="s">
        <v>112</v>
      </c>
      <c r="F575" t="s">
        <v>113</v>
      </c>
      <c r="G575" t="s">
        <v>78</v>
      </c>
      <c r="H575" s="1">
        <v>44776</v>
      </c>
    </row>
    <row r="576" spans="1:8">
      <c r="A576" t="s">
        <v>1195</v>
      </c>
      <c r="B576" t="s">
        <v>1196</v>
      </c>
      <c r="C576" t="s">
        <v>10</v>
      </c>
      <c r="D576">
        <v>40</v>
      </c>
      <c r="E576" t="s">
        <v>87</v>
      </c>
      <c r="F576" t="s">
        <v>88</v>
      </c>
      <c r="G576" t="s">
        <v>78</v>
      </c>
      <c r="H576" s="1">
        <v>44799</v>
      </c>
    </row>
    <row r="577" spans="1:8">
      <c r="A577" t="s">
        <v>1197</v>
      </c>
      <c r="B577" t="s">
        <v>1198</v>
      </c>
      <c r="C577" t="s">
        <v>31</v>
      </c>
      <c r="D577">
        <v>40</v>
      </c>
      <c r="E577" t="s">
        <v>149</v>
      </c>
      <c r="F577" t="s">
        <v>38</v>
      </c>
      <c r="G577" t="s">
        <v>22</v>
      </c>
      <c r="H577" s="1">
        <v>44985</v>
      </c>
    </row>
    <row r="578" spans="1:8">
      <c r="A578" t="s">
        <v>1199</v>
      </c>
      <c r="B578" t="s">
        <v>1200</v>
      </c>
      <c r="C578" t="s">
        <v>31</v>
      </c>
      <c r="D578">
        <v>38</v>
      </c>
      <c r="E578" t="s">
        <v>149</v>
      </c>
      <c r="F578" t="s">
        <v>38</v>
      </c>
      <c r="G578" t="s">
        <v>22</v>
      </c>
      <c r="H578" s="1">
        <v>45988</v>
      </c>
    </row>
    <row r="579" spans="1:8">
      <c r="A579" t="s">
        <v>1201</v>
      </c>
      <c r="B579" t="s">
        <v>1202</v>
      </c>
      <c r="C579" t="s">
        <v>10</v>
      </c>
      <c r="D579">
        <v>19</v>
      </c>
      <c r="E579" t="s">
        <v>15</v>
      </c>
      <c r="F579" t="s">
        <v>16</v>
      </c>
      <c r="G579" t="s">
        <v>17</v>
      </c>
      <c r="H579" s="1">
        <v>46017</v>
      </c>
    </row>
    <row r="580" spans="1:8">
      <c r="A580" t="s">
        <v>1203</v>
      </c>
      <c r="B580" t="s">
        <v>1204</v>
      </c>
      <c r="C580" t="s">
        <v>10</v>
      </c>
      <c r="D580">
        <v>65</v>
      </c>
      <c r="E580" t="s">
        <v>87</v>
      </c>
      <c r="F580" t="s">
        <v>88</v>
      </c>
      <c r="G580" t="s">
        <v>78</v>
      </c>
      <c r="H580" s="1">
        <v>45948</v>
      </c>
    </row>
    <row r="581" spans="1:8">
      <c r="A581" t="s">
        <v>1205</v>
      </c>
      <c r="B581" t="s">
        <v>1206</v>
      </c>
      <c r="C581" t="s">
        <v>10</v>
      </c>
      <c r="D581">
        <v>39</v>
      </c>
      <c r="E581" t="s">
        <v>34</v>
      </c>
      <c r="F581" t="s">
        <v>16</v>
      </c>
      <c r="G581" t="s">
        <v>17</v>
      </c>
      <c r="H581" s="1">
        <v>45692</v>
      </c>
    </row>
    <row r="582" spans="1:8">
      <c r="A582" t="s">
        <v>1207</v>
      </c>
      <c r="B582" t="s">
        <v>1208</v>
      </c>
      <c r="C582" t="s">
        <v>31</v>
      </c>
      <c r="D582">
        <v>58</v>
      </c>
      <c r="E582" t="s">
        <v>149</v>
      </c>
      <c r="F582" t="s">
        <v>38</v>
      </c>
      <c r="G582" t="s">
        <v>22</v>
      </c>
      <c r="H582" s="1">
        <v>45036</v>
      </c>
    </row>
    <row r="583" spans="1:8">
      <c r="A583" t="s">
        <v>1209</v>
      </c>
      <c r="B583" t="s">
        <v>1210</v>
      </c>
      <c r="C583" t="s">
        <v>10</v>
      </c>
      <c r="D583">
        <v>65</v>
      </c>
      <c r="E583" t="s">
        <v>41</v>
      </c>
      <c r="F583" t="s">
        <v>42</v>
      </c>
      <c r="G583" t="s">
        <v>17</v>
      </c>
      <c r="H583" s="1">
        <v>45372</v>
      </c>
    </row>
    <row r="584" spans="1:8">
      <c r="A584" t="s">
        <v>1211</v>
      </c>
      <c r="B584" t="s">
        <v>1212</v>
      </c>
      <c r="C584" t="s">
        <v>31</v>
      </c>
      <c r="D584">
        <v>42</v>
      </c>
      <c r="E584" t="s">
        <v>63</v>
      </c>
      <c r="F584" t="s">
        <v>64</v>
      </c>
      <c r="G584" t="s">
        <v>12</v>
      </c>
      <c r="H584" s="1">
        <v>45482</v>
      </c>
    </row>
    <row r="585" spans="1:8">
      <c r="A585" t="s">
        <v>1213</v>
      </c>
      <c r="B585" t="s">
        <v>1214</v>
      </c>
      <c r="C585" t="s">
        <v>31</v>
      </c>
      <c r="D585">
        <v>66</v>
      </c>
      <c r="E585" t="s">
        <v>34</v>
      </c>
      <c r="F585" t="s">
        <v>16</v>
      </c>
      <c r="G585" t="s">
        <v>17</v>
      </c>
      <c r="H585" s="1">
        <v>44983</v>
      </c>
    </row>
    <row r="586" spans="1:8">
      <c r="A586" t="s">
        <v>1215</v>
      </c>
      <c r="B586" t="s">
        <v>1216</v>
      </c>
      <c r="C586" t="s">
        <v>10</v>
      </c>
      <c r="D586">
        <v>69</v>
      </c>
      <c r="E586" t="s">
        <v>11</v>
      </c>
      <c r="F586" t="s">
        <v>11</v>
      </c>
      <c r="G586" t="s">
        <v>12</v>
      </c>
      <c r="H586" s="1">
        <v>45744</v>
      </c>
    </row>
    <row r="587" spans="1:8">
      <c r="A587" t="s">
        <v>1217</v>
      </c>
      <c r="B587" t="s">
        <v>1218</v>
      </c>
      <c r="C587" t="s">
        <v>31</v>
      </c>
      <c r="D587">
        <v>30</v>
      </c>
      <c r="E587" t="s">
        <v>76</v>
      </c>
      <c r="F587" t="s">
        <v>77</v>
      </c>
      <c r="G587" t="s">
        <v>78</v>
      </c>
      <c r="H587" s="1">
        <v>45311</v>
      </c>
    </row>
    <row r="588" spans="1:8">
      <c r="A588" t="s">
        <v>1219</v>
      </c>
      <c r="B588" t="s">
        <v>717</v>
      </c>
      <c r="C588" t="s">
        <v>31</v>
      </c>
      <c r="D588">
        <v>51</v>
      </c>
      <c r="E588" t="s">
        <v>37</v>
      </c>
      <c r="F588" t="s">
        <v>38</v>
      </c>
      <c r="G588" t="s">
        <v>22</v>
      </c>
      <c r="H588" s="1">
        <v>45935</v>
      </c>
    </row>
    <row r="589" spans="1:8">
      <c r="A589" t="s">
        <v>1220</v>
      </c>
      <c r="B589" t="s">
        <v>1221</v>
      </c>
      <c r="C589" t="s">
        <v>31</v>
      </c>
      <c r="D589">
        <v>57</v>
      </c>
      <c r="E589" t="s">
        <v>91</v>
      </c>
      <c r="F589" t="s">
        <v>92</v>
      </c>
      <c r="G589" t="s">
        <v>78</v>
      </c>
      <c r="H589" s="1">
        <v>45784</v>
      </c>
    </row>
    <row r="590" spans="1:8">
      <c r="A590" t="s">
        <v>1222</v>
      </c>
      <c r="B590" t="s">
        <v>1223</v>
      </c>
      <c r="C590" t="s">
        <v>31</v>
      </c>
      <c r="D590">
        <v>47</v>
      </c>
      <c r="E590" t="s">
        <v>20</v>
      </c>
      <c r="F590" t="s">
        <v>21</v>
      </c>
      <c r="G590" t="s">
        <v>22</v>
      </c>
      <c r="H590" s="1">
        <v>45274</v>
      </c>
    </row>
    <row r="591" spans="1:8">
      <c r="A591" t="s">
        <v>1224</v>
      </c>
      <c r="B591" t="s">
        <v>1225</v>
      </c>
      <c r="C591" t="s">
        <v>10</v>
      </c>
      <c r="D591">
        <v>61</v>
      </c>
      <c r="E591" t="s">
        <v>134</v>
      </c>
      <c r="F591" t="s">
        <v>28</v>
      </c>
      <c r="G591" t="s">
        <v>12</v>
      </c>
      <c r="H591" s="1">
        <v>45820</v>
      </c>
    </row>
    <row r="592" spans="1:8">
      <c r="A592" t="s">
        <v>1226</v>
      </c>
      <c r="B592" t="s">
        <v>1227</v>
      </c>
      <c r="C592" t="s">
        <v>31</v>
      </c>
      <c r="D592">
        <v>25</v>
      </c>
      <c r="E592" t="s">
        <v>15</v>
      </c>
      <c r="F592" t="s">
        <v>16</v>
      </c>
      <c r="G592" t="s">
        <v>17</v>
      </c>
      <c r="H592" s="1">
        <v>45050</v>
      </c>
    </row>
    <row r="593" spans="1:8">
      <c r="A593" t="s">
        <v>1228</v>
      </c>
      <c r="B593" t="s">
        <v>1229</v>
      </c>
      <c r="C593" t="s">
        <v>31</v>
      </c>
      <c r="D593">
        <v>44</v>
      </c>
      <c r="E593" t="s">
        <v>34</v>
      </c>
      <c r="F593" t="s">
        <v>16</v>
      </c>
      <c r="G593" t="s">
        <v>17</v>
      </c>
      <c r="H593" s="1">
        <v>45608</v>
      </c>
    </row>
    <row r="594" spans="1:8">
      <c r="A594" t="s">
        <v>1230</v>
      </c>
      <c r="B594" t="s">
        <v>1231</v>
      </c>
      <c r="C594" t="s">
        <v>31</v>
      </c>
      <c r="D594">
        <v>29</v>
      </c>
      <c r="E594" t="s">
        <v>27</v>
      </c>
      <c r="F594" t="s">
        <v>28</v>
      </c>
      <c r="G594" t="s">
        <v>12</v>
      </c>
      <c r="H594" s="1">
        <v>45347</v>
      </c>
    </row>
    <row r="595" spans="1:8">
      <c r="A595" t="s">
        <v>1232</v>
      </c>
      <c r="B595" t="s">
        <v>1233</v>
      </c>
      <c r="C595" t="s">
        <v>10</v>
      </c>
      <c r="D595">
        <v>53</v>
      </c>
      <c r="E595" t="s">
        <v>60</v>
      </c>
      <c r="F595" t="s">
        <v>21</v>
      </c>
      <c r="G595" t="s">
        <v>22</v>
      </c>
      <c r="H595" s="1">
        <v>45982</v>
      </c>
    </row>
    <row r="596" spans="1:8">
      <c r="A596" t="s">
        <v>1234</v>
      </c>
      <c r="B596" t="s">
        <v>1235</v>
      </c>
      <c r="C596" t="s">
        <v>10</v>
      </c>
      <c r="D596">
        <v>38</v>
      </c>
      <c r="E596" t="s">
        <v>45</v>
      </c>
      <c r="F596" t="s">
        <v>46</v>
      </c>
      <c r="G596" t="s">
        <v>17</v>
      </c>
      <c r="H596" s="1">
        <v>44849</v>
      </c>
    </row>
    <row r="597" spans="1:8">
      <c r="A597" t="s">
        <v>1236</v>
      </c>
      <c r="B597" t="s">
        <v>1237</v>
      </c>
      <c r="C597" t="s">
        <v>31</v>
      </c>
      <c r="D597">
        <v>18</v>
      </c>
      <c r="E597" t="s">
        <v>128</v>
      </c>
      <c r="F597" t="s">
        <v>129</v>
      </c>
      <c r="G597" t="s">
        <v>78</v>
      </c>
      <c r="H597" s="1">
        <v>44671</v>
      </c>
    </row>
    <row r="598" spans="1:8">
      <c r="A598" t="s">
        <v>1238</v>
      </c>
      <c r="B598" t="s">
        <v>1239</v>
      </c>
      <c r="C598" t="s">
        <v>31</v>
      </c>
      <c r="D598">
        <v>44</v>
      </c>
      <c r="E598" t="s">
        <v>101</v>
      </c>
      <c r="F598" t="s">
        <v>21</v>
      </c>
      <c r="G598" t="s">
        <v>22</v>
      </c>
      <c r="H598" s="1">
        <v>45348</v>
      </c>
    </row>
    <row r="599" spans="1:8">
      <c r="A599" t="s">
        <v>1240</v>
      </c>
      <c r="B599" t="s">
        <v>1241</v>
      </c>
      <c r="C599" t="s">
        <v>31</v>
      </c>
      <c r="D599">
        <v>49</v>
      </c>
      <c r="E599" t="s">
        <v>69</v>
      </c>
      <c r="F599" t="s">
        <v>69</v>
      </c>
      <c r="G599" t="s">
        <v>12</v>
      </c>
      <c r="H599" s="1">
        <v>46016</v>
      </c>
    </row>
    <row r="600" spans="1:8">
      <c r="A600" t="s">
        <v>1242</v>
      </c>
      <c r="B600" t="s">
        <v>1243</v>
      </c>
      <c r="C600" t="s">
        <v>10</v>
      </c>
      <c r="D600">
        <v>36</v>
      </c>
      <c r="E600" t="s">
        <v>218</v>
      </c>
      <c r="F600" t="s">
        <v>219</v>
      </c>
      <c r="G600" t="s">
        <v>17</v>
      </c>
      <c r="H600" s="1">
        <v>44625</v>
      </c>
    </row>
    <row r="601" spans="1:8">
      <c r="A601" t="s">
        <v>1244</v>
      </c>
      <c r="B601" t="s">
        <v>1245</v>
      </c>
      <c r="C601" t="s">
        <v>31</v>
      </c>
      <c r="D601">
        <v>28</v>
      </c>
      <c r="E601" t="s">
        <v>34</v>
      </c>
      <c r="F601" t="s">
        <v>16</v>
      </c>
      <c r="G601" t="s">
        <v>17</v>
      </c>
      <c r="H601" s="1">
        <v>45663</v>
      </c>
    </row>
    <row r="602" spans="1:8">
      <c r="A602" t="s">
        <v>1246</v>
      </c>
      <c r="B602" t="s">
        <v>1247</v>
      </c>
      <c r="C602" t="s">
        <v>10</v>
      </c>
      <c r="D602">
        <v>54</v>
      </c>
      <c r="E602" t="s">
        <v>27</v>
      </c>
      <c r="F602" t="s">
        <v>28</v>
      </c>
      <c r="G602" t="s">
        <v>12</v>
      </c>
      <c r="H602" s="1">
        <v>45576</v>
      </c>
    </row>
    <row r="603" spans="1:8">
      <c r="A603" t="s">
        <v>1248</v>
      </c>
      <c r="B603" t="s">
        <v>1249</v>
      </c>
      <c r="C603" t="s">
        <v>10</v>
      </c>
      <c r="D603">
        <v>66</v>
      </c>
      <c r="E603" t="s">
        <v>218</v>
      </c>
      <c r="F603" t="s">
        <v>219</v>
      </c>
      <c r="G603" t="s">
        <v>17</v>
      </c>
      <c r="H603" s="1">
        <v>45313</v>
      </c>
    </row>
    <row r="604" spans="1:8">
      <c r="A604" t="s">
        <v>1250</v>
      </c>
      <c r="B604" t="s">
        <v>1251</v>
      </c>
      <c r="C604" t="s">
        <v>31</v>
      </c>
      <c r="D604">
        <v>24</v>
      </c>
      <c r="E604" t="s">
        <v>27</v>
      </c>
      <c r="F604" t="s">
        <v>28</v>
      </c>
      <c r="G604" t="s">
        <v>12</v>
      </c>
      <c r="H604" s="1">
        <v>45009</v>
      </c>
    </row>
    <row r="605" spans="1:8">
      <c r="A605" t="s">
        <v>1252</v>
      </c>
      <c r="B605" t="s">
        <v>1253</v>
      </c>
      <c r="C605" t="s">
        <v>10</v>
      </c>
      <c r="D605">
        <v>46</v>
      </c>
      <c r="E605" t="s">
        <v>63</v>
      </c>
      <c r="F605" t="s">
        <v>64</v>
      </c>
      <c r="G605" t="s">
        <v>12</v>
      </c>
      <c r="H605" s="1">
        <v>45171</v>
      </c>
    </row>
    <row r="606" spans="1:8">
      <c r="A606" t="s">
        <v>1254</v>
      </c>
      <c r="B606" t="s">
        <v>1255</v>
      </c>
      <c r="C606" t="s">
        <v>10</v>
      </c>
      <c r="D606">
        <v>67</v>
      </c>
      <c r="E606" t="s">
        <v>15</v>
      </c>
      <c r="F606" t="s">
        <v>16</v>
      </c>
      <c r="G606" t="s">
        <v>17</v>
      </c>
      <c r="H606" s="1">
        <v>45461</v>
      </c>
    </row>
    <row r="607" spans="1:8">
      <c r="A607" t="s">
        <v>1256</v>
      </c>
      <c r="B607" t="s">
        <v>1257</v>
      </c>
      <c r="C607" t="s">
        <v>31</v>
      </c>
      <c r="D607">
        <v>63</v>
      </c>
      <c r="E607" t="s">
        <v>63</v>
      </c>
      <c r="F607" t="s">
        <v>64</v>
      </c>
      <c r="G607" t="s">
        <v>12</v>
      </c>
      <c r="H607" s="1">
        <v>45766</v>
      </c>
    </row>
    <row r="608" spans="1:8">
      <c r="A608" t="s">
        <v>1258</v>
      </c>
      <c r="B608" t="s">
        <v>1259</v>
      </c>
      <c r="C608" t="s">
        <v>10</v>
      </c>
      <c r="D608">
        <v>68</v>
      </c>
      <c r="E608" t="s">
        <v>69</v>
      </c>
      <c r="F608" t="s">
        <v>69</v>
      </c>
      <c r="G608" t="s">
        <v>12</v>
      </c>
      <c r="H608" s="1">
        <v>44901</v>
      </c>
    </row>
    <row r="609" spans="1:8">
      <c r="A609" t="s">
        <v>1260</v>
      </c>
      <c r="B609" t="s">
        <v>1261</v>
      </c>
      <c r="C609" t="s">
        <v>31</v>
      </c>
      <c r="D609">
        <v>52</v>
      </c>
      <c r="E609" t="s">
        <v>34</v>
      </c>
      <c r="F609" t="s">
        <v>16</v>
      </c>
      <c r="G609" t="s">
        <v>17</v>
      </c>
      <c r="H609" s="1">
        <v>44683</v>
      </c>
    </row>
    <row r="610" spans="1:8">
      <c r="A610" t="s">
        <v>1262</v>
      </c>
      <c r="B610" t="s">
        <v>1263</v>
      </c>
      <c r="C610" t="s">
        <v>31</v>
      </c>
      <c r="D610">
        <v>63</v>
      </c>
      <c r="E610" t="s">
        <v>218</v>
      </c>
      <c r="F610" t="s">
        <v>219</v>
      </c>
      <c r="G610" t="s">
        <v>17</v>
      </c>
      <c r="H610" s="1">
        <v>44906</v>
      </c>
    </row>
    <row r="611" spans="1:8">
      <c r="A611" t="s">
        <v>1264</v>
      </c>
      <c r="B611" t="s">
        <v>1265</v>
      </c>
      <c r="C611" t="s">
        <v>10</v>
      </c>
      <c r="D611">
        <v>26</v>
      </c>
      <c r="E611" t="s">
        <v>218</v>
      </c>
      <c r="F611" t="s">
        <v>219</v>
      </c>
      <c r="G611" t="s">
        <v>17</v>
      </c>
      <c r="H611" s="1">
        <v>45109</v>
      </c>
    </row>
    <row r="612" spans="1:8">
      <c r="A612" t="s">
        <v>1266</v>
      </c>
      <c r="B612" t="s">
        <v>1267</v>
      </c>
      <c r="C612" t="s">
        <v>31</v>
      </c>
      <c r="D612">
        <v>59</v>
      </c>
      <c r="E612" t="s">
        <v>112</v>
      </c>
      <c r="F612" t="s">
        <v>113</v>
      </c>
      <c r="G612" t="s">
        <v>78</v>
      </c>
      <c r="H612" s="1">
        <v>44683</v>
      </c>
    </row>
    <row r="613" spans="1:8">
      <c r="A613" t="s">
        <v>1268</v>
      </c>
      <c r="B613" t="s">
        <v>1269</v>
      </c>
      <c r="C613" t="s">
        <v>10</v>
      </c>
      <c r="D613">
        <v>63</v>
      </c>
      <c r="E613" t="s">
        <v>34</v>
      </c>
      <c r="F613" t="s">
        <v>16</v>
      </c>
      <c r="G613" t="s">
        <v>17</v>
      </c>
      <c r="H613" s="1">
        <v>45073</v>
      </c>
    </row>
    <row r="614" spans="1:8">
      <c r="A614" t="s">
        <v>1270</v>
      </c>
      <c r="B614" t="s">
        <v>1271</v>
      </c>
      <c r="C614" t="s">
        <v>31</v>
      </c>
      <c r="D614">
        <v>49</v>
      </c>
      <c r="E614" t="s">
        <v>101</v>
      </c>
      <c r="F614" t="s">
        <v>21</v>
      </c>
      <c r="G614" t="s">
        <v>22</v>
      </c>
      <c r="H614" s="1">
        <v>45946</v>
      </c>
    </row>
    <row r="615" spans="1:8">
      <c r="A615" t="s">
        <v>1272</v>
      </c>
      <c r="B615" t="s">
        <v>1273</v>
      </c>
      <c r="C615" t="s">
        <v>31</v>
      </c>
      <c r="D615">
        <v>42</v>
      </c>
      <c r="E615" t="s">
        <v>45</v>
      </c>
      <c r="F615" t="s">
        <v>46</v>
      </c>
      <c r="G615" t="s">
        <v>17</v>
      </c>
      <c r="H615" s="1">
        <v>45847</v>
      </c>
    </row>
    <row r="616" spans="1:8">
      <c r="A616" t="s">
        <v>1274</v>
      </c>
      <c r="B616" t="s">
        <v>1275</v>
      </c>
      <c r="C616" t="s">
        <v>31</v>
      </c>
      <c r="D616">
        <v>62</v>
      </c>
      <c r="E616" t="s">
        <v>20</v>
      </c>
      <c r="F616" t="s">
        <v>21</v>
      </c>
      <c r="G616" t="s">
        <v>22</v>
      </c>
      <c r="H616" s="1">
        <v>45387</v>
      </c>
    </row>
    <row r="617" spans="1:8">
      <c r="A617" t="s">
        <v>1276</v>
      </c>
      <c r="B617" t="s">
        <v>1277</v>
      </c>
      <c r="C617" t="s">
        <v>31</v>
      </c>
      <c r="D617">
        <v>38</v>
      </c>
      <c r="E617" t="s">
        <v>91</v>
      </c>
      <c r="F617" t="s">
        <v>92</v>
      </c>
      <c r="G617" t="s">
        <v>78</v>
      </c>
      <c r="H617" s="1">
        <v>45493</v>
      </c>
    </row>
    <row r="618" spans="1:8">
      <c r="A618" t="s">
        <v>1278</v>
      </c>
      <c r="B618" t="s">
        <v>1279</v>
      </c>
      <c r="C618" t="s">
        <v>31</v>
      </c>
      <c r="D618">
        <v>22</v>
      </c>
      <c r="E618" t="s">
        <v>11</v>
      </c>
      <c r="F618" t="s">
        <v>11</v>
      </c>
      <c r="G618" t="s">
        <v>12</v>
      </c>
      <c r="H618" s="1">
        <v>45500</v>
      </c>
    </row>
    <row r="619" spans="1:8">
      <c r="A619" t="s">
        <v>1280</v>
      </c>
      <c r="B619" t="s">
        <v>1281</v>
      </c>
      <c r="C619" t="s">
        <v>31</v>
      </c>
      <c r="D619">
        <v>70</v>
      </c>
      <c r="E619" t="s">
        <v>69</v>
      </c>
      <c r="F619" t="s">
        <v>69</v>
      </c>
      <c r="G619" t="s">
        <v>12</v>
      </c>
      <c r="H619" s="1">
        <v>45008</v>
      </c>
    </row>
    <row r="620" spans="1:8">
      <c r="A620" t="s">
        <v>1282</v>
      </c>
      <c r="B620" t="s">
        <v>1283</v>
      </c>
      <c r="C620" t="s">
        <v>31</v>
      </c>
      <c r="D620">
        <v>39</v>
      </c>
      <c r="E620" t="s">
        <v>45</v>
      </c>
      <c r="F620" t="s">
        <v>46</v>
      </c>
      <c r="G620" t="s">
        <v>17</v>
      </c>
      <c r="H620" s="1">
        <v>45223</v>
      </c>
    </row>
    <row r="621" spans="1:8">
      <c r="A621" t="s">
        <v>1284</v>
      </c>
      <c r="B621" t="s">
        <v>1285</v>
      </c>
      <c r="C621" t="s">
        <v>31</v>
      </c>
      <c r="D621">
        <v>68</v>
      </c>
      <c r="E621" t="s">
        <v>101</v>
      </c>
      <c r="F621" t="s">
        <v>21</v>
      </c>
      <c r="G621" t="s">
        <v>22</v>
      </c>
      <c r="H621" s="1">
        <v>45721</v>
      </c>
    </row>
    <row r="622" spans="1:8">
      <c r="A622" t="s">
        <v>1286</v>
      </c>
      <c r="B622" t="s">
        <v>1287</v>
      </c>
      <c r="C622" t="s">
        <v>10</v>
      </c>
      <c r="D622">
        <v>58</v>
      </c>
      <c r="E622" t="s">
        <v>20</v>
      </c>
      <c r="F622" t="s">
        <v>21</v>
      </c>
      <c r="G622" t="s">
        <v>22</v>
      </c>
      <c r="H622" s="1">
        <v>44656</v>
      </c>
    </row>
    <row r="623" spans="1:8">
      <c r="A623" t="s">
        <v>1288</v>
      </c>
      <c r="B623" t="s">
        <v>1289</v>
      </c>
      <c r="C623" t="s">
        <v>10</v>
      </c>
      <c r="D623">
        <v>28</v>
      </c>
      <c r="E623" t="s">
        <v>69</v>
      </c>
      <c r="F623" t="s">
        <v>69</v>
      </c>
      <c r="G623" t="s">
        <v>12</v>
      </c>
      <c r="H623" s="1">
        <v>44595</v>
      </c>
    </row>
    <row r="624" spans="1:8">
      <c r="A624" t="s">
        <v>1290</v>
      </c>
      <c r="B624" t="s">
        <v>1291</v>
      </c>
      <c r="C624" t="s">
        <v>10</v>
      </c>
      <c r="D624">
        <v>62</v>
      </c>
      <c r="E624" t="s">
        <v>20</v>
      </c>
      <c r="F624" t="s">
        <v>21</v>
      </c>
      <c r="G624" t="s">
        <v>22</v>
      </c>
      <c r="H624" s="1">
        <v>45438</v>
      </c>
    </row>
    <row r="625" spans="1:8">
      <c r="A625" t="s">
        <v>1292</v>
      </c>
      <c r="B625" t="s">
        <v>1293</v>
      </c>
      <c r="C625" t="s">
        <v>31</v>
      </c>
      <c r="D625">
        <v>23</v>
      </c>
      <c r="E625" t="s">
        <v>91</v>
      </c>
      <c r="F625" t="s">
        <v>92</v>
      </c>
      <c r="G625" t="s">
        <v>78</v>
      </c>
      <c r="H625" s="1">
        <v>44887</v>
      </c>
    </row>
    <row r="626" spans="1:8">
      <c r="A626" t="s">
        <v>1294</v>
      </c>
      <c r="B626" t="s">
        <v>1295</v>
      </c>
      <c r="C626" t="s">
        <v>31</v>
      </c>
      <c r="D626">
        <v>60</v>
      </c>
      <c r="E626" t="s">
        <v>134</v>
      </c>
      <c r="F626" t="s">
        <v>28</v>
      </c>
      <c r="G626" t="s">
        <v>12</v>
      </c>
      <c r="H626" s="1">
        <v>44730</v>
      </c>
    </row>
    <row r="627" spans="1:8">
      <c r="A627" t="s">
        <v>1296</v>
      </c>
      <c r="B627" t="s">
        <v>1297</v>
      </c>
      <c r="C627" t="s">
        <v>31</v>
      </c>
      <c r="D627">
        <v>58</v>
      </c>
      <c r="E627" t="s">
        <v>76</v>
      </c>
      <c r="F627" t="s">
        <v>77</v>
      </c>
      <c r="G627" t="s">
        <v>78</v>
      </c>
      <c r="H627" s="1">
        <v>44668</v>
      </c>
    </row>
    <row r="628" spans="1:8">
      <c r="A628" t="s">
        <v>1298</v>
      </c>
      <c r="B628" t="s">
        <v>1299</v>
      </c>
      <c r="C628" t="s">
        <v>10</v>
      </c>
      <c r="D628">
        <v>63</v>
      </c>
      <c r="E628" t="s">
        <v>101</v>
      </c>
      <c r="F628" t="s">
        <v>21</v>
      </c>
      <c r="G628" t="s">
        <v>22</v>
      </c>
      <c r="H628" s="1">
        <v>45441</v>
      </c>
    </row>
    <row r="629" spans="1:8">
      <c r="A629" t="s">
        <v>1300</v>
      </c>
      <c r="B629" t="s">
        <v>1301</v>
      </c>
      <c r="C629" t="s">
        <v>10</v>
      </c>
      <c r="D629">
        <v>26</v>
      </c>
      <c r="E629" t="s">
        <v>34</v>
      </c>
      <c r="F629" t="s">
        <v>16</v>
      </c>
      <c r="G629" t="s">
        <v>17</v>
      </c>
      <c r="H629" s="1">
        <v>45538</v>
      </c>
    </row>
    <row r="630" spans="1:8">
      <c r="A630" t="s">
        <v>1302</v>
      </c>
      <c r="B630" t="s">
        <v>1303</v>
      </c>
      <c r="C630" t="s">
        <v>31</v>
      </c>
      <c r="D630">
        <v>18</v>
      </c>
      <c r="E630" t="s">
        <v>27</v>
      </c>
      <c r="F630" t="s">
        <v>28</v>
      </c>
      <c r="G630" t="s">
        <v>12</v>
      </c>
      <c r="H630" s="1">
        <v>45954</v>
      </c>
    </row>
    <row r="631" spans="1:8">
      <c r="A631" t="s">
        <v>1304</v>
      </c>
      <c r="B631" t="s">
        <v>1305</v>
      </c>
      <c r="C631" t="s">
        <v>31</v>
      </c>
      <c r="D631">
        <v>62</v>
      </c>
      <c r="E631" t="s">
        <v>45</v>
      </c>
      <c r="F631" t="s">
        <v>46</v>
      </c>
      <c r="G631" t="s">
        <v>17</v>
      </c>
      <c r="H631" s="1">
        <v>44808</v>
      </c>
    </row>
    <row r="632" spans="1:8">
      <c r="A632" t="s">
        <v>1306</v>
      </c>
      <c r="B632" t="s">
        <v>1307</v>
      </c>
      <c r="C632" t="s">
        <v>31</v>
      </c>
      <c r="D632">
        <v>23</v>
      </c>
      <c r="E632" t="s">
        <v>15</v>
      </c>
      <c r="F632" t="s">
        <v>16</v>
      </c>
      <c r="G632" t="s">
        <v>17</v>
      </c>
      <c r="H632" s="1">
        <v>45030</v>
      </c>
    </row>
    <row r="633" spans="1:8">
      <c r="A633" t="s">
        <v>1308</v>
      </c>
      <c r="B633" t="s">
        <v>1309</v>
      </c>
      <c r="C633" t="s">
        <v>31</v>
      </c>
      <c r="D633">
        <v>41</v>
      </c>
      <c r="E633" t="s">
        <v>11</v>
      </c>
      <c r="F633" t="s">
        <v>11</v>
      </c>
      <c r="G633" t="s">
        <v>12</v>
      </c>
      <c r="H633" s="1">
        <v>44773</v>
      </c>
    </row>
    <row r="634" spans="1:8">
      <c r="A634" t="s">
        <v>1310</v>
      </c>
      <c r="B634" t="s">
        <v>1311</v>
      </c>
      <c r="C634" t="s">
        <v>10</v>
      </c>
      <c r="D634">
        <v>59</v>
      </c>
      <c r="E634" t="s">
        <v>76</v>
      </c>
      <c r="F634" t="s">
        <v>77</v>
      </c>
      <c r="G634" t="s">
        <v>78</v>
      </c>
      <c r="H634" s="1">
        <v>45345</v>
      </c>
    </row>
    <row r="635" spans="1:8">
      <c r="A635" t="s">
        <v>1312</v>
      </c>
      <c r="B635" t="s">
        <v>1313</v>
      </c>
      <c r="C635" t="s">
        <v>10</v>
      </c>
      <c r="D635">
        <v>57</v>
      </c>
      <c r="E635" t="s">
        <v>76</v>
      </c>
      <c r="F635" t="s">
        <v>77</v>
      </c>
      <c r="G635" t="s">
        <v>78</v>
      </c>
      <c r="H635" s="1">
        <v>44702</v>
      </c>
    </row>
    <row r="636" spans="1:8">
      <c r="A636" t="s">
        <v>1314</v>
      </c>
      <c r="B636" t="s">
        <v>1315</v>
      </c>
      <c r="C636" t="s">
        <v>10</v>
      </c>
      <c r="D636">
        <v>58</v>
      </c>
      <c r="E636" t="s">
        <v>69</v>
      </c>
      <c r="F636" t="s">
        <v>69</v>
      </c>
      <c r="G636" t="s">
        <v>12</v>
      </c>
      <c r="H636" s="1">
        <v>45281</v>
      </c>
    </row>
    <row r="637" spans="1:8">
      <c r="A637" t="s">
        <v>1316</v>
      </c>
      <c r="B637" t="s">
        <v>1317</v>
      </c>
      <c r="C637" t="s">
        <v>31</v>
      </c>
      <c r="D637">
        <v>31</v>
      </c>
      <c r="E637" t="s">
        <v>69</v>
      </c>
      <c r="F637" t="s">
        <v>69</v>
      </c>
      <c r="G637" t="s">
        <v>12</v>
      </c>
      <c r="H637" s="1">
        <v>45823</v>
      </c>
    </row>
    <row r="638" spans="1:8">
      <c r="A638" t="s">
        <v>1318</v>
      </c>
      <c r="B638" t="s">
        <v>1319</v>
      </c>
      <c r="C638" t="s">
        <v>10</v>
      </c>
      <c r="D638">
        <v>55</v>
      </c>
      <c r="E638" t="s">
        <v>15</v>
      </c>
      <c r="F638" t="s">
        <v>16</v>
      </c>
      <c r="G638" t="s">
        <v>17</v>
      </c>
      <c r="H638" s="1">
        <v>44848</v>
      </c>
    </row>
    <row r="639" spans="1:8">
      <c r="A639" t="s">
        <v>1320</v>
      </c>
      <c r="B639" t="s">
        <v>1321</v>
      </c>
      <c r="C639" t="s">
        <v>31</v>
      </c>
      <c r="D639">
        <v>68</v>
      </c>
      <c r="E639" t="s">
        <v>134</v>
      </c>
      <c r="F639" t="s">
        <v>28</v>
      </c>
      <c r="G639" t="s">
        <v>12</v>
      </c>
      <c r="H639" s="1">
        <v>45441</v>
      </c>
    </row>
    <row r="640" spans="1:8">
      <c r="A640" t="s">
        <v>1322</v>
      </c>
      <c r="B640" t="s">
        <v>1323</v>
      </c>
      <c r="C640" t="s">
        <v>10</v>
      </c>
      <c r="D640">
        <v>33</v>
      </c>
      <c r="E640" t="s">
        <v>45</v>
      </c>
      <c r="F640" t="s">
        <v>46</v>
      </c>
      <c r="G640" t="s">
        <v>17</v>
      </c>
      <c r="H640" s="1">
        <v>45882</v>
      </c>
    </row>
    <row r="641" spans="1:8">
      <c r="A641" t="s">
        <v>1324</v>
      </c>
      <c r="B641" t="s">
        <v>1325</v>
      </c>
      <c r="C641" t="s">
        <v>31</v>
      </c>
      <c r="D641">
        <v>67</v>
      </c>
      <c r="E641" t="s">
        <v>60</v>
      </c>
      <c r="F641" t="s">
        <v>21</v>
      </c>
      <c r="G641" t="s">
        <v>22</v>
      </c>
      <c r="H641" s="1">
        <v>45806</v>
      </c>
    </row>
    <row r="642" spans="1:8">
      <c r="A642" t="s">
        <v>1326</v>
      </c>
      <c r="B642" t="s">
        <v>1327</v>
      </c>
      <c r="C642" t="s">
        <v>31</v>
      </c>
      <c r="D642">
        <v>31</v>
      </c>
      <c r="E642" t="s">
        <v>87</v>
      </c>
      <c r="F642" t="s">
        <v>88</v>
      </c>
      <c r="G642" t="s">
        <v>78</v>
      </c>
      <c r="H642" s="1">
        <v>45910</v>
      </c>
    </row>
    <row r="643" spans="1:8">
      <c r="A643" t="s">
        <v>1328</v>
      </c>
      <c r="B643" t="s">
        <v>1329</v>
      </c>
      <c r="C643" t="s">
        <v>31</v>
      </c>
      <c r="D643">
        <v>36</v>
      </c>
      <c r="E643" t="s">
        <v>60</v>
      </c>
      <c r="F643" t="s">
        <v>21</v>
      </c>
      <c r="G643" t="s">
        <v>22</v>
      </c>
      <c r="H643" s="1">
        <v>44948</v>
      </c>
    </row>
    <row r="644" spans="1:8">
      <c r="A644" t="s">
        <v>1330</v>
      </c>
      <c r="B644" t="s">
        <v>1331</v>
      </c>
      <c r="C644" t="s">
        <v>31</v>
      </c>
      <c r="D644">
        <v>25</v>
      </c>
      <c r="E644" t="s">
        <v>63</v>
      </c>
      <c r="F644" t="s">
        <v>64</v>
      </c>
      <c r="G644" t="s">
        <v>12</v>
      </c>
      <c r="H644" s="1">
        <v>45575</v>
      </c>
    </row>
    <row r="645" spans="1:8">
      <c r="A645" t="s">
        <v>1332</v>
      </c>
      <c r="B645" t="s">
        <v>1333</v>
      </c>
      <c r="C645" t="s">
        <v>10</v>
      </c>
      <c r="D645">
        <v>41</v>
      </c>
      <c r="E645" t="s">
        <v>218</v>
      </c>
      <c r="F645" t="s">
        <v>219</v>
      </c>
      <c r="G645" t="s">
        <v>17</v>
      </c>
      <c r="H645" s="1">
        <v>44707</v>
      </c>
    </row>
    <row r="646" spans="1:8">
      <c r="A646" t="s">
        <v>1334</v>
      </c>
      <c r="B646" t="s">
        <v>1335</v>
      </c>
      <c r="C646" t="s">
        <v>31</v>
      </c>
      <c r="D646">
        <v>41</v>
      </c>
      <c r="E646" t="s">
        <v>76</v>
      </c>
      <c r="F646" t="s">
        <v>77</v>
      </c>
      <c r="G646" t="s">
        <v>78</v>
      </c>
      <c r="H646" s="1">
        <v>45354</v>
      </c>
    </row>
    <row r="647" spans="1:8">
      <c r="A647" t="s">
        <v>1336</v>
      </c>
      <c r="B647" t="s">
        <v>1337</v>
      </c>
      <c r="C647" t="s">
        <v>10</v>
      </c>
      <c r="D647">
        <v>19</v>
      </c>
      <c r="E647" t="s">
        <v>101</v>
      </c>
      <c r="F647" t="s">
        <v>21</v>
      </c>
      <c r="G647" t="s">
        <v>22</v>
      </c>
      <c r="H647" s="1">
        <v>45526</v>
      </c>
    </row>
    <row r="648" spans="1:8">
      <c r="A648" t="s">
        <v>1338</v>
      </c>
      <c r="B648" t="s">
        <v>1339</v>
      </c>
      <c r="C648" t="s">
        <v>10</v>
      </c>
      <c r="D648">
        <v>20</v>
      </c>
      <c r="E648" t="s">
        <v>11</v>
      </c>
      <c r="F648" t="s">
        <v>11</v>
      </c>
      <c r="G648" t="s">
        <v>12</v>
      </c>
      <c r="H648" s="1">
        <v>45098</v>
      </c>
    </row>
    <row r="649" spans="1:8">
      <c r="A649" t="s">
        <v>1340</v>
      </c>
      <c r="B649" t="s">
        <v>1341</v>
      </c>
      <c r="C649" t="s">
        <v>31</v>
      </c>
      <c r="D649">
        <v>58</v>
      </c>
      <c r="E649" t="s">
        <v>112</v>
      </c>
      <c r="F649" t="s">
        <v>113</v>
      </c>
      <c r="G649" t="s">
        <v>78</v>
      </c>
      <c r="H649" s="1">
        <v>45599</v>
      </c>
    </row>
    <row r="650" spans="1:8">
      <c r="A650" t="s">
        <v>1342</v>
      </c>
      <c r="B650" t="s">
        <v>1343</v>
      </c>
      <c r="C650" t="s">
        <v>31</v>
      </c>
      <c r="D650">
        <v>23</v>
      </c>
      <c r="E650" t="s">
        <v>69</v>
      </c>
      <c r="F650" t="s">
        <v>69</v>
      </c>
      <c r="G650" t="s">
        <v>12</v>
      </c>
      <c r="H650" s="1">
        <v>45429</v>
      </c>
    </row>
    <row r="651" spans="1:8">
      <c r="A651" t="s">
        <v>1344</v>
      </c>
      <c r="B651" t="s">
        <v>1345</v>
      </c>
      <c r="C651" t="s">
        <v>10</v>
      </c>
      <c r="D651">
        <v>35</v>
      </c>
      <c r="E651" t="s">
        <v>27</v>
      </c>
      <c r="F651" t="s">
        <v>28</v>
      </c>
      <c r="G651" t="s">
        <v>12</v>
      </c>
      <c r="H651" s="1">
        <v>45823</v>
      </c>
    </row>
    <row r="652" spans="1:8">
      <c r="A652" t="s">
        <v>1346</v>
      </c>
      <c r="B652" t="s">
        <v>1347</v>
      </c>
      <c r="C652" t="s">
        <v>10</v>
      </c>
      <c r="D652">
        <v>69</v>
      </c>
      <c r="E652" t="s">
        <v>15</v>
      </c>
      <c r="F652" t="s">
        <v>16</v>
      </c>
      <c r="G652" t="s">
        <v>17</v>
      </c>
      <c r="H652" s="1">
        <v>45609</v>
      </c>
    </row>
    <row r="653" spans="1:8">
      <c r="A653" t="s">
        <v>1348</v>
      </c>
      <c r="B653" t="s">
        <v>1349</v>
      </c>
      <c r="C653" t="s">
        <v>10</v>
      </c>
      <c r="D653">
        <v>37</v>
      </c>
      <c r="E653" t="s">
        <v>45</v>
      </c>
      <c r="F653" t="s">
        <v>46</v>
      </c>
      <c r="G653" t="s">
        <v>17</v>
      </c>
      <c r="H653" s="1">
        <v>45362</v>
      </c>
    </row>
    <row r="654" spans="1:8">
      <c r="A654" t="s">
        <v>1350</v>
      </c>
      <c r="B654" t="s">
        <v>1351</v>
      </c>
      <c r="C654" t="s">
        <v>10</v>
      </c>
      <c r="D654">
        <v>23</v>
      </c>
      <c r="E654" t="s">
        <v>63</v>
      </c>
      <c r="F654" t="s">
        <v>64</v>
      </c>
      <c r="G654" t="s">
        <v>12</v>
      </c>
      <c r="H654" s="1">
        <v>44680</v>
      </c>
    </row>
    <row r="655" spans="1:8">
      <c r="A655" t="s">
        <v>1352</v>
      </c>
      <c r="B655" t="s">
        <v>1353</v>
      </c>
      <c r="C655" t="s">
        <v>10</v>
      </c>
      <c r="D655">
        <v>37</v>
      </c>
      <c r="E655" t="s">
        <v>87</v>
      </c>
      <c r="F655" t="s">
        <v>88</v>
      </c>
      <c r="G655" t="s">
        <v>78</v>
      </c>
      <c r="H655" s="1">
        <v>45490</v>
      </c>
    </row>
    <row r="656" spans="1:8">
      <c r="A656" t="s">
        <v>1354</v>
      </c>
      <c r="B656" t="s">
        <v>1355</v>
      </c>
      <c r="C656" t="s">
        <v>10</v>
      </c>
      <c r="D656">
        <v>63</v>
      </c>
      <c r="E656" t="s">
        <v>63</v>
      </c>
      <c r="F656" t="s">
        <v>64</v>
      </c>
      <c r="G656" t="s">
        <v>12</v>
      </c>
      <c r="H656" s="1">
        <v>44806</v>
      </c>
    </row>
    <row r="657" spans="1:8">
      <c r="A657" t="s">
        <v>1356</v>
      </c>
      <c r="B657" t="s">
        <v>1357</v>
      </c>
      <c r="C657" t="s">
        <v>31</v>
      </c>
      <c r="D657">
        <v>40</v>
      </c>
      <c r="E657" t="s">
        <v>15</v>
      </c>
      <c r="F657" t="s">
        <v>16</v>
      </c>
      <c r="G657" t="s">
        <v>17</v>
      </c>
      <c r="H657" s="1">
        <v>44897</v>
      </c>
    </row>
    <row r="658" spans="1:8">
      <c r="A658" t="s">
        <v>1358</v>
      </c>
      <c r="B658" t="s">
        <v>1359</v>
      </c>
      <c r="C658" t="s">
        <v>31</v>
      </c>
      <c r="D658">
        <v>26</v>
      </c>
      <c r="E658" t="s">
        <v>37</v>
      </c>
      <c r="F658" t="s">
        <v>38</v>
      </c>
      <c r="G658" t="s">
        <v>22</v>
      </c>
      <c r="H658" s="1">
        <v>44903</v>
      </c>
    </row>
    <row r="659" spans="1:8">
      <c r="A659" t="s">
        <v>1360</v>
      </c>
      <c r="B659" t="s">
        <v>1361</v>
      </c>
      <c r="C659" t="s">
        <v>10</v>
      </c>
      <c r="D659">
        <v>39</v>
      </c>
      <c r="E659" t="s">
        <v>134</v>
      </c>
      <c r="F659" t="s">
        <v>28</v>
      </c>
      <c r="G659" t="s">
        <v>12</v>
      </c>
      <c r="H659" s="1">
        <v>44803</v>
      </c>
    </row>
    <row r="660" spans="1:8">
      <c r="A660" t="s">
        <v>1362</v>
      </c>
      <c r="B660" t="s">
        <v>1363</v>
      </c>
      <c r="C660" t="s">
        <v>10</v>
      </c>
      <c r="D660">
        <v>34</v>
      </c>
      <c r="E660" t="s">
        <v>134</v>
      </c>
      <c r="F660" t="s">
        <v>28</v>
      </c>
      <c r="G660" t="s">
        <v>12</v>
      </c>
      <c r="H660" s="1">
        <v>45634</v>
      </c>
    </row>
    <row r="661" spans="1:8">
      <c r="A661" t="s">
        <v>1364</v>
      </c>
      <c r="B661" t="s">
        <v>1365</v>
      </c>
      <c r="C661" t="s">
        <v>10</v>
      </c>
      <c r="D661">
        <v>49</v>
      </c>
      <c r="E661" t="s">
        <v>27</v>
      </c>
      <c r="F661" t="s">
        <v>28</v>
      </c>
      <c r="G661" t="s">
        <v>12</v>
      </c>
      <c r="H661" s="1">
        <v>45847</v>
      </c>
    </row>
    <row r="662" spans="1:8">
      <c r="A662" t="s">
        <v>1366</v>
      </c>
      <c r="B662" t="s">
        <v>1367</v>
      </c>
      <c r="C662" t="s">
        <v>31</v>
      </c>
      <c r="D662">
        <v>54</v>
      </c>
      <c r="E662" t="s">
        <v>37</v>
      </c>
      <c r="F662" t="s">
        <v>38</v>
      </c>
      <c r="G662" t="s">
        <v>22</v>
      </c>
      <c r="H662" s="1">
        <v>44675</v>
      </c>
    </row>
    <row r="663" spans="1:8">
      <c r="A663" t="s">
        <v>1368</v>
      </c>
      <c r="B663" t="s">
        <v>1369</v>
      </c>
      <c r="C663" t="s">
        <v>10</v>
      </c>
      <c r="D663">
        <v>54</v>
      </c>
      <c r="E663" t="s">
        <v>34</v>
      </c>
      <c r="F663" t="s">
        <v>16</v>
      </c>
      <c r="G663" t="s">
        <v>17</v>
      </c>
      <c r="H663" s="1">
        <v>45084</v>
      </c>
    </row>
    <row r="664" spans="1:8">
      <c r="A664" t="s">
        <v>1370</v>
      </c>
      <c r="B664" t="s">
        <v>1371</v>
      </c>
      <c r="C664" t="s">
        <v>10</v>
      </c>
      <c r="D664">
        <v>20</v>
      </c>
      <c r="E664" t="s">
        <v>11</v>
      </c>
      <c r="F664" t="s">
        <v>11</v>
      </c>
      <c r="G664" t="s">
        <v>12</v>
      </c>
      <c r="H664" s="1">
        <v>45029</v>
      </c>
    </row>
    <row r="665" spans="1:8">
      <c r="A665" t="s">
        <v>1372</v>
      </c>
      <c r="B665" t="s">
        <v>1373</v>
      </c>
      <c r="C665" t="s">
        <v>10</v>
      </c>
      <c r="D665">
        <v>48</v>
      </c>
      <c r="E665" t="s">
        <v>87</v>
      </c>
      <c r="F665" t="s">
        <v>88</v>
      </c>
      <c r="G665" t="s">
        <v>78</v>
      </c>
      <c r="H665" s="1">
        <v>45062</v>
      </c>
    </row>
    <row r="666" spans="1:8">
      <c r="A666" t="s">
        <v>1374</v>
      </c>
      <c r="B666" t="s">
        <v>1375</v>
      </c>
      <c r="C666" t="s">
        <v>10</v>
      </c>
      <c r="D666">
        <v>53</v>
      </c>
      <c r="E666" t="s">
        <v>101</v>
      </c>
      <c r="F666" t="s">
        <v>21</v>
      </c>
      <c r="G666" t="s">
        <v>22</v>
      </c>
      <c r="H666" s="1">
        <v>44928</v>
      </c>
    </row>
    <row r="667" spans="1:8">
      <c r="A667" t="s">
        <v>1376</v>
      </c>
      <c r="B667" t="s">
        <v>1377</v>
      </c>
      <c r="C667" t="s">
        <v>31</v>
      </c>
      <c r="D667">
        <v>33</v>
      </c>
      <c r="E667" t="s">
        <v>69</v>
      </c>
      <c r="F667" t="s">
        <v>69</v>
      </c>
      <c r="G667" t="s">
        <v>12</v>
      </c>
      <c r="H667" s="1">
        <v>45021</v>
      </c>
    </row>
    <row r="668" spans="1:8">
      <c r="A668" t="s">
        <v>1378</v>
      </c>
      <c r="B668" t="s">
        <v>1379</v>
      </c>
      <c r="C668" t="s">
        <v>10</v>
      </c>
      <c r="D668">
        <v>54</v>
      </c>
      <c r="E668" t="s">
        <v>37</v>
      </c>
      <c r="F668" t="s">
        <v>38</v>
      </c>
      <c r="G668" t="s">
        <v>22</v>
      </c>
      <c r="H668" s="1">
        <v>45117</v>
      </c>
    </row>
    <row r="669" spans="1:8">
      <c r="A669" t="s">
        <v>1380</v>
      </c>
      <c r="B669" t="s">
        <v>1381</v>
      </c>
      <c r="C669" t="s">
        <v>10</v>
      </c>
      <c r="D669">
        <v>29</v>
      </c>
      <c r="E669" t="s">
        <v>60</v>
      </c>
      <c r="F669" t="s">
        <v>21</v>
      </c>
      <c r="G669" t="s">
        <v>22</v>
      </c>
      <c r="H669" s="1">
        <v>45940</v>
      </c>
    </row>
    <row r="670" spans="1:8">
      <c r="A670" t="s">
        <v>1382</v>
      </c>
      <c r="B670" t="s">
        <v>1383</v>
      </c>
      <c r="C670" t="s">
        <v>31</v>
      </c>
      <c r="D670">
        <v>22</v>
      </c>
      <c r="E670" t="s">
        <v>218</v>
      </c>
      <c r="F670" t="s">
        <v>219</v>
      </c>
      <c r="G670" t="s">
        <v>17</v>
      </c>
      <c r="H670" s="1">
        <v>44656</v>
      </c>
    </row>
    <row r="671" spans="1:8">
      <c r="A671" t="s">
        <v>1384</v>
      </c>
      <c r="B671" t="s">
        <v>1385</v>
      </c>
      <c r="C671" t="s">
        <v>31</v>
      </c>
      <c r="D671">
        <v>23</v>
      </c>
      <c r="E671" t="s">
        <v>91</v>
      </c>
      <c r="F671" t="s">
        <v>92</v>
      </c>
      <c r="G671" t="s">
        <v>78</v>
      </c>
      <c r="H671" s="1">
        <v>45198</v>
      </c>
    </row>
    <row r="672" spans="1:8">
      <c r="A672" t="s">
        <v>1386</v>
      </c>
      <c r="B672" t="s">
        <v>1387</v>
      </c>
      <c r="C672" t="s">
        <v>10</v>
      </c>
      <c r="D672">
        <v>36</v>
      </c>
      <c r="E672" t="s">
        <v>20</v>
      </c>
      <c r="F672" t="s">
        <v>21</v>
      </c>
      <c r="G672" t="s">
        <v>22</v>
      </c>
      <c r="H672" s="1">
        <v>45317</v>
      </c>
    </row>
    <row r="673" spans="1:8">
      <c r="A673" t="s">
        <v>1388</v>
      </c>
      <c r="B673" t="s">
        <v>1389</v>
      </c>
      <c r="C673" t="s">
        <v>10</v>
      </c>
      <c r="D673">
        <v>47</v>
      </c>
      <c r="E673" t="s">
        <v>37</v>
      </c>
      <c r="F673" t="s">
        <v>38</v>
      </c>
      <c r="G673" t="s">
        <v>22</v>
      </c>
      <c r="H673" s="1">
        <v>45837</v>
      </c>
    </row>
    <row r="674" spans="1:8">
      <c r="A674" t="s">
        <v>1390</v>
      </c>
      <c r="B674" t="s">
        <v>1391</v>
      </c>
      <c r="C674" t="s">
        <v>10</v>
      </c>
      <c r="D674">
        <v>27</v>
      </c>
      <c r="E674" t="s">
        <v>149</v>
      </c>
      <c r="F674" t="s">
        <v>38</v>
      </c>
      <c r="G674" t="s">
        <v>22</v>
      </c>
      <c r="H674" s="1">
        <v>44962</v>
      </c>
    </row>
    <row r="675" spans="1:8">
      <c r="A675" t="s">
        <v>1392</v>
      </c>
      <c r="B675" t="s">
        <v>1393</v>
      </c>
      <c r="C675" t="s">
        <v>10</v>
      </c>
      <c r="D675">
        <v>52</v>
      </c>
      <c r="E675" t="s">
        <v>41</v>
      </c>
      <c r="F675" t="s">
        <v>42</v>
      </c>
      <c r="G675" t="s">
        <v>17</v>
      </c>
      <c r="H675" s="1">
        <v>44610</v>
      </c>
    </row>
    <row r="676" spans="1:8">
      <c r="A676" t="s">
        <v>1394</v>
      </c>
      <c r="B676" t="s">
        <v>1395</v>
      </c>
      <c r="C676" t="s">
        <v>10</v>
      </c>
      <c r="D676">
        <v>66</v>
      </c>
      <c r="E676" t="s">
        <v>20</v>
      </c>
      <c r="F676" t="s">
        <v>21</v>
      </c>
      <c r="G676" t="s">
        <v>22</v>
      </c>
      <c r="H676" s="1">
        <v>45248</v>
      </c>
    </row>
    <row r="677" spans="1:8">
      <c r="A677" t="s">
        <v>1396</v>
      </c>
      <c r="B677" t="s">
        <v>1397</v>
      </c>
      <c r="C677" t="s">
        <v>10</v>
      </c>
      <c r="D677">
        <v>51</v>
      </c>
      <c r="E677" t="s">
        <v>134</v>
      </c>
      <c r="F677" t="s">
        <v>28</v>
      </c>
      <c r="G677" t="s">
        <v>12</v>
      </c>
      <c r="H677" s="1">
        <v>44774</v>
      </c>
    </row>
    <row r="678" spans="1:8">
      <c r="A678" t="s">
        <v>1398</v>
      </c>
      <c r="B678" t="s">
        <v>1399</v>
      </c>
      <c r="C678" t="s">
        <v>10</v>
      </c>
      <c r="D678">
        <v>27</v>
      </c>
      <c r="E678" t="s">
        <v>112</v>
      </c>
      <c r="F678" t="s">
        <v>113</v>
      </c>
      <c r="G678" t="s">
        <v>78</v>
      </c>
      <c r="H678" s="1">
        <v>45569</v>
      </c>
    </row>
    <row r="679" spans="1:8">
      <c r="A679" t="s">
        <v>1400</v>
      </c>
      <c r="B679" t="s">
        <v>1401</v>
      </c>
      <c r="C679" t="s">
        <v>10</v>
      </c>
      <c r="D679">
        <v>51</v>
      </c>
      <c r="E679" t="s">
        <v>11</v>
      </c>
      <c r="F679" t="s">
        <v>11</v>
      </c>
      <c r="G679" t="s">
        <v>12</v>
      </c>
      <c r="H679" s="1">
        <v>44651</v>
      </c>
    </row>
    <row r="680" spans="1:8">
      <c r="A680" t="s">
        <v>1402</v>
      </c>
      <c r="B680" t="s">
        <v>1403</v>
      </c>
      <c r="C680" t="s">
        <v>10</v>
      </c>
      <c r="D680">
        <v>55</v>
      </c>
      <c r="E680" t="s">
        <v>37</v>
      </c>
      <c r="F680" t="s">
        <v>38</v>
      </c>
      <c r="G680" t="s">
        <v>22</v>
      </c>
      <c r="H680" s="1">
        <v>45500</v>
      </c>
    </row>
    <row r="681" spans="1:8">
      <c r="A681" t="s">
        <v>1404</v>
      </c>
      <c r="B681" t="s">
        <v>1405</v>
      </c>
      <c r="C681" t="s">
        <v>31</v>
      </c>
      <c r="D681">
        <v>22</v>
      </c>
      <c r="E681" t="s">
        <v>34</v>
      </c>
      <c r="F681" t="s">
        <v>16</v>
      </c>
      <c r="G681" t="s">
        <v>17</v>
      </c>
      <c r="H681" s="1">
        <v>45867</v>
      </c>
    </row>
    <row r="682" spans="1:8">
      <c r="A682" t="s">
        <v>1406</v>
      </c>
      <c r="B682" t="s">
        <v>1407</v>
      </c>
      <c r="C682" t="s">
        <v>10</v>
      </c>
      <c r="D682">
        <v>33</v>
      </c>
      <c r="E682" t="s">
        <v>11</v>
      </c>
      <c r="F682" t="s">
        <v>11</v>
      </c>
      <c r="G682" t="s">
        <v>12</v>
      </c>
      <c r="H682" s="1">
        <v>45452</v>
      </c>
    </row>
    <row r="683" spans="1:8">
      <c r="A683" t="s">
        <v>1408</v>
      </c>
      <c r="B683" t="s">
        <v>1409</v>
      </c>
      <c r="C683" t="s">
        <v>31</v>
      </c>
      <c r="D683">
        <v>38</v>
      </c>
      <c r="E683" t="s">
        <v>45</v>
      </c>
      <c r="F683" t="s">
        <v>46</v>
      </c>
      <c r="G683" t="s">
        <v>17</v>
      </c>
      <c r="H683" s="1">
        <v>45366</v>
      </c>
    </row>
    <row r="684" spans="1:8">
      <c r="A684" t="s">
        <v>1410</v>
      </c>
      <c r="B684" t="s">
        <v>1411</v>
      </c>
      <c r="C684" t="s">
        <v>10</v>
      </c>
      <c r="D684">
        <v>26</v>
      </c>
      <c r="E684" t="s">
        <v>101</v>
      </c>
      <c r="F684" t="s">
        <v>21</v>
      </c>
      <c r="G684" t="s">
        <v>22</v>
      </c>
      <c r="H684" s="1">
        <v>44714</v>
      </c>
    </row>
    <row r="685" spans="1:8">
      <c r="A685" t="s">
        <v>1412</v>
      </c>
      <c r="B685" t="s">
        <v>1413</v>
      </c>
      <c r="C685" t="s">
        <v>10</v>
      </c>
      <c r="D685">
        <v>24</v>
      </c>
      <c r="E685" t="s">
        <v>27</v>
      </c>
      <c r="F685" t="s">
        <v>28</v>
      </c>
      <c r="G685" t="s">
        <v>12</v>
      </c>
      <c r="H685" s="1">
        <v>44785</v>
      </c>
    </row>
    <row r="686" spans="1:8">
      <c r="A686" t="s">
        <v>1414</v>
      </c>
      <c r="B686" t="s">
        <v>1415</v>
      </c>
      <c r="C686" t="s">
        <v>31</v>
      </c>
      <c r="D686">
        <v>25</v>
      </c>
      <c r="E686" t="s">
        <v>41</v>
      </c>
      <c r="F686" t="s">
        <v>42</v>
      </c>
      <c r="G686" t="s">
        <v>17</v>
      </c>
      <c r="H686" s="1">
        <v>45205</v>
      </c>
    </row>
    <row r="687" spans="1:8">
      <c r="A687" t="s">
        <v>1416</v>
      </c>
      <c r="B687" t="s">
        <v>1417</v>
      </c>
      <c r="C687" t="s">
        <v>31</v>
      </c>
      <c r="D687">
        <v>47</v>
      </c>
      <c r="E687" t="s">
        <v>101</v>
      </c>
      <c r="F687" t="s">
        <v>21</v>
      </c>
      <c r="G687" t="s">
        <v>22</v>
      </c>
      <c r="H687" s="1">
        <v>45487</v>
      </c>
    </row>
    <row r="688" spans="1:8">
      <c r="A688" t="s">
        <v>1418</v>
      </c>
      <c r="B688" t="s">
        <v>1419</v>
      </c>
      <c r="C688" t="s">
        <v>10</v>
      </c>
      <c r="D688">
        <v>69</v>
      </c>
      <c r="E688" t="s">
        <v>15</v>
      </c>
      <c r="F688" t="s">
        <v>16</v>
      </c>
      <c r="G688" t="s">
        <v>17</v>
      </c>
      <c r="H688" s="1">
        <v>44747</v>
      </c>
    </row>
    <row r="689" spans="1:8">
      <c r="A689" t="s">
        <v>1420</v>
      </c>
      <c r="B689" t="s">
        <v>1421</v>
      </c>
      <c r="C689" t="s">
        <v>10</v>
      </c>
      <c r="D689">
        <v>38</v>
      </c>
      <c r="E689" t="s">
        <v>27</v>
      </c>
      <c r="F689" t="s">
        <v>28</v>
      </c>
      <c r="G689" t="s">
        <v>12</v>
      </c>
      <c r="H689" s="1">
        <v>44644</v>
      </c>
    </row>
    <row r="690" spans="1:8">
      <c r="A690" t="s">
        <v>1422</v>
      </c>
      <c r="B690" t="s">
        <v>1423</v>
      </c>
      <c r="C690" t="s">
        <v>31</v>
      </c>
      <c r="D690">
        <v>50</v>
      </c>
      <c r="E690" t="s">
        <v>34</v>
      </c>
      <c r="F690" t="s">
        <v>16</v>
      </c>
      <c r="G690" t="s">
        <v>17</v>
      </c>
      <c r="H690" s="1">
        <v>45290</v>
      </c>
    </row>
    <row r="691" spans="1:8">
      <c r="A691" t="s">
        <v>1424</v>
      </c>
      <c r="B691" t="s">
        <v>1425</v>
      </c>
      <c r="C691" t="s">
        <v>10</v>
      </c>
      <c r="D691">
        <v>19</v>
      </c>
      <c r="E691" t="s">
        <v>45</v>
      </c>
      <c r="F691" t="s">
        <v>46</v>
      </c>
      <c r="G691" t="s">
        <v>17</v>
      </c>
      <c r="H691" s="1">
        <v>45094</v>
      </c>
    </row>
    <row r="692" spans="1:8">
      <c r="A692" t="s">
        <v>1426</v>
      </c>
      <c r="B692" t="s">
        <v>1427</v>
      </c>
      <c r="C692" t="s">
        <v>10</v>
      </c>
      <c r="D692">
        <v>24</v>
      </c>
      <c r="E692" t="s">
        <v>112</v>
      </c>
      <c r="F692" t="s">
        <v>113</v>
      </c>
      <c r="G692" t="s">
        <v>78</v>
      </c>
      <c r="H692" s="1">
        <v>45700</v>
      </c>
    </row>
    <row r="693" spans="1:8">
      <c r="A693" t="s">
        <v>1428</v>
      </c>
      <c r="B693" t="s">
        <v>1429</v>
      </c>
      <c r="C693" t="s">
        <v>10</v>
      </c>
      <c r="D693">
        <v>21</v>
      </c>
      <c r="E693" t="s">
        <v>101</v>
      </c>
      <c r="F693" t="s">
        <v>21</v>
      </c>
      <c r="G693" t="s">
        <v>22</v>
      </c>
      <c r="H693" s="1">
        <v>44810</v>
      </c>
    </row>
    <row r="694" spans="1:8">
      <c r="A694" t="s">
        <v>1430</v>
      </c>
      <c r="B694" t="s">
        <v>1431</v>
      </c>
      <c r="C694" t="s">
        <v>10</v>
      </c>
      <c r="D694">
        <v>70</v>
      </c>
      <c r="E694" t="s">
        <v>76</v>
      </c>
      <c r="F694" t="s">
        <v>77</v>
      </c>
      <c r="G694" t="s">
        <v>78</v>
      </c>
      <c r="H694" s="1">
        <v>44829</v>
      </c>
    </row>
    <row r="695" spans="1:8">
      <c r="A695" t="s">
        <v>1432</v>
      </c>
      <c r="B695" t="s">
        <v>1433</v>
      </c>
      <c r="C695" t="s">
        <v>31</v>
      </c>
      <c r="D695">
        <v>70</v>
      </c>
      <c r="E695" t="s">
        <v>20</v>
      </c>
      <c r="F695" t="s">
        <v>21</v>
      </c>
      <c r="G695" t="s">
        <v>22</v>
      </c>
      <c r="H695" s="1">
        <v>45754</v>
      </c>
    </row>
    <row r="696" spans="1:8">
      <c r="A696" t="s">
        <v>1434</v>
      </c>
      <c r="B696" t="s">
        <v>1435</v>
      </c>
      <c r="C696" t="s">
        <v>31</v>
      </c>
      <c r="D696">
        <v>69</v>
      </c>
      <c r="E696" t="s">
        <v>15</v>
      </c>
      <c r="F696" t="s">
        <v>16</v>
      </c>
      <c r="G696" t="s">
        <v>17</v>
      </c>
      <c r="H696" s="1">
        <v>44966</v>
      </c>
    </row>
    <row r="697" spans="1:8">
      <c r="A697" t="s">
        <v>1436</v>
      </c>
      <c r="B697" t="s">
        <v>1437</v>
      </c>
      <c r="C697" t="s">
        <v>10</v>
      </c>
      <c r="D697">
        <v>47</v>
      </c>
      <c r="E697" t="s">
        <v>45</v>
      </c>
      <c r="F697" t="s">
        <v>46</v>
      </c>
      <c r="G697" t="s">
        <v>17</v>
      </c>
      <c r="H697" s="1">
        <v>44812</v>
      </c>
    </row>
    <row r="698" spans="1:8">
      <c r="A698" t="s">
        <v>1438</v>
      </c>
      <c r="B698" t="s">
        <v>1439</v>
      </c>
      <c r="C698" t="s">
        <v>31</v>
      </c>
      <c r="D698">
        <v>49</v>
      </c>
      <c r="E698" t="s">
        <v>218</v>
      </c>
      <c r="F698" t="s">
        <v>219</v>
      </c>
      <c r="G698" t="s">
        <v>17</v>
      </c>
      <c r="H698" s="1">
        <v>45449</v>
      </c>
    </row>
    <row r="699" spans="1:8">
      <c r="A699" t="s">
        <v>1440</v>
      </c>
      <c r="B699" t="s">
        <v>1441</v>
      </c>
      <c r="C699" t="s">
        <v>31</v>
      </c>
      <c r="D699">
        <v>31</v>
      </c>
      <c r="E699" t="s">
        <v>41</v>
      </c>
      <c r="F699" t="s">
        <v>42</v>
      </c>
      <c r="G699" t="s">
        <v>17</v>
      </c>
      <c r="H699" s="1">
        <v>44915</v>
      </c>
    </row>
    <row r="700" spans="1:8">
      <c r="A700" t="s">
        <v>1442</v>
      </c>
      <c r="B700" t="s">
        <v>1443</v>
      </c>
      <c r="C700" t="s">
        <v>31</v>
      </c>
      <c r="D700">
        <v>27</v>
      </c>
      <c r="E700" t="s">
        <v>91</v>
      </c>
      <c r="F700" t="s">
        <v>92</v>
      </c>
      <c r="G700" t="s">
        <v>78</v>
      </c>
      <c r="H700" s="1">
        <v>45135</v>
      </c>
    </row>
    <row r="701" spans="1:8">
      <c r="A701" t="s">
        <v>1444</v>
      </c>
      <c r="B701" t="s">
        <v>1445</v>
      </c>
      <c r="C701" t="s">
        <v>10</v>
      </c>
      <c r="D701">
        <v>59</v>
      </c>
      <c r="E701" t="s">
        <v>218</v>
      </c>
      <c r="F701" t="s">
        <v>219</v>
      </c>
      <c r="G701" t="s">
        <v>17</v>
      </c>
      <c r="H701" s="1">
        <v>45825</v>
      </c>
    </row>
    <row r="702" spans="1:8">
      <c r="A702" t="s">
        <v>1446</v>
      </c>
      <c r="B702" t="s">
        <v>1447</v>
      </c>
      <c r="C702" t="s">
        <v>31</v>
      </c>
      <c r="D702">
        <v>21</v>
      </c>
      <c r="E702" t="s">
        <v>41</v>
      </c>
      <c r="F702" t="s">
        <v>42</v>
      </c>
      <c r="G702" t="s">
        <v>17</v>
      </c>
      <c r="H702" s="1">
        <v>45689</v>
      </c>
    </row>
    <row r="703" spans="1:8">
      <c r="A703" t="s">
        <v>1448</v>
      </c>
      <c r="B703" t="s">
        <v>1449</v>
      </c>
      <c r="C703" t="s">
        <v>31</v>
      </c>
      <c r="D703">
        <v>30</v>
      </c>
      <c r="E703" t="s">
        <v>41</v>
      </c>
      <c r="F703" t="s">
        <v>42</v>
      </c>
      <c r="G703" t="s">
        <v>17</v>
      </c>
      <c r="H703" s="1">
        <v>44843</v>
      </c>
    </row>
    <row r="704" spans="1:8">
      <c r="A704" t="s">
        <v>1450</v>
      </c>
      <c r="B704" t="s">
        <v>1451</v>
      </c>
      <c r="C704" t="s">
        <v>10</v>
      </c>
      <c r="D704">
        <v>42</v>
      </c>
      <c r="E704" t="s">
        <v>27</v>
      </c>
      <c r="F704" t="s">
        <v>28</v>
      </c>
      <c r="G704" t="s">
        <v>12</v>
      </c>
      <c r="H704" s="1">
        <v>45072</v>
      </c>
    </row>
    <row r="705" spans="1:8">
      <c r="A705" t="s">
        <v>1452</v>
      </c>
      <c r="B705" t="s">
        <v>1453</v>
      </c>
      <c r="C705" t="s">
        <v>31</v>
      </c>
      <c r="D705">
        <v>40</v>
      </c>
      <c r="E705" t="s">
        <v>134</v>
      </c>
      <c r="F705" t="s">
        <v>28</v>
      </c>
      <c r="G705" t="s">
        <v>12</v>
      </c>
      <c r="H705" s="1">
        <v>45544</v>
      </c>
    </row>
    <row r="706" spans="1:8">
      <c r="A706" t="s">
        <v>1454</v>
      </c>
      <c r="B706" t="s">
        <v>1455</v>
      </c>
      <c r="C706" t="s">
        <v>31</v>
      </c>
      <c r="D706">
        <v>35</v>
      </c>
      <c r="E706" t="s">
        <v>128</v>
      </c>
      <c r="F706" t="s">
        <v>129</v>
      </c>
      <c r="G706" t="s">
        <v>78</v>
      </c>
      <c r="H706" s="1">
        <v>45220</v>
      </c>
    </row>
    <row r="707" spans="1:8">
      <c r="A707" t="s">
        <v>1456</v>
      </c>
      <c r="B707" t="s">
        <v>1457</v>
      </c>
      <c r="C707" t="s">
        <v>10</v>
      </c>
      <c r="D707">
        <v>19</v>
      </c>
      <c r="E707" t="s">
        <v>45</v>
      </c>
      <c r="F707" t="s">
        <v>46</v>
      </c>
      <c r="G707" t="s">
        <v>17</v>
      </c>
      <c r="H707" s="1">
        <v>45784</v>
      </c>
    </row>
    <row r="708" spans="1:8">
      <c r="A708" t="s">
        <v>1458</v>
      </c>
      <c r="B708" t="s">
        <v>1459</v>
      </c>
      <c r="C708" t="s">
        <v>31</v>
      </c>
      <c r="D708">
        <v>51</v>
      </c>
      <c r="E708" t="s">
        <v>91</v>
      </c>
      <c r="F708" t="s">
        <v>92</v>
      </c>
      <c r="G708" t="s">
        <v>78</v>
      </c>
      <c r="H708" s="1">
        <v>44681</v>
      </c>
    </row>
    <row r="709" spans="1:8">
      <c r="A709" t="s">
        <v>1460</v>
      </c>
      <c r="B709" t="s">
        <v>1461</v>
      </c>
      <c r="C709" t="s">
        <v>10</v>
      </c>
      <c r="D709">
        <v>24</v>
      </c>
      <c r="E709" t="s">
        <v>60</v>
      </c>
      <c r="F709" t="s">
        <v>21</v>
      </c>
      <c r="G709" t="s">
        <v>22</v>
      </c>
      <c r="H709" s="1">
        <v>45038</v>
      </c>
    </row>
    <row r="710" spans="1:8">
      <c r="A710" t="s">
        <v>1462</v>
      </c>
      <c r="B710" t="s">
        <v>1463</v>
      </c>
      <c r="C710" t="s">
        <v>10</v>
      </c>
      <c r="D710">
        <v>66</v>
      </c>
      <c r="E710" t="s">
        <v>34</v>
      </c>
      <c r="F710" t="s">
        <v>16</v>
      </c>
      <c r="G710" t="s">
        <v>17</v>
      </c>
      <c r="H710" s="1">
        <v>45107</v>
      </c>
    </row>
    <row r="711" spans="1:8">
      <c r="A711" t="s">
        <v>1464</v>
      </c>
      <c r="B711" t="s">
        <v>1465</v>
      </c>
      <c r="C711" t="s">
        <v>31</v>
      </c>
      <c r="D711">
        <v>40</v>
      </c>
      <c r="E711" t="s">
        <v>76</v>
      </c>
      <c r="F711" t="s">
        <v>77</v>
      </c>
      <c r="G711" t="s">
        <v>78</v>
      </c>
      <c r="H711" s="1">
        <v>45741</v>
      </c>
    </row>
    <row r="712" spans="1:8">
      <c r="A712" t="s">
        <v>1466</v>
      </c>
      <c r="B712" t="s">
        <v>1467</v>
      </c>
      <c r="C712" t="s">
        <v>10</v>
      </c>
      <c r="D712">
        <v>55</v>
      </c>
      <c r="E712" t="s">
        <v>76</v>
      </c>
      <c r="F712" t="s">
        <v>77</v>
      </c>
      <c r="G712" t="s">
        <v>78</v>
      </c>
      <c r="H712" s="1">
        <v>44922</v>
      </c>
    </row>
    <row r="713" spans="1:8">
      <c r="A713" t="s">
        <v>1468</v>
      </c>
      <c r="B713" t="s">
        <v>1469</v>
      </c>
      <c r="C713" t="s">
        <v>10</v>
      </c>
      <c r="D713">
        <v>63</v>
      </c>
      <c r="E713" t="s">
        <v>37</v>
      </c>
      <c r="F713" t="s">
        <v>38</v>
      </c>
      <c r="G713" t="s">
        <v>22</v>
      </c>
      <c r="H713" s="1">
        <v>45773</v>
      </c>
    </row>
    <row r="714" spans="1:8">
      <c r="A714" t="s">
        <v>1470</v>
      </c>
      <c r="B714" t="s">
        <v>1471</v>
      </c>
      <c r="C714" t="s">
        <v>10</v>
      </c>
      <c r="D714">
        <v>54</v>
      </c>
      <c r="E714" t="s">
        <v>27</v>
      </c>
      <c r="F714" t="s">
        <v>28</v>
      </c>
      <c r="G714" t="s">
        <v>12</v>
      </c>
      <c r="H714" s="1">
        <v>45716</v>
      </c>
    </row>
    <row r="715" spans="1:8">
      <c r="A715" t="s">
        <v>1472</v>
      </c>
      <c r="B715" t="s">
        <v>1473</v>
      </c>
      <c r="C715" t="s">
        <v>31</v>
      </c>
      <c r="D715">
        <v>29</v>
      </c>
      <c r="E715" t="s">
        <v>112</v>
      </c>
      <c r="F715" t="s">
        <v>113</v>
      </c>
      <c r="G715" t="s">
        <v>78</v>
      </c>
      <c r="H715" s="1">
        <v>45672</v>
      </c>
    </row>
    <row r="716" spans="1:8">
      <c r="A716" t="s">
        <v>1474</v>
      </c>
      <c r="B716" t="s">
        <v>1475</v>
      </c>
      <c r="C716" t="s">
        <v>10</v>
      </c>
      <c r="D716">
        <v>56</v>
      </c>
      <c r="E716" t="s">
        <v>20</v>
      </c>
      <c r="F716" t="s">
        <v>21</v>
      </c>
      <c r="G716" t="s">
        <v>22</v>
      </c>
      <c r="H716" s="1">
        <v>44677</v>
      </c>
    </row>
    <row r="717" spans="1:8">
      <c r="A717" t="s">
        <v>1476</v>
      </c>
      <c r="B717" t="s">
        <v>1477</v>
      </c>
      <c r="C717" t="s">
        <v>10</v>
      </c>
      <c r="D717">
        <v>39</v>
      </c>
      <c r="E717" t="s">
        <v>218</v>
      </c>
      <c r="F717" t="s">
        <v>219</v>
      </c>
      <c r="G717" t="s">
        <v>17</v>
      </c>
      <c r="H717" s="1">
        <v>45540</v>
      </c>
    </row>
    <row r="718" spans="1:8">
      <c r="A718" t="s">
        <v>1478</v>
      </c>
      <c r="B718" t="s">
        <v>1479</v>
      </c>
      <c r="C718" t="s">
        <v>31</v>
      </c>
      <c r="D718">
        <v>63</v>
      </c>
      <c r="E718" t="s">
        <v>76</v>
      </c>
      <c r="F718" t="s">
        <v>77</v>
      </c>
      <c r="G718" t="s">
        <v>78</v>
      </c>
      <c r="H718" s="1">
        <v>44829</v>
      </c>
    </row>
    <row r="719" spans="1:8">
      <c r="A719" t="s">
        <v>1480</v>
      </c>
      <c r="B719" t="s">
        <v>1481</v>
      </c>
      <c r="C719" t="s">
        <v>10</v>
      </c>
      <c r="D719">
        <v>27</v>
      </c>
      <c r="E719" t="s">
        <v>45</v>
      </c>
      <c r="F719" t="s">
        <v>46</v>
      </c>
      <c r="G719" t="s">
        <v>17</v>
      </c>
      <c r="H719" s="1">
        <v>44683</v>
      </c>
    </row>
    <row r="720" spans="1:8">
      <c r="A720" t="s">
        <v>1482</v>
      </c>
      <c r="B720" t="s">
        <v>1483</v>
      </c>
      <c r="C720" t="s">
        <v>31</v>
      </c>
      <c r="D720">
        <v>22</v>
      </c>
      <c r="E720" t="s">
        <v>63</v>
      </c>
      <c r="F720" t="s">
        <v>64</v>
      </c>
      <c r="G720" t="s">
        <v>12</v>
      </c>
      <c r="H720" s="1">
        <v>44789</v>
      </c>
    </row>
    <row r="721" spans="1:8">
      <c r="A721" t="s">
        <v>1484</v>
      </c>
      <c r="B721" t="s">
        <v>1485</v>
      </c>
      <c r="C721" t="s">
        <v>10</v>
      </c>
      <c r="D721">
        <v>39</v>
      </c>
      <c r="E721" t="s">
        <v>149</v>
      </c>
      <c r="F721" t="s">
        <v>38</v>
      </c>
      <c r="G721" t="s">
        <v>22</v>
      </c>
      <c r="H721" s="1">
        <v>45762</v>
      </c>
    </row>
    <row r="722" spans="1:8">
      <c r="A722" t="s">
        <v>1486</v>
      </c>
      <c r="B722" t="s">
        <v>1487</v>
      </c>
      <c r="C722" t="s">
        <v>31</v>
      </c>
      <c r="D722">
        <v>68</v>
      </c>
      <c r="E722" t="s">
        <v>101</v>
      </c>
      <c r="F722" t="s">
        <v>21</v>
      </c>
      <c r="G722" t="s">
        <v>22</v>
      </c>
      <c r="H722" s="1">
        <v>44884</v>
      </c>
    </row>
    <row r="723" spans="1:8">
      <c r="A723" t="s">
        <v>1488</v>
      </c>
      <c r="B723" t="s">
        <v>1489</v>
      </c>
      <c r="C723" t="s">
        <v>31</v>
      </c>
      <c r="D723">
        <v>29</v>
      </c>
      <c r="E723" t="s">
        <v>69</v>
      </c>
      <c r="F723" t="s">
        <v>69</v>
      </c>
      <c r="G723" t="s">
        <v>12</v>
      </c>
      <c r="H723" s="1">
        <v>45891</v>
      </c>
    </row>
    <row r="724" spans="1:8">
      <c r="A724" t="s">
        <v>1490</v>
      </c>
      <c r="B724" t="s">
        <v>1491</v>
      </c>
      <c r="C724" t="s">
        <v>31</v>
      </c>
      <c r="D724">
        <v>32</v>
      </c>
      <c r="E724" t="s">
        <v>27</v>
      </c>
      <c r="F724" t="s">
        <v>28</v>
      </c>
      <c r="G724" t="s">
        <v>12</v>
      </c>
      <c r="H724" s="1">
        <v>45982</v>
      </c>
    </row>
    <row r="725" spans="1:8">
      <c r="A725" t="s">
        <v>1492</v>
      </c>
      <c r="B725" t="s">
        <v>1493</v>
      </c>
      <c r="C725" t="s">
        <v>31</v>
      </c>
      <c r="D725">
        <v>64</v>
      </c>
      <c r="E725" t="s">
        <v>63</v>
      </c>
      <c r="F725" t="s">
        <v>64</v>
      </c>
      <c r="G725" t="s">
        <v>12</v>
      </c>
      <c r="H725" s="1">
        <v>45336</v>
      </c>
    </row>
    <row r="726" spans="1:8">
      <c r="A726" t="s">
        <v>1494</v>
      </c>
      <c r="B726" t="s">
        <v>1495</v>
      </c>
      <c r="C726" t="s">
        <v>10</v>
      </c>
      <c r="D726">
        <v>62</v>
      </c>
      <c r="E726" t="s">
        <v>63</v>
      </c>
      <c r="F726" t="s">
        <v>64</v>
      </c>
      <c r="G726" t="s">
        <v>12</v>
      </c>
      <c r="H726" s="1">
        <v>44925</v>
      </c>
    </row>
    <row r="727" spans="1:8">
      <c r="A727" t="s">
        <v>1496</v>
      </c>
      <c r="B727" t="s">
        <v>1497</v>
      </c>
      <c r="C727" t="s">
        <v>10</v>
      </c>
      <c r="D727">
        <v>29</v>
      </c>
      <c r="E727" t="s">
        <v>112</v>
      </c>
      <c r="F727" t="s">
        <v>113</v>
      </c>
      <c r="G727" t="s">
        <v>78</v>
      </c>
      <c r="H727" s="1">
        <v>45724</v>
      </c>
    </row>
    <row r="728" spans="1:8">
      <c r="A728" t="s">
        <v>1498</v>
      </c>
      <c r="B728" t="s">
        <v>1499</v>
      </c>
      <c r="C728" t="s">
        <v>10</v>
      </c>
      <c r="D728">
        <v>49</v>
      </c>
      <c r="E728" t="s">
        <v>27</v>
      </c>
      <c r="F728" t="s">
        <v>28</v>
      </c>
      <c r="G728" t="s">
        <v>12</v>
      </c>
      <c r="H728" s="1">
        <v>45014</v>
      </c>
    </row>
    <row r="729" spans="1:8">
      <c r="A729" t="s">
        <v>1500</v>
      </c>
      <c r="B729" t="s">
        <v>1501</v>
      </c>
      <c r="C729" t="s">
        <v>31</v>
      </c>
      <c r="D729">
        <v>38</v>
      </c>
      <c r="E729" t="s">
        <v>15</v>
      </c>
      <c r="F729" t="s">
        <v>16</v>
      </c>
      <c r="G729" t="s">
        <v>17</v>
      </c>
      <c r="H729" s="1">
        <v>45049</v>
      </c>
    </row>
    <row r="730" spans="1:8">
      <c r="A730" t="s">
        <v>1502</v>
      </c>
      <c r="B730" t="s">
        <v>1503</v>
      </c>
      <c r="C730" t="s">
        <v>31</v>
      </c>
      <c r="D730">
        <v>46</v>
      </c>
      <c r="E730" t="s">
        <v>15</v>
      </c>
      <c r="F730" t="s">
        <v>16</v>
      </c>
      <c r="G730" t="s">
        <v>17</v>
      </c>
      <c r="H730" s="1">
        <v>46013</v>
      </c>
    </row>
    <row r="731" spans="1:8">
      <c r="A731" t="s">
        <v>1504</v>
      </c>
      <c r="B731" t="s">
        <v>1505</v>
      </c>
      <c r="C731" t="s">
        <v>10</v>
      </c>
      <c r="D731">
        <v>40</v>
      </c>
      <c r="E731" t="s">
        <v>34</v>
      </c>
      <c r="F731" t="s">
        <v>16</v>
      </c>
      <c r="G731" t="s">
        <v>17</v>
      </c>
      <c r="H731" s="1">
        <v>45073</v>
      </c>
    </row>
    <row r="732" spans="1:8">
      <c r="A732" t="s">
        <v>1506</v>
      </c>
      <c r="B732" t="s">
        <v>1507</v>
      </c>
      <c r="C732" t="s">
        <v>10</v>
      </c>
      <c r="D732">
        <v>42</v>
      </c>
      <c r="E732" t="s">
        <v>15</v>
      </c>
      <c r="F732" t="s">
        <v>16</v>
      </c>
      <c r="G732" t="s">
        <v>17</v>
      </c>
      <c r="H732" s="1">
        <v>44564</v>
      </c>
    </row>
    <row r="733" spans="1:8">
      <c r="A733" t="s">
        <v>1508</v>
      </c>
      <c r="B733" t="s">
        <v>1509</v>
      </c>
      <c r="C733" t="s">
        <v>31</v>
      </c>
      <c r="D733">
        <v>49</v>
      </c>
      <c r="E733" t="s">
        <v>149</v>
      </c>
      <c r="F733" t="s">
        <v>38</v>
      </c>
      <c r="G733" t="s">
        <v>22</v>
      </c>
      <c r="H733" s="1">
        <v>44902</v>
      </c>
    </row>
    <row r="734" spans="1:8">
      <c r="A734" t="s">
        <v>1510</v>
      </c>
      <c r="B734" t="s">
        <v>1511</v>
      </c>
      <c r="C734" t="s">
        <v>31</v>
      </c>
      <c r="D734">
        <v>24</v>
      </c>
      <c r="E734" t="s">
        <v>91</v>
      </c>
      <c r="F734" t="s">
        <v>92</v>
      </c>
      <c r="G734" t="s">
        <v>78</v>
      </c>
      <c r="H734" s="1">
        <v>45680</v>
      </c>
    </row>
    <row r="735" spans="1:8">
      <c r="A735" t="s">
        <v>1512</v>
      </c>
      <c r="B735" t="s">
        <v>1513</v>
      </c>
      <c r="C735" t="s">
        <v>10</v>
      </c>
      <c r="D735">
        <v>28</v>
      </c>
      <c r="E735" t="s">
        <v>128</v>
      </c>
      <c r="F735" t="s">
        <v>129</v>
      </c>
      <c r="G735" t="s">
        <v>78</v>
      </c>
      <c r="H735" s="1">
        <v>45895</v>
      </c>
    </row>
    <row r="736" spans="1:8">
      <c r="A736" t="s">
        <v>1514</v>
      </c>
      <c r="B736" t="s">
        <v>1515</v>
      </c>
      <c r="C736" t="s">
        <v>10</v>
      </c>
      <c r="D736">
        <v>38</v>
      </c>
      <c r="E736" t="s">
        <v>20</v>
      </c>
      <c r="F736" t="s">
        <v>21</v>
      </c>
      <c r="G736" t="s">
        <v>22</v>
      </c>
      <c r="H736" s="1">
        <v>45165</v>
      </c>
    </row>
    <row r="737" spans="1:8">
      <c r="A737" t="s">
        <v>1516</v>
      </c>
      <c r="B737" t="s">
        <v>1517</v>
      </c>
      <c r="C737" t="s">
        <v>31</v>
      </c>
      <c r="D737">
        <v>28</v>
      </c>
      <c r="E737" t="s">
        <v>15</v>
      </c>
      <c r="F737" t="s">
        <v>16</v>
      </c>
      <c r="G737" t="s">
        <v>17</v>
      </c>
      <c r="H737" s="1">
        <v>44713</v>
      </c>
    </row>
    <row r="738" spans="1:8">
      <c r="A738" t="s">
        <v>1518</v>
      </c>
      <c r="B738" t="s">
        <v>1519</v>
      </c>
      <c r="C738" t="s">
        <v>10</v>
      </c>
      <c r="D738">
        <v>39</v>
      </c>
      <c r="E738" t="s">
        <v>76</v>
      </c>
      <c r="F738" t="s">
        <v>77</v>
      </c>
      <c r="G738" t="s">
        <v>78</v>
      </c>
      <c r="H738" s="1">
        <v>44715</v>
      </c>
    </row>
    <row r="739" spans="1:8">
      <c r="A739" t="s">
        <v>1520</v>
      </c>
      <c r="B739" t="s">
        <v>1521</v>
      </c>
      <c r="C739" t="s">
        <v>10</v>
      </c>
      <c r="D739">
        <v>45</v>
      </c>
      <c r="E739" t="s">
        <v>27</v>
      </c>
      <c r="F739" t="s">
        <v>28</v>
      </c>
      <c r="G739" t="s">
        <v>12</v>
      </c>
      <c r="H739" s="1">
        <v>45550</v>
      </c>
    </row>
    <row r="740" spans="1:8">
      <c r="A740" t="s">
        <v>1522</v>
      </c>
      <c r="B740" t="s">
        <v>1523</v>
      </c>
      <c r="C740" t="s">
        <v>31</v>
      </c>
      <c r="D740">
        <v>28</v>
      </c>
      <c r="E740" t="s">
        <v>76</v>
      </c>
      <c r="F740" t="s">
        <v>77</v>
      </c>
      <c r="G740" t="s">
        <v>78</v>
      </c>
      <c r="H740" s="1">
        <v>45805</v>
      </c>
    </row>
    <row r="741" spans="1:8">
      <c r="A741" t="s">
        <v>1524</v>
      </c>
      <c r="B741" t="s">
        <v>1525</v>
      </c>
      <c r="C741" t="s">
        <v>10</v>
      </c>
      <c r="D741">
        <v>44</v>
      </c>
      <c r="E741" t="s">
        <v>45</v>
      </c>
      <c r="F741" t="s">
        <v>46</v>
      </c>
      <c r="G741" t="s">
        <v>17</v>
      </c>
      <c r="H741" s="1">
        <v>44982</v>
      </c>
    </row>
    <row r="742" spans="1:8">
      <c r="A742" t="s">
        <v>1526</v>
      </c>
      <c r="B742" t="s">
        <v>1527</v>
      </c>
      <c r="C742" t="s">
        <v>31</v>
      </c>
      <c r="D742">
        <v>37</v>
      </c>
      <c r="E742" t="s">
        <v>27</v>
      </c>
      <c r="F742" t="s">
        <v>28</v>
      </c>
      <c r="G742" t="s">
        <v>12</v>
      </c>
      <c r="H742" s="1">
        <v>45105</v>
      </c>
    </row>
    <row r="743" spans="1:8">
      <c r="A743" t="s">
        <v>1528</v>
      </c>
      <c r="B743" t="s">
        <v>1529</v>
      </c>
      <c r="C743" t="s">
        <v>31</v>
      </c>
      <c r="D743">
        <v>27</v>
      </c>
      <c r="E743" t="s">
        <v>15</v>
      </c>
      <c r="F743" t="s">
        <v>16</v>
      </c>
      <c r="G743" t="s">
        <v>17</v>
      </c>
      <c r="H743" s="1">
        <v>45366</v>
      </c>
    </row>
    <row r="744" spans="1:8">
      <c r="A744" t="s">
        <v>1530</v>
      </c>
      <c r="B744" t="s">
        <v>1531</v>
      </c>
      <c r="C744" t="s">
        <v>10</v>
      </c>
      <c r="D744">
        <v>36</v>
      </c>
      <c r="E744" t="s">
        <v>15</v>
      </c>
      <c r="F744" t="s">
        <v>16</v>
      </c>
      <c r="G744" t="s">
        <v>17</v>
      </c>
      <c r="H744" s="1">
        <v>45437</v>
      </c>
    </row>
    <row r="745" spans="1:8">
      <c r="A745" t="s">
        <v>1532</v>
      </c>
      <c r="B745" t="s">
        <v>1533</v>
      </c>
      <c r="C745" t="s">
        <v>10</v>
      </c>
      <c r="D745">
        <v>24</v>
      </c>
      <c r="E745" t="s">
        <v>128</v>
      </c>
      <c r="F745" t="s">
        <v>129</v>
      </c>
      <c r="G745" t="s">
        <v>78</v>
      </c>
      <c r="H745" s="1">
        <v>45545</v>
      </c>
    </row>
    <row r="746" spans="1:8">
      <c r="A746" t="s">
        <v>1534</v>
      </c>
      <c r="B746" t="s">
        <v>1535</v>
      </c>
      <c r="C746" t="s">
        <v>31</v>
      </c>
      <c r="D746">
        <v>23</v>
      </c>
      <c r="E746" t="s">
        <v>34</v>
      </c>
      <c r="F746" t="s">
        <v>16</v>
      </c>
      <c r="G746" t="s">
        <v>17</v>
      </c>
      <c r="H746" s="1">
        <v>45869</v>
      </c>
    </row>
    <row r="747" spans="1:8">
      <c r="A747" t="s">
        <v>1536</v>
      </c>
      <c r="B747" t="s">
        <v>1537</v>
      </c>
      <c r="C747" t="s">
        <v>31</v>
      </c>
      <c r="D747">
        <v>48</v>
      </c>
      <c r="E747" t="s">
        <v>20</v>
      </c>
      <c r="F747" t="s">
        <v>21</v>
      </c>
      <c r="G747" t="s">
        <v>22</v>
      </c>
      <c r="H747" s="1">
        <v>45193</v>
      </c>
    </row>
    <row r="748" spans="1:8">
      <c r="A748" t="s">
        <v>1538</v>
      </c>
      <c r="B748" t="s">
        <v>1539</v>
      </c>
      <c r="C748" t="s">
        <v>31</v>
      </c>
      <c r="D748">
        <v>29</v>
      </c>
      <c r="E748" t="s">
        <v>37</v>
      </c>
      <c r="F748" t="s">
        <v>38</v>
      </c>
      <c r="G748" t="s">
        <v>22</v>
      </c>
      <c r="H748" s="1">
        <v>44748</v>
      </c>
    </row>
    <row r="749" spans="1:8">
      <c r="A749" t="s">
        <v>1540</v>
      </c>
      <c r="B749" t="s">
        <v>1541</v>
      </c>
      <c r="C749" t="s">
        <v>10</v>
      </c>
      <c r="D749">
        <v>46</v>
      </c>
      <c r="E749" t="s">
        <v>149</v>
      </c>
      <c r="F749" t="s">
        <v>38</v>
      </c>
      <c r="G749" t="s">
        <v>22</v>
      </c>
      <c r="H749" s="1">
        <v>45318</v>
      </c>
    </row>
    <row r="750" spans="1:8">
      <c r="A750" t="s">
        <v>1542</v>
      </c>
      <c r="B750" t="s">
        <v>1543</v>
      </c>
      <c r="C750" t="s">
        <v>31</v>
      </c>
      <c r="D750">
        <v>32</v>
      </c>
      <c r="E750" t="s">
        <v>41</v>
      </c>
      <c r="F750" t="s">
        <v>42</v>
      </c>
      <c r="G750" t="s">
        <v>17</v>
      </c>
      <c r="H750" s="1">
        <v>45514</v>
      </c>
    </row>
    <row r="751" spans="1:8">
      <c r="A751" t="s">
        <v>1544</v>
      </c>
      <c r="B751" t="s">
        <v>1545</v>
      </c>
      <c r="C751" t="s">
        <v>10</v>
      </c>
      <c r="D751">
        <v>66</v>
      </c>
      <c r="E751" t="s">
        <v>128</v>
      </c>
      <c r="F751" t="s">
        <v>129</v>
      </c>
      <c r="G751" t="s">
        <v>78</v>
      </c>
      <c r="H751" s="1">
        <v>44688</v>
      </c>
    </row>
    <row r="752" spans="1:8">
      <c r="A752" t="s">
        <v>1546</v>
      </c>
      <c r="B752" t="s">
        <v>1547</v>
      </c>
      <c r="C752" t="s">
        <v>31</v>
      </c>
      <c r="D752">
        <v>69</v>
      </c>
      <c r="E752" t="s">
        <v>11</v>
      </c>
      <c r="F752" t="s">
        <v>11</v>
      </c>
      <c r="G752" t="s">
        <v>12</v>
      </c>
      <c r="H752" s="1">
        <v>44737</v>
      </c>
    </row>
    <row r="753" spans="1:8">
      <c r="A753" t="s">
        <v>1548</v>
      </c>
      <c r="B753" t="s">
        <v>1549</v>
      </c>
      <c r="C753" t="s">
        <v>10</v>
      </c>
      <c r="D753">
        <v>42</v>
      </c>
      <c r="E753" t="s">
        <v>60</v>
      </c>
      <c r="F753" t="s">
        <v>21</v>
      </c>
      <c r="G753" t="s">
        <v>22</v>
      </c>
      <c r="H753" s="1">
        <v>45027</v>
      </c>
    </row>
    <row r="754" spans="1:8">
      <c r="A754" t="s">
        <v>1550</v>
      </c>
      <c r="B754" t="s">
        <v>1551</v>
      </c>
      <c r="C754" t="s">
        <v>31</v>
      </c>
      <c r="D754">
        <v>54</v>
      </c>
      <c r="E754" t="s">
        <v>69</v>
      </c>
      <c r="F754" t="s">
        <v>69</v>
      </c>
      <c r="G754" t="s">
        <v>12</v>
      </c>
      <c r="H754" s="1">
        <v>45658</v>
      </c>
    </row>
    <row r="755" spans="1:8">
      <c r="A755" t="s">
        <v>1552</v>
      </c>
      <c r="B755" t="s">
        <v>1553</v>
      </c>
      <c r="C755" t="s">
        <v>10</v>
      </c>
      <c r="D755">
        <v>43</v>
      </c>
      <c r="E755" t="s">
        <v>112</v>
      </c>
      <c r="F755" t="s">
        <v>113</v>
      </c>
      <c r="G755" t="s">
        <v>78</v>
      </c>
      <c r="H755" s="1">
        <v>45174</v>
      </c>
    </row>
    <row r="756" spans="1:8">
      <c r="A756" t="s">
        <v>1554</v>
      </c>
      <c r="B756" t="s">
        <v>1555</v>
      </c>
      <c r="C756" t="s">
        <v>10</v>
      </c>
      <c r="D756">
        <v>25</v>
      </c>
      <c r="E756" t="s">
        <v>87</v>
      </c>
      <c r="F756" t="s">
        <v>88</v>
      </c>
      <c r="G756" t="s">
        <v>78</v>
      </c>
      <c r="H756" s="1">
        <v>45590</v>
      </c>
    </row>
    <row r="757" spans="1:8">
      <c r="A757" t="s">
        <v>1556</v>
      </c>
      <c r="B757" t="s">
        <v>1557</v>
      </c>
      <c r="C757" t="s">
        <v>10</v>
      </c>
      <c r="D757">
        <v>31</v>
      </c>
      <c r="E757" t="s">
        <v>112</v>
      </c>
      <c r="F757" t="s">
        <v>113</v>
      </c>
      <c r="G757" t="s">
        <v>78</v>
      </c>
      <c r="H757" s="1">
        <v>44916</v>
      </c>
    </row>
    <row r="758" spans="1:8">
      <c r="A758" t="s">
        <v>1558</v>
      </c>
      <c r="B758" t="s">
        <v>1559</v>
      </c>
      <c r="C758" t="s">
        <v>31</v>
      </c>
      <c r="D758">
        <v>23</v>
      </c>
      <c r="E758" t="s">
        <v>63</v>
      </c>
      <c r="F758" t="s">
        <v>64</v>
      </c>
      <c r="G758" t="s">
        <v>12</v>
      </c>
      <c r="H758" s="1">
        <v>44649</v>
      </c>
    </row>
    <row r="759" spans="1:8">
      <c r="A759" t="s">
        <v>1560</v>
      </c>
      <c r="B759" t="s">
        <v>1561</v>
      </c>
      <c r="C759" t="s">
        <v>10</v>
      </c>
      <c r="D759">
        <v>56</v>
      </c>
      <c r="E759" t="s">
        <v>112</v>
      </c>
      <c r="F759" t="s">
        <v>113</v>
      </c>
      <c r="G759" t="s">
        <v>78</v>
      </c>
      <c r="H759" s="1">
        <v>44975</v>
      </c>
    </row>
    <row r="760" spans="1:8">
      <c r="A760" t="s">
        <v>1562</v>
      </c>
      <c r="B760" t="s">
        <v>1563</v>
      </c>
      <c r="C760" t="s">
        <v>31</v>
      </c>
      <c r="D760">
        <v>53</v>
      </c>
      <c r="E760" t="s">
        <v>15</v>
      </c>
      <c r="F760" t="s">
        <v>16</v>
      </c>
      <c r="G760" t="s">
        <v>17</v>
      </c>
      <c r="H760" s="1">
        <v>44740</v>
      </c>
    </row>
    <row r="761" spans="1:8">
      <c r="A761" t="s">
        <v>1564</v>
      </c>
      <c r="B761" t="s">
        <v>1565</v>
      </c>
      <c r="C761" t="s">
        <v>31</v>
      </c>
      <c r="D761">
        <v>18</v>
      </c>
      <c r="E761" t="s">
        <v>37</v>
      </c>
      <c r="F761" t="s">
        <v>38</v>
      </c>
      <c r="G761" t="s">
        <v>22</v>
      </c>
      <c r="H761" s="1">
        <v>45127</v>
      </c>
    </row>
    <row r="762" spans="1:8">
      <c r="A762" t="s">
        <v>1566</v>
      </c>
      <c r="B762" t="s">
        <v>1567</v>
      </c>
      <c r="C762" t="s">
        <v>31</v>
      </c>
      <c r="D762">
        <v>25</v>
      </c>
      <c r="E762" t="s">
        <v>27</v>
      </c>
      <c r="F762" t="s">
        <v>28</v>
      </c>
      <c r="G762" t="s">
        <v>12</v>
      </c>
      <c r="H762" s="1">
        <v>45765</v>
      </c>
    </row>
    <row r="763" spans="1:8">
      <c r="A763" t="s">
        <v>1568</v>
      </c>
      <c r="B763" t="s">
        <v>1569</v>
      </c>
      <c r="C763" t="s">
        <v>10</v>
      </c>
      <c r="D763">
        <v>24</v>
      </c>
      <c r="E763" t="s">
        <v>101</v>
      </c>
      <c r="F763" t="s">
        <v>21</v>
      </c>
      <c r="G763" t="s">
        <v>22</v>
      </c>
      <c r="H763" s="1">
        <v>45722</v>
      </c>
    </row>
    <row r="764" spans="1:8">
      <c r="A764" t="s">
        <v>1570</v>
      </c>
      <c r="B764" t="s">
        <v>1571</v>
      </c>
      <c r="C764" t="s">
        <v>31</v>
      </c>
      <c r="D764">
        <v>44</v>
      </c>
      <c r="E764" t="s">
        <v>20</v>
      </c>
      <c r="F764" t="s">
        <v>21</v>
      </c>
      <c r="G764" t="s">
        <v>22</v>
      </c>
      <c r="H764" s="1">
        <v>45147</v>
      </c>
    </row>
    <row r="765" spans="1:8">
      <c r="A765" t="s">
        <v>1572</v>
      </c>
      <c r="B765" t="s">
        <v>1573</v>
      </c>
      <c r="C765" t="s">
        <v>31</v>
      </c>
      <c r="D765">
        <v>20</v>
      </c>
      <c r="E765" t="s">
        <v>41</v>
      </c>
      <c r="F765" t="s">
        <v>42</v>
      </c>
      <c r="G765" t="s">
        <v>17</v>
      </c>
      <c r="H765" s="1">
        <v>45733</v>
      </c>
    </row>
    <row r="766" spans="1:8">
      <c r="A766" t="s">
        <v>1574</v>
      </c>
      <c r="B766" t="s">
        <v>1575</v>
      </c>
      <c r="C766" t="s">
        <v>31</v>
      </c>
      <c r="D766">
        <v>20</v>
      </c>
      <c r="E766" t="s">
        <v>41</v>
      </c>
      <c r="F766" t="s">
        <v>42</v>
      </c>
      <c r="G766" t="s">
        <v>17</v>
      </c>
      <c r="H766" s="1">
        <v>44856</v>
      </c>
    </row>
    <row r="767" spans="1:8">
      <c r="A767" t="s">
        <v>1576</v>
      </c>
      <c r="B767" t="s">
        <v>1577</v>
      </c>
      <c r="C767" t="s">
        <v>10</v>
      </c>
      <c r="D767">
        <v>21</v>
      </c>
      <c r="E767" t="s">
        <v>37</v>
      </c>
      <c r="F767" t="s">
        <v>38</v>
      </c>
      <c r="G767" t="s">
        <v>22</v>
      </c>
      <c r="H767" s="1">
        <v>45976</v>
      </c>
    </row>
    <row r="768" spans="1:8">
      <c r="A768" t="s">
        <v>1578</v>
      </c>
      <c r="B768" t="s">
        <v>1579</v>
      </c>
      <c r="C768" t="s">
        <v>10</v>
      </c>
      <c r="D768">
        <v>39</v>
      </c>
      <c r="E768" t="s">
        <v>134</v>
      </c>
      <c r="F768" t="s">
        <v>28</v>
      </c>
      <c r="G768" t="s">
        <v>12</v>
      </c>
      <c r="H768" s="1">
        <v>45324</v>
      </c>
    </row>
    <row r="769" spans="1:8">
      <c r="A769" t="s">
        <v>1580</v>
      </c>
      <c r="B769" t="s">
        <v>1581</v>
      </c>
      <c r="C769" t="s">
        <v>31</v>
      </c>
      <c r="D769">
        <v>49</v>
      </c>
      <c r="E769" t="s">
        <v>134</v>
      </c>
      <c r="F769" t="s">
        <v>28</v>
      </c>
      <c r="G769" t="s">
        <v>12</v>
      </c>
      <c r="H769" s="1">
        <v>45198</v>
      </c>
    </row>
    <row r="770" spans="1:8">
      <c r="A770" t="s">
        <v>1582</v>
      </c>
      <c r="B770" t="s">
        <v>1583</v>
      </c>
      <c r="C770" t="s">
        <v>10</v>
      </c>
      <c r="D770">
        <v>37</v>
      </c>
      <c r="E770" t="s">
        <v>87</v>
      </c>
      <c r="F770" t="s">
        <v>88</v>
      </c>
      <c r="G770" t="s">
        <v>78</v>
      </c>
      <c r="H770" s="1">
        <v>45028</v>
      </c>
    </row>
    <row r="771" spans="1:8">
      <c r="A771" t="s">
        <v>1584</v>
      </c>
      <c r="B771" t="s">
        <v>1585</v>
      </c>
      <c r="C771" t="s">
        <v>31</v>
      </c>
      <c r="D771">
        <v>64</v>
      </c>
      <c r="E771" t="s">
        <v>112</v>
      </c>
      <c r="F771" t="s">
        <v>113</v>
      </c>
      <c r="G771" t="s">
        <v>78</v>
      </c>
      <c r="H771" s="1">
        <v>45219</v>
      </c>
    </row>
    <row r="772" spans="1:8">
      <c r="A772" t="s">
        <v>1586</v>
      </c>
      <c r="B772" t="s">
        <v>1587</v>
      </c>
      <c r="C772" t="s">
        <v>31</v>
      </c>
      <c r="D772">
        <v>31</v>
      </c>
      <c r="E772" t="s">
        <v>20</v>
      </c>
      <c r="F772" t="s">
        <v>21</v>
      </c>
      <c r="G772" t="s">
        <v>22</v>
      </c>
      <c r="H772" s="1">
        <v>44946</v>
      </c>
    </row>
    <row r="773" spans="1:8">
      <c r="A773" t="s">
        <v>1588</v>
      </c>
      <c r="B773" t="s">
        <v>1589</v>
      </c>
      <c r="C773" t="s">
        <v>31</v>
      </c>
      <c r="D773">
        <v>70</v>
      </c>
      <c r="E773" t="s">
        <v>112</v>
      </c>
      <c r="F773" t="s">
        <v>113</v>
      </c>
      <c r="G773" t="s">
        <v>78</v>
      </c>
      <c r="H773" s="1">
        <v>45554</v>
      </c>
    </row>
    <row r="774" spans="1:8">
      <c r="A774" t="s">
        <v>1590</v>
      </c>
      <c r="B774" t="s">
        <v>1591</v>
      </c>
      <c r="C774" t="s">
        <v>31</v>
      </c>
      <c r="D774">
        <v>63</v>
      </c>
      <c r="E774" t="s">
        <v>34</v>
      </c>
      <c r="F774" t="s">
        <v>16</v>
      </c>
      <c r="G774" t="s">
        <v>17</v>
      </c>
      <c r="H774" s="1">
        <v>44696</v>
      </c>
    </row>
    <row r="775" spans="1:8">
      <c r="A775" t="s">
        <v>1592</v>
      </c>
      <c r="B775" t="s">
        <v>1593</v>
      </c>
      <c r="C775" t="s">
        <v>10</v>
      </c>
      <c r="D775">
        <v>29</v>
      </c>
      <c r="E775" t="s">
        <v>101</v>
      </c>
      <c r="F775" t="s">
        <v>21</v>
      </c>
      <c r="G775" t="s">
        <v>22</v>
      </c>
      <c r="H775" s="1">
        <v>45635</v>
      </c>
    </row>
    <row r="776" spans="1:8">
      <c r="A776" t="s">
        <v>1594</v>
      </c>
      <c r="B776" t="s">
        <v>1595</v>
      </c>
      <c r="C776" t="s">
        <v>10</v>
      </c>
      <c r="D776">
        <v>20</v>
      </c>
      <c r="E776" t="s">
        <v>34</v>
      </c>
      <c r="F776" t="s">
        <v>16</v>
      </c>
      <c r="G776" t="s">
        <v>17</v>
      </c>
      <c r="H776" s="1">
        <v>44680</v>
      </c>
    </row>
    <row r="777" spans="1:8">
      <c r="A777" t="s">
        <v>1596</v>
      </c>
      <c r="B777" t="s">
        <v>1597</v>
      </c>
      <c r="C777" t="s">
        <v>10</v>
      </c>
      <c r="D777">
        <v>35</v>
      </c>
      <c r="E777" t="s">
        <v>37</v>
      </c>
      <c r="F777" t="s">
        <v>38</v>
      </c>
      <c r="G777" t="s">
        <v>22</v>
      </c>
      <c r="H777" s="1">
        <v>46005</v>
      </c>
    </row>
    <row r="778" spans="1:8">
      <c r="A778" t="s">
        <v>1598</v>
      </c>
      <c r="B778" t="s">
        <v>1599</v>
      </c>
      <c r="C778" t="s">
        <v>31</v>
      </c>
      <c r="D778">
        <v>58</v>
      </c>
      <c r="E778" t="s">
        <v>149</v>
      </c>
      <c r="F778" t="s">
        <v>38</v>
      </c>
      <c r="G778" t="s">
        <v>22</v>
      </c>
      <c r="H778" s="1">
        <v>45596</v>
      </c>
    </row>
    <row r="779" spans="1:8">
      <c r="A779" t="s">
        <v>1600</v>
      </c>
      <c r="B779" t="s">
        <v>1601</v>
      </c>
      <c r="C779" t="s">
        <v>31</v>
      </c>
      <c r="D779">
        <v>49</v>
      </c>
      <c r="E779" t="s">
        <v>87</v>
      </c>
      <c r="F779" t="s">
        <v>88</v>
      </c>
      <c r="G779" t="s">
        <v>78</v>
      </c>
      <c r="H779" s="1">
        <v>45057</v>
      </c>
    </row>
    <row r="780" spans="1:8">
      <c r="A780" t="s">
        <v>1602</v>
      </c>
      <c r="B780" t="s">
        <v>1603</v>
      </c>
      <c r="C780" t="s">
        <v>31</v>
      </c>
      <c r="D780">
        <v>40</v>
      </c>
      <c r="E780" t="s">
        <v>63</v>
      </c>
      <c r="F780" t="s">
        <v>64</v>
      </c>
      <c r="G780" t="s">
        <v>12</v>
      </c>
      <c r="H780" s="1">
        <v>45533</v>
      </c>
    </row>
    <row r="781" spans="1:8">
      <c r="A781" t="s">
        <v>1604</v>
      </c>
      <c r="B781" t="s">
        <v>1605</v>
      </c>
      <c r="C781" t="s">
        <v>10</v>
      </c>
      <c r="D781">
        <v>36</v>
      </c>
      <c r="E781" t="s">
        <v>45</v>
      </c>
      <c r="F781" t="s">
        <v>46</v>
      </c>
      <c r="G781" t="s">
        <v>17</v>
      </c>
      <c r="H781" s="1">
        <v>45972</v>
      </c>
    </row>
    <row r="782" spans="1:8">
      <c r="A782" t="s">
        <v>1606</v>
      </c>
      <c r="B782" t="s">
        <v>1607</v>
      </c>
      <c r="C782" t="s">
        <v>10</v>
      </c>
      <c r="D782">
        <v>32</v>
      </c>
      <c r="E782" t="s">
        <v>15</v>
      </c>
      <c r="F782" t="s">
        <v>16</v>
      </c>
      <c r="G782" t="s">
        <v>17</v>
      </c>
      <c r="H782" s="1">
        <v>44895</v>
      </c>
    </row>
    <row r="783" spans="1:8">
      <c r="A783" t="s">
        <v>1608</v>
      </c>
      <c r="B783" t="s">
        <v>1609</v>
      </c>
      <c r="C783" t="s">
        <v>31</v>
      </c>
      <c r="D783">
        <v>50</v>
      </c>
      <c r="E783" t="s">
        <v>63</v>
      </c>
      <c r="F783" t="s">
        <v>64</v>
      </c>
      <c r="G783" t="s">
        <v>12</v>
      </c>
      <c r="H783" s="1">
        <v>45113</v>
      </c>
    </row>
    <row r="784" spans="1:8">
      <c r="A784" t="s">
        <v>1610</v>
      </c>
      <c r="B784" t="s">
        <v>1611</v>
      </c>
      <c r="C784" t="s">
        <v>10</v>
      </c>
      <c r="D784">
        <v>59</v>
      </c>
      <c r="E784" t="s">
        <v>15</v>
      </c>
      <c r="F784" t="s">
        <v>16</v>
      </c>
      <c r="G784" t="s">
        <v>17</v>
      </c>
      <c r="H784" s="1">
        <v>45532</v>
      </c>
    </row>
    <row r="785" spans="1:8">
      <c r="A785" t="s">
        <v>1612</v>
      </c>
      <c r="B785" t="s">
        <v>1613</v>
      </c>
      <c r="C785" t="s">
        <v>31</v>
      </c>
      <c r="D785">
        <v>56</v>
      </c>
      <c r="E785" t="s">
        <v>15</v>
      </c>
      <c r="F785" t="s">
        <v>16</v>
      </c>
      <c r="G785" t="s">
        <v>17</v>
      </c>
      <c r="H785" s="1">
        <v>45020</v>
      </c>
    </row>
    <row r="786" spans="1:8">
      <c r="A786" t="s">
        <v>1614</v>
      </c>
      <c r="B786" t="s">
        <v>1615</v>
      </c>
      <c r="C786" t="s">
        <v>31</v>
      </c>
      <c r="D786">
        <v>45</v>
      </c>
      <c r="E786" t="s">
        <v>134</v>
      </c>
      <c r="F786" t="s">
        <v>28</v>
      </c>
      <c r="G786" t="s">
        <v>12</v>
      </c>
      <c r="H786" s="1">
        <v>46021</v>
      </c>
    </row>
    <row r="787" spans="1:8">
      <c r="A787" t="s">
        <v>1616</v>
      </c>
      <c r="B787" t="s">
        <v>1617</v>
      </c>
      <c r="C787" t="s">
        <v>31</v>
      </c>
      <c r="D787">
        <v>31</v>
      </c>
      <c r="E787" t="s">
        <v>91</v>
      </c>
      <c r="F787" t="s">
        <v>92</v>
      </c>
      <c r="G787" t="s">
        <v>78</v>
      </c>
      <c r="H787" s="1">
        <v>45502</v>
      </c>
    </row>
    <row r="788" spans="1:8">
      <c r="A788" t="s">
        <v>1618</v>
      </c>
      <c r="B788" t="s">
        <v>1619</v>
      </c>
      <c r="C788" t="s">
        <v>31</v>
      </c>
      <c r="D788">
        <v>55</v>
      </c>
      <c r="E788" t="s">
        <v>60</v>
      </c>
      <c r="F788" t="s">
        <v>21</v>
      </c>
      <c r="G788" t="s">
        <v>22</v>
      </c>
      <c r="H788" s="1">
        <v>45839</v>
      </c>
    </row>
    <row r="789" spans="1:8">
      <c r="A789" t="s">
        <v>1620</v>
      </c>
      <c r="B789" t="s">
        <v>1621</v>
      </c>
      <c r="C789" t="s">
        <v>31</v>
      </c>
      <c r="D789">
        <v>53</v>
      </c>
      <c r="E789" t="s">
        <v>218</v>
      </c>
      <c r="F789" t="s">
        <v>219</v>
      </c>
      <c r="G789" t="s">
        <v>17</v>
      </c>
      <c r="H789" s="1">
        <v>45918</v>
      </c>
    </row>
    <row r="790" spans="1:8">
      <c r="A790" t="s">
        <v>1622</v>
      </c>
      <c r="B790" t="s">
        <v>1623</v>
      </c>
      <c r="C790" t="s">
        <v>31</v>
      </c>
      <c r="D790">
        <v>61</v>
      </c>
      <c r="E790" t="s">
        <v>27</v>
      </c>
      <c r="F790" t="s">
        <v>28</v>
      </c>
      <c r="G790" t="s">
        <v>12</v>
      </c>
      <c r="H790" s="1">
        <v>45140</v>
      </c>
    </row>
    <row r="791" spans="1:8">
      <c r="A791" t="s">
        <v>1624</v>
      </c>
      <c r="B791" t="s">
        <v>1625</v>
      </c>
      <c r="C791" t="s">
        <v>31</v>
      </c>
      <c r="D791">
        <v>58</v>
      </c>
      <c r="E791" t="s">
        <v>15</v>
      </c>
      <c r="F791" t="s">
        <v>16</v>
      </c>
      <c r="G791" t="s">
        <v>17</v>
      </c>
      <c r="H791" s="1">
        <v>45250</v>
      </c>
    </row>
    <row r="792" spans="1:8">
      <c r="A792" t="s">
        <v>1626</v>
      </c>
      <c r="B792" t="s">
        <v>1627</v>
      </c>
      <c r="C792" t="s">
        <v>31</v>
      </c>
      <c r="D792">
        <v>30</v>
      </c>
      <c r="E792" t="s">
        <v>37</v>
      </c>
      <c r="F792" t="s">
        <v>38</v>
      </c>
      <c r="G792" t="s">
        <v>22</v>
      </c>
      <c r="H792" s="1">
        <v>45096</v>
      </c>
    </row>
    <row r="793" spans="1:8">
      <c r="A793" t="s">
        <v>1628</v>
      </c>
      <c r="B793" t="s">
        <v>1629</v>
      </c>
      <c r="C793" t="s">
        <v>31</v>
      </c>
      <c r="D793">
        <v>60</v>
      </c>
      <c r="E793" t="s">
        <v>34</v>
      </c>
      <c r="F793" t="s">
        <v>16</v>
      </c>
      <c r="G793" t="s">
        <v>17</v>
      </c>
      <c r="H793" s="1">
        <v>44678</v>
      </c>
    </row>
    <row r="794" spans="1:8">
      <c r="A794" t="s">
        <v>1630</v>
      </c>
      <c r="B794" t="s">
        <v>1631</v>
      </c>
      <c r="C794" t="s">
        <v>31</v>
      </c>
      <c r="D794">
        <v>36</v>
      </c>
      <c r="E794" t="s">
        <v>101</v>
      </c>
      <c r="F794" t="s">
        <v>21</v>
      </c>
      <c r="G794" t="s">
        <v>22</v>
      </c>
      <c r="H794" s="1">
        <v>44614</v>
      </c>
    </row>
    <row r="795" spans="1:8">
      <c r="A795" t="s">
        <v>1632</v>
      </c>
      <c r="B795" t="s">
        <v>1633</v>
      </c>
      <c r="C795" t="s">
        <v>31</v>
      </c>
      <c r="D795">
        <v>65</v>
      </c>
      <c r="E795" t="s">
        <v>41</v>
      </c>
      <c r="F795" t="s">
        <v>42</v>
      </c>
      <c r="G795" t="s">
        <v>17</v>
      </c>
      <c r="H795" s="1">
        <v>45390</v>
      </c>
    </row>
    <row r="796" spans="1:8">
      <c r="A796" t="s">
        <v>1634</v>
      </c>
      <c r="B796" t="s">
        <v>1635</v>
      </c>
      <c r="C796" t="s">
        <v>31</v>
      </c>
      <c r="D796">
        <v>64</v>
      </c>
      <c r="E796" t="s">
        <v>218</v>
      </c>
      <c r="F796" t="s">
        <v>219</v>
      </c>
      <c r="G796" t="s">
        <v>17</v>
      </c>
      <c r="H796" s="1">
        <v>44950</v>
      </c>
    </row>
    <row r="797" spans="1:8">
      <c r="A797" t="s">
        <v>1636</v>
      </c>
      <c r="B797" t="s">
        <v>177</v>
      </c>
      <c r="C797" t="s">
        <v>31</v>
      </c>
      <c r="D797">
        <v>60</v>
      </c>
      <c r="E797" t="s">
        <v>27</v>
      </c>
      <c r="F797" t="s">
        <v>28</v>
      </c>
      <c r="G797" t="s">
        <v>12</v>
      </c>
      <c r="H797" s="1">
        <v>45869</v>
      </c>
    </row>
    <row r="798" spans="1:8">
      <c r="A798" t="s">
        <v>1637</v>
      </c>
      <c r="B798" t="s">
        <v>1638</v>
      </c>
      <c r="C798" t="s">
        <v>10</v>
      </c>
      <c r="D798">
        <v>36</v>
      </c>
      <c r="E798" t="s">
        <v>37</v>
      </c>
      <c r="F798" t="s">
        <v>38</v>
      </c>
      <c r="G798" t="s">
        <v>22</v>
      </c>
      <c r="H798" s="1">
        <v>44910</v>
      </c>
    </row>
    <row r="799" spans="1:8">
      <c r="A799" t="s">
        <v>1639</v>
      </c>
      <c r="B799" t="s">
        <v>1640</v>
      </c>
      <c r="C799" t="s">
        <v>10</v>
      </c>
      <c r="D799">
        <v>61</v>
      </c>
      <c r="E799" t="s">
        <v>34</v>
      </c>
      <c r="F799" t="s">
        <v>16</v>
      </c>
      <c r="G799" t="s">
        <v>17</v>
      </c>
      <c r="H799" s="1">
        <v>45091</v>
      </c>
    </row>
    <row r="800" spans="1:8">
      <c r="A800" t="s">
        <v>1641</v>
      </c>
      <c r="B800" t="s">
        <v>1642</v>
      </c>
      <c r="C800" t="s">
        <v>31</v>
      </c>
      <c r="D800">
        <v>32</v>
      </c>
      <c r="E800" t="s">
        <v>87</v>
      </c>
      <c r="F800" t="s">
        <v>88</v>
      </c>
      <c r="G800" t="s">
        <v>78</v>
      </c>
      <c r="H800" s="1">
        <v>45017</v>
      </c>
    </row>
    <row r="801" spans="1:8">
      <c r="A801" t="s">
        <v>1643</v>
      </c>
      <c r="B801" t="s">
        <v>1644</v>
      </c>
      <c r="C801" t="s">
        <v>31</v>
      </c>
      <c r="D801">
        <v>41</v>
      </c>
      <c r="E801" t="s">
        <v>134</v>
      </c>
      <c r="F801" t="s">
        <v>28</v>
      </c>
      <c r="G801" t="s">
        <v>12</v>
      </c>
      <c r="H801" s="1">
        <v>45423</v>
      </c>
    </row>
    <row r="802" spans="1:8">
      <c r="A802" t="s">
        <v>1645</v>
      </c>
      <c r="B802" t="s">
        <v>1646</v>
      </c>
      <c r="C802" t="s">
        <v>10</v>
      </c>
      <c r="D802">
        <v>48</v>
      </c>
      <c r="E802" t="s">
        <v>45</v>
      </c>
      <c r="F802" t="s">
        <v>46</v>
      </c>
      <c r="G802" t="s">
        <v>17</v>
      </c>
      <c r="H802" s="1">
        <v>45511</v>
      </c>
    </row>
    <row r="803" spans="1:8">
      <c r="A803" t="s">
        <v>1647</v>
      </c>
      <c r="B803" t="s">
        <v>1648</v>
      </c>
      <c r="C803" t="s">
        <v>10</v>
      </c>
      <c r="D803">
        <v>48</v>
      </c>
      <c r="E803" t="s">
        <v>218</v>
      </c>
      <c r="F803" t="s">
        <v>219</v>
      </c>
      <c r="G803" t="s">
        <v>17</v>
      </c>
      <c r="H803" s="1">
        <v>45750</v>
      </c>
    </row>
    <row r="804" spans="1:8">
      <c r="A804" t="s">
        <v>1649</v>
      </c>
      <c r="B804" t="s">
        <v>1650</v>
      </c>
      <c r="C804" t="s">
        <v>31</v>
      </c>
      <c r="D804">
        <v>51</v>
      </c>
      <c r="E804" t="s">
        <v>128</v>
      </c>
      <c r="F804" t="s">
        <v>129</v>
      </c>
      <c r="G804" t="s">
        <v>78</v>
      </c>
      <c r="H804" s="1">
        <v>44807</v>
      </c>
    </row>
    <row r="805" spans="1:8">
      <c r="A805" t="s">
        <v>1651</v>
      </c>
      <c r="B805" t="s">
        <v>1652</v>
      </c>
      <c r="C805" t="s">
        <v>10</v>
      </c>
      <c r="D805">
        <v>30</v>
      </c>
      <c r="E805" t="s">
        <v>15</v>
      </c>
      <c r="F805" t="s">
        <v>16</v>
      </c>
      <c r="G805" t="s">
        <v>17</v>
      </c>
      <c r="H805" s="1">
        <v>44870</v>
      </c>
    </row>
    <row r="806" spans="1:8">
      <c r="A806" t="s">
        <v>1653</v>
      </c>
      <c r="B806" t="s">
        <v>1654</v>
      </c>
      <c r="C806" t="s">
        <v>10</v>
      </c>
      <c r="D806">
        <v>38</v>
      </c>
      <c r="E806" t="s">
        <v>60</v>
      </c>
      <c r="F806" t="s">
        <v>21</v>
      </c>
      <c r="G806" t="s">
        <v>22</v>
      </c>
      <c r="H806" s="1">
        <v>45499</v>
      </c>
    </row>
    <row r="807" spans="1:8">
      <c r="A807" t="s">
        <v>1655</v>
      </c>
      <c r="B807" t="s">
        <v>1656</v>
      </c>
      <c r="C807" t="s">
        <v>31</v>
      </c>
      <c r="D807">
        <v>39</v>
      </c>
      <c r="E807" t="s">
        <v>76</v>
      </c>
      <c r="F807" t="s">
        <v>77</v>
      </c>
      <c r="G807" t="s">
        <v>78</v>
      </c>
      <c r="H807" s="1">
        <v>44727</v>
      </c>
    </row>
    <row r="808" spans="1:8">
      <c r="A808" t="s">
        <v>1657</v>
      </c>
      <c r="B808" t="s">
        <v>1658</v>
      </c>
      <c r="C808" t="s">
        <v>10</v>
      </c>
      <c r="D808">
        <v>18</v>
      </c>
      <c r="E808" t="s">
        <v>63</v>
      </c>
      <c r="F808" t="s">
        <v>64</v>
      </c>
      <c r="G808" t="s">
        <v>12</v>
      </c>
      <c r="H808" s="1">
        <v>45203</v>
      </c>
    </row>
    <row r="809" spans="1:8">
      <c r="A809" t="s">
        <v>1659</v>
      </c>
      <c r="B809" t="s">
        <v>1660</v>
      </c>
      <c r="C809" t="s">
        <v>10</v>
      </c>
      <c r="D809">
        <v>49</v>
      </c>
      <c r="E809" t="s">
        <v>101</v>
      </c>
      <c r="F809" t="s">
        <v>21</v>
      </c>
      <c r="G809" t="s">
        <v>22</v>
      </c>
      <c r="H809" s="1">
        <v>44907</v>
      </c>
    </row>
    <row r="810" spans="1:8">
      <c r="A810" t="s">
        <v>1661</v>
      </c>
      <c r="B810" t="s">
        <v>1662</v>
      </c>
      <c r="C810" t="s">
        <v>31</v>
      </c>
      <c r="D810">
        <v>58</v>
      </c>
      <c r="E810" t="s">
        <v>11</v>
      </c>
      <c r="F810" t="s">
        <v>11</v>
      </c>
      <c r="G810" t="s">
        <v>12</v>
      </c>
      <c r="H810" s="1">
        <v>44827</v>
      </c>
    </row>
    <row r="811" spans="1:8">
      <c r="A811" t="s">
        <v>1663</v>
      </c>
      <c r="B811" t="s">
        <v>1664</v>
      </c>
      <c r="C811" t="s">
        <v>31</v>
      </c>
      <c r="D811">
        <v>18</v>
      </c>
      <c r="E811" t="s">
        <v>149</v>
      </c>
      <c r="F811" t="s">
        <v>38</v>
      </c>
      <c r="G811" t="s">
        <v>22</v>
      </c>
      <c r="H811" s="1">
        <v>45539</v>
      </c>
    </row>
    <row r="812" spans="1:8">
      <c r="A812" t="s">
        <v>1665</v>
      </c>
      <c r="B812" t="s">
        <v>1666</v>
      </c>
      <c r="C812" t="s">
        <v>10</v>
      </c>
      <c r="D812">
        <v>38</v>
      </c>
      <c r="E812" t="s">
        <v>34</v>
      </c>
      <c r="F812" t="s">
        <v>16</v>
      </c>
      <c r="G812" t="s">
        <v>17</v>
      </c>
      <c r="H812" s="1">
        <v>45326</v>
      </c>
    </row>
    <row r="813" spans="1:8">
      <c r="A813" t="s">
        <v>1667</v>
      </c>
      <c r="B813" t="s">
        <v>1668</v>
      </c>
      <c r="C813" t="s">
        <v>10</v>
      </c>
      <c r="D813">
        <v>61</v>
      </c>
      <c r="E813" t="s">
        <v>27</v>
      </c>
      <c r="F813" t="s">
        <v>28</v>
      </c>
      <c r="G813" t="s">
        <v>12</v>
      </c>
      <c r="H813" s="1">
        <v>44952</v>
      </c>
    </row>
    <row r="814" spans="1:8">
      <c r="A814" t="s">
        <v>1669</v>
      </c>
      <c r="B814" t="s">
        <v>1670</v>
      </c>
      <c r="C814" t="s">
        <v>31</v>
      </c>
      <c r="D814">
        <v>37</v>
      </c>
      <c r="E814" t="s">
        <v>34</v>
      </c>
      <c r="F814" t="s">
        <v>16</v>
      </c>
      <c r="G814" t="s">
        <v>17</v>
      </c>
      <c r="H814" s="1">
        <v>45025</v>
      </c>
    </row>
    <row r="815" spans="1:8">
      <c r="A815" t="s">
        <v>1671</v>
      </c>
      <c r="B815" t="s">
        <v>1672</v>
      </c>
      <c r="C815" t="s">
        <v>31</v>
      </c>
      <c r="D815">
        <v>28</v>
      </c>
      <c r="E815" t="s">
        <v>41</v>
      </c>
      <c r="F815" t="s">
        <v>42</v>
      </c>
      <c r="G815" t="s">
        <v>17</v>
      </c>
      <c r="H815" s="1">
        <v>45592</v>
      </c>
    </row>
    <row r="816" spans="1:8">
      <c r="A816" t="s">
        <v>1673</v>
      </c>
      <c r="B816" t="s">
        <v>1674</v>
      </c>
      <c r="C816" t="s">
        <v>31</v>
      </c>
      <c r="D816">
        <v>47</v>
      </c>
      <c r="E816" t="s">
        <v>15</v>
      </c>
      <c r="F816" t="s">
        <v>16</v>
      </c>
      <c r="G816" t="s">
        <v>17</v>
      </c>
      <c r="H816" s="1">
        <v>45172</v>
      </c>
    </row>
    <row r="817" spans="1:8">
      <c r="A817" t="s">
        <v>1675</v>
      </c>
      <c r="B817" t="s">
        <v>1676</v>
      </c>
      <c r="C817" t="s">
        <v>31</v>
      </c>
      <c r="D817">
        <v>45</v>
      </c>
      <c r="E817" t="s">
        <v>27</v>
      </c>
      <c r="F817" t="s">
        <v>28</v>
      </c>
      <c r="G817" t="s">
        <v>12</v>
      </c>
      <c r="H817" s="1">
        <v>45635</v>
      </c>
    </row>
    <row r="818" spans="1:8">
      <c r="A818" t="s">
        <v>1677</v>
      </c>
      <c r="B818" t="s">
        <v>1678</v>
      </c>
      <c r="C818" t="s">
        <v>31</v>
      </c>
      <c r="D818">
        <v>40</v>
      </c>
      <c r="E818" t="s">
        <v>76</v>
      </c>
      <c r="F818" t="s">
        <v>77</v>
      </c>
      <c r="G818" t="s">
        <v>78</v>
      </c>
      <c r="H818" s="1">
        <v>45263</v>
      </c>
    </row>
    <row r="819" spans="1:8">
      <c r="A819" t="s">
        <v>1679</v>
      </c>
      <c r="B819" t="s">
        <v>1680</v>
      </c>
      <c r="C819" t="s">
        <v>10</v>
      </c>
      <c r="D819">
        <v>32</v>
      </c>
      <c r="E819" t="s">
        <v>63</v>
      </c>
      <c r="F819" t="s">
        <v>64</v>
      </c>
      <c r="G819" t="s">
        <v>12</v>
      </c>
      <c r="H819" s="1">
        <v>45388</v>
      </c>
    </row>
    <row r="820" spans="1:8">
      <c r="A820" t="s">
        <v>1681</v>
      </c>
      <c r="B820" t="s">
        <v>1682</v>
      </c>
      <c r="C820" t="s">
        <v>10</v>
      </c>
      <c r="D820">
        <v>55</v>
      </c>
      <c r="E820" t="s">
        <v>34</v>
      </c>
      <c r="F820" t="s">
        <v>16</v>
      </c>
      <c r="G820" t="s">
        <v>17</v>
      </c>
      <c r="H820" s="1">
        <v>44994</v>
      </c>
    </row>
    <row r="821" spans="1:8">
      <c r="A821" t="s">
        <v>1683</v>
      </c>
      <c r="B821" t="s">
        <v>1684</v>
      </c>
      <c r="C821" t="s">
        <v>10</v>
      </c>
      <c r="D821">
        <v>42</v>
      </c>
      <c r="E821" t="s">
        <v>20</v>
      </c>
      <c r="F821" t="s">
        <v>21</v>
      </c>
      <c r="G821" t="s">
        <v>22</v>
      </c>
      <c r="H821" s="1">
        <v>45312</v>
      </c>
    </row>
    <row r="822" spans="1:8">
      <c r="A822" t="s">
        <v>1685</v>
      </c>
      <c r="B822" t="s">
        <v>1686</v>
      </c>
      <c r="C822" t="s">
        <v>10</v>
      </c>
      <c r="D822">
        <v>56</v>
      </c>
      <c r="E822" t="s">
        <v>91</v>
      </c>
      <c r="F822" t="s">
        <v>92</v>
      </c>
      <c r="G822" t="s">
        <v>78</v>
      </c>
      <c r="H822" s="1">
        <v>45657</v>
      </c>
    </row>
    <row r="823" spans="1:8">
      <c r="A823" t="s">
        <v>1687</v>
      </c>
      <c r="B823" t="s">
        <v>1688</v>
      </c>
      <c r="C823" t="s">
        <v>10</v>
      </c>
      <c r="D823">
        <v>21</v>
      </c>
      <c r="E823" t="s">
        <v>87</v>
      </c>
      <c r="F823" t="s">
        <v>88</v>
      </c>
      <c r="G823" t="s">
        <v>78</v>
      </c>
      <c r="H823" s="1">
        <v>45900</v>
      </c>
    </row>
    <row r="824" spans="1:8">
      <c r="A824" t="s">
        <v>1689</v>
      </c>
      <c r="B824" t="s">
        <v>1690</v>
      </c>
      <c r="C824" t="s">
        <v>31</v>
      </c>
      <c r="D824">
        <v>25</v>
      </c>
      <c r="E824" t="s">
        <v>69</v>
      </c>
      <c r="F824" t="s">
        <v>69</v>
      </c>
      <c r="G824" t="s">
        <v>12</v>
      </c>
      <c r="H824" s="1">
        <v>45471</v>
      </c>
    </row>
    <row r="825" spans="1:8">
      <c r="A825" t="s">
        <v>1691</v>
      </c>
      <c r="B825" t="s">
        <v>1692</v>
      </c>
      <c r="C825" t="s">
        <v>10</v>
      </c>
      <c r="D825">
        <v>31</v>
      </c>
      <c r="E825" t="s">
        <v>149</v>
      </c>
      <c r="F825" t="s">
        <v>38</v>
      </c>
      <c r="G825" t="s">
        <v>22</v>
      </c>
      <c r="H825" s="1">
        <v>45999</v>
      </c>
    </row>
    <row r="826" spans="1:8">
      <c r="A826" t="s">
        <v>1693</v>
      </c>
      <c r="B826" t="s">
        <v>1694</v>
      </c>
      <c r="C826" t="s">
        <v>31</v>
      </c>
      <c r="D826">
        <v>60</v>
      </c>
      <c r="E826" t="s">
        <v>11</v>
      </c>
      <c r="F826" t="s">
        <v>11</v>
      </c>
      <c r="G826" t="s">
        <v>12</v>
      </c>
      <c r="H826" s="1">
        <v>45178</v>
      </c>
    </row>
    <row r="827" spans="1:8">
      <c r="A827" t="s">
        <v>1695</v>
      </c>
      <c r="B827" t="s">
        <v>1696</v>
      </c>
      <c r="C827" t="s">
        <v>10</v>
      </c>
      <c r="D827">
        <v>44</v>
      </c>
      <c r="E827" t="s">
        <v>218</v>
      </c>
      <c r="F827" t="s">
        <v>219</v>
      </c>
      <c r="G827" t="s">
        <v>17</v>
      </c>
      <c r="H827" s="1">
        <v>45114</v>
      </c>
    </row>
    <row r="828" spans="1:8">
      <c r="A828" t="s">
        <v>1697</v>
      </c>
      <c r="B828" t="s">
        <v>1698</v>
      </c>
      <c r="C828" t="s">
        <v>10</v>
      </c>
      <c r="D828">
        <v>36</v>
      </c>
      <c r="E828" t="s">
        <v>87</v>
      </c>
      <c r="F828" t="s">
        <v>88</v>
      </c>
      <c r="G828" t="s">
        <v>78</v>
      </c>
      <c r="H828" s="1">
        <v>45609</v>
      </c>
    </row>
    <row r="829" spans="1:8">
      <c r="A829" t="s">
        <v>1699</v>
      </c>
      <c r="B829" t="s">
        <v>1700</v>
      </c>
      <c r="C829" t="s">
        <v>10</v>
      </c>
      <c r="D829">
        <v>56</v>
      </c>
      <c r="E829" t="s">
        <v>15</v>
      </c>
      <c r="F829" t="s">
        <v>16</v>
      </c>
      <c r="G829" t="s">
        <v>17</v>
      </c>
      <c r="H829" s="1">
        <v>45581</v>
      </c>
    </row>
    <row r="830" spans="1:8">
      <c r="A830" t="s">
        <v>1701</v>
      </c>
      <c r="B830" t="s">
        <v>1702</v>
      </c>
      <c r="C830" t="s">
        <v>10</v>
      </c>
      <c r="D830">
        <v>40</v>
      </c>
      <c r="E830" t="s">
        <v>45</v>
      </c>
      <c r="F830" t="s">
        <v>46</v>
      </c>
      <c r="G830" t="s">
        <v>17</v>
      </c>
      <c r="H830" s="1">
        <v>45633</v>
      </c>
    </row>
    <row r="831" spans="1:8">
      <c r="A831" t="s">
        <v>1703</v>
      </c>
      <c r="B831" t="s">
        <v>1704</v>
      </c>
      <c r="C831" t="s">
        <v>10</v>
      </c>
      <c r="D831">
        <v>53</v>
      </c>
      <c r="E831" t="s">
        <v>134</v>
      </c>
      <c r="F831" t="s">
        <v>28</v>
      </c>
      <c r="G831" t="s">
        <v>12</v>
      </c>
      <c r="H831" s="1">
        <v>44890</v>
      </c>
    </row>
    <row r="832" spans="1:8">
      <c r="A832" t="s">
        <v>1705</v>
      </c>
      <c r="B832" t="s">
        <v>1706</v>
      </c>
      <c r="C832" t="s">
        <v>31</v>
      </c>
      <c r="D832">
        <v>39</v>
      </c>
      <c r="E832" t="s">
        <v>101</v>
      </c>
      <c r="F832" t="s">
        <v>21</v>
      </c>
      <c r="G832" t="s">
        <v>22</v>
      </c>
      <c r="H832" s="1">
        <v>45971</v>
      </c>
    </row>
    <row r="833" spans="1:8">
      <c r="A833" t="s">
        <v>1707</v>
      </c>
      <c r="B833" t="s">
        <v>1708</v>
      </c>
      <c r="C833" t="s">
        <v>10</v>
      </c>
      <c r="D833">
        <v>25</v>
      </c>
      <c r="E833" t="s">
        <v>15</v>
      </c>
      <c r="F833" t="s">
        <v>16</v>
      </c>
      <c r="G833" t="s">
        <v>17</v>
      </c>
      <c r="H833" s="1">
        <v>45937</v>
      </c>
    </row>
    <row r="834" spans="1:8">
      <c r="A834" t="s">
        <v>1709</v>
      </c>
      <c r="B834" t="s">
        <v>1710</v>
      </c>
      <c r="C834" t="s">
        <v>10</v>
      </c>
      <c r="D834">
        <v>67</v>
      </c>
      <c r="E834" t="s">
        <v>112</v>
      </c>
      <c r="F834" t="s">
        <v>113</v>
      </c>
      <c r="G834" t="s">
        <v>78</v>
      </c>
      <c r="H834" s="1">
        <v>44867</v>
      </c>
    </row>
    <row r="835" spans="1:8">
      <c r="A835" t="s">
        <v>1711</v>
      </c>
      <c r="B835" t="s">
        <v>1712</v>
      </c>
      <c r="C835" t="s">
        <v>10</v>
      </c>
      <c r="D835">
        <v>47</v>
      </c>
      <c r="E835" t="s">
        <v>20</v>
      </c>
      <c r="F835" t="s">
        <v>21</v>
      </c>
      <c r="G835" t="s">
        <v>22</v>
      </c>
      <c r="H835" s="1">
        <v>45086</v>
      </c>
    </row>
    <row r="836" spans="1:8">
      <c r="A836" t="s">
        <v>1713</v>
      </c>
      <c r="B836" t="s">
        <v>1714</v>
      </c>
      <c r="C836" t="s">
        <v>31</v>
      </c>
      <c r="D836">
        <v>21</v>
      </c>
      <c r="E836" t="s">
        <v>91</v>
      </c>
      <c r="F836" t="s">
        <v>92</v>
      </c>
      <c r="G836" t="s">
        <v>78</v>
      </c>
      <c r="H836" s="1">
        <v>45102</v>
      </c>
    </row>
    <row r="837" spans="1:8">
      <c r="A837" t="s">
        <v>1715</v>
      </c>
      <c r="B837" t="s">
        <v>1716</v>
      </c>
      <c r="C837" t="s">
        <v>31</v>
      </c>
      <c r="D837">
        <v>41</v>
      </c>
      <c r="E837" t="s">
        <v>34</v>
      </c>
      <c r="F837" t="s">
        <v>16</v>
      </c>
      <c r="G837" t="s">
        <v>17</v>
      </c>
      <c r="H837" s="1">
        <v>44642</v>
      </c>
    </row>
    <row r="838" spans="1:8">
      <c r="A838" t="s">
        <v>1717</v>
      </c>
      <c r="B838" t="s">
        <v>1718</v>
      </c>
      <c r="C838" t="s">
        <v>10</v>
      </c>
      <c r="D838">
        <v>24</v>
      </c>
      <c r="E838" t="s">
        <v>134</v>
      </c>
      <c r="F838" t="s">
        <v>28</v>
      </c>
      <c r="G838" t="s">
        <v>12</v>
      </c>
      <c r="H838" s="1">
        <v>45434</v>
      </c>
    </row>
    <row r="839" spans="1:8">
      <c r="A839" t="s">
        <v>1719</v>
      </c>
      <c r="B839" t="s">
        <v>1720</v>
      </c>
      <c r="C839" t="s">
        <v>10</v>
      </c>
      <c r="D839">
        <v>60</v>
      </c>
      <c r="E839" t="s">
        <v>87</v>
      </c>
      <c r="F839" t="s">
        <v>88</v>
      </c>
      <c r="G839" t="s">
        <v>78</v>
      </c>
      <c r="H839" s="1">
        <v>44581</v>
      </c>
    </row>
    <row r="840" spans="1:8">
      <c r="A840" t="s">
        <v>1721</v>
      </c>
      <c r="B840" t="s">
        <v>1722</v>
      </c>
      <c r="C840" t="s">
        <v>31</v>
      </c>
      <c r="D840">
        <v>57</v>
      </c>
      <c r="E840" t="s">
        <v>134</v>
      </c>
      <c r="F840" t="s">
        <v>28</v>
      </c>
      <c r="G840" t="s">
        <v>12</v>
      </c>
      <c r="H840" s="1">
        <v>45294</v>
      </c>
    </row>
    <row r="841" spans="1:8">
      <c r="A841" t="s">
        <v>1723</v>
      </c>
      <c r="B841" t="s">
        <v>1724</v>
      </c>
      <c r="C841" t="s">
        <v>31</v>
      </c>
      <c r="D841">
        <v>29</v>
      </c>
      <c r="E841" t="s">
        <v>15</v>
      </c>
      <c r="F841" t="s">
        <v>16</v>
      </c>
      <c r="G841" t="s">
        <v>17</v>
      </c>
      <c r="H841" s="1">
        <v>45325</v>
      </c>
    </row>
    <row r="842" spans="1:8">
      <c r="A842" t="s">
        <v>1725</v>
      </c>
      <c r="B842" t="s">
        <v>1726</v>
      </c>
      <c r="C842" t="s">
        <v>31</v>
      </c>
      <c r="D842">
        <v>42</v>
      </c>
      <c r="E842" t="s">
        <v>41</v>
      </c>
      <c r="F842" t="s">
        <v>42</v>
      </c>
      <c r="G842" t="s">
        <v>17</v>
      </c>
      <c r="H842" s="1">
        <v>45496</v>
      </c>
    </row>
    <row r="843" spans="1:8">
      <c r="A843" t="s">
        <v>1727</v>
      </c>
      <c r="B843" t="s">
        <v>1728</v>
      </c>
      <c r="C843" t="s">
        <v>10</v>
      </c>
      <c r="D843">
        <v>25</v>
      </c>
      <c r="E843" t="s">
        <v>69</v>
      </c>
      <c r="F843" t="s">
        <v>69</v>
      </c>
      <c r="G843" t="s">
        <v>12</v>
      </c>
      <c r="H843" s="1">
        <v>45425</v>
      </c>
    </row>
    <row r="844" spans="1:8">
      <c r="A844" t="s">
        <v>1729</v>
      </c>
      <c r="B844" t="s">
        <v>1730</v>
      </c>
      <c r="C844" t="s">
        <v>10</v>
      </c>
      <c r="D844">
        <v>44</v>
      </c>
      <c r="E844" t="s">
        <v>15</v>
      </c>
      <c r="F844" t="s">
        <v>16</v>
      </c>
      <c r="G844" t="s">
        <v>17</v>
      </c>
      <c r="H844" s="1">
        <v>44888</v>
      </c>
    </row>
    <row r="845" spans="1:8">
      <c r="A845" t="s">
        <v>1731</v>
      </c>
      <c r="B845" t="s">
        <v>1732</v>
      </c>
      <c r="C845" t="s">
        <v>31</v>
      </c>
      <c r="D845">
        <v>29</v>
      </c>
      <c r="E845" t="s">
        <v>112</v>
      </c>
      <c r="F845" t="s">
        <v>113</v>
      </c>
      <c r="G845" t="s">
        <v>78</v>
      </c>
      <c r="H845" s="1">
        <v>45727</v>
      </c>
    </row>
    <row r="846" spans="1:8">
      <c r="A846" t="s">
        <v>1733</v>
      </c>
      <c r="B846" t="s">
        <v>1734</v>
      </c>
      <c r="C846" t="s">
        <v>10</v>
      </c>
      <c r="D846">
        <v>61</v>
      </c>
      <c r="E846" t="s">
        <v>134</v>
      </c>
      <c r="F846" t="s">
        <v>28</v>
      </c>
      <c r="G846" t="s">
        <v>12</v>
      </c>
      <c r="H846" s="1">
        <v>45814</v>
      </c>
    </row>
    <row r="847" spans="1:8">
      <c r="A847" t="s">
        <v>1735</v>
      </c>
      <c r="B847" t="s">
        <v>1736</v>
      </c>
      <c r="C847" t="s">
        <v>31</v>
      </c>
      <c r="D847">
        <v>25</v>
      </c>
      <c r="E847" t="s">
        <v>76</v>
      </c>
      <c r="F847" t="s">
        <v>77</v>
      </c>
      <c r="G847" t="s">
        <v>78</v>
      </c>
      <c r="H847" s="1">
        <v>45551</v>
      </c>
    </row>
    <row r="848" spans="1:8">
      <c r="A848" t="s">
        <v>1737</v>
      </c>
      <c r="B848" t="s">
        <v>1738</v>
      </c>
      <c r="C848" t="s">
        <v>10</v>
      </c>
      <c r="D848">
        <v>34</v>
      </c>
      <c r="E848" t="s">
        <v>112</v>
      </c>
      <c r="F848" t="s">
        <v>113</v>
      </c>
      <c r="G848" t="s">
        <v>78</v>
      </c>
      <c r="H848" s="1">
        <v>44656</v>
      </c>
    </row>
    <row r="849" spans="1:8">
      <c r="A849" t="s">
        <v>1739</v>
      </c>
      <c r="B849" t="s">
        <v>1740</v>
      </c>
      <c r="C849" t="s">
        <v>10</v>
      </c>
      <c r="D849">
        <v>60</v>
      </c>
      <c r="E849" t="s">
        <v>11</v>
      </c>
      <c r="F849" t="s">
        <v>11</v>
      </c>
      <c r="G849" t="s">
        <v>12</v>
      </c>
      <c r="H849" s="1">
        <v>46004</v>
      </c>
    </row>
    <row r="850" spans="1:8">
      <c r="A850" t="s">
        <v>1741</v>
      </c>
      <c r="B850" t="s">
        <v>1742</v>
      </c>
      <c r="C850" t="s">
        <v>10</v>
      </c>
      <c r="D850">
        <v>45</v>
      </c>
      <c r="E850" t="s">
        <v>128</v>
      </c>
      <c r="F850" t="s">
        <v>129</v>
      </c>
      <c r="G850" t="s">
        <v>78</v>
      </c>
      <c r="H850" s="1">
        <v>45633</v>
      </c>
    </row>
    <row r="851" spans="1:8">
      <c r="A851" t="s">
        <v>1743</v>
      </c>
      <c r="B851" t="s">
        <v>1744</v>
      </c>
      <c r="C851" t="s">
        <v>31</v>
      </c>
      <c r="D851">
        <v>60</v>
      </c>
      <c r="E851" t="s">
        <v>63</v>
      </c>
      <c r="F851" t="s">
        <v>64</v>
      </c>
      <c r="G851" t="s">
        <v>12</v>
      </c>
      <c r="H851" s="1">
        <v>45548</v>
      </c>
    </row>
    <row r="852" spans="1:8">
      <c r="A852" t="s">
        <v>1745</v>
      </c>
      <c r="B852" t="s">
        <v>1746</v>
      </c>
      <c r="C852" t="s">
        <v>10</v>
      </c>
      <c r="D852">
        <v>18</v>
      </c>
      <c r="E852" t="s">
        <v>69</v>
      </c>
      <c r="F852" t="s">
        <v>69</v>
      </c>
      <c r="G852" t="s">
        <v>12</v>
      </c>
      <c r="H852" s="1">
        <v>44866</v>
      </c>
    </row>
    <row r="853" spans="1:8">
      <c r="A853" t="s">
        <v>1747</v>
      </c>
      <c r="B853" t="s">
        <v>1748</v>
      </c>
      <c r="C853" t="s">
        <v>31</v>
      </c>
      <c r="D853">
        <v>49</v>
      </c>
      <c r="E853" t="s">
        <v>63</v>
      </c>
      <c r="F853" t="s">
        <v>64</v>
      </c>
      <c r="G853" t="s">
        <v>12</v>
      </c>
      <c r="H853" s="1">
        <v>45597</v>
      </c>
    </row>
    <row r="854" spans="1:8">
      <c r="A854" t="s">
        <v>1749</v>
      </c>
      <c r="B854" t="s">
        <v>1750</v>
      </c>
      <c r="C854" t="s">
        <v>31</v>
      </c>
      <c r="D854">
        <v>33</v>
      </c>
      <c r="E854" t="s">
        <v>87</v>
      </c>
      <c r="F854" t="s">
        <v>88</v>
      </c>
      <c r="G854" t="s">
        <v>78</v>
      </c>
      <c r="H854" s="1">
        <v>45568</v>
      </c>
    </row>
    <row r="855" spans="1:8">
      <c r="A855" t="s">
        <v>1751</v>
      </c>
      <c r="B855" t="s">
        <v>1752</v>
      </c>
      <c r="C855" t="s">
        <v>10</v>
      </c>
      <c r="D855">
        <v>53</v>
      </c>
      <c r="E855" t="s">
        <v>37</v>
      </c>
      <c r="F855" t="s">
        <v>38</v>
      </c>
      <c r="G855" t="s">
        <v>22</v>
      </c>
      <c r="H855" s="1">
        <v>44665</v>
      </c>
    </row>
    <row r="856" spans="1:8">
      <c r="A856" t="s">
        <v>1753</v>
      </c>
      <c r="B856" t="s">
        <v>1754</v>
      </c>
      <c r="C856" t="s">
        <v>10</v>
      </c>
      <c r="D856">
        <v>47</v>
      </c>
      <c r="E856" t="s">
        <v>69</v>
      </c>
      <c r="F856" t="s">
        <v>69</v>
      </c>
      <c r="G856" t="s">
        <v>12</v>
      </c>
      <c r="H856" s="1">
        <v>45043</v>
      </c>
    </row>
    <row r="857" spans="1:8">
      <c r="A857" t="s">
        <v>1755</v>
      </c>
      <c r="B857" t="s">
        <v>1756</v>
      </c>
      <c r="C857" t="s">
        <v>10</v>
      </c>
      <c r="D857">
        <v>49</v>
      </c>
      <c r="E857" t="s">
        <v>60</v>
      </c>
      <c r="F857" t="s">
        <v>21</v>
      </c>
      <c r="G857" t="s">
        <v>22</v>
      </c>
      <c r="H857" s="1">
        <v>45479</v>
      </c>
    </row>
    <row r="858" spans="1:8">
      <c r="A858" t="s">
        <v>1757</v>
      </c>
      <c r="B858" t="s">
        <v>1758</v>
      </c>
      <c r="C858" t="s">
        <v>10</v>
      </c>
      <c r="D858">
        <v>24</v>
      </c>
      <c r="E858" t="s">
        <v>20</v>
      </c>
      <c r="F858" t="s">
        <v>21</v>
      </c>
      <c r="G858" t="s">
        <v>22</v>
      </c>
      <c r="H858" s="1">
        <v>45580</v>
      </c>
    </row>
    <row r="859" spans="1:8">
      <c r="A859" t="s">
        <v>1759</v>
      </c>
      <c r="B859" t="s">
        <v>1760</v>
      </c>
      <c r="C859" t="s">
        <v>10</v>
      </c>
      <c r="D859">
        <v>70</v>
      </c>
      <c r="E859" t="s">
        <v>20</v>
      </c>
      <c r="F859" t="s">
        <v>21</v>
      </c>
      <c r="G859" t="s">
        <v>22</v>
      </c>
      <c r="H859" s="1">
        <v>45703</v>
      </c>
    </row>
    <row r="860" spans="1:8">
      <c r="A860" t="s">
        <v>1761</v>
      </c>
      <c r="B860" t="s">
        <v>1762</v>
      </c>
      <c r="C860" t="s">
        <v>31</v>
      </c>
      <c r="D860">
        <v>50</v>
      </c>
      <c r="E860" t="s">
        <v>218</v>
      </c>
      <c r="F860" t="s">
        <v>219</v>
      </c>
      <c r="G860" t="s">
        <v>17</v>
      </c>
      <c r="H860" s="1">
        <v>45829</v>
      </c>
    </row>
    <row r="861" spans="1:8">
      <c r="A861" t="s">
        <v>1763</v>
      </c>
      <c r="B861" t="s">
        <v>1764</v>
      </c>
      <c r="C861" t="s">
        <v>31</v>
      </c>
      <c r="D861">
        <v>70</v>
      </c>
      <c r="E861" t="s">
        <v>149</v>
      </c>
      <c r="F861" t="s">
        <v>38</v>
      </c>
      <c r="G861" t="s">
        <v>22</v>
      </c>
      <c r="H861" s="1">
        <v>45260</v>
      </c>
    </row>
    <row r="862" spans="1:8">
      <c r="A862" t="s">
        <v>1765</v>
      </c>
      <c r="B862" t="s">
        <v>1766</v>
      </c>
      <c r="C862" t="s">
        <v>31</v>
      </c>
      <c r="D862">
        <v>53</v>
      </c>
      <c r="E862" t="s">
        <v>34</v>
      </c>
      <c r="F862" t="s">
        <v>16</v>
      </c>
      <c r="G862" t="s">
        <v>17</v>
      </c>
      <c r="H862" s="1">
        <v>45492</v>
      </c>
    </row>
    <row r="863" spans="1:8">
      <c r="A863" t="s">
        <v>1767</v>
      </c>
      <c r="B863" t="s">
        <v>1768</v>
      </c>
      <c r="C863" t="s">
        <v>31</v>
      </c>
      <c r="D863">
        <v>63</v>
      </c>
      <c r="E863" t="s">
        <v>27</v>
      </c>
      <c r="F863" t="s">
        <v>28</v>
      </c>
      <c r="G863" t="s">
        <v>12</v>
      </c>
      <c r="H863" s="1">
        <v>45530</v>
      </c>
    </row>
    <row r="864" spans="1:8">
      <c r="A864" t="s">
        <v>1769</v>
      </c>
      <c r="B864" t="s">
        <v>1770</v>
      </c>
      <c r="C864" t="s">
        <v>10</v>
      </c>
      <c r="D864">
        <v>18</v>
      </c>
      <c r="E864" t="s">
        <v>20</v>
      </c>
      <c r="F864" t="s">
        <v>21</v>
      </c>
      <c r="G864" t="s">
        <v>22</v>
      </c>
      <c r="H864" s="1">
        <v>45911</v>
      </c>
    </row>
    <row r="865" spans="1:8">
      <c r="A865" t="s">
        <v>1771</v>
      </c>
      <c r="B865" t="s">
        <v>1772</v>
      </c>
      <c r="C865" t="s">
        <v>31</v>
      </c>
      <c r="D865">
        <v>62</v>
      </c>
      <c r="E865" t="s">
        <v>37</v>
      </c>
      <c r="F865" t="s">
        <v>38</v>
      </c>
      <c r="G865" t="s">
        <v>22</v>
      </c>
      <c r="H865" s="1">
        <v>45683</v>
      </c>
    </row>
    <row r="866" spans="1:8">
      <c r="A866" t="s">
        <v>1773</v>
      </c>
      <c r="B866" t="s">
        <v>1774</v>
      </c>
      <c r="C866" t="s">
        <v>10</v>
      </c>
      <c r="D866">
        <v>70</v>
      </c>
      <c r="E866" t="s">
        <v>34</v>
      </c>
      <c r="F866" t="s">
        <v>16</v>
      </c>
      <c r="G866" t="s">
        <v>17</v>
      </c>
      <c r="H866" s="1">
        <v>45570</v>
      </c>
    </row>
    <row r="867" spans="1:8">
      <c r="A867" t="s">
        <v>1775</v>
      </c>
      <c r="B867" t="s">
        <v>1776</v>
      </c>
      <c r="C867" t="s">
        <v>31</v>
      </c>
      <c r="D867">
        <v>57</v>
      </c>
      <c r="E867" t="s">
        <v>69</v>
      </c>
      <c r="F867" t="s">
        <v>69</v>
      </c>
      <c r="G867" t="s">
        <v>12</v>
      </c>
      <c r="H867" s="1">
        <v>44781</v>
      </c>
    </row>
    <row r="868" spans="1:8">
      <c r="A868" t="s">
        <v>1777</v>
      </c>
      <c r="B868" t="s">
        <v>1778</v>
      </c>
      <c r="C868" t="s">
        <v>10</v>
      </c>
      <c r="D868">
        <v>47</v>
      </c>
      <c r="E868" t="s">
        <v>15</v>
      </c>
      <c r="F868" t="s">
        <v>16</v>
      </c>
      <c r="G868" t="s">
        <v>17</v>
      </c>
      <c r="H868" s="1">
        <v>45366</v>
      </c>
    </row>
    <row r="869" spans="1:8">
      <c r="A869" t="s">
        <v>1779</v>
      </c>
      <c r="B869" t="s">
        <v>1780</v>
      </c>
      <c r="C869" t="s">
        <v>10</v>
      </c>
      <c r="D869">
        <v>66</v>
      </c>
      <c r="E869" t="s">
        <v>76</v>
      </c>
      <c r="F869" t="s">
        <v>77</v>
      </c>
      <c r="G869" t="s">
        <v>78</v>
      </c>
      <c r="H869" s="1">
        <v>45254</v>
      </c>
    </row>
    <row r="870" spans="1:8">
      <c r="A870" t="s">
        <v>1781</v>
      </c>
      <c r="B870" t="s">
        <v>1782</v>
      </c>
      <c r="C870" t="s">
        <v>31</v>
      </c>
      <c r="D870">
        <v>47</v>
      </c>
      <c r="E870" t="s">
        <v>60</v>
      </c>
      <c r="F870" t="s">
        <v>21</v>
      </c>
      <c r="G870" t="s">
        <v>22</v>
      </c>
      <c r="H870" s="1">
        <v>44814</v>
      </c>
    </row>
    <row r="871" spans="1:8">
      <c r="A871" t="s">
        <v>1783</v>
      </c>
      <c r="B871" t="s">
        <v>1784</v>
      </c>
      <c r="C871" t="s">
        <v>31</v>
      </c>
      <c r="D871">
        <v>18</v>
      </c>
      <c r="E871" t="s">
        <v>27</v>
      </c>
      <c r="F871" t="s">
        <v>28</v>
      </c>
      <c r="G871" t="s">
        <v>12</v>
      </c>
      <c r="H871" s="1">
        <v>44837</v>
      </c>
    </row>
    <row r="872" spans="1:8">
      <c r="A872" t="s">
        <v>1785</v>
      </c>
      <c r="B872" t="s">
        <v>1786</v>
      </c>
      <c r="C872" t="s">
        <v>31</v>
      </c>
      <c r="D872">
        <v>55</v>
      </c>
      <c r="E872" t="s">
        <v>20</v>
      </c>
      <c r="F872" t="s">
        <v>21</v>
      </c>
      <c r="G872" t="s">
        <v>22</v>
      </c>
      <c r="H872" s="1">
        <v>45695</v>
      </c>
    </row>
    <row r="873" spans="1:8">
      <c r="A873" t="s">
        <v>1787</v>
      </c>
      <c r="B873" t="s">
        <v>1788</v>
      </c>
      <c r="C873" t="s">
        <v>10</v>
      </c>
      <c r="D873">
        <v>64</v>
      </c>
      <c r="E873" t="s">
        <v>60</v>
      </c>
      <c r="F873" t="s">
        <v>21</v>
      </c>
      <c r="G873" t="s">
        <v>22</v>
      </c>
      <c r="H873" s="1">
        <v>44924</v>
      </c>
    </row>
    <row r="874" spans="1:8">
      <c r="A874" t="s">
        <v>1789</v>
      </c>
      <c r="B874" t="s">
        <v>1790</v>
      </c>
      <c r="C874" t="s">
        <v>31</v>
      </c>
      <c r="D874">
        <v>50</v>
      </c>
      <c r="E874" t="s">
        <v>11</v>
      </c>
      <c r="F874" t="s">
        <v>11</v>
      </c>
      <c r="G874" t="s">
        <v>12</v>
      </c>
      <c r="H874" s="1">
        <v>45355</v>
      </c>
    </row>
    <row r="875" spans="1:8">
      <c r="A875" t="s">
        <v>1791</v>
      </c>
      <c r="B875" t="s">
        <v>1792</v>
      </c>
      <c r="C875" t="s">
        <v>10</v>
      </c>
      <c r="D875">
        <v>35</v>
      </c>
      <c r="E875" t="s">
        <v>112</v>
      </c>
      <c r="F875" t="s">
        <v>113</v>
      </c>
      <c r="G875" t="s">
        <v>78</v>
      </c>
      <c r="H875" s="1">
        <v>45809</v>
      </c>
    </row>
    <row r="876" spans="1:8">
      <c r="A876" t="s">
        <v>1793</v>
      </c>
      <c r="B876" t="s">
        <v>1794</v>
      </c>
      <c r="C876" t="s">
        <v>31</v>
      </c>
      <c r="D876">
        <v>69</v>
      </c>
      <c r="E876" t="s">
        <v>37</v>
      </c>
      <c r="F876" t="s">
        <v>38</v>
      </c>
      <c r="G876" t="s">
        <v>22</v>
      </c>
      <c r="H876" s="1">
        <v>45164</v>
      </c>
    </row>
    <row r="877" spans="1:8">
      <c r="A877" t="s">
        <v>1795</v>
      </c>
      <c r="B877" t="s">
        <v>1796</v>
      </c>
      <c r="C877" t="s">
        <v>31</v>
      </c>
      <c r="D877">
        <v>62</v>
      </c>
      <c r="E877" t="s">
        <v>41</v>
      </c>
      <c r="F877" t="s">
        <v>42</v>
      </c>
      <c r="G877" t="s">
        <v>17</v>
      </c>
      <c r="H877" s="1">
        <v>45795</v>
      </c>
    </row>
    <row r="878" spans="1:8">
      <c r="A878" t="s">
        <v>1797</v>
      </c>
      <c r="B878" t="s">
        <v>1798</v>
      </c>
      <c r="C878" t="s">
        <v>10</v>
      </c>
      <c r="D878">
        <v>30</v>
      </c>
      <c r="E878" t="s">
        <v>37</v>
      </c>
      <c r="F878" t="s">
        <v>38</v>
      </c>
      <c r="G878" t="s">
        <v>22</v>
      </c>
      <c r="H878" s="1">
        <v>46019</v>
      </c>
    </row>
    <row r="879" spans="1:8">
      <c r="A879" t="s">
        <v>1799</v>
      </c>
      <c r="B879" t="s">
        <v>1800</v>
      </c>
      <c r="C879" t="s">
        <v>31</v>
      </c>
      <c r="D879">
        <v>61</v>
      </c>
      <c r="E879" t="s">
        <v>45</v>
      </c>
      <c r="F879" t="s">
        <v>46</v>
      </c>
      <c r="G879" t="s">
        <v>17</v>
      </c>
      <c r="H879" s="1">
        <v>45968</v>
      </c>
    </row>
    <row r="880" spans="1:8">
      <c r="A880" t="s">
        <v>1801</v>
      </c>
      <c r="B880" t="s">
        <v>1802</v>
      </c>
      <c r="C880" t="s">
        <v>31</v>
      </c>
      <c r="D880">
        <v>63</v>
      </c>
      <c r="E880" t="s">
        <v>34</v>
      </c>
      <c r="F880" t="s">
        <v>16</v>
      </c>
      <c r="G880" t="s">
        <v>17</v>
      </c>
      <c r="H880" s="1">
        <v>45593</v>
      </c>
    </row>
    <row r="881" spans="1:8">
      <c r="A881" t="s">
        <v>1803</v>
      </c>
      <c r="B881" t="s">
        <v>1804</v>
      </c>
      <c r="C881" t="s">
        <v>31</v>
      </c>
      <c r="D881">
        <v>55</v>
      </c>
      <c r="E881" t="s">
        <v>45</v>
      </c>
      <c r="F881" t="s">
        <v>46</v>
      </c>
      <c r="G881" t="s">
        <v>17</v>
      </c>
      <c r="H881" s="1">
        <v>45713</v>
      </c>
    </row>
    <row r="882" spans="1:8">
      <c r="A882" t="s">
        <v>1805</v>
      </c>
      <c r="B882" t="s">
        <v>1806</v>
      </c>
      <c r="C882" t="s">
        <v>31</v>
      </c>
      <c r="D882">
        <v>45</v>
      </c>
      <c r="E882" t="s">
        <v>149</v>
      </c>
      <c r="F882" t="s">
        <v>38</v>
      </c>
      <c r="G882" t="s">
        <v>22</v>
      </c>
      <c r="H882" s="1">
        <v>45942</v>
      </c>
    </row>
    <row r="883" spans="1:8">
      <c r="A883" t="s">
        <v>1807</v>
      </c>
      <c r="B883" t="s">
        <v>1808</v>
      </c>
      <c r="C883" t="s">
        <v>10</v>
      </c>
      <c r="D883">
        <v>42</v>
      </c>
      <c r="E883" t="s">
        <v>27</v>
      </c>
      <c r="F883" t="s">
        <v>28</v>
      </c>
      <c r="G883" t="s">
        <v>12</v>
      </c>
      <c r="H883" s="1">
        <v>44780</v>
      </c>
    </row>
    <row r="884" spans="1:8">
      <c r="A884" t="s">
        <v>1809</v>
      </c>
      <c r="B884" t="s">
        <v>1810</v>
      </c>
      <c r="C884" t="s">
        <v>31</v>
      </c>
      <c r="D884">
        <v>66</v>
      </c>
      <c r="E884" t="s">
        <v>15</v>
      </c>
      <c r="F884" t="s">
        <v>16</v>
      </c>
      <c r="G884" t="s">
        <v>17</v>
      </c>
      <c r="H884" s="1">
        <v>44971</v>
      </c>
    </row>
    <row r="885" spans="1:8">
      <c r="A885" t="s">
        <v>1811</v>
      </c>
      <c r="B885" t="s">
        <v>1812</v>
      </c>
      <c r="C885" t="s">
        <v>31</v>
      </c>
      <c r="D885">
        <v>27</v>
      </c>
      <c r="E885" t="s">
        <v>134</v>
      </c>
      <c r="F885" t="s">
        <v>28</v>
      </c>
      <c r="G885" t="s">
        <v>12</v>
      </c>
      <c r="H885" s="1">
        <v>45961</v>
      </c>
    </row>
    <row r="886" spans="1:8">
      <c r="A886" t="s">
        <v>1813</v>
      </c>
      <c r="B886" t="s">
        <v>1814</v>
      </c>
      <c r="C886" t="s">
        <v>10</v>
      </c>
      <c r="D886">
        <v>40</v>
      </c>
      <c r="E886" t="s">
        <v>91</v>
      </c>
      <c r="F886" t="s">
        <v>92</v>
      </c>
      <c r="G886" t="s">
        <v>78</v>
      </c>
      <c r="H886" s="1">
        <v>44979</v>
      </c>
    </row>
    <row r="887" spans="1:8">
      <c r="A887" t="s">
        <v>1815</v>
      </c>
      <c r="B887" t="s">
        <v>1816</v>
      </c>
      <c r="C887" t="s">
        <v>10</v>
      </c>
      <c r="D887">
        <v>65</v>
      </c>
      <c r="E887" t="s">
        <v>11</v>
      </c>
      <c r="F887" t="s">
        <v>11</v>
      </c>
      <c r="G887" t="s">
        <v>12</v>
      </c>
      <c r="H887" s="1">
        <v>45823</v>
      </c>
    </row>
    <row r="888" spans="1:8">
      <c r="A888" t="s">
        <v>1817</v>
      </c>
      <c r="B888" t="s">
        <v>1818</v>
      </c>
      <c r="C888" t="s">
        <v>31</v>
      </c>
      <c r="D888">
        <v>62</v>
      </c>
      <c r="E888" t="s">
        <v>69</v>
      </c>
      <c r="F888" t="s">
        <v>69</v>
      </c>
      <c r="G888" t="s">
        <v>12</v>
      </c>
      <c r="H888" s="1">
        <v>45048</v>
      </c>
    </row>
    <row r="889" spans="1:8">
      <c r="A889" t="s">
        <v>1819</v>
      </c>
      <c r="B889" t="s">
        <v>1820</v>
      </c>
      <c r="C889" t="s">
        <v>31</v>
      </c>
      <c r="D889">
        <v>68</v>
      </c>
      <c r="E889" t="s">
        <v>69</v>
      </c>
      <c r="F889" t="s">
        <v>69</v>
      </c>
      <c r="G889" t="s">
        <v>12</v>
      </c>
      <c r="H889" s="1">
        <v>45355</v>
      </c>
    </row>
    <row r="890" spans="1:8">
      <c r="A890" t="s">
        <v>1821</v>
      </c>
      <c r="B890" t="s">
        <v>1822</v>
      </c>
      <c r="C890" t="s">
        <v>10</v>
      </c>
      <c r="D890">
        <v>18</v>
      </c>
      <c r="E890" t="s">
        <v>91</v>
      </c>
      <c r="F890" t="s">
        <v>92</v>
      </c>
      <c r="G890" t="s">
        <v>78</v>
      </c>
      <c r="H890" s="1">
        <v>45692</v>
      </c>
    </row>
    <row r="891" spans="1:8">
      <c r="A891" t="s">
        <v>1823</v>
      </c>
      <c r="B891" t="s">
        <v>1824</v>
      </c>
      <c r="C891" t="s">
        <v>31</v>
      </c>
      <c r="D891">
        <v>32</v>
      </c>
      <c r="E891" t="s">
        <v>63</v>
      </c>
      <c r="F891" t="s">
        <v>64</v>
      </c>
      <c r="G891" t="s">
        <v>12</v>
      </c>
      <c r="H891" s="1">
        <v>45832</v>
      </c>
    </row>
    <row r="892" spans="1:8">
      <c r="A892" t="s">
        <v>1825</v>
      </c>
      <c r="B892" t="s">
        <v>1826</v>
      </c>
      <c r="C892" t="s">
        <v>10</v>
      </c>
      <c r="D892">
        <v>67</v>
      </c>
      <c r="E892" t="s">
        <v>91</v>
      </c>
      <c r="F892" t="s">
        <v>92</v>
      </c>
      <c r="G892" t="s">
        <v>78</v>
      </c>
      <c r="H892" s="1">
        <v>45767</v>
      </c>
    </row>
    <row r="893" spans="1:8">
      <c r="A893" t="s">
        <v>1827</v>
      </c>
      <c r="B893" t="s">
        <v>1828</v>
      </c>
      <c r="C893" t="s">
        <v>31</v>
      </c>
      <c r="D893">
        <v>29</v>
      </c>
      <c r="E893" t="s">
        <v>63</v>
      </c>
      <c r="F893" t="s">
        <v>64</v>
      </c>
      <c r="G893" t="s">
        <v>12</v>
      </c>
      <c r="H893" s="1">
        <v>45164</v>
      </c>
    </row>
    <row r="894" spans="1:8">
      <c r="A894" t="s">
        <v>1829</v>
      </c>
      <c r="B894" t="s">
        <v>1830</v>
      </c>
      <c r="C894" t="s">
        <v>10</v>
      </c>
      <c r="D894">
        <v>65</v>
      </c>
      <c r="E894" t="s">
        <v>87</v>
      </c>
      <c r="F894" t="s">
        <v>88</v>
      </c>
      <c r="G894" t="s">
        <v>78</v>
      </c>
      <c r="H894" s="1">
        <v>44944</v>
      </c>
    </row>
    <row r="895" spans="1:8">
      <c r="A895" t="s">
        <v>1831</v>
      </c>
      <c r="B895" t="s">
        <v>1832</v>
      </c>
      <c r="C895" t="s">
        <v>31</v>
      </c>
      <c r="D895">
        <v>35</v>
      </c>
      <c r="E895" t="s">
        <v>149</v>
      </c>
      <c r="F895" t="s">
        <v>38</v>
      </c>
      <c r="G895" t="s">
        <v>22</v>
      </c>
      <c r="H895" s="1">
        <v>44645</v>
      </c>
    </row>
    <row r="896" spans="1:8">
      <c r="A896" t="s">
        <v>1833</v>
      </c>
      <c r="B896" t="s">
        <v>1834</v>
      </c>
      <c r="C896" t="s">
        <v>31</v>
      </c>
      <c r="D896">
        <v>18</v>
      </c>
      <c r="E896" t="s">
        <v>101</v>
      </c>
      <c r="F896" t="s">
        <v>21</v>
      </c>
      <c r="G896" t="s">
        <v>22</v>
      </c>
      <c r="H896" s="1">
        <v>44891</v>
      </c>
    </row>
    <row r="897" spans="1:8">
      <c r="A897" t="s">
        <v>1835</v>
      </c>
      <c r="B897" t="s">
        <v>1836</v>
      </c>
      <c r="C897" t="s">
        <v>10</v>
      </c>
      <c r="D897">
        <v>38</v>
      </c>
      <c r="E897" t="s">
        <v>101</v>
      </c>
      <c r="F897" t="s">
        <v>21</v>
      </c>
      <c r="G897" t="s">
        <v>22</v>
      </c>
      <c r="H897" s="1">
        <v>44643</v>
      </c>
    </row>
    <row r="898" spans="1:8">
      <c r="A898" t="s">
        <v>1837</v>
      </c>
      <c r="B898" t="s">
        <v>1838</v>
      </c>
      <c r="C898" t="s">
        <v>31</v>
      </c>
      <c r="D898">
        <v>49</v>
      </c>
      <c r="E898" t="s">
        <v>27</v>
      </c>
      <c r="F898" t="s">
        <v>28</v>
      </c>
      <c r="G898" t="s">
        <v>12</v>
      </c>
      <c r="H898" s="1">
        <v>45917</v>
      </c>
    </row>
    <row r="899" spans="1:8">
      <c r="A899" t="s">
        <v>1839</v>
      </c>
      <c r="B899" t="s">
        <v>1840</v>
      </c>
      <c r="C899" t="s">
        <v>10</v>
      </c>
      <c r="D899">
        <v>68</v>
      </c>
      <c r="E899" t="s">
        <v>27</v>
      </c>
      <c r="F899" t="s">
        <v>28</v>
      </c>
      <c r="G899" t="s">
        <v>12</v>
      </c>
      <c r="H899" s="1">
        <v>45295</v>
      </c>
    </row>
    <row r="900" spans="1:8">
      <c r="A900" t="s">
        <v>1841</v>
      </c>
      <c r="B900" t="s">
        <v>1842</v>
      </c>
      <c r="C900" t="s">
        <v>10</v>
      </c>
      <c r="D900">
        <v>51</v>
      </c>
      <c r="E900" t="s">
        <v>27</v>
      </c>
      <c r="F900" t="s">
        <v>28</v>
      </c>
      <c r="G900" t="s">
        <v>12</v>
      </c>
      <c r="H900" s="1">
        <v>45012</v>
      </c>
    </row>
    <row r="901" spans="1:8">
      <c r="A901" t="s">
        <v>1843</v>
      </c>
      <c r="B901" t="s">
        <v>1844</v>
      </c>
      <c r="C901" t="s">
        <v>31</v>
      </c>
      <c r="D901">
        <v>52</v>
      </c>
      <c r="E901" t="s">
        <v>218</v>
      </c>
      <c r="F901" t="s">
        <v>219</v>
      </c>
      <c r="G901" t="s">
        <v>17</v>
      </c>
      <c r="H901" s="1">
        <v>44888</v>
      </c>
    </row>
    <row r="902" spans="1:8">
      <c r="A902" t="s">
        <v>1845</v>
      </c>
      <c r="B902" t="s">
        <v>1846</v>
      </c>
      <c r="C902" t="s">
        <v>10</v>
      </c>
      <c r="D902">
        <v>31</v>
      </c>
      <c r="E902" t="s">
        <v>20</v>
      </c>
      <c r="F902" t="s">
        <v>21</v>
      </c>
      <c r="G902" t="s">
        <v>22</v>
      </c>
      <c r="H902" s="1">
        <v>45277</v>
      </c>
    </row>
    <row r="903" spans="1:8">
      <c r="A903" t="s">
        <v>1847</v>
      </c>
      <c r="B903" t="s">
        <v>1848</v>
      </c>
      <c r="C903" t="s">
        <v>31</v>
      </c>
      <c r="D903">
        <v>31</v>
      </c>
      <c r="E903" t="s">
        <v>134</v>
      </c>
      <c r="F903" t="s">
        <v>28</v>
      </c>
      <c r="G903" t="s">
        <v>12</v>
      </c>
      <c r="H903" s="1">
        <v>45300</v>
      </c>
    </row>
    <row r="904" spans="1:8">
      <c r="A904" t="s">
        <v>1849</v>
      </c>
      <c r="B904" t="s">
        <v>1850</v>
      </c>
      <c r="C904" t="s">
        <v>31</v>
      </c>
      <c r="D904">
        <v>53</v>
      </c>
      <c r="E904" t="s">
        <v>128</v>
      </c>
      <c r="F904" t="s">
        <v>129</v>
      </c>
      <c r="G904" t="s">
        <v>78</v>
      </c>
      <c r="H904" s="1">
        <v>45648</v>
      </c>
    </row>
    <row r="905" spans="1:8">
      <c r="A905" t="s">
        <v>1851</v>
      </c>
      <c r="B905" t="s">
        <v>1852</v>
      </c>
      <c r="C905" t="s">
        <v>31</v>
      </c>
      <c r="D905">
        <v>46</v>
      </c>
      <c r="E905" t="s">
        <v>87</v>
      </c>
      <c r="F905" t="s">
        <v>88</v>
      </c>
      <c r="G905" t="s">
        <v>78</v>
      </c>
      <c r="H905" s="1">
        <v>44796</v>
      </c>
    </row>
    <row r="906" spans="1:8">
      <c r="A906" t="s">
        <v>1853</v>
      </c>
      <c r="B906" t="s">
        <v>1854</v>
      </c>
      <c r="C906" t="s">
        <v>10</v>
      </c>
      <c r="D906">
        <v>20</v>
      </c>
      <c r="E906" t="s">
        <v>218</v>
      </c>
      <c r="F906" t="s">
        <v>219</v>
      </c>
      <c r="G906" t="s">
        <v>17</v>
      </c>
      <c r="H906" s="1">
        <v>45834</v>
      </c>
    </row>
    <row r="907" spans="1:8">
      <c r="A907" t="s">
        <v>1855</v>
      </c>
      <c r="B907" t="s">
        <v>1856</v>
      </c>
      <c r="C907" t="s">
        <v>10</v>
      </c>
      <c r="D907">
        <v>42</v>
      </c>
      <c r="E907" t="s">
        <v>134</v>
      </c>
      <c r="F907" t="s">
        <v>28</v>
      </c>
      <c r="G907" t="s">
        <v>12</v>
      </c>
      <c r="H907" s="1">
        <v>45343</v>
      </c>
    </row>
    <row r="908" spans="1:8">
      <c r="A908" t="s">
        <v>1857</v>
      </c>
      <c r="B908" t="s">
        <v>1858</v>
      </c>
      <c r="C908" t="s">
        <v>31</v>
      </c>
      <c r="D908">
        <v>50</v>
      </c>
      <c r="E908" t="s">
        <v>45</v>
      </c>
      <c r="F908" t="s">
        <v>46</v>
      </c>
      <c r="G908" t="s">
        <v>17</v>
      </c>
      <c r="H908" s="1">
        <v>44612</v>
      </c>
    </row>
    <row r="909" spans="1:8">
      <c r="A909" t="s">
        <v>1859</v>
      </c>
      <c r="B909" t="s">
        <v>1860</v>
      </c>
      <c r="C909" t="s">
        <v>10</v>
      </c>
      <c r="D909">
        <v>36</v>
      </c>
      <c r="E909" t="s">
        <v>69</v>
      </c>
      <c r="F909" t="s">
        <v>69</v>
      </c>
      <c r="G909" t="s">
        <v>12</v>
      </c>
      <c r="H909" s="1">
        <v>45558</v>
      </c>
    </row>
    <row r="910" spans="1:8">
      <c r="A910" t="s">
        <v>1861</v>
      </c>
      <c r="B910" t="s">
        <v>1862</v>
      </c>
      <c r="C910" t="s">
        <v>10</v>
      </c>
      <c r="D910">
        <v>24</v>
      </c>
      <c r="E910" t="s">
        <v>76</v>
      </c>
      <c r="F910" t="s">
        <v>77</v>
      </c>
      <c r="G910" t="s">
        <v>78</v>
      </c>
      <c r="H910" s="1">
        <v>45218</v>
      </c>
    </row>
    <row r="911" spans="1:8">
      <c r="A911" t="s">
        <v>1863</v>
      </c>
      <c r="B911" t="s">
        <v>1864</v>
      </c>
      <c r="C911" t="s">
        <v>10</v>
      </c>
      <c r="D911">
        <v>58</v>
      </c>
      <c r="E911" t="s">
        <v>218</v>
      </c>
      <c r="F911" t="s">
        <v>219</v>
      </c>
      <c r="G911" t="s">
        <v>17</v>
      </c>
      <c r="H911" s="1">
        <v>45654</v>
      </c>
    </row>
    <row r="912" spans="1:8">
      <c r="A912" t="s">
        <v>1865</v>
      </c>
      <c r="B912" t="s">
        <v>1866</v>
      </c>
      <c r="C912" t="s">
        <v>31</v>
      </c>
      <c r="D912">
        <v>24</v>
      </c>
      <c r="E912" t="s">
        <v>34</v>
      </c>
      <c r="F912" t="s">
        <v>16</v>
      </c>
      <c r="G912" t="s">
        <v>17</v>
      </c>
      <c r="H912" s="1">
        <v>45965</v>
      </c>
    </row>
    <row r="913" spans="1:8">
      <c r="A913" t="s">
        <v>1867</v>
      </c>
      <c r="B913" t="s">
        <v>1868</v>
      </c>
      <c r="C913" t="s">
        <v>10</v>
      </c>
      <c r="D913">
        <v>65</v>
      </c>
      <c r="E913" t="s">
        <v>41</v>
      </c>
      <c r="F913" t="s">
        <v>42</v>
      </c>
      <c r="G913" t="s">
        <v>17</v>
      </c>
      <c r="H913" s="1">
        <v>45886</v>
      </c>
    </row>
    <row r="914" spans="1:8">
      <c r="A914" t="s">
        <v>1869</v>
      </c>
      <c r="B914" t="s">
        <v>1870</v>
      </c>
      <c r="C914" t="s">
        <v>31</v>
      </c>
      <c r="D914">
        <v>20</v>
      </c>
      <c r="E914" t="s">
        <v>11</v>
      </c>
      <c r="F914" t="s">
        <v>11</v>
      </c>
      <c r="G914" t="s">
        <v>12</v>
      </c>
      <c r="H914" s="1">
        <v>45502</v>
      </c>
    </row>
    <row r="915" spans="1:8">
      <c r="A915" t="s">
        <v>1871</v>
      </c>
      <c r="B915" t="s">
        <v>1872</v>
      </c>
      <c r="C915" t="s">
        <v>31</v>
      </c>
      <c r="D915">
        <v>53</v>
      </c>
      <c r="E915" t="s">
        <v>15</v>
      </c>
      <c r="F915" t="s">
        <v>16</v>
      </c>
      <c r="G915" t="s">
        <v>17</v>
      </c>
      <c r="H915" s="1">
        <v>44926</v>
      </c>
    </row>
    <row r="916" spans="1:8">
      <c r="A916" t="s">
        <v>1873</v>
      </c>
      <c r="B916" t="s">
        <v>1874</v>
      </c>
      <c r="C916" t="s">
        <v>31</v>
      </c>
      <c r="D916">
        <v>42</v>
      </c>
      <c r="E916" t="s">
        <v>34</v>
      </c>
      <c r="F916" t="s">
        <v>16</v>
      </c>
      <c r="G916" t="s">
        <v>17</v>
      </c>
      <c r="H916" s="1">
        <v>45091</v>
      </c>
    </row>
    <row r="917" spans="1:8">
      <c r="A917" t="s">
        <v>1875</v>
      </c>
      <c r="B917" t="s">
        <v>1876</v>
      </c>
      <c r="C917" t="s">
        <v>31</v>
      </c>
      <c r="D917">
        <v>19</v>
      </c>
      <c r="E917" t="s">
        <v>149</v>
      </c>
      <c r="F917" t="s">
        <v>38</v>
      </c>
      <c r="G917" t="s">
        <v>22</v>
      </c>
      <c r="H917" s="1">
        <v>45448</v>
      </c>
    </row>
    <row r="918" spans="1:8">
      <c r="A918" t="s">
        <v>1877</v>
      </c>
      <c r="B918" t="s">
        <v>1878</v>
      </c>
      <c r="C918" t="s">
        <v>10</v>
      </c>
      <c r="D918">
        <v>59</v>
      </c>
      <c r="E918" t="s">
        <v>20</v>
      </c>
      <c r="F918" t="s">
        <v>21</v>
      </c>
      <c r="G918" t="s">
        <v>22</v>
      </c>
      <c r="H918" s="1">
        <v>45657</v>
      </c>
    </row>
    <row r="919" spans="1:8">
      <c r="A919" t="s">
        <v>1879</v>
      </c>
      <c r="B919" t="s">
        <v>1880</v>
      </c>
      <c r="C919" t="s">
        <v>10</v>
      </c>
      <c r="D919">
        <v>62</v>
      </c>
      <c r="E919" t="s">
        <v>11</v>
      </c>
      <c r="F919" t="s">
        <v>11</v>
      </c>
      <c r="G919" t="s">
        <v>12</v>
      </c>
      <c r="H919" s="1">
        <v>45761</v>
      </c>
    </row>
    <row r="920" spans="1:8">
      <c r="A920" t="s">
        <v>1881</v>
      </c>
      <c r="B920" t="s">
        <v>1882</v>
      </c>
      <c r="C920" t="s">
        <v>10</v>
      </c>
      <c r="D920">
        <v>36</v>
      </c>
      <c r="E920" t="s">
        <v>91</v>
      </c>
      <c r="F920" t="s">
        <v>92</v>
      </c>
      <c r="G920" t="s">
        <v>78</v>
      </c>
      <c r="H920" s="1">
        <v>45591</v>
      </c>
    </row>
    <row r="921" spans="1:8">
      <c r="A921" t="s">
        <v>1883</v>
      </c>
      <c r="B921" t="s">
        <v>1884</v>
      </c>
      <c r="C921" t="s">
        <v>10</v>
      </c>
      <c r="D921">
        <v>36</v>
      </c>
      <c r="E921" t="s">
        <v>134</v>
      </c>
      <c r="F921" t="s">
        <v>28</v>
      </c>
      <c r="G921" t="s">
        <v>12</v>
      </c>
      <c r="H921" s="1">
        <v>45804</v>
      </c>
    </row>
    <row r="922" spans="1:8">
      <c r="A922" t="s">
        <v>1885</v>
      </c>
      <c r="B922" t="s">
        <v>1886</v>
      </c>
      <c r="C922" t="s">
        <v>31</v>
      </c>
      <c r="D922">
        <v>70</v>
      </c>
      <c r="E922" t="s">
        <v>69</v>
      </c>
      <c r="F922" t="s">
        <v>69</v>
      </c>
      <c r="G922" t="s">
        <v>12</v>
      </c>
      <c r="H922" s="1">
        <v>45343</v>
      </c>
    </row>
    <row r="923" spans="1:8">
      <c r="A923" t="s">
        <v>1887</v>
      </c>
      <c r="B923" t="s">
        <v>1888</v>
      </c>
      <c r="C923" t="s">
        <v>10</v>
      </c>
      <c r="D923">
        <v>26</v>
      </c>
      <c r="E923" t="s">
        <v>69</v>
      </c>
      <c r="F923" t="s">
        <v>69</v>
      </c>
      <c r="G923" t="s">
        <v>12</v>
      </c>
      <c r="H923" s="1">
        <v>44882</v>
      </c>
    </row>
    <row r="924" spans="1:8">
      <c r="A924" t="s">
        <v>1889</v>
      </c>
      <c r="B924" t="s">
        <v>1890</v>
      </c>
      <c r="C924" t="s">
        <v>10</v>
      </c>
      <c r="D924">
        <v>37</v>
      </c>
      <c r="E924" t="s">
        <v>27</v>
      </c>
      <c r="F924" t="s">
        <v>28</v>
      </c>
      <c r="G924" t="s">
        <v>12</v>
      </c>
      <c r="H924" s="1">
        <v>45166</v>
      </c>
    </row>
    <row r="925" spans="1:8">
      <c r="A925" t="s">
        <v>1891</v>
      </c>
      <c r="B925" t="s">
        <v>1892</v>
      </c>
      <c r="C925" t="s">
        <v>10</v>
      </c>
      <c r="D925">
        <v>25</v>
      </c>
      <c r="E925" t="s">
        <v>134</v>
      </c>
      <c r="F925" t="s">
        <v>28</v>
      </c>
      <c r="G925" t="s">
        <v>12</v>
      </c>
      <c r="H925" s="1">
        <v>44584</v>
      </c>
    </row>
    <row r="926" spans="1:8">
      <c r="A926" t="s">
        <v>1893</v>
      </c>
      <c r="B926" t="s">
        <v>1894</v>
      </c>
      <c r="C926" t="s">
        <v>31</v>
      </c>
      <c r="D926">
        <v>52</v>
      </c>
      <c r="E926" t="s">
        <v>218</v>
      </c>
      <c r="F926" t="s">
        <v>219</v>
      </c>
      <c r="G926" t="s">
        <v>17</v>
      </c>
      <c r="H926" s="1">
        <v>45783</v>
      </c>
    </row>
    <row r="927" spans="1:8">
      <c r="A927" t="s">
        <v>1895</v>
      </c>
      <c r="B927" t="s">
        <v>1896</v>
      </c>
      <c r="C927" t="s">
        <v>10</v>
      </c>
      <c r="D927">
        <v>65</v>
      </c>
      <c r="E927" t="s">
        <v>20</v>
      </c>
      <c r="F927" t="s">
        <v>21</v>
      </c>
      <c r="G927" t="s">
        <v>22</v>
      </c>
      <c r="H927" s="1">
        <v>45186</v>
      </c>
    </row>
    <row r="928" spans="1:8">
      <c r="A928" t="s">
        <v>1897</v>
      </c>
      <c r="B928" t="s">
        <v>1898</v>
      </c>
      <c r="C928" t="s">
        <v>31</v>
      </c>
      <c r="D928">
        <v>59</v>
      </c>
      <c r="E928" t="s">
        <v>134</v>
      </c>
      <c r="F928" t="s">
        <v>28</v>
      </c>
      <c r="G928" t="s">
        <v>12</v>
      </c>
      <c r="H928" s="1">
        <v>44995</v>
      </c>
    </row>
    <row r="929" spans="1:8">
      <c r="A929" t="s">
        <v>1899</v>
      </c>
      <c r="B929" t="s">
        <v>1900</v>
      </c>
      <c r="C929" t="s">
        <v>10</v>
      </c>
      <c r="D929">
        <v>32</v>
      </c>
      <c r="E929" t="s">
        <v>76</v>
      </c>
      <c r="F929" t="s">
        <v>77</v>
      </c>
      <c r="G929" t="s">
        <v>78</v>
      </c>
      <c r="H929" s="1">
        <v>44891</v>
      </c>
    </row>
    <row r="930" spans="1:8">
      <c r="A930" t="s">
        <v>1901</v>
      </c>
      <c r="B930" t="s">
        <v>1902</v>
      </c>
      <c r="C930" t="s">
        <v>10</v>
      </c>
      <c r="D930">
        <v>29</v>
      </c>
      <c r="E930" t="s">
        <v>134</v>
      </c>
      <c r="F930" t="s">
        <v>28</v>
      </c>
      <c r="G930" t="s">
        <v>12</v>
      </c>
      <c r="H930" s="1">
        <v>44959</v>
      </c>
    </row>
    <row r="931" spans="1:8">
      <c r="A931" t="s">
        <v>1903</v>
      </c>
      <c r="B931" t="s">
        <v>1904</v>
      </c>
      <c r="C931" t="s">
        <v>31</v>
      </c>
      <c r="D931">
        <v>59</v>
      </c>
      <c r="E931" t="s">
        <v>27</v>
      </c>
      <c r="F931" t="s">
        <v>28</v>
      </c>
      <c r="G931" t="s">
        <v>12</v>
      </c>
      <c r="H931" s="1">
        <v>44673</v>
      </c>
    </row>
    <row r="932" spans="1:8">
      <c r="A932" t="s">
        <v>1905</v>
      </c>
      <c r="B932" t="s">
        <v>1906</v>
      </c>
      <c r="C932" t="s">
        <v>10</v>
      </c>
      <c r="D932">
        <v>34</v>
      </c>
      <c r="E932" t="s">
        <v>37</v>
      </c>
      <c r="F932" t="s">
        <v>38</v>
      </c>
      <c r="G932" t="s">
        <v>22</v>
      </c>
      <c r="H932" s="1">
        <v>45937</v>
      </c>
    </row>
    <row r="933" spans="1:8">
      <c r="A933" t="s">
        <v>1907</v>
      </c>
      <c r="B933" t="s">
        <v>1908</v>
      </c>
      <c r="C933" t="s">
        <v>31</v>
      </c>
      <c r="D933">
        <v>40</v>
      </c>
      <c r="E933" t="s">
        <v>218</v>
      </c>
      <c r="F933" t="s">
        <v>219</v>
      </c>
      <c r="G933" t="s">
        <v>17</v>
      </c>
      <c r="H933" s="1">
        <v>45559</v>
      </c>
    </row>
    <row r="934" spans="1:8">
      <c r="A934" t="s">
        <v>1909</v>
      </c>
      <c r="B934" t="s">
        <v>1910</v>
      </c>
      <c r="C934" t="s">
        <v>31</v>
      </c>
      <c r="D934">
        <v>57</v>
      </c>
      <c r="E934" t="s">
        <v>34</v>
      </c>
      <c r="F934" t="s">
        <v>16</v>
      </c>
      <c r="G934" t="s">
        <v>17</v>
      </c>
      <c r="H934" s="1">
        <v>44766</v>
      </c>
    </row>
    <row r="935" spans="1:8">
      <c r="A935" t="s">
        <v>1911</v>
      </c>
      <c r="B935" t="s">
        <v>1912</v>
      </c>
      <c r="C935" t="s">
        <v>31</v>
      </c>
      <c r="D935">
        <v>46</v>
      </c>
      <c r="E935" t="s">
        <v>34</v>
      </c>
      <c r="F935" t="s">
        <v>16</v>
      </c>
      <c r="G935" t="s">
        <v>17</v>
      </c>
      <c r="H935" s="1">
        <v>45212</v>
      </c>
    </row>
    <row r="936" spans="1:8">
      <c r="A936" t="s">
        <v>1913</v>
      </c>
      <c r="B936" t="s">
        <v>1914</v>
      </c>
      <c r="C936" t="s">
        <v>10</v>
      </c>
      <c r="D936">
        <v>54</v>
      </c>
      <c r="E936" t="s">
        <v>37</v>
      </c>
      <c r="F936" t="s">
        <v>38</v>
      </c>
      <c r="G936" t="s">
        <v>22</v>
      </c>
      <c r="H936" s="1">
        <v>45982</v>
      </c>
    </row>
    <row r="937" spans="1:8">
      <c r="A937" t="s">
        <v>1915</v>
      </c>
      <c r="B937" t="s">
        <v>1916</v>
      </c>
      <c r="C937" t="s">
        <v>10</v>
      </c>
      <c r="D937">
        <v>18</v>
      </c>
      <c r="E937" t="s">
        <v>37</v>
      </c>
      <c r="F937" t="s">
        <v>38</v>
      </c>
      <c r="G937" t="s">
        <v>22</v>
      </c>
      <c r="H937" s="1">
        <v>45439</v>
      </c>
    </row>
    <row r="938" spans="1:8">
      <c r="A938" t="s">
        <v>1917</v>
      </c>
      <c r="B938" t="s">
        <v>1918</v>
      </c>
      <c r="C938" t="s">
        <v>31</v>
      </c>
      <c r="D938">
        <v>35</v>
      </c>
      <c r="E938" t="s">
        <v>101</v>
      </c>
      <c r="F938" t="s">
        <v>21</v>
      </c>
      <c r="G938" t="s">
        <v>22</v>
      </c>
      <c r="H938" s="1">
        <v>46020</v>
      </c>
    </row>
    <row r="939" spans="1:8">
      <c r="A939" t="s">
        <v>1919</v>
      </c>
      <c r="B939" t="s">
        <v>1920</v>
      </c>
      <c r="C939" t="s">
        <v>31</v>
      </c>
      <c r="D939">
        <v>48</v>
      </c>
      <c r="E939" t="s">
        <v>76</v>
      </c>
      <c r="F939" t="s">
        <v>77</v>
      </c>
      <c r="G939" t="s">
        <v>78</v>
      </c>
      <c r="H939" s="1">
        <v>45953</v>
      </c>
    </row>
    <row r="940" spans="1:8">
      <c r="A940" t="s">
        <v>1921</v>
      </c>
      <c r="B940" t="s">
        <v>1922</v>
      </c>
      <c r="C940" t="s">
        <v>31</v>
      </c>
      <c r="D940">
        <v>53</v>
      </c>
      <c r="E940" t="s">
        <v>37</v>
      </c>
      <c r="F940" t="s">
        <v>38</v>
      </c>
      <c r="G940" t="s">
        <v>22</v>
      </c>
      <c r="H940" s="1">
        <v>45187</v>
      </c>
    </row>
    <row r="941" spans="1:8">
      <c r="A941" t="s">
        <v>1923</v>
      </c>
      <c r="B941" t="s">
        <v>1924</v>
      </c>
      <c r="C941" t="s">
        <v>31</v>
      </c>
      <c r="D941">
        <v>70</v>
      </c>
      <c r="E941" t="s">
        <v>218</v>
      </c>
      <c r="F941" t="s">
        <v>219</v>
      </c>
      <c r="G941" t="s">
        <v>17</v>
      </c>
      <c r="H941" s="1">
        <v>44729</v>
      </c>
    </row>
    <row r="942" spans="1:8">
      <c r="A942" t="s">
        <v>1925</v>
      </c>
      <c r="B942" t="s">
        <v>1926</v>
      </c>
      <c r="C942" t="s">
        <v>31</v>
      </c>
      <c r="D942">
        <v>64</v>
      </c>
      <c r="E942" t="s">
        <v>218</v>
      </c>
      <c r="F942" t="s">
        <v>219</v>
      </c>
      <c r="G942" t="s">
        <v>17</v>
      </c>
      <c r="H942" s="1">
        <v>44964</v>
      </c>
    </row>
    <row r="943" spans="1:8">
      <c r="A943" t="s">
        <v>1927</v>
      </c>
      <c r="B943" t="s">
        <v>1928</v>
      </c>
      <c r="C943" t="s">
        <v>10</v>
      </c>
      <c r="D943">
        <v>50</v>
      </c>
      <c r="E943" t="s">
        <v>87</v>
      </c>
      <c r="F943" t="s">
        <v>88</v>
      </c>
      <c r="G943" t="s">
        <v>78</v>
      </c>
      <c r="H943" s="1">
        <v>44716</v>
      </c>
    </row>
    <row r="944" spans="1:8">
      <c r="A944" t="s">
        <v>1929</v>
      </c>
      <c r="B944" t="s">
        <v>1930</v>
      </c>
      <c r="C944" t="s">
        <v>31</v>
      </c>
      <c r="D944">
        <v>67</v>
      </c>
      <c r="E944" t="s">
        <v>27</v>
      </c>
      <c r="F944" t="s">
        <v>28</v>
      </c>
      <c r="G944" t="s">
        <v>12</v>
      </c>
      <c r="H944" s="1">
        <v>45747</v>
      </c>
    </row>
    <row r="945" spans="1:8">
      <c r="A945" t="s">
        <v>1931</v>
      </c>
      <c r="B945" t="s">
        <v>1932</v>
      </c>
      <c r="C945" t="s">
        <v>31</v>
      </c>
      <c r="D945">
        <v>52</v>
      </c>
      <c r="E945" t="s">
        <v>11</v>
      </c>
      <c r="F945" t="s">
        <v>11</v>
      </c>
      <c r="G945" t="s">
        <v>12</v>
      </c>
      <c r="H945" s="1">
        <v>45691</v>
      </c>
    </row>
    <row r="946" spans="1:8">
      <c r="A946" t="s">
        <v>1933</v>
      </c>
      <c r="B946" t="s">
        <v>1934</v>
      </c>
      <c r="C946" t="s">
        <v>10</v>
      </c>
      <c r="D946">
        <v>41</v>
      </c>
      <c r="E946" t="s">
        <v>128</v>
      </c>
      <c r="F946" t="s">
        <v>129</v>
      </c>
      <c r="G946" t="s">
        <v>78</v>
      </c>
      <c r="H946" s="1">
        <v>45528</v>
      </c>
    </row>
    <row r="947" spans="1:8">
      <c r="A947" t="s">
        <v>1935</v>
      </c>
      <c r="B947" t="s">
        <v>1936</v>
      </c>
      <c r="C947" t="s">
        <v>10</v>
      </c>
      <c r="D947">
        <v>47</v>
      </c>
      <c r="E947" t="s">
        <v>60</v>
      </c>
      <c r="F947" t="s">
        <v>21</v>
      </c>
      <c r="G947" t="s">
        <v>22</v>
      </c>
      <c r="H947" s="1">
        <v>45157</v>
      </c>
    </row>
    <row r="948" spans="1:8">
      <c r="A948" t="s">
        <v>1937</v>
      </c>
      <c r="B948" t="s">
        <v>1938</v>
      </c>
      <c r="C948" t="s">
        <v>31</v>
      </c>
      <c r="D948">
        <v>50</v>
      </c>
      <c r="E948" t="s">
        <v>20</v>
      </c>
      <c r="F948" t="s">
        <v>21</v>
      </c>
      <c r="G948" t="s">
        <v>22</v>
      </c>
      <c r="H948" s="1">
        <v>45374</v>
      </c>
    </row>
    <row r="949" spans="1:8">
      <c r="A949" t="s">
        <v>1939</v>
      </c>
      <c r="B949" t="s">
        <v>1940</v>
      </c>
      <c r="C949" t="s">
        <v>10</v>
      </c>
      <c r="D949">
        <v>66</v>
      </c>
      <c r="E949" t="s">
        <v>34</v>
      </c>
      <c r="F949" t="s">
        <v>16</v>
      </c>
      <c r="G949" t="s">
        <v>17</v>
      </c>
      <c r="H949" s="1">
        <v>45819</v>
      </c>
    </row>
    <row r="950" spans="1:8">
      <c r="A950" t="s">
        <v>1941</v>
      </c>
      <c r="B950" t="s">
        <v>1942</v>
      </c>
      <c r="C950" t="s">
        <v>10</v>
      </c>
      <c r="D950">
        <v>54</v>
      </c>
      <c r="E950" t="s">
        <v>149</v>
      </c>
      <c r="F950" t="s">
        <v>38</v>
      </c>
      <c r="G950" t="s">
        <v>22</v>
      </c>
      <c r="H950" s="1">
        <v>44888</v>
      </c>
    </row>
    <row r="951" spans="1:8">
      <c r="A951" t="s">
        <v>1943</v>
      </c>
      <c r="B951" t="s">
        <v>1944</v>
      </c>
      <c r="C951" t="s">
        <v>31</v>
      </c>
      <c r="D951">
        <v>20</v>
      </c>
      <c r="E951" t="s">
        <v>76</v>
      </c>
      <c r="F951" t="s">
        <v>77</v>
      </c>
      <c r="G951" t="s">
        <v>78</v>
      </c>
      <c r="H951" s="1">
        <v>45552</v>
      </c>
    </row>
    <row r="952" spans="1:8">
      <c r="A952" t="s">
        <v>1945</v>
      </c>
      <c r="B952" t="s">
        <v>1946</v>
      </c>
      <c r="C952" t="s">
        <v>10</v>
      </c>
      <c r="D952">
        <v>34</v>
      </c>
      <c r="E952" t="s">
        <v>41</v>
      </c>
      <c r="F952" t="s">
        <v>42</v>
      </c>
      <c r="G952" t="s">
        <v>17</v>
      </c>
      <c r="H952" s="1">
        <v>45036</v>
      </c>
    </row>
    <row r="953" spans="1:8">
      <c r="A953" t="s">
        <v>1947</v>
      </c>
      <c r="B953" t="s">
        <v>1948</v>
      </c>
      <c r="C953" t="s">
        <v>10</v>
      </c>
      <c r="D953">
        <v>51</v>
      </c>
      <c r="E953" t="s">
        <v>20</v>
      </c>
      <c r="F953" t="s">
        <v>21</v>
      </c>
      <c r="G953" t="s">
        <v>22</v>
      </c>
      <c r="H953" s="1">
        <v>45931</v>
      </c>
    </row>
    <row r="954" spans="1:8">
      <c r="A954" t="s">
        <v>1949</v>
      </c>
      <c r="B954" t="s">
        <v>1950</v>
      </c>
      <c r="C954" t="s">
        <v>31</v>
      </c>
      <c r="D954">
        <v>47</v>
      </c>
      <c r="E954" t="s">
        <v>91</v>
      </c>
      <c r="F954" t="s">
        <v>92</v>
      </c>
      <c r="G954" t="s">
        <v>78</v>
      </c>
      <c r="H954" s="1">
        <v>45356</v>
      </c>
    </row>
    <row r="955" spans="1:8">
      <c r="A955" t="s">
        <v>1951</v>
      </c>
      <c r="B955" t="s">
        <v>1952</v>
      </c>
      <c r="C955" t="s">
        <v>31</v>
      </c>
      <c r="D955">
        <v>24</v>
      </c>
      <c r="E955" t="s">
        <v>87</v>
      </c>
      <c r="F955" t="s">
        <v>88</v>
      </c>
      <c r="G955" t="s">
        <v>78</v>
      </c>
      <c r="H955" s="1">
        <v>45890</v>
      </c>
    </row>
    <row r="956" spans="1:8">
      <c r="A956" t="s">
        <v>1953</v>
      </c>
      <c r="B956" t="s">
        <v>1954</v>
      </c>
      <c r="C956" t="s">
        <v>31</v>
      </c>
      <c r="D956">
        <v>65</v>
      </c>
      <c r="E956" t="s">
        <v>27</v>
      </c>
      <c r="F956" t="s">
        <v>28</v>
      </c>
      <c r="G956" t="s">
        <v>12</v>
      </c>
      <c r="H956" s="1">
        <v>45859</v>
      </c>
    </row>
    <row r="957" spans="1:8">
      <c r="A957" t="s">
        <v>1955</v>
      </c>
      <c r="B957" t="s">
        <v>1956</v>
      </c>
      <c r="C957" t="s">
        <v>10</v>
      </c>
      <c r="D957">
        <v>42</v>
      </c>
      <c r="E957" t="s">
        <v>218</v>
      </c>
      <c r="F957" t="s">
        <v>219</v>
      </c>
      <c r="G957" t="s">
        <v>17</v>
      </c>
      <c r="H957" s="1">
        <v>45729</v>
      </c>
    </row>
    <row r="958" spans="1:8">
      <c r="A958" t="s">
        <v>1957</v>
      </c>
      <c r="B958" t="s">
        <v>1958</v>
      </c>
      <c r="C958" t="s">
        <v>10</v>
      </c>
      <c r="D958">
        <v>51</v>
      </c>
      <c r="E958" t="s">
        <v>134</v>
      </c>
      <c r="F958" t="s">
        <v>28</v>
      </c>
      <c r="G958" t="s">
        <v>12</v>
      </c>
      <c r="H958" s="1">
        <v>45765</v>
      </c>
    </row>
    <row r="959" spans="1:8">
      <c r="A959" t="s">
        <v>1959</v>
      </c>
      <c r="B959" t="s">
        <v>1960</v>
      </c>
      <c r="C959" t="s">
        <v>31</v>
      </c>
      <c r="D959">
        <v>40</v>
      </c>
      <c r="E959" t="s">
        <v>34</v>
      </c>
      <c r="F959" t="s">
        <v>16</v>
      </c>
      <c r="G959" t="s">
        <v>17</v>
      </c>
      <c r="H959" s="1">
        <v>45619</v>
      </c>
    </row>
    <row r="960" spans="1:8">
      <c r="A960" t="s">
        <v>1961</v>
      </c>
      <c r="B960" t="s">
        <v>1962</v>
      </c>
      <c r="C960" t="s">
        <v>31</v>
      </c>
      <c r="D960">
        <v>56</v>
      </c>
      <c r="E960" t="s">
        <v>134</v>
      </c>
      <c r="F960" t="s">
        <v>28</v>
      </c>
      <c r="G960" t="s">
        <v>12</v>
      </c>
      <c r="H960" s="1">
        <v>45559</v>
      </c>
    </row>
    <row r="961" spans="1:8">
      <c r="A961" t="s">
        <v>1963</v>
      </c>
      <c r="B961" t="s">
        <v>1964</v>
      </c>
      <c r="C961" t="s">
        <v>10</v>
      </c>
      <c r="D961">
        <v>32</v>
      </c>
      <c r="E961" t="s">
        <v>34</v>
      </c>
      <c r="F961" t="s">
        <v>16</v>
      </c>
      <c r="G961" t="s">
        <v>17</v>
      </c>
      <c r="H961" s="1">
        <v>45462</v>
      </c>
    </row>
    <row r="962" spans="1:8">
      <c r="A962" t="s">
        <v>1965</v>
      </c>
      <c r="B962" t="s">
        <v>1966</v>
      </c>
      <c r="C962" t="s">
        <v>10</v>
      </c>
      <c r="D962">
        <v>29</v>
      </c>
      <c r="E962" t="s">
        <v>45</v>
      </c>
      <c r="F962" t="s">
        <v>46</v>
      </c>
      <c r="G962" t="s">
        <v>17</v>
      </c>
      <c r="H962" s="1">
        <v>44995</v>
      </c>
    </row>
    <row r="963" spans="1:8">
      <c r="A963" t="s">
        <v>1967</v>
      </c>
      <c r="B963" t="s">
        <v>1968</v>
      </c>
      <c r="C963" t="s">
        <v>10</v>
      </c>
      <c r="D963">
        <v>44</v>
      </c>
      <c r="E963" t="s">
        <v>218</v>
      </c>
      <c r="F963" t="s">
        <v>219</v>
      </c>
      <c r="G963" t="s">
        <v>17</v>
      </c>
      <c r="H963" s="1">
        <v>44804</v>
      </c>
    </row>
    <row r="964" spans="1:8">
      <c r="A964" t="s">
        <v>1969</v>
      </c>
      <c r="B964" t="s">
        <v>1970</v>
      </c>
      <c r="C964" t="s">
        <v>31</v>
      </c>
      <c r="D964">
        <v>48</v>
      </c>
      <c r="E964" t="s">
        <v>11</v>
      </c>
      <c r="F964" t="s">
        <v>11</v>
      </c>
      <c r="G964" t="s">
        <v>12</v>
      </c>
      <c r="H964" s="1">
        <v>45548</v>
      </c>
    </row>
    <row r="965" spans="1:8">
      <c r="A965" t="s">
        <v>1971</v>
      </c>
      <c r="B965" t="s">
        <v>1972</v>
      </c>
      <c r="C965" t="s">
        <v>31</v>
      </c>
      <c r="D965">
        <v>19</v>
      </c>
      <c r="E965" t="s">
        <v>34</v>
      </c>
      <c r="F965" t="s">
        <v>16</v>
      </c>
      <c r="G965" t="s">
        <v>17</v>
      </c>
      <c r="H965" s="1">
        <v>45887</v>
      </c>
    </row>
    <row r="966" spans="1:8">
      <c r="A966" t="s">
        <v>1973</v>
      </c>
      <c r="B966" t="s">
        <v>1974</v>
      </c>
      <c r="C966" t="s">
        <v>10</v>
      </c>
      <c r="D966">
        <v>26</v>
      </c>
      <c r="E966" t="s">
        <v>34</v>
      </c>
      <c r="F966" t="s">
        <v>16</v>
      </c>
      <c r="G966" t="s">
        <v>17</v>
      </c>
      <c r="H966" s="1">
        <v>45736</v>
      </c>
    </row>
    <row r="967" spans="1:8">
      <c r="A967" t="s">
        <v>1975</v>
      </c>
      <c r="B967" t="s">
        <v>1976</v>
      </c>
      <c r="C967" t="s">
        <v>10</v>
      </c>
      <c r="D967">
        <v>21</v>
      </c>
      <c r="E967" t="s">
        <v>11</v>
      </c>
      <c r="F967" t="s">
        <v>11</v>
      </c>
      <c r="G967" t="s">
        <v>12</v>
      </c>
      <c r="H967" s="1">
        <v>45734</v>
      </c>
    </row>
    <row r="968" spans="1:8">
      <c r="A968" t="s">
        <v>1977</v>
      </c>
      <c r="B968" t="s">
        <v>1978</v>
      </c>
      <c r="C968" t="s">
        <v>31</v>
      </c>
      <c r="D968">
        <v>56</v>
      </c>
      <c r="E968" t="s">
        <v>34</v>
      </c>
      <c r="F968" t="s">
        <v>16</v>
      </c>
      <c r="G968" t="s">
        <v>17</v>
      </c>
      <c r="H968" s="1">
        <v>45620</v>
      </c>
    </row>
    <row r="969" spans="1:8">
      <c r="A969" t="s">
        <v>1979</v>
      </c>
      <c r="B969" t="s">
        <v>1980</v>
      </c>
      <c r="C969" t="s">
        <v>31</v>
      </c>
      <c r="D969">
        <v>23</v>
      </c>
      <c r="E969" t="s">
        <v>87</v>
      </c>
      <c r="F969" t="s">
        <v>88</v>
      </c>
      <c r="G969" t="s">
        <v>78</v>
      </c>
      <c r="H969" s="1">
        <v>45917</v>
      </c>
    </row>
    <row r="970" spans="1:8">
      <c r="A970" t="s">
        <v>1981</v>
      </c>
      <c r="B970" t="s">
        <v>1982</v>
      </c>
      <c r="C970" t="s">
        <v>31</v>
      </c>
      <c r="D970">
        <v>28</v>
      </c>
      <c r="E970" t="s">
        <v>218</v>
      </c>
      <c r="F970" t="s">
        <v>219</v>
      </c>
      <c r="G970" t="s">
        <v>17</v>
      </c>
      <c r="H970" s="1">
        <v>45527</v>
      </c>
    </row>
    <row r="971" spans="1:8">
      <c r="A971" t="s">
        <v>1983</v>
      </c>
      <c r="B971" t="s">
        <v>1984</v>
      </c>
      <c r="C971" t="s">
        <v>10</v>
      </c>
      <c r="D971">
        <v>68</v>
      </c>
      <c r="E971" t="s">
        <v>41</v>
      </c>
      <c r="F971" t="s">
        <v>42</v>
      </c>
      <c r="G971" t="s">
        <v>17</v>
      </c>
      <c r="H971" s="1">
        <v>45792</v>
      </c>
    </row>
    <row r="972" spans="1:8">
      <c r="A972" t="s">
        <v>1985</v>
      </c>
      <c r="B972" t="s">
        <v>1986</v>
      </c>
      <c r="C972" t="s">
        <v>31</v>
      </c>
      <c r="D972">
        <v>28</v>
      </c>
      <c r="E972" t="s">
        <v>63</v>
      </c>
      <c r="F972" t="s">
        <v>64</v>
      </c>
      <c r="G972" t="s">
        <v>12</v>
      </c>
      <c r="H972" s="1">
        <v>45838</v>
      </c>
    </row>
    <row r="973" spans="1:8">
      <c r="A973" t="s">
        <v>1987</v>
      </c>
      <c r="B973" t="s">
        <v>1988</v>
      </c>
      <c r="C973" t="s">
        <v>10</v>
      </c>
      <c r="D973">
        <v>32</v>
      </c>
      <c r="E973" t="s">
        <v>134</v>
      </c>
      <c r="F973" t="s">
        <v>28</v>
      </c>
      <c r="G973" t="s">
        <v>12</v>
      </c>
      <c r="H973" s="1">
        <v>45490</v>
      </c>
    </row>
    <row r="974" spans="1:8">
      <c r="A974" t="s">
        <v>1989</v>
      </c>
      <c r="B974" t="s">
        <v>1990</v>
      </c>
      <c r="C974" t="s">
        <v>10</v>
      </c>
      <c r="D974">
        <v>30</v>
      </c>
      <c r="E974" t="s">
        <v>101</v>
      </c>
      <c r="F974" t="s">
        <v>21</v>
      </c>
      <c r="G974" t="s">
        <v>22</v>
      </c>
      <c r="H974" s="1">
        <v>44784</v>
      </c>
    </row>
    <row r="975" spans="1:8">
      <c r="A975" t="s">
        <v>1991</v>
      </c>
      <c r="B975" t="s">
        <v>1992</v>
      </c>
      <c r="C975" t="s">
        <v>31</v>
      </c>
      <c r="D975">
        <v>70</v>
      </c>
      <c r="E975" t="s">
        <v>60</v>
      </c>
      <c r="F975" t="s">
        <v>21</v>
      </c>
      <c r="G975" t="s">
        <v>22</v>
      </c>
      <c r="H975" s="1">
        <v>45963</v>
      </c>
    </row>
    <row r="976" spans="1:8">
      <c r="A976" t="s">
        <v>1993</v>
      </c>
      <c r="B976" t="s">
        <v>1994</v>
      </c>
      <c r="C976" t="s">
        <v>31</v>
      </c>
      <c r="D976">
        <v>57</v>
      </c>
      <c r="E976" t="s">
        <v>15</v>
      </c>
      <c r="F976" t="s">
        <v>16</v>
      </c>
      <c r="G976" t="s">
        <v>17</v>
      </c>
      <c r="H976" s="1">
        <v>44925</v>
      </c>
    </row>
    <row r="977" spans="1:8">
      <c r="A977" t="s">
        <v>1995</v>
      </c>
      <c r="B977" t="s">
        <v>1996</v>
      </c>
      <c r="C977" t="s">
        <v>10</v>
      </c>
      <c r="D977">
        <v>23</v>
      </c>
      <c r="E977" t="s">
        <v>27</v>
      </c>
      <c r="F977" t="s">
        <v>28</v>
      </c>
      <c r="G977" t="s">
        <v>12</v>
      </c>
      <c r="H977" s="1">
        <v>45592</v>
      </c>
    </row>
    <row r="978" spans="1:8">
      <c r="A978" t="s">
        <v>1997</v>
      </c>
      <c r="B978" t="s">
        <v>1998</v>
      </c>
      <c r="C978" t="s">
        <v>10</v>
      </c>
      <c r="D978">
        <v>67</v>
      </c>
      <c r="E978" t="s">
        <v>101</v>
      </c>
      <c r="F978" t="s">
        <v>21</v>
      </c>
      <c r="G978" t="s">
        <v>22</v>
      </c>
      <c r="H978" s="1">
        <v>45797</v>
      </c>
    </row>
    <row r="979" spans="1:8">
      <c r="A979" t="s">
        <v>1999</v>
      </c>
      <c r="B979" t="s">
        <v>2000</v>
      </c>
      <c r="C979" t="s">
        <v>31</v>
      </c>
      <c r="D979">
        <v>41</v>
      </c>
      <c r="E979" t="s">
        <v>69</v>
      </c>
      <c r="F979" t="s">
        <v>69</v>
      </c>
      <c r="G979" t="s">
        <v>12</v>
      </c>
      <c r="H979" s="1">
        <v>45631</v>
      </c>
    </row>
    <row r="980" spans="1:8">
      <c r="A980" t="s">
        <v>2001</v>
      </c>
      <c r="B980" t="s">
        <v>2002</v>
      </c>
      <c r="C980" t="s">
        <v>10</v>
      </c>
      <c r="D980">
        <v>69</v>
      </c>
      <c r="E980" t="s">
        <v>128</v>
      </c>
      <c r="F980" t="s">
        <v>129</v>
      </c>
      <c r="G980" t="s">
        <v>78</v>
      </c>
      <c r="H980" s="1">
        <v>45440</v>
      </c>
    </row>
    <row r="981" spans="1:8">
      <c r="A981" t="s">
        <v>2003</v>
      </c>
      <c r="B981" t="s">
        <v>2004</v>
      </c>
      <c r="C981" t="s">
        <v>10</v>
      </c>
      <c r="D981">
        <v>45</v>
      </c>
      <c r="E981" t="s">
        <v>149</v>
      </c>
      <c r="F981" t="s">
        <v>38</v>
      </c>
      <c r="G981" t="s">
        <v>22</v>
      </c>
      <c r="H981" s="1">
        <v>45279</v>
      </c>
    </row>
    <row r="982" spans="1:8">
      <c r="A982" t="s">
        <v>2005</v>
      </c>
      <c r="B982" t="s">
        <v>2006</v>
      </c>
      <c r="C982" t="s">
        <v>10</v>
      </c>
      <c r="D982">
        <v>36</v>
      </c>
      <c r="E982" t="s">
        <v>41</v>
      </c>
      <c r="F982" t="s">
        <v>42</v>
      </c>
      <c r="G982" t="s">
        <v>17</v>
      </c>
      <c r="H982" s="1">
        <v>45038</v>
      </c>
    </row>
    <row r="983" spans="1:8">
      <c r="A983" t="s">
        <v>2007</v>
      </c>
      <c r="B983" t="s">
        <v>2008</v>
      </c>
      <c r="C983" t="s">
        <v>31</v>
      </c>
      <c r="D983">
        <v>30</v>
      </c>
      <c r="E983" t="s">
        <v>27</v>
      </c>
      <c r="F983" t="s">
        <v>28</v>
      </c>
      <c r="G983" t="s">
        <v>12</v>
      </c>
      <c r="H983" s="1">
        <v>45398</v>
      </c>
    </row>
    <row r="984" spans="1:8">
      <c r="A984" t="s">
        <v>2009</v>
      </c>
      <c r="B984" t="s">
        <v>2010</v>
      </c>
      <c r="C984" t="s">
        <v>10</v>
      </c>
      <c r="D984">
        <v>51</v>
      </c>
      <c r="E984" t="s">
        <v>15</v>
      </c>
      <c r="F984" t="s">
        <v>16</v>
      </c>
      <c r="G984" t="s">
        <v>17</v>
      </c>
      <c r="H984" s="1">
        <v>45745</v>
      </c>
    </row>
    <row r="985" spans="1:8">
      <c r="A985" t="s">
        <v>2011</v>
      </c>
      <c r="B985" t="s">
        <v>2012</v>
      </c>
      <c r="C985" t="s">
        <v>31</v>
      </c>
      <c r="D985">
        <v>44</v>
      </c>
      <c r="E985" t="s">
        <v>34</v>
      </c>
      <c r="F985" t="s">
        <v>16</v>
      </c>
      <c r="G985" t="s">
        <v>17</v>
      </c>
      <c r="H985" s="1">
        <v>45970</v>
      </c>
    </row>
    <row r="986" spans="1:8">
      <c r="A986" t="s">
        <v>2013</v>
      </c>
      <c r="B986" t="s">
        <v>2014</v>
      </c>
      <c r="C986" t="s">
        <v>31</v>
      </c>
      <c r="D986">
        <v>34</v>
      </c>
      <c r="E986" t="s">
        <v>101</v>
      </c>
      <c r="F986" t="s">
        <v>21</v>
      </c>
      <c r="G986" t="s">
        <v>22</v>
      </c>
      <c r="H986" s="1">
        <v>45434</v>
      </c>
    </row>
    <row r="987" spans="1:8">
      <c r="A987" t="s">
        <v>2015</v>
      </c>
      <c r="B987" t="s">
        <v>2016</v>
      </c>
      <c r="C987" t="s">
        <v>31</v>
      </c>
      <c r="D987">
        <v>57</v>
      </c>
      <c r="E987" t="s">
        <v>112</v>
      </c>
      <c r="F987" t="s">
        <v>113</v>
      </c>
      <c r="G987" t="s">
        <v>78</v>
      </c>
      <c r="H987" s="1">
        <v>45718</v>
      </c>
    </row>
    <row r="988" spans="1:8">
      <c r="A988" t="s">
        <v>2017</v>
      </c>
      <c r="B988" t="s">
        <v>2018</v>
      </c>
      <c r="C988" t="s">
        <v>31</v>
      </c>
      <c r="D988">
        <v>53</v>
      </c>
      <c r="E988" t="s">
        <v>41</v>
      </c>
      <c r="F988" t="s">
        <v>42</v>
      </c>
      <c r="G988" t="s">
        <v>17</v>
      </c>
      <c r="H988" s="1">
        <v>44979</v>
      </c>
    </row>
    <row r="989" spans="1:8">
      <c r="A989" t="s">
        <v>2019</v>
      </c>
      <c r="B989" t="s">
        <v>2020</v>
      </c>
      <c r="C989" t="s">
        <v>31</v>
      </c>
      <c r="D989">
        <v>53</v>
      </c>
      <c r="E989" t="s">
        <v>69</v>
      </c>
      <c r="F989" t="s">
        <v>69</v>
      </c>
      <c r="G989" t="s">
        <v>12</v>
      </c>
      <c r="H989" s="1">
        <v>44928</v>
      </c>
    </row>
    <row r="990" spans="1:8">
      <c r="A990" t="s">
        <v>2021</v>
      </c>
      <c r="B990" t="s">
        <v>2022</v>
      </c>
      <c r="C990" t="s">
        <v>31</v>
      </c>
      <c r="D990">
        <v>67</v>
      </c>
      <c r="E990" t="s">
        <v>37</v>
      </c>
      <c r="F990" t="s">
        <v>38</v>
      </c>
      <c r="G990" t="s">
        <v>22</v>
      </c>
      <c r="H990" s="1">
        <v>45190</v>
      </c>
    </row>
    <row r="991" spans="1:8">
      <c r="A991" t="s">
        <v>2023</v>
      </c>
      <c r="B991" t="s">
        <v>2024</v>
      </c>
      <c r="C991" t="s">
        <v>10</v>
      </c>
      <c r="D991">
        <v>65</v>
      </c>
      <c r="E991" t="s">
        <v>63</v>
      </c>
      <c r="F991" t="s">
        <v>64</v>
      </c>
      <c r="G991" t="s">
        <v>12</v>
      </c>
      <c r="H991" s="1">
        <v>45912</v>
      </c>
    </row>
    <row r="992" spans="1:8">
      <c r="A992" t="s">
        <v>2025</v>
      </c>
      <c r="B992" t="s">
        <v>2026</v>
      </c>
      <c r="C992" t="s">
        <v>10</v>
      </c>
      <c r="D992">
        <v>50</v>
      </c>
      <c r="E992" t="s">
        <v>34</v>
      </c>
      <c r="F992" t="s">
        <v>16</v>
      </c>
      <c r="G992" t="s">
        <v>17</v>
      </c>
      <c r="H992" s="1">
        <v>44767</v>
      </c>
    </row>
    <row r="993" spans="1:8">
      <c r="A993" t="s">
        <v>2027</v>
      </c>
      <c r="B993" t="s">
        <v>2028</v>
      </c>
      <c r="C993" t="s">
        <v>10</v>
      </c>
      <c r="D993">
        <v>28</v>
      </c>
      <c r="E993" t="s">
        <v>37</v>
      </c>
      <c r="F993" t="s">
        <v>38</v>
      </c>
      <c r="G993" t="s">
        <v>22</v>
      </c>
      <c r="H993" s="1">
        <v>45689</v>
      </c>
    </row>
    <row r="994" spans="1:8">
      <c r="A994" t="s">
        <v>2029</v>
      </c>
      <c r="B994" t="s">
        <v>2030</v>
      </c>
      <c r="C994" t="s">
        <v>10</v>
      </c>
      <c r="D994">
        <v>48</v>
      </c>
      <c r="E994" t="s">
        <v>20</v>
      </c>
      <c r="F994" t="s">
        <v>21</v>
      </c>
      <c r="G994" t="s">
        <v>22</v>
      </c>
      <c r="H994" s="1">
        <v>44748</v>
      </c>
    </row>
    <row r="995" spans="1:8">
      <c r="A995" t="s">
        <v>2031</v>
      </c>
      <c r="B995" t="s">
        <v>2032</v>
      </c>
      <c r="C995" t="s">
        <v>10</v>
      </c>
      <c r="D995">
        <v>34</v>
      </c>
      <c r="E995" t="s">
        <v>112</v>
      </c>
      <c r="F995" t="s">
        <v>113</v>
      </c>
      <c r="G995" t="s">
        <v>78</v>
      </c>
      <c r="H995" s="1">
        <v>44742</v>
      </c>
    </row>
    <row r="996" spans="1:8">
      <c r="A996" t="s">
        <v>2033</v>
      </c>
      <c r="B996" t="s">
        <v>2034</v>
      </c>
      <c r="C996" t="s">
        <v>10</v>
      </c>
      <c r="D996">
        <v>64</v>
      </c>
      <c r="E996" t="s">
        <v>15</v>
      </c>
      <c r="F996" t="s">
        <v>16</v>
      </c>
      <c r="G996" t="s">
        <v>17</v>
      </c>
      <c r="H996" s="1">
        <v>45809</v>
      </c>
    </row>
    <row r="997" spans="1:8">
      <c r="A997" t="s">
        <v>2035</v>
      </c>
      <c r="B997" t="s">
        <v>2036</v>
      </c>
      <c r="C997" t="s">
        <v>31</v>
      </c>
      <c r="D997">
        <v>63</v>
      </c>
      <c r="E997" t="s">
        <v>149</v>
      </c>
      <c r="F997" t="s">
        <v>38</v>
      </c>
      <c r="G997" t="s">
        <v>22</v>
      </c>
      <c r="H997" s="1">
        <v>45819</v>
      </c>
    </row>
    <row r="998" spans="1:8">
      <c r="A998" t="s">
        <v>2037</v>
      </c>
      <c r="B998" t="s">
        <v>2038</v>
      </c>
      <c r="C998" t="s">
        <v>31</v>
      </c>
      <c r="D998">
        <v>46</v>
      </c>
      <c r="E998" t="s">
        <v>87</v>
      </c>
      <c r="F998" t="s">
        <v>88</v>
      </c>
      <c r="G998" t="s">
        <v>78</v>
      </c>
      <c r="H998" s="1">
        <v>44920</v>
      </c>
    </row>
    <row r="999" spans="1:8">
      <c r="A999" t="s">
        <v>2039</v>
      </c>
      <c r="B999" t="s">
        <v>2040</v>
      </c>
      <c r="C999" t="s">
        <v>10</v>
      </c>
      <c r="D999">
        <v>20</v>
      </c>
      <c r="E999" t="s">
        <v>218</v>
      </c>
      <c r="F999" t="s">
        <v>219</v>
      </c>
      <c r="G999" t="s">
        <v>17</v>
      </c>
      <c r="H999" s="1">
        <v>45147</v>
      </c>
    </row>
    <row r="1000" spans="1:8">
      <c r="A1000" t="s">
        <v>2041</v>
      </c>
      <c r="B1000" t="s">
        <v>2042</v>
      </c>
      <c r="C1000" t="s">
        <v>10</v>
      </c>
      <c r="D1000">
        <v>57</v>
      </c>
      <c r="E1000" t="s">
        <v>27</v>
      </c>
      <c r="F1000" t="s">
        <v>28</v>
      </c>
      <c r="G1000" t="s">
        <v>12</v>
      </c>
      <c r="H1000" s="1">
        <v>45618</v>
      </c>
    </row>
    <row r="1001" spans="1:8">
      <c r="A1001" t="s">
        <v>2043</v>
      </c>
      <c r="B1001" t="s">
        <v>2044</v>
      </c>
      <c r="C1001" t="s">
        <v>10</v>
      </c>
      <c r="D1001">
        <v>59</v>
      </c>
      <c r="E1001" t="s">
        <v>15</v>
      </c>
      <c r="F1001" t="s">
        <v>16</v>
      </c>
      <c r="G1001" t="s">
        <v>17</v>
      </c>
      <c r="H1001" s="1">
        <v>45298</v>
      </c>
    </row>
    <row r="1002" spans="1:8">
      <c r="A1002" t="s">
        <v>2045</v>
      </c>
      <c r="B1002" t="s">
        <v>2046</v>
      </c>
      <c r="C1002" t="s">
        <v>31</v>
      </c>
      <c r="D1002">
        <v>67</v>
      </c>
      <c r="E1002" t="s">
        <v>34</v>
      </c>
      <c r="F1002" t="s">
        <v>16</v>
      </c>
      <c r="G1002" t="s">
        <v>17</v>
      </c>
      <c r="H1002" s="1">
        <v>44739</v>
      </c>
    </row>
    <row r="1003" spans="1:8">
      <c r="A1003" t="s">
        <v>2047</v>
      </c>
      <c r="B1003" t="s">
        <v>2048</v>
      </c>
      <c r="C1003" t="s">
        <v>10</v>
      </c>
      <c r="D1003">
        <v>51</v>
      </c>
      <c r="E1003" t="s">
        <v>149</v>
      </c>
      <c r="F1003" t="s">
        <v>38</v>
      </c>
      <c r="G1003" t="s">
        <v>22</v>
      </c>
      <c r="H1003" s="1">
        <v>45392</v>
      </c>
    </row>
    <row r="1004" spans="1:8">
      <c r="A1004" t="s">
        <v>2049</v>
      </c>
      <c r="B1004" t="s">
        <v>2050</v>
      </c>
      <c r="C1004" t="s">
        <v>31</v>
      </c>
      <c r="D1004">
        <v>64</v>
      </c>
      <c r="E1004" t="s">
        <v>15</v>
      </c>
      <c r="F1004" t="s">
        <v>16</v>
      </c>
      <c r="G1004" t="s">
        <v>17</v>
      </c>
      <c r="H1004" s="1">
        <v>44746</v>
      </c>
    </row>
    <row r="1005" spans="1:8">
      <c r="A1005" t="s">
        <v>2051</v>
      </c>
      <c r="B1005" t="s">
        <v>2052</v>
      </c>
      <c r="C1005" t="s">
        <v>31</v>
      </c>
      <c r="D1005">
        <v>70</v>
      </c>
      <c r="E1005" t="s">
        <v>128</v>
      </c>
      <c r="F1005" t="s">
        <v>129</v>
      </c>
      <c r="G1005" t="s">
        <v>78</v>
      </c>
      <c r="H1005" s="1">
        <v>45274</v>
      </c>
    </row>
    <row r="1006" spans="1:8">
      <c r="A1006" t="s">
        <v>2053</v>
      </c>
      <c r="B1006" t="s">
        <v>2054</v>
      </c>
      <c r="C1006" t="s">
        <v>31</v>
      </c>
      <c r="D1006">
        <v>43</v>
      </c>
      <c r="E1006" t="s">
        <v>218</v>
      </c>
      <c r="F1006" t="s">
        <v>219</v>
      </c>
      <c r="G1006" t="s">
        <v>17</v>
      </c>
      <c r="H1006" s="1">
        <v>44960</v>
      </c>
    </row>
    <row r="1007" spans="1:8">
      <c r="A1007" t="s">
        <v>2055</v>
      </c>
      <c r="B1007" t="s">
        <v>2056</v>
      </c>
      <c r="C1007" t="s">
        <v>31</v>
      </c>
      <c r="D1007">
        <v>50</v>
      </c>
      <c r="E1007" t="s">
        <v>37</v>
      </c>
      <c r="F1007" t="s">
        <v>38</v>
      </c>
      <c r="G1007" t="s">
        <v>22</v>
      </c>
      <c r="H1007" s="1">
        <v>44920</v>
      </c>
    </row>
    <row r="1008" spans="1:8">
      <c r="A1008" t="s">
        <v>2057</v>
      </c>
      <c r="B1008" t="s">
        <v>2058</v>
      </c>
      <c r="C1008" t="s">
        <v>31</v>
      </c>
      <c r="D1008">
        <v>39</v>
      </c>
      <c r="E1008" t="s">
        <v>15</v>
      </c>
      <c r="F1008" t="s">
        <v>16</v>
      </c>
      <c r="G1008" t="s">
        <v>17</v>
      </c>
      <c r="H1008" s="1">
        <v>45592</v>
      </c>
    </row>
    <row r="1009" spans="1:8">
      <c r="A1009" t="s">
        <v>2059</v>
      </c>
      <c r="B1009" t="s">
        <v>2060</v>
      </c>
      <c r="C1009" t="s">
        <v>31</v>
      </c>
      <c r="D1009">
        <v>62</v>
      </c>
      <c r="E1009" t="s">
        <v>128</v>
      </c>
      <c r="F1009" t="s">
        <v>129</v>
      </c>
      <c r="G1009" t="s">
        <v>78</v>
      </c>
      <c r="H1009" s="1">
        <v>45089</v>
      </c>
    </row>
    <row r="1010" spans="1:8">
      <c r="A1010" t="s">
        <v>2061</v>
      </c>
      <c r="B1010" t="s">
        <v>2062</v>
      </c>
      <c r="C1010" t="s">
        <v>31</v>
      </c>
      <c r="D1010">
        <v>67</v>
      </c>
      <c r="E1010" t="s">
        <v>149</v>
      </c>
      <c r="F1010" t="s">
        <v>38</v>
      </c>
      <c r="G1010" t="s">
        <v>22</v>
      </c>
      <c r="H1010" s="1">
        <v>45715</v>
      </c>
    </row>
    <row r="1011" spans="1:8">
      <c r="A1011" t="s">
        <v>2063</v>
      </c>
      <c r="B1011" t="s">
        <v>2064</v>
      </c>
      <c r="C1011" t="s">
        <v>31</v>
      </c>
      <c r="D1011">
        <v>55</v>
      </c>
      <c r="E1011" t="s">
        <v>45</v>
      </c>
      <c r="F1011" t="s">
        <v>46</v>
      </c>
      <c r="G1011" t="s">
        <v>17</v>
      </c>
      <c r="H1011" s="1">
        <v>45501</v>
      </c>
    </row>
    <row r="1012" spans="1:8">
      <c r="A1012" t="s">
        <v>2065</v>
      </c>
      <c r="B1012" t="s">
        <v>2066</v>
      </c>
      <c r="C1012" t="s">
        <v>31</v>
      </c>
      <c r="D1012">
        <v>22</v>
      </c>
      <c r="E1012" t="s">
        <v>112</v>
      </c>
      <c r="F1012" t="s">
        <v>113</v>
      </c>
      <c r="G1012" t="s">
        <v>78</v>
      </c>
      <c r="H1012" s="1">
        <v>44800</v>
      </c>
    </row>
    <row r="1013" spans="1:8">
      <c r="A1013" t="s">
        <v>2067</v>
      </c>
      <c r="B1013" t="s">
        <v>2068</v>
      </c>
      <c r="C1013" t="s">
        <v>10</v>
      </c>
      <c r="D1013">
        <v>69</v>
      </c>
      <c r="E1013" t="s">
        <v>101</v>
      </c>
      <c r="F1013" t="s">
        <v>21</v>
      </c>
      <c r="G1013" t="s">
        <v>22</v>
      </c>
      <c r="H1013" s="1">
        <v>45948</v>
      </c>
    </row>
    <row r="1014" spans="1:8">
      <c r="A1014" t="s">
        <v>2069</v>
      </c>
      <c r="B1014" t="s">
        <v>2070</v>
      </c>
      <c r="C1014" t="s">
        <v>10</v>
      </c>
      <c r="D1014">
        <v>62</v>
      </c>
      <c r="E1014" t="s">
        <v>37</v>
      </c>
      <c r="F1014" t="s">
        <v>38</v>
      </c>
      <c r="G1014" t="s">
        <v>22</v>
      </c>
      <c r="H1014" s="1">
        <v>45619</v>
      </c>
    </row>
    <row r="1015" spans="1:8">
      <c r="A1015" t="s">
        <v>2071</v>
      </c>
      <c r="B1015" t="s">
        <v>2072</v>
      </c>
      <c r="C1015" t="s">
        <v>10</v>
      </c>
      <c r="D1015">
        <v>43</v>
      </c>
      <c r="E1015" t="s">
        <v>76</v>
      </c>
      <c r="F1015" t="s">
        <v>77</v>
      </c>
      <c r="G1015" t="s">
        <v>78</v>
      </c>
      <c r="H1015" s="1">
        <v>45150</v>
      </c>
    </row>
    <row r="1016" spans="1:8">
      <c r="A1016" t="s">
        <v>2073</v>
      </c>
      <c r="B1016" t="s">
        <v>2074</v>
      </c>
      <c r="C1016" t="s">
        <v>10</v>
      </c>
      <c r="D1016">
        <v>48</v>
      </c>
      <c r="E1016" t="s">
        <v>134</v>
      </c>
      <c r="F1016" t="s">
        <v>28</v>
      </c>
      <c r="G1016" t="s">
        <v>12</v>
      </c>
      <c r="H1016" s="1">
        <v>44717</v>
      </c>
    </row>
    <row r="1017" spans="1:8">
      <c r="A1017" t="s">
        <v>2075</v>
      </c>
      <c r="B1017" t="s">
        <v>2076</v>
      </c>
      <c r="C1017" t="s">
        <v>31</v>
      </c>
      <c r="D1017">
        <v>29</v>
      </c>
      <c r="E1017" t="s">
        <v>101</v>
      </c>
      <c r="F1017" t="s">
        <v>21</v>
      </c>
      <c r="G1017" t="s">
        <v>22</v>
      </c>
      <c r="H1017" s="1">
        <v>45736</v>
      </c>
    </row>
    <row r="1018" spans="1:8">
      <c r="A1018" t="s">
        <v>2077</v>
      </c>
      <c r="B1018" t="s">
        <v>2078</v>
      </c>
      <c r="C1018" t="s">
        <v>10</v>
      </c>
      <c r="D1018">
        <v>33</v>
      </c>
      <c r="E1018" t="s">
        <v>76</v>
      </c>
      <c r="F1018" t="s">
        <v>77</v>
      </c>
      <c r="G1018" t="s">
        <v>78</v>
      </c>
      <c r="H1018" s="1">
        <v>45583</v>
      </c>
    </row>
    <row r="1019" spans="1:8">
      <c r="A1019" t="s">
        <v>2079</v>
      </c>
      <c r="B1019" t="s">
        <v>2080</v>
      </c>
      <c r="C1019" t="s">
        <v>10</v>
      </c>
      <c r="D1019">
        <v>30</v>
      </c>
      <c r="E1019" t="s">
        <v>134</v>
      </c>
      <c r="F1019" t="s">
        <v>28</v>
      </c>
      <c r="G1019" t="s">
        <v>12</v>
      </c>
      <c r="H1019" s="1">
        <v>44985</v>
      </c>
    </row>
    <row r="1020" spans="1:8">
      <c r="A1020" t="s">
        <v>2081</v>
      </c>
      <c r="B1020" t="s">
        <v>2082</v>
      </c>
      <c r="C1020" t="s">
        <v>10</v>
      </c>
      <c r="D1020">
        <v>67</v>
      </c>
      <c r="E1020" t="s">
        <v>128</v>
      </c>
      <c r="F1020" t="s">
        <v>129</v>
      </c>
      <c r="G1020" t="s">
        <v>78</v>
      </c>
      <c r="H1020" s="1">
        <v>45291</v>
      </c>
    </row>
    <row r="1021" spans="1:8">
      <c r="A1021" t="s">
        <v>2083</v>
      </c>
      <c r="B1021" t="s">
        <v>2084</v>
      </c>
      <c r="C1021" t="s">
        <v>31</v>
      </c>
      <c r="D1021">
        <v>57</v>
      </c>
      <c r="E1021" t="s">
        <v>15</v>
      </c>
      <c r="F1021" t="s">
        <v>16</v>
      </c>
      <c r="G1021" t="s">
        <v>17</v>
      </c>
      <c r="H1021" s="1">
        <v>45946</v>
      </c>
    </row>
    <row r="1022" spans="1:8">
      <c r="A1022" t="s">
        <v>2085</v>
      </c>
      <c r="B1022" t="s">
        <v>2086</v>
      </c>
      <c r="C1022" t="s">
        <v>31</v>
      </c>
      <c r="D1022">
        <v>41</v>
      </c>
      <c r="E1022" t="s">
        <v>218</v>
      </c>
      <c r="F1022" t="s">
        <v>219</v>
      </c>
      <c r="G1022" t="s">
        <v>17</v>
      </c>
      <c r="H1022" s="1">
        <v>44648</v>
      </c>
    </row>
    <row r="1023" spans="1:8">
      <c r="A1023" t="s">
        <v>2087</v>
      </c>
      <c r="B1023" t="s">
        <v>2088</v>
      </c>
      <c r="C1023" t="s">
        <v>31</v>
      </c>
      <c r="D1023">
        <v>49</v>
      </c>
      <c r="E1023" t="s">
        <v>69</v>
      </c>
      <c r="F1023" t="s">
        <v>69</v>
      </c>
      <c r="G1023" t="s">
        <v>12</v>
      </c>
      <c r="H1023" s="1">
        <v>45738</v>
      </c>
    </row>
    <row r="1024" spans="1:8">
      <c r="A1024" t="s">
        <v>2089</v>
      </c>
      <c r="B1024" t="s">
        <v>2090</v>
      </c>
      <c r="C1024" t="s">
        <v>31</v>
      </c>
      <c r="D1024">
        <v>32</v>
      </c>
      <c r="E1024" t="s">
        <v>218</v>
      </c>
      <c r="F1024" t="s">
        <v>219</v>
      </c>
      <c r="G1024" t="s">
        <v>17</v>
      </c>
      <c r="H1024" s="1">
        <v>45135</v>
      </c>
    </row>
    <row r="1025" spans="1:8">
      <c r="A1025" t="s">
        <v>2091</v>
      </c>
      <c r="B1025" t="s">
        <v>2092</v>
      </c>
      <c r="C1025" t="s">
        <v>31</v>
      </c>
      <c r="D1025">
        <v>48</v>
      </c>
      <c r="E1025" t="s">
        <v>63</v>
      </c>
      <c r="F1025" t="s">
        <v>64</v>
      </c>
      <c r="G1025" t="s">
        <v>12</v>
      </c>
      <c r="H1025" s="1">
        <v>44672</v>
      </c>
    </row>
    <row r="1026" spans="1:8">
      <c r="A1026" t="s">
        <v>2093</v>
      </c>
      <c r="B1026" t="s">
        <v>2094</v>
      </c>
      <c r="C1026" t="s">
        <v>31</v>
      </c>
      <c r="D1026">
        <v>43</v>
      </c>
      <c r="E1026" t="s">
        <v>87</v>
      </c>
      <c r="F1026" t="s">
        <v>88</v>
      </c>
      <c r="G1026" t="s">
        <v>78</v>
      </c>
      <c r="H1026" s="1">
        <v>45591</v>
      </c>
    </row>
    <row r="1027" spans="1:8">
      <c r="A1027" t="s">
        <v>2095</v>
      </c>
      <c r="B1027" t="s">
        <v>2096</v>
      </c>
      <c r="C1027" t="s">
        <v>10</v>
      </c>
      <c r="D1027">
        <v>62</v>
      </c>
      <c r="E1027" t="s">
        <v>76</v>
      </c>
      <c r="F1027" t="s">
        <v>77</v>
      </c>
      <c r="G1027" t="s">
        <v>78</v>
      </c>
      <c r="H1027" s="1">
        <v>45498</v>
      </c>
    </row>
    <row r="1028" spans="1:8">
      <c r="A1028" t="s">
        <v>2097</v>
      </c>
      <c r="B1028" t="s">
        <v>2098</v>
      </c>
      <c r="C1028" t="s">
        <v>10</v>
      </c>
      <c r="D1028">
        <v>18</v>
      </c>
      <c r="E1028" t="s">
        <v>37</v>
      </c>
      <c r="F1028" t="s">
        <v>38</v>
      </c>
      <c r="G1028" t="s">
        <v>22</v>
      </c>
      <c r="H1028" s="1">
        <v>45973</v>
      </c>
    </row>
    <row r="1029" spans="1:8">
      <c r="A1029" t="s">
        <v>2099</v>
      </c>
      <c r="B1029" t="s">
        <v>2100</v>
      </c>
      <c r="C1029" t="s">
        <v>10</v>
      </c>
      <c r="D1029">
        <v>38</v>
      </c>
      <c r="E1029" t="s">
        <v>69</v>
      </c>
      <c r="F1029" t="s">
        <v>69</v>
      </c>
      <c r="G1029" t="s">
        <v>12</v>
      </c>
      <c r="H1029" s="1">
        <v>45751</v>
      </c>
    </row>
    <row r="1030" spans="1:8">
      <c r="A1030" t="s">
        <v>2101</v>
      </c>
      <c r="B1030" t="s">
        <v>2102</v>
      </c>
      <c r="C1030" t="s">
        <v>31</v>
      </c>
      <c r="D1030">
        <v>33</v>
      </c>
      <c r="E1030" t="s">
        <v>37</v>
      </c>
      <c r="F1030" t="s">
        <v>38</v>
      </c>
      <c r="G1030" t="s">
        <v>22</v>
      </c>
      <c r="H1030" s="1">
        <v>44945</v>
      </c>
    </row>
    <row r="1031" spans="1:8">
      <c r="A1031" t="s">
        <v>2103</v>
      </c>
      <c r="B1031" t="s">
        <v>2104</v>
      </c>
      <c r="C1031" t="s">
        <v>31</v>
      </c>
      <c r="D1031">
        <v>29</v>
      </c>
      <c r="E1031" t="s">
        <v>218</v>
      </c>
      <c r="F1031" t="s">
        <v>219</v>
      </c>
      <c r="G1031" t="s">
        <v>17</v>
      </c>
      <c r="H1031" s="1">
        <v>45264</v>
      </c>
    </row>
    <row r="1032" spans="1:8">
      <c r="A1032" t="s">
        <v>2105</v>
      </c>
      <c r="B1032" t="s">
        <v>2106</v>
      </c>
      <c r="C1032" t="s">
        <v>31</v>
      </c>
      <c r="D1032">
        <v>41</v>
      </c>
      <c r="E1032" t="s">
        <v>101</v>
      </c>
      <c r="F1032" t="s">
        <v>21</v>
      </c>
      <c r="G1032" t="s">
        <v>22</v>
      </c>
      <c r="H1032" s="1">
        <v>45420</v>
      </c>
    </row>
    <row r="1033" spans="1:8">
      <c r="A1033" t="s">
        <v>2107</v>
      </c>
      <c r="B1033" t="s">
        <v>2108</v>
      </c>
      <c r="C1033" t="s">
        <v>10</v>
      </c>
      <c r="D1033">
        <v>54</v>
      </c>
      <c r="E1033" t="s">
        <v>91</v>
      </c>
      <c r="F1033" t="s">
        <v>92</v>
      </c>
      <c r="G1033" t="s">
        <v>78</v>
      </c>
      <c r="H1033" s="1">
        <v>45485</v>
      </c>
    </row>
    <row r="1034" spans="1:8">
      <c r="A1034" t="s">
        <v>2109</v>
      </c>
      <c r="B1034" t="s">
        <v>2110</v>
      </c>
      <c r="C1034" t="s">
        <v>10</v>
      </c>
      <c r="D1034">
        <v>70</v>
      </c>
      <c r="E1034" t="s">
        <v>218</v>
      </c>
      <c r="F1034" t="s">
        <v>219</v>
      </c>
      <c r="G1034" t="s">
        <v>17</v>
      </c>
      <c r="H1034" s="1">
        <v>45966</v>
      </c>
    </row>
    <row r="1035" spans="1:8">
      <c r="A1035" t="s">
        <v>2111</v>
      </c>
      <c r="B1035" t="s">
        <v>2112</v>
      </c>
      <c r="C1035" t="s">
        <v>31</v>
      </c>
      <c r="D1035">
        <v>42</v>
      </c>
      <c r="E1035" t="s">
        <v>45</v>
      </c>
      <c r="F1035" t="s">
        <v>46</v>
      </c>
      <c r="G1035" t="s">
        <v>17</v>
      </c>
      <c r="H1035" s="1">
        <v>45044</v>
      </c>
    </row>
    <row r="1036" spans="1:8">
      <c r="A1036" t="s">
        <v>2113</v>
      </c>
      <c r="B1036" t="s">
        <v>2114</v>
      </c>
      <c r="C1036" t="s">
        <v>10</v>
      </c>
      <c r="D1036">
        <v>29</v>
      </c>
      <c r="E1036" t="s">
        <v>34</v>
      </c>
      <c r="F1036" t="s">
        <v>16</v>
      </c>
      <c r="G1036" t="s">
        <v>17</v>
      </c>
      <c r="H1036" s="1">
        <v>45530</v>
      </c>
    </row>
    <row r="1037" spans="1:8">
      <c r="A1037" t="s">
        <v>2115</v>
      </c>
      <c r="B1037" t="s">
        <v>2116</v>
      </c>
      <c r="C1037" t="s">
        <v>31</v>
      </c>
      <c r="D1037">
        <v>68</v>
      </c>
      <c r="E1037" t="s">
        <v>101</v>
      </c>
      <c r="F1037" t="s">
        <v>21</v>
      </c>
      <c r="G1037" t="s">
        <v>22</v>
      </c>
      <c r="H1037" s="1">
        <v>45853</v>
      </c>
    </row>
    <row r="1038" spans="1:8">
      <c r="A1038" t="s">
        <v>2117</v>
      </c>
      <c r="B1038" t="s">
        <v>2118</v>
      </c>
      <c r="C1038" t="s">
        <v>10</v>
      </c>
      <c r="D1038">
        <v>43</v>
      </c>
      <c r="E1038" t="s">
        <v>37</v>
      </c>
      <c r="F1038" t="s">
        <v>38</v>
      </c>
      <c r="G1038" t="s">
        <v>22</v>
      </c>
      <c r="H1038" s="1">
        <v>45713</v>
      </c>
    </row>
    <row r="1039" spans="1:8">
      <c r="A1039" t="s">
        <v>2119</v>
      </c>
      <c r="B1039" t="s">
        <v>2120</v>
      </c>
      <c r="C1039" t="s">
        <v>10</v>
      </c>
      <c r="D1039">
        <v>70</v>
      </c>
      <c r="E1039" t="s">
        <v>34</v>
      </c>
      <c r="F1039" t="s">
        <v>16</v>
      </c>
      <c r="G1039" t="s">
        <v>17</v>
      </c>
      <c r="H1039" s="1">
        <v>44684</v>
      </c>
    </row>
    <row r="1040" spans="1:8">
      <c r="A1040" t="s">
        <v>2121</v>
      </c>
      <c r="B1040" t="s">
        <v>2122</v>
      </c>
      <c r="C1040" t="s">
        <v>31</v>
      </c>
      <c r="D1040">
        <v>34</v>
      </c>
      <c r="E1040" t="s">
        <v>15</v>
      </c>
      <c r="F1040" t="s">
        <v>16</v>
      </c>
      <c r="G1040" t="s">
        <v>17</v>
      </c>
      <c r="H1040" s="1">
        <v>45483</v>
      </c>
    </row>
    <row r="1041" spans="1:8">
      <c r="A1041" t="s">
        <v>2123</v>
      </c>
      <c r="B1041" t="s">
        <v>2124</v>
      </c>
      <c r="C1041" t="s">
        <v>31</v>
      </c>
      <c r="D1041">
        <v>40</v>
      </c>
      <c r="E1041" t="s">
        <v>60</v>
      </c>
      <c r="F1041" t="s">
        <v>21</v>
      </c>
      <c r="G1041" t="s">
        <v>22</v>
      </c>
      <c r="H1041" s="1">
        <v>45703</v>
      </c>
    </row>
    <row r="1042" spans="1:8">
      <c r="A1042" t="s">
        <v>2125</v>
      </c>
      <c r="B1042" t="s">
        <v>2126</v>
      </c>
      <c r="C1042" t="s">
        <v>10</v>
      </c>
      <c r="D1042">
        <v>54</v>
      </c>
      <c r="E1042" t="s">
        <v>15</v>
      </c>
      <c r="F1042" t="s">
        <v>16</v>
      </c>
      <c r="G1042" t="s">
        <v>17</v>
      </c>
      <c r="H1042" s="1">
        <v>45281</v>
      </c>
    </row>
    <row r="1043" spans="1:8">
      <c r="A1043" t="s">
        <v>2127</v>
      </c>
      <c r="B1043" t="s">
        <v>2128</v>
      </c>
      <c r="C1043" t="s">
        <v>31</v>
      </c>
      <c r="D1043">
        <v>40</v>
      </c>
      <c r="E1043" t="s">
        <v>60</v>
      </c>
      <c r="F1043" t="s">
        <v>21</v>
      </c>
      <c r="G1043" t="s">
        <v>22</v>
      </c>
      <c r="H1043" s="1">
        <v>44919</v>
      </c>
    </row>
    <row r="1044" spans="1:8">
      <c r="A1044" t="s">
        <v>2129</v>
      </c>
      <c r="B1044" t="s">
        <v>2130</v>
      </c>
      <c r="C1044" t="s">
        <v>31</v>
      </c>
      <c r="D1044">
        <v>23</v>
      </c>
      <c r="E1044" t="s">
        <v>60</v>
      </c>
      <c r="F1044" t="s">
        <v>21</v>
      </c>
      <c r="G1044" t="s">
        <v>22</v>
      </c>
      <c r="H1044" s="1">
        <v>45560</v>
      </c>
    </row>
    <row r="1045" spans="1:8">
      <c r="A1045" t="s">
        <v>2131</v>
      </c>
      <c r="B1045" t="s">
        <v>2132</v>
      </c>
      <c r="C1045" t="s">
        <v>10</v>
      </c>
      <c r="D1045">
        <v>28</v>
      </c>
      <c r="E1045" t="s">
        <v>37</v>
      </c>
      <c r="F1045" t="s">
        <v>38</v>
      </c>
      <c r="G1045" t="s">
        <v>22</v>
      </c>
      <c r="H1045" s="1">
        <v>45511</v>
      </c>
    </row>
    <row r="1046" spans="1:8">
      <c r="A1046" t="s">
        <v>2133</v>
      </c>
      <c r="B1046" t="s">
        <v>2134</v>
      </c>
      <c r="C1046" t="s">
        <v>31</v>
      </c>
      <c r="D1046">
        <v>22</v>
      </c>
      <c r="E1046" t="s">
        <v>134</v>
      </c>
      <c r="F1046" t="s">
        <v>28</v>
      </c>
      <c r="G1046" t="s">
        <v>12</v>
      </c>
      <c r="H1046" s="1">
        <v>45425</v>
      </c>
    </row>
    <row r="1047" spans="1:8">
      <c r="A1047" t="s">
        <v>2135</v>
      </c>
      <c r="B1047" t="s">
        <v>2136</v>
      </c>
      <c r="C1047" t="s">
        <v>31</v>
      </c>
      <c r="D1047">
        <v>38</v>
      </c>
      <c r="E1047" t="s">
        <v>45</v>
      </c>
      <c r="F1047" t="s">
        <v>46</v>
      </c>
      <c r="G1047" t="s">
        <v>17</v>
      </c>
      <c r="H1047" s="1">
        <v>45029</v>
      </c>
    </row>
    <row r="1048" spans="1:8">
      <c r="A1048" t="s">
        <v>2137</v>
      </c>
      <c r="B1048" t="s">
        <v>2138</v>
      </c>
      <c r="C1048" t="s">
        <v>31</v>
      </c>
      <c r="D1048">
        <v>35</v>
      </c>
      <c r="E1048" t="s">
        <v>134</v>
      </c>
      <c r="F1048" t="s">
        <v>28</v>
      </c>
      <c r="G1048" t="s">
        <v>12</v>
      </c>
      <c r="H1048" s="1">
        <v>45801</v>
      </c>
    </row>
    <row r="1049" spans="1:8">
      <c r="A1049" t="s">
        <v>2139</v>
      </c>
      <c r="B1049" t="s">
        <v>2140</v>
      </c>
      <c r="C1049" t="s">
        <v>31</v>
      </c>
      <c r="D1049">
        <v>44</v>
      </c>
      <c r="E1049" t="s">
        <v>91</v>
      </c>
      <c r="F1049" t="s">
        <v>92</v>
      </c>
      <c r="G1049" t="s">
        <v>78</v>
      </c>
      <c r="H1049" s="1">
        <v>45764</v>
      </c>
    </row>
    <row r="1050" spans="1:8">
      <c r="A1050" t="s">
        <v>2141</v>
      </c>
      <c r="B1050" t="s">
        <v>2142</v>
      </c>
      <c r="C1050" t="s">
        <v>10</v>
      </c>
      <c r="D1050">
        <v>60</v>
      </c>
      <c r="E1050" t="s">
        <v>15</v>
      </c>
      <c r="F1050" t="s">
        <v>16</v>
      </c>
      <c r="G1050" t="s">
        <v>17</v>
      </c>
      <c r="H1050" s="1">
        <v>44818</v>
      </c>
    </row>
    <row r="1051" spans="1:8">
      <c r="A1051" t="s">
        <v>2143</v>
      </c>
      <c r="B1051" t="s">
        <v>2144</v>
      </c>
      <c r="C1051" t="s">
        <v>10</v>
      </c>
      <c r="D1051">
        <v>43</v>
      </c>
      <c r="E1051" t="s">
        <v>15</v>
      </c>
      <c r="F1051" t="s">
        <v>16</v>
      </c>
      <c r="G1051" t="s">
        <v>17</v>
      </c>
      <c r="H1051" s="1">
        <v>44993</v>
      </c>
    </row>
    <row r="1052" spans="1:8">
      <c r="A1052" t="s">
        <v>2145</v>
      </c>
      <c r="B1052" t="s">
        <v>2146</v>
      </c>
      <c r="C1052" t="s">
        <v>10</v>
      </c>
      <c r="D1052">
        <v>19</v>
      </c>
      <c r="E1052" t="s">
        <v>15</v>
      </c>
      <c r="F1052" t="s">
        <v>16</v>
      </c>
      <c r="G1052" t="s">
        <v>17</v>
      </c>
      <c r="H1052" s="1">
        <v>45531</v>
      </c>
    </row>
    <row r="1053" spans="1:8">
      <c r="A1053" t="s">
        <v>2147</v>
      </c>
      <c r="B1053" t="s">
        <v>2148</v>
      </c>
      <c r="C1053" t="s">
        <v>10</v>
      </c>
      <c r="D1053">
        <v>34</v>
      </c>
      <c r="E1053" t="s">
        <v>27</v>
      </c>
      <c r="F1053" t="s">
        <v>28</v>
      </c>
      <c r="G1053" t="s">
        <v>12</v>
      </c>
      <c r="H1053" s="1">
        <v>44732</v>
      </c>
    </row>
    <row r="1054" spans="1:8">
      <c r="A1054" t="s">
        <v>2149</v>
      </c>
      <c r="B1054" t="s">
        <v>2150</v>
      </c>
      <c r="C1054" t="s">
        <v>31</v>
      </c>
      <c r="D1054">
        <v>37</v>
      </c>
      <c r="E1054" t="s">
        <v>11</v>
      </c>
      <c r="F1054" t="s">
        <v>11</v>
      </c>
      <c r="G1054" t="s">
        <v>12</v>
      </c>
      <c r="H1054" s="1">
        <v>45903</v>
      </c>
    </row>
    <row r="1055" spans="1:8">
      <c r="A1055" t="s">
        <v>2151</v>
      </c>
      <c r="B1055" t="s">
        <v>2152</v>
      </c>
      <c r="C1055" t="s">
        <v>10</v>
      </c>
      <c r="D1055">
        <v>26</v>
      </c>
      <c r="E1055" t="s">
        <v>45</v>
      </c>
      <c r="F1055" t="s">
        <v>46</v>
      </c>
      <c r="G1055" t="s">
        <v>17</v>
      </c>
      <c r="H1055" s="1">
        <v>45469</v>
      </c>
    </row>
    <row r="1056" spans="1:8">
      <c r="A1056" t="s">
        <v>2153</v>
      </c>
      <c r="B1056" t="s">
        <v>2154</v>
      </c>
      <c r="C1056" t="s">
        <v>10</v>
      </c>
      <c r="D1056">
        <v>60</v>
      </c>
      <c r="E1056" t="s">
        <v>101</v>
      </c>
      <c r="F1056" t="s">
        <v>21</v>
      </c>
      <c r="G1056" t="s">
        <v>22</v>
      </c>
      <c r="H1056" s="1">
        <v>44620</v>
      </c>
    </row>
    <row r="1057" spans="1:8">
      <c r="A1057" t="s">
        <v>2155</v>
      </c>
      <c r="B1057" t="s">
        <v>2156</v>
      </c>
      <c r="C1057" t="s">
        <v>31</v>
      </c>
      <c r="D1057">
        <v>52</v>
      </c>
      <c r="E1057" t="s">
        <v>37</v>
      </c>
      <c r="F1057" t="s">
        <v>38</v>
      </c>
      <c r="G1057" t="s">
        <v>22</v>
      </c>
      <c r="H1057" s="1">
        <v>45537</v>
      </c>
    </row>
    <row r="1058" spans="1:8">
      <c r="A1058" t="s">
        <v>2157</v>
      </c>
      <c r="B1058" t="s">
        <v>2158</v>
      </c>
      <c r="C1058" t="s">
        <v>10</v>
      </c>
      <c r="D1058">
        <v>62</v>
      </c>
      <c r="E1058" t="s">
        <v>128</v>
      </c>
      <c r="F1058" t="s">
        <v>129</v>
      </c>
      <c r="G1058" t="s">
        <v>78</v>
      </c>
      <c r="H1058" s="1">
        <v>45473</v>
      </c>
    </row>
    <row r="1059" spans="1:8">
      <c r="A1059" t="s">
        <v>2159</v>
      </c>
      <c r="B1059" t="s">
        <v>2160</v>
      </c>
      <c r="C1059" t="s">
        <v>31</v>
      </c>
      <c r="D1059">
        <v>58</v>
      </c>
      <c r="E1059" t="s">
        <v>60</v>
      </c>
      <c r="F1059" t="s">
        <v>21</v>
      </c>
      <c r="G1059" t="s">
        <v>22</v>
      </c>
      <c r="H1059" s="1">
        <v>45785</v>
      </c>
    </row>
    <row r="1060" spans="1:8">
      <c r="A1060" t="s">
        <v>2161</v>
      </c>
      <c r="B1060" t="s">
        <v>2162</v>
      </c>
      <c r="C1060" t="s">
        <v>31</v>
      </c>
      <c r="D1060">
        <v>40</v>
      </c>
      <c r="E1060" t="s">
        <v>27</v>
      </c>
      <c r="F1060" t="s">
        <v>28</v>
      </c>
      <c r="G1060" t="s">
        <v>12</v>
      </c>
      <c r="H1060" s="1">
        <v>45452</v>
      </c>
    </row>
    <row r="1061" spans="1:8">
      <c r="A1061" t="s">
        <v>2163</v>
      </c>
      <c r="B1061" t="s">
        <v>2164</v>
      </c>
      <c r="C1061" t="s">
        <v>31</v>
      </c>
      <c r="D1061">
        <v>37</v>
      </c>
      <c r="E1061" t="s">
        <v>101</v>
      </c>
      <c r="F1061" t="s">
        <v>21</v>
      </c>
      <c r="G1061" t="s">
        <v>22</v>
      </c>
      <c r="H1061" s="1">
        <v>44745</v>
      </c>
    </row>
    <row r="1062" spans="1:8">
      <c r="A1062" t="s">
        <v>2165</v>
      </c>
      <c r="B1062" t="s">
        <v>2166</v>
      </c>
      <c r="C1062" t="s">
        <v>31</v>
      </c>
      <c r="D1062">
        <v>18</v>
      </c>
      <c r="E1062" t="s">
        <v>37</v>
      </c>
      <c r="F1062" t="s">
        <v>38</v>
      </c>
      <c r="G1062" t="s">
        <v>22</v>
      </c>
      <c r="H1062" s="1">
        <v>44880</v>
      </c>
    </row>
    <row r="1063" spans="1:8">
      <c r="A1063" t="s">
        <v>2167</v>
      </c>
      <c r="B1063" t="s">
        <v>2168</v>
      </c>
      <c r="C1063" t="s">
        <v>31</v>
      </c>
      <c r="D1063">
        <v>48</v>
      </c>
      <c r="E1063" t="s">
        <v>34</v>
      </c>
      <c r="F1063" t="s">
        <v>16</v>
      </c>
      <c r="G1063" t="s">
        <v>17</v>
      </c>
      <c r="H1063" s="1">
        <v>45266</v>
      </c>
    </row>
    <row r="1064" spans="1:8">
      <c r="A1064" t="s">
        <v>2169</v>
      </c>
      <c r="B1064" t="s">
        <v>2170</v>
      </c>
      <c r="C1064" t="s">
        <v>31</v>
      </c>
      <c r="D1064">
        <v>18</v>
      </c>
      <c r="E1064" t="s">
        <v>149</v>
      </c>
      <c r="F1064" t="s">
        <v>38</v>
      </c>
      <c r="G1064" t="s">
        <v>22</v>
      </c>
      <c r="H1064" s="1">
        <v>45539</v>
      </c>
    </row>
    <row r="1065" spans="1:8">
      <c r="A1065" t="s">
        <v>2171</v>
      </c>
      <c r="B1065" t="s">
        <v>2172</v>
      </c>
      <c r="C1065" t="s">
        <v>10</v>
      </c>
      <c r="D1065">
        <v>68</v>
      </c>
      <c r="E1065" t="s">
        <v>134</v>
      </c>
      <c r="F1065" t="s">
        <v>28</v>
      </c>
      <c r="G1065" t="s">
        <v>12</v>
      </c>
      <c r="H1065" s="1">
        <v>45784</v>
      </c>
    </row>
    <row r="1066" spans="1:8">
      <c r="A1066" t="s">
        <v>2173</v>
      </c>
      <c r="B1066" t="s">
        <v>2174</v>
      </c>
      <c r="C1066" t="s">
        <v>31</v>
      </c>
      <c r="D1066">
        <v>53</v>
      </c>
      <c r="E1066" t="s">
        <v>45</v>
      </c>
      <c r="F1066" t="s">
        <v>46</v>
      </c>
      <c r="G1066" t="s">
        <v>17</v>
      </c>
      <c r="H1066" s="1">
        <v>44948</v>
      </c>
    </row>
    <row r="1067" spans="1:8">
      <c r="A1067" t="s">
        <v>2175</v>
      </c>
      <c r="B1067" t="s">
        <v>2176</v>
      </c>
      <c r="C1067" t="s">
        <v>31</v>
      </c>
      <c r="D1067">
        <v>42</v>
      </c>
      <c r="E1067" t="s">
        <v>101</v>
      </c>
      <c r="F1067" t="s">
        <v>21</v>
      </c>
      <c r="G1067" t="s">
        <v>22</v>
      </c>
      <c r="H1067" s="1">
        <v>44896</v>
      </c>
    </row>
    <row r="1068" spans="1:8">
      <c r="A1068" t="s">
        <v>2177</v>
      </c>
      <c r="B1068" t="s">
        <v>2178</v>
      </c>
      <c r="C1068" t="s">
        <v>10</v>
      </c>
      <c r="D1068">
        <v>51</v>
      </c>
      <c r="E1068" t="s">
        <v>15</v>
      </c>
      <c r="F1068" t="s">
        <v>16</v>
      </c>
      <c r="G1068" t="s">
        <v>17</v>
      </c>
      <c r="H1068" s="1">
        <v>45426</v>
      </c>
    </row>
    <row r="1069" spans="1:8">
      <c r="A1069" t="s">
        <v>2179</v>
      </c>
      <c r="B1069" t="s">
        <v>2180</v>
      </c>
      <c r="C1069" t="s">
        <v>31</v>
      </c>
      <c r="D1069">
        <v>36</v>
      </c>
      <c r="E1069" t="s">
        <v>27</v>
      </c>
      <c r="F1069" t="s">
        <v>28</v>
      </c>
      <c r="G1069" t="s">
        <v>12</v>
      </c>
      <c r="H1069" s="1">
        <v>45983</v>
      </c>
    </row>
    <row r="1070" spans="1:8">
      <c r="A1070" t="s">
        <v>2181</v>
      </c>
      <c r="B1070" t="s">
        <v>2182</v>
      </c>
      <c r="C1070" t="s">
        <v>31</v>
      </c>
      <c r="D1070">
        <v>30</v>
      </c>
      <c r="E1070" t="s">
        <v>27</v>
      </c>
      <c r="F1070" t="s">
        <v>28</v>
      </c>
      <c r="G1070" t="s">
        <v>12</v>
      </c>
      <c r="H1070" s="1">
        <v>45112</v>
      </c>
    </row>
    <row r="1071" spans="1:8">
      <c r="A1071" t="s">
        <v>2183</v>
      </c>
      <c r="B1071" t="s">
        <v>2184</v>
      </c>
      <c r="C1071" t="s">
        <v>31</v>
      </c>
      <c r="D1071">
        <v>25</v>
      </c>
      <c r="E1071" t="s">
        <v>76</v>
      </c>
      <c r="F1071" t="s">
        <v>77</v>
      </c>
      <c r="G1071" t="s">
        <v>78</v>
      </c>
      <c r="H1071" s="1">
        <v>44841</v>
      </c>
    </row>
    <row r="1072" spans="1:8">
      <c r="A1072" t="s">
        <v>2185</v>
      </c>
      <c r="B1072" t="s">
        <v>2186</v>
      </c>
      <c r="C1072" t="s">
        <v>31</v>
      </c>
      <c r="D1072">
        <v>62</v>
      </c>
      <c r="E1072" t="s">
        <v>27</v>
      </c>
      <c r="F1072" t="s">
        <v>28</v>
      </c>
      <c r="G1072" t="s">
        <v>12</v>
      </c>
      <c r="H1072" s="1">
        <v>45489</v>
      </c>
    </row>
    <row r="1073" spans="1:8">
      <c r="A1073" t="s">
        <v>2187</v>
      </c>
      <c r="B1073" t="s">
        <v>2188</v>
      </c>
      <c r="C1073" t="s">
        <v>10</v>
      </c>
      <c r="D1073">
        <v>27</v>
      </c>
      <c r="E1073" t="s">
        <v>63</v>
      </c>
      <c r="F1073" t="s">
        <v>64</v>
      </c>
      <c r="G1073" t="s">
        <v>12</v>
      </c>
      <c r="H1073" s="1">
        <v>45218</v>
      </c>
    </row>
    <row r="1074" spans="1:8">
      <c r="A1074" t="s">
        <v>2189</v>
      </c>
      <c r="B1074" t="s">
        <v>2190</v>
      </c>
      <c r="C1074" t="s">
        <v>10</v>
      </c>
      <c r="D1074">
        <v>24</v>
      </c>
      <c r="E1074" t="s">
        <v>218</v>
      </c>
      <c r="F1074" t="s">
        <v>219</v>
      </c>
      <c r="G1074" t="s">
        <v>17</v>
      </c>
      <c r="H1074" s="1">
        <v>44607</v>
      </c>
    </row>
    <row r="1075" spans="1:8">
      <c r="A1075" t="s">
        <v>2191</v>
      </c>
      <c r="B1075" t="s">
        <v>2192</v>
      </c>
      <c r="C1075" t="s">
        <v>10</v>
      </c>
      <c r="D1075">
        <v>32</v>
      </c>
      <c r="E1075" t="s">
        <v>34</v>
      </c>
      <c r="F1075" t="s">
        <v>16</v>
      </c>
      <c r="G1075" t="s">
        <v>17</v>
      </c>
      <c r="H1075" s="1">
        <v>45459</v>
      </c>
    </row>
    <row r="1076" spans="1:8">
      <c r="A1076" t="s">
        <v>2193</v>
      </c>
      <c r="B1076" t="s">
        <v>2194</v>
      </c>
      <c r="C1076" t="s">
        <v>10</v>
      </c>
      <c r="D1076">
        <v>39</v>
      </c>
      <c r="E1076" t="s">
        <v>15</v>
      </c>
      <c r="F1076" t="s">
        <v>16</v>
      </c>
      <c r="G1076" t="s">
        <v>17</v>
      </c>
      <c r="H1076" s="1">
        <v>45572</v>
      </c>
    </row>
    <row r="1077" spans="1:8">
      <c r="A1077" t="s">
        <v>2195</v>
      </c>
      <c r="B1077" t="s">
        <v>2196</v>
      </c>
      <c r="C1077" t="s">
        <v>31</v>
      </c>
      <c r="D1077">
        <v>62</v>
      </c>
      <c r="E1077" t="s">
        <v>149</v>
      </c>
      <c r="F1077" t="s">
        <v>38</v>
      </c>
      <c r="G1077" t="s">
        <v>22</v>
      </c>
      <c r="H1077" s="1">
        <v>45322</v>
      </c>
    </row>
    <row r="1078" spans="1:8">
      <c r="A1078" t="s">
        <v>2197</v>
      </c>
      <c r="B1078" t="s">
        <v>2198</v>
      </c>
      <c r="C1078" t="s">
        <v>10</v>
      </c>
      <c r="D1078">
        <v>21</v>
      </c>
      <c r="E1078" t="s">
        <v>134</v>
      </c>
      <c r="F1078" t="s">
        <v>28</v>
      </c>
      <c r="G1078" t="s">
        <v>12</v>
      </c>
      <c r="H1078" s="1">
        <v>44726</v>
      </c>
    </row>
    <row r="1079" spans="1:8">
      <c r="A1079" t="s">
        <v>2199</v>
      </c>
      <c r="B1079" t="s">
        <v>2200</v>
      </c>
      <c r="C1079" t="s">
        <v>31</v>
      </c>
      <c r="D1079">
        <v>29</v>
      </c>
      <c r="E1079" t="s">
        <v>41</v>
      </c>
      <c r="F1079" t="s">
        <v>42</v>
      </c>
      <c r="G1079" t="s">
        <v>17</v>
      </c>
      <c r="H1079" s="1">
        <v>44708</v>
      </c>
    </row>
    <row r="1080" spans="1:8">
      <c r="A1080" t="s">
        <v>2201</v>
      </c>
      <c r="B1080" t="s">
        <v>2202</v>
      </c>
      <c r="C1080" t="s">
        <v>10</v>
      </c>
      <c r="D1080">
        <v>25</v>
      </c>
      <c r="E1080" t="s">
        <v>45</v>
      </c>
      <c r="F1080" t="s">
        <v>46</v>
      </c>
      <c r="G1080" t="s">
        <v>17</v>
      </c>
      <c r="H1080" s="1">
        <v>45343</v>
      </c>
    </row>
    <row r="1081" spans="1:8">
      <c r="A1081" t="s">
        <v>2203</v>
      </c>
      <c r="B1081" t="s">
        <v>2204</v>
      </c>
      <c r="C1081" t="s">
        <v>31</v>
      </c>
      <c r="D1081">
        <v>33</v>
      </c>
      <c r="E1081" t="s">
        <v>76</v>
      </c>
      <c r="F1081" t="s">
        <v>77</v>
      </c>
      <c r="G1081" t="s">
        <v>78</v>
      </c>
      <c r="H1081" s="1">
        <v>45350</v>
      </c>
    </row>
    <row r="1082" spans="1:8">
      <c r="A1082" t="s">
        <v>2205</v>
      </c>
      <c r="B1082" t="s">
        <v>2206</v>
      </c>
      <c r="C1082" t="s">
        <v>31</v>
      </c>
      <c r="D1082">
        <v>65</v>
      </c>
      <c r="E1082" t="s">
        <v>11</v>
      </c>
      <c r="F1082" t="s">
        <v>11</v>
      </c>
      <c r="G1082" t="s">
        <v>12</v>
      </c>
      <c r="H1082" s="1">
        <v>44969</v>
      </c>
    </row>
    <row r="1083" spans="1:8">
      <c r="A1083" t="s">
        <v>2207</v>
      </c>
      <c r="B1083" t="s">
        <v>2208</v>
      </c>
      <c r="C1083" t="s">
        <v>10</v>
      </c>
      <c r="D1083">
        <v>48</v>
      </c>
      <c r="E1083" t="s">
        <v>27</v>
      </c>
      <c r="F1083" t="s">
        <v>28</v>
      </c>
      <c r="G1083" t="s">
        <v>12</v>
      </c>
      <c r="H1083" s="1">
        <v>45925</v>
      </c>
    </row>
    <row r="1084" spans="1:8">
      <c r="A1084" t="s">
        <v>2209</v>
      </c>
      <c r="B1084" t="s">
        <v>2210</v>
      </c>
      <c r="C1084" t="s">
        <v>10</v>
      </c>
      <c r="D1084">
        <v>58</v>
      </c>
      <c r="E1084" t="s">
        <v>37</v>
      </c>
      <c r="F1084" t="s">
        <v>38</v>
      </c>
      <c r="G1084" t="s">
        <v>22</v>
      </c>
      <c r="H1084" s="1">
        <v>45223</v>
      </c>
    </row>
    <row r="1085" spans="1:8">
      <c r="A1085" t="s">
        <v>2211</v>
      </c>
      <c r="B1085" t="s">
        <v>2212</v>
      </c>
      <c r="C1085" t="s">
        <v>10</v>
      </c>
      <c r="D1085">
        <v>34</v>
      </c>
      <c r="E1085" t="s">
        <v>27</v>
      </c>
      <c r="F1085" t="s">
        <v>28</v>
      </c>
      <c r="G1085" t="s">
        <v>12</v>
      </c>
      <c r="H1085" s="1">
        <v>45628</v>
      </c>
    </row>
    <row r="1086" spans="1:8">
      <c r="A1086" t="s">
        <v>2213</v>
      </c>
      <c r="B1086" t="s">
        <v>2214</v>
      </c>
      <c r="C1086" t="s">
        <v>31</v>
      </c>
      <c r="D1086">
        <v>21</v>
      </c>
      <c r="E1086" t="s">
        <v>37</v>
      </c>
      <c r="F1086" t="s">
        <v>38</v>
      </c>
      <c r="G1086" t="s">
        <v>22</v>
      </c>
      <c r="H1086" s="1">
        <v>44968</v>
      </c>
    </row>
    <row r="1087" spans="1:8">
      <c r="A1087" t="s">
        <v>2215</v>
      </c>
      <c r="B1087" t="s">
        <v>2216</v>
      </c>
      <c r="C1087" t="s">
        <v>10</v>
      </c>
      <c r="D1087">
        <v>58</v>
      </c>
      <c r="E1087" t="s">
        <v>76</v>
      </c>
      <c r="F1087" t="s">
        <v>77</v>
      </c>
      <c r="G1087" t="s">
        <v>78</v>
      </c>
      <c r="H1087" s="1">
        <v>44793</v>
      </c>
    </row>
    <row r="1088" spans="1:8">
      <c r="A1088" t="s">
        <v>2217</v>
      </c>
      <c r="B1088" t="s">
        <v>2218</v>
      </c>
      <c r="C1088" t="s">
        <v>31</v>
      </c>
      <c r="D1088">
        <v>55</v>
      </c>
      <c r="E1088" t="s">
        <v>20</v>
      </c>
      <c r="F1088" t="s">
        <v>21</v>
      </c>
      <c r="G1088" t="s">
        <v>22</v>
      </c>
      <c r="H1088" s="1">
        <v>44904</v>
      </c>
    </row>
    <row r="1089" spans="1:8">
      <c r="A1089" t="s">
        <v>2219</v>
      </c>
      <c r="B1089" t="s">
        <v>2220</v>
      </c>
      <c r="C1089" t="s">
        <v>10</v>
      </c>
      <c r="D1089">
        <v>55</v>
      </c>
      <c r="E1089" t="s">
        <v>34</v>
      </c>
      <c r="F1089" t="s">
        <v>16</v>
      </c>
      <c r="G1089" t="s">
        <v>17</v>
      </c>
      <c r="H1089" s="1">
        <v>44580</v>
      </c>
    </row>
    <row r="1090" spans="1:8">
      <c r="A1090" t="s">
        <v>2221</v>
      </c>
      <c r="B1090" t="s">
        <v>2222</v>
      </c>
      <c r="C1090" t="s">
        <v>10</v>
      </c>
      <c r="D1090">
        <v>41</v>
      </c>
      <c r="E1090" t="s">
        <v>69</v>
      </c>
      <c r="F1090" t="s">
        <v>69</v>
      </c>
      <c r="G1090" t="s">
        <v>12</v>
      </c>
      <c r="H1090" s="1">
        <v>45971</v>
      </c>
    </row>
    <row r="1091" spans="1:8">
      <c r="A1091" t="s">
        <v>2223</v>
      </c>
      <c r="B1091" t="s">
        <v>2224</v>
      </c>
      <c r="C1091" t="s">
        <v>31</v>
      </c>
      <c r="D1091">
        <v>23</v>
      </c>
      <c r="E1091" t="s">
        <v>63</v>
      </c>
      <c r="F1091" t="s">
        <v>64</v>
      </c>
      <c r="G1091" t="s">
        <v>12</v>
      </c>
      <c r="H1091" s="1">
        <v>44884</v>
      </c>
    </row>
    <row r="1092" spans="1:8">
      <c r="A1092" t="s">
        <v>2225</v>
      </c>
      <c r="B1092" t="s">
        <v>2226</v>
      </c>
      <c r="C1092" t="s">
        <v>10</v>
      </c>
      <c r="D1092">
        <v>21</v>
      </c>
      <c r="E1092" t="s">
        <v>134</v>
      </c>
      <c r="F1092" t="s">
        <v>28</v>
      </c>
      <c r="G1092" t="s">
        <v>12</v>
      </c>
      <c r="H1092" s="1">
        <v>45842</v>
      </c>
    </row>
    <row r="1093" spans="1:8">
      <c r="A1093" t="s">
        <v>2227</v>
      </c>
      <c r="B1093" t="s">
        <v>2228</v>
      </c>
      <c r="C1093" t="s">
        <v>10</v>
      </c>
      <c r="D1093">
        <v>26</v>
      </c>
      <c r="E1093" t="s">
        <v>101</v>
      </c>
      <c r="F1093" t="s">
        <v>21</v>
      </c>
      <c r="G1093" t="s">
        <v>22</v>
      </c>
      <c r="H1093" s="1">
        <v>45998</v>
      </c>
    </row>
    <row r="1094" spans="1:8">
      <c r="A1094" t="s">
        <v>2229</v>
      </c>
      <c r="B1094" t="s">
        <v>2230</v>
      </c>
      <c r="C1094" t="s">
        <v>31</v>
      </c>
      <c r="D1094">
        <v>69</v>
      </c>
      <c r="E1094" t="s">
        <v>37</v>
      </c>
      <c r="F1094" t="s">
        <v>38</v>
      </c>
      <c r="G1094" t="s">
        <v>22</v>
      </c>
      <c r="H1094" s="1">
        <v>45705</v>
      </c>
    </row>
    <row r="1095" spans="1:8">
      <c r="A1095" t="s">
        <v>2231</v>
      </c>
      <c r="B1095" t="s">
        <v>2232</v>
      </c>
      <c r="C1095" t="s">
        <v>31</v>
      </c>
      <c r="D1095">
        <v>40</v>
      </c>
      <c r="E1095" t="s">
        <v>76</v>
      </c>
      <c r="F1095" t="s">
        <v>77</v>
      </c>
      <c r="G1095" t="s">
        <v>78</v>
      </c>
      <c r="H1095" s="1">
        <v>44605</v>
      </c>
    </row>
    <row r="1096" spans="1:8">
      <c r="A1096" t="s">
        <v>2233</v>
      </c>
      <c r="B1096" t="s">
        <v>2234</v>
      </c>
      <c r="C1096" t="s">
        <v>31</v>
      </c>
      <c r="D1096">
        <v>63</v>
      </c>
      <c r="E1096" t="s">
        <v>134</v>
      </c>
      <c r="F1096" t="s">
        <v>28</v>
      </c>
      <c r="G1096" t="s">
        <v>12</v>
      </c>
      <c r="H1096" s="1">
        <v>44642</v>
      </c>
    </row>
    <row r="1097" spans="1:8">
      <c r="A1097" t="s">
        <v>2235</v>
      </c>
      <c r="B1097" t="s">
        <v>2236</v>
      </c>
      <c r="C1097" t="s">
        <v>31</v>
      </c>
      <c r="D1097">
        <v>30</v>
      </c>
      <c r="E1097" t="s">
        <v>37</v>
      </c>
      <c r="F1097" t="s">
        <v>38</v>
      </c>
      <c r="G1097" t="s">
        <v>22</v>
      </c>
      <c r="H1097" s="1">
        <v>45673</v>
      </c>
    </row>
    <row r="1098" spans="1:8">
      <c r="A1098" t="s">
        <v>2237</v>
      </c>
      <c r="B1098" t="s">
        <v>2238</v>
      </c>
      <c r="C1098" t="s">
        <v>31</v>
      </c>
      <c r="D1098">
        <v>64</v>
      </c>
      <c r="E1098" t="s">
        <v>60</v>
      </c>
      <c r="F1098" t="s">
        <v>21</v>
      </c>
      <c r="G1098" t="s">
        <v>22</v>
      </c>
      <c r="H1098" s="1">
        <v>45274</v>
      </c>
    </row>
    <row r="1099" spans="1:8">
      <c r="A1099" t="s">
        <v>2239</v>
      </c>
      <c r="B1099" t="s">
        <v>2240</v>
      </c>
      <c r="C1099" t="s">
        <v>10</v>
      </c>
      <c r="D1099">
        <v>22</v>
      </c>
      <c r="E1099" t="s">
        <v>60</v>
      </c>
      <c r="F1099" t="s">
        <v>21</v>
      </c>
      <c r="G1099" t="s">
        <v>22</v>
      </c>
      <c r="H1099" s="1">
        <v>45697</v>
      </c>
    </row>
    <row r="1100" spans="1:8">
      <c r="A1100" t="s">
        <v>2241</v>
      </c>
      <c r="B1100" t="s">
        <v>2242</v>
      </c>
      <c r="C1100" t="s">
        <v>31</v>
      </c>
      <c r="D1100">
        <v>52</v>
      </c>
      <c r="E1100" t="s">
        <v>149</v>
      </c>
      <c r="F1100" t="s">
        <v>38</v>
      </c>
      <c r="G1100" t="s">
        <v>22</v>
      </c>
      <c r="H1100" s="1">
        <v>45167</v>
      </c>
    </row>
    <row r="1101" spans="1:8">
      <c r="A1101" t="s">
        <v>2243</v>
      </c>
      <c r="B1101" t="s">
        <v>2244</v>
      </c>
      <c r="C1101" t="s">
        <v>31</v>
      </c>
      <c r="D1101">
        <v>64</v>
      </c>
      <c r="E1101" t="s">
        <v>20</v>
      </c>
      <c r="F1101" t="s">
        <v>21</v>
      </c>
      <c r="G1101" t="s">
        <v>22</v>
      </c>
      <c r="H1101" s="1">
        <v>45868</v>
      </c>
    </row>
    <row r="1102" spans="1:8">
      <c r="A1102" t="s">
        <v>2245</v>
      </c>
      <c r="B1102" t="s">
        <v>2246</v>
      </c>
      <c r="C1102" t="s">
        <v>31</v>
      </c>
      <c r="D1102">
        <v>67</v>
      </c>
      <c r="E1102" t="s">
        <v>15</v>
      </c>
      <c r="F1102" t="s">
        <v>16</v>
      </c>
      <c r="G1102" t="s">
        <v>17</v>
      </c>
      <c r="H1102" s="1">
        <v>45831</v>
      </c>
    </row>
    <row r="1103" spans="1:8">
      <c r="A1103" t="s">
        <v>2247</v>
      </c>
      <c r="B1103" t="s">
        <v>2248</v>
      </c>
      <c r="C1103" t="s">
        <v>31</v>
      </c>
      <c r="D1103">
        <v>30</v>
      </c>
      <c r="E1103" t="s">
        <v>134</v>
      </c>
      <c r="F1103" t="s">
        <v>28</v>
      </c>
      <c r="G1103" t="s">
        <v>12</v>
      </c>
      <c r="H1103" s="1">
        <v>44691</v>
      </c>
    </row>
    <row r="1104" spans="1:8">
      <c r="A1104" t="s">
        <v>2249</v>
      </c>
      <c r="B1104" t="s">
        <v>2250</v>
      </c>
      <c r="C1104" t="s">
        <v>10</v>
      </c>
      <c r="D1104">
        <v>57</v>
      </c>
      <c r="E1104" t="s">
        <v>149</v>
      </c>
      <c r="F1104" t="s">
        <v>38</v>
      </c>
      <c r="G1104" t="s">
        <v>22</v>
      </c>
      <c r="H1104" s="1">
        <v>45691</v>
      </c>
    </row>
    <row r="1105" spans="1:8">
      <c r="A1105" t="s">
        <v>2251</v>
      </c>
      <c r="B1105" t="s">
        <v>2252</v>
      </c>
      <c r="C1105" t="s">
        <v>31</v>
      </c>
      <c r="D1105">
        <v>25</v>
      </c>
      <c r="E1105" t="s">
        <v>41</v>
      </c>
      <c r="F1105" t="s">
        <v>42</v>
      </c>
      <c r="G1105" t="s">
        <v>17</v>
      </c>
      <c r="H1105" s="1">
        <v>45874</v>
      </c>
    </row>
    <row r="1106" spans="1:8">
      <c r="A1106" t="s">
        <v>2253</v>
      </c>
      <c r="B1106" t="s">
        <v>2254</v>
      </c>
      <c r="C1106" t="s">
        <v>10</v>
      </c>
      <c r="D1106">
        <v>29</v>
      </c>
      <c r="E1106" t="s">
        <v>15</v>
      </c>
      <c r="F1106" t="s">
        <v>16</v>
      </c>
      <c r="G1106" t="s">
        <v>17</v>
      </c>
      <c r="H1106" s="1">
        <v>44651</v>
      </c>
    </row>
    <row r="1107" spans="1:8">
      <c r="A1107" t="s">
        <v>2255</v>
      </c>
      <c r="B1107" t="s">
        <v>2256</v>
      </c>
      <c r="C1107" t="s">
        <v>31</v>
      </c>
      <c r="D1107">
        <v>30</v>
      </c>
      <c r="E1107" t="s">
        <v>76</v>
      </c>
      <c r="F1107" t="s">
        <v>77</v>
      </c>
      <c r="G1107" t="s">
        <v>78</v>
      </c>
      <c r="H1107" s="1">
        <v>44781</v>
      </c>
    </row>
    <row r="1108" spans="1:8">
      <c r="A1108" t="s">
        <v>2257</v>
      </c>
      <c r="B1108" t="s">
        <v>2258</v>
      </c>
      <c r="C1108" t="s">
        <v>31</v>
      </c>
      <c r="D1108">
        <v>60</v>
      </c>
      <c r="E1108" t="s">
        <v>218</v>
      </c>
      <c r="F1108" t="s">
        <v>219</v>
      </c>
      <c r="G1108" t="s">
        <v>17</v>
      </c>
      <c r="H1108" s="1">
        <v>45876</v>
      </c>
    </row>
    <row r="1109" spans="1:8">
      <c r="A1109" t="s">
        <v>2259</v>
      </c>
      <c r="B1109" t="s">
        <v>2260</v>
      </c>
      <c r="C1109" t="s">
        <v>31</v>
      </c>
      <c r="D1109">
        <v>21</v>
      </c>
      <c r="E1109" t="s">
        <v>60</v>
      </c>
      <c r="F1109" t="s">
        <v>21</v>
      </c>
      <c r="G1109" t="s">
        <v>22</v>
      </c>
      <c r="H1109" s="1">
        <v>45998</v>
      </c>
    </row>
    <row r="1110" spans="1:8">
      <c r="A1110" t="s">
        <v>2261</v>
      </c>
      <c r="B1110" t="s">
        <v>2262</v>
      </c>
      <c r="C1110" t="s">
        <v>10</v>
      </c>
      <c r="D1110">
        <v>31</v>
      </c>
      <c r="E1110" t="s">
        <v>60</v>
      </c>
      <c r="F1110" t="s">
        <v>21</v>
      </c>
      <c r="G1110" t="s">
        <v>22</v>
      </c>
      <c r="H1110" s="1">
        <v>44707</v>
      </c>
    </row>
    <row r="1111" spans="1:8">
      <c r="A1111" t="s">
        <v>2263</v>
      </c>
      <c r="B1111" t="s">
        <v>2264</v>
      </c>
      <c r="C1111" t="s">
        <v>10</v>
      </c>
      <c r="D1111">
        <v>41</v>
      </c>
      <c r="E1111" t="s">
        <v>11</v>
      </c>
      <c r="F1111" t="s">
        <v>11</v>
      </c>
      <c r="G1111" t="s">
        <v>12</v>
      </c>
      <c r="H1111" s="1">
        <v>45520</v>
      </c>
    </row>
    <row r="1112" spans="1:8">
      <c r="A1112" t="s">
        <v>2265</v>
      </c>
      <c r="B1112" t="s">
        <v>2266</v>
      </c>
      <c r="C1112" t="s">
        <v>10</v>
      </c>
      <c r="D1112">
        <v>70</v>
      </c>
      <c r="E1112" t="s">
        <v>149</v>
      </c>
      <c r="F1112" t="s">
        <v>38</v>
      </c>
      <c r="G1112" t="s">
        <v>22</v>
      </c>
      <c r="H1112" s="1">
        <v>45317</v>
      </c>
    </row>
    <row r="1113" spans="1:8">
      <c r="A1113" t="s">
        <v>2267</v>
      </c>
      <c r="B1113" t="s">
        <v>2268</v>
      </c>
      <c r="C1113" t="s">
        <v>10</v>
      </c>
      <c r="D1113">
        <v>37</v>
      </c>
      <c r="E1113" t="s">
        <v>27</v>
      </c>
      <c r="F1113" t="s">
        <v>28</v>
      </c>
      <c r="G1113" t="s">
        <v>12</v>
      </c>
      <c r="H1113" s="1">
        <v>44645</v>
      </c>
    </row>
    <row r="1114" spans="1:8">
      <c r="A1114" t="s">
        <v>2269</v>
      </c>
      <c r="B1114" t="s">
        <v>2270</v>
      </c>
      <c r="C1114" t="s">
        <v>10</v>
      </c>
      <c r="D1114">
        <v>24</v>
      </c>
      <c r="E1114" t="s">
        <v>34</v>
      </c>
      <c r="F1114" t="s">
        <v>16</v>
      </c>
      <c r="G1114" t="s">
        <v>17</v>
      </c>
      <c r="H1114" s="1">
        <v>45625</v>
      </c>
    </row>
    <row r="1115" spans="1:8">
      <c r="A1115" t="s">
        <v>2271</v>
      </c>
      <c r="B1115" t="s">
        <v>2272</v>
      </c>
      <c r="C1115" t="s">
        <v>10</v>
      </c>
      <c r="D1115">
        <v>30</v>
      </c>
      <c r="E1115" t="s">
        <v>27</v>
      </c>
      <c r="F1115" t="s">
        <v>28</v>
      </c>
      <c r="G1115" t="s">
        <v>12</v>
      </c>
      <c r="H1115" s="1">
        <v>45351</v>
      </c>
    </row>
    <row r="1116" spans="1:8">
      <c r="A1116" t="s">
        <v>2273</v>
      </c>
      <c r="B1116" t="s">
        <v>2274</v>
      </c>
      <c r="C1116" t="s">
        <v>10</v>
      </c>
      <c r="D1116">
        <v>53</v>
      </c>
      <c r="E1116" t="s">
        <v>101</v>
      </c>
      <c r="F1116" t="s">
        <v>21</v>
      </c>
      <c r="G1116" t="s">
        <v>22</v>
      </c>
      <c r="H1116" s="1">
        <v>45729</v>
      </c>
    </row>
    <row r="1117" spans="1:8">
      <c r="A1117" t="s">
        <v>2275</v>
      </c>
      <c r="B1117" t="s">
        <v>2276</v>
      </c>
      <c r="C1117" t="s">
        <v>31</v>
      </c>
      <c r="D1117">
        <v>61</v>
      </c>
      <c r="E1117" t="s">
        <v>69</v>
      </c>
      <c r="F1117" t="s">
        <v>69</v>
      </c>
      <c r="G1117" t="s">
        <v>12</v>
      </c>
      <c r="H1117" s="1">
        <v>44778</v>
      </c>
    </row>
    <row r="1118" spans="1:8">
      <c r="A1118" t="s">
        <v>2277</v>
      </c>
      <c r="B1118" t="s">
        <v>2278</v>
      </c>
      <c r="C1118" t="s">
        <v>10</v>
      </c>
      <c r="D1118">
        <v>68</v>
      </c>
      <c r="E1118" t="s">
        <v>149</v>
      </c>
      <c r="F1118" t="s">
        <v>38</v>
      </c>
      <c r="G1118" t="s">
        <v>22</v>
      </c>
      <c r="H1118" s="1">
        <v>44775</v>
      </c>
    </row>
    <row r="1119" spans="1:8">
      <c r="A1119" t="s">
        <v>2279</v>
      </c>
      <c r="B1119" t="s">
        <v>2280</v>
      </c>
      <c r="C1119" t="s">
        <v>31</v>
      </c>
      <c r="D1119">
        <v>60</v>
      </c>
      <c r="E1119" t="s">
        <v>41</v>
      </c>
      <c r="F1119" t="s">
        <v>42</v>
      </c>
      <c r="G1119" t="s">
        <v>17</v>
      </c>
      <c r="H1119" s="1">
        <v>45595</v>
      </c>
    </row>
    <row r="1120" spans="1:8">
      <c r="A1120" t="s">
        <v>2281</v>
      </c>
      <c r="B1120" t="s">
        <v>2282</v>
      </c>
      <c r="C1120" t="s">
        <v>31</v>
      </c>
      <c r="D1120">
        <v>38</v>
      </c>
      <c r="E1120" t="s">
        <v>218</v>
      </c>
      <c r="F1120" t="s">
        <v>219</v>
      </c>
      <c r="G1120" t="s">
        <v>17</v>
      </c>
      <c r="H1120" s="1">
        <v>45469</v>
      </c>
    </row>
    <row r="1121" spans="1:8">
      <c r="A1121" t="s">
        <v>2283</v>
      </c>
      <c r="B1121" t="s">
        <v>2284</v>
      </c>
      <c r="C1121" t="s">
        <v>31</v>
      </c>
      <c r="D1121">
        <v>66</v>
      </c>
      <c r="E1121" t="s">
        <v>37</v>
      </c>
      <c r="F1121" t="s">
        <v>38</v>
      </c>
      <c r="G1121" t="s">
        <v>22</v>
      </c>
      <c r="H1121" s="1">
        <v>45323</v>
      </c>
    </row>
    <row r="1122" spans="1:8">
      <c r="A1122" t="s">
        <v>2285</v>
      </c>
      <c r="B1122" t="s">
        <v>2286</v>
      </c>
      <c r="C1122" t="s">
        <v>10</v>
      </c>
      <c r="D1122">
        <v>54</v>
      </c>
      <c r="E1122" t="s">
        <v>134</v>
      </c>
      <c r="F1122" t="s">
        <v>28</v>
      </c>
      <c r="G1122" t="s">
        <v>12</v>
      </c>
      <c r="H1122" s="1">
        <v>45808</v>
      </c>
    </row>
    <row r="1123" spans="1:8">
      <c r="A1123" t="s">
        <v>2287</v>
      </c>
      <c r="B1123" t="s">
        <v>2288</v>
      </c>
      <c r="C1123" t="s">
        <v>31</v>
      </c>
      <c r="D1123">
        <v>41</v>
      </c>
      <c r="E1123" t="s">
        <v>149</v>
      </c>
      <c r="F1123" t="s">
        <v>38</v>
      </c>
      <c r="G1123" t="s">
        <v>22</v>
      </c>
      <c r="H1123" s="1">
        <v>45688</v>
      </c>
    </row>
    <row r="1124" spans="1:8">
      <c r="A1124" t="s">
        <v>2289</v>
      </c>
      <c r="B1124" t="s">
        <v>2290</v>
      </c>
      <c r="C1124" t="s">
        <v>10</v>
      </c>
      <c r="D1124">
        <v>64</v>
      </c>
      <c r="E1124" t="s">
        <v>112</v>
      </c>
      <c r="F1124" t="s">
        <v>113</v>
      </c>
      <c r="G1124" t="s">
        <v>78</v>
      </c>
      <c r="H1124" s="1">
        <v>45375</v>
      </c>
    </row>
    <row r="1125" spans="1:8">
      <c r="A1125" t="s">
        <v>2291</v>
      </c>
      <c r="B1125" t="s">
        <v>2292</v>
      </c>
      <c r="C1125" t="s">
        <v>10</v>
      </c>
      <c r="D1125">
        <v>51</v>
      </c>
      <c r="E1125" t="s">
        <v>45</v>
      </c>
      <c r="F1125" t="s">
        <v>46</v>
      </c>
      <c r="G1125" t="s">
        <v>17</v>
      </c>
      <c r="H1125" s="1">
        <v>45782</v>
      </c>
    </row>
    <row r="1126" spans="1:8">
      <c r="A1126" t="s">
        <v>2293</v>
      </c>
      <c r="B1126" t="s">
        <v>2294</v>
      </c>
      <c r="C1126" t="s">
        <v>31</v>
      </c>
      <c r="D1126">
        <v>32</v>
      </c>
      <c r="E1126" t="s">
        <v>45</v>
      </c>
      <c r="F1126" t="s">
        <v>46</v>
      </c>
      <c r="G1126" t="s">
        <v>17</v>
      </c>
      <c r="H1126" s="1">
        <v>44575</v>
      </c>
    </row>
    <row r="1127" spans="1:8">
      <c r="A1127" t="s">
        <v>2295</v>
      </c>
      <c r="B1127" t="s">
        <v>2296</v>
      </c>
      <c r="C1127" t="s">
        <v>31</v>
      </c>
      <c r="D1127">
        <v>53</v>
      </c>
      <c r="E1127" t="s">
        <v>45</v>
      </c>
      <c r="F1127" t="s">
        <v>46</v>
      </c>
      <c r="G1127" t="s">
        <v>17</v>
      </c>
      <c r="H1127" s="1">
        <v>44606</v>
      </c>
    </row>
    <row r="1128" spans="1:8">
      <c r="A1128" t="s">
        <v>2297</v>
      </c>
      <c r="B1128" t="s">
        <v>2298</v>
      </c>
      <c r="C1128" t="s">
        <v>10</v>
      </c>
      <c r="D1128">
        <v>24</v>
      </c>
      <c r="E1128" t="s">
        <v>60</v>
      </c>
      <c r="F1128" t="s">
        <v>21</v>
      </c>
      <c r="G1128" t="s">
        <v>22</v>
      </c>
      <c r="H1128" s="1">
        <v>45732</v>
      </c>
    </row>
    <row r="1129" spans="1:8">
      <c r="A1129" t="s">
        <v>2299</v>
      </c>
      <c r="B1129" t="s">
        <v>2300</v>
      </c>
      <c r="C1129" t="s">
        <v>10</v>
      </c>
      <c r="D1129">
        <v>34</v>
      </c>
      <c r="E1129" t="s">
        <v>45</v>
      </c>
      <c r="F1129" t="s">
        <v>46</v>
      </c>
      <c r="G1129" t="s">
        <v>17</v>
      </c>
      <c r="H1129" s="1">
        <v>44881</v>
      </c>
    </row>
    <row r="1130" spans="1:8">
      <c r="A1130" t="s">
        <v>2301</v>
      </c>
      <c r="B1130" t="s">
        <v>2302</v>
      </c>
      <c r="C1130" t="s">
        <v>10</v>
      </c>
      <c r="D1130">
        <v>34</v>
      </c>
      <c r="E1130" t="s">
        <v>60</v>
      </c>
      <c r="F1130" t="s">
        <v>21</v>
      </c>
      <c r="G1130" t="s">
        <v>22</v>
      </c>
      <c r="H1130" s="1">
        <v>45073</v>
      </c>
    </row>
    <row r="1131" spans="1:8">
      <c r="A1131" t="s">
        <v>2303</v>
      </c>
      <c r="B1131" t="s">
        <v>2304</v>
      </c>
      <c r="C1131" t="s">
        <v>31</v>
      </c>
      <c r="D1131">
        <v>54</v>
      </c>
      <c r="E1131" t="s">
        <v>11</v>
      </c>
      <c r="F1131" t="s">
        <v>11</v>
      </c>
      <c r="G1131" t="s">
        <v>12</v>
      </c>
      <c r="H1131" s="1">
        <v>45730</v>
      </c>
    </row>
    <row r="1132" spans="1:8">
      <c r="A1132" t="s">
        <v>2305</v>
      </c>
      <c r="B1132" t="s">
        <v>2306</v>
      </c>
      <c r="C1132" t="s">
        <v>31</v>
      </c>
      <c r="D1132">
        <v>29</v>
      </c>
      <c r="E1132" t="s">
        <v>87</v>
      </c>
      <c r="F1132" t="s">
        <v>88</v>
      </c>
      <c r="G1132" t="s">
        <v>78</v>
      </c>
      <c r="H1132" s="1">
        <v>45226</v>
      </c>
    </row>
    <row r="1133" spans="1:8">
      <c r="A1133" t="s">
        <v>2307</v>
      </c>
      <c r="B1133" t="s">
        <v>2308</v>
      </c>
      <c r="C1133" t="s">
        <v>31</v>
      </c>
      <c r="D1133">
        <v>20</v>
      </c>
      <c r="E1133" t="s">
        <v>60</v>
      </c>
      <c r="F1133" t="s">
        <v>21</v>
      </c>
      <c r="G1133" t="s">
        <v>22</v>
      </c>
      <c r="H1133" s="1">
        <v>44757</v>
      </c>
    </row>
    <row r="1134" spans="1:8">
      <c r="A1134" t="s">
        <v>2309</v>
      </c>
      <c r="B1134" t="s">
        <v>2310</v>
      </c>
      <c r="C1134" t="s">
        <v>10</v>
      </c>
      <c r="D1134">
        <v>67</v>
      </c>
      <c r="E1134" t="s">
        <v>27</v>
      </c>
      <c r="F1134" t="s">
        <v>28</v>
      </c>
      <c r="G1134" t="s">
        <v>12</v>
      </c>
      <c r="H1134" s="1">
        <v>45343</v>
      </c>
    </row>
    <row r="1135" spans="1:8">
      <c r="A1135" t="s">
        <v>2311</v>
      </c>
      <c r="B1135" t="s">
        <v>2312</v>
      </c>
      <c r="C1135" t="s">
        <v>31</v>
      </c>
      <c r="D1135">
        <v>44</v>
      </c>
      <c r="E1135" t="s">
        <v>45</v>
      </c>
      <c r="F1135" t="s">
        <v>46</v>
      </c>
      <c r="G1135" t="s">
        <v>17</v>
      </c>
      <c r="H1135" s="1">
        <v>45274</v>
      </c>
    </row>
    <row r="1136" spans="1:8">
      <c r="A1136" t="s">
        <v>2313</v>
      </c>
      <c r="B1136" t="s">
        <v>2314</v>
      </c>
      <c r="C1136" t="s">
        <v>10</v>
      </c>
      <c r="D1136">
        <v>58</v>
      </c>
      <c r="E1136" t="s">
        <v>87</v>
      </c>
      <c r="F1136" t="s">
        <v>88</v>
      </c>
      <c r="G1136" t="s">
        <v>78</v>
      </c>
      <c r="H1136" s="1">
        <v>45026</v>
      </c>
    </row>
    <row r="1137" spans="1:8">
      <c r="A1137" t="s">
        <v>2315</v>
      </c>
      <c r="B1137" t="s">
        <v>2316</v>
      </c>
      <c r="C1137" t="s">
        <v>31</v>
      </c>
      <c r="D1137">
        <v>51</v>
      </c>
      <c r="E1137" t="s">
        <v>69</v>
      </c>
      <c r="F1137" t="s">
        <v>69</v>
      </c>
      <c r="G1137" t="s">
        <v>12</v>
      </c>
      <c r="H1137" s="1">
        <v>44672</v>
      </c>
    </row>
    <row r="1138" spans="1:8">
      <c r="A1138" t="s">
        <v>2317</v>
      </c>
      <c r="B1138" t="s">
        <v>2318</v>
      </c>
      <c r="C1138" t="s">
        <v>10</v>
      </c>
      <c r="D1138">
        <v>38</v>
      </c>
      <c r="E1138" t="s">
        <v>218</v>
      </c>
      <c r="F1138" t="s">
        <v>219</v>
      </c>
      <c r="G1138" t="s">
        <v>17</v>
      </c>
      <c r="H1138" s="1">
        <v>45718</v>
      </c>
    </row>
    <row r="1139" spans="1:8">
      <c r="A1139" t="s">
        <v>2319</v>
      </c>
      <c r="B1139" t="s">
        <v>2320</v>
      </c>
      <c r="C1139" t="s">
        <v>10</v>
      </c>
      <c r="D1139">
        <v>61</v>
      </c>
      <c r="E1139" t="s">
        <v>101</v>
      </c>
      <c r="F1139" t="s">
        <v>21</v>
      </c>
      <c r="G1139" t="s">
        <v>22</v>
      </c>
      <c r="H1139" s="1">
        <v>44875</v>
      </c>
    </row>
    <row r="1140" spans="1:8">
      <c r="A1140" t="s">
        <v>2321</v>
      </c>
      <c r="B1140" t="s">
        <v>2322</v>
      </c>
      <c r="C1140" t="s">
        <v>10</v>
      </c>
      <c r="D1140">
        <v>32</v>
      </c>
      <c r="E1140" t="s">
        <v>69</v>
      </c>
      <c r="F1140" t="s">
        <v>69</v>
      </c>
      <c r="G1140" t="s">
        <v>12</v>
      </c>
      <c r="H1140" s="1">
        <v>45474</v>
      </c>
    </row>
    <row r="1141" spans="1:8">
      <c r="A1141" t="s">
        <v>2323</v>
      </c>
      <c r="B1141" t="s">
        <v>2324</v>
      </c>
      <c r="C1141" t="s">
        <v>10</v>
      </c>
      <c r="D1141">
        <v>39</v>
      </c>
      <c r="E1141" t="s">
        <v>149</v>
      </c>
      <c r="F1141" t="s">
        <v>38</v>
      </c>
      <c r="G1141" t="s">
        <v>22</v>
      </c>
      <c r="H1141" s="1">
        <v>44865</v>
      </c>
    </row>
    <row r="1142" spans="1:8">
      <c r="A1142" t="s">
        <v>2325</v>
      </c>
      <c r="B1142" t="s">
        <v>2326</v>
      </c>
      <c r="C1142" t="s">
        <v>31</v>
      </c>
      <c r="D1142">
        <v>34</v>
      </c>
      <c r="E1142" t="s">
        <v>218</v>
      </c>
      <c r="F1142" t="s">
        <v>219</v>
      </c>
      <c r="G1142" t="s">
        <v>17</v>
      </c>
      <c r="H1142" s="1">
        <v>44662</v>
      </c>
    </row>
    <row r="1143" spans="1:8">
      <c r="A1143" t="s">
        <v>2327</v>
      </c>
      <c r="B1143" t="s">
        <v>2328</v>
      </c>
      <c r="C1143" t="s">
        <v>10</v>
      </c>
      <c r="D1143">
        <v>66</v>
      </c>
      <c r="E1143" t="s">
        <v>218</v>
      </c>
      <c r="F1143" t="s">
        <v>219</v>
      </c>
      <c r="G1143" t="s">
        <v>17</v>
      </c>
      <c r="H1143" s="1">
        <v>45451</v>
      </c>
    </row>
    <row r="1144" spans="1:8">
      <c r="A1144" t="s">
        <v>2329</v>
      </c>
      <c r="B1144" t="s">
        <v>2330</v>
      </c>
      <c r="C1144" t="s">
        <v>31</v>
      </c>
      <c r="D1144">
        <v>43</v>
      </c>
      <c r="E1144" t="s">
        <v>218</v>
      </c>
      <c r="F1144" t="s">
        <v>219</v>
      </c>
      <c r="G1144" t="s">
        <v>17</v>
      </c>
      <c r="H1144" s="1">
        <v>44967</v>
      </c>
    </row>
    <row r="1145" spans="1:8">
      <c r="A1145" t="s">
        <v>2331</v>
      </c>
      <c r="B1145" t="s">
        <v>2332</v>
      </c>
      <c r="C1145" t="s">
        <v>10</v>
      </c>
      <c r="D1145">
        <v>33</v>
      </c>
      <c r="E1145" t="s">
        <v>63</v>
      </c>
      <c r="F1145" t="s">
        <v>64</v>
      </c>
      <c r="G1145" t="s">
        <v>12</v>
      </c>
      <c r="H1145" s="1">
        <v>45711</v>
      </c>
    </row>
    <row r="1146" spans="1:8">
      <c r="A1146" t="s">
        <v>2333</v>
      </c>
      <c r="B1146" t="s">
        <v>2334</v>
      </c>
      <c r="C1146" t="s">
        <v>10</v>
      </c>
      <c r="D1146">
        <v>25</v>
      </c>
      <c r="E1146" t="s">
        <v>41</v>
      </c>
      <c r="F1146" t="s">
        <v>42</v>
      </c>
      <c r="G1146" t="s">
        <v>17</v>
      </c>
      <c r="H1146" s="1">
        <v>45224</v>
      </c>
    </row>
    <row r="1147" spans="1:8">
      <c r="A1147" t="s">
        <v>2335</v>
      </c>
      <c r="B1147" t="s">
        <v>2336</v>
      </c>
      <c r="C1147" t="s">
        <v>31</v>
      </c>
      <c r="D1147">
        <v>30</v>
      </c>
      <c r="E1147" t="s">
        <v>69</v>
      </c>
      <c r="F1147" t="s">
        <v>69</v>
      </c>
      <c r="G1147" t="s">
        <v>12</v>
      </c>
      <c r="H1147" s="1">
        <v>45310</v>
      </c>
    </row>
    <row r="1148" spans="1:8">
      <c r="A1148" t="s">
        <v>2337</v>
      </c>
      <c r="B1148" t="s">
        <v>2338</v>
      </c>
      <c r="C1148" t="s">
        <v>10</v>
      </c>
      <c r="D1148">
        <v>67</v>
      </c>
      <c r="E1148" t="s">
        <v>60</v>
      </c>
      <c r="F1148" t="s">
        <v>21</v>
      </c>
      <c r="G1148" t="s">
        <v>22</v>
      </c>
      <c r="H1148" s="1">
        <v>45904</v>
      </c>
    </row>
    <row r="1149" spans="1:8">
      <c r="A1149" t="s">
        <v>2339</v>
      </c>
      <c r="B1149" t="s">
        <v>2340</v>
      </c>
      <c r="C1149" t="s">
        <v>31</v>
      </c>
      <c r="D1149">
        <v>57</v>
      </c>
      <c r="E1149" t="s">
        <v>37</v>
      </c>
      <c r="F1149" t="s">
        <v>38</v>
      </c>
      <c r="G1149" t="s">
        <v>22</v>
      </c>
      <c r="H1149" s="1">
        <v>45824</v>
      </c>
    </row>
    <row r="1150" spans="1:8">
      <c r="A1150" t="s">
        <v>2341</v>
      </c>
      <c r="B1150" t="s">
        <v>2342</v>
      </c>
      <c r="C1150" t="s">
        <v>10</v>
      </c>
      <c r="D1150">
        <v>61</v>
      </c>
      <c r="E1150" t="s">
        <v>15</v>
      </c>
      <c r="F1150" t="s">
        <v>16</v>
      </c>
      <c r="G1150" t="s">
        <v>17</v>
      </c>
      <c r="H1150" s="1">
        <v>45040</v>
      </c>
    </row>
    <row r="1151" spans="1:8">
      <c r="A1151" t="s">
        <v>2343</v>
      </c>
      <c r="B1151" t="s">
        <v>2344</v>
      </c>
      <c r="C1151" t="s">
        <v>10</v>
      </c>
      <c r="D1151">
        <v>33</v>
      </c>
      <c r="E1151" t="s">
        <v>20</v>
      </c>
      <c r="F1151" t="s">
        <v>21</v>
      </c>
      <c r="G1151" t="s">
        <v>22</v>
      </c>
      <c r="H1151" s="1">
        <v>44792</v>
      </c>
    </row>
    <row r="1152" spans="1:8">
      <c r="A1152" t="s">
        <v>2345</v>
      </c>
      <c r="B1152" t="s">
        <v>2346</v>
      </c>
      <c r="C1152" t="s">
        <v>10</v>
      </c>
      <c r="D1152">
        <v>39</v>
      </c>
      <c r="E1152" t="s">
        <v>76</v>
      </c>
      <c r="F1152" t="s">
        <v>77</v>
      </c>
      <c r="G1152" t="s">
        <v>78</v>
      </c>
      <c r="H1152" s="1">
        <v>45151</v>
      </c>
    </row>
    <row r="1153" spans="1:8">
      <c r="A1153" t="s">
        <v>2347</v>
      </c>
      <c r="B1153" t="s">
        <v>2348</v>
      </c>
      <c r="C1153" t="s">
        <v>31</v>
      </c>
      <c r="D1153">
        <v>48</v>
      </c>
      <c r="E1153" t="s">
        <v>11</v>
      </c>
      <c r="F1153" t="s">
        <v>11</v>
      </c>
      <c r="G1153" t="s">
        <v>12</v>
      </c>
      <c r="H1153" s="1">
        <v>45186</v>
      </c>
    </row>
    <row r="1154" spans="1:8">
      <c r="A1154" t="s">
        <v>2349</v>
      </c>
      <c r="B1154" t="s">
        <v>2350</v>
      </c>
      <c r="C1154" t="s">
        <v>10</v>
      </c>
      <c r="D1154">
        <v>31</v>
      </c>
      <c r="E1154" t="s">
        <v>34</v>
      </c>
      <c r="F1154" t="s">
        <v>16</v>
      </c>
      <c r="G1154" t="s">
        <v>17</v>
      </c>
      <c r="H1154" s="1">
        <v>45663</v>
      </c>
    </row>
    <row r="1155" spans="1:8">
      <c r="A1155" t="s">
        <v>2351</v>
      </c>
      <c r="B1155" t="s">
        <v>2352</v>
      </c>
      <c r="C1155" t="s">
        <v>31</v>
      </c>
      <c r="D1155">
        <v>57</v>
      </c>
      <c r="E1155" t="s">
        <v>37</v>
      </c>
      <c r="F1155" t="s">
        <v>38</v>
      </c>
      <c r="G1155" t="s">
        <v>22</v>
      </c>
      <c r="H1155" s="1">
        <v>45685</v>
      </c>
    </row>
    <row r="1156" spans="1:8">
      <c r="A1156" t="s">
        <v>2353</v>
      </c>
      <c r="B1156" t="s">
        <v>2354</v>
      </c>
      <c r="C1156" t="s">
        <v>10</v>
      </c>
      <c r="D1156">
        <v>42</v>
      </c>
      <c r="E1156" t="s">
        <v>63</v>
      </c>
      <c r="F1156" t="s">
        <v>64</v>
      </c>
      <c r="G1156" t="s">
        <v>12</v>
      </c>
      <c r="H1156" s="1">
        <v>45985</v>
      </c>
    </row>
    <row r="1157" spans="1:8">
      <c r="A1157" t="s">
        <v>2355</v>
      </c>
      <c r="B1157" t="s">
        <v>2356</v>
      </c>
      <c r="C1157" t="s">
        <v>31</v>
      </c>
      <c r="D1157">
        <v>28</v>
      </c>
      <c r="E1157" t="s">
        <v>27</v>
      </c>
      <c r="F1157" t="s">
        <v>28</v>
      </c>
      <c r="G1157" t="s">
        <v>12</v>
      </c>
      <c r="H1157" s="1">
        <v>44651</v>
      </c>
    </row>
    <row r="1158" spans="1:8">
      <c r="A1158" t="s">
        <v>2357</v>
      </c>
      <c r="B1158" t="s">
        <v>2358</v>
      </c>
      <c r="C1158" t="s">
        <v>31</v>
      </c>
      <c r="D1158">
        <v>21</v>
      </c>
      <c r="E1158" t="s">
        <v>34</v>
      </c>
      <c r="F1158" t="s">
        <v>16</v>
      </c>
      <c r="G1158" t="s">
        <v>17</v>
      </c>
      <c r="H1158" s="1">
        <v>45988</v>
      </c>
    </row>
    <row r="1159" spans="1:8">
      <c r="A1159" t="s">
        <v>2359</v>
      </c>
      <c r="B1159" t="s">
        <v>2360</v>
      </c>
      <c r="C1159" t="s">
        <v>31</v>
      </c>
      <c r="D1159">
        <v>60</v>
      </c>
      <c r="E1159" t="s">
        <v>20</v>
      </c>
      <c r="F1159" t="s">
        <v>21</v>
      </c>
      <c r="G1159" t="s">
        <v>22</v>
      </c>
      <c r="H1159" s="1">
        <v>44698</v>
      </c>
    </row>
    <row r="1160" spans="1:8">
      <c r="A1160" t="s">
        <v>2361</v>
      </c>
      <c r="B1160" t="s">
        <v>2362</v>
      </c>
      <c r="C1160" t="s">
        <v>10</v>
      </c>
      <c r="D1160">
        <v>36</v>
      </c>
      <c r="E1160" t="s">
        <v>45</v>
      </c>
      <c r="F1160" t="s">
        <v>46</v>
      </c>
      <c r="G1160" t="s">
        <v>17</v>
      </c>
      <c r="H1160" s="1">
        <v>44782</v>
      </c>
    </row>
    <row r="1161" spans="1:8">
      <c r="A1161" t="s">
        <v>2363</v>
      </c>
      <c r="B1161" t="s">
        <v>2364</v>
      </c>
      <c r="C1161" t="s">
        <v>31</v>
      </c>
      <c r="D1161">
        <v>50</v>
      </c>
      <c r="E1161" t="s">
        <v>112</v>
      </c>
      <c r="F1161" t="s">
        <v>113</v>
      </c>
      <c r="G1161" t="s">
        <v>78</v>
      </c>
      <c r="H1161" s="1">
        <v>45035</v>
      </c>
    </row>
    <row r="1162" spans="1:8">
      <c r="A1162" t="s">
        <v>2365</v>
      </c>
      <c r="B1162" t="s">
        <v>2366</v>
      </c>
      <c r="C1162" t="s">
        <v>31</v>
      </c>
      <c r="D1162">
        <v>56</v>
      </c>
      <c r="E1162" t="s">
        <v>87</v>
      </c>
      <c r="F1162" t="s">
        <v>88</v>
      </c>
      <c r="G1162" t="s">
        <v>78</v>
      </c>
      <c r="H1162" s="1">
        <v>45208</v>
      </c>
    </row>
    <row r="1163" spans="1:8">
      <c r="A1163" t="s">
        <v>2367</v>
      </c>
      <c r="B1163" t="s">
        <v>2368</v>
      </c>
      <c r="C1163" t="s">
        <v>31</v>
      </c>
      <c r="D1163">
        <v>53</v>
      </c>
      <c r="E1163" t="s">
        <v>101</v>
      </c>
      <c r="F1163" t="s">
        <v>21</v>
      </c>
      <c r="G1163" t="s">
        <v>22</v>
      </c>
      <c r="H1163" s="1">
        <v>44969</v>
      </c>
    </row>
    <row r="1164" spans="1:8">
      <c r="A1164" t="s">
        <v>2369</v>
      </c>
      <c r="B1164" t="s">
        <v>2370</v>
      </c>
      <c r="C1164" t="s">
        <v>10</v>
      </c>
      <c r="D1164">
        <v>51</v>
      </c>
      <c r="E1164" t="s">
        <v>87</v>
      </c>
      <c r="F1164" t="s">
        <v>88</v>
      </c>
      <c r="G1164" t="s">
        <v>78</v>
      </c>
      <c r="H1164" s="1">
        <v>44643</v>
      </c>
    </row>
    <row r="1165" spans="1:8">
      <c r="A1165" t="s">
        <v>2371</v>
      </c>
      <c r="B1165" t="s">
        <v>2372</v>
      </c>
      <c r="C1165" t="s">
        <v>10</v>
      </c>
      <c r="D1165">
        <v>19</v>
      </c>
      <c r="E1165" t="s">
        <v>149</v>
      </c>
      <c r="F1165" t="s">
        <v>38</v>
      </c>
      <c r="G1165" t="s">
        <v>22</v>
      </c>
      <c r="H1165" s="1">
        <v>45367</v>
      </c>
    </row>
    <row r="1166" spans="1:8">
      <c r="A1166" t="s">
        <v>2373</v>
      </c>
      <c r="B1166" t="s">
        <v>2374</v>
      </c>
      <c r="C1166" t="s">
        <v>31</v>
      </c>
      <c r="D1166">
        <v>33</v>
      </c>
      <c r="E1166" t="s">
        <v>37</v>
      </c>
      <c r="F1166" t="s">
        <v>38</v>
      </c>
      <c r="G1166" t="s">
        <v>22</v>
      </c>
      <c r="H1166" s="1">
        <v>45289</v>
      </c>
    </row>
    <row r="1167" spans="1:8">
      <c r="A1167" t="s">
        <v>2375</v>
      </c>
      <c r="B1167" t="s">
        <v>2376</v>
      </c>
      <c r="C1167" t="s">
        <v>10</v>
      </c>
      <c r="D1167">
        <v>58</v>
      </c>
      <c r="E1167" t="s">
        <v>128</v>
      </c>
      <c r="F1167" t="s">
        <v>129</v>
      </c>
      <c r="G1167" t="s">
        <v>78</v>
      </c>
      <c r="H1167" s="1">
        <v>45126</v>
      </c>
    </row>
    <row r="1168" spans="1:8">
      <c r="A1168" t="s">
        <v>2377</v>
      </c>
      <c r="B1168" t="s">
        <v>2378</v>
      </c>
      <c r="C1168" t="s">
        <v>31</v>
      </c>
      <c r="D1168">
        <v>32</v>
      </c>
      <c r="E1168" t="s">
        <v>41</v>
      </c>
      <c r="F1168" t="s">
        <v>42</v>
      </c>
      <c r="G1168" t="s">
        <v>17</v>
      </c>
      <c r="H1168" s="1">
        <v>44622</v>
      </c>
    </row>
    <row r="1169" spans="1:8">
      <c r="A1169" t="s">
        <v>2379</v>
      </c>
      <c r="B1169" t="s">
        <v>2380</v>
      </c>
      <c r="C1169" t="s">
        <v>10</v>
      </c>
      <c r="D1169">
        <v>23</v>
      </c>
      <c r="E1169" t="s">
        <v>41</v>
      </c>
      <c r="F1169" t="s">
        <v>42</v>
      </c>
      <c r="G1169" t="s">
        <v>17</v>
      </c>
      <c r="H1169" s="1">
        <v>45907</v>
      </c>
    </row>
    <row r="1170" spans="1:8">
      <c r="A1170" t="s">
        <v>2381</v>
      </c>
      <c r="B1170" t="s">
        <v>2382</v>
      </c>
      <c r="C1170" t="s">
        <v>10</v>
      </c>
      <c r="D1170">
        <v>44</v>
      </c>
      <c r="E1170" t="s">
        <v>27</v>
      </c>
      <c r="F1170" t="s">
        <v>28</v>
      </c>
      <c r="G1170" t="s">
        <v>12</v>
      </c>
      <c r="H1170" s="1">
        <v>45950</v>
      </c>
    </row>
    <row r="1171" spans="1:8">
      <c r="A1171" t="s">
        <v>2383</v>
      </c>
      <c r="B1171" t="s">
        <v>2384</v>
      </c>
      <c r="C1171" t="s">
        <v>31</v>
      </c>
      <c r="D1171">
        <v>56</v>
      </c>
      <c r="E1171" t="s">
        <v>34</v>
      </c>
      <c r="F1171" t="s">
        <v>16</v>
      </c>
      <c r="G1171" t="s">
        <v>17</v>
      </c>
      <c r="H1171" s="1">
        <v>45435</v>
      </c>
    </row>
    <row r="1172" spans="1:8">
      <c r="A1172" t="s">
        <v>2385</v>
      </c>
      <c r="B1172" t="s">
        <v>2386</v>
      </c>
      <c r="C1172" t="s">
        <v>10</v>
      </c>
      <c r="D1172">
        <v>59</v>
      </c>
      <c r="E1172" t="s">
        <v>60</v>
      </c>
      <c r="F1172" t="s">
        <v>21</v>
      </c>
      <c r="G1172" t="s">
        <v>22</v>
      </c>
      <c r="H1172" s="1">
        <v>44831</v>
      </c>
    </row>
    <row r="1173" spans="1:8">
      <c r="A1173" t="s">
        <v>2387</v>
      </c>
      <c r="B1173" t="s">
        <v>2388</v>
      </c>
      <c r="C1173" t="s">
        <v>10</v>
      </c>
      <c r="D1173">
        <v>26</v>
      </c>
      <c r="E1173" t="s">
        <v>218</v>
      </c>
      <c r="F1173" t="s">
        <v>219</v>
      </c>
      <c r="G1173" t="s">
        <v>17</v>
      </c>
      <c r="H1173" s="1">
        <v>45962</v>
      </c>
    </row>
    <row r="1174" spans="1:8">
      <c r="A1174" t="s">
        <v>2389</v>
      </c>
      <c r="B1174" t="s">
        <v>2390</v>
      </c>
      <c r="C1174" t="s">
        <v>31</v>
      </c>
      <c r="D1174">
        <v>67</v>
      </c>
      <c r="E1174" t="s">
        <v>60</v>
      </c>
      <c r="F1174" t="s">
        <v>21</v>
      </c>
      <c r="G1174" t="s">
        <v>22</v>
      </c>
      <c r="H1174" s="1">
        <v>44838</v>
      </c>
    </row>
    <row r="1175" spans="1:8">
      <c r="A1175" t="s">
        <v>2391</v>
      </c>
      <c r="B1175" t="s">
        <v>2392</v>
      </c>
      <c r="C1175" t="s">
        <v>31</v>
      </c>
      <c r="D1175">
        <v>22</v>
      </c>
      <c r="E1175" t="s">
        <v>218</v>
      </c>
      <c r="F1175" t="s">
        <v>219</v>
      </c>
      <c r="G1175" t="s">
        <v>17</v>
      </c>
      <c r="H1175" s="1">
        <v>44885</v>
      </c>
    </row>
    <row r="1176" spans="1:8">
      <c r="A1176" t="s">
        <v>2393</v>
      </c>
      <c r="B1176" t="s">
        <v>2394</v>
      </c>
      <c r="C1176" t="s">
        <v>31</v>
      </c>
      <c r="D1176">
        <v>27</v>
      </c>
      <c r="E1176" t="s">
        <v>20</v>
      </c>
      <c r="F1176" t="s">
        <v>21</v>
      </c>
      <c r="G1176" t="s">
        <v>22</v>
      </c>
      <c r="H1176" s="1">
        <v>44939</v>
      </c>
    </row>
    <row r="1177" spans="1:8">
      <c r="A1177" t="s">
        <v>2395</v>
      </c>
      <c r="B1177" t="s">
        <v>2396</v>
      </c>
      <c r="C1177" t="s">
        <v>31</v>
      </c>
      <c r="D1177">
        <v>37</v>
      </c>
      <c r="E1177" t="s">
        <v>134</v>
      </c>
      <c r="F1177" t="s">
        <v>28</v>
      </c>
      <c r="G1177" t="s">
        <v>12</v>
      </c>
      <c r="H1177" s="1">
        <v>45409</v>
      </c>
    </row>
    <row r="1178" spans="1:8">
      <c r="A1178" t="s">
        <v>2397</v>
      </c>
      <c r="B1178" t="s">
        <v>2398</v>
      </c>
      <c r="C1178" t="s">
        <v>10</v>
      </c>
      <c r="D1178">
        <v>24</v>
      </c>
      <c r="E1178" t="s">
        <v>37</v>
      </c>
      <c r="F1178" t="s">
        <v>38</v>
      </c>
      <c r="G1178" t="s">
        <v>22</v>
      </c>
      <c r="H1178" s="1">
        <v>44873</v>
      </c>
    </row>
    <row r="1179" spans="1:8">
      <c r="A1179" t="s">
        <v>2399</v>
      </c>
      <c r="B1179" t="s">
        <v>2400</v>
      </c>
      <c r="C1179" t="s">
        <v>31</v>
      </c>
      <c r="D1179">
        <v>56</v>
      </c>
      <c r="E1179" t="s">
        <v>15</v>
      </c>
      <c r="F1179" t="s">
        <v>16</v>
      </c>
      <c r="G1179" t="s">
        <v>17</v>
      </c>
      <c r="H1179" s="1">
        <v>45815</v>
      </c>
    </row>
    <row r="1180" spans="1:8">
      <c r="A1180" t="s">
        <v>2401</v>
      </c>
      <c r="B1180" t="s">
        <v>2402</v>
      </c>
      <c r="C1180" t="s">
        <v>10</v>
      </c>
      <c r="D1180">
        <v>32</v>
      </c>
      <c r="E1180" t="s">
        <v>101</v>
      </c>
      <c r="F1180" t="s">
        <v>21</v>
      </c>
      <c r="G1180" t="s">
        <v>22</v>
      </c>
      <c r="H1180" s="1">
        <v>45783</v>
      </c>
    </row>
    <row r="1181" spans="1:8">
      <c r="A1181" t="s">
        <v>2403</v>
      </c>
      <c r="B1181" t="s">
        <v>2404</v>
      </c>
      <c r="C1181" t="s">
        <v>31</v>
      </c>
      <c r="D1181">
        <v>26</v>
      </c>
      <c r="E1181" t="s">
        <v>134</v>
      </c>
      <c r="F1181" t="s">
        <v>28</v>
      </c>
      <c r="G1181" t="s">
        <v>12</v>
      </c>
      <c r="H1181" s="1">
        <v>44724</v>
      </c>
    </row>
    <row r="1182" spans="1:8">
      <c r="A1182" t="s">
        <v>2405</v>
      </c>
      <c r="B1182" t="s">
        <v>2406</v>
      </c>
      <c r="C1182" t="s">
        <v>31</v>
      </c>
      <c r="D1182">
        <v>29</v>
      </c>
      <c r="E1182" t="s">
        <v>60</v>
      </c>
      <c r="F1182" t="s">
        <v>21</v>
      </c>
      <c r="G1182" t="s">
        <v>22</v>
      </c>
      <c r="H1182" s="1">
        <v>45522</v>
      </c>
    </row>
    <row r="1183" spans="1:8">
      <c r="A1183" t="s">
        <v>2407</v>
      </c>
      <c r="B1183" t="s">
        <v>2408</v>
      </c>
      <c r="C1183" t="s">
        <v>10</v>
      </c>
      <c r="D1183">
        <v>28</v>
      </c>
      <c r="E1183" t="s">
        <v>112</v>
      </c>
      <c r="F1183" t="s">
        <v>113</v>
      </c>
      <c r="G1183" t="s">
        <v>78</v>
      </c>
      <c r="H1183" s="1">
        <v>45532</v>
      </c>
    </row>
    <row r="1184" spans="1:8">
      <c r="A1184" t="s">
        <v>2409</v>
      </c>
      <c r="B1184" t="s">
        <v>2410</v>
      </c>
      <c r="C1184" t="s">
        <v>10</v>
      </c>
      <c r="D1184">
        <v>35</v>
      </c>
      <c r="E1184" t="s">
        <v>15</v>
      </c>
      <c r="F1184" t="s">
        <v>16</v>
      </c>
      <c r="G1184" t="s">
        <v>17</v>
      </c>
      <c r="H1184" s="1">
        <v>45398</v>
      </c>
    </row>
    <row r="1185" spans="1:8">
      <c r="A1185" t="s">
        <v>2411</v>
      </c>
      <c r="B1185" t="s">
        <v>2412</v>
      </c>
      <c r="C1185" t="s">
        <v>10</v>
      </c>
      <c r="D1185">
        <v>66</v>
      </c>
      <c r="E1185" t="s">
        <v>76</v>
      </c>
      <c r="F1185" t="s">
        <v>77</v>
      </c>
      <c r="G1185" t="s">
        <v>78</v>
      </c>
      <c r="H1185" s="1">
        <v>45936</v>
      </c>
    </row>
    <row r="1186" spans="1:8">
      <c r="A1186" t="s">
        <v>2413</v>
      </c>
      <c r="B1186" t="s">
        <v>2414</v>
      </c>
      <c r="C1186" t="s">
        <v>31</v>
      </c>
      <c r="D1186">
        <v>62</v>
      </c>
      <c r="E1186" t="s">
        <v>34</v>
      </c>
      <c r="F1186" t="s">
        <v>16</v>
      </c>
      <c r="G1186" t="s">
        <v>17</v>
      </c>
      <c r="H1186" s="1">
        <v>45461</v>
      </c>
    </row>
    <row r="1187" spans="1:8">
      <c r="A1187" t="s">
        <v>2415</v>
      </c>
      <c r="B1187" t="s">
        <v>2416</v>
      </c>
      <c r="C1187" t="s">
        <v>31</v>
      </c>
      <c r="D1187">
        <v>43</v>
      </c>
      <c r="E1187" t="s">
        <v>149</v>
      </c>
      <c r="F1187" t="s">
        <v>38</v>
      </c>
      <c r="G1187" t="s">
        <v>22</v>
      </c>
      <c r="H1187" s="1">
        <v>45067</v>
      </c>
    </row>
    <row r="1188" spans="1:8">
      <c r="A1188" t="s">
        <v>2417</v>
      </c>
      <c r="B1188" t="s">
        <v>2418</v>
      </c>
      <c r="C1188" t="s">
        <v>31</v>
      </c>
      <c r="D1188">
        <v>43</v>
      </c>
      <c r="E1188" t="s">
        <v>27</v>
      </c>
      <c r="F1188" t="s">
        <v>28</v>
      </c>
      <c r="G1188" t="s">
        <v>12</v>
      </c>
      <c r="H1188" s="1">
        <v>45341</v>
      </c>
    </row>
    <row r="1189" spans="1:8">
      <c r="A1189" t="s">
        <v>2419</v>
      </c>
      <c r="B1189" t="s">
        <v>2420</v>
      </c>
      <c r="C1189" t="s">
        <v>10</v>
      </c>
      <c r="D1189">
        <v>51</v>
      </c>
      <c r="E1189" t="s">
        <v>27</v>
      </c>
      <c r="F1189" t="s">
        <v>28</v>
      </c>
      <c r="G1189" t="s">
        <v>12</v>
      </c>
      <c r="H1189" s="1">
        <v>45778</v>
      </c>
    </row>
    <row r="1190" spans="1:8">
      <c r="A1190" t="s">
        <v>2421</v>
      </c>
      <c r="B1190" t="s">
        <v>2422</v>
      </c>
      <c r="C1190" t="s">
        <v>10</v>
      </c>
      <c r="D1190">
        <v>51</v>
      </c>
      <c r="E1190" t="s">
        <v>41</v>
      </c>
      <c r="F1190" t="s">
        <v>42</v>
      </c>
      <c r="G1190" t="s">
        <v>17</v>
      </c>
      <c r="H1190" s="1">
        <v>44648</v>
      </c>
    </row>
    <row r="1191" spans="1:8">
      <c r="A1191" t="s">
        <v>2423</v>
      </c>
      <c r="B1191" t="s">
        <v>2424</v>
      </c>
      <c r="C1191" t="s">
        <v>31</v>
      </c>
      <c r="D1191">
        <v>51</v>
      </c>
      <c r="E1191" t="s">
        <v>20</v>
      </c>
      <c r="F1191" t="s">
        <v>21</v>
      </c>
      <c r="G1191" t="s">
        <v>22</v>
      </c>
      <c r="H1191" s="1">
        <v>45704</v>
      </c>
    </row>
    <row r="1192" spans="1:8">
      <c r="A1192" t="s">
        <v>2425</v>
      </c>
      <c r="B1192" t="s">
        <v>2426</v>
      </c>
      <c r="C1192" t="s">
        <v>31</v>
      </c>
      <c r="D1192">
        <v>46</v>
      </c>
      <c r="E1192" t="s">
        <v>11</v>
      </c>
      <c r="F1192" t="s">
        <v>11</v>
      </c>
      <c r="G1192" t="s">
        <v>12</v>
      </c>
      <c r="H1192" s="1">
        <v>44950</v>
      </c>
    </row>
    <row r="1193" spans="1:8">
      <c r="A1193" t="s">
        <v>2427</v>
      </c>
      <c r="B1193" t="s">
        <v>2428</v>
      </c>
      <c r="C1193" t="s">
        <v>31</v>
      </c>
      <c r="D1193">
        <v>28</v>
      </c>
      <c r="E1193" t="s">
        <v>37</v>
      </c>
      <c r="F1193" t="s">
        <v>38</v>
      </c>
      <c r="G1193" t="s">
        <v>22</v>
      </c>
      <c r="H1193" s="1">
        <v>45147</v>
      </c>
    </row>
    <row r="1194" spans="1:8">
      <c r="A1194" t="s">
        <v>2429</v>
      </c>
      <c r="B1194" t="s">
        <v>2430</v>
      </c>
      <c r="C1194" t="s">
        <v>10</v>
      </c>
      <c r="D1194">
        <v>47</v>
      </c>
      <c r="E1194" t="s">
        <v>60</v>
      </c>
      <c r="F1194" t="s">
        <v>21</v>
      </c>
      <c r="G1194" t="s">
        <v>22</v>
      </c>
      <c r="H1194" s="1">
        <v>44673</v>
      </c>
    </row>
    <row r="1195" spans="1:8">
      <c r="A1195" t="s">
        <v>2431</v>
      </c>
      <c r="B1195" t="s">
        <v>2432</v>
      </c>
      <c r="C1195" t="s">
        <v>10</v>
      </c>
      <c r="D1195">
        <v>29</v>
      </c>
      <c r="E1195" t="s">
        <v>112</v>
      </c>
      <c r="F1195" t="s">
        <v>113</v>
      </c>
      <c r="G1195" t="s">
        <v>78</v>
      </c>
      <c r="H1195" s="1">
        <v>44747</v>
      </c>
    </row>
    <row r="1196" spans="1:8">
      <c r="A1196" t="s">
        <v>2433</v>
      </c>
      <c r="B1196" t="s">
        <v>2434</v>
      </c>
      <c r="C1196" t="s">
        <v>31</v>
      </c>
      <c r="D1196">
        <v>44</v>
      </c>
      <c r="E1196" t="s">
        <v>27</v>
      </c>
      <c r="F1196" t="s">
        <v>28</v>
      </c>
      <c r="G1196" t="s">
        <v>12</v>
      </c>
      <c r="H1196" s="1">
        <v>44839</v>
      </c>
    </row>
    <row r="1197" spans="1:8">
      <c r="A1197" t="s">
        <v>2435</v>
      </c>
      <c r="B1197" t="s">
        <v>2436</v>
      </c>
      <c r="C1197" t="s">
        <v>31</v>
      </c>
      <c r="D1197">
        <v>55</v>
      </c>
      <c r="E1197" t="s">
        <v>20</v>
      </c>
      <c r="F1197" t="s">
        <v>21</v>
      </c>
      <c r="G1197" t="s">
        <v>22</v>
      </c>
      <c r="H1197" s="1">
        <v>44928</v>
      </c>
    </row>
    <row r="1198" spans="1:8">
      <c r="A1198" t="s">
        <v>2437</v>
      </c>
      <c r="B1198" t="s">
        <v>2438</v>
      </c>
      <c r="C1198" t="s">
        <v>10</v>
      </c>
      <c r="D1198">
        <v>34</v>
      </c>
      <c r="E1198" t="s">
        <v>76</v>
      </c>
      <c r="F1198" t="s">
        <v>77</v>
      </c>
      <c r="G1198" t="s">
        <v>78</v>
      </c>
      <c r="H1198" s="1">
        <v>45493</v>
      </c>
    </row>
    <row r="1199" spans="1:8">
      <c r="A1199" t="s">
        <v>2439</v>
      </c>
      <c r="B1199" t="s">
        <v>2440</v>
      </c>
      <c r="C1199" t="s">
        <v>10</v>
      </c>
      <c r="D1199">
        <v>25</v>
      </c>
      <c r="E1199" t="s">
        <v>101</v>
      </c>
      <c r="F1199" t="s">
        <v>21</v>
      </c>
      <c r="G1199" t="s">
        <v>22</v>
      </c>
      <c r="H1199" s="1">
        <v>44815</v>
      </c>
    </row>
    <row r="1200" spans="1:8">
      <c r="A1200" t="s">
        <v>2441</v>
      </c>
      <c r="B1200" t="s">
        <v>2442</v>
      </c>
      <c r="C1200" t="s">
        <v>31</v>
      </c>
      <c r="D1200">
        <v>64</v>
      </c>
      <c r="E1200" t="s">
        <v>134</v>
      </c>
      <c r="F1200" t="s">
        <v>28</v>
      </c>
      <c r="G1200" t="s">
        <v>12</v>
      </c>
      <c r="H1200" s="1">
        <v>44736</v>
      </c>
    </row>
    <row r="1201" spans="1:8">
      <c r="A1201" t="s">
        <v>2443</v>
      </c>
      <c r="B1201" t="s">
        <v>2444</v>
      </c>
      <c r="C1201" t="s">
        <v>10</v>
      </c>
      <c r="D1201">
        <v>42</v>
      </c>
      <c r="E1201" t="s">
        <v>27</v>
      </c>
      <c r="F1201" t="s">
        <v>28</v>
      </c>
      <c r="G1201" t="s">
        <v>12</v>
      </c>
      <c r="H1201" s="1">
        <v>45815</v>
      </c>
    </row>
    <row r="1202" spans="1:8">
      <c r="A1202" t="s">
        <v>2445</v>
      </c>
      <c r="B1202" t="s">
        <v>2446</v>
      </c>
      <c r="C1202" t="s">
        <v>31</v>
      </c>
      <c r="D1202">
        <v>54</v>
      </c>
      <c r="E1202" t="s">
        <v>20</v>
      </c>
      <c r="F1202" t="s">
        <v>21</v>
      </c>
      <c r="G1202" t="s">
        <v>22</v>
      </c>
      <c r="H1202" s="1">
        <v>44911</v>
      </c>
    </row>
    <row r="1203" spans="1:8">
      <c r="A1203" t="s">
        <v>2447</v>
      </c>
      <c r="B1203" t="s">
        <v>2448</v>
      </c>
      <c r="C1203" t="s">
        <v>10</v>
      </c>
      <c r="D1203">
        <v>29</v>
      </c>
      <c r="E1203" t="s">
        <v>76</v>
      </c>
      <c r="F1203" t="s">
        <v>77</v>
      </c>
      <c r="G1203" t="s">
        <v>78</v>
      </c>
      <c r="H1203" s="1">
        <v>44894</v>
      </c>
    </row>
    <row r="1204" spans="1:8">
      <c r="A1204" t="s">
        <v>2449</v>
      </c>
      <c r="B1204" t="s">
        <v>2450</v>
      </c>
      <c r="C1204" t="s">
        <v>31</v>
      </c>
      <c r="D1204">
        <v>37</v>
      </c>
      <c r="E1204" t="s">
        <v>11</v>
      </c>
      <c r="F1204" t="s">
        <v>11</v>
      </c>
      <c r="G1204" t="s">
        <v>12</v>
      </c>
      <c r="H1204" s="1">
        <v>45421</v>
      </c>
    </row>
    <row r="1205" spans="1:8">
      <c r="A1205" t="s">
        <v>2451</v>
      </c>
      <c r="B1205" t="s">
        <v>2452</v>
      </c>
      <c r="C1205" t="s">
        <v>10</v>
      </c>
      <c r="D1205">
        <v>25</v>
      </c>
      <c r="E1205" t="s">
        <v>69</v>
      </c>
      <c r="F1205" t="s">
        <v>69</v>
      </c>
      <c r="G1205" t="s">
        <v>12</v>
      </c>
      <c r="H1205" s="1">
        <v>45153</v>
      </c>
    </row>
    <row r="1206" spans="1:8">
      <c r="A1206" t="s">
        <v>2453</v>
      </c>
      <c r="B1206" t="s">
        <v>2454</v>
      </c>
      <c r="C1206" t="s">
        <v>31</v>
      </c>
      <c r="D1206">
        <v>18</v>
      </c>
      <c r="E1206" t="s">
        <v>76</v>
      </c>
      <c r="F1206" t="s">
        <v>77</v>
      </c>
      <c r="G1206" t="s">
        <v>78</v>
      </c>
      <c r="H1206" s="1">
        <v>44569</v>
      </c>
    </row>
    <row r="1207" spans="1:8">
      <c r="A1207" t="s">
        <v>2455</v>
      </c>
      <c r="B1207" t="s">
        <v>2456</v>
      </c>
      <c r="C1207" t="s">
        <v>10</v>
      </c>
      <c r="D1207">
        <v>56</v>
      </c>
      <c r="E1207" t="s">
        <v>149</v>
      </c>
      <c r="F1207" t="s">
        <v>38</v>
      </c>
      <c r="G1207" t="s">
        <v>22</v>
      </c>
      <c r="H1207" s="1">
        <v>45675</v>
      </c>
    </row>
    <row r="1208" spans="1:8">
      <c r="A1208" t="s">
        <v>2457</v>
      </c>
      <c r="B1208" t="s">
        <v>2458</v>
      </c>
      <c r="C1208" t="s">
        <v>31</v>
      </c>
      <c r="D1208">
        <v>47</v>
      </c>
      <c r="E1208" t="s">
        <v>76</v>
      </c>
      <c r="F1208" t="s">
        <v>77</v>
      </c>
      <c r="G1208" t="s">
        <v>78</v>
      </c>
      <c r="H1208" s="1">
        <v>45006</v>
      </c>
    </row>
    <row r="1209" spans="1:8">
      <c r="A1209" t="s">
        <v>2459</v>
      </c>
      <c r="B1209" t="s">
        <v>2460</v>
      </c>
      <c r="C1209" t="s">
        <v>10</v>
      </c>
      <c r="D1209">
        <v>33</v>
      </c>
      <c r="E1209" t="s">
        <v>20</v>
      </c>
      <c r="F1209" t="s">
        <v>21</v>
      </c>
      <c r="G1209" t="s">
        <v>22</v>
      </c>
      <c r="H1209" s="1">
        <v>45793</v>
      </c>
    </row>
    <row r="1210" spans="1:8">
      <c r="A1210" t="s">
        <v>2461</v>
      </c>
      <c r="B1210" t="s">
        <v>2462</v>
      </c>
      <c r="C1210" t="s">
        <v>10</v>
      </c>
      <c r="D1210">
        <v>21</v>
      </c>
      <c r="E1210" t="s">
        <v>91</v>
      </c>
      <c r="F1210" t="s">
        <v>92</v>
      </c>
      <c r="G1210" t="s">
        <v>78</v>
      </c>
      <c r="H1210" s="1">
        <v>45831</v>
      </c>
    </row>
    <row r="1211" spans="1:8">
      <c r="A1211" t="s">
        <v>2463</v>
      </c>
      <c r="B1211" t="s">
        <v>2464</v>
      </c>
      <c r="C1211" t="s">
        <v>31</v>
      </c>
      <c r="D1211">
        <v>20</v>
      </c>
      <c r="E1211" t="s">
        <v>15</v>
      </c>
      <c r="F1211" t="s">
        <v>16</v>
      </c>
      <c r="G1211" t="s">
        <v>17</v>
      </c>
      <c r="H1211" s="1">
        <v>45899</v>
      </c>
    </row>
    <row r="1212" spans="1:8">
      <c r="A1212" t="s">
        <v>2465</v>
      </c>
      <c r="B1212" t="s">
        <v>2466</v>
      </c>
      <c r="C1212" t="s">
        <v>31</v>
      </c>
      <c r="D1212">
        <v>39</v>
      </c>
      <c r="E1212" t="s">
        <v>15</v>
      </c>
      <c r="F1212" t="s">
        <v>16</v>
      </c>
      <c r="G1212" t="s">
        <v>17</v>
      </c>
      <c r="H1212" s="1">
        <v>45928</v>
      </c>
    </row>
    <row r="1213" spans="1:8">
      <c r="A1213" t="s">
        <v>2467</v>
      </c>
      <c r="B1213" t="s">
        <v>2468</v>
      </c>
      <c r="C1213" t="s">
        <v>31</v>
      </c>
      <c r="D1213">
        <v>29</v>
      </c>
      <c r="E1213" t="s">
        <v>87</v>
      </c>
      <c r="F1213" t="s">
        <v>88</v>
      </c>
      <c r="G1213" t="s">
        <v>78</v>
      </c>
      <c r="H1213" s="1">
        <v>44785</v>
      </c>
    </row>
    <row r="1214" spans="1:8">
      <c r="A1214" t="s">
        <v>2469</v>
      </c>
      <c r="B1214" t="s">
        <v>2470</v>
      </c>
      <c r="C1214" t="s">
        <v>10</v>
      </c>
      <c r="D1214">
        <v>47</v>
      </c>
      <c r="E1214" t="s">
        <v>45</v>
      </c>
      <c r="F1214" t="s">
        <v>46</v>
      </c>
      <c r="G1214" t="s">
        <v>17</v>
      </c>
      <c r="H1214" s="1">
        <v>45813</v>
      </c>
    </row>
    <row r="1215" spans="1:8">
      <c r="A1215" t="s">
        <v>2471</v>
      </c>
      <c r="B1215" t="s">
        <v>2472</v>
      </c>
      <c r="C1215" t="s">
        <v>10</v>
      </c>
      <c r="D1215">
        <v>67</v>
      </c>
      <c r="E1215" t="s">
        <v>134</v>
      </c>
      <c r="F1215" t="s">
        <v>28</v>
      </c>
      <c r="G1215" t="s">
        <v>12</v>
      </c>
      <c r="H1215" s="1">
        <v>44635</v>
      </c>
    </row>
    <row r="1216" spans="1:8">
      <c r="A1216" t="s">
        <v>2473</v>
      </c>
      <c r="B1216" t="s">
        <v>2474</v>
      </c>
      <c r="C1216" t="s">
        <v>10</v>
      </c>
      <c r="D1216">
        <v>66</v>
      </c>
      <c r="E1216" t="s">
        <v>45</v>
      </c>
      <c r="F1216" t="s">
        <v>46</v>
      </c>
      <c r="G1216" t="s">
        <v>17</v>
      </c>
      <c r="H1216" s="1">
        <v>45338</v>
      </c>
    </row>
    <row r="1217" spans="1:8">
      <c r="A1217" t="s">
        <v>2475</v>
      </c>
      <c r="B1217" t="s">
        <v>2476</v>
      </c>
      <c r="C1217" t="s">
        <v>31</v>
      </c>
      <c r="D1217">
        <v>48</v>
      </c>
      <c r="E1217" t="s">
        <v>60</v>
      </c>
      <c r="F1217" t="s">
        <v>21</v>
      </c>
      <c r="G1217" t="s">
        <v>22</v>
      </c>
      <c r="H1217" s="1">
        <v>44694</v>
      </c>
    </row>
    <row r="1218" spans="1:8">
      <c r="A1218" t="s">
        <v>2477</v>
      </c>
      <c r="B1218" t="s">
        <v>2478</v>
      </c>
      <c r="C1218" t="s">
        <v>31</v>
      </c>
      <c r="D1218">
        <v>51</v>
      </c>
      <c r="E1218" t="s">
        <v>45</v>
      </c>
      <c r="F1218" t="s">
        <v>46</v>
      </c>
      <c r="G1218" t="s">
        <v>17</v>
      </c>
      <c r="H1218" s="1">
        <v>45236</v>
      </c>
    </row>
    <row r="1219" spans="1:8">
      <c r="A1219" t="s">
        <v>2479</v>
      </c>
      <c r="B1219" t="s">
        <v>2480</v>
      </c>
      <c r="C1219" t="s">
        <v>10</v>
      </c>
      <c r="D1219">
        <v>24</v>
      </c>
      <c r="E1219" t="s">
        <v>34</v>
      </c>
      <c r="F1219" t="s">
        <v>16</v>
      </c>
      <c r="G1219" t="s">
        <v>17</v>
      </c>
      <c r="H1219" s="1">
        <v>45815</v>
      </c>
    </row>
    <row r="1220" spans="1:8">
      <c r="A1220" t="s">
        <v>2481</v>
      </c>
      <c r="B1220" t="s">
        <v>2482</v>
      </c>
      <c r="C1220" t="s">
        <v>31</v>
      </c>
      <c r="D1220">
        <v>64</v>
      </c>
      <c r="E1220" t="s">
        <v>60</v>
      </c>
      <c r="F1220" t="s">
        <v>21</v>
      </c>
      <c r="G1220" t="s">
        <v>22</v>
      </c>
      <c r="H1220" s="1">
        <v>44741</v>
      </c>
    </row>
    <row r="1221" spans="1:8">
      <c r="A1221" t="s">
        <v>2483</v>
      </c>
      <c r="B1221" t="s">
        <v>2484</v>
      </c>
      <c r="C1221" t="s">
        <v>31</v>
      </c>
      <c r="D1221">
        <v>34</v>
      </c>
      <c r="E1221" t="s">
        <v>134</v>
      </c>
      <c r="F1221" t="s">
        <v>28</v>
      </c>
      <c r="G1221" t="s">
        <v>12</v>
      </c>
      <c r="H1221" s="1">
        <v>45436</v>
      </c>
    </row>
    <row r="1222" spans="1:8">
      <c r="A1222" t="s">
        <v>2485</v>
      </c>
      <c r="B1222" t="s">
        <v>2486</v>
      </c>
      <c r="C1222" t="s">
        <v>10</v>
      </c>
      <c r="D1222">
        <v>57</v>
      </c>
      <c r="E1222" t="s">
        <v>60</v>
      </c>
      <c r="F1222" t="s">
        <v>21</v>
      </c>
      <c r="G1222" t="s">
        <v>22</v>
      </c>
      <c r="H1222" s="1">
        <v>45286</v>
      </c>
    </row>
    <row r="1223" spans="1:8">
      <c r="A1223" t="s">
        <v>2487</v>
      </c>
      <c r="B1223" t="s">
        <v>2488</v>
      </c>
      <c r="C1223" t="s">
        <v>31</v>
      </c>
      <c r="D1223">
        <v>49</v>
      </c>
      <c r="E1223" t="s">
        <v>60</v>
      </c>
      <c r="F1223" t="s">
        <v>21</v>
      </c>
      <c r="G1223" t="s">
        <v>22</v>
      </c>
      <c r="H1223" s="1">
        <v>45856</v>
      </c>
    </row>
    <row r="1224" spans="1:8">
      <c r="A1224" t="s">
        <v>2489</v>
      </c>
      <c r="B1224" t="s">
        <v>2490</v>
      </c>
      <c r="C1224" t="s">
        <v>31</v>
      </c>
      <c r="D1224">
        <v>30</v>
      </c>
      <c r="E1224" t="s">
        <v>27</v>
      </c>
      <c r="F1224" t="s">
        <v>28</v>
      </c>
      <c r="G1224" t="s">
        <v>12</v>
      </c>
      <c r="H1224" s="1">
        <v>45038</v>
      </c>
    </row>
    <row r="1225" spans="1:8">
      <c r="A1225" t="s">
        <v>2491</v>
      </c>
      <c r="B1225" t="s">
        <v>2492</v>
      </c>
      <c r="C1225" t="s">
        <v>10</v>
      </c>
      <c r="D1225">
        <v>65</v>
      </c>
      <c r="E1225" t="s">
        <v>15</v>
      </c>
      <c r="F1225" t="s">
        <v>16</v>
      </c>
      <c r="G1225" t="s">
        <v>17</v>
      </c>
      <c r="H1225" s="1">
        <v>45514</v>
      </c>
    </row>
    <row r="1226" spans="1:8">
      <c r="A1226" t="s">
        <v>2493</v>
      </c>
      <c r="B1226" t="s">
        <v>2494</v>
      </c>
      <c r="C1226" t="s">
        <v>31</v>
      </c>
      <c r="D1226">
        <v>20</v>
      </c>
      <c r="E1226" t="s">
        <v>128</v>
      </c>
      <c r="F1226" t="s">
        <v>129</v>
      </c>
      <c r="G1226" t="s">
        <v>78</v>
      </c>
      <c r="H1226" s="1">
        <v>45411</v>
      </c>
    </row>
    <row r="1227" spans="1:8">
      <c r="A1227" t="s">
        <v>2495</v>
      </c>
      <c r="B1227" t="s">
        <v>2496</v>
      </c>
      <c r="C1227" t="s">
        <v>10</v>
      </c>
      <c r="D1227">
        <v>18</v>
      </c>
      <c r="E1227" t="s">
        <v>60</v>
      </c>
      <c r="F1227" t="s">
        <v>21</v>
      </c>
      <c r="G1227" t="s">
        <v>22</v>
      </c>
      <c r="H1227" s="1">
        <v>45867</v>
      </c>
    </row>
    <row r="1228" spans="1:8">
      <c r="A1228" t="s">
        <v>2497</v>
      </c>
      <c r="B1228" t="s">
        <v>2498</v>
      </c>
      <c r="C1228" t="s">
        <v>10</v>
      </c>
      <c r="D1228">
        <v>37</v>
      </c>
      <c r="E1228" t="s">
        <v>134</v>
      </c>
      <c r="F1228" t="s">
        <v>28</v>
      </c>
      <c r="G1228" t="s">
        <v>12</v>
      </c>
      <c r="H1228" s="1">
        <v>45083</v>
      </c>
    </row>
    <row r="1229" spans="1:8">
      <c r="A1229" t="s">
        <v>2499</v>
      </c>
      <c r="B1229" t="s">
        <v>2500</v>
      </c>
      <c r="C1229" t="s">
        <v>10</v>
      </c>
      <c r="D1229">
        <v>25</v>
      </c>
      <c r="E1229" t="s">
        <v>60</v>
      </c>
      <c r="F1229" t="s">
        <v>21</v>
      </c>
      <c r="G1229" t="s">
        <v>22</v>
      </c>
      <c r="H1229" s="1">
        <v>45225</v>
      </c>
    </row>
    <row r="1230" spans="1:8">
      <c r="A1230" t="s">
        <v>2501</v>
      </c>
      <c r="B1230" t="s">
        <v>2502</v>
      </c>
      <c r="C1230" t="s">
        <v>10</v>
      </c>
      <c r="D1230">
        <v>29</v>
      </c>
      <c r="E1230" t="s">
        <v>134</v>
      </c>
      <c r="F1230" t="s">
        <v>28</v>
      </c>
      <c r="G1230" t="s">
        <v>12</v>
      </c>
      <c r="H1230" s="1">
        <v>45373</v>
      </c>
    </row>
    <row r="1231" spans="1:8">
      <c r="A1231" t="s">
        <v>2503</v>
      </c>
      <c r="B1231" t="s">
        <v>2504</v>
      </c>
      <c r="C1231" t="s">
        <v>31</v>
      </c>
      <c r="D1231">
        <v>48</v>
      </c>
      <c r="E1231" t="s">
        <v>45</v>
      </c>
      <c r="F1231" t="s">
        <v>46</v>
      </c>
      <c r="G1231" t="s">
        <v>17</v>
      </c>
      <c r="H1231" s="1">
        <v>45939</v>
      </c>
    </row>
    <row r="1232" spans="1:8">
      <c r="A1232" t="s">
        <v>2505</v>
      </c>
      <c r="B1232" t="s">
        <v>1182</v>
      </c>
      <c r="C1232" t="s">
        <v>10</v>
      </c>
      <c r="D1232">
        <v>58</v>
      </c>
      <c r="E1232" t="s">
        <v>63</v>
      </c>
      <c r="F1232" t="s">
        <v>64</v>
      </c>
      <c r="G1232" t="s">
        <v>12</v>
      </c>
      <c r="H1232" s="1">
        <v>45548</v>
      </c>
    </row>
    <row r="1233" spans="1:8">
      <c r="A1233" t="s">
        <v>2506</v>
      </c>
      <c r="B1233" t="s">
        <v>2507</v>
      </c>
      <c r="C1233" t="s">
        <v>31</v>
      </c>
      <c r="D1233">
        <v>68</v>
      </c>
      <c r="E1233" t="s">
        <v>60</v>
      </c>
      <c r="F1233" t="s">
        <v>21</v>
      </c>
      <c r="G1233" t="s">
        <v>22</v>
      </c>
      <c r="H1233" s="1">
        <v>45248</v>
      </c>
    </row>
    <row r="1234" spans="1:8">
      <c r="A1234" t="s">
        <v>2508</v>
      </c>
      <c r="B1234" t="s">
        <v>2509</v>
      </c>
      <c r="C1234" t="s">
        <v>31</v>
      </c>
      <c r="D1234">
        <v>54</v>
      </c>
      <c r="E1234" t="s">
        <v>11</v>
      </c>
      <c r="F1234" t="s">
        <v>11</v>
      </c>
      <c r="G1234" t="s">
        <v>12</v>
      </c>
      <c r="H1234" s="1">
        <v>45629</v>
      </c>
    </row>
    <row r="1235" spans="1:8">
      <c r="A1235" t="s">
        <v>2510</v>
      </c>
      <c r="B1235" t="s">
        <v>2511</v>
      </c>
      <c r="C1235" t="s">
        <v>10</v>
      </c>
      <c r="D1235">
        <v>31</v>
      </c>
      <c r="E1235" t="s">
        <v>134</v>
      </c>
      <c r="F1235" t="s">
        <v>28</v>
      </c>
      <c r="G1235" t="s">
        <v>12</v>
      </c>
      <c r="H1235" s="1">
        <v>45699</v>
      </c>
    </row>
    <row r="1236" spans="1:8">
      <c r="A1236" t="s">
        <v>2512</v>
      </c>
      <c r="B1236" t="s">
        <v>2513</v>
      </c>
      <c r="C1236" t="s">
        <v>10</v>
      </c>
      <c r="D1236">
        <v>27</v>
      </c>
      <c r="E1236" t="s">
        <v>37</v>
      </c>
      <c r="F1236" t="s">
        <v>38</v>
      </c>
      <c r="G1236" t="s">
        <v>22</v>
      </c>
      <c r="H1236" s="1">
        <v>45286</v>
      </c>
    </row>
    <row r="1237" spans="1:8">
      <c r="A1237" t="s">
        <v>2514</v>
      </c>
      <c r="B1237" t="s">
        <v>2515</v>
      </c>
      <c r="C1237" t="s">
        <v>31</v>
      </c>
      <c r="D1237">
        <v>58</v>
      </c>
      <c r="E1237" t="s">
        <v>15</v>
      </c>
      <c r="F1237" t="s">
        <v>16</v>
      </c>
      <c r="G1237" t="s">
        <v>17</v>
      </c>
      <c r="H1237" s="1">
        <v>45256</v>
      </c>
    </row>
    <row r="1238" spans="1:8">
      <c r="A1238" t="s">
        <v>2516</v>
      </c>
      <c r="B1238" t="s">
        <v>2517</v>
      </c>
      <c r="C1238" t="s">
        <v>31</v>
      </c>
      <c r="D1238">
        <v>29</v>
      </c>
      <c r="E1238" t="s">
        <v>101</v>
      </c>
      <c r="F1238" t="s">
        <v>21</v>
      </c>
      <c r="G1238" t="s">
        <v>22</v>
      </c>
      <c r="H1238" s="1">
        <v>45731</v>
      </c>
    </row>
    <row r="1239" spans="1:8">
      <c r="A1239" t="s">
        <v>2518</v>
      </c>
      <c r="B1239" t="s">
        <v>2519</v>
      </c>
      <c r="C1239" t="s">
        <v>31</v>
      </c>
      <c r="D1239">
        <v>63</v>
      </c>
      <c r="E1239" t="s">
        <v>134</v>
      </c>
      <c r="F1239" t="s">
        <v>28</v>
      </c>
      <c r="G1239" t="s">
        <v>12</v>
      </c>
      <c r="H1239" s="1">
        <v>46006</v>
      </c>
    </row>
    <row r="1240" spans="1:8">
      <c r="A1240" t="s">
        <v>2520</v>
      </c>
      <c r="B1240" t="s">
        <v>2521</v>
      </c>
      <c r="C1240" t="s">
        <v>31</v>
      </c>
      <c r="D1240">
        <v>33</v>
      </c>
      <c r="E1240" t="s">
        <v>41</v>
      </c>
      <c r="F1240" t="s">
        <v>42</v>
      </c>
      <c r="G1240" t="s">
        <v>17</v>
      </c>
      <c r="H1240" s="1">
        <v>44739</v>
      </c>
    </row>
    <row r="1241" spans="1:8">
      <c r="A1241" t="s">
        <v>2522</v>
      </c>
      <c r="B1241" t="s">
        <v>2523</v>
      </c>
      <c r="C1241" t="s">
        <v>31</v>
      </c>
      <c r="D1241">
        <v>29</v>
      </c>
      <c r="E1241" t="s">
        <v>37</v>
      </c>
      <c r="F1241" t="s">
        <v>38</v>
      </c>
      <c r="G1241" t="s">
        <v>22</v>
      </c>
      <c r="H1241" s="1">
        <v>45004</v>
      </c>
    </row>
    <row r="1242" spans="1:8">
      <c r="A1242" t="s">
        <v>2524</v>
      </c>
      <c r="B1242" t="s">
        <v>2525</v>
      </c>
      <c r="C1242" t="s">
        <v>10</v>
      </c>
      <c r="D1242">
        <v>46</v>
      </c>
      <c r="E1242" t="s">
        <v>15</v>
      </c>
      <c r="F1242" t="s">
        <v>16</v>
      </c>
      <c r="G1242" t="s">
        <v>17</v>
      </c>
      <c r="H1242" s="1">
        <v>44975</v>
      </c>
    </row>
    <row r="1243" spans="1:8">
      <c r="A1243" t="s">
        <v>2526</v>
      </c>
      <c r="B1243" t="s">
        <v>2527</v>
      </c>
      <c r="C1243" t="s">
        <v>10</v>
      </c>
      <c r="D1243">
        <v>30</v>
      </c>
      <c r="E1243" t="s">
        <v>149</v>
      </c>
      <c r="F1243" t="s">
        <v>38</v>
      </c>
      <c r="G1243" t="s">
        <v>22</v>
      </c>
      <c r="H1243" s="1">
        <v>45586</v>
      </c>
    </row>
    <row r="1244" spans="1:8">
      <c r="A1244" t="s">
        <v>2528</v>
      </c>
      <c r="B1244" t="s">
        <v>2529</v>
      </c>
      <c r="C1244" t="s">
        <v>31</v>
      </c>
      <c r="D1244">
        <v>67</v>
      </c>
      <c r="E1244" t="s">
        <v>149</v>
      </c>
      <c r="F1244" t="s">
        <v>38</v>
      </c>
      <c r="G1244" t="s">
        <v>22</v>
      </c>
      <c r="H1244" s="1">
        <v>45634</v>
      </c>
    </row>
    <row r="1245" spans="1:8">
      <c r="A1245" t="s">
        <v>2530</v>
      </c>
      <c r="B1245" t="s">
        <v>2531</v>
      </c>
      <c r="C1245" t="s">
        <v>10</v>
      </c>
      <c r="D1245">
        <v>31</v>
      </c>
      <c r="E1245" t="s">
        <v>20</v>
      </c>
      <c r="F1245" t="s">
        <v>21</v>
      </c>
      <c r="G1245" t="s">
        <v>22</v>
      </c>
      <c r="H1245" s="1">
        <v>45619</v>
      </c>
    </row>
    <row r="1246" spans="1:8">
      <c r="A1246" t="s">
        <v>2532</v>
      </c>
      <c r="B1246" t="s">
        <v>2533</v>
      </c>
      <c r="C1246" t="s">
        <v>10</v>
      </c>
      <c r="D1246">
        <v>18</v>
      </c>
      <c r="E1246" t="s">
        <v>69</v>
      </c>
      <c r="F1246" t="s">
        <v>69</v>
      </c>
      <c r="G1246" t="s">
        <v>12</v>
      </c>
      <c r="H1246" s="1">
        <v>45355</v>
      </c>
    </row>
    <row r="1247" spans="1:8">
      <c r="A1247" t="s">
        <v>2534</v>
      </c>
      <c r="B1247" t="s">
        <v>2535</v>
      </c>
      <c r="C1247" t="s">
        <v>10</v>
      </c>
      <c r="D1247">
        <v>39</v>
      </c>
      <c r="E1247" t="s">
        <v>20</v>
      </c>
      <c r="F1247" t="s">
        <v>21</v>
      </c>
      <c r="G1247" t="s">
        <v>22</v>
      </c>
      <c r="H1247" s="1">
        <v>45969</v>
      </c>
    </row>
    <row r="1248" spans="1:8">
      <c r="A1248" t="s">
        <v>2536</v>
      </c>
      <c r="B1248" t="s">
        <v>2537</v>
      </c>
      <c r="C1248" t="s">
        <v>31</v>
      </c>
      <c r="D1248">
        <v>19</v>
      </c>
      <c r="E1248" t="s">
        <v>20</v>
      </c>
      <c r="F1248" t="s">
        <v>21</v>
      </c>
      <c r="G1248" t="s">
        <v>22</v>
      </c>
      <c r="H1248" s="1">
        <v>44773</v>
      </c>
    </row>
    <row r="1249" spans="1:8">
      <c r="A1249" t="s">
        <v>2538</v>
      </c>
      <c r="B1249" t="s">
        <v>2539</v>
      </c>
      <c r="C1249" t="s">
        <v>10</v>
      </c>
      <c r="D1249">
        <v>38</v>
      </c>
      <c r="E1249" t="s">
        <v>37</v>
      </c>
      <c r="F1249" t="s">
        <v>38</v>
      </c>
      <c r="G1249" t="s">
        <v>22</v>
      </c>
      <c r="H1249" s="1">
        <v>45870</v>
      </c>
    </row>
    <row r="1250" spans="1:8">
      <c r="A1250" t="s">
        <v>2540</v>
      </c>
      <c r="B1250" t="s">
        <v>2541</v>
      </c>
      <c r="C1250" t="s">
        <v>31</v>
      </c>
      <c r="D1250">
        <v>67</v>
      </c>
      <c r="E1250" t="s">
        <v>45</v>
      </c>
      <c r="F1250" t="s">
        <v>46</v>
      </c>
      <c r="G1250" t="s">
        <v>17</v>
      </c>
      <c r="H1250" s="1">
        <v>45128</v>
      </c>
    </row>
    <row r="1251" spans="1:8">
      <c r="A1251" t="s">
        <v>2542</v>
      </c>
      <c r="B1251" t="s">
        <v>2543</v>
      </c>
      <c r="C1251" t="s">
        <v>10</v>
      </c>
      <c r="D1251">
        <v>28</v>
      </c>
      <c r="E1251" t="s">
        <v>20</v>
      </c>
      <c r="F1251" t="s">
        <v>21</v>
      </c>
      <c r="G1251" t="s">
        <v>22</v>
      </c>
      <c r="H1251" s="1">
        <v>45120</v>
      </c>
    </row>
    <row r="1252" spans="1:8">
      <c r="A1252" t="s">
        <v>2544</v>
      </c>
      <c r="B1252" t="s">
        <v>2545</v>
      </c>
      <c r="C1252" t="s">
        <v>10</v>
      </c>
      <c r="D1252">
        <v>31</v>
      </c>
      <c r="E1252" t="s">
        <v>15</v>
      </c>
      <c r="F1252" t="s">
        <v>16</v>
      </c>
      <c r="G1252" t="s">
        <v>17</v>
      </c>
      <c r="H1252" s="1">
        <v>45837</v>
      </c>
    </row>
    <row r="1253" spans="1:8">
      <c r="A1253" t="s">
        <v>2546</v>
      </c>
      <c r="B1253" t="s">
        <v>2547</v>
      </c>
      <c r="C1253" t="s">
        <v>31</v>
      </c>
      <c r="D1253">
        <v>27</v>
      </c>
      <c r="E1253" t="s">
        <v>60</v>
      </c>
      <c r="F1253" t="s">
        <v>21</v>
      </c>
      <c r="G1253" t="s">
        <v>22</v>
      </c>
      <c r="H1253" s="1">
        <v>45214</v>
      </c>
    </row>
    <row r="1254" spans="1:8">
      <c r="A1254" t="s">
        <v>2548</v>
      </c>
      <c r="B1254" t="s">
        <v>2549</v>
      </c>
      <c r="C1254" t="s">
        <v>10</v>
      </c>
      <c r="D1254">
        <v>28</v>
      </c>
      <c r="E1254" t="s">
        <v>91</v>
      </c>
      <c r="F1254" t="s">
        <v>92</v>
      </c>
      <c r="G1254" t="s">
        <v>78</v>
      </c>
      <c r="H1254" s="1">
        <v>45737</v>
      </c>
    </row>
    <row r="1255" spans="1:8">
      <c r="A1255" t="s">
        <v>2550</v>
      </c>
      <c r="B1255" t="s">
        <v>2551</v>
      </c>
      <c r="C1255" t="s">
        <v>31</v>
      </c>
      <c r="D1255">
        <v>21</v>
      </c>
      <c r="E1255" t="s">
        <v>218</v>
      </c>
      <c r="F1255" t="s">
        <v>219</v>
      </c>
      <c r="G1255" t="s">
        <v>17</v>
      </c>
      <c r="H1255" s="1">
        <v>45255</v>
      </c>
    </row>
    <row r="1256" spans="1:8">
      <c r="A1256" t="s">
        <v>2552</v>
      </c>
      <c r="B1256" t="s">
        <v>2553</v>
      </c>
      <c r="C1256" t="s">
        <v>10</v>
      </c>
      <c r="D1256">
        <v>24</v>
      </c>
      <c r="E1256" t="s">
        <v>41</v>
      </c>
      <c r="F1256" t="s">
        <v>42</v>
      </c>
      <c r="G1256" t="s">
        <v>17</v>
      </c>
      <c r="H1256" s="1">
        <v>45945</v>
      </c>
    </row>
    <row r="1257" spans="1:8">
      <c r="A1257" t="s">
        <v>2554</v>
      </c>
      <c r="B1257" t="s">
        <v>2555</v>
      </c>
      <c r="C1257" t="s">
        <v>31</v>
      </c>
      <c r="D1257">
        <v>29</v>
      </c>
      <c r="E1257" t="s">
        <v>20</v>
      </c>
      <c r="F1257" t="s">
        <v>21</v>
      </c>
      <c r="G1257" t="s">
        <v>22</v>
      </c>
      <c r="H1257" s="1">
        <v>45435</v>
      </c>
    </row>
    <row r="1258" spans="1:8">
      <c r="A1258" t="s">
        <v>2556</v>
      </c>
      <c r="B1258" t="s">
        <v>2557</v>
      </c>
      <c r="C1258" t="s">
        <v>31</v>
      </c>
      <c r="D1258">
        <v>57</v>
      </c>
      <c r="E1258" t="s">
        <v>27</v>
      </c>
      <c r="F1258" t="s">
        <v>28</v>
      </c>
      <c r="G1258" t="s">
        <v>12</v>
      </c>
      <c r="H1258" s="1">
        <v>45851</v>
      </c>
    </row>
    <row r="1259" spans="1:8">
      <c r="A1259" t="s">
        <v>2558</v>
      </c>
      <c r="B1259" t="s">
        <v>2559</v>
      </c>
      <c r="C1259" t="s">
        <v>10</v>
      </c>
      <c r="D1259">
        <v>66</v>
      </c>
      <c r="E1259" t="s">
        <v>37</v>
      </c>
      <c r="F1259" t="s">
        <v>38</v>
      </c>
      <c r="G1259" t="s">
        <v>22</v>
      </c>
      <c r="H1259" s="1">
        <v>44967</v>
      </c>
    </row>
    <row r="1260" spans="1:8">
      <c r="A1260" t="s">
        <v>2560</v>
      </c>
      <c r="B1260" t="s">
        <v>2561</v>
      </c>
      <c r="C1260" t="s">
        <v>10</v>
      </c>
      <c r="D1260">
        <v>70</v>
      </c>
      <c r="E1260" t="s">
        <v>27</v>
      </c>
      <c r="F1260" t="s">
        <v>28</v>
      </c>
      <c r="G1260" t="s">
        <v>12</v>
      </c>
      <c r="H1260" s="1">
        <v>44831</v>
      </c>
    </row>
    <row r="1261" spans="1:8">
      <c r="A1261" t="s">
        <v>2562</v>
      </c>
      <c r="B1261" t="s">
        <v>2563</v>
      </c>
      <c r="C1261" t="s">
        <v>31</v>
      </c>
      <c r="D1261">
        <v>37</v>
      </c>
      <c r="E1261" t="s">
        <v>69</v>
      </c>
      <c r="F1261" t="s">
        <v>69</v>
      </c>
      <c r="G1261" t="s">
        <v>12</v>
      </c>
      <c r="H1261" s="1">
        <v>44761</v>
      </c>
    </row>
    <row r="1262" spans="1:8">
      <c r="A1262" t="s">
        <v>2564</v>
      </c>
      <c r="B1262" t="s">
        <v>2565</v>
      </c>
      <c r="C1262" t="s">
        <v>10</v>
      </c>
      <c r="D1262">
        <v>32</v>
      </c>
      <c r="E1262" t="s">
        <v>69</v>
      </c>
      <c r="F1262" t="s">
        <v>69</v>
      </c>
      <c r="G1262" t="s">
        <v>12</v>
      </c>
      <c r="H1262" s="1">
        <v>45525</v>
      </c>
    </row>
    <row r="1263" spans="1:8">
      <c r="A1263" t="s">
        <v>2566</v>
      </c>
      <c r="B1263" t="s">
        <v>2567</v>
      </c>
      <c r="C1263" t="s">
        <v>31</v>
      </c>
      <c r="D1263">
        <v>43</v>
      </c>
      <c r="E1263" t="s">
        <v>218</v>
      </c>
      <c r="F1263" t="s">
        <v>219</v>
      </c>
      <c r="G1263" t="s">
        <v>17</v>
      </c>
      <c r="H1263" s="1">
        <v>45090</v>
      </c>
    </row>
    <row r="1264" spans="1:8">
      <c r="A1264" t="s">
        <v>2568</v>
      </c>
      <c r="B1264" t="s">
        <v>2569</v>
      </c>
      <c r="C1264" t="s">
        <v>31</v>
      </c>
      <c r="D1264">
        <v>49</v>
      </c>
      <c r="E1264" t="s">
        <v>45</v>
      </c>
      <c r="F1264" t="s">
        <v>46</v>
      </c>
      <c r="G1264" t="s">
        <v>17</v>
      </c>
      <c r="H1264" s="1">
        <v>45227</v>
      </c>
    </row>
    <row r="1265" spans="1:8">
      <c r="A1265" t="s">
        <v>2570</v>
      </c>
      <c r="B1265" t="s">
        <v>2571</v>
      </c>
      <c r="C1265" t="s">
        <v>31</v>
      </c>
      <c r="D1265">
        <v>48</v>
      </c>
      <c r="E1265" t="s">
        <v>41</v>
      </c>
      <c r="F1265" t="s">
        <v>42</v>
      </c>
      <c r="G1265" t="s">
        <v>17</v>
      </c>
      <c r="H1265" s="1">
        <v>44793</v>
      </c>
    </row>
    <row r="1266" spans="1:8">
      <c r="A1266" t="s">
        <v>2572</v>
      </c>
      <c r="B1266" t="s">
        <v>2573</v>
      </c>
      <c r="C1266" t="s">
        <v>31</v>
      </c>
      <c r="D1266">
        <v>56</v>
      </c>
      <c r="E1266" t="s">
        <v>101</v>
      </c>
      <c r="F1266" t="s">
        <v>21</v>
      </c>
      <c r="G1266" t="s">
        <v>22</v>
      </c>
      <c r="H1266" s="1">
        <v>45140</v>
      </c>
    </row>
    <row r="1267" spans="1:8">
      <c r="A1267" t="s">
        <v>2574</v>
      </c>
      <c r="B1267" t="s">
        <v>2575</v>
      </c>
      <c r="C1267" t="s">
        <v>31</v>
      </c>
      <c r="D1267">
        <v>70</v>
      </c>
      <c r="E1267" t="s">
        <v>60</v>
      </c>
      <c r="F1267" t="s">
        <v>21</v>
      </c>
      <c r="G1267" t="s">
        <v>22</v>
      </c>
      <c r="H1267" s="1">
        <v>44772</v>
      </c>
    </row>
    <row r="1268" spans="1:8">
      <c r="A1268" t="s">
        <v>2576</v>
      </c>
      <c r="B1268" t="s">
        <v>2577</v>
      </c>
      <c r="C1268" t="s">
        <v>10</v>
      </c>
      <c r="D1268">
        <v>68</v>
      </c>
      <c r="E1268" t="s">
        <v>11</v>
      </c>
      <c r="F1268" t="s">
        <v>11</v>
      </c>
      <c r="G1268" t="s">
        <v>12</v>
      </c>
      <c r="H1268" s="1">
        <v>45229</v>
      </c>
    </row>
    <row r="1269" spans="1:8">
      <c r="A1269" t="s">
        <v>2578</v>
      </c>
      <c r="B1269" t="s">
        <v>2579</v>
      </c>
      <c r="C1269" t="s">
        <v>31</v>
      </c>
      <c r="D1269">
        <v>33</v>
      </c>
      <c r="E1269" t="s">
        <v>149</v>
      </c>
      <c r="F1269" t="s">
        <v>38</v>
      </c>
      <c r="G1269" t="s">
        <v>22</v>
      </c>
      <c r="H1269" s="1">
        <v>45382</v>
      </c>
    </row>
    <row r="1270" spans="1:8">
      <c r="A1270" t="s">
        <v>2580</v>
      </c>
      <c r="B1270" t="s">
        <v>2581</v>
      </c>
      <c r="C1270" t="s">
        <v>31</v>
      </c>
      <c r="D1270">
        <v>42</v>
      </c>
      <c r="E1270" t="s">
        <v>27</v>
      </c>
      <c r="F1270" t="s">
        <v>28</v>
      </c>
      <c r="G1270" t="s">
        <v>12</v>
      </c>
      <c r="H1270" s="1">
        <v>44887</v>
      </c>
    </row>
    <row r="1271" spans="1:8">
      <c r="A1271" t="s">
        <v>2582</v>
      </c>
      <c r="B1271" t="s">
        <v>2583</v>
      </c>
      <c r="C1271" t="s">
        <v>31</v>
      </c>
      <c r="D1271">
        <v>68</v>
      </c>
      <c r="E1271" t="s">
        <v>34</v>
      </c>
      <c r="F1271" t="s">
        <v>16</v>
      </c>
      <c r="G1271" t="s">
        <v>17</v>
      </c>
      <c r="H1271" s="1">
        <v>45983</v>
      </c>
    </row>
    <row r="1272" spans="1:8">
      <c r="A1272" t="s">
        <v>2584</v>
      </c>
      <c r="B1272" t="s">
        <v>2585</v>
      </c>
      <c r="C1272" t="s">
        <v>10</v>
      </c>
      <c r="D1272">
        <v>29</v>
      </c>
      <c r="E1272" t="s">
        <v>128</v>
      </c>
      <c r="F1272" t="s">
        <v>129</v>
      </c>
      <c r="G1272" t="s">
        <v>78</v>
      </c>
      <c r="H1272" s="1">
        <v>45262</v>
      </c>
    </row>
    <row r="1273" spans="1:8">
      <c r="A1273" t="s">
        <v>2586</v>
      </c>
      <c r="B1273" t="s">
        <v>2587</v>
      </c>
      <c r="C1273" t="s">
        <v>31</v>
      </c>
      <c r="D1273">
        <v>25</v>
      </c>
      <c r="E1273" t="s">
        <v>11</v>
      </c>
      <c r="F1273" t="s">
        <v>11</v>
      </c>
      <c r="G1273" t="s">
        <v>12</v>
      </c>
      <c r="H1273" s="1">
        <v>46019</v>
      </c>
    </row>
    <row r="1274" spans="1:8">
      <c r="A1274" t="s">
        <v>2588</v>
      </c>
      <c r="B1274" t="s">
        <v>2589</v>
      </c>
      <c r="C1274" t="s">
        <v>10</v>
      </c>
      <c r="D1274">
        <v>70</v>
      </c>
      <c r="E1274" t="s">
        <v>69</v>
      </c>
      <c r="F1274" t="s">
        <v>69</v>
      </c>
      <c r="G1274" t="s">
        <v>12</v>
      </c>
      <c r="H1274" s="1">
        <v>45228</v>
      </c>
    </row>
    <row r="1275" spans="1:8">
      <c r="A1275" t="s">
        <v>2590</v>
      </c>
      <c r="B1275" t="s">
        <v>2591</v>
      </c>
      <c r="C1275" t="s">
        <v>10</v>
      </c>
      <c r="D1275">
        <v>56</v>
      </c>
      <c r="E1275" t="s">
        <v>37</v>
      </c>
      <c r="F1275" t="s">
        <v>38</v>
      </c>
      <c r="G1275" t="s">
        <v>22</v>
      </c>
      <c r="H1275" s="1">
        <v>45393</v>
      </c>
    </row>
    <row r="1276" spans="1:8">
      <c r="A1276" t="s">
        <v>2592</v>
      </c>
      <c r="B1276" t="s">
        <v>2593</v>
      </c>
      <c r="C1276" t="s">
        <v>31</v>
      </c>
      <c r="D1276">
        <v>49</v>
      </c>
      <c r="E1276" t="s">
        <v>218</v>
      </c>
      <c r="F1276" t="s">
        <v>219</v>
      </c>
      <c r="G1276" t="s">
        <v>17</v>
      </c>
      <c r="H1276" s="1">
        <v>45338</v>
      </c>
    </row>
    <row r="1277" spans="1:8">
      <c r="A1277" t="s">
        <v>2594</v>
      </c>
      <c r="B1277" t="s">
        <v>2595</v>
      </c>
      <c r="C1277" t="s">
        <v>10</v>
      </c>
      <c r="D1277">
        <v>70</v>
      </c>
      <c r="E1277" t="s">
        <v>11</v>
      </c>
      <c r="F1277" t="s">
        <v>11</v>
      </c>
      <c r="G1277" t="s">
        <v>12</v>
      </c>
      <c r="H1277" s="1">
        <v>44747</v>
      </c>
    </row>
    <row r="1278" spans="1:8">
      <c r="A1278" t="s">
        <v>2596</v>
      </c>
      <c r="B1278" t="s">
        <v>2597</v>
      </c>
      <c r="C1278" t="s">
        <v>10</v>
      </c>
      <c r="D1278">
        <v>66</v>
      </c>
      <c r="E1278" t="s">
        <v>218</v>
      </c>
      <c r="F1278" t="s">
        <v>219</v>
      </c>
      <c r="G1278" t="s">
        <v>17</v>
      </c>
      <c r="H1278" s="1">
        <v>45864</v>
      </c>
    </row>
    <row r="1279" spans="1:8">
      <c r="A1279" t="s">
        <v>2598</v>
      </c>
      <c r="B1279" t="s">
        <v>2599</v>
      </c>
      <c r="C1279" t="s">
        <v>31</v>
      </c>
      <c r="D1279">
        <v>42</v>
      </c>
      <c r="E1279" t="s">
        <v>34</v>
      </c>
      <c r="F1279" t="s">
        <v>16</v>
      </c>
      <c r="G1279" t="s">
        <v>17</v>
      </c>
      <c r="H1279" s="1">
        <v>45489</v>
      </c>
    </row>
    <row r="1280" spans="1:8">
      <c r="A1280" t="s">
        <v>2600</v>
      </c>
      <c r="B1280" t="s">
        <v>2601</v>
      </c>
      <c r="C1280" t="s">
        <v>10</v>
      </c>
      <c r="D1280">
        <v>61</v>
      </c>
      <c r="E1280" t="s">
        <v>69</v>
      </c>
      <c r="F1280" t="s">
        <v>69</v>
      </c>
      <c r="G1280" t="s">
        <v>12</v>
      </c>
      <c r="H1280" s="1">
        <v>44962</v>
      </c>
    </row>
    <row r="1281" spans="1:8">
      <c r="A1281" t="s">
        <v>2602</v>
      </c>
      <c r="B1281" t="s">
        <v>2603</v>
      </c>
      <c r="C1281" t="s">
        <v>31</v>
      </c>
      <c r="D1281">
        <v>45</v>
      </c>
      <c r="E1281" t="s">
        <v>91</v>
      </c>
      <c r="F1281" t="s">
        <v>92</v>
      </c>
      <c r="G1281" t="s">
        <v>78</v>
      </c>
      <c r="H1281" s="1">
        <v>45729</v>
      </c>
    </row>
    <row r="1282" spans="1:8">
      <c r="A1282" t="s">
        <v>2604</v>
      </c>
      <c r="B1282" t="s">
        <v>2605</v>
      </c>
      <c r="C1282" t="s">
        <v>10</v>
      </c>
      <c r="D1282">
        <v>57</v>
      </c>
      <c r="E1282" t="s">
        <v>134</v>
      </c>
      <c r="F1282" t="s">
        <v>28</v>
      </c>
      <c r="G1282" t="s">
        <v>12</v>
      </c>
      <c r="H1282" s="1">
        <v>44744</v>
      </c>
    </row>
    <row r="1283" spans="1:8">
      <c r="A1283" t="s">
        <v>2606</v>
      </c>
      <c r="B1283" t="s">
        <v>2607</v>
      </c>
      <c r="C1283" t="s">
        <v>31</v>
      </c>
      <c r="D1283">
        <v>21</v>
      </c>
      <c r="E1283" t="s">
        <v>112</v>
      </c>
      <c r="F1283" t="s">
        <v>113</v>
      </c>
      <c r="G1283" t="s">
        <v>78</v>
      </c>
      <c r="H1283" s="1">
        <v>44823</v>
      </c>
    </row>
    <row r="1284" spans="1:8">
      <c r="A1284" t="s">
        <v>2608</v>
      </c>
      <c r="B1284" t="s">
        <v>2609</v>
      </c>
      <c r="C1284" t="s">
        <v>10</v>
      </c>
      <c r="D1284">
        <v>63</v>
      </c>
      <c r="E1284" t="s">
        <v>60</v>
      </c>
      <c r="F1284" t="s">
        <v>21</v>
      </c>
      <c r="G1284" t="s">
        <v>22</v>
      </c>
      <c r="H1284" s="1">
        <v>44670</v>
      </c>
    </row>
    <row r="1285" spans="1:8">
      <c r="A1285" t="s">
        <v>2610</v>
      </c>
      <c r="B1285" t="s">
        <v>2611</v>
      </c>
      <c r="C1285" t="s">
        <v>31</v>
      </c>
      <c r="D1285">
        <v>19</v>
      </c>
      <c r="E1285" t="s">
        <v>37</v>
      </c>
      <c r="F1285" t="s">
        <v>38</v>
      </c>
      <c r="G1285" t="s">
        <v>22</v>
      </c>
      <c r="H1285" s="1">
        <v>44786</v>
      </c>
    </row>
    <row r="1286" spans="1:8">
      <c r="A1286" t="s">
        <v>2612</v>
      </c>
      <c r="B1286" t="s">
        <v>2613</v>
      </c>
      <c r="C1286" t="s">
        <v>31</v>
      </c>
      <c r="D1286">
        <v>63</v>
      </c>
      <c r="E1286" t="s">
        <v>218</v>
      </c>
      <c r="F1286" t="s">
        <v>219</v>
      </c>
      <c r="G1286" t="s">
        <v>17</v>
      </c>
      <c r="H1286" s="1">
        <v>45369</v>
      </c>
    </row>
    <row r="1287" spans="1:8">
      <c r="A1287" t="s">
        <v>2614</v>
      </c>
      <c r="B1287" t="s">
        <v>2615</v>
      </c>
      <c r="C1287" t="s">
        <v>10</v>
      </c>
      <c r="D1287">
        <v>60</v>
      </c>
      <c r="E1287" t="s">
        <v>149</v>
      </c>
      <c r="F1287" t="s">
        <v>38</v>
      </c>
      <c r="G1287" t="s">
        <v>22</v>
      </c>
      <c r="H1287" s="1">
        <v>45453</v>
      </c>
    </row>
    <row r="1288" spans="1:8">
      <c r="A1288" t="s">
        <v>2616</v>
      </c>
      <c r="B1288" t="s">
        <v>2617</v>
      </c>
      <c r="C1288" t="s">
        <v>31</v>
      </c>
      <c r="D1288">
        <v>41</v>
      </c>
      <c r="E1288" t="s">
        <v>34</v>
      </c>
      <c r="F1288" t="s">
        <v>16</v>
      </c>
      <c r="G1288" t="s">
        <v>17</v>
      </c>
      <c r="H1288" s="1">
        <v>44947</v>
      </c>
    </row>
    <row r="1289" spans="1:8">
      <c r="A1289" t="s">
        <v>2618</v>
      </c>
      <c r="B1289" t="s">
        <v>2619</v>
      </c>
      <c r="C1289" t="s">
        <v>10</v>
      </c>
      <c r="D1289">
        <v>26</v>
      </c>
      <c r="E1289" t="s">
        <v>76</v>
      </c>
      <c r="F1289" t="s">
        <v>77</v>
      </c>
      <c r="G1289" t="s">
        <v>78</v>
      </c>
      <c r="H1289" s="1">
        <v>45152</v>
      </c>
    </row>
    <row r="1290" spans="1:8">
      <c r="A1290" t="s">
        <v>2620</v>
      </c>
      <c r="B1290" t="s">
        <v>2621</v>
      </c>
      <c r="C1290" t="s">
        <v>31</v>
      </c>
      <c r="D1290">
        <v>60</v>
      </c>
      <c r="E1290" t="s">
        <v>15</v>
      </c>
      <c r="F1290" t="s">
        <v>16</v>
      </c>
      <c r="G1290" t="s">
        <v>17</v>
      </c>
      <c r="H1290" s="1">
        <v>44856</v>
      </c>
    </row>
    <row r="1291" spans="1:8">
      <c r="A1291" t="s">
        <v>2622</v>
      </c>
      <c r="B1291" t="s">
        <v>2623</v>
      </c>
      <c r="C1291" t="s">
        <v>10</v>
      </c>
      <c r="D1291">
        <v>59</v>
      </c>
      <c r="E1291" t="s">
        <v>101</v>
      </c>
      <c r="F1291" t="s">
        <v>21</v>
      </c>
      <c r="G1291" t="s">
        <v>22</v>
      </c>
      <c r="H1291" s="1">
        <v>44735</v>
      </c>
    </row>
    <row r="1292" spans="1:8">
      <c r="A1292" t="s">
        <v>2624</v>
      </c>
      <c r="B1292" t="s">
        <v>2625</v>
      </c>
      <c r="C1292" t="s">
        <v>31</v>
      </c>
      <c r="D1292">
        <v>57</v>
      </c>
      <c r="E1292" t="s">
        <v>69</v>
      </c>
      <c r="F1292" t="s">
        <v>69</v>
      </c>
      <c r="G1292" t="s">
        <v>12</v>
      </c>
      <c r="H1292" s="1">
        <v>45986</v>
      </c>
    </row>
    <row r="1293" spans="1:8">
      <c r="A1293" t="s">
        <v>2626</v>
      </c>
      <c r="B1293" t="s">
        <v>2627</v>
      </c>
      <c r="C1293" t="s">
        <v>31</v>
      </c>
      <c r="D1293">
        <v>42</v>
      </c>
      <c r="E1293" t="s">
        <v>218</v>
      </c>
      <c r="F1293" t="s">
        <v>219</v>
      </c>
      <c r="G1293" t="s">
        <v>17</v>
      </c>
      <c r="H1293" s="1">
        <v>45430</v>
      </c>
    </row>
    <row r="1294" spans="1:8">
      <c r="A1294" t="s">
        <v>2628</v>
      </c>
      <c r="B1294" t="s">
        <v>2629</v>
      </c>
      <c r="C1294" t="s">
        <v>10</v>
      </c>
      <c r="D1294">
        <v>54</v>
      </c>
      <c r="E1294" t="s">
        <v>101</v>
      </c>
      <c r="F1294" t="s">
        <v>21</v>
      </c>
      <c r="G1294" t="s">
        <v>22</v>
      </c>
      <c r="H1294" s="1">
        <v>45431</v>
      </c>
    </row>
    <row r="1295" spans="1:8">
      <c r="A1295" t="s">
        <v>2630</v>
      </c>
      <c r="B1295" t="s">
        <v>2631</v>
      </c>
      <c r="C1295" t="s">
        <v>31</v>
      </c>
      <c r="D1295">
        <v>44</v>
      </c>
      <c r="E1295" t="s">
        <v>101</v>
      </c>
      <c r="F1295" t="s">
        <v>21</v>
      </c>
      <c r="G1295" t="s">
        <v>22</v>
      </c>
      <c r="H1295" s="1">
        <v>46020</v>
      </c>
    </row>
    <row r="1296" spans="1:8">
      <c r="A1296" t="s">
        <v>2632</v>
      </c>
      <c r="B1296" t="s">
        <v>2633</v>
      </c>
      <c r="C1296" t="s">
        <v>10</v>
      </c>
      <c r="D1296">
        <v>20</v>
      </c>
      <c r="E1296" t="s">
        <v>128</v>
      </c>
      <c r="F1296" t="s">
        <v>129</v>
      </c>
      <c r="G1296" t="s">
        <v>78</v>
      </c>
      <c r="H1296" s="1">
        <v>45313</v>
      </c>
    </row>
    <row r="1297" spans="1:8">
      <c r="A1297" t="s">
        <v>2634</v>
      </c>
      <c r="B1297" t="s">
        <v>2635</v>
      </c>
      <c r="C1297" t="s">
        <v>31</v>
      </c>
      <c r="D1297">
        <v>62</v>
      </c>
      <c r="E1297" t="s">
        <v>37</v>
      </c>
      <c r="F1297" t="s">
        <v>38</v>
      </c>
      <c r="G1297" t="s">
        <v>22</v>
      </c>
      <c r="H1297" s="1">
        <v>44793</v>
      </c>
    </row>
    <row r="1298" spans="1:8">
      <c r="A1298" t="s">
        <v>2636</v>
      </c>
      <c r="B1298" t="s">
        <v>2637</v>
      </c>
      <c r="C1298" t="s">
        <v>31</v>
      </c>
      <c r="D1298">
        <v>51</v>
      </c>
      <c r="E1298" t="s">
        <v>218</v>
      </c>
      <c r="F1298" t="s">
        <v>219</v>
      </c>
      <c r="G1298" t="s">
        <v>17</v>
      </c>
      <c r="H1298" s="1">
        <v>45134</v>
      </c>
    </row>
    <row r="1299" spans="1:8">
      <c r="A1299" t="s">
        <v>2638</v>
      </c>
      <c r="B1299" t="s">
        <v>2639</v>
      </c>
      <c r="C1299" t="s">
        <v>10</v>
      </c>
      <c r="D1299">
        <v>48</v>
      </c>
      <c r="E1299" t="s">
        <v>218</v>
      </c>
      <c r="F1299" t="s">
        <v>219</v>
      </c>
      <c r="G1299" t="s">
        <v>17</v>
      </c>
      <c r="H1299" s="1">
        <v>44743</v>
      </c>
    </row>
    <row r="1300" spans="1:8">
      <c r="A1300" t="s">
        <v>2640</v>
      </c>
      <c r="B1300" t="s">
        <v>2641</v>
      </c>
      <c r="C1300" t="s">
        <v>31</v>
      </c>
      <c r="D1300">
        <v>57</v>
      </c>
      <c r="E1300" t="s">
        <v>11</v>
      </c>
      <c r="F1300" t="s">
        <v>11</v>
      </c>
      <c r="G1300" t="s">
        <v>12</v>
      </c>
      <c r="H1300" s="1">
        <v>45962</v>
      </c>
    </row>
    <row r="1301" spans="1:8">
      <c r="A1301" t="s">
        <v>2642</v>
      </c>
      <c r="B1301" t="s">
        <v>2643</v>
      </c>
      <c r="C1301" t="s">
        <v>10</v>
      </c>
      <c r="D1301">
        <v>48</v>
      </c>
      <c r="E1301" t="s">
        <v>45</v>
      </c>
      <c r="F1301" t="s">
        <v>46</v>
      </c>
      <c r="G1301" t="s">
        <v>17</v>
      </c>
      <c r="H1301" s="1">
        <v>45657</v>
      </c>
    </row>
    <row r="1302" spans="1:8">
      <c r="A1302" t="s">
        <v>2644</v>
      </c>
      <c r="B1302" t="s">
        <v>2645</v>
      </c>
      <c r="C1302" t="s">
        <v>31</v>
      </c>
      <c r="D1302">
        <v>44</v>
      </c>
      <c r="E1302" t="s">
        <v>149</v>
      </c>
      <c r="F1302" t="s">
        <v>38</v>
      </c>
      <c r="G1302" t="s">
        <v>22</v>
      </c>
      <c r="H1302" s="1">
        <v>45737</v>
      </c>
    </row>
    <row r="1303" spans="1:8">
      <c r="A1303" t="s">
        <v>2646</v>
      </c>
      <c r="B1303" t="s">
        <v>2647</v>
      </c>
      <c r="C1303" t="s">
        <v>10</v>
      </c>
      <c r="D1303">
        <v>20</v>
      </c>
      <c r="E1303" t="s">
        <v>37</v>
      </c>
      <c r="F1303" t="s">
        <v>38</v>
      </c>
      <c r="G1303" t="s">
        <v>22</v>
      </c>
      <c r="H1303" s="1">
        <v>45154</v>
      </c>
    </row>
    <row r="1304" spans="1:8">
      <c r="A1304" t="s">
        <v>2648</v>
      </c>
      <c r="B1304" t="s">
        <v>2649</v>
      </c>
      <c r="C1304" t="s">
        <v>31</v>
      </c>
      <c r="D1304">
        <v>21</v>
      </c>
      <c r="E1304" t="s">
        <v>27</v>
      </c>
      <c r="F1304" t="s">
        <v>28</v>
      </c>
      <c r="G1304" t="s">
        <v>12</v>
      </c>
      <c r="H1304" s="1">
        <v>45184</v>
      </c>
    </row>
    <row r="1305" spans="1:8">
      <c r="A1305" t="s">
        <v>2650</v>
      </c>
      <c r="B1305" t="s">
        <v>2651</v>
      </c>
      <c r="C1305" t="s">
        <v>10</v>
      </c>
      <c r="D1305">
        <v>60</v>
      </c>
      <c r="E1305" t="s">
        <v>27</v>
      </c>
      <c r="F1305" t="s">
        <v>28</v>
      </c>
      <c r="G1305" t="s">
        <v>12</v>
      </c>
      <c r="H1305" s="1">
        <v>44908</v>
      </c>
    </row>
    <row r="1306" spans="1:8">
      <c r="A1306" t="s">
        <v>2652</v>
      </c>
      <c r="B1306" t="s">
        <v>2653</v>
      </c>
      <c r="C1306" t="s">
        <v>31</v>
      </c>
      <c r="D1306">
        <v>49</v>
      </c>
      <c r="E1306" t="s">
        <v>128</v>
      </c>
      <c r="F1306" t="s">
        <v>129</v>
      </c>
      <c r="G1306" t="s">
        <v>78</v>
      </c>
      <c r="H1306" s="1">
        <v>44617</v>
      </c>
    </row>
    <row r="1307" spans="1:8">
      <c r="A1307" t="s">
        <v>2654</v>
      </c>
      <c r="B1307" t="s">
        <v>2655</v>
      </c>
      <c r="C1307" t="s">
        <v>31</v>
      </c>
      <c r="D1307">
        <v>34</v>
      </c>
      <c r="E1307" t="s">
        <v>218</v>
      </c>
      <c r="F1307" t="s">
        <v>219</v>
      </c>
      <c r="G1307" t="s">
        <v>17</v>
      </c>
      <c r="H1307" s="1">
        <v>44719</v>
      </c>
    </row>
    <row r="1308" spans="1:8">
      <c r="A1308" t="s">
        <v>2656</v>
      </c>
      <c r="B1308" t="s">
        <v>2657</v>
      </c>
      <c r="C1308" t="s">
        <v>31</v>
      </c>
      <c r="D1308">
        <v>18</v>
      </c>
      <c r="E1308" t="s">
        <v>45</v>
      </c>
      <c r="F1308" t="s">
        <v>46</v>
      </c>
      <c r="G1308" t="s">
        <v>17</v>
      </c>
      <c r="H1308" s="1">
        <v>45125</v>
      </c>
    </row>
    <row r="1309" spans="1:8">
      <c r="A1309" t="s">
        <v>2658</v>
      </c>
      <c r="B1309" t="s">
        <v>2659</v>
      </c>
      <c r="C1309" t="s">
        <v>10</v>
      </c>
      <c r="D1309">
        <v>60</v>
      </c>
      <c r="E1309" t="s">
        <v>27</v>
      </c>
      <c r="F1309" t="s">
        <v>28</v>
      </c>
      <c r="G1309" t="s">
        <v>12</v>
      </c>
      <c r="H1309" s="1">
        <v>44919</v>
      </c>
    </row>
    <row r="1310" spans="1:8">
      <c r="A1310" t="s">
        <v>2660</v>
      </c>
      <c r="B1310" t="s">
        <v>2661</v>
      </c>
      <c r="C1310" t="s">
        <v>10</v>
      </c>
      <c r="D1310">
        <v>49</v>
      </c>
      <c r="E1310" t="s">
        <v>101</v>
      </c>
      <c r="F1310" t="s">
        <v>21</v>
      </c>
      <c r="G1310" t="s">
        <v>22</v>
      </c>
      <c r="H1310" s="1">
        <v>45097</v>
      </c>
    </row>
    <row r="1311" spans="1:8">
      <c r="A1311" t="s">
        <v>2662</v>
      </c>
      <c r="B1311" t="s">
        <v>2663</v>
      </c>
      <c r="C1311" t="s">
        <v>31</v>
      </c>
      <c r="D1311">
        <v>23</v>
      </c>
      <c r="E1311" t="s">
        <v>218</v>
      </c>
      <c r="F1311" t="s">
        <v>219</v>
      </c>
      <c r="G1311" t="s">
        <v>17</v>
      </c>
      <c r="H1311" s="1">
        <v>44629</v>
      </c>
    </row>
    <row r="1312" spans="1:8">
      <c r="A1312" t="s">
        <v>2664</v>
      </c>
      <c r="B1312" t="s">
        <v>2665</v>
      </c>
      <c r="C1312" t="s">
        <v>31</v>
      </c>
      <c r="D1312">
        <v>66</v>
      </c>
      <c r="E1312" t="s">
        <v>128</v>
      </c>
      <c r="F1312" t="s">
        <v>129</v>
      </c>
      <c r="G1312" t="s">
        <v>78</v>
      </c>
      <c r="H1312" s="1">
        <v>44877</v>
      </c>
    </row>
    <row r="1313" spans="1:8">
      <c r="A1313" t="s">
        <v>2666</v>
      </c>
      <c r="B1313" t="s">
        <v>2667</v>
      </c>
      <c r="C1313" t="s">
        <v>31</v>
      </c>
      <c r="D1313">
        <v>64</v>
      </c>
      <c r="E1313" t="s">
        <v>112</v>
      </c>
      <c r="F1313" t="s">
        <v>113</v>
      </c>
      <c r="G1313" t="s">
        <v>78</v>
      </c>
      <c r="H1313" s="1">
        <v>45049</v>
      </c>
    </row>
    <row r="1314" spans="1:8">
      <c r="A1314" t="s">
        <v>2668</v>
      </c>
      <c r="B1314" t="s">
        <v>2669</v>
      </c>
      <c r="C1314" t="s">
        <v>31</v>
      </c>
      <c r="D1314">
        <v>21</v>
      </c>
      <c r="E1314" t="s">
        <v>63</v>
      </c>
      <c r="F1314" t="s">
        <v>64</v>
      </c>
      <c r="G1314" t="s">
        <v>12</v>
      </c>
      <c r="H1314" s="1">
        <v>45745</v>
      </c>
    </row>
    <row r="1315" spans="1:8">
      <c r="A1315" t="s">
        <v>2670</v>
      </c>
      <c r="B1315" t="s">
        <v>2671</v>
      </c>
      <c r="C1315" t="s">
        <v>10</v>
      </c>
      <c r="D1315">
        <v>47</v>
      </c>
      <c r="E1315" t="s">
        <v>11</v>
      </c>
      <c r="F1315" t="s">
        <v>11</v>
      </c>
      <c r="G1315" t="s">
        <v>12</v>
      </c>
      <c r="H1315" s="1">
        <v>44669</v>
      </c>
    </row>
    <row r="1316" spans="1:8">
      <c r="A1316" t="s">
        <v>2672</v>
      </c>
      <c r="B1316" t="s">
        <v>2673</v>
      </c>
      <c r="C1316" t="s">
        <v>10</v>
      </c>
      <c r="D1316">
        <v>42</v>
      </c>
      <c r="E1316" t="s">
        <v>37</v>
      </c>
      <c r="F1316" t="s">
        <v>38</v>
      </c>
      <c r="G1316" t="s">
        <v>22</v>
      </c>
      <c r="H1316" s="1">
        <v>45537</v>
      </c>
    </row>
    <row r="1317" spans="1:8">
      <c r="A1317" t="s">
        <v>2674</v>
      </c>
      <c r="B1317" t="s">
        <v>2675</v>
      </c>
      <c r="C1317" t="s">
        <v>31</v>
      </c>
      <c r="D1317">
        <v>27</v>
      </c>
      <c r="E1317" t="s">
        <v>69</v>
      </c>
      <c r="F1317" t="s">
        <v>69</v>
      </c>
      <c r="G1317" t="s">
        <v>12</v>
      </c>
      <c r="H1317" s="1">
        <v>45533</v>
      </c>
    </row>
    <row r="1318" spans="1:8">
      <c r="A1318" t="s">
        <v>2676</v>
      </c>
      <c r="B1318" t="s">
        <v>2677</v>
      </c>
      <c r="C1318" t="s">
        <v>31</v>
      </c>
      <c r="D1318">
        <v>69</v>
      </c>
      <c r="E1318" t="s">
        <v>149</v>
      </c>
      <c r="F1318" t="s">
        <v>38</v>
      </c>
      <c r="G1318" t="s">
        <v>22</v>
      </c>
      <c r="H1318" s="1">
        <v>44586</v>
      </c>
    </row>
    <row r="1319" spans="1:8">
      <c r="A1319" t="s">
        <v>2678</v>
      </c>
      <c r="B1319" t="s">
        <v>2679</v>
      </c>
      <c r="C1319" t="s">
        <v>10</v>
      </c>
      <c r="D1319">
        <v>24</v>
      </c>
      <c r="E1319" t="s">
        <v>37</v>
      </c>
      <c r="F1319" t="s">
        <v>38</v>
      </c>
      <c r="G1319" t="s">
        <v>22</v>
      </c>
      <c r="H1319" s="1">
        <v>45647</v>
      </c>
    </row>
    <row r="1320" spans="1:8">
      <c r="A1320" t="s">
        <v>2680</v>
      </c>
      <c r="B1320" t="s">
        <v>1892</v>
      </c>
      <c r="C1320" t="s">
        <v>31</v>
      </c>
      <c r="D1320">
        <v>39</v>
      </c>
      <c r="E1320" t="s">
        <v>91</v>
      </c>
      <c r="F1320" t="s">
        <v>92</v>
      </c>
      <c r="G1320" t="s">
        <v>78</v>
      </c>
      <c r="H1320" s="1">
        <v>45446</v>
      </c>
    </row>
    <row r="1321" spans="1:8">
      <c r="A1321" t="s">
        <v>2681</v>
      </c>
      <c r="B1321" t="s">
        <v>2682</v>
      </c>
      <c r="C1321" t="s">
        <v>31</v>
      </c>
      <c r="D1321">
        <v>47</v>
      </c>
      <c r="E1321" t="s">
        <v>15</v>
      </c>
      <c r="F1321" t="s">
        <v>16</v>
      </c>
      <c r="G1321" t="s">
        <v>17</v>
      </c>
      <c r="H1321" s="1">
        <v>45084</v>
      </c>
    </row>
    <row r="1322" spans="1:8">
      <c r="A1322" t="s">
        <v>2683</v>
      </c>
      <c r="B1322" t="s">
        <v>2684</v>
      </c>
      <c r="C1322" t="s">
        <v>10</v>
      </c>
      <c r="D1322">
        <v>51</v>
      </c>
      <c r="E1322" t="s">
        <v>63</v>
      </c>
      <c r="F1322" t="s">
        <v>64</v>
      </c>
      <c r="G1322" t="s">
        <v>12</v>
      </c>
      <c r="H1322" s="1">
        <v>45938</v>
      </c>
    </row>
    <row r="1323" spans="1:8">
      <c r="A1323" t="s">
        <v>2685</v>
      </c>
      <c r="B1323" t="s">
        <v>2686</v>
      </c>
      <c r="C1323" t="s">
        <v>10</v>
      </c>
      <c r="D1323">
        <v>61</v>
      </c>
      <c r="E1323" t="s">
        <v>101</v>
      </c>
      <c r="F1323" t="s">
        <v>21</v>
      </c>
      <c r="G1323" t="s">
        <v>22</v>
      </c>
      <c r="H1323" s="1">
        <v>45203</v>
      </c>
    </row>
    <row r="1324" spans="1:8">
      <c r="A1324" t="s">
        <v>2687</v>
      </c>
      <c r="B1324" t="s">
        <v>2688</v>
      </c>
      <c r="C1324" t="s">
        <v>31</v>
      </c>
      <c r="D1324">
        <v>24</v>
      </c>
      <c r="E1324" t="s">
        <v>15</v>
      </c>
      <c r="F1324" t="s">
        <v>16</v>
      </c>
      <c r="G1324" t="s">
        <v>17</v>
      </c>
      <c r="H1324" s="1">
        <v>44586</v>
      </c>
    </row>
    <row r="1325" spans="1:8">
      <c r="A1325" t="s">
        <v>2689</v>
      </c>
      <c r="B1325" t="s">
        <v>2690</v>
      </c>
      <c r="C1325" t="s">
        <v>10</v>
      </c>
      <c r="D1325">
        <v>64</v>
      </c>
      <c r="E1325" t="s">
        <v>149</v>
      </c>
      <c r="F1325" t="s">
        <v>38</v>
      </c>
      <c r="G1325" t="s">
        <v>22</v>
      </c>
      <c r="H1325" s="1">
        <v>45281</v>
      </c>
    </row>
    <row r="1326" spans="1:8">
      <c r="A1326" t="s">
        <v>2691</v>
      </c>
      <c r="B1326" t="s">
        <v>2692</v>
      </c>
      <c r="C1326" t="s">
        <v>10</v>
      </c>
      <c r="D1326">
        <v>57</v>
      </c>
      <c r="E1326" t="s">
        <v>34</v>
      </c>
      <c r="F1326" t="s">
        <v>16</v>
      </c>
      <c r="G1326" t="s">
        <v>17</v>
      </c>
      <c r="H1326" s="1">
        <v>44631</v>
      </c>
    </row>
    <row r="1327" spans="1:8">
      <c r="A1327" t="s">
        <v>2693</v>
      </c>
      <c r="B1327" t="s">
        <v>2694</v>
      </c>
      <c r="C1327" t="s">
        <v>10</v>
      </c>
      <c r="D1327">
        <v>56</v>
      </c>
      <c r="E1327" t="s">
        <v>218</v>
      </c>
      <c r="F1327" t="s">
        <v>219</v>
      </c>
      <c r="G1327" t="s">
        <v>17</v>
      </c>
      <c r="H1327" s="1">
        <v>45906</v>
      </c>
    </row>
    <row r="1328" spans="1:8">
      <c r="A1328" t="s">
        <v>2695</v>
      </c>
      <c r="B1328" t="s">
        <v>2696</v>
      </c>
      <c r="C1328" t="s">
        <v>10</v>
      </c>
      <c r="D1328">
        <v>42</v>
      </c>
      <c r="E1328" t="s">
        <v>11</v>
      </c>
      <c r="F1328" t="s">
        <v>11</v>
      </c>
      <c r="G1328" t="s">
        <v>12</v>
      </c>
      <c r="H1328" s="1">
        <v>44738</v>
      </c>
    </row>
    <row r="1329" spans="1:8">
      <c r="A1329" t="s">
        <v>2697</v>
      </c>
      <c r="B1329" t="s">
        <v>2698</v>
      </c>
      <c r="C1329" t="s">
        <v>10</v>
      </c>
      <c r="D1329">
        <v>62</v>
      </c>
      <c r="E1329" t="s">
        <v>27</v>
      </c>
      <c r="F1329" t="s">
        <v>28</v>
      </c>
      <c r="G1329" t="s">
        <v>12</v>
      </c>
      <c r="H1329" s="1">
        <v>44940</v>
      </c>
    </row>
    <row r="1330" spans="1:8">
      <c r="A1330" t="s">
        <v>2699</v>
      </c>
      <c r="B1330" t="s">
        <v>2700</v>
      </c>
      <c r="C1330" t="s">
        <v>10</v>
      </c>
      <c r="D1330">
        <v>58</v>
      </c>
      <c r="E1330" t="s">
        <v>45</v>
      </c>
      <c r="F1330" t="s">
        <v>46</v>
      </c>
      <c r="G1330" t="s">
        <v>17</v>
      </c>
      <c r="H1330" s="1">
        <v>45518</v>
      </c>
    </row>
    <row r="1331" spans="1:8">
      <c r="A1331" t="s">
        <v>2701</v>
      </c>
      <c r="B1331" t="s">
        <v>2702</v>
      </c>
      <c r="C1331" t="s">
        <v>31</v>
      </c>
      <c r="D1331">
        <v>34</v>
      </c>
      <c r="E1331" t="s">
        <v>37</v>
      </c>
      <c r="F1331" t="s">
        <v>38</v>
      </c>
      <c r="G1331" t="s">
        <v>22</v>
      </c>
      <c r="H1331" s="1">
        <v>45436</v>
      </c>
    </row>
    <row r="1332" spans="1:8">
      <c r="A1332" t="s">
        <v>2703</v>
      </c>
      <c r="B1332" t="s">
        <v>2704</v>
      </c>
      <c r="C1332" t="s">
        <v>10</v>
      </c>
      <c r="D1332">
        <v>42</v>
      </c>
      <c r="E1332" t="s">
        <v>15</v>
      </c>
      <c r="F1332" t="s">
        <v>16</v>
      </c>
      <c r="G1332" t="s">
        <v>17</v>
      </c>
      <c r="H1332" s="1">
        <v>45129</v>
      </c>
    </row>
    <row r="1333" spans="1:8">
      <c r="A1333" t="s">
        <v>2705</v>
      </c>
      <c r="B1333" t="s">
        <v>2706</v>
      </c>
      <c r="C1333" t="s">
        <v>31</v>
      </c>
      <c r="D1333">
        <v>29</v>
      </c>
      <c r="E1333" t="s">
        <v>20</v>
      </c>
      <c r="F1333" t="s">
        <v>21</v>
      </c>
      <c r="G1333" t="s">
        <v>22</v>
      </c>
      <c r="H1333" s="1">
        <v>45090</v>
      </c>
    </row>
    <row r="1334" spans="1:8">
      <c r="A1334" t="s">
        <v>2707</v>
      </c>
      <c r="B1334" t="s">
        <v>2708</v>
      </c>
      <c r="C1334" t="s">
        <v>31</v>
      </c>
      <c r="D1334">
        <v>29</v>
      </c>
      <c r="E1334" t="s">
        <v>149</v>
      </c>
      <c r="F1334" t="s">
        <v>38</v>
      </c>
      <c r="G1334" t="s">
        <v>22</v>
      </c>
      <c r="H1334" s="1">
        <v>44972</v>
      </c>
    </row>
    <row r="1335" spans="1:8">
      <c r="A1335" t="s">
        <v>2709</v>
      </c>
      <c r="B1335" t="s">
        <v>2710</v>
      </c>
      <c r="C1335" t="s">
        <v>31</v>
      </c>
      <c r="D1335">
        <v>31</v>
      </c>
      <c r="E1335" t="s">
        <v>11</v>
      </c>
      <c r="F1335" t="s">
        <v>11</v>
      </c>
      <c r="G1335" t="s">
        <v>12</v>
      </c>
      <c r="H1335" s="1">
        <v>44856</v>
      </c>
    </row>
    <row r="1336" spans="1:8">
      <c r="A1336" t="s">
        <v>2711</v>
      </c>
      <c r="B1336" t="s">
        <v>2712</v>
      </c>
      <c r="C1336" t="s">
        <v>31</v>
      </c>
      <c r="D1336">
        <v>24</v>
      </c>
      <c r="E1336" t="s">
        <v>11</v>
      </c>
      <c r="F1336" t="s">
        <v>11</v>
      </c>
      <c r="G1336" t="s">
        <v>12</v>
      </c>
      <c r="H1336" s="1">
        <v>45466</v>
      </c>
    </row>
    <row r="1337" spans="1:8">
      <c r="A1337" t="s">
        <v>2713</v>
      </c>
      <c r="B1337" t="s">
        <v>2714</v>
      </c>
      <c r="C1337" t="s">
        <v>31</v>
      </c>
      <c r="D1337">
        <v>67</v>
      </c>
      <c r="E1337" t="s">
        <v>15</v>
      </c>
      <c r="F1337" t="s">
        <v>16</v>
      </c>
      <c r="G1337" t="s">
        <v>17</v>
      </c>
      <c r="H1337" s="1">
        <v>45732</v>
      </c>
    </row>
    <row r="1338" spans="1:8">
      <c r="A1338" t="s">
        <v>2715</v>
      </c>
      <c r="B1338" t="s">
        <v>2716</v>
      </c>
      <c r="C1338" t="s">
        <v>10</v>
      </c>
      <c r="D1338">
        <v>20</v>
      </c>
      <c r="E1338" t="s">
        <v>149</v>
      </c>
      <c r="F1338" t="s">
        <v>38</v>
      </c>
      <c r="G1338" t="s">
        <v>22</v>
      </c>
      <c r="H1338" s="1">
        <v>44866</v>
      </c>
    </row>
    <row r="1339" spans="1:8">
      <c r="A1339" t="s">
        <v>2717</v>
      </c>
      <c r="B1339" t="s">
        <v>2718</v>
      </c>
      <c r="C1339" t="s">
        <v>31</v>
      </c>
      <c r="D1339">
        <v>43</v>
      </c>
      <c r="E1339" t="s">
        <v>134</v>
      </c>
      <c r="F1339" t="s">
        <v>28</v>
      </c>
      <c r="G1339" t="s">
        <v>12</v>
      </c>
      <c r="H1339" s="1">
        <v>44872</v>
      </c>
    </row>
    <row r="1340" spans="1:8">
      <c r="A1340" t="s">
        <v>2719</v>
      </c>
      <c r="B1340" t="s">
        <v>2720</v>
      </c>
      <c r="C1340" t="s">
        <v>31</v>
      </c>
      <c r="D1340">
        <v>48</v>
      </c>
      <c r="E1340" t="s">
        <v>60</v>
      </c>
      <c r="F1340" t="s">
        <v>21</v>
      </c>
      <c r="G1340" t="s">
        <v>22</v>
      </c>
      <c r="H1340" s="1">
        <v>46011</v>
      </c>
    </row>
    <row r="1341" spans="1:8">
      <c r="A1341" t="s">
        <v>2721</v>
      </c>
      <c r="B1341" t="s">
        <v>2722</v>
      </c>
      <c r="C1341" t="s">
        <v>10</v>
      </c>
      <c r="D1341">
        <v>18</v>
      </c>
      <c r="E1341" t="s">
        <v>20</v>
      </c>
      <c r="F1341" t="s">
        <v>21</v>
      </c>
      <c r="G1341" t="s">
        <v>22</v>
      </c>
      <c r="H1341" s="1">
        <v>45668</v>
      </c>
    </row>
    <row r="1342" spans="1:8">
      <c r="A1342" t="s">
        <v>2723</v>
      </c>
      <c r="B1342" t="s">
        <v>2724</v>
      </c>
      <c r="C1342" t="s">
        <v>31</v>
      </c>
      <c r="D1342">
        <v>39</v>
      </c>
      <c r="E1342" t="s">
        <v>149</v>
      </c>
      <c r="F1342" t="s">
        <v>38</v>
      </c>
      <c r="G1342" t="s">
        <v>22</v>
      </c>
      <c r="H1342" s="1">
        <v>44810</v>
      </c>
    </row>
    <row r="1343" spans="1:8">
      <c r="A1343" t="s">
        <v>2725</v>
      </c>
      <c r="B1343" t="s">
        <v>2726</v>
      </c>
      <c r="C1343" t="s">
        <v>10</v>
      </c>
      <c r="D1343">
        <v>41</v>
      </c>
      <c r="E1343" t="s">
        <v>69</v>
      </c>
      <c r="F1343" t="s">
        <v>69</v>
      </c>
      <c r="G1343" t="s">
        <v>12</v>
      </c>
      <c r="H1343" s="1">
        <v>44675</v>
      </c>
    </row>
    <row r="1344" spans="1:8">
      <c r="A1344" t="s">
        <v>2727</v>
      </c>
      <c r="B1344" t="s">
        <v>2728</v>
      </c>
      <c r="C1344" t="s">
        <v>31</v>
      </c>
      <c r="D1344">
        <v>66</v>
      </c>
      <c r="E1344" t="s">
        <v>37</v>
      </c>
      <c r="F1344" t="s">
        <v>38</v>
      </c>
      <c r="G1344" t="s">
        <v>22</v>
      </c>
      <c r="H1344" s="1">
        <v>44726</v>
      </c>
    </row>
    <row r="1345" spans="1:8">
      <c r="A1345" t="s">
        <v>2729</v>
      </c>
      <c r="B1345" t="s">
        <v>2730</v>
      </c>
      <c r="C1345" t="s">
        <v>10</v>
      </c>
      <c r="D1345">
        <v>42</v>
      </c>
      <c r="E1345" t="s">
        <v>63</v>
      </c>
      <c r="F1345" t="s">
        <v>64</v>
      </c>
      <c r="G1345" t="s">
        <v>12</v>
      </c>
      <c r="H1345" s="1">
        <v>44923</v>
      </c>
    </row>
    <row r="1346" spans="1:8">
      <c r="A1346" t="s">
        <v>2731</v>
      </c>
      <c r="B1346" t="s">
        <v>2732</v>
      </c>
      <c r="C1346" t="s">
        <v>31</v>
      </c>
      <c r="D1346">
        <v>24</v>
      </c>
      <c r="E1346" t="s">
        <v>134</v>
      </c>
      <c r="F1346" t="s">
        <v>28</v>
      </c>
      <c r="G1346" t="s">
        <v>12</v>
      </c>
      <c r="H1346" s="1">
        <v>45987</v>
      </c>
    </row>
    <row r="1347" spans="1:8">
      <c r="A1347" t="s">
        <v>2733</v>
      </c>
      <c r="B1347" t="s">
        <v>2734</v>
      </c>
      <c r="C1347" t="s">
        <v>10</v>
      </c>
      <c r="D1347">
        <v>58</v>
      </c>
      <c r="E1347" t="s">
        <v>134</v>
      </c>
      <c r="F1347" t="s">
        <v>28</v>
      </c>
      <c r="G1347" t="s">
        <v>12</v>
      </c>
      <c r="H1347" s="1">
        <v>45558</v>
      </c>
    </row>
    <row r="1348" spans="1:8">
      <c r="A1348" t="s">
        <v>2735</v>
      </c>
      <c r="B1348" t="s">
        <v>2736</v>
      </c>
      <c r="C1348" t="s">
        <v>10</v>
      </c>
      <c r="D1348">
        <v>30</v>
      </c>
      <c r="E1348" t="s">
        <v>101</v>
      </c>
      <c r="F1348" t="s">
        <v>21</v>
      </c>
      <c r="G1348" t="s">
        <v>22</v>
      </c>
      <c r="H1348" s="1">
        <v>44848</v>
      </c>
    </row>
    <row r="1349" spans="1:8">
      <c r="A1349" t="s">
        <v>2737</v>
      </c>
      <c r="B1349" t="s">
        <v>2738</v>
      </c>
      <c r="C1349" t="s">
        <v>31</v>
      </c>
      <c r="D1349">
        <v>42</v>
      </c>
      <c r="E1349" t="s">
        <v>218</v>
      </c>
      <c r="F1349" t="s">
        <v>219</v>
      </c>
      <c r="G1349" t="s">
        <v>17</v>
      </c>
      <c r="H1349" s="1">
        <v>45050</v>
      </c>
    </row>
    <row r="1350" spans="1:8">
      <c r="A1350" t="s">
        <v>2739</v>
      </c>
      <c r="B1350" t="s">
        <v>2740</v>
      </c>
      <c r="C1350" t="s">
        <v>31</v>
      </c>
      <c r="D1350">
        <v>49</v>
      </c>
      <c r="E1350" t="s">
        <v>218</v>
      </c>
      <c r="F1350" t="s">
        <v>219</v>
      </c>
      <c r="G1350" t="s">
        <v>17</v>
      </c>
      <c r="H1350" s="1">
        <v>45879</v>
      </c>
    </row>
    <row r="1351" spans="1:8">
      <c r="A1351" t="s">
        <v>2741</v>
      </c>
      <c r="B1351" t="s">
        <v>2742</v>
      </c>
      <c r="C1351" t="s">
        <v>10</v>
      </c>
      <c r="D1351">
        <v>39</v>
      </c>
      <c r="E1351" t="s">
        <v>149</v>
      </c>
      <c r="F1351" t="s">
        <v>38</v>
      </c>
      <c r="G1351" t="s">
        <v>22</v>
      </c>
      <c r="H1351" s="1">
        <v>44595</v>
      </c>
    </row>
    <row r="1352" spans="1:8">
      <c r="A1352" t="s">
        <v>2743</v>
      </c>
      <c r="B1352" t="s">
        <v>2744</v>
      </c>
      <c r="C1352" t="s">
        <v>10</v>
      </c>
      <c r="D1352">
        <v>31</v>
      </c>
      <c r="E1352" t="s">
        <v>15</v>
      </c>
      <c r="F1352" t="s">
        <v>16</v>
      </c>
      <c r="G1352" t="s">
        <v>17</v>
      </c>
      <c r="H1352" s="1">
        <v>45392</v>
      </c>
    </row>
    <row r="1353" spans="1:8">
      <c r="A1353" t="s">
        <v>2745</v>
      </c>
      <c r="B1353" t="s">
        <v>2746</v>
      </c>
      <c r="C1353" t="s">
        <v>10</v>
      </c>
      <c r="D1353">
        <v>65</v>
      </c>
      <c r="E1353" t="s">
        <v>27</v>
      </c>
      <c r="F1353" t="s">
        <v>28</v>
      </c>
      <c r="G1353" t="s">
        <v>12</v>
      </c>
      <c r="H1353" s="1">
        <v>45500</v>
      </c>
    </row>
    <row r="1354" spans="1:8">
      <c r="A1354" t="s">
        <v>2747</v>
      </c>
      <c r="B1354" t="s">
        <v>2748</v>
      </c>
      <c r="C1354" t="s">
        <v>10</v>
      </c>
      <c r="D1354">
        <v>49</v>
      </c>
      <c r="E1354" t="s">
        <v>20</v>
      </c>
      <c r="F1354" t="s">
        <v>21</v>
      </c>
      <c r="G1354" t="s">
        <v>22</v>
      </c>
      <c r="H1354" s="1">
        <v>44637</v>
      </c>
    </row>
    <row r="1355" spans="1:8">
      <c r="A1355" t="s">
        <v>2749</v>
      </c>
      <c r="B1355" t="s">
        <v>2750</v>
      </c>
      <c r="C1355" t="s">
        <v>10</v>
      </c>
      <c r="D1355">
        <v>33</v>
      </c>
      <c r="E1355" t="s">
        <v>69</v>
      </c>
      <c r="F1355" t="s">
        <v>69</v>
      </c>
      <c r="G1355" t="s">
        <v>12</v>
      </c>
      <c r="H1355" s="1">
        <v>45828</v>
      </c>
    </row>
    <row r="1356" spans="1:8">
      <c r="A1356" t="s">
        <v>2751</v>
      </c>
      <c r="B1356" t="s">
        <v>2752</v>
      </c>
      <c r="C1356" t="s">
        <v>10</v>
      </c>
      <c r="D1356">
        <v>58</v>
      </c>
      <c r="E1356" t="s">
        <v>63</v>
      </c>
      <c r="F1356" t="s">
        <v>64</v>
      </c>
      <c r="G1356" t="s">
        <v>12</v>
      </c>
      <c r="H1356" s="1">
        <v>44591</v>
      </c>
    </row>
    <row r="1357" spans="1:8">
      <c r="A1357" t="s">
        <v>2753</v>
      </c>
      <c r="B1357" t="s">
        <v>2754</v>
      </c>
      <c r="C1357" t="s">
        <v>31</v>
      </c>
      <c r="D1357">
        <v>57</v>
      </c>
      <c r="E1357" t="s">
        <v>45</v>
      </c>
      <c r="F1357" t="s">
        <v>46</v>
      </c>
      <c r="G1357" t="s">
        <v>17</v>
      </c>
      <c r="H1357" s="1">
        <v>44761</v>
      </c>
    </row>
    <row r="1358" spans="1:8">
      <c r="A1358" t="s">
        <v>2755</v>
      </c>
      <c r="B1358" t="s">
        <v>2756</v>
      </c>
      <c r="C1358" t="s">
        <v>10</v>
      </c>
      <c r="D1358">
        <v>25</v>
      </c>
      <c r="E1358" t="s">
        <v>218</v>
      </c>
      <c r="F1358" t="s">
        <v>219</v>
      </c>
      <c r="G1358" t="s">
        <v>17</v>
      </c>
      <c r="H1358" s="1">
        <v>44692</v>
      </c>
    </row>
    <row r="1359" spans="1:8">
      <c r="A1359" t="s">
        <v>2757</v>
      </c>
      <c r="B1359" t="s">
        <v>2758</v>
      </c>
      <c r="C1359" t="s">
        <v>10</v>
      </c>
      <c r="D1359">
        <v>69</v>
      </c>
      <c r="E1359" t="s">
        <v>60</v>
      </c>
      <c r="F1359" t="s">
        <v>21</v>
      </c>
      <c r="G1359" t="s">
        <v>22</v>
      </c>
      <c r="H1359" s="1">
        <v>45013</v>
      </c>
    </row>
    <row r="1360" spans="1:8">
      <c r="A1360" t="s">
        <v>2759</v>
      </c>
      <c r="B1360" t="s">
        <v>2760</v>
      </c>
      <c r="C1360" t="s">
        <v>31</v>
      </c>
      <c r="D1360">
        <v>38</v>
      </c>
      <c r="E1360" t="s">
        <v>45</v>
      </c>
      <c r="F1360" t="s">
        <v>46</v>
      </c>
      <c r="G1360" t="s">
        <v>17</v>
      </c>
      <c r="H1360" s="1">
        <v>45951</v>
      </c>
    </row>
    <row r="1361" spans="1:8">
      <c r="A1361" t="s">
        <v>2761</v>
      </c>
      <c r="B1361" t="s">
        <v>2762</v>
      </c>
      <c r="C1361" t="s">
        <v>10</v>
      </c>
      <c r="D1361">
        <v>38</v>
      </c>
      <c r="E1361" t="s">
        <v>218</v>
      </c>
      <c r="F1361" t="s">
        <v>219</v>
      </c>
      <c r="G1361" t="s">
        <v>17</v>
      </c>
      <c r="H1361" s="1">
        <v>45679</v>
      </c>
    </row>
    <row r="1362" spans="1:8">
      <c r="A1362" t="s">
        <v>2763</v>
      </c>
      <c r="B1362" t="s">
        <v>2764</v>
      </c>
      <c r="C1362" t="s">
        <v>10</v>
      </c>
      <c r="D1362">
        <v>39</v>
      </c>
      <c r="E1362" t="s">
        <v>76</v>
      </c>
      <c r="F1362" t="s">
        <v>77</v>
      </c>
      <c r="G1362" t="s">
        <v>78</v>
      </c>
      <c r="H1362" s="1">
        <v>44655</v>
      </c>
    </row>
    <row r="1363" spans="1:8">
      <c r="A1363" t="s">
        <v>2765</v>
      </c>
      <c r="B1363" t="s">
        <v>2766</v>
      </c>
      <c r="C1363" t="s">
        <v>31</v>
      </c>
      <c r="D1363">
        <v>28</v>
      </c>
      <c r="E1363" t="s">
        <v>45</v>
      </c>
      <c r="F1363" t="s">
        <v>46</v>
      </c>
      <c r="G1363" t="s">
        <v>17</v>
      </c>
      <c r="H1363" s="1">
        <v>44851</v>
      </c>
    </row>
    <row r="1364" spans="1:8">
      <c r="A1364" t="s">
        <v>2767</v>
      </c>
      <c r="B1364" t="s">
        <v>2768</v>
      </c>
      <c r="C1364" t="s">
        <v>31</v>
      </c>
      <c r="D1364">
        <v>33</v>
      </c>
      <c r="E1364" t="s">
        <v>27</v>
      </c>
      <c r="F1364" t="s">
        <v>28</v>
      </c>
      <c r="G1364" t="s">
        <v>12</v>
      </c>
      <c r="H1364" s="1">
        <v>44899</v>
      </c>
    </row>
    <row r="1365" spans="1:8">
      <c r="A1365" t="s">
        <v>2769</v>
      </c>
      <c r="B1365" t="s">
        <v>2770</v>
      </c>
      <c r="C1365" t="s">
        <v>10</v>
      </c>
      <c r="D1365">
        <v>68</v>
      </c>
      <c r="E1365" t="s">
        <v>87</v>
      </c>
      <c r="F1365" t="s">
        <v>88</v>
      </c>
      <c r="G1365" t="s">
        <v>78</v>
      </c>
      <c r="H1365" s="1">
        <v>44835</v>
      </c>
    </row>
    <row r="1366" spans="1:8">
      <c r="A1366" t="s">
        <v>2771</v>
      </c>
      <c r="B1366" t="s">
        <v>2772</v>
      </c>
      <c r="C1366" t="s">
        <v>10</v>
      </c>
      <c r="D1366">
        <v>19</v>
      </c>
      <c r="E1366" t="s">
        <v>128</v>
      </c>
      <c r="F1366" t="s">
        <v>129</v>
      </c>
      <c r="G1366" t="s">
        <v>78</v>
      </c>
      <c r="H1366" s="1">
        <v>45332</v>
      </c>
    </row>
    <row r="1367" spans="1:8">
      <c r="A1367" t="s">
        <v>2773</v>
      </c>
      <c r="B1367" t="s">
        <v>2774</v>
      </c>
      <c r="C1367" t="s">
        <v>10</v>
      </c>
      <c r="D1367">
        <v>29</v>
      </c>
      <c r="E1367" t="s">
        <v>87</v>
      </c>
      <c r="F1367" t="s">
        <v>88</v>
      </c>
      <c r="G1367" t="s">
        <v>78</v>
      </c>
      <c r="H1367" s="1">
        <v>44575</v>
      </c>
    </row>
    <row r="1368" spans="1:8">
      <c r="A1368" t="s">
        <v>2775</v>
      </c>
      <c r="B1368" t="s">
        <v>2776</v>
      </c>
      <c r="C1368" t="s">
        <v>31</v>
      </c>
      <c r="D1368">
        <v>62</v>
      </c>
      <c r="E1368" t="s">
        <v>128</v>
      </c>
      <c r="F1368" t="s">
        <v>129</v>
      </c>
      <c r="G1368" t="s">
        <v>78</v>
      </c>
      <c r="H1368" s="1">
        <v>45143</v>
      </c>
    </row>
    <row r="1369" spans="1:8">
      <c r="A1369" t="s">
        <v>2777</v>
      </c>
      <c r="B1369" t="s">
        <v>2778</v>
      </c>
      <c r="C1369" t="s">
        <v>10</v>
      </c>
      <c r="D1369">
        <v>31</v>
      </c>
      <c r="E1369" t="s">
        <v>69</v>
      </c>
      <c r="F1369" t="s">
        <v>69</v>
      </c>
      <c r="G1369" t="s">
        <v>12</v>
      </c>
      <c r="H1369" s="1">
        <v>45979</v>
      </c>
    </row>
    <row r="1370" spans="1:8">
      <c r="A1370" t="s">
        <v>2779</v>
      </c>
      <c r="B1370" t="s">
        <v>2780</v>
      </c>
      <c r="C1370" t="s">
        <v>31</v>
      </c>
      <c r="D1370">
        <v>44</v>
      </c>
      <c r="E1370" t="s">
        <v>45</v>
      </c>
      <c r="F1370" t="s">
        <v>46</v>
      </c>
      <c r="G1370" t="s">
        <v>17</v>
      </c>
      <c r="H1370" s="1">
        <v>45633</v>
      </c>
    </row>
    <row r="1371" spans="1:8">
      <c r="A1371" t="s">
        <v>2781</v>
      </c>
      <c r="B1371" t="s">
        <v>2782</v>
      </c>
      <c r="C1371" t="s">
        <v>10</v>
      </c>
      <c r="D1371">
        <v>56</v>
      </c>
      <c r="E1371" t="s">
        <v>34</v>
      </c>
      <c r="F1371" t="s">
        <v>16</v>
      </c>
      <c r="G1371" t="s">
        <v>17</v>
      </c>
      <c r="H1371" s="1">
        <v>45812</v>
      </c>
    </row>
    <row r="1372" spans="1:8">
      <c r="A1372" t="s">
        <v>2783</v>
      </c>
      <c r="B1372" t="s">
        <v>2784</v>
      </c>
      <c r="C1372" t="s">
        <v>10</v>
      </c>
      <c r="D1372">
        <v>58</v>
      </c>
      <c r="E1372" t="s">
        <v>41</v>
      </c>
      <c r="F1372" t="s">
        <v>42</v>
      </c>
      <c r="G1372" t="s">
        <v>17</v>
      </c>
      <c r="H1372" s="1">
        <v>45815</v>
      </c>
    </row>
    <row r="1373" spans="1:8">
      <c r="A1373" t="s">
        <v>2785</v>
      </c>
      <c r="B1373" t="s">
        <v>2786</v>
      </c>
      <c r="C1373" t="s">
        <v>31</v>
      </c>
      <c r="D1373">
        <v>18</v>
      </c>
      <c r="E1373" t="s">
        <v>91</v>
      </c>
      <c r="F1373" t="s">
        <v>92</v>
      </c>
      <c r="G1373" t="s">
        <v>78</v>
      </c>
      <c r="H1373" s="1">
        <v>45274</v>
      </c>
    </row>
    <row r="1374" spans="1:8">
      <c r="A1374" t="s">
        <v>2787</v>
      </c>
      <c r="B1374" t="s">
        <v>2788</v>
      </c>
      <c r="C1374" t="s">
        <v>10</v>
      </c>
      <c r="D1374">
        <v>57</v>
      </c>
      <c r="E1374" t="s">
        <v>101</v>
      </c>
      <c r="F1374" t="s">
        <v>21</v>
      </c>
      <c r="G1374" t="s">
        <v>22</v>
      </c>
      <c r="H1374" s="1">
        <v>44802</v>
      </c>
    </row>
    <row r="1375" spans="1:8">
      <c r="A1375" t="s">
        <v>2789</v>
      </c>
      <c r="B1375" t="s">
        <v>2790</v>
      </c>
      <c r="C1375" t="s">
        <v>10</v>
      </c>
      <c r="D1375">
        <v>47</v>
      </c>
      <c r="E1375" t="s">
        <v>60</v>
      </c>
      <c r="F1375" t="s">
        <v>21</v>
      </c>
      <c r="G1375" t="s">
        <v>22</v>
      </c>
      <c r="H1375" s="1">
        <v>45601</v>
      </c>
    </row>
    <row r="1376" spans="1:8">
      <c r="A1376" t="s">
        <v>2791</v>
      </c>
      <c r="B1376" t="s">
        <v>2792</v>
      </c>
      <c r="C1376" t="s">
        <v>10</v>
      </c>
      <c r="D1376">
        <v>30</v>
      </c>
      <c r="E1376" t="s">
        <v>63</v>
      </c>
      <c r="F1376" t="s">
        <v>64</v>
      </c>
      <c r="G1376" t="s">
        <v>12</v>
      </c>
      <c r="H1376" s="1">
        <v>45128</v>
      </c>
    </row>
    <row r="1377" spans="1:8">
      <c r="A1377" t="s">
        <v>2793</v>
      </c>
      <c r="B1377" t="s">
        <v>2794</v>
      </c>
      <c r="C1377" t="s">
        <v>31</v>
      </c>
      <c r="D1377">
        <v>49</v>
      </c>
      <c r="E1377" t="s">
        <v>34</v>
      </c>
      <c r="F1377" t="s">
        <v>16</v>
      </c>
      <c r="G1377" t="s">
        <v>17</v>
      </c>
      <c r="H1377" s="1">
        <v>45965</v>
      </c>
    </row>
    <row r="1378" spans="1:8">
      <c r="A1378" t="s">
        <v>2795</v>
      </c>
      <c r="B1378" t="s">
        <v>2796</v>
      </c>
      <c r="C1378" t="s">
        <v>31</v>
      </c>
      <c r="D1378">
        <v>36</v>
      </c>
      <c r="E1378" t="s">
        <v>15</v>
      </c>
      <c r="F1378" t="s">
        <v>16</v>
      </c>
      <c r="G1378" t="s">
        <v>17</v>
      </c>
      <c r="H1378" s="1">
        <v>44672</v>
      </c>
    </row>
    <row r="1379" spans="1:8">
      <c r="A1379" t="s">
        <v>2797</v>
      </c>
      <c r="B1379" t="s">
        <v>2798</v>
      </c>
      <c r="C1379" t="s">
        <v>31</v>
      </c>
      <c r="D1379">
        <v>20</v>
      </c>
      <c r="E1379" t="s">
        <v>45</v>
      </c>
      <c r="F1379" t="s">
        <v>46</v>
      </c>
      <c r="G1379" t="s">
        <v>17</v>
      </c>
      <c r="H1379" s="1">
        <v>45246</v>
      </c>
    </row>
    <row r="1380" spans="1:8">
      <c r="A1380" t="s">
        <v>2799</v>
      </c>
      <c r="B1380" t="s">
        <v>2800</v>
      </c>
      <c r="C1380" t="s">
        <v>10</v>
      </c>
      <c r="D1380">
        <v>28</v>
      </c>
      <c r="E1380" t="s">
        <v>15</v>
      </c>
      <c r="F1380" t="s">
        <v>16</v>
      </c>
      <c r="G1380" t="s">
        <v>17</v>
      </c>
      <c r="H1380" s="1">
        <v>45662</v>
      </c>
    </row>
    <row r="1381" spans="1:8">
      <c r="A1381" t="s">
        <v>2801</v>
      </c>
      <c r="B1381" t="s">
        <v>2802</v>
      </c>
      <c r="C1381" t="s">
        <v>10</v>
      </c>
      <c r="D1381">
        <v>22</v>
      </c>
      <c r="E1381" t="s">
        <v>69</v>
      </c>
      <c r="F1381" t="s">
        <v>69</v>
      </c>
      <c r="G1381" t="s">
        <v>12</v>
      </c>
      <c r="H1381" s="1">
        <v>45616</v>
      </c>
    </row>
    <row r="1382" spans="1:8">
      <c r="A1382" t="s">
        <v>2803</v>
      </c>
      <c r="B1382" t="s">
        <v>2804</v>
      </c>
      <c r="C1382" t="s">
        <v>31</v>
      </c>
      <c r="D1382">
        <v>44</v>
      </c>
      <c r="E1382" t="s">
        <v>112</v>
      </c>
      <c r="F1382" t="s">
        <v>113</v>
      </c>
      <c r="G1382" t="s">
        <v>78</v>
      </c>
      <c r="H1382" s="1">
        <v>45775</v>
      </c>
    </row>
    <row r="1383" spans="1:8">
      <c r="A1383" t="s">
        <v>2805</v>
      </c>
      <c r="B1383" t="s">
        <v>2806</v>
      </c>
      <c r="C1383" t="s">
        <v>10</v>
      </c>
      <c r="D1383">
        <v>38</v>
      </c>
      <c r="E1383" t="s">
        <v>45</v>
      </c>
      <c r="F1383" t="s">
        <v>46</v>
      </c>
      <c r="G1383" t="s">
        <v>17</v>
      </c>
      <c r="H1383" s="1">
        <v>45033</v>
      </c>
    </row>
    <row r="1384" spans="1:8">
      <c r="A1384" t="s">
        <v>2807</v>
      </c>
      <c r="B1384" t="s">
        <v>2808</v>
      </c>
      <c r="C1384" t="s">
        <v>10</v>
      </c>
      <c r="D1384">
        <v>42</v>
      </c>
      <c r="E1384" t="s">
        <v>34</v>
      </c>
      <c r="F1384" t="s">
        <v>16</v>
      </c>
      <c r="G1384" t="s">
        <v>17</v>
      </c>
      <c r="H1384" s="1">
        <v>45406</v>
      </c>
    </row>
    <row r="1385" spans="1:8">
      <c r="A1385" t="s">
        <v>2809</v>
      </c>
      <c r="B1385" t="s">
        <v>2810</v>
      </c>
      <c r="C1385" t="s">
        <v>31</v>
      </c>
      <c r="D1385">
        <v>21</v>
      </c>
      <c r="E1385" t="s">
        <v>87</v>
      </c>
      <c r="F1385" t="s">
        <v>88</v>
      </c>
      <c r="G1385" t="s">
        <v>78</v>
      </c>
      <c r="H1385" s="1">
        <v>45526</v>
      </c>
    </row>
    <row r="1386" spans="1:8">
      <c r="A1386" t="s">
        <v>2811</v>
      </c>
      <c r="B1386" t="s">
        <v>2812</v>
      </c>
      <c r="C1386" t="s">
        <v>31</v>
      </c>
      <c r="D1386">
        <v>29</v>
      </c>
      <c r="E1386" t="s">
        <v>76</v>
      </c>
      <c r="F1386" t="s">
        <v>77</v>
      </c>
      <c r="G1386" t="s">
        <v>78</v>
      </c>
      <c r="H1386" s="1">
        <v>45004</v>
      </c>
    </row>
    <row r="1387" spans="1:8">
      <c r="A1387" t="s">
        <v>2813</v>
      </c>
      <c r="B1387" t="s">
        <v>2814</v>
      </c>
      <c r="C1387" t="s">
        <v>10</v>
      </c>
      <c r="D1387">
        <v>58</v>
      </c>
      <c r="E1387" t="s">
        <v>101</v>
      </c>
      <c r="F1387" t="s">
        <v>21</v>
      </c>
      <c r="G1387" t="s">
        <v>22</v>
      </c>
      <c r="H1387" s="1">
        <v>45499</v>
      </c>
    </row>
    <row r="1388" spans="1:8">
      <c r="A1388" t="s">
        <v>2815</v>
      </c>
      <c r="B1388" t="s">
        <v>2816</v>
      </c>
      <c r="C1388" t="s">
        <v>31</v>
      </c>
      <c r="D1388">
        <v>26</v>
      </c>
      <c r="E1388" t="s">
        <v>37</v>
      </c>
      <c r="F1388" t="s">
        <v>38</v>
      </c>
      <c r="G1388" t="s">
        <v>22</v>
      </c>
      <c r="H1388" s="1">
        <v>44976</v>
      </c>
    </row>
    <row r="1389" spans="1:8">
      <c r="A1389" t="s">
        <v>2817</v>
      </c>
      <c r="B1389" t="s">
        <v>2818</v>
      </c>
      <c r="C1389" t="s">
        <v>31</v>
      </c>
      <c r="D1389">
        <v>26</v>
      </c>
      <c r="E1389" t="s">
        <v>218</v>
      </c>
      <c r="F1389" t="s">
        <v>219</v>
      </c>
      <c r="G1389" t="s">
        <v>17</v>
      </c>
      <c r="H1389" s="1">
        <v>44684</v>
      </c>
    </row>
    <row r="1390" spans="1:8">
      <c r="A1390" t="s">
        <v>2819</v>
      </c>
      <c r="B1390" t="s">
        <v>2820</v>
      </c>
      <c r="C1390" t="s">
        <v>31</v>
      </c>
      <c r="D1390">
        <v>28</v>
      </c>
      <c r="E1390" t="s">
        <v>41</v>
      </c>
      <c r="F1390" t="s">
        <v>42</v>
      </c>
      <c r="G1390" t="s">
        <v>17</v>
      </c>
      <c r="H1390" s="1">
        <v>45501</v>
      </c>
    </row>
    <row r="1391" spans="1:8">
      <c r="A1391" t="s">
        <v>2821</v>
      </c>
      <c r="B1391" t="s">
        <v>2822</v>
      </c>
      <c r="C1391" t="s">
        <v>10</v>
      </c>
      <c r="D1391">
        <v>68</v>
      </c>
      <c r="E1391" t="s">
        <v>63</v>
      </c>
      <c r="F1391" t="s">
        <v>64</v>
      </c>
      <c r="G1391" t="s">
        <v>12</v>
      </c>
      <c r="H1391" s="1">
        <v>45166</v>
      </c>
    </row>
    <row r="1392" spans="1:8">
      <c r="A1392" t="s">
        <v>2823</v>
      </c>
      <c r="B1392" t="s">
        <v>2824</v>
      </c>
      <c r="C1392" t="s">
        <v>10</v>
      </c>
      <c r="D1392">
        <v>23</v>
      </c>
      <c r="E1392" t="s">
        <v>27</v>
      </c>
      <c r="F1392" t="s">
        <v>28</v>
      </c>
      <c r="G1392" t="s">
        <v>12</v>
      </c>
      <c r="H1392" s="1">
        <v>44910</v>
      </c>
    </row>
    <row r="1393" spans="1:8">
      <c r="A1393" t="s">
        <v>2825</v>
      </c>
      <c r="B1393" t="s">
        <v>2826</v>
      </c>
      <c r="C1393" t="s">
        <v>10</v>
      </c>
      <c r="D1393">
        <v>55</v>
      </c>
      <c r="E1393" t="s">
        <v>60</v>
      </c>
      <c r="F1393" t="s">
        <v>21</v>
      </c>
      <c r="G1393" t="s">
        <v>22</v>
      </c>
      <c r="H1393" s="1">
        <v>45563</v>
      </c>
    </row>
    <row r="1394" spans="1:8">
      <c r="A1394" t="s">
        <v>2827</v>
      </c>
      <c r="B1394" t="s">
        <v>2828</v>
      </c>
      <c r="C1394" t="s">
        <v>10</v>
      </c>
      <c r="D1394">
        <v>64</v>
      </c>
      <c r="E1394" t="s">
        <v>149</v>
      </c>
      <c r="F1394" t="s">
        <v>38</v>
      </c>
      <c r="G1394" t="s">
        <v>22</v>
      </c>
      <c r="H1394" s="1">
        <v>45133</v>
      </c>
    </row>
    <row r="1395" spans="1:8">
      <c r="A1395" t="s">
        <v>2829</v>
      </c>
      <c r="B1395" t="s">
        <v>2830</v>
      </c>
      <c r="C1395" t="s">
        <v>31</v>
      </c>
      <c r="D1395">
        <v>45</v>
      </c>
      <c r="E1395" t="s">
        <v>101</v>
      </c>
      <c r="F1395" t="s">
        <v>21</v>
      </c>
      <c r="G1395" t="s">
        <v>22</v>
      </c>
      <c r="H1395" s="1">
        <v>45069</v>
      </c>
    </row>
    <row r="1396" spans="1:8">
      <c r="A1396" t="s">
        <v>2831</v>
      </c>
      <c r="B1396" t="s">
        <v>2832</v>
      </c>
      <c r="C1396" t="s">
        <v>10</v>
      </c>
      <c r="D1396">
        <v>44</v>
      </c>
      <c r="E1396" t="s">
        <v>60</v>
      </c>
      <c r="F1396" t="s">
        <v>21</v>
      </c>
      <c r="G1396" t="s">
        <v>22</v>
      </c>
      <c r="H1396" s="1">
        <v>44867</v>
      </c>
    </row>
    <row r="1397" spans="1:8">
      <c r="A1397" t="s">
        <v>2833</v>
      </c>
      <c r="B1397" t="s">
        <v>2834</v>
      </c>
      <c r="C1397" t="s">
        <v>10</v>
      </c>
      <c r="D1397">
        <v>45</v>
      </c>
      <c r="E1397" t="s">
        <v>87</v>
      </c>
      <c r="F1397" t="s">
        <v>88</v>
      </c>
      <c r="G1397" t="s">
        <v>78</v>
      </c>
      <c r="H1397" s="1">
        <v>45525</v>
      </c>
    </row>
    <row r="1398" spans="1:8">
      <c r="A1398" t="s">
        <v>2835</v>
      </c>
      <c r="B1398" t="s">
        <v>2836</v>
      </c>
      <c r="C1398" t="s">
        <v>10</v>
      </c>
      <c r="D1398">
        <v>46</v>
      </c>
      <c r="E1398" t="s">
        <v>149</v>
      </c>
      <c r="F1398" t="s">
        <v>38</v>
      </c>
      <c r="G1398" t="s">
        <v>22</v>
      </c>
      <c r="H1398" s="1">
        <v>45988</v>
      </c>
    </row>
    <row r="1399" spans="1:8">
      <c r="A1399" t="s">
        <v>2837</v>
      </c>
      <c r="B1399" t="s">
        <v>2838</v>
      </c>
      <c r="C1399" t="s">
        <v>10</v>
      </c>
      <c r="D1399">
        <v>62</v>
      </c>
      <c r="E1399" t="s">
        <v>20</v>
      </c>
      <c r="F1399" t="s">
        <v>21</v>
      </c>
      <c r="G1399" t="s">
        <v>22</v>
      </c>
      <c r="H1399" s="1">
        <v>45705</v>
      </c>
    </row>
    <row r="1400" spans="1:8">
      <c r="A1400" t="s">
        <v>2839</v>
      </c>
      <c r="B1400" t="s">
        <v>2840</v>
      </c>
      <c r="C1400" t="s">
        <v>31</v>
      </c>
      <c r="D1400">
        <v>36</v>
      </c>
      <c r="E1400" t="s">
        <v>63</v>
      </c>
      <c r="F1400" t="s">
        <v>64</v>
      </c>
      <c r="G1400" t="s">
        <v>12</v>
      </c>
      <c r="H1400" s="1">
        <v>44833</v>
      </c>
    </row>
    <row r="1401" spans="1:8">
      <c r="A1401" t="s">
        <v>2841</v>
      </c>
      <c r="B1401" t="s">
        <v>2842</v>
      </c>
      <c r="C1401" t="s">
        <v>31</v>
      </c>
      <c r="D1401">
        <v>60</v>
      </c>
      <c r="E1401" t="s">
        <v>15</v>
      </c>
      <c r="F1401" t="s">
        <v>16</v>
      </c>
      <c r="G1401" t="s">
        <v>17</v>
      </c>
      <c r="H1401" s="1">
        <v>44594</v>
      </c>
    </row>
    <row r="1402" spans="1:8">
      <c r="A1402" t="s">
        <v>2843</v>
      </c>
      <c r="B1402" t="s">
        <v>2844</v>
      </c>
      <c r="C1402" t="s">
        <v>10</v>
      </c>
      <c r="D1402">
        <v>47</v>
      </c>
      <c r="E1402" t="s">
        <v>149</v>
      </c>
      <c r="F1402" t="s">
        <v>38</v>
      </c>
      <c r="G1402" t="s">
        <v>22</v>
      </c>
      <c r="H1402" s="1">
        <v>45730</v>
      </c>
    </row>
    <row r="1403" spans="1:8">
      <c r="A1403" t="s">
        <v>2845</v>
      </c>
      <c r="B1403" t="s">
        <v>2846</v>
      </c>
      <c r="C1403" t="s">
        <v>31</v>
      </c>
      <c r="D1403">
        <v>29</v>
      </c>
      <c r="E1403" t="s">
        <v>101</v>
      </c>
      <c r="F1403" t="s">
        <v>21</v>
      </c>
      <c r="G1403" t="s">
        <v>22</v>
      </c>
      <c r="H1403" s="1">
        <v>46002</v>
      </c>
    </row>
    <row r="1404" spans="1:8">
      <c r="A1404" t="s">
        <v>2847</v>
      </c>
      <c r="B1404" t="s">
        <v>2848</v>
      </c>
      <c r="C1404" t="s">
        <v>31</v>
      </c>
      <c r="D1404">
        <v>63</v>
      </c>
      <c r="E1404" t="s">
        <v>134</v>
      </c>
      <c r="F1404" t="s">
        <v>28</v>
      </c>
      <c r="G1404" t="s">
        <v>12</v>
      </c>
      <c r="H1404" s="1">
        <v>45845</v>
      </c>
    </row>
    <row r="1405" spans="1:8">
      <c r="A1405" t="s">
        <v>2849</v>
      </c>
      <c r="B1405" t="s">
        <v>2850</v>
      </c>
      <c r="C1405" t="s">
        <v>31</v>
      </c>
      <c r="D1405">
        <v>51</v>
      </c>
      <c r="E1405" t="s">
        <v>11</v>
      </c>
      <c r="F1405" t="s">
        <v>11</v>
      </c>
      <c r="G1405" t="s">
        <v>12</v>
      </c>
      <c r="H1405" s="1">
        <v>45350</v>
      </c>
    </row>
    <row r="1406" spans="1:8">
      <c r="A1406" t="s">
        <v>2851</v>
      </c>
      <c r="B1406" t="s">
        <v>2852</v>
      </c>
      <c r="C1406" t="s">
        <v>10</v>
      </c>
      <c r="D1406">
        <v>68</v>
      </c>
      <c r="E1406" t="s">
        <v>41</v>
      </c>
      <c r="F1406" t="s">
        <v>42</v>
      </c>
      <c r="G1406" t="s">
        <v>17</v>
      </c>
      <c r="H1406" s="1">
        <v>45114</v>
      </c>
    </row>
    <row r="1407" spans="1:8">
      <c r="A1407" t="s">
        <v>2853</v>
      </c>
      <c r="B1407" t="s">
        <v>2854</v>
      </c>
      <c r="C1407" t="s">
        <v>10</v>
      </c>
      <c r="D1407">
        <v>50</v>
      </c>
      <c r="E1407" t="s">
        <v>27</v>
      </c>
      <c r="F1407" t="s">
        <v>28</v>
      </c>
      <c r="G1407" t="s">
        <v>12</v>
      </c>
      <c r="H1407" s="1">
        <v>45249</v>
      </c>
    </row>
    <row r="1408" spans="1:8">
      <c r="A1408" t="s">
        <v>2855</v>
      </c>
      <c r="B1408" t="s">
        <v>2856</v>
      </c>
      <c r="C1408" t="s">
        <v>10</v>
      </c>
      <c r="D1408">
        <v>42</v>
      </c>
      <c r="E1408" t="s">
        <v>91</v>
      </c>
      <c r="F1408" t="s">
        <v>92</v>
      </c>
      <c r="G1408" t="s">
        <v>78</v>
      </c>
      <c r="H1408" s="1">
        <v>44667</v>
      </c>
    </row>
    <row r="1409" spans="1:8">
      <c r="A1409" t="s">
        <v>2857</v>
      </c>
      <c r="B1409" t="s">
        <v>2858</v>
      </c>
      <c r="C1409" t="s">
        <v>31</v>
      </c>
      <c r="D1409">
        <v>41</v>
      </c>
      <c r="E1409" t="s">
        <v>60</v>
      </c>
      <c r="F1409" t="s">
        <v>21</v>
      </c>
      <c r="G1409" t="s">
        <v>22</v>
      </c>
      <c r="H1409" s="1">
        <v>44645</v>
      </c>
    </row>
    <row r="1410" spans="1:8">
      <c r="A1410" t="s">
        <v>2859</v>
      </c>
      <c r="B1410" t="s">
        <v>2860</v>
      </c>
      <c r="C1410" t="s">
        <v>10</v>
      </c>
      <c r="D1410">
        <v>53</v>
      </c>
      <c r="E1410" t="s">
        <v>218</v>
      </c>
      <c r="F1410" t="s">
        <v>219</v>
      </c>
      <c r="G1410" t="s">
        <v>17</v>
      </c>
      <c r="H1410" s="1">
        <v>46005</v>
      </c>
    </row>
    <row r="1411" spans="1:8">
      <c r="A1411" t="s">
        <v>2861</v>
      </c>
      <c r="B1411" t="s">
        <v>2862</v>
      </c>
      <c r="C1411" t="s">
        <v>31</v>
      </c>
      <c r="D1411">
        <v>33</v>
      </c>
      <c r="E1411" t="s">
        <v>63</v>
      </c>
      <c r="F1411" t="s">
        <v>64</v>
      </c>
      <c r="G1411" t="s">
        <v>12</v>
      </c>
      <c r="H1411" s="1">
        <v>44845</v>
      </c>
    </row>
    <row r="1412" spans="1:8">
      <c r="A1412" t="s">
        <v>2863</v>
      </c>
      <c r="B1412" t="s">
        <v>2864</v>
      </c>
      <c r="C1412" t="s">
        <v>10</v>
      </c>
      <c r="D1412">
        <v>66</v>
      </c>
      <c r="E1412" t="s">
        <v>149</v>
      </c>
      <c r="F1412" t="s">
        <v>38</v>
      </c>
      <c r="G1412" t="s">
        <v>22</v>
      </c>
      <c r="H1412" s="1">
        <v>45750</v>
      </c>
    </row>
    <row r="1413" spans="1:8">
      <c r="A1413" t="s">
        <v>2865</v>
      </c>
      <c r="B1413" t="s">
        <v>2866</v>
      </c>
      <c r="C1413" t="s">
        <v>31</v>
      </c>
      <c r="D1413">
        <v>35</v>
      </c>
      <c r="E1413" t="s">
        <v>63</v>
      </c>
      <c r="F1413" t="s">
        <v>64</v>
      </c>
      <c r="G1413" t="s">
        <v>12</v>
      </c>
      <c r="H1413" s="1">
        <v>45218</v>
      </c>
    </row>
    <row r="1414" spans="1:8">
      <c r="A1414" t="s">
        <v>2867</v>
      </c>
      <c r="B1414" t="s">
        <v>2868</v>
      </c>
      <c r="C1414" t="s">
        <v>10</v>
      </c>
      <c r="D1414">
        <v>22</v>
      </c>
      <c r="E1414" t="s">
        <v>149</v>
      </c>
      <c r="F1414" t="s">
        <v>38</v>
      </c>
      <c r="G1414" t="s">
        <v>22</v>
      </c>
      <c r="H1414" s="1">
        <v>45129</v>
      </c>
    </row>
    <row r="1415" spans="1:8">
      <c r="A1415" t="s">
        <v>2869</v>
      </c>
      <c r="B1415" t="s">
        <v>2870</v>
      </c>
      <c r="C1415" t="s">
        <v>10</v>
      </c>
      <c r="D1415">
        <v>48</v>
      </c>
      <c r="E1415" t="s">
        <v>149</v>
      </c>
      <c r="F1415" t="s">
        <v>38</v>
      </c>
      <c r="G1415" t="s">
        <v>22</v>
      </c>
      <c r="H1415" s="1">
        <v>45557</v>
      </c>
    </row>
    <row r="1416" spans="1:8">
      <c r="A1416" t="s">
        <v>2871</v>
      </c>
      <c r="B1416" t="s">
        <v>2872</v>
      </c>
      <c r="C1416" t="s">
        <v>31</v>
      </c>
      <c r="D1416">
        <v>57</v>
      </c>
      <c r="E1416" t="s">
        <v>27</v>
      </c>
      <c r="F1416" t="s">
        <v>28</v>
      </c>
      <c r="G1416" t="s">
        <v>12</v>
      </c>
      <c r="H1416" s="1">
        <v>45160</v>
      </c>
    </row>
    <row r="1417" spans="1:8">
      <c r="A1417" t="s">
        <v>2873</v>
      </c>
      <c r="B1417" t="s">
        <v>2874</v>
      </c>
      <c r="C1417" t="s">
        <v>31</v>
      </c>
      <c r="D1417">
        <v>23</v>
      </c>
      <c r="E1417" t="s">
        <v>20</v>
      </c>
      <c r="F1417" t="s">
        <v>21</v>
      </c>
      <c r="G1417" t="s">
        <v>22</v>
      </c>
      <c r="H1417" s="1">
        <v>44947</v>
      </c>
    </row>
    <row r="1418" spans="1:8">
      <c r="A1418" t="s">
        <v>2875</v>
      </c>
      <c r="B1418" t="s">
        <v>2876</v>
      </c>
      <c r="C1418" t="s">
        <v>10</v>
      </c>
      <c r="D1418">
        <v>24</v>
      </c>
      <c r="E1418" t="s">
        <v>34</v>
      </c>
      <c r="F1418" t="s">
        <v>16</v>
      </c>
      <c r="G1418" t="s">
        <v>17</v>
      </c>
      <c r="H1418" s="1">
        <v>45152</v>
      </c>
    </row>
    <row r="1419" spans="1:8">
      <c r="A1419" t="s">
        <v>2877</v>
      </c>
      <c r="B1419" t="s">
        <v>2878</v>
      </c>
      <c r="C1419" t="s">
        <v>10</v>
      </c>
      <c r="D1419">
        <v>49</v>
      </c>
      <c r="E1419" t="s">
        <v>15</v>
      </c>
      <c r="F1419" t="s">
        <v>16</v>
      </c>
      <c r="G1419" t="s">
        <v>17</v>
      </c>
      <c r="H1419" s="1">
        <v>45989</v>
      </c>
    </row>
    <row r="1420" spans="1:8">
      <c r="A1420" t="s">
        <v>2879</v>
      </c>
      <c r="B1420" t="s">
        <v>2880</v>
      </c>
      <c r="C1420" t="s">
        <v>10</v>
      </c>
      <c r="D1420">
        <v>36</v>
      </c>
      <c r="E1420" t="s">
        <v>34</v>
      </c>
      <c r="F1420" t="s">
        <v>16</v>
      </c>
      <c r="G1420" t="s">
        <v>17</v>
      </c>
      <c r="H1420" s="1">
        <v>45628</v>
      </c>
    </row>
    <row r="1421" spans="1:8">
      <c r="A1421" t="s">
        <v>2881</v>
      </c>
      <c r="B1421" t="s">
        <v>2882</v>
      </c>
      <c r="C1421" t="s">
        <v>31</v>
      </c>
      <c r="D1421">
        <v>40</v>
      </c>
      <c r="E1421" t="s">
        <v>60</v>
      </c>
      <c r="F1421" t="s">
        <v>21</v>
      </c>
      <c r="G1421" t="s">
        <v>22</v>
      </c>
      <c r="H1421" s="1">
        <v>44832</v>
      </c>
    </row>
    <row r="1422" spans="1:8">
      <c r="A1422" t="s">
        <v>2883</v>
      </c>
      <c r="B1422" t="s">
        <v>2884</v>
      </c>
      <c r="C1422" t="s">
        <v>10</v>
      </c>
      <c r="D1422">
        <v>22</v>
      </c>
      <c r="E1422" t="s">
        <v>20</v>
      </c>
      <c r="F1422" t="s">
        <v>21</v>
      </c>
      <c r="G1422" t="s">
        <v>22</v>
      </c>
      <c r="H1422" s="1">
        <v>45159</v>
      </c>
    </row>
    <row r="1423" spans="1:8">
      <c r="A1423" t="s">
        <v>2885</v>
      </c>
      <c r="B1423" t="s">
        <v>2886</v>
      </c>
      <c r="C1423" t="s">
        <v>31</v>
      </c>
      <c r="D1423">
        <v>44</v>
      </c>
      <c r="E1423" t="s">
        <v>34</v>
      </c>
      <c r="F1423" t="s">
        <v>16</v>
      </c>
      <c r="G1423" t="s">
        <v>17</v>
      </c>
      <c r="H1423" s="1">
        <v>45626</v>
      </c>
    </row>
    <row r="1424" spans="1:8">
      <c r="A1424" t="s">
        <v>2887</v>
      </c>
      <c r="B1424" t="s">
        <v>2888</v>
      </c>
      <c r="C1424" t="s">
        <v>31</v>
      </c>
      <c r="D1424">
        <v>47</v>
      </c>
      <c r="E1424" t="s">
        <v>37</v>
      </c>
      <c r="F1424" t="s">
        <v>38</v>
      </c>
      <c r="G1424" t="s">
        <v>22</v>
      </c>
      <c r="H1424" s="1">
        <v>45557</v>
      </c>
    </row>
    <row r="1425" spans="1:8">
      <c r="A1425" t="s">
        <v>2889</v>
      </c>
      <c r="B1425" t="s">
        <v>2890</v>
      </c>
      <c r="C1425" t="s">
        <v>10</v>
      </c>
      <c r="D1425">
        <v>68</v>
      </c>
      <c r="E1425" t="s">
        <v>101</v>
      </c>
      <c r="F1425" t="s">
        <v>21</v>
      </c>
      <c r="G1425" t="s">
        <v>22</v>
      </c>
      <c r="H1425" s="1">
        <v>45189</v>
      </c>
    </row>
    <row r="1426" spans="1:8">
      <c r="A1426" t="s">
        <v>2891</v>
      </c>
      <c r="B1426" t="s">
        <v>2892</v>
      </c>
      <c r="C1426" t="s">
        <v>31</v>
      </c>
      <c r="D1426">
        <v>67</v>
      </c>
      <c r="E1426" t="s">
        <v>41</v>
      </c>
      <c r="F1426" t="s">
        <v>42</v>
      </c>
      <c r="G1426" t="s">
        <v>17</v>
      </c>
      <c r="H1426" s="1">
        <v>45323</v>
      </c>
    </row>
    <row r="1427" spans="1:8">
      <c r="A1427" t="s">
        <v>2893</v>
      </c>
      <c r="B1427" t="s">
        <v>2894</v>
      </c>
      <c r="C1427" t="s">
        <v>31</v>
      </c>
      <c r="D1427">
        <v>47</v>
      </c>
      <c r="E1427" t="s">
        <v>76</v>
      </c>
      <c r="F1427" t="s">
        <v>77</v>
      </c>
      <c r="G1427" t="s">
        <v>78</v>
      </c>
      <c r="H1427" s="1">
        <v>45285</v>
      </c>
    </row>
    <row r="1428" spans="1:8">
      <c r="A1428" t="s">
        <v>2895</v>
      </c>
      <c r="B1428" t="s">
        <v>2896</v>
      </c>
      <c r="C1428" t="s">
        <v>31</v>
      </c>
      <c r="D1428">
        <v>29</v>
      </c>
      <c r="E1428" t="s">
        <v>128</v>
      </c>
      <c r="F1428" t="s">
        <v>129</v>
      </c>
      <c r="G1428" t="s">
        <v>78</v>
      </c>
      <c r="H1428" s="1">
        <v>44891</v>
      </c>
    </row>
    <row r="1429" spans="1:8">
      <c r="A1429" t="s">
        <v>2897</v>
      </c>
      <c r="B1429" t="s">
        <v>2898</v>
      </c>
      <c r="C1429" t="s">
        <v>10</v>
      </c>
      <c r="D1429">
        <v>25</v>
      </c>
      <c r="E1429" t="s">
        <v>76</v>
      </c>
      <c r="F1429" t="s">
        <v>77</v>
      </c>
      <c r="G1429" t="s">
        <v>78</v>
      </c>
      <c r="H1429" s="1">
        <v>44892</v>
      </c>
    </row>
    <row r="1430" spans="1:8">
      <c r="A1430" t="s">
        <v>2899</v>
      </c>
      <c r="B1430" t="s">
        <v>2900</v>
      </c>
      <c r="C1430" t="s">
        <v>10</v>
      </c>
      <c r="D1430">
        <v>46</v>
      </c>
      <c r="E1430" t="s">
        <v>45</v>
      </c>
      <c r="F1430" t="s">
        <v>46</v>
      </c>
      <c r="G1430" t="s">
        <v>17</v>
      </c>
      <c r="H1430" s="1">
        <v>45738</v>
      </c>
    </row>
    <row r="1431" spans="1:8">
      <c r="A1431" t="s">
        <v>2901</v>
      </c>
      <c r="B1431" t="s">
        <v>2902</v>
      </c>
      <c r="C1431" t="s">
        <v>10</v>
      </c>
      <c r="D1431">
        <v>60</v>
      </c>
      <c r="E1431" t="s">
        <v>34</v>
      </c>
      <c r="F1431" t="s">
        <v>16</v>
      </c>
      <c r="G1431" t="s">
        <v>17</v>
      </c>
      <c r="H1431" s="1">
        <v>44982</v>
      </c>
    </row>
    <row r="1432" spans="1:8">
      <c r="A1432" t="s">
        <v>2903</v>
      </c>
      <c r="B1432" t="s">
        <v>2904</v>
      </c>
      <c r="C1432" t="s">
        <v>31</v>
      </c>
      <c r="D1432">
        <v>46</v>
      </c>
      <c r="E1432" t="s">
        <v>37</v>
      </c>
      <c r="F1432" t="s">
        <v>38</v>
      </c>
      <c r="G1432" t="s">
        <v>22</v>
      </c>
      <c r="H1432" s="1">
        <v>44864</v>
      </c>
    </row>
    <row r="1433" spans="1:8">
      <c r="A1433" t="s">
        <v>2905</v>
      </c>
      <c r="B1433" t="s">
        <v>2906</v>
      </c>
      <c r="C1433" t="s">
        <v>31</v>
      </c>
      <c r="D1433">
        <v>25</v>
      </c>
      <c r="E1433" t="s">
        <v>101</v>
      </c>
      <c r="F1433" t="s">
        <v>21</v>
      </c>
      <c r="G1433" t="s">
        <v>22</v>
      </c>
      <c r="H1433" s="1">
        <v>45654</v>
      </c>
    </row>
    <row r="1434" spans="1:8">
      <c r="A1434" t="s">
        <v>2907</v>
      </c>
      <c r="B1434" t="s">
        <v>2908</v>
      </c>
      <c r="C1434" t="s">
        <v>10</v>
      </c>
      <c r="D1434">
        <v>47</v>
      </c>
      <c r="E1434" t="s">
        <v>112</v>
      </c>
      <c r="F1434" t="s">
        <v>113</v>
      </c>
      <c r="G1434" t="s">
        <v>78</v>
      </c>
      <c r="H1434" s="1">
        <v>45584</v>
      </c>
    </row>
    <row r="1435" spans="1:8">
      <c r="A1435" t="s">
        <v>2909</v>
      </c>
      <c r="B1435" t="s">
        <v>2910</v>
      </c>
      <c r="C1435" t="s">
        <v>31</v>
      </c>
      <c r="D1435">
        <v>59</v>
      </c>
      <c r="E1435" t="s">
        <v>76</v>
      </c>
      <c r="F1435" t="s">
        <v>77</v>
      </c>
      <c r="G1435" t="s">
        <v>78</v>
      </c>
      <c r="H1435" s="1">
        <v>44570</v>
      </c>
    </row>
    <row r="1436" spans="1:8">
      <c r="A1436" t="s">
        <v>2911</v>
      </c>
      <c r="B1436" t="s">
        <v>2912</v>
      </c>
      <c r="C1436" t="s">
        <v>10</v>
      </c>
      <c r="D1436">
        <v>69</v>
      </c>
      <c r="E1436" t="s">
        <v>69</v>
      </c>
      <c r="F1436" t="s">
        <v>69</v>
      </c>
      <c r="G1436" t="s">
        <v>12</v>
      </c>
      <c r="H1436" s="1">
        <v>45155</v>
      </c>
    </row>
    <row r="1437" spans="1:8">
      <c r="A1437" t="s">
        <v>2913</v>
      </c>
      <c r="B1437" t="s">
        <v>2914</v>
      </c>
      <c r="C1437" t="s">
        <v>10</v>
      </c>
      <c r="D1437">
        <v>64</v>
      </c>
      <c r="E1437" t="s">
        <v>149</v>
      </c>
      <c r="F1437" t="s">
        <v>38</v>
      </c>
      <c r="G1437" t="s">
        <v>22</v>
      </c>
      <c r="H1437" s="1">
        <v>45255</v>
      </c>
    </row>
    <row r="1438" spans="1:8">
      <c r="A1438" t="s">
        <v>2915</v>
      </c>
      <c r="B1438" t="s">
        <v>2916</v>
      </c>
      <c r="C1438" t="s">
        <v>10</v>
      </c>
      <c r="D1438">
        <v>37</v>
      </c>
      <c r="E1438" t="s">
        <v>20</v>
      </c>
      <c r="F1438" t="s">
        <v>21</v>
      </c>
      <c r="G1438" t="s">
        <v>22</v>
      </c>
      <c r="H1438" s="1">
        <v>44847</v>
      </c>
    </row>
    <row r="1439" spans="1:8">
      <c r="A1439" t="s">
        <v>2917</v>
      </c>
      <c r="B1439" t="s">
        <v>2918</v>
      </c>
      <c r="C1439" t="s">
        <v>31</v>
      </c>
      <c r="D1439">
        <v>40</v>
      </c>
      <c r="E1439" t="s">
        <v>218</v>
      </c>
      <c r="F1439" t="s">
        <v>219</v>
      </c>
      <c r="G1439" t="s">
        <v>17</v>
      </c>
      <c r="H1439" s="1">
        <v>45013</v>
      </c>
    </row>
    <row r="1440" spans="1:8">
      <c r="A1440" t="s">
        <v>2919</v>
      </c>
      <c r="B1440" t="s">
        <v>2920</v>
      </c>
      <c r="C1440" t="s">
        <v>10</v>
      </c>
      <c r="D1440">
        <v>55</v>
      </c>
      <c r="E1440" t="s">
        <v>15</v>
      </c>
      <c r="F1440" t="s">
        <v>16</v>
      </c>
      <c r="G1440" t="s">
        <v>17</v>
      </c>
      <c r="H1440" s="1">
        <v>45807</v>
      </c>
    </row>
    <row r="1441" spans="1:8">
      <c r="A1441" t="s">
        <v>2921</v>
      </c>
      <c r="B1441" t="s">
        <v>2922</v>
      </c>
      <c r="C1441" t="s">
        <v>10</v>
      </c>
      <c r="D1441">
        <v>23</v>
      </c>
      <c r="E1441" t="s">
        <v>37</v>
      </c>
      <c r="F1441" t="s">
        <v>38</v>
      </c>
      <c r="G1441" t="s">
        <v>22</v>
      </c>
      <c r="H1441" s="1">
        <v>44962</v>
      </c>
    </row>
    <row r="1442" spans="1:8">
      <c r="A1442" t="s">
        <v>2923</v>
      </c>
      <c r="B1442" t="s">
        <v>2924</v>
      </c>
      <c r="C1442" t="s">
        <v>10</v>
      </c>
      <c r="D1442">
        <v>50</v>
      </c>
      <c r="E1442" t="s">
        <v>149</v>
      </c>
      <c r="F1442" t="s">
        <v>38</v>
      </c>
      <c r="G1442" t="s">
        <v>22</v>
      </c>
      <c r="H1442" s="1">
        <v>45948</v>
      </c>
    </row>
    <row r="1443" spans="1:8">
      <c r="A1443" t="s">
        <v>2925</v>
      </c>
      <c r="B1443" t="s">
        <v>2926</v>
      </c>
      <c r="C1443" t="s">
        <v>10</v>
      </c>
      <c r="D1443">
        <v>60</v>
      </c>
      <c r="E1443" t="s">
        <v>149</v>
      </c>
      <c r="F1443" t="s">
        <v>38</v>
      </c>
      <c r="G1443" t="s">
        <v>22</v>
      </c>
      <c r="H1443" s="1">
        <v>45212</v>
      </c>
    </row>
    <row r="1444" spans="1:8">
      <c r="A1444" t="s">
        <v>2927</v>
      </c>
      <c r="B1444" t="s">
        <v>2928</v>
      </c>
      <c r="C1444" t="s">
        <v>31</v>
      </c>
      <c r="D1444">
        <v>42</v>
      </c>
      <c r="E1444" t="s">
        <v>101</v>
      </c>
      <c r="F1444" t="s">
        <v>21</v>
      </c>
      <c r="G1444" t="s">
        <v>22</v>
      </c>
      <c r="H1444" s="1">
        <v>45437</v>
      </c>
    </row>
    <row r="1445" spans="1:8">
      <c r="A1445" t="s">
        <v>2929</v>
      </c>
      <c r="B1445" t="s">
        <v>2930</v>
      </c>
      <c r="C1445" t="s">
        <v>31</v>
      </c>
      <c r="D1445">
        <v>37</v>
      </c>
      <c r="E1445" t="s">
        <v>37</v>
      </c>
      <c r="F1445" t="s">
        <v>38</v>
      </c>
      <c r="G1445" t="s">
        <v>22</v>
      </c>
      <c r="H1445" s="1">
        <v>45268</v>
      </c>
    </row>
    <row r="1446" spans="1:8">
      <c r="A1446" t="s">
        <v>2931</v>
      </c>
      <c r="B1446" t="s">
        <v>2932</v>
      </c>
      <c r="C1446" t="s">
        <v>10</v>
      </c>
      <c r="D1446">
        <v>64</v>
      </c>
      <c r="E1446" t="s">
        <v>128</v>
      </c>
      <c r="F1446" t="s">
        <v>129</v>
      </c>
      <c r="G1446" t="s">
        <v>78</v>
      </c>
      <c r="H1446" s="1">
        <v>44741</v>
      </c>
    </row>
    <row r="1447" spans="1:8">
      <c r="A1447" t="s">
        <v>2933</v>
      </c>
      <c r="B1447" t="s">
        <v>2934</v>
      </c>
      <c r="C1447" t="s">
        <v>31</v>
      </c>
      <c r="D1447">
        <v>28</v>
      </c>
      <c r="E1447" t="s">
        <v>112</v>
      </c>
      <c r="F1447" t="s">
        <v>113</v>
      </c>
      <c r="G1447" t="s">
        <v>78</v>
      </c>
      <c r="H1447" s="1">
        <v>45468</v>
      </c>
    </row>
    <row r="1448" spans="1:8">
      <c r="A1448" t="s">
        <v>2935</v>
      </c>
      <c r="B1448" t="s">
        <v>2936</v>
      </c>
      <c r="C1448" t="s">
        <v>10</v>
      </c>
      <c r="D1448">
        <v>55</v>
      </c>
      <c r="E1448" t="s">
        <v>69</v>
      </c>
      <c r="F1448" t="s">
        <v>69</v>
      </c>
      <c r="G1448" t="s">
        <v>12</v>
      </c>
      <c r="H1448" s="1">
        <v>45410</v>
      </c>
    </row>
    <row r="1449" spans="1:8">
      <c r="A1449" t="s">
        <v>2937</v>
      </c>
      <c r="B1449" t="s">
        <v>2938</v>
      </c>
      <c r="C1449" t="s">
        <v>31</v>
      </c>
      <c r="D1449">
        <v>48</v>
      </c>
      <c r="E1449" t="s">
        <v>63</v>
      </c>
      <c r="F1449" t="s">
        <v>64</v>
      </c>
      <c r="G1449" t="s">
        <v>12</v>
      </c>
      <c r="H1449" s="1">
        <v>44987</v>
      </c>
    </row>
    <row r="1450" spans="1:8">
      <c r="A1450" t="s">
        <v>2939</v>
      </c>
      <c r="B1450" t="s">
        <v>2940</v>
      </c>
      <c r="C1450" t="s">
        <v>10</v>
      </c>
      <c r="D1450">
        <v>55</v>
      </c>
      <c r="E1450" t="s">
        <v>128</v>
      </c>
      <c r="F1450" t="s">
        <v>129</v>
      </c>
      <c r="G1450" t="s">
        <v>78</v>
      </c>
      <c r="H1450" s="1">
        <v>45248</v>
      </c>
    </row>
    <row r="1451" spans="1:8">
      <c r="A1451" t="s">
        <v>2941</v>
      </c>
      <c r="B1451" t="s">
        <v>2942</v>
      </c>
      <c r="C1451" t="s">
        <v>31</v>
      </c>
      <c r="D1451">
        <v>58</v>
      </c>
      <c r="E1451" t="s">
        <v>11</v>
      </c>
      <c r="F1451" t="s">
        <v>11</v>
      </c>
      <c r="G1451" t="s">
        <v>12</v>
      </c>
      <c r="H1451" s="1">
        <v>44575</v>
      </c>
    </row>
    <row r="1452" spans="1:8">
      <c r="A1452" t="s">
        <v>2943</v>
      </c>
      <c r="B1452" t="s">
        <v>2944</v>
      </c>
      <c r="C1452" t="s">
        <v>31</v>
      </c>
      <c r="D1452">
        <v>63</v>
      </c>
      <c r="E1452" t="s">
        <v>112</v>
      </c>
      <c r="F1452" t="s">
        <v>113</v>
      </c>
      <c r="G1452" t="s">
        <v>78</v>
      </c>
      <c r="H1452" s="1">
        <v>44920</v>
      </c>
    </row>
    <row r="1453" spans="1:8">
      <c r="A1453" t="s">
        <v>2945</v>
      </c>
      <c r="B1453" t="s">
        <v>2946</v>
      </c>
      <c r="C1453" t="s">
        <v>10</v>
      </c>
      <c r="D1453">
        <v>42</v>
      </c>
      <c r="E1453" t="s">
        <v>101</v>
      </c>
      <c r="F1453" t="s">
        <v>21</v>
      </c>
      <c r="G1453" t="s">
        <v>22</v>
      </c>
      <c r="H1453" s="1">
        <v>44970</v>
      </c>
    </row>
    <row r="1454" spans="1:8">
      <c r="A1454" t="s">
        <v>2947</v>
      </c>
      <c r="B1454" t="s">
        <v>2948</v>
      </c>
      <c r="C1454" t="s">
        <v>31</v>
      </c>
      <c r="D1454">
        <v>55</v>
      </c>
      <c r="E1454" t="s">
        <v>41</v>
      </c>
      <c r="F1454" t="s">
        <v>42</v>
      </c>
      <c r="G1454" t="s">
        <v>17</v>
      </c>
      <c r="H1454" s="1">
        <v>44648</v>
      </c>
    </row>
    <row r="1455" spans="1:8">
      <c r="A1455" t="s">
        <v>2949</v>
      </c>
      <c r="B1455" t="s">
        <v>2950</v>
      </c>
      <c r="C1455" t="s">
        <v>10</v>
      </c>
      <c r="D1455">
        <v>19</v>
      </c>
      <c r="E1455" t="s">
        <v>60</v>
      </c>
      <c r="F1455" t="s">
        <v>21</v>
      </c>
      <c r="G1455" t="s">
        <v>22</v>
      </c>
      <c r="H1455" s="1">
        <v>45511</v>
      </c>
    </row>
    <row r="1456" spans="1:8">
      <c r="A1456" t="s">
        <v>2951</v>
      </c>
      <c r="B1456" t="s">
        <v>2952</v>
      </c>
      <c r="C1456" t="s">
        <v>31</v>
      </c>
      <c r="D1456">
        <v>58</v>
      </c>
      <c r="E1456" t="s">
        <v>63</v>
      </c>
      <c r="F1456" t="s">
        <v>64</v>
      </c>
      <c r="G1456" t="s">
        <v>12</v>
      </c>
      <c r="H1456" s="1">
        <v>45099</v>
      </c>
    </row>
    <row r="1457" spans="1:8">
      <c r="A1457" t="s">
        <v>2953</v>
      </c>
      <c r="B1457" t="s">
        <v>2954</v>
      </c>
      <c r="C1457" t="s">
        <v>31</v>
      </c>
      <c r="D1457">
        <v>44</v>
      </c>
      <c r="E1457" t="s">
        <v>112</v>
      </c>
      <c r="F1457" t="s">
        <v>113</v>
      </c>
      <c r="G1457" t="s">
        <v>78</v>
      </c>
      <c r="H1457" s="1">
        <v>44816</v>
      </c>
    </row>
    <row r="1458" spans="1:8">
      <c r="A1458" t="s">
        <v>2955</v>
      </c>
      <c r="B1458" t="s">
        <v>2956</v>
      </c>
      <c r="C1458" t="s">
        <v>10</v>
      </c>
      <c r="D1458">
        <v>66</v>
      </c>
      <c r="E1458" t="s">
        <v>34</v>
      </c>
      <c r="F1458" t="s">
        <v>16</v>
      </c>
      <c r="G1458" t="s">
        <v>17</v>
      </c>
      <c r="H1458" s="1">
        <v>44620</v>
      </c>
    </row>
    <row r="1459" spans="1:8">
      <c r="A1459" t="s">
        <v>2957</v>
      </c>
      <c r="B1459" t="s">
        <v>2958</v>
      </c>
      <c r="C1459" t="s">
        <v>31</v>
      </c>
      <c r="D1459">
        <v>55</v>
      </c>
      <c r="E1459" t="s">
        <v>15</v>
      </c>
      <c r="F1459" t="s">
        <v>16</v>
      </c>
      <c r="G1459" t="s">
        <v>17</v>
      </c>
      <c r="H1459" s="1">
        <v>45788</v>
      </c>
    </row>
    <row r="1460" spans="1:8">
      <c r="A1460" t="s">
        <v>2959</v>
      </c>
      <c r="B1460" t="s">
        <v>2960</v>
      </c>
      <c r="C1460" t="s">
        <v>31</v>
      </c>
      <c r="D1460">
        <v>62</v>
      </c>
      <c r="E1460" t="s">
        <v>149</v>
      </c>
      <c r="F1460" t="s">
        <v>38</v>
      </c>
      <c r="G1460" t="s">
        <v>22</v>
      </c>
      <c r="H1460" s="1">
        <v>45090</v>
      </c>
    </row>
    <row r="1461" spans="1:8">
      <c r="A1461" t="s">
        <v>2961</v>
      </c>
      <c r="B1461" t="s">
        <v>2962</v>
      </c>
      <c r="C1461" t="s">
        <v>10</v>
      </c>
      <c r="D1461">
        <v>34</v>
      </c>
      <c r="E1461" t="s">
        <v>134</v>
      </c>
      <c r="F1461" t="s">
        <v>28</v>
      </c>
      <c r="G1461" t="s">
        <v>12</v>
      </c>
      <c r="H1461" s="1">
        <v>45611</v>
      </c>
    </row>
    <row r="1462" spans="1:8">
      <c r="A1462" t="s">
        <v>2963</v>
      </c>
      <c r="B1462" t="s">
        <v>2964</v>
      </c>
      <c r="C1462" t="s">
        <v>31</v>
      </c>
      <c r="D1462">
        <v>47</v>
      </c>
      <c r="E1462" t="s">
        <v>15</v>
      </c>
      <c r="F1462" t="s">
        <v>16</v>
      </c>
      <c r="G1462" t="s">
        <v>17</v>
      </c>
      <c r="H1462" s="1">
        <v>44861</v>
      </c>
    </row>
    <row r="1463" spans="1:8">
      <c r="A1463" t="s">
        <v>2965</v>
      </c>
      <c r="B1463" t="s">
        <v>2966</v>
      </c>
      <c r="C1463" t="s">
        <v>10</v>
      </c>
      <c r="D1463">
        <v>21</v>
      </c>
      <c r="E1463" t="s">
        <v>76</v>
      </c>
      <c r="F1463" t="s">
        <v>77</v>
      </c>
      <c r="G1463" t="s">
        <v>78</v>
      </c>
      <c r="H1463" s="1">
        <v>45293</v>
      </c>
    </row>
    <row r="1464" spans="1:8">
      <c r="A1464" t="s">
        <v>2967</v>
      </c>
      <c r="B1464" t="s">
        <v>2968</v>
      </c>
      <c r="C1464" t="s">
        <v>31</v>
      </c>
      <c r="D1464">
        <v>21</v>
      </c>
      <c r="E1464" t="s">
        <v>41</v>
      </c>
      <c r="F1464" t="s">
        <v>42</v>
      </c>
      <c r="G1464" t="s">
        <v>17</v>
      </c>
      <c r="H1464" s="1">
        <v>45865</v>
      </c>
    </row>
    <row r="1465" spans="1:8">
      <c r="A1465" t="s">
        <v>2969</v>
      </c>
      <c r="B1465" t="s">
        <v>2970</v>
      </c>
      <c r="C1465" t="s">
        <v>10</v>
      </c>
      <c r="D1465">
        <v>50</v>
      </c>
      <c r="E1465" t="s">
        <v>218</v>
      </c>
      <c r="F1465" t="s">
        <v>219</v>
      </c>
      <c r="G1465" t="s">
        <v>17</v>
      </c>
      <c r="H1465" s="1">
        <v>45870</v>
      </c>
    </row>
    <row r="1466" spans="1:8">
      <c r="A1466" t="s">
        <v>2971</v>
      </c>
      <c r="B1466" t="s">
        <v>2972</v>
      </c>
      <c r="C1466" t="s">
        <v>10</v>
      </c>
      <c r="D1466">
        <v>52</v>
      </c>
      <c r="E1466" t="s">
        <v>34</v>
      </c>
      <c r="F1466" t="s">
        <v>16</v>
      </c>
      <c r="G1466" t="s">
        <v>17</v>
      </c>
      <c r="H1466" s="1">
        <v>44755</v>
      </c>
    </row>
    <row r="1467" spans="1:8">
      <c r="A1467" t="s">
        <v>2973</v>
      </c>
      <c r="B1467" t="s">
        <v>2974</v>
      </c>
      <c r="C1467" t="s">
        <v>31</v>
      </c>
      <c r="D1467">
        <v>35</v>
      </c>
      <c r="E1467" t="s">
        <v>37</v>
      </c>
      <c r="F1467" t="s">
        <v>38</v>
      </c>
      <c r="G1467" t="s">
        <v>22</v>
      </c>
      <c r="H1467" s="1">
        <v>45964</v>
      </c>
    </row>
    <row r="1468" spans="1:8">
      <c r="A1468" t="s">
        <v>2975</v>
      </c>
      <c r="B1468" t="s">
        <v>2976</v>
      </c>
      <c r="C1468" t="s">
        <v>31</v>
      </c>
      <c r="D1468">
        <v>70</v>
      </c>
      <c r="E1468" t="s">
        <v>134</v>
      </c>
      <c r="F1468" t="s">
        <v>28</v>
      </c>
      <c r="G1468" t="s">
        <v>12</v>
      </c>
      <c r="H1468" s="1">
        <v>44758</v>
      </c>
    </row>
    <row r="1469" spans="1:8">
      <c r="A1469" t="s">
        <v>2977</v>
      </c>
      <c r="B1469" t="s">
        <v>2978</v>
      </c>
      <c r="C1469" t="s">
        <v>31</v>
      </c>
      <c r="D1469">
        <v>41</v>
      </c>
      <c r="E1469" t="s">
        <v>34</v>
      </c>
      <c r="F1469" t="s">
        <v>16</v>
      </c>
      <c r="G1469" t="s">
        <v>17</v>
      </c>
      <c r="H1469" s="1">
        <v>45623</v>
      </c>
    </row>
    <row r="1470" spans="1:8">
      <c r="A1470" t="s">
        <v>2979</v>
      </c>
      <c r="B1470" t="s">
        <v>2980</v>
      </c>
      <c r="C1470" t="s">
        <v>10</v>
      </c>
      <c r="D1470">
        <v>24</v>
      </c>
      <c r="E1470" t="s">
        <v>69</v>
      </c>
      <c r="F1470" t="s">
        <v>69</v>
      </c>
      <c r="G1470" t="s">
        <v>12</v>
      </c>
      <c r="H1470" s="1">
        <v>45258</v>
      </c>
    </row>
    <row r="1471" spans="1:8">
      <c r="A1471" t="s">
        <v>2981</v>
      </c>
      <c r="B1471" t="s">
        <v>2982</v>
      </c>
      <c r="C1471" t="s">
        <v>10</v>
      </c>
      <c r="D1471">
        <v>68</v>
      </c>
      <c r="E1471" t="s">
        <v>218</v>
      </c>
      <c r="F1471" t="s">
        <v>219</v>
      </c>
      <c r="G1471" t="s">
        <v>17</v>
      </c>
      <c r="H1471" s="1">
        <v>45014</v>
      </c>
    </row>
    <row r="1472" spans="1:8">
      <c r="A1472" t="s">
        <v>2983</v>
      </c>
      <c r="B1472" t="s">
        <v>2984</v>
      </c>
      <c r="C1472" t="s">
        <v>10</v>
      </c>
      <c r="D1472">
        <v>44</v>
      </c>
      <c r="E1472" t="s">
        <v>128</v>
      </c>
      <c r="F1472" t="s">
        <v>129</v>
      </c>
      <c r="G1472" t="s">
        <v>78</v>
      </c>
      <c r="H1472" s="1">
        <v>45974</v>
      </c>
    </row>
    <row r="1473" spans="1:8">
      <c r="A1473" t="s">
        <v>2985</v>
      </c>
      <c r="B1473" t="s">
        <v>2986</v>
      </c>
      <c r="C1473" t="s">
        <v>10</v>
      </c>
      <c r="D1473">
        <v>19</v>
      </c>
      <c r="E1473" t="s">
        <v>20</v>
      </c>
      <c r="F1473" t="s">
        <v>21</v>
      </c>
      <c r="G1473" t="s">
        <v>22</v>
      </c>
      <c r="H1473" s="1">
        <v>44800</v>
      </c>
    </row>
    <row r="1474" spans="1:8">
      <c r="A1474" t="s">
        <v>2987</v>
      </c>
      <c r="B1474" t="s">
        <v>2988</v>
      </c>
      <c r="C1474" t="s">
        <v>31</v>
      </c>
      <c r="D1474">
        <v>26</v>
      </c>
      <c r="E1474" t="s">
        <v>37</v>
      </c>
      <c r="F1474" t="s">
        <v>38</v>
      </c>
      <c r="G1474" t="s">
        <v>22</v>
      </c>
      <c r="H1474" s="1">
        <v>45977</v>
      </c>
    </row>
    <row r="1475" spans="1:8">
      <c r="A1475" t="s">
        <v>2989</v>
      </c>
      <c r="B1475" t="s">
        <v>2990</v>
      </c>
      <c r="C1475" t="s">
        <v>31</v>
      </c>
      <c r="D1475">
        <v>29</v>
      </c>
      <c r="E1475" t="s">
        <v>27</v>
      </c>
      <c r="F1475" t="s">
        <v>28</v>
      </c>
      <c r="G1475" t="s">
        <v>12</v>
      </c>
      <c r="H1475" s="1">
        <v>45633</v>
      </c>
    </row>
    <row r="1476" spans="1:8">
      <c r="A1476" t="s">
        <v>2991</v>
      </c>
      <c r="B1476" t="s">
        <v>2992</v>
      </c>
      <c r="C1476" t="s">
        <v>10</v>
      </c>
      <c r="D1476">
        <v>26</v>
      </c>
      <c r="E1476" t="s">
        <v>11</v>
      </c>
      <c r="F1476" t="s">
        <v>11</v>
      </c>
      <c r="G1476" t="s">
        <v>12</v>
      </c>
      <c r="H1476" s="1">
        <v>44804</v>
      </c>
    </row>
    <row r="1477" spans="1:8">
      <c r="A1477" t="s">
        <v>2993</v>
      </c>
      <c r="B1477" t="s">
        <v>2994</v>
      </c>
      <c r="C1477" t="s">
        <v>10</v>
      </c>
      <c r="D1477">
        <v>37</v>
      </c>
      <c r="E1477" t="s">
        <v>76</v>
      </c>
      <c r="F1477" t="s">
        <v>77</v>
      </c>
      <c r="G1477" t="s">
        <v>78</v>
      </c>
      <c r="H1477" s="1">
        <v>45971</v>
      </c>
    </row>
    <row r="1478" spans="1:8">
      <c r="A1478" t="s">
        <v>2995</v>
      </c>
      <c r="B1478" t="s">
        <v>2996</v>
      </c>
      <c r="C1478" t="s">
        <v>31</v>
      </c>
      <c r="D1478">
        <v>62</v>
      </c>
      <c r="E1478" t="s">
        <v>34</v>
      </c>
      <c r="F1478" t="s">
        <v>16</v>
      </c>
      <c r="G1478" t="s">
        <v>17</v>
      </c>
      <c r="H1478" s="1">
        <v>44722</v>
      </c>
    </row>
    <row r="1479" spans="1:8">
      <c r="A1479" t="s">
        <v>2997</v>
      </c>
      <c r="B1479" t="s">
        <v>2998</v>
      </c>
      <c r="C1479" t="s">
        <v>10</v>
      </c>
      <c r="D1479">
        <v>67</v>
      </c>
      <c r="E1479" t="s">
        <v>11</v>
      </c>
      <c r="F1479" t="s">
        <v>11</v>
      </c>
      <c r="G1479" t="s">
        <v>12</v>
      </c>
      <c r="H1479" s="1">
        <v>44721</v>
      </c>
    </row>
    <row r="1480" spans="1:8">
      <c r="A1480" t="s">
        <v>2999</v>
      </c>
      <c r="B1480" t="s">
        <v>3000</v>
      </c>
      <c r="C1480" t="s">
        <v>10</v>
      </c>
      <c r="D1480">
        <v>24</v>
      </c>
      <c r="E1480" t="s">
        <v>149</v>
      </c>
      <c r="F1480" t="s">
        <v>38</v>
      </c>
      <c r="G1480" t="s">
        <v>22</v>
      </c>
      <c r="H1480" s="1">
        <v>44649</v>
      </c>
    </row>
    <row r="1481" spans="1:8">
      <c r="A1481" t="s">
        <v>3001</v>
      </c>
      <c r="B1481" t="s">
        <v>3002</v>
      </c>
      <c r="C1481" t="s">
        <v>10</v>
      </c>
      <c r="D1481">
        <v>48</v>
      </c>
      <c r="E1481" t="s">
        <v>218</v>
      </c>
      <c r="F1481" t="s">
        <v>219</v>
      </c>
      <c r="G1481" t="s">
        <v>17</v>
      </c>
      <c r="H1481" s="1">
        <v>45776</v>
      </c>
    </row>
    <row r="1482" spans="1:8">
      <c r="A1482" t="s">
        <v>3003</v>
      </c>
      <c r="B1482" t="s">
        <v>3004</v>
      </c>
      <c r="C1482" t="s">
        <v>10</v>
      </c>
      <c r="D1482">
        <v>37</v>
      </c>
      <c r="E1482" t="s">
        <v>45</v>
      </c>
      <c r="F1482" t="s">
        <v>46</v>
      </c>
      <c r="G1482" t="s">
        <v>17</v>
      </c>
      <c r="H1482" s="1">
        <v>44650</v>
      </c>
    </row>
    <row r="1483" spans="1:8">
      <c r="A1483" t="s">
        <v>3005</v>
      </c>
      <c r="B1483" t="s">
        <v>3006</v>
      </c>
      <c r="C1483" t="s">
        <v>10</v>
      </c>
      <c r="D1483">
        <v>55</v>
      </c>
      <c r="E1483" t="s">
        <v>11</v>
      </c>
      <c r="F1483" t="s">
        <v>11</v>
      </c>
      <c r="G1483" t="s">
        <v>12</v>
      </c>
      <c r="H1483" s="1">
        <v>44815</v>
      </c>
    </row>
    <row r="1484" spans="1:8">
      <c r="A1484" t="s">
        <v>3007</v>
      </c>
      <c r="B1484" t="s">
        <v>3008</v>
      </c>
      <c r="C1484" t="s">
        <v>31</v>
      </c>
      <c r="D1484">
        <v>19</v>
      </c>
      <c r="E1484" t="s">
        <v>76</v>
      </c>
      <c r="F1484" t="s">
        <v>77</v>
      </c>
      <c r="G1484" t="s">
        <v>78</v>
      </c>
      <c r="H1484" s="1">
        <v>45935</v>
      </c>
    </row>
    <row r="1485" spans="1:8">
      <c r="A1485" t="s">
        <v>3009</v>
      </c>
      <c r="B1485" t="s">
        <v>3010</v>
      </c>
      <c r="C1485" t="s">
        <v>31</v>
      </c>
      <c r="D1485">
        <v>40</v>
      </c>
      <c r="E1485" t="s">
        <v>45</v>
      </c>
      <c r="F1485" t="s">
        <v>46</v>
      </c>
      <c r="G1485" t="s">
        <v>17</v>
      </c>
      <c r="H1485" s="1">
        <v>45749</v>
      </c>
    </row>
    <row r="1486" spans="1:8">
      <c r="A1486" t="s">
        <v>3011</v>
      </c>
      <c r="B1486" t="s">
        <v>3012</v>
      </c>
      <c r="C1486" t="s">
        <v>10</v>
      </c>
      <c r="D1486">
        <v>50</v>
      </c>
      <c r="E1486" t="s">
        <v>218</v>
      </c>
      <c r="F1486" t="s">
        <v>219</v>
      </c>
      <c r="G1486" t="s">
        <v>17</v>
      </c>
      <c r="H1486" s="1">
        <v>45817</v>
      </c>
    </row>
    <row r="1487" spans="1:8">
      <c r="A1487" t="s">
        <v>3013</v>
      </c>
      <c r="B1487" t="s">
        <v>3014</v>
      </c>
      <c r="C1487" t="s">
        <v>10</v>
      </c>
      <c r="D1487">
        <v>51</v>
      </c>
      <c r="E1487" t="s">
        <v>20</v>
      </c>
      <c r="F1487" t="s">
        <v>21</v>
      </c>
      <c r="G1487" t="s">
        <v>22</v>
      </c>
      <c r="H1487" s="1">
        <v>45746</v>
      </c>
    </row>
    <row r="1488" spans="1:8">
      <c r="A1488" t="s">
        <v>3015</v>
      </c>
      <c r="B1488" t="s">
        <v>3016</v>
      </c>
      <c r="C1488" t="s">
        <v>10</v>
      </c>
      <c r="D1488">
        <v>66</v>
      </c>
      <c r="E1488" t="s">
        <v>34</v>
      </c>
      <c r="F1488" t="s">
        <v>16</v>
      </c>
      <c r="G1488" t="s">
        <v>17</v>
      </c>
      <c r="H1488" s="1">
        <v>45139</v>
      </c>
    </row>
    <row r="1489" spans="1:8">
      <c r="A1489" t="s">
        <v>3017</v>
      </c>
      <c r="B1489" t="s">
        <v>3018</v>
      </c>
      <c r="C1489" t="s">
        <v>31</v>
      </c>
      <c r="D1489">
        <v>41</v>
      </c>
      <c r="E1489" t="s">
        <v>20</v>
      </c>
      <c r="F1489" t="s">
        <v>21</v>
      </c>
      <c r="G1489" t="s">
        <v>22</v>
      </c>
      <c r="H1489" s="1">
        <v>45000</v>
      </c>
    </row>
    <row r="1490" spans="1:8">
      <c r="A1490" t="s">
        <v>3019</v>
      </c>
      <c r="B1490" t="s">
        <v>3020</v>
      </c>
      <c r="C1490" t="s">
        <v>10</v>
      </c>
      <c r="D1490">
        <v>29</v>
      </c>
      <c r="E1490" t="s">
        <v>63</v>
      </c>
      <c r="F1490" t="s">
        <v>64</v>
      </c>
      <c r="G1490" t="s">
        <v>12</v>
      </c>
      <c r="H1490" s="1">
        <v>45462</v>
      </c>
    </row>
    <row r="1491" spans="1:8">
      <c r="A1491" t="s">
        <v>3021</v>
      </c>
      <c r="B1491" t="s">
        <v>3022</v>
      </c>
      <c r="C1491" t="s">
        <v>10</v>
      </c>
      <c r="D1491">
        <v>50</v>
      </c>
      <c r="E1491" t="s">
        <v>112</v>
      </c>
      <c r="F1491" t="s">
        <v>113</v>
      </c>
      <c r="G1491" t="s">
        <v>78</v>
      </c>
      <c r="H1491" s="1">
        <v>45430</v>
      </c>
    </row>
    <row r="1492" spans="1:8">
      <c r="A1492" t="s">
        <v>3023</v>
      </c>
      <c r="B1492" t="s">
        <v>3024</v>
      </c>
      <c r="C1492" t="s">
        <v>10</v>
      </c>
      <c r="D1492">
        <v>47</v>
      </c>
      <c r="E1492" t="s">
        <v>15</v>
      </c>
      <c r="F1492" t="s">
        <v>16</v>
      </c>
      <c r="G1492" t="s">
        <v>17</v>
      </c>
      <c r="H1492" s="1">
        <v>45205</v>
      </c>
    </row>
    <row r="1493" spans="1:8">
      <c r="A1493" t="s">
        <v>3025</v>
      </c>
      <c r="B1493" t="s">
        <v>3026</v>
      </c>
      <c r="C1493" t="s">
        <v>31</v>
      </c>
      <c r="D1493">
        <v>63</v>
      </c>
      <c r="E1493" t="s">
        <v>34</v>
      </c>
      <c r="F1493" t="s">
        <v>16</v>
      </c>
      <c r="G1493" t="s">
        <v>17</v>
      </c>
      <c r="H1493" s="1">
        <v>45577</v>
      </c>
    </row>
    <row r="1494" spans="1:8">
      <c r="A1494" t="s">
        <v>3027</v>
      </c>
      <c r="B1494" t="s">
        <v>3028</v>
      </c>
      <c r="C1494" t="s">
        <v>31</v>
      </c>
      <c r="D1494">
        <v>49</v>
      </c>
      <c r="E1494" t="s">
        <v>15</v>
      </c>
      <c r="F1494" t="s">
        <v>16</v>
      </c>
      <c r="G1494" t="s">
        <v>17</v>
      </c>
      <c r="H1494" s="1">
        <v>44730</v>
      </c>
    </row>
    <row r="1495" spans="1:8">
      <c r="A1495" t="s">
        <v>3029</v>
      </c>
      <c r="B1495" t="s">
        <v>3030</v>
      </c>
      <c r="C1495" t="s">
        <v>31</v>
      </c>
      <c r="D1495">
        <v>61</v>
      </c>
      <c r="E1495" t="s">
        <v>45</v>
      </c>
      <c r="F1495" t="s">
        <v>46</v>
      </c>
      <c r="G1495" t="s">
        <v>17</v>
      </c>
      <c r="H1495" s="1">
        <v>45497</v>
      </c>
    </row>
    <row r="1496" spans="1:8">
      <c r="A1496" t="s">
        <v>3031</v>
      </c>
      <c r="B1496" t="s">
        <v>3032</v>
      </c>
      <c r="C1496" t="s">
        <v>31</v>
      </c>
      <c r="D1496">
        <v>36</v>
      </c>
      <c r="E1496" t="s">
        <v>112</v>
      </c>
      <c r="F1496" t="s">
        <v>113</v>
      </c>
      <c r="G1496" t="s">
        <v>78</v>
      </c>
      <c r="H1496" s="1">
        <v>45024</v>
      </c>
    </row>
    <row r="1497" spans="1:8">
      <c r="A1497" t="s">
        <v>3033</v>
      </c>
      <c r="B1497" t="s">
        <v>3034</v>
      </c>
      <c r="C1497" t="s">
        <v>10</v>
      </c>
      <c r="D1497">
        <v>69</v>
      </c>
      <c r="E1497" t="s">
        <v>112</v>
      </c>
      <c r="F1497" t="s">
        <v>113</v>
      </c>
      <c r="G1497" t="s">
        <v>78</v>
      </c>
      <c r="H1497" s="1">
        <v>44948</v>
      </c>
    </row>
    <row r="1498" spans="1:8">
      <c r="A1498" t="s">
        <v>3035</v>
      </c>
      <c r="B1498" t="s">
        <v>3036</v>
      </c>
      <c r="C1498" t="s">
        <v>10</v>
      </c>
      <c r="D1498">
        <v>61</v>
      </c>
      <c r="E1498" t="s">
        <v>37</v>
      </c>
      <c r="F1498" t="s">
        <v>38</v>
      </c>
      <c r="G1498" t="s">
        <v>22</v>
      </c>
      <c r="H1498" s="1">
        <v>44929</v>
      </c>
    </row>
    <row r="1499" spans="1:8">
      <c r="A1499" t="s">
        <v>3037</v>
      </c>
      <c r="B1499" t="s">
        <v>3038</v>
      </c>
      <c r="C1499" t="s">
        <v>31</v>
      </c>
      <c r="D1499">
        <v>51</v>
      </c>
      <c r="E1499" t="s">
        <v>20</v>
      </c>
      <c r="F1499" t="s">
        <v>21</v>
      </c>
      <c r="G1499" t="s">
        <v>22</v>
      </c>
      <c r="H1499" s="1">
        <v>45373</v>
      </c>
    </row>
    <row r="1500" spans="1:8">
      <c r="A1500" t="s">
        <v>3039</v>
      </c>
      <c r="B1500" t="s">
        <v>3040</v>
      </c>
      <c r="C1500" t="s">
        <v>10</v>
      </c>
      <c r="D1500">
        <v>43</v>
      </c>
      <c r="E1500" t="s">
        <v>11</v>
      </c>
      <c r="F1500" t="s">
        <v>11</v>
      </c>
      <c r="G1500" t="s">
        <v>12</v>
      </c>
      <c r="H1500" s="1">
        <v>44806</v>
      </c>
    </row>
    <row r="1501" spans="1:8">
      <c r="A1501" t="s">
        <v>3041</v>
      </c>
      <c r="B1501" t="s">
        <v>3042</v>
      </c>
      <c r="C1501" t="s">
        <v>10</v>
      </c>
      <c r="D1501">
        <v>22</v>
      </c>
      <c r="E1501" t="s">
        <v>60</v>
      </c>
      <c r="F1501" t="s">
        <v>21</v>
      </c>
      <c r="G1501" t="s">
        <v>22</v>
      </c>
      <c r="H1501" s="1">
        <v>44770</v>
      </c>
    </row>
    <row r="1502" spans="1:8">
      <c r="A1502" t="s">
        <v>3043</v>
      </c>
      <c r="B1502" t="s">
        <v>3044</v>
      </c>
      <c r="C1502" t="s">
        <v>10</v>
      </c>
      <c r="D1502">
        <v>56</v>
      </c>
      <c r="E1502" t="s">
        <v>101</v>
      </c>
      <c r="F1502" t="s">
        <v>21</v>
      </c>
      <c r="G1502" t="s">
        <v>22</v>
      </c>
      <c r="H1502" s="1">
        <v>45255</v>
      </c>
    </row>
    <row r="1503" spans="1:8">
      <c r="A1503" t="s">
        <v>3045</v>
      </c>
      <c r="B1503" t="s">
        <v>3046</v>
      </c>
      <c r="C1503" t="s">
        <v>10</v>
      </c>
      <c r="D1503">
        <v>45</v>
      </c>
      <c r="E1503" t="s">
        <v>112</v>
      </c>
      <c r="F1503" t="s">
        <v>113</v>
      </c>
      <c r="G1503" t="s">
        <v>78</v>
      </c>
      <c r="H1503" s="1">
        <v>44813</v>
      </c>
    </row>
    <row r="1504" spans="1:8">
      <c r="A1504" t="s">
        <v>3047</v>
      </c>
      <c r="B1504" t="s">
        <v>3048</v>
      </c>
      <c r="C1504" t="s">
        <v>31</v>
      </c>
      <c r="D1504">
        <v>66</v>
      </c>
      <c r="E1504" t="s">
        <v>134</v>
      </c>
      <c r="F1504" t="s">
        <v>28</v>
      </c>
      <c r="G1504" t="s">
        <v>12</v>
      </c>
      <c r="H1504" s="1">
        <v>45753</v>
      </c>
    </row>
    <row r="1505" spans="1:8">
      <c r="A1505" t="s">
        <v>3049</v>
      </c>
      <c r="B1505" t="s">
        <v>3050</v>
      </c>
      <c r="C1505" t="s">
        <v>31</v>
      </c>
      <c r="D1505">
        <v>60</v>
      </c>
      <c r="E1505" t="s">
        <v>69</v>
      </c>
      <c r="F1505" t="s">
        <v>69</v>
      </c>
      <c r="G1505" t="s">
        <v>12</v>
      </c>
      <c r="H1505" s="1">
        <v>45291</v>
      </c>
    </row>
    <row r="1506" spans="1:8">
      <c r="A1506" t="s">
        <v>3051</v>
      </c>
      <c r="B1506" t="s">
        <v>3052</v>
      </c>
      <c r="C1506" t="s">
        <v>31</v>
      </c>
      <c r="D1506">
        <v>27</v>
      </c>
      <c r="E1506" t="s">
        <v>69</v>
      </c>
      <c r="F1506" t="s">
        <v>69</v>
      </c>
      <c r="G1506" t="s">
        <v>12</v>
      </c>
      <c r="H1506" s="1">
        <v>45554</v>
      </c>
    </row>
    <row r="1507" spans="1:8">
      <c r="A1507" t="s">
        <v>3053</v>
      </c>
      <c r="B1507" t="s">
        <v>3054</v>
      </c>
      <c r="C1507" t="s">
        <v>31</v>
      </c>
      <c r="D1507">
        <v>49</v>
      </c>
      <c r="E1507" t="s">
        <v>11</v>
      </c>
      <c r="F1507" t="s">
        <v>11</v>
      </c>
      <c r="G1507" t="s">
        <v>12</v>
      </c>
      <c r="H1507" s="1">
        <v>44812</v>
      </c>
    </row>
    <row r="1508" spans="1:8">
      <c r="A1508" t="s">
        <v>3055</v>
      </c>
      <c r="B1508" t="s">
        <v>3056</v>
      </c>
      <c r="C1508" t="s">
        <v>10</v>
      </c>
      <c r="D1508">
        <v>65</v>
      </c>
      <c r="E1508" t="s">
        <v>101</v>
      </c>
      <c r="F1508" t="s">
        <v>21</v>
      </c>
      <c r="G1508" t="s">
        <v>22</v>
      </c>
      <c r="H1508" s="1">
        <v>44622</v>
      </c>
    </row>
    <row r="1509" spans="1:8">
      <c r="A1509" t="s">
        <v>3057</v>
      </c>
      <c r="B1509" t="s">
        <v>3058</v>
      </c>
      <c r="C1509" t="s">
        <v>10</v>
      </c>
      <c r="D1509">
        <v>29</v>
      </c>
      <c r="E1509" t="s">
        <v>15</v>
      </c>
      <c r="F1509" t="s">
        <v>16</v>
      </c>
      <c r="G1509" t="s">
        <v>17</v>
      </c>
      <c r="H1509" s="1">
        <v>45582</v>
      </c>
    </row>
    <row r="1510" spans="1:8">
      <c r="A1510" t="s">
        <v>3059</v>
      </c>
      <c r="B1510" t="s">
        <v>3060</v>
      </c>
      <c r="C1510" t="s">
        <v>31</v>
      </c>
      <c r="D1510">
        <v>57</v>
      </c>
      <c r="E1510" t="s">
        <v>37</v>
      </c>
      <c r="F1510" t="s">
        <v>38</v>
      </c>
      <c r="G1510" t="s">
        <v>22</v>
      </c>
      <c r="H1510" s="1">
        <v>44874</v>
      </c>
    </row>
    <row r="1511" spans="1:8">
      <c r="A1511" t="s">
        <v>3061</v>
      </c>
      <c r="B1511" t="s">
        <v>3062</v>
      </c>
      <c r="C1511" t="s">
        <v>31</v>
      </c>
      <c r="D1511">
        <v>68</v>
      </c>
      <c r="E1511" t="s">
        <v>11</v>
      </c>
      <c r="F1511" t="s">
        <v>11</v>
      </c>
      <c r="G1511" t="s">
        <v>12</v>
      </c>
      <c r="H1511" s="1">
        <v>45915</v>
      </c>
    </row>
    <row r="1512" spans="1:8">
      <c r="A1512" t="s">
        <v>3063</v>
      </c>
      <c r="B1512" t="s">
        <v>3064</v>
      </c>
      <c r="C1512" t="s">
        <v>31</v>
      </c>
      <c r="D1512">
        <v>49</v>
      </c>
      <c r="E1512" t="s">
        <v>37</v>
      </c>
      <c r="F1512" t="s">
        <v>38</v>
      </c>
      <c r="G1512" t="s">
        <v>22</v>
      </c>
      <c r="H1512" s="1">
        <v>45917</v>
      </c>
    </row>
    <row r="1513" spans="1:8">
      <c r="A1513" t="s">
        <v>3065</v>
      </c>
      <c r="B1513" t="s">
        <v>3066</v>
      </c>
      <c r="C1513" t="s">
        <v>10</v>
      </c>
      <c r="D1513">
        <v>66</v>
      </c>
      <c r="E1513" t="s">
        <v>60</v>
      </c>
      <c r="F1513" t="s">
        <v>21</v>
      </c>
      <c r="G1513" t="s">
        <v>22</v>
      </c>
      <c r="H1513" s="1">
        <v>45265</v>
      </c>
    </row>
    <row r="1514" spans="1:8">
      <c r="A1514" t="s">
        <v>3067</v>
      </c>
      <c r="B1514" t="s">
        <v>3068</v>
      </c>
      <c r="C1514" t="s">
        <v>31</v>
      </c>
      <c r="D1514">
        <v>46</v>
      </c>
      <c r="E1514" t="s">
        <v>41</v>
      </c>
      <c r="F1514" t="s">
        <v>42</v>
      </c>
      <c r="G1514" t="s">
        <v>17</v>
      </c>
      <c r="H1514" s="1">
        <v>44805</v>
      </c>
    </row>
    <row r="1515" spans="1:8">
      <c r="A1515" t="s">
        <v>3069</v>
      </c>
      <c r="B1515" t="s">
        <v>3070</v>
      </c>
      <c r="C1515" t="s">
        <v>31</v>
      </c>
      <c r="D1515">
        <v>20</v>
      </c>
      <c r="E1515" t="s">
        <v>149</v>
      </c>
      <c r="F1515" t="s">
        <v>38</v>
      </c>
      <c r="G1515" t="s">
        <v>22</v>
      </c>
      <c r="H1515" s="1">
        <v>45468</v>
      </c>
    </row>
    <row r="1516" spans="1:8">
      <c r="A1516" t="s">
        <v>3071</v>
      </c>
      <c r="B1516" t="s">
        <v>3072</v>
      </c>
      <c r="C1516" t="s">
        <v>31</v>
      </c>
      <c r="D1516">
        <v>63</v>
      </c>
      <c r="E1516" t="s">
        <v>218</v>
      </c>
      <c r="F1516" t="s">
        <v>219</v>
      </c>
      <c r="G1516" t="s">
        <v>17</v>
      </c>
      <c r="H1516" s="1">
        <v>45912</v>
      </c>
    </row>
    <row r="1517" spans="1:8">
      <c r="A1517" t="s">
        <v>3073</v>
      </c>
      <c r="B1517" t="s">
        <v>3074</v>
      </c>
      <c r="C1517" t="s">
        <v>31</v>
      </c>
      <c r="D1517">
        <v>63</v>
      </c>
      <c r="E1517" t="s">
        <v>41</v>
      </c>
      <c r="F1517" t="s">
        <v>42</v>
      </c>
      <c r="G1517" t="s">
        <v>17</v>
      </c>
      <c r="H1517" s="1">
        <v>44837</v>
      </c>
    </row>
    <row r="1518" spans="1:8">
      <c r="A1518" t="s">
        <v>3075</v>
      </c>
      <c r="B1518" t="s">
        <v>3076</v>
      </c>
      <c r="C1518" t="s">
        <v>31</v>
      </c>
      <c r="D1518">
        <v>60</v>
      </c>
      <c r="E1518" t="s">
        <v>20</v>
      </c>
      <c r="F1518" t="s">
        <v>21</v>
      </c>
      <c r="G1518" t="s">
        <v>22</v>
      </c>
      <c r="H1518" s="1">
        <v>45727</v>
      </c>
    </row>
    <row r="1519" spans="1:8">
      <c r="A1519" t="s">
        <v>3077</v>
      </c>
      <c r="B1519" t="s">
        <v>3078</v>
      </c>
      <c r="C1519" t="s">
        <v>31</v>
      </c>
      <c r="D1519">
        <v>48</v>
      </c>
      <c r="E1519" t="s">
        <v>60</v>
      </c>
      <c r="F1519" t="s">
        <v>21</v>
      </c>
      <c r="G1519" t="s">
        <v>22</v>
      </c>
      <c r="H1519" s="1">
        <v>45733</v>
      </c>
    </row>
    <row r="1520" spans="1:8">
      <c r="A1520" t="s">
        <v>3079</v>
      </c>
      <c r="B1520" t="s">
        <v>3080</v>
      </c>
      <c r="C1520" t="s">
        <v>10</v>
      </c>
      <c r="D1520">
        <v>43</v>
      </c>
      <c r="E1520" t="s">
        <v>101</v>
      </c>
      <c r="F1520" t="s">
        <v>21</v>
      </c>
      <c r="G1520" t="s">
        <v>22</v>
      </c>
      <c r="H1520" s="1">
        <v>45599</v>
      </c>
    </row>
    <row r="1521" spans="1:8">
      <c r="A1521" t="s">
        <v>3081</v>
      </c>
      <c r="B1521" t="s">
        <v>3082</v>
      </c>
      <c r="C1521" t="s">
        <v>31</v>
      </c>
      <c r="D1521">
        <v>67</v>
      </c>
      <c r="E1521" t="s">
        <v>218</v>
      </c>
      <c r="F1521" t="s">
        <v>219</v>
      </c>
      <c r="G1521" t="s">
        <v>17</v>
      </c>
      <c r="H1521" s="1">
        <v>45335</v>
      </c>
    </row>
    <row r="1522" spans="1:8">
      <c r="A1522" t="s">
        <v>3083</v>
      </c>
      <c r="B1522" t="s">
        <v>3084</v>
      </c>
      <c r="C1522" t="s">
        <v>10</v>
      </c>
      <c r="D1522">
        <v>55</v>
      </c>
      <c r="E1522" t="s">
        <v>91</v>
      </c>
      <c r="F1522" t="s">
        <v>92</v>
      </c>
      <c r="G1522" t="s">
        <v>78</v>
      </c>
      <c r="H1522" s="1">
        <v>44687</v>
      </c>
    </row>
    <row r="1523" spans="1:8">
      <c r="A1523" t="s">
        <v>3085</v>
      </c>
      <c r="B1523" t="s">
        <v>3086</v>
      </c>
      <c r="C1523" t="s">
        <v>10</v>
      </c>
      <c r="D1523">
        <v>66</v>
      </c>
      <c r="E1523" t="s">
        <v>45</v>
      </c>
      <c r="F1523" t="s">
        <v>46</v>
      </c>
      <c r="G1523" t="s">
        <v>17</v>
      </c>
      <c r="H1523" s="1">
        <v>45276</v>
      </c>
    </row>
    <row r="1524" spans="1:8">
      <c r="A1524" t="s">
        <v>3087</v>
      </c>
      <c r="B1524" t="s">
        <v>3088</v>
      </c>
      <c r="C1524" t="s">
        <v>10</v>
      </c>
      <c r="D1524">
        <v>45</v>
      </c>
      <c r="E1524" t="s">
        <v>91</v>
      </c>
      <c r="F1524" t="s">
        <v>92</v>
      </c>
      <c r="G1524" t="s">
        <v>78</v>
      </c>
      <c r="H1524" s="1">
        <v>45341</v>
      </c>
    </row>
    <row r="1525" spans="1:8">
      <c r="A1525" t="s">
        <v>3089</v>
      </c>
      <c r="B1525" t="s">
        <v>3090</v>
      </c>
      <c r="C1525" t="s">
        <v>31</v>
      </c>
      <c r="D1525">
        <v>21</v>
      </c>
      <c r="E1525" t="s">
        <v>37</v>
      </c>
      <c r="F1525" t="s">
        <v>38</v>
      </c>
      <c r="G1525" t="s">
        <v>22</v>
      </c>
      <c r="H1525" s="1">
        <v>45405</v>
      </c>
    </row>
    <row r="1526" spans="1:8">
      <c r="A1526" t="s">
        <v>3091</v>
      </c>
      <c r="B1526" t="s">
        <v>3092</v>
      </c>
      <c r="C1526" t="s">
        <v>31</v>
      </c>
      <c r="D1526">
        <v>55</v>
      </c>
      <c r="E1526" t="s">
        <v>63</v>
      </c>
      <c r="F1526" t="s">
        <v>64</v>
      </c>
      <c r="G1526" t="s">
        <v>12</v>
      </c>
      <c r="H1526" s="1">
        <v>45042</v>
      </c>
    </row>
    <row r="1527" spans="1:8">
      <c r="A1527" t="s">
        <v>3093</v>
      </c>
      <c r="B1527" t="s">
        <v>3094</v>
      </c>
      <c r="C1527" t="s">
        <v>10</v>
      </c>
      <c r="D1527">
        <v>39</v>
      </c>
      <c r="E1527" t="s">
        <v>15</v>
      </c>
      <c r="F1527" t="s">
        <v>16</v>
      </c>
      <c r="G1527" t="s">
        <v>17</v>
      </c>
      <c r="H1527" s="1">
        <v>45186</v>
      </c>
    </row>
    <row r="1528" spans="1:8">
      <c r="A1528" t="s">
        <v>3095</v>
      </c>
      <c r="B1528" t="s">
        <v>3096</v>
      </c>
      <c r="C1528" t="s">
        <v>10</v>
      </c>
      <c r="D1528">
        <v>47</v>
      </c>
      <c r="E1528" t="s">
        <v>218</v>
      </c>
      <c r="F1528" t="s">
        <v>219</v>
      </c>
      <c r="G1528" t="s">
        <v>17</v>
      </c>
      <c r="H1528" s="1">
        <v>45229</v>
      </c>
    </row>
    <row r="1529" spans="1:8">
      <c r="A1529" t="s">
        <v>3097</v>
      </c>
      <c r="B1529" t="s">
        <v>3098</v>
      </c>
      <c r="C1529" t="s">
        <v>31</v>
      </c>
      <c r="D1529">
        <v>35</v>
      </c>
      <c r="E1529" t="s">
        <v>69</v>
      </c>
      <c r="F1529" t="s">
        <v>69</v>
      </c>
      <c r="G1529" t="s">
        <v>12</v>
      </c>
      <c r="H1529" s="1">
        <v>45725</v>
      </c>
    </row>
    <row r="1530" spans="1:8">
      <c r="A1530" t="s">
        <v>3099</v>
      </c>
      <c r="B1530" t="s">
        <v>3100</v>
      </c>
      <c r="C1530" t="s">
        <v>10</v>
      </c>
      <c r="D1530">
        <v>38</v>
      </c>
      <c r="E1530" t="s">
        <v>41</v>
      </c>
      <c r="F1530" t="s">
        <v>42</v>
      </c>
      <c r="G1530" t="s">
        <v>17</v>
      </c>
      <c r="H1530" s="1">
        <v>45766</v>
      </c>
    </row>
    <row r="1531" spans="1:8">
      <c r="A1531" t="s">
        <v>3101</v>
      </c>
      <c r="B1531" t="s">
        <v>3102</v>
      </c>
      <c r="C1531" t="s">
        <v>10</v>
      </c>
      <c r="D1531">
        <v>69</v>
      </c>
      <c r="E1531" t="s">
        <v>149</v>
      </c>
      <c r="F1531" t="s">
        <v>38</v>
      </c>
      <c r="G1531" t="s">
        <v>22</v>
      </c>
      <c r="H1531" s="1">
        <v>45222</v>
      </c>
    </row>
    <row r="1532" spans="1:8">
      <c r="A1532" t="s">
        <v>3103</v>
      </c>
      <c r="B1532" t="s">
        <v>3104</v>
      </c>
      <c r="C1532" t="s">
        <v>31</v>
      </c>
      <c r="D1532">
        <v>50</v>
      </c>
      <c r="E1532" t="s">
        <v>101</v>
      </c>
      <c r="F1532" t="s">
        <v>21</v>
      </c>
      <c r="G1532" t="s">
        <v>22</v>
      </c>
      <c r="H1532" s="1">
        <v>45250</v>
      </c>
    </row>
    <row r="1533" spans="1:8">
      <c r="A1533" t="s">
        <v>3105</v>
      </c>
      <c r="B1533" t="s">
        <v>3106</v>
      </c>
      <c r="C1533" t="s">
        <v>31</v>
      </c>
      <c r="D1533">
        <v>41</v>
      </c>
      <c r="E1533" t="s">
        <v>134</v>
      </c>
      <c r="F1533" t="s">
        <v>28</v>
      </c>
      <c r="G1533" t="s">
        <v>12</v>
      </c>
      <c r="H1533" s="1">
        <v>44903</v>
      </c>
    </row>
    <row r="1534" spans="1:8">
      <c r="A1534" t="s">
        <v>3107</v>
      </c>
      <c r="B1534" t="s">
        <v>3108</v>
      </c>
      <c r="C1534" t="s">
        <v>10</v>
      </c>
      <c r="D1534">
        <v>52</v>
      </c>
      <c r="E1534" t="s">
        <v>76</v>
      </c>
      <c r="F1534" t="s">
        <v>77</v>
      </c>
      <c r="G1534" t="s">
        <v>78</v>
      </c>
      <c r="H1534" s="1">
        <v>45579</v>
      </c>
    </row>
    <row r="1535" spans="1:8">
      <c r="A1535" t="s">
        <v>3109</v>
      </c>
      <c r="B1535" t="s">
        <v>3110</v>
      </c>
      <c r="C1535" t="s">
        <v>31</v>
      </c>
      <c r="D1535">
        <v>54</v>
      </c>
      <c r="E1535" t="s">
        <v>45</v>
      </c>
      <c r="F1535" t="s">
        <v>46</v>
      </c>
      <c r="G1535" t="s">
        <v>17</v>
      </c>
      <c r="H1535" s="1">
        <v>44659</v>
      </c>
    </row>
    <row r="1536" spans="1:8">
      <c r="A1536" t="s">
        <v>3111</v>
      </c>
      <c r="B1536" t="s">
        <v>3112</v>
      </c>
      <c r="C1536" t="s">
        <v>10</v>
      </c>
      <c r="D1536">
        <v>63</v>
      </c>
      <c r="E1536" t="s">
        <v>101</v>
      </c>
      <c r="F1536" t="s">
        <v>21</v>
      </c>
      <c r="G1536" t="s">
        <v>22</v>
      </c>
      <c r="H1536" s="1">
        <v>45841</v>
      </c>
    </row>
    <row r="1537" spans="1:8">
      <c r="A1537" t="s">
        <v>3113</v>
      </c>
      <c r="B1537" t="s">
        <v>3114</v>
      </c>
      <c r="C1537" t="s">
        <v>31</v>
      </c>
      <c r="D1537">
        <v>35</v>
      </c>
      <c r="E1537" t="s">
        <v>87</v>
      </c>
      <c r="F1537" t="s">
        <v>88</v>
      </c>
      <c r="G1537" t="s">
        <v>78</v>
      </c>
      <c r="H1537" s="1">
        <v>45774</v>
      </c>
    </row>
    <row r="1538" spans="1:8">
      <c r="A1538" t="s">
        <v>3115</v>
      </c>
      <c r="B1538" t="s">
        <v>3116</v>
      </c>
      <c r="C1538" t="s">
        <v>31</v>
      </c>
      <c r="D1538">
        <v>31</v>
      </c>
      <c r="E1538" t="s">
        <v>218</v>
      </c>
      <c r="F1538" t="s">
        <v>219</v>
      </c>
      <c r="G1538" t="s">
        <v>17</v>
      </c>
      <c r="H1538" s="1">
        <v>45535</v>
      </c>
    </row>
    <row r="1539" spans="1:8">
      <c r="A1539" t="s">
        <v>3117</v>
      </c>
      <c r="B1539" t="s">
        <v>3118</v>
      </c>
      <c r="C1539" t="s">
        <v>31</v>
      </c>
      <c r="D1539">
        <v>50</v>
      </c>
      <c r="E1539" t="s">
        <v>20</v>
      </c>
      <c r="F1539" t="s">
        <v>21</v>
      </c>
      <c r="G1539" t="s">
        <v>22</v>
      </c>
      <c r="H1539" s="1">
        <v>45896</v>
      </c>
    </row>
    <row r="1540" spans="1:8">
      <c r="A1540" t="s">
        <v>3119</v>
      </c>
      <c r="B1540" t="s">
        <v>3120</v>
      </c>
      <c r="C1540" t="s">
        <v>31</v>
      </c>
      <c r="D1540">
        <v>30</v>
      </c>
      <c r="E1540" t="s">
        <v>69</v>
      </c>
      <c r="F1540" t="s">
        <v>69</v>
      </c>
      <c r="G1540" t="s">
        <v>12</v>
      </c>
      <c r="H1540" s="1">
        <v>45920</v>
      </c>
    </row>
    <row r="1541" spans="1:8">
      <c r="A1541" t="s">
        <v>3121</v>
      </c>
      <c r="B1541" t="s">
        <v>3122</v>
      </c>
      <c r="C1541" t="s">
        <v>31</v>
      </c>
      <c r="D1541">
        <v>60</v>
      </c>
      <c r="E1541" t="s">
        <v>37</v>
      </c>
      <c r="F1541" t="s">
        <v>38</v>
      </c>
      <c r="G1541" t="s">
        <v>22</v>
      </c>
      <c r="H1541" s="1">
        <v>45841</v>
      </c>
    </row>
    <row r="1542" spans="1:8">
      <c r="A1542" t="s">
        <v>3123</v>
      </c>
      <c r="B1542" t="s">
        <v>3124</v>
      </c>
      <c r="C1542" t="s">
        <v>10</v>
      </c>
      <c r="D1542">
        <v>54</v>
      </c>
      <c r="E1542" t="s">
        <v>63</v>
      </c>
      <c r="F1542" t="s">
        <v>64</v>
      </c>
      <c r="G1542" t="s">
        <v>12</v>
      </c>
      <c r="H1542" s="1">
        <v>44600</v>
      </c>
    </row>
    <row r="1543" spans="1:8">
      <c r="A1543" t="s">
        <v>3125</v>
      </c>
      <c r="B1543" t="s">
        <v>3126</v>
      </c>
      <c r="C1543" t="s">
        <v>31</v>
      </c>
      <c r="D1543">
        <v>54</v>
      </c>
      <c r="E1543" t="s">
        <v>149</v>
      </c>
      <c r="F1543" t="s">
        <v>38</v>
      </c>
      <c r="G1543" t="s">
        <v>22</v>
      </c>
      <c r="H1543" s="1">
        <v>45110</v>
      </c>
    </row>
    <row r="1544" spans="1:8">
      <c r="A1544" t="s">
        <v>3127</v>
      </c>
      <c r="B1544" t="s">
        <v>3128</v>
      </c>
      <c r="C1544" t="s">
        <v>10</v>
      </c>
      <c r="D1544">
        <v>41</v>
      </c>
      <c r="E1544" t="s">
        <v>11</v>
      </c>
      <c r="F1544" t="s">
        <v>11</v>
      </c>
      <c r="G1544" t="s">
        <v>12</v>
      </c>
      <c r="H1544" s="1">
        <v>45631</v>
      </c>
    </row>
    <row r="1545" spans="1:8">
      <c r="A1545" t="s">
        <v>3129</v>
      </c>
      <c r="B1545" t="s">
        <v>3130</v>
      </c>
      <c r="C1545" t="s">
        <v>31</v>
      </c>
      <c r="D1545">
        <v>45</v>
      </c>
      <c r="E1545" t="s">
        <v>101</v>
      </c>
      <c r="F1545" t="s">
        <v>21</v>
      </c>
      <c r="G1545" t="s">
        <v>22</v>
      </c>
      <c r="H1545" s="1">
        <v>44870</v>
      </c>
    </row>
    <row r="1546" spans="1:8">
      <c r="A1546" t="s">
        <v>3131</v>
      </c>
      <c r="B1546" t="s">
        <v>3132</v>
      </c>
      <c r="C1546" t="s">
        <v>10</v>
      </c>
      <c r="D1546">
        <v>44</v>
      </c>
      <c r="E1546" t="s">
        <v>20</v>
      </c>
      <c r="F1546" t="s">
        <v>21</v>
      </c>
      <c r="G1546" t="s">
        <v>22</v>
      </c>
      <c r="H1546" s="1">
        <v>45860</v>
      </c>
    </row>
    <row r="1547" spans="1:8">
      <c r="A1547" t="s">
        <v>3133</v>
      </c>
      <c r="B1547" t="s">
        <v>3134</v>
      </c>
      <c r="C1547" t="s">
        <v>10</v>
      </c>
      <c r="D1547">
        <v>34</v>
      </c>
      <c r="E1547" t="s">
        <v>45</v>
      </c>
      <c r="F1547" t="s">
        <v>46</v>
      </c>
      <c r="G1547" t="s">
        <v>17</v>
      </c>
      <c r="H1547" s="1">
        <v>45885</v>
      </c>
    </row>
    <row r="1548" spans="1:8">
      <c r="A1548" t="s">
        <v>3135</v>
      </c>
      <c r="B1548" t="s">
        <v>3136</v>
      </c>
      <c r="C1548" t="s">
        <v>10</v>
      </c>
      <c r="D1548">
        <v>25</v>
      </c>
      <c r="E1548" t="s">
        <v>63</v>
      </c>
      <c r="F1548" t="s">
        <v>64</v>
      </c>
      <c r="G1548" t="s">
        <v>12</v>
      </c>
      <c r="H1548" s="1">
        <v>45393</v>
      </c>
    </row>
    <row r="1549" spans="1:8">
      <c r="A1549" t="s">
        <v>3137</v>
      </c>
      <c r="B1549" t="s">
        <v>3138</v>
      </c>
      <c r="C1549" t="s">
        <v>31</v>
      </c>
      <c r="D1549">
        <v>47</v>
      </c>
      <c r="E1549" t="s">
        <v>15</v>
      </c>
      <c r="F1549" t="s">
        <v>16</v>
      </c>
      <c r="G1549" t="s">
        <v>17</v>
      </c>
      <c r="H1549" s="1">
        <v>45064</v>
      </c>
    </row>
    <row r="1550" spans="1:8">
      <c r="A1550" t="s">
        <v>3139</v>
      </c>
      <c r="B1550" t="s">
        <v>3140</v>
      </c>
      <c r="C1550" t="s">
        <v>10</v>
      </c>
      <c r="D1550">
        <v>30</v>
      </c>
      <c r="E1550" t="s">
        <v>149</v>
      </c>
      <c r="F1550" t="s">
        <v>38</v>
      </c>
      <c r="G1550" t="s">
        <v>22</v>
      </c>
      <c r="H1550" s="1">
        <v>45426</v>
      </c>
    </row>
    <row r="1551" spans="1:8">
      <c r="A1551" t="s">
        <v>3141</v>
      </c>
      <c r="B1551" t="s">
        <v>3142</v>
      </c>
      <c r="C1551" t="s">
        <v>31</v>
      </c>
      <c r="D1551">
        <v>68</v>
      </c>
      <c r="E1551" t="s">
        <v>34</v>
      </c>
      <c r="F1551" t="s">
        <v>16</v>
      </c>
      <c r="G1551" t="s">
        <v>17</v>
      </c>
      <c r="H1551" s="1">
        <v>44621</v>
      </c>
    </row>
    <row r="1552" spans="1:8">
      <c r="A1552" t="s">
        <v>3143</v>
      </c>
      <c r="B1552" t="s">
        <v>3144</v>
      </c>
      <c r="C1552" t="s">
        <v>10</v>
      </c>
      <c r="D1552">
        <v>64</v>
      </c>
      <c r="E1552" t="s">
        <v>27</v>
      </c>
      <c r="F1552" t="s">
        <v>28</v>
      </c>
      <c r="G1552" t="s">
        <v>12</v>
      </c>
      <c r="H1552" s="1">
        <v>44922</v>
      </c>
    </row>
    <row r="1553" spans="1:8">
      <c r="A1553" t="s">
        <v>3145</v>
      </c>
      <c r="B1553" t="s">
        <v>951</v>
      </c>
      <c r="C1553" t="s">
        <v>10</v>
      </c>
      <c r="D1553">
        <v>38</v>
      </c>
      <c r="E1553" t="s">
        <v>20</v>
      </c>
      <c r="F1553" t="s">
        <v>21</v>
      </c>
      <c r="G1553" t="s">
        <v>22</v>
      </c>
      <c r="H1553" s="1">
        <v>44675</v>
      </c>
    </row>
    <row r="1554" spans="1:8">
      <c r="A1554" t="s">
        <v>3146</v>
      </c>
      <c r="B1554" t="s">
        <v>3147</v>
      </c>
      <c r="C1554" t="s">
        <v>31</v>
      </c>
      <c r="D1554">
        <v>60</v>
      </c>
      <c r="E1554" t="s">
        <v>11</v>
      </c>
      <c r="F1554" t="s">
        <v>11</v>
      </c>
      <c r="G1554" t="s">
        <v>12</v>
      </c>
      <c r="H1554" s="1">
        <v>45395</v>
      </c>
    </row>
    <row r="1555" spans="1:8">
      <c r="A1555" t="s">
        <v>3148</v>
      </c>
      <c r="B1555" t="s">
        <v>3149</v>
      </c>
      <c r="C1555" t="s">
        <v>10</v>
      </c>
      <c r="D1555">
        <v>33</v>
      </c>
      <c r="E1555" t="s">
        <v>11</v>
      </c>
      <c r="F1555" t="s">
        <v>11</v>
      </c>
      <c r="G1555" t="s">
        <v>12</v>
      </c>
      <c r="H1555" s="1">
        <v>45374</v>
      </c>
    </row>
    <row r="1556" spans="1:8">
      <c r="A1556" t="s">
        <v>3150</v>
      </c>
      <c r="B1556" t="s">
        <v>3151</v>
      </c>
      <c r="C1556" t="s">
        <v>31</v>
      </c>
      <c r="D1556">
        <v>49</v>
      </c>
      <c r="E1556" t="s">
        <v>218</v>
      </c>
      <c r="F1556" t="s">
        <v>219</v>
      </c>
      <c r="G1556" t="s">
        <v>17</v>
      </c>
      <c r="H1556" s="1">
        <v>44809</v>
      </c>
    </row>
    <row r="1557" spans="1:8">
      <c r="A1557" t="s">
        <v>3152</v>
      </c>
      <c r="B1557" t="s">
        <v>3153</v>
      </c>
      <c r="C1557" t="s">
        <v>10</v>
      </c>
      <c r="D1557">
        <v>67</v>
      </c>
      <c r="E1557" t="s">
        <v>76</v>
      </c>
      <c r="F1557" t="s">
        <v>77</v>
      </c>
      <c r="G1557" t="s">
        <v>78</v>
      </c>
      <c r="H1557" s="1">
        <v>45790</v>
      </c>
    </row>
    <row r="1558" spans="1:8">
      <c r="A1558" t="s">
        <v>3154</v>
      </c>
      <c r="B1558" t="s">
        <v>3155</v>
      </c>
      <c r="C1558" t="s">
        <v>31</v>
      </c>
      <c r="D1558">
        <v>69</v>
      </c>
      <c r="E1558" t="s">
        <v>134</v>
      </c>
      <c r="F1558" t="s">
        <v>28</v>
      </c>
      <c r="G1558" t="s">
        <v>12</v>
      </c>
      <c r="H1558" s="1">
        <v>45758</v>
      </c>
    </row>
    <row r="1559" spans="1:8">
      <c r="A1559" t="s">
        <v>3156</v>
      </c>
      <c r="B1559" t="s">
        <v>3157</v>
      </c>
      <c r="C1559" t="s">
        <v>10</v>
      </c>
      <c r="D1559">
        <v>27</v>
      </c>
      <c r="E1559" t="s">
        <v>63</v>
      </c>
      <c r="F1559" t="s">
        <v>64</v>
      </c>
      <c r="G1559" t="s">
        <v>12</v>
      </c>
      <c r="H1559" s="1">
        <v>45428</v>
      </c>
    </row>
    <row r="1560" spans="1:8">
      <c r="A1560" t="s">
        <v>3158</v>
      </c>
      <c r="B1560" t="s">
        <v>3159</v>
      </c>
      <c r="C1560" t="s">
        <v>31</v>
      </c>
      <c r="D1560">
        <v>44</v>
      </c>
      <c r="E1560" t="s">
        <v>34</v>
      </c>
      <c r="F1560" t="s">
        <v>16</v>
      </c>
      <c r="G1560" t="s">
        <v>17</v>
      </c>
      <c r="H1560" s="1">
        <v>45124</v>
      </c>
    </row>
    <row r="1561" spans="1:8">
      <c r="A1561" t="s">
        <v>3160</v>
      </c>
      <c r="B1561" t="s">
        <v>3161</v>
      </c>
      <c r="C1561" t="s">
        <v>31</v>
      </c>
      <c r="D1561">
        <v>52</v>
      </c>
      <c r="E1561" t="s">
        <v>218</v>
      </c>
      <c r="F1561" t="s">
        <v>219</v>
      </c>
      <c r="G1561" t="s">
        <v>17</v>
      </c>
      <c r="H1561" s="1">
        <v>44676</v>
      </c>
    </row>
    <row r="1562" spans="1:8">
      <c r="A1562" t="s">
        <v>3162</v>
      </c>
      <c r="B1562" t="s">
        <v>3163</v>
      </c>
      <c r="C1562" t="s">
        <v>31</v>
      </c>
      <c r="D1562">
        <v>48</v>
      </c>
      <c r="E1562" t="s">
        <v>20</v>
      </c>
      <c r="F1562" t="s">
        <v>21</v>
      </c>
      <c r="G1562" t="s">
        <v>22</v>
      </c>
      <c r="H1562" s="1">
        <v>45210</v>
      </c>
    </row>
    <row r="1563" spans="1:8">
      <c r="A1563" t="s">
        <v>3164</v>
      </c>
      <c r="B1563" t="s">
        <v>3165</v>
      </c>
      <c r="C1563" t="s">
        <v>31</v>
      </c>
      <c r="D1563">
        <v>48</v>
      </c>
      <c r="E1563" t="s">
        <v>134</v>
      </c>
      <c r="F1563" t="s">
        <v>28</v>
      </c>
      <c r="G1563" t="s">
        <v>12</v>
      </c>
      <c r="H1563" s="1">
        <v>44858</v>
      </c>
    </row>
    <row r="1564" spans="1:8">
      <c r="A1564" t="s">
        <v>3166</v>
      </c>
      <c r="B1564" t="s">
        <v>3167</v>
      </c>
      <c r="C1564" t="s">
        <v>10</v>
      </c>
      <c r="D1564">
        <v>65</v>
      </c>
      <c r="E1564" t="s">
        <v>134</v>
      </c>
      <c r="F1564" t="s">
        <v>28</v>
      </c>
      <c r="G1564" t="s">
        <v>12</v>
      </c>
      <c r="H1564" s="1">
        <v>44605</v>
      </c>
    </row>
    <row r="1565" spans="1:8">
      <c r="A1565" t="s">
        <v>3168</v>
      </c>
      <c r="B1565" t="s">
        <v>3169</v>
      </c>
      <c r="C1565" t="s">
        <v>10</v>
      </c>
      <c r="D1565">
        <v>34</v>
      </c>
      <c r="E1565" t="s">
        <v>11</v>
      </c>
      <c r="F1565" t="s">
        <v>11</v>
      </c>
      <c r="G1565" t="s">
        <v>12</v>
      </c>
      <c r="H1565" s="1">
        <v>45976</v>
      </c>
    </row>
    <row r="1566" spans="1:8">
      <c r="A1566" t="s">
        <v>3170</v>
      </c>
      <c r="B1566" t="s">
        <v>3171</v>
      </c>
      <c r="C1566" t="s">
        <v>31</v>
      </c>
      <c r="D1566">
        <v>69</v>
      </c>
      <c r="E1566" t="s">
        <v>37</v>
      </c>
      <c r="F1566" t="s">
        <v>38</v>
      </c>
      <c r="G1566" t="s">
        <v>22</v>
      </c>
      <c r="H1566" s="1">
        <v>45870</v>
      </c>
    </row>
    <row r="1567" spans="1:8">
      <c r="A1567" t="s">
        <v>3172</v>
      </c>
      <c r="B1567" t="s">
        <v>3173</v>
      </c>
      <c r="C1567" t="s">
        <v>31</v>
      </c>
      <c r="D1567">
        <v>42</v>
      </c>
      <c r="E1567" t="s">
        <v>27</v>
      </c>
      <c r="F1567" t="s">
        <v>28</v>
      </c>
      <c r="G1567" t="s">
        <v>12</v>
      </c>
      <c r="H1567" s="1">
        <v>45046</v>
      </c>
    </row>
    <row r="1568" spans="1:8">
      <c r="A1568" t="s">
        <v>3174</v>
      </c>
      <c r="B1568" t="s">
        <v>3175</v>
      </c>
      <c r="C1568" t="s">
        <v>31</v>
      </c>
      <c r="D1568">
        <v>23</v>
      </c>
      <c r="E1568" t="s">
        <v>41</v>
      </c>
      <c r="F1568" t="s">
        <v>42</v>
      </c>
      <c r="G1568" t="s">
        <v>17</v>
      </c>
      <c r="H1568" s="1">
        <v>45085</v>
      </c>
    </row>
    <row r="1569" spans="1:8">
      <c r="A1569" t="s">
        <v>3176</v>
      </c>
      <c r="B1569" t="s">
        <v>3177</v>
      </c>
      <c r="C1569" t="s">
        <v>10</v>
      </c>
      <c r="D1569">
        <v>28</v>
      </c>
      <c r="E1569" t="s">
        <v>76</v>
      </c>
      <c r="F1569" t="s">
        <v>77</v>
      </c>
      <c r="G1569" t="s">
        <v>78</v>
      </c>
      <c r="H1569" s="1">
        <v>45171</v>
      </c>
    </row>
    <row r="1570" spans="1:8">
      <c r="A1570" t="s">
        <v>3178</v>
      </c>
      <c r="B1570" t="s">
        <v>3179</v>
      </c>
      <c r="C1570" t="s">
        <v>31</v>
      </c>
      <c r="D1570">
        <v>68</v>
      </c>
      <c r="E1570" t="s">
        <v>91</v>
      </c>
      <c r="F1570" t="s">
        <v>92</v>
      </c>
      <c r="G1570" t="s">
        <v>78</v>
      </c>
      <c r="H1570" s="1">
        <v>45881</v>
      </c>
    </row>
    <row r="1571" spans="1:8">
      <c r="A1571" t="s">
        <v>3180</v>
      </c>
      <c r="B1571" t="s">
        <v>3181</v>
      </c>
      <c r="C1571" t="s">
        <v>31</v>
      </c>
      <c r="D1571">
        <v>65</v>
      </c>
      <c r="E1571" t="s">
        <v>15</v>
      </c>
      <c r="F1571" t="s">
        <v>16</v>
      </c>
      <c r="G1571" t="s">
        <v>17</v>
      </c>
      <c r="H1571" s="1">
        <v>45568</v>
      </c>
    </row>
    <row r="1572" spans="1:8">
      <c r="A1572" t="s">
        <v>3182</v>
      </c>
      <c r="B1572" t="s">
        <v>3183</v>
      </c>
      <c r="C1572" t="s">
        <v>10</v>
      </c>
      <c r="D1572">
        <v>70</v>
      </c>
      <c r="E1572" t="s">
        <v>37</v>
      </c>
      <c r="F1572" t="s">
        <v>38</v>
      </c>
      <c r="G1572" t="s">
        <v>22</v>
      </c>
      <c r="H1572" s="1">
        <v>45427</v>
      </c>
    </row>
    <row r="1573" spans="1:8">
      <c r="A1573" t="s">
        <v>3184</v>
      </c>
      <c r="B1573" t="s">
        <v>3185</v>
      </c>
      <c r="C1573" t="s">
        <v>10</v>
      </c>
      <c r="D1573">
        <v>40</v>
      </c>
      <c r="E1573" t="s">
        <v>45</v>
      </c>
      <c r="F1573" t="s">
        <v>46</v>
      </c>
      <c r="G1573" t="s">
        <v>17</v>
      </c>
      <c r="H1573" s="1">
        <v>45598</v>
      </c>
    </row>
    <row r="1574" spans="1:8">
      <c r="A1574" t="s">
        <v>3186</v>
      </c>
      <c r="B1574" t="s">
        <v>3187</v>
      </c>
      <c r="C1574" t="s">
        <v>31</v>
      </c>
      <c r="D1574">
        <v>62</v>
      </c>
      <c r="E1574" t="s">
        <v>60</v>
      </c>
      <c r="F1574" t="s">
        <v>21</v>
      </c>
      <c r="G1574" t="s">
        <v>22</v>
      </c>
      <c r="H1574" s="1">
        <v>45231</v>
      </c>
    </row>
    <row r="1575" spans="1:8">
      <c r="A1575" t="s">
        <v>3188</v>
      </c>
      <c r="B1575" t="s">
        <v>3189</v>
      </c>
      <c r="C1575" t="s">
        <v>10</v>
      </c>
      <c r="D1575">
        <v>58</v>
      </c>
      <c r="E1575" t="s">
        <v>15</v>
      </c>
      <c r="F1575" t="s">
        <v>16</v>
      </c>
      <c r="G1575" t="s">
        <v>17</v>
      </c>
      <c r="H1575" s="1">
        <v>45875</v>
      </c>
    </row>
    <row r="1576" spans="1:8">
      <c r="A1576" t="s">
        <v>3190</v>
      </c>
      <c r="B1576" t="s">
        <v>3191</v>
      </c>
      <c r="C1576" t="s">
        <v>31</v>
      </c>
      <c r="D1576">
        <v>30</v>
      </c>
      <c r="E1576" t="s">
        <v>101</v>
      </c>
      <c r="F1576" t="s">
        <v>21</v>
      </c>
      <c r="G1576" t="s">
        <v>22</v>
      </c>
      <c r="H1576" s="1">
        <v>44568</v>
      </c>
    </row>
    <row r="1577" spans="1:8">
      <c r="A1577" t="s">
        <v>3192</v>
      </c>
      <c r="B1577" t="s">
        <v>3193</v>
      </c>
      <c r="C1577" t="s">
        <v>10</v>
      </c>
      <c r="D1577">
        <v>25</v>
      </c>
      <c r="E1577" t="s">
        <v>134</v>
      </c>
      <c r="F1577" t="s">
        <v>28</v>
      </c>
      <c r="G1577" t="s">
        <v>12</v>
      </c>
      <c r="H1577" s="1">
        <v>45741</v>
      </c>
    </row>
    <row r="1578" spans="1:8">
      <c r="A1578" t="s">
        <v>3194</v>
      </c>
      <c r="B1578" t="s">
        <v>3195</v>
      </c>
      <c r="C1578" t="s">
        <v>10</v>
      </c>
      <c r="D1578">
        <v>56</v>
      </c>
      <c r="E1578" t="s">
        <v>218</v>
      </c>
      <c r="F1578" t="s">
        <v>219</v>
      </c>
      <c r="G1578" t="s">
        <v>17</v>
      </c>
      <c r="H1578" s="1">
        <v>45891</v>
      </c>
    </row>
    <row r="1579" spans="1:8">
      <c r="A1579" t="s">
        <v>3196</v>
      </c>
      <c r="B1579" t="s">
        <v>3197</v>
      </c>
      <c r="C1579" t="s">
        <v>31</v>
      </c>
      <c r="D1579">
        <v>65</v>
      </c>
      <c r="E1579" t="s">
        <v>134</v>
      </c>
      <c r="F1579" t="s">
        <v>28</v>
      </c>
      <c r="G1579" t="s">
        <v>12</v>
      </c>
      <c r="H1579" s="1">
        <v>45486</v>
      </c>
    </row>
    <row r="1580" spans="1:8">
      <c r="A1580" t="s">
        <v>3198</v>
      </c>
      <c r="B1580" t="s">
        <v>3199</v>
      </c>
      <c r="C1580" t="s">
        <v>31</v>
      </c>
      <c r="D1580">
        <v>69</v>
      </c>
      <c r="E1580" t="s">
        <v>34</v>
      </c>
      <c r="F1580" t="s">
        <v>16</v>
      </c>
      <c r="G1580" t="s">
        <v>17</v>
      </c>
      <c r="H1580" s="1">
        <v>45969</v>
      </c>
    </row>
    <row r="1581" spans="1:8">
      <c r="A1581" t="s">
        <v>3200</v>
      </c>
      <c r="B1581" t="s">
        <v>2890</v>
      </c>
      <c r="C1581" t="s">
        <v>31</v>
      </c>
      <c r="D1581">
        <v>29</v>
      </c>
      <c r="E1581" t="s">
        <v>15</v>
      </c>
      <c r="F1581" t="s">
        <v>16</v>
      </c>
      <c r="G1581" t="s">
        <v>17</v>
      </c>
      <c r="H1581" s="1">
        <v>45410</v>
      </c>
    </row>
    <row r="1582" spans="1:8">
      <c r="A1582" t="s">
        <v>3201</v>
      </c>
      <c r="B1582" t="s">
        <v>3202</v>
      </c>
      <c r="C1582" t="s">
        <v>10</v>
      </c>
      <c r="D1582">
        <v>19</v>
      </c>
      <c r="E1582" t="s">
        <v>149</v>
      </c>
      <c r="F1582" t="s">
        <v>38</v>
      </c>
      <c r="G1582" t="s">
        <v>22</v>
      </c>
      <c r="H1582" s="1">
        <v>45730</v>
      </c>
    </row>
    <row r="1583" spans="1:8">
      <c r="A1583" t="s">
        <v>3203</v>
      </c>
      <c r="B1583" t="s">
        <v>3204</v>
      </c>
      <c r="C1583" t="s">
        <v>10</v>
      </c>
      <c r="D1583">
        <v>23</v>
      </c>
      <c r="E1583" t="s">
        <v>128</v>
      </c>
      <c r="F1583" t="s">
        <v>129</v>
      </c>
      <c r="G1583" t="s">
        <v>78</v>
      </c>
      <c r="H1583" s="1">
        <v>45887</v>
      </c>
    </row>
    <row r="1584" spans="1:8">
      <c r="A1584" t="s">
        <v>3205</v>
      </c>
      <c r="B1584" t="s">
        <v>3206</v>
      </c>
      <c r="C1584" t="s">
        <v>10</v>
      </c>
      <c r="D1584">
        <v>21</v>
      </c>
      <c r="E1584" t="s">
        <v>76</v>
      </c>
      <c r="F1584" t="s">
        <v>77</v>
      </c>
      <c r="G1584" t="s">
        <v>78</v>
      </c>
      <c r="H1584" s="1">
        <v>45098</v>
      </c>
    </row>
    <row r="1585" spans="1:8">
      <c r="A1585" t="s">
        <v>3207</v>
      </c>
      <c r="B1585" t="s">
        <v>3208</v>
      </c>
      <c r="C1585" t="s">
        <v>31</v>
      </c>
      <c r="D1585">
        <v>27</v>
      </c>
      <c r="E1585" t="s">
        <v>149</v>
      </c>
      <c r="F1585" t="s">
        <v>38</v>
      </c>
      <c r="G1585" t="s">
        <v>22</v>
      </c>
      <c r="H1585" s="1">
        <v>45791</v>
      </c>
    </row>
    <row r="1586" spans="1:8">
      <c r="A1586" t="s">
        <v>3209</v>
      </c>
      <c r="B1586" t="s">
        <v>3210</v>
      </c>
      <c r="C1586" t="s">
        <v>10</v>
      </c>
      <c r="D1586">
        <v>18</v>
      </c>
      <c r="E1586" t="s">
        <v>45</v>
      </c>
      <c r="F1586" t="s">
        <v>46</v>
      </c>
      <c r="G1586" t="s">
        <v>17</v>
      </c>
      <c r="H1586" s="1">
        <v>44910</v>
      </c>
    </row>
    <row r="1587" spans="1:8">
      <c r="A1587" t="s">
        <v>3211</v>
      </c>
      <c r="B1587" t="s">
        <v>3212</v>
      </c>
      <c r="C1587" t="s">
        <v>31</v>
      </c>
      <c r="D1587">
        <v>25</v>
      </c>
      <c r="E1587" t="s">
        <v>69</v>
      </c>
      <c r="F1587" t="s">
        <v>69</v>
      </c>
      <c r="G1587" t="s">
        <v>12</v>
      </c>
      <c r="H1587" s="1">
        <v>45491</v>
      </c>
    </row>
    <row r="1588" spans="1:8">
      <c r="A1588" t="s">
        <v>3213</v>
      </c>
      <c r="B1588" t="s">
        <v>3214</v>
      </c>
      <c r="C1588" t="s">
        <v>31</v>
      </c>
      <c r="D1588">
        <v>36</v>
      </c>
      <c r="E1588" t="s">
        <v>34</v>
      </c>
      <c r="F1588" t="s">
        <v>16</v>
      </c>
      <c r="G1588" t="s">
        <v>17</v>
      </c>
      <c r="H1588" s="1">
        <v>44952</v>
      </c>
    </row>
    <row r="1589" spans="1:8">
      <c r="A1589" t="s">
        <v>3215</v>
      </c>
      <c r="B1589" t="s">
        <v>3216</v>
      </c>
      <c r="C1589" t="s">
        <v>31</v>
      </c>
      <c r="D1589">
        <v>31</v>
      </c>
      <c r="E1589" t="s">
        <v>69</v>
      </c>
      <c r="F1589" t="s">
        <v>69</v>
      </c>
      <c r="G1589" t="s">
        <v>12</v>
      </c>
      <c r="H1589" s="1">
        <v>44828</v>
      </c>
    </row>
    <row r="1590" spans="1:8">
      <c r="A1590" t="s">
        <v>3217</v>
      </c>
      <c r="B1590" t="s">
        <v>3218</v>
      </c>
      <c r="C1590" t="s">
        <v>10</v>
      </c>
      <c r="D1590">
        <v>44</v>
      </c>
      <c r="E1590" t="s">
        <v>134</v>
      </c>
      <c r="F1590" t="s">
        <v>28</v>
      </c>
      <c r="G1590" t="s">
        <v>12</v>
      </c>
      <c r="H1590" s="1">
        <v>45948</v>
      </c>
    </row>
    <row r="1591" spans="1:8">
      <c r="A1591" t="s">
        <v>3219</v>
      </c>
      <c r="B1591" t="s">
        <v>3220</v>
      </c>
      <c r="C1591" t="s">
        <v>31</v>
      </c>
      <c r="D1591">
        <v>34</v>
      </c>
      <c r="E1591" t="s">
        <v>34</v>
      </c>
      <c r="F1591" t="s">
        <v>16</v>
      </c>
      <c r="G1591" t="s">
        <v>17</v>
      </c>
      <c r="H1591" s="1">
        <v>44620</v>
      </c>
    </row>
    <row r="1592" spans="1:8">
      <c r="A1592" t="s">
        <v>3221</v>
      </c>
      <c r="B1592" t="s">
        <v>3222</v>
      </c>
      <c r="C1592" t="s">
        <v>31</v>
      </c>
      <c r="D1592">
        <v>55</v>
      </c>
      <c r="E1592" t="s">
        <v>41</v>
      </c>
      <c r="F1592" t="s">
        <v>42</v>
      </c>
      <c r="G1592" t="s">
        <v>17</v>
      </c>
      <c r="H1592" s="1">
        <v>45070</v>
      </c>
    </row>
    <row r="1593" spans="1:8">
      <c r="A1593" t="s">
        <v>3223</v>
      </c>
      <c r="B1593" t="s">
        <v>3224</v>
      </c>
      <c r="C1593" t="s">
        <v>10</v>
      </c>
      <c r="D1593">
        <v>48</v>
      </c>
      <c r="E1593" t="s">
        <v>69</v>
      </c>
      <c r="F1593" t="s">
        <v>69</v>
      </c>
      <c r="G1593" t="s">
        <v>12</v>
      </c>
      <c r="H1593" s="1">
        <v>44737</v>
      </c>
    </row>
    <row r="1594" spans="1:8">
      <c r="A1594" t="s">
        <v>3225</v>
      </c>
      <c r="B1594" t="s">
        <v>3226</v>
      </c>
      <c r="C1594" t="s">
        <v>31</v>
      </c>
      <c r="D1594">
        <v>61</v>
      </c>
      <c r="E1594" t="s">
        <v>45</v>
      </c>
      <c r="F1594" t="s">
        <v>46</v>
      </c>
      <c r="G1594" t="s">
        <v>17</v>
      </c>
      <c r="H1594" s="1">
        <v>45981</v>
      </c>
    </row>
    <row r="1595" spans="1:8">
      <c r="A1595" t="s">
        <v>3227</v>
      </c>
      <c r="B1595" t="s">
        <v>3228</v>
      </c>
      <c r="C1595" t="s">
        <v>31</v>
      </c>
      <c r="D1595">
        <v>65</v>
      </c>
      <c r="E1595" t="s">
        <v>41</v>
      </c>
      <c r="F1595" t="s">
        <v>42</v>
      </c>
      <c r="G1595" t="s">
        <v>17</v>
      </c>
      <c r="H1595" s="1">
        <v>46012</v>
      </c>
    </row>
    <row r="1596" spans="1:8">
      <c r="A1596" t="s">
        <v>3229</v>
      </c>
      <c r="B1596" t="s">
        <v>3230</v>
      </c>
      <c r="C1596" t="s">
        <v>10</v>
      </c>
      <c r="D1596">
        <v>21</v>
      </c>
      <c r="E1596" t="s">
        <v>11</v>
      </c>
      <c r="F1596" t="s">
        <v>11</v>
      </c>
      <c r="G1596" t="s">
        <v>12</v>
      </c>
      <c r="H1596" s="1">
        <v>44757</v>
      </c>
    </row>
    <row r="1597" spans="1:8">
      <c r="A1597" t="s">
        <v>3231</v>
      </c>
      <c r="B1597" t="s">
        <v>3232</v>
      </c>
      <c r="C1597" t="s">
        <v>31</v>
      </c>
      <c r="D1597">
        <v>56</v>
      </c>
      <c r="E1597" t="s">
        <v>101</v>
      </c>
      <c r="F1597" t="s">
        <v>21</v>
      </c>
      <c r="G1597" t="s">
        <v>22</v>
      </c>
      <c r="H1597" s="1">
        <v>45526</v>
      </c>
    </row>
    <row r="1598" spans="1:8">
      <c r="A1598" t="s">
        <v>3233</v>
      </c>
      <c r="B1598" t="s">
        <v>3234</v>
      </c>
      <c r="C1598" t="s">
        <v>10</v>
      </c>
      <c r="D1598">
        <v>18</v>
      </c>
      <c r="E1598" t="s">
        <v>128</v>
      </c>
      <c r="F1598" t="s">
        <v>129</v>
      </c>
      <c r="G1598" t="s">
        <v>78</v>
      </c>
      <c r="H1598" s="1">
        <v>46015</v>
      </c>
    </row>
    <row r="1599" spans="1:8">
      <c r="A1599" t="s">
        <v>3235</v>
      </c>
      <c r="B1599" t="s">
        <v>3236</v>
      </c>
      <c r="C1599" t="s">
        <v>31</v>
      </c>
      <c r="D1599">
        <v>43</v>
      </c>
      <c r="E1599" t="s">
        <v>218</v>
      </c>
      <c r="F1599" t="s">
        <v>219</v>
      </c>
      <c r="G1599" t="s">
        <v>17</v>
      </c>
      <c r="H1599" s="1">
        <v>45342</v>
      </c>
    </row>
    <row r="1600" spans="1:8">
      <c r="A1600" t="s">
        <v>3237</v>
      </c>
      <c r="B1600" t="s">
        <v>3238</v>
      </c>
      <c r="C1600" t="s">
        <v>10</v>
      </c>
      <c r="D1600">
        <v>55</v>
      </c>
      <c r="E1600" t="s">
        <v>63</v>
      </c>
      <c r="F1600" t="s">
        <v>64</v>
      </c>
      <c r="G1600" t="s">
        <v>12</v>
      </c>
      <c r="H1600" s="1">
        <v>45707</v>
      </c>
    </row>
    <row r="1601" spans="1:8">
      <c r="A1601" t="s">
        <v>3239</v>
      </c>
      <c r="B1601" t="s">
        <v>3240</v>
      </c>
      <c r="C1601" t="s">
        <v>31</v>
      </c>
      <c r="D1601">
        <v>39</v>
      </c>
      <c r="E1601" t="s">
        <v>34</v>
      </c>
      <c r="F1601" t="s">
        <v>16</v>
      </c>
      <c r="G1601" t="s">
        <v>17</v>
      </c>
      <c r="H1601" s="1">
        <v>45593</v>
      </c>
    </row>
    <row r="1602" spans="1:8">
      <c r="A1602" t="s">
        <v>3241</v>
      </c>
      <c r="B1602" t="s">
        <v>3242</v>
      </c>
      <c r="C1602" t="s">
        <v>31</v>
      </c>
      <c r="D1602">
        <v>63</v>
      </c>
      <c r="E1602" t="s">
        <v>76</v>
      </c>
      <c r="F1602" t="s">
        <v>77</v>
      </c>
      <c r="G1602" t="s">
        <v>78</v>
      </c>
      <c r="H1602" s="1">
        <v>44745</v>
      </c>
    </row>
    <row r="1603" spans="1:8">
      <c r="A1603" t="s">
        <v>3243</v>
      </c>
      <c r="B1603" t="s">
        <v>3244</v>
      </c>
      <c r="C1603" t="s">
        <v>10</v>
      </c>
      <c r="D1603">
        <v>38</v>
      </c>
      <c r="E1603" t="s">
        <v>101</v>
      </c>
      <c r="F1603" t="s">
        <v>21</v>
      </c>
      <c r="G1603" t="s">
        <v>22</v>
      </c>
      <c r="H1603" s="1">
        <v>45095</v>
      </c>
    </row>
    <row r="1604" spans="1:8">
      <c r="A1604" t="s">
        <v>3245</v>
      </c>
      <c r="B1604" t="s">
        <v>3246</v>
      </c>
      <c r="C1604" t="s">
        <v>31</v>
      </c>
      <c r="D1604">
        <v>65</v>
      </c>
      <c r="E1604" t="s">
        <v>34</v>
      </c>
      <c r="F1604" t="s">
        <v>16</v>
      </c>
      <c r="G1604" t="s">
        <v>17</v>
      </c>
      <c r="H1604" s="1">
        <v>45584</v>
      </c>
    </row>
    <row r="1605" spans="1:8">
      <c r="A1605" t="s">
        <v>3247</v>
      </c>
      <c r="B1605" t="s">
        <v>3248</v>
      </c>
      <c r="C1605" t="s">
        <v>31</v>
      </c>
      <c r="D1605">
        <v>57</v>
      </c>
      <c r="E1605" t="s">
        <v>149</v>
      </c>
      <c r="F1605" t="s">
        <v>38</v>
      </c>
      <c r="G1605" t="s">
        <v>22</v>
      </c>
      <c r="H1605" s="1">
        <v>45141</v>
      </c>
    </row>
    <row r="1606" spans="1:8">
      <c r="A1606" t="s">
        <v>3249</v>
      </c>
      <c r="B1606" t="s">
        <v>3250</v>
      </c>
      <c r="C1606" t="s">
        <v>31</v>
      </c>
      <c r="D1606">
        <v>45</v>
      </c>
      <c r="E1606" t="s">
        <v>91</v>
      </c>
      <c r="F1606" t="s">
        <v>92</v>
      </c>
      <c r="G1606" t="s">
        <v>78</v>
      </c>
      <c r="H1606" s="1">
        <v>45620</v>
      </c>
    </row>
    <row r="1607" spans="1:8">
      <c r="A1607" t="s">
        <v>3251</v>
      </c>
      <c r="B1607" t="s">
        <v>3252</v>
      </c>
      <c r="C1607" t="s">
        <v>10</v>
      </c>
      <c r="D1607">
        <v>53</v>
      </c>
      <c r="E1607" t="s">
        <v>91</v>
      </c>
      <c r="F1607" t="s">
        <v>92</v>
      </c>
      <c r="G1607" t="s">
        <v>78</v>
      </c>
      <c r="H1607" s="1">
        <v>45568</v>
      </c>
    </row>
    <row r="1608" spans="1:8">
      <c r="A1608" t="s">
        <v>3253</v>
      </c>
      <c r="B1608" t="s">
        <v>3254</v>
      </c>
      <c r="C1608" t="s">
        <v>10</v>
      </c>
      <c r="D1608">
        <v>27</v>
      </c>
      <c r="E1608" t="s">
        <v>112</v>
      </c>
      <c r="F1608" t="s">
        <v>113</v>
      </c>
      <c r="G1608" t="s">
        <v>78</v>
      </c>
      <c r="H1608" s="1">
        <v>44670</v>
      </c>
    </row>
    <row r="1609" spans="1:8">
      <c r="A1609" t="s">
        <v>3255</v>
      </c>
      <c r="B1609" t="s">
        <v>3256</v>
      </c>
      <c r="C1609" t="s">
        <v>31</v>
      </c>
      <c r="D1609">
        <v>34</v>
      </c>
      <c r="E1609" t="s">
        <v>34</v>
      </c>
      <c r="F1609" t="s">
        <v>16</v>
      </c>
      <c r="G1609" t="s">
        <v>17</v>
      </c>
      <c r="H1609" s="1">
        <v>44635</v>
      </c>
    </row>
    <row r="1610" spans="1:8">
      <c r="A1610" t="s">
        <v>3257</v>
      </c>
      <c r="B1610" t="s">
        <v>3258</v>
      </c>
      <c r="C1610" t="s">
        <v>10</v>
      </c>
      <c r="D1610">
        <v>49</v>
      </c>
      <c r="E1610" t="s">
        <v>41</v>
      </c>
      <c r="F1610" t="s">
        <v>42</v>
      </c>
      <c r="G1610" t="s">
        <v>17</v>
      </c>
      <c r="H1610" s="1">
        <v>45455</v>
      </c>
    </row>
    <row r="1611" spans="1:8">
      <c r="A1611" t="s">
        <v>3259</v>
      </c>
      <c r="B1611" t="s">
        <v>3260</v>
      </c>
      <c r="C1611" t="s">
        <v>31</v>
      </c>
      <c r="D1611">
        <v>47</v>
      </c>
      <c r="E1611" t="s">
        <v>45</v>
      </c>
      <c r="F1611" t="s">
        <v>46</v>
      </c>
      <c r="G1611" t="s">
        <v>17</v>
      </c>
      <c r="H1611" s="1">
        <v>46014</v>
      </c>
    </row>
    <row r="1612" spans="1:8">
      <c r="A1612" t="s">
        <v>3261</v>
      </c>
      <c r="B1612" t="s">
        <v>3262</v>
      </c>
      <c r="C1612" t="s">
        <v>31</v>
      </c>
      <c r="D1612">
        <v>23</v>
      </c>
      <c r="E1612" t="s">
        <v>101</v>
      </c>
      <c r="F1612" t="s">
        <v>21</v>
      </c>
      <c r="G1612" t="s">
        <v>22</v>
      </c>
      <c r="H1612" s="1">
        <v>44815</v>
      </c>
    </row>
    <row r="1613" spans="1:8">
      <c r="A1613" t="s">
        <v>3263</v>
      </c>
      <c r="B1613" t="s">
        <v>3264</v>
      </c>
      <c r="C1613" t="s">
        <v>10</v>
      </c>
      <c r="D1613">
        <v>65</v>
      </c>
      <c r="E1613" t="s">
        <v>45</v>
      </c>
      <c r="F1613" t="s">
        <v>46</v>
      </c>
      <c r="G1613" t="s">
        <v>17</v>
      </c>
      <c r="H1613" s="1">
        <v>44931</v>
      </c>
    </row>
    <row r="1614" spans="1:8">
      <c r="A1614" t="s">
        <v>3265</v>
      </c>
      <c r="B1614" t="s">
        <v>3266</v>
      </c>
      <c r="C1614" t="s">
        <v>10</v>
      </c>
      <c r="D1614">
        <v>55</v>
      </c>
      <c r="E1614" t="s">
        <v>37</v>
      </c>
      <c r="F1614" t="s">
        <v>38</v>
      </c>
      <c r="G1614" t="s">
        <v>22</v>
      </c>
      <c r="H1614" s="1">
        <v>45715</v>
      </c>
    </row>
    <row r="1615" spans="1:8">
      <c r="A1615" t="s">
        <v>3267</v>
      </c>
      <c r="B1615" t="s">
        <v>3268</v>
      </c>
      <c r="C1615" t="s">
        <v>10</v>
      </c>
      <c r="D1615">
        <v>44</v>
      </c>
      <c r="E1615" t="s">
        <v>87</v>
      </c>
      <c r="F1615" t="s">
        <v>88</v>
      </c>
      <c r="G1615" t="s">
        <v>78</v>
      </c>
      <c r="H1615" s="1">
        <v>45639</v>
      </c>
    </row>
    <row r="1616" spans="1:8">
      <c r="A1616" t="s">
        <v>3269</v>
      </c>
      <c r="B1616" t="s">
        <v>3270</v>
      </c>
      <c r="C1616" t="s">
        <v>10</v>
      </c>
      <c r="D1616">
        <v>39</v>
      </c>
      <c r="E1616" t="s">
        <v>76</v>
      </c>
      <c r="F1616" t="s">
        <v>77</v>
      </c>
      <c r="G1616" t="s">
        <v>78</v>
      </c>
      <c r="H1616" s="1">
        <v>45582</v>
      </c>
    </row>
    <row r="1617" spans="1:8">
      <c r="A1617" t="s">
        <v>3271</v>
      </c>
      <c r="B1617" t="s">
        <v>3272</v>
      </c>
      <c r="C1617" t="s">
        <v>31</v>
      </c>
      <c r="D1617">
        <v>55</v>
      </c>
      <c r="E1617" t="s">
        <v>15</v>
      </c>
      <c r="F1617" t="s">
        <v>16</v>
      </c>
      <c r="G1617" t="s">
        <v>17</v>
      </c>
      <c r="H1617" s="1">
        <v>45369</v>
      </c>
    </row>
    <row r="1618" spans="1:8">
      <c r="A1618" t="s">
        <v>3273</v>
      </c>
      <c r="B1618" t="s">
        <v>3274</v>
      </c>
      <c r="C1618" t="s">
        <v>10</v>
      </c>
      <c r="D1618">
        <v>19</v>
      </c>
      <c r="E1618" t="s">
        <v>87</v>
      </c>
      <c r="F1618" t="s">
        <v>88</v>
      </c>
      <c r="G1618" t="s">
        <v>78</v>
      </c>
      <c r="H1618" s="1">
        <v>45224</v>
      </c>
    </row>
    <row r="1619" spans="1:8">
      <c r="A1619" t="s">
        <v>3275</v>
      </c>
      <c r="B1619" t="s">
        <v>3276</v>
      </c>
      <c r="C1619" t="s">
        <v>31</v>
      </c>
      <c r="D1619">
        <v>56</v>
      </c>
      <c r="E1619" t="s">
        <v>41</v>
      </c>
      <c r="F1619" t="s">
        <v>42</v>
      </c>
      <c r="G1619" t="s">
        <v>17</v>
      </c>
      <c r="H1619" s="1">
        <v>45491</v>
      </c>
    </row>
    <row r="1620" spans="1:8">
      <c r="A1620" t="s">
        <v>3277</v>
      </c>
      <c r="B1620" t="s">
        <v>3278</v>
      </c>
      <c r="C1620" t="s">
        <v>31</v>
      </c>
      <c r="D1620">
        <v>38</v>
      </c>
      <c r="E1620" t="s">
        <v>134</v>
      </c>
      <c r="F1620" t="s">
        <v>28</v>
      </c>
      <c r="G1620" t="s">
        <v>12</v>
      </c>
      <c r="H1620" s="1">
        <v>44651</v>
      </c>
    </row>
    <row r="1621" spans="1:8">
      <c r="A1621" t="s">
        <v>3279</v>
      </c>
      <c r="B1621" t="s">
        <v>3280</v>
      </c>
      <c r="C1621" t="s">
        <v>10</v>
      </c>
      <c r="D1621">
        <v>21</v>
      </c>
      <c r="E1621" t="s">
        <v>128</v>
      </c>
      <c r="F1621" t="s">
        <v>129</v>
      </c>
      <c r="G1621" t="s">
        <v>78</v>
      </c>
      <c r="H1621" s="1">
        <v>44826</v>
      </c>
    </row>
    <row r="1622" spans="1:8">
      <c r="A1622" t="s">
        <v>3281</v>
      </c>
      <c r="B1622" t="s">
        <v>3282</v>
      </c>
      <c r="C1622" t="s">
        <v>10</v>
      </c>
      <c r="D1622">
        <v>65</v>
      </c>
      <c r="E1622" t="s">
        <v>134</v>
      </c>
      <c r="F1622" t="s">
        <v>28</v>
      </c>
      <c r="G1622" t="s">
        <v>12</v>
      </c>
      <c r="H1622" s="1">
        <v>45223</v>
      </c>
    </row>
    <row r="1623" spans="1:8">
      <c r="A1623" t="s">
        <v>3283</v>
      </c>
      <c r="B1623" t="s">
        <v>3284</v>
      </c>
      <c r="C1623" t="s">
        <v>10</v>
      </c>
      <c r="D1623">
        <v>43</v>
      </c>
      <c r="E1623" t="s">
        <v>218</v>
      </c>
      <c r="F1623" t="s">
        <v>219</v>
      </c>
      <c r="G1623" t="s">
        <v>17</v>
      </c>
      <c r="H1623" s="1">
        <v>45343</v>
      </c>
    </row>
    <row r="1624" spans="1:8">
      <c r="A1624" t="s">
        <v>3285</v>
      </c>
      <c r="B1624" t="s">
        <v>3286</v>
      </c>
      <c r="C1624" t="s">
        <v>10</v>
      </c>
      <c r="D1624">
        <v>19</v>
      </c>
      <c r="E1624" t="s">
        <v>34</v>
      </c>
      <c r="F1624" t="s">
        <v>16</v>
      </c>
      <c r="G1624" t="s">
        <v>17</v>
      </c>
      <c r="H1624" s="1">
        <v>45378</v>
      </c>
    </row>
    <row r="1625" spans="1:8">
      <c r="A1625" t="s">
        <v>3287</v>
      </c>
      <c r="B1625" t="s">
        <v>3288</v>
      </c>
      <c r="C1625" t="s">
        <v>31</v>
      </c>
      <c r="D1625">
        <v>36</v>
      </c>
      <c r="E1625" t="s">
        <v>76</v>
      </c>
      <c r="F1625" t="s">
        <v>77</v>
      </c>
      <c r="G1625" t="s">
        <v>78</v>
      </c>
      <c r="H1625" s="1">
        <v>45357</v>
      </c>
    </row>
    <row r="1626" spans="1:8">
      <c r="A1626" t="s">
        <v>3289</v>
      </c>
      <c r="B1626" t="s">
        <v>3290</v>
      </c>
      <c r="C1626" t="s">
        <v>31</v>
      </c>
      <c r="D1626">
        <v>49</v>
      </c>
      <c r="E1626" t="s">
        <v>63</v>
      </c>
      <c r="F1626" t="s">
        <v>64</v>
      </c>
      <c r="G1626" t="s">
        <v>12</v>
      </c>
      <c r="H1626" s="1">
        <v>44808</v>
      </c>
    </row>
    <row r="1627" spans="1:8">
      <c r="A1627" t="s">
        <v>3291</v>
      </c>
      <c r="B1627" t="s">
        <v>3292</v>
      </c>
      <c r="C1627" t="s">
        <v>10</v>
      </c>
      <c r="D1627">
        <v>40</v>
      </c>
      <c r="E1627" t="s">
        <v>134</v>
      </c>
      <c r="F1627" t="s">
        <v>28</v>
      </c>
      <c r="G1627" t="s">
        <v>12</v>
      </c>
      <c r="H1627" s="1">
        <v>45964</v>
      </c>
    </row>
    <row r="1628" spans="1:8">
      <c r="A1628" t="s">
        <v>3293</v>
      </c>
      <c r="B1628" t="s">
        <v>3294</v>
      </c>
      <c r="C1628" t="s">
        <v>10</v>
      </c>
      <c r="D1628">
        <v>49</v>
      </c>
      <c r="E1628" t="s">
        <v>134</v>
      </c>
      <c r="F1628" t="s">
        <v>28</v>
      </c>
      <c r="G1628" t="s">
        <v>12</v>
      </c>
      <c r="H1628" s="1">
        <v>45611</v>
      </c>
    </row>
    <row r="1629" spans="1:8">
      <c r="A1629" t="s">
        <v>3295</v>
      </c>
      <c r="B1629" t="s">
        <v>3296</v>
      </c>
      <c r="C1629" t="s">
        <v>31</v>
      </c>
      <c r="D1629">
        <v>54</v>
      </c>
      <c r="E1629" t="s">
        <v>149</v>
      </c>
      <c r="F1629" t="s">
        <v>38</v>
      </c>
      <c r="G1629" t="s">
        <v>22</v>
      </c>
      <c r="H1629" s="1">
        <v>45537</v>
      </c>
    </row>
    <row r="1630" spans="1:8">
      <c r="A1630" t="s">
        <v>3297</v>
      </c>
      <c r="B1630" t="s">
        <v>3298</v>
      </c>
      <c r="C1630" t="s">
        <v>31</v>
      </c>
      <c r="D1630">
        <v>57</v>
      </c>
      <c r="E1630" t="s">
        <v>11</v>
      </c>
      <c r="F1630" t="s">
        <v>11</v>
      </c>
      <c r="G1630" t="s">
        <v>12</v>
      </c>
      <c r="H1630" s="1">
        <v>45427</v>
      </c>
    </row>
    <row r="1631" spans="1:8">
      <c r="A1631" t="s">
        <v>3299</v>
      </c>
      <c r="B1631" t="s">
        <v>3300</v>
      </c>
      <c r="C1631" t="s">
        <v>10</v>
      </c>
      <c r="D1631">
        <v>50</v>
      </c>
      <c r="E1631" t="s">
        <v>41</v>
      </c>
      <c r="F1631" t="s">
        <v>42</v>
      </c>
      <c r="G1631" t="s">
        <v>17</v>
      </c>
      <c r="H1631" s="1">
        <v>44752</v>
      </c>
    </row>
    <row r="1632" spans="1:8">
      <c r="A1632" t="s">
        <v>3301</v>
      </c>
      <c r="B1632" t="s">
        <v>3302</v>
      </c>
      <c r="C1632" t="s">
        <v>10</v>
      </c>
      <c r="D1632">
        <v>59</v>
      </c>
      <c r="E1632" t="s">
        <v>149</v>
      </c>
      <c r="F1632" t="s">
        <v>38</v>
      </c>
      <c r="G1632" t="s">
        <v>22</v>
      </c>
      <c r="H1632" s="1">
        <v>45947</v>
      </c>
    </row>
    <row r="1633" spans="1:8">
      <c r="A1633" t="s">
        <v>3303</v>
      </c>
      <c r="B1633" t="s">
        <v>3304</v>
      </c>
      <c r="C1633" t="s">
        <v>10</v>
      </c>
      <c r="D1633">
        <v>36</v>
      </c>
      <c r="E1633" t="s">
        <v>63</v>
      </c>
      <c r="F1633" t="s">
        <v>64</v>
      </c>
      <c r="G1633" t="s">
        <v>12</v>
      </c>
      <c r="H1633" s="1">
        <v>45576</v>
      </c>
    </row>
    <row r="1634" spans="1:8">
      <c r="A1634" t="s">
        <v>3305</v>
      </c>
      <c r="B1634" t="s">
        <v>3306</v>
      </c>
      <c r="C1634" t="s">
        <v>31</v>
      </c>
      <c r="D1634">
        <v>27</v>
      </c>
      <c r="E1634" t="s">
        <v>20</v>
      </c>
      <c r="F1634" t="s">
        <v>21</v>
      </c>
      <c r="G1634" t="s">
        <v>22</v>
      </c>
      <c r="H1634" s="1">
        <v>45540</v>
      </c>
    </row>
    <row r="1635" spans="1:8">
      <c r="A1635" t="s">
        <v>3307</v>
      </c>
      <c r="B1635" t="s">
        <v>3308</v>
      </c>
      <c r="C1635" t="s">
        <v>31</v>
      </c>
      <c r="D1635">
        <v>36</v>
      </c>
      <c r="E1635" t="s">
        <v>91</v>
      </c>
      <c r="F1635" t="s">
        <v>92</v>
      </c>
      <c r="G1635" t="s">
        <v>78</v>
      </c>
      <c r="H1635" s="1">
        <v>45071</v>
      </c>
    </row>
    <row r="1636" spans="1:8">
      <c r="A1636" t="s">
        <v>3309</v>
      </c>
      <c r="B1636" t="s">
        <v>3310</v>
      </c>
      <c r="C1636" t="s">
        <v>10</v>
      </c>
      <c r="D1636">
        <v>50</v>
      </c>
      <c r="E1636" t="s">
        <v>60</v>
      </c>
      <c r="F1636" t="s">
        <v>21</v>
      </c>
      <c r="G1636" t="s">
        <v>22</v>
      </c>
      <c r="H1636" s="1">
        <v>44718</v>
      </c>
    </row>
    <row r="1637" spans="1:8">
      <c r="A1637" t="s">
        <v>3311</v>
      </c>
      <c r="B1637" t="s">
        <v>3312</v>
      </c>
      <c r="C1637" t="s">
        <v>10</v>
      </c>
      <c r="D1637">
        <v>47</v>
      </c>
      <c r="E1637" t="s">
        <v>41</v>
      </c>
      <c r="F1637" t="s">
        <v>42</v>
      </c>
      <c r="G1637" t="s">
        <v>17</v>
      </c>
      <c r="H1637" s="1">
        <v>45407</v>
      </c>
    </row>
    <row r="1638" spans="1:8">
      <c r="A1638" t="s">
        <v>3313</v>
      </c>
      <c r="B1638" t="s">
        <v>3314</v>
      </c>
      <c r="C1638" t="s">
        <v>31</v>
      </c>
      <c r="D1638">
        <v>34</v>
      </c>
      <c r="E1638" t="s">
        <v>27</v>
      </c>
      <c r="F1638" t="s">
        <v>28</v>
      </c>
      <c r="G1638" t="s">
        <v>12</v>
      </c>
      <c r="H1638" s="1">
        <v>45080</v>
      </c>
    </row>
    <row r="1639" spans="1:8">
      <c r="A1639" t="s">
        <v>3315</v>
      </c>
      <c r="B1639" t="s">
        <v>3316</v>
      </c>
      <c r="C1639" t="s">
        <v>10</v>
      </c>
      <c r="D1639">
        <v>65</v>
      </c>
      <c r="E1639" t="s">
        <v>27</v>
      </c>
      <c r="F1639" t="s">
        <v>28</v>
      </c>
      <c r="G1639" t="s">
        <v>12</v>
      </c>
      <c r="H1639" s="1">
        <v>44595</v>
      </c>
    </row>
    <row r="1640" spans="1:8">
      <c r="A1640" t="s">
        <v>3317</v>
      </c>
      <c r="B1640" t="s">
        <v>3318</v>
      </c>
      <c r="C1640" t="s">
        <v>31</v>
      </c>
      <c r="D1640">
        <v>20</v>
      </c>
      <c r="E1640" t="s">
        <v>63</v>
      </c>
      <c r="F1640" t="s">
        <v>64</v>
      </c>
      <c r="G1640" t="s">
        <v>12</v>
      </c>
      <c r="H1640" s="1">
        <v>44935</v>
      </c>
    </row>
    <row r="1641" spans="1:8">
      <c r="A1641" t="s">
        <v>3319</v>
      </c>
      <c r="B1641" t="s">
        <v>3320</v>
      </c>
      <c r="C1641" t="s">
        <v>31</v>
      </c>
      <c r="D1641">
        <v>66</v>
      </c>
      <c r="E1641" t="s">
        <v>45</v>
      </c>
      <c r="F1641" t="s">
        <v>46</v>
      </c>
      <c r="G1641" t="s">
        <v>17</v>
      </c>
      <c r="H1641" s="1">
        <v>45204</v>
      </c>
    </row>
    <row r="1642" spans="1:8">
      <c r="A1642" t="s">
        <v>3321</v>
      </c>
      <c r="B1642" t="s">
        <v>3322</v>
      </c>
      <c r="C1642" t="s">
        <v>31</v>
      </c>
      <c r="D1642">
        <v>69</v>
      </c>
      <c r="E1642" t="s">
        <v>27</v>
      </c>
      <c r="F1642" t="s">
        <v>28</v>
      </c>
      <c r="G1642" t="s">
        <v>12</v>
      </c>
      <c r="H1642" s="1">
        <v>45104</v>
      </c>
    </row>
    <row r="1643" spans="1:8">
      <c r="A1643" t="s">
        <v>3323</v>
      </c>
      <c r="B1643" t="s">
        <v>3324</v>
      </c>
      <c r="C1643" t="s">
        <v>31</v>
      </c>
      <c r="D1643">
        <v>61</v>
      </c>
      <c r="E1643" t="s">
        <v>34</v>
      </c>
      <c r="F1643" t="s">
        <v>16</v>
      </c>
      <c r="G1643" t="s">
        <v>17</v>
      </c>
      <c r="H1643" s="1">
        <v>44722</v>
      </c>
    </row>
    <row r="1644" spans="1:8">
      <c r="A1644" t="s">
        <v>3325</v>
      </c>
      <c r="B1644" t="s">
        <v>3326</v>
      </c>
      <c r="C1644" t="s">
        <v>10</v>
      </c>
      <c r="D1644">
        <v>43</v>
      </c>
      <c r="E1644" t="s">
        <v>218</v>
      </c>
      <c r="F1644" t="s">
        <v>219</v>
      </c>
      <c r="G1644" t="s">
        <v>17</v>
      </c>
      <c r="H1644" s="1">
        <v>44598</v>
      </c>
    </row>
    <row r="1645" spans="1:8">
      <c r="A1645" t="s">
        <v>3327</v>
      </c>
      <c r="B1645" t="s">
        <v>3328</v>
      </c>
      <c r="C1645" t="s">
        <v>31</v>
      </c>
      <c r="D1645">
        <v>47</v>
      </c>
      <c r="E1645" t="s">
        <v>34</v>
      </c>
      <c r="F1645" t="s">
        <v>16</v>
      </c>
      <c r="G1645" t="s">
        <v>17</v>
      </c>
      <c r="H1645" s="1">
        <v>45905</v>
      </c>
    </row>
    <row r="1646" spans="1:8">
      <c r="A1646" t="s">
        <v>3329</v>
      </c>
      <c r="B1646" t="s">
        <v>3330</v>
      </c>
      <c r="C1646" t="s">
        <v>31</v>
      </c>
      <c r="D1646">
        <v>57</v>
      </c>
      <c r="E1646" t="s">
        <v>27</v>
      </c>
      <c r="F1646" t="s">
        <v>28</v>
      </c>
      <c r="G1646" t="s">
        <v>12</v>
      </c>
      <c r="H1646" s="1">
        <v>45558</v>
      </c>
    </row>
    <row r="1647" spans="1:8">
      <c r="A1647" t="s">
        <v>3331</v>
      </c>
      <c r="B1647" t="s">
        <v>3332</v>
      </c>
      <c r="C1647" t="s">
        <v>31</v>
      </c>
      <c r="D1647">
        <v>69</v>
      </c>
      <c r="E1647" t="s">
        <v>27</v>
      </c>
      <c r="F1647" t="s">
        <v>28</v>
      </c>
      <c r="G1647" t="s">
        <v>12</v>
      </c>
      <c r="H1647" s="1">
        <v>45300</v>
      </c>
    </row>
    <row r="1648" spans="1:8">
      <c r="A1648" t="s">
        <v>3333</v>
      </c>
      <c r="B1648" t="s">
        <v>3334</v>
      </c>
      <c r="C1648" t="s">
        <v>10</v>
      </c>
      <c r="D1648">
        <v>30</v>
      </c>
      <c r="E1648" t="s">
        <v>101</v>
      </c>
      <c r="F1648" t="s">
        <v>21</v>
      </c>
      <c r="G1648" t="s">
        <v>22</v>
      </c>
      <c r="H1648" s="1">
        <v>44838</v>
      </c>
    </row>
    <row r="1649" spans="1:8">
      <c r="A1649" t="s">
        <v>3335</v>
      </c>
      <c r="B1649" t="s">
        <v>3336</v>
      </c>
      <c r="C1649" t="s">
        <v>10</v>
      </c>
      <c r="D1649">
        <v>19</v>
      </c>
      <c r="E1649" t="s">
        <v>15</v>
      </c>
      <c r="F1649" t="s">
        <v>16</v>
      </c>
      <c r="G1649" t="s">
        <v>17</v>
      </c>
      <c r="H1649" s="1">
        <v>45987</v>
      </c>
    </row>
    <row r="1650" spans="1:8">
      <c r="A1650" t="s">
        <v>3337</v>
      </c>
      <c r="B1650" t="s">
        <v>3338</v>
      </c>
      <c r="C1650" t="s">
        <v>10</v>
      </c>
      <c r="D1650">
        <v>45</v>
      </c>
      <c r="E1650" t="s">
        <v>34</v>
      </c>
      <c r="F1650" t="s">
        <v>16</v>
      </c>
      <c r="G1650" t="s">
        <v>17</v>
      </c>
      <c r="H1650" s="1">
        <v>45892</v>
      </c>
    </row>
    <row r="1651" spans="1:8">
      <c r="A1651" t="s">
        <v>3339</v>
      </c>
      <c r="B1651" t="s">
        <v>3340</v>
      </c>
      <c r="C1651" t="s">
        <v>10</v>
      </c>
      <c r="D1651">
        <v>37</v>
      </c>
      <c r="E1651" t="s">
        <v>128</v>
      </c>
      <c r="F1651" t="s">
        <v>129</v>
      </c>
      <c r="G1651" t="s">
        <v>78</v>
      </c>
      <c r="H1651" s="1">
        <v>44952</v>
      </c>
    </row>
    <row r="1652" spans="1:8">
      <c r="A1652" t="s">
        <v>3341</v>
      </c>
      <c r="B1652" t="s">
        <v>3342</v>
      </c>
      <c r="C1652" t="s">
        <v>31</v>
      </c>
      <c r="D1652">
        <v>19</v>
      </c>
      <c r="E1652" t="s">
        <v>63</v>
      </c>
      <c r="F1652" t="s">
        <v>64</v>
      </c>
      <c r="G1652" t="s">
        <v>12</v>
      </c>
      <c r="H1652" s="1">
        <v>45532</v>
      </c>
    </row>
    <row r="1653" spans="1:8">
      <c r="A1653" t="s">
        <v>3343</v>
      </c>
      <c r="B1653" t="s">
        <v>3344</v>
      </c>
      <c r="C1653" t="s">
        <v>31</v>
      </c>
      <c r="D1653">
        <v>49</v>
      </c>
      <c r="E1653" t="s">
        <v>34</v>
      </c>
      <c r="F1653" t="s">
        <v>16</v>
      </c>
      <c r="G1653" t="s">
        <v>17</v>
      </c>
      <c r="H1653" s="1">
        <v>46000</v>
      </c>
    </row>
    <row r="1654" spans="1:8">
      <c r="A1654" t="s">
        <v>3345</v>
      </c>
      <c r="B1654" t="s">
        <v>3346</v>
      </c>
      <c r="C1654" t="s">
        <v>10</v>
      </c>
      <c r="D1654">
        <v>30</v>
      </c>
      <c r="E1654" t="s">
        <v>149</v>
      </c>
      <c r="F1654" t="s">
        <v>38</v>
      </c>
      <c r="G1654" t="s">
        <v>22</v>
      </c>
      <c r="H1654" s="1">
        <v>45760</v>
      </c>
    </row>
    <row r="1655" spans="1:8">
      <c r="A1655" t="s">
        <v>3347</v>
      </c>
      <c r="B1655" t="s">
        <v>3348</v>
      </c>
      <c r="C1655" t="s">
        <v>31</v>
      </c>
      <c r="D1655">
        <v>18</v>
      </c>
      <c r="E1655" t="s">
        <v>41</v>
      </c>
      <c r="F1655" t="s">
        <v>42</v>
      </c>
      <c r="G1655" t="s">
        <v>17</v>
      </c>
      <c r="H1655" s="1">
        <v>44666</v>
      </c>
    </row>
    <row r="1656" spans="1:8">
      <c r="A1656" t="s">
        <v>3349</v>
      </c>
      <c r="B1656" t="s">
        <v>3350</v>
      </c>
      <c r="C1656" t="s">
        <v>31</v>
      </c>
      <c r="D1656">
        <v>65</v>
      </c>
      <c r="E1656" t="s">
        <v>41</v>
      </c>
      <c r="F1656" t="s">
        <v>42</v>
      </c>
      <c r="G1656" t="s">
        <v>17</v>
      </c>
      <c r="H1656" s="1">
        <v>45413</v>
      </c>
    </row>
    <row r="1657" spans="1:8">
      <c r="A1657" t="s">
        <v>3351</v>
      </c>
      <c r="B1657" t="s">
        <v>3352</v>
      </c>
      <c r="C1657" t="s">
        <v>10</v>
      </c>
      <c r="D1657">
        <v>49</v>
      </c>
      <c r="E1657" t="s">
        <v>60</v>
      </c>
      <c r="F1657" t="s">
        <v>21</v>
      </c>
      <c r="G1657" t="s">
        <v>22</v>
      </c>
      <c r="H1657" s="1">
        <v>45157</v>
      </c>
    </row>
    <row r="1658" spans="1:8">
      <c r="A1658" t="s">
        <v>3353</v>
      </c>
      <c r="B1658" t="s">
        <v>3354</v>
      </c>
      <c r="C1658" t="s">
        <v>31</v>
      </c>
      <c r="D1658">
        <v>32</v>
      </c>
      <c r="E1658" t="s">
        <v>60</v>
      </c>
      <c r="F1658" t="s">
        <v>21</v>
      </c>
      <c r="G1658" t="s">
        <v>22</v>
      </c>
      <c r="H1658" s="1">
        <v>45772</v>
      </c>
    </row>
    <row r="1659" spans="1:8">
      <c r="A1659" t="s">
        <v>3355</v>
      </c>
      <c r="B1659" t="s">
        <v>3356</v>
      </c>
      <c r="C1659" t="s">
        <v>31</v>
      </c>
      <c r="D1659">
        <v>54</v>
      </c>
      <c r="E1659" t="s">
        <v>27</v>
      </c>
      <c r="F1659" t="s">
        <v>28</v>
      </c>
      <c r="G1659" t="s">
        <v>12</v>
      </c>
      <c r="H1659" s="1">
        <v>44600</v>
      </c>
    </row>
    <row r="1660" spans="1:8">
      <c r="A1660" t="s">
        <v>3357</v>
      </c>
      <c r="B1660" t="s">
        <v>3358</v>
      </c>
      <c r="C1660" t="s">
        <v>31</v>
      </c>
      <c r="D1660">
        <v>48</v>
      </c>
      <c r="E1660" t="s">
        <v>20</v>
      </c>
      <c r="F1660" t="s">
        <v>21</v>
      </c>
      <c r="G1660" t="s">
        <v>22</v>
      </c>
      <c r="H1660" s="1">
        <v>45110</v>
      </c>
    </row>
    <row r="1661" spans="1:8">
      <c r="A1661" t="s">
        <v>3359</v>
      </c>
      <c r="B1661" t="s">
        <v>3360</v>
      </c>
      <c r="C1661" t="s">
        <v>31</v>
      </c>
      <c r="D1661">
        <v>46</v>
      </c>
      <c r="E1661" t="s">
        <v>218</v>
      </c>
      <c r="F1661" t="s">
        <v>219</v>
      </c>
      <c r="G1661" t="s">
        <v>17</v>
      </c>
      <c r="H1661" s="1">
        <v>45885</v>
      </c>
    </row>
    <row r="1662" spans="1:8">
      <c r="A1662" t="s">
        <v>3361</v>
      </c>
      <c r="B1662" t="s">
        <v>3362</v>
      </c>
      <c r="C1662" t="s">
        <v>31</v>
      </c>
      <c r="D1662">
        <v>64</v>
      </c>
      <c r="E1662" t="s">
        <v>11</v>
      </c>
      <c r="F1662" t="s">
        <v>11</v>
      </c>
      <c r="G1662" t="s">
        <v>12</v>
      </c>
      <c r="H1662" s="1">
        <v>44892</v>
      </c>
    </row>
    <row r="1663" spans="1:8">
      <c r="A1663" t="s">
        <v>3363</v>
      </c>
      <c r="B1663" t="s">
        <v>3364</v>
      </c>
      <c r="C1663" t="s">
        <v>10</v>
      </c>
      <c r="D1663">
        <v>50</v>
      </c>
      <c r="E1663" t="s">
        <v>45</v>
      </c>
      <c r="F1663" t="s">
        <v>46</v>
      </c>
      <c r="G1663" t="s">
        <v>17</v>
      </c>
      <c r="H1663" s="1">
        <v>45459</v>
      </c>
    </row>
    <row r="1664" spans="1:8">
      <c r="A1664" t="s">
        <v>3365</v>
      </c>
      <c r="B1664" t="s">
        <v>3366</v>
      </c>
      <c r="C1664" t="s">
        <v>31</v>
      </c>
      <c r="D1664">
        <v>26</v>
      </c>
      <c r="E1664" t="s">
        <v>45</v>
      </c>
      <c r="F1664" t="s">
        <v>46</v>
      </c>
      <c r="G1664" t="s">
        <v>17</v>
      </c>
      <c r="H1664" s="1">
        <v>45795</v>
      </c>
    </row>
    <row r="1665" spans="1:8">
      <c r="A1665" t="s">
        <v>3367</v>
      </c>
      <c r="B1665" t="s">
        <v>3368</v>
      </c>
      <c r="C1665" t="s">
        <v>31</v>
      </c>
      <c r="D1665">
        <v>68</v>
      </c>
      <c r="E1665" t="s">
        <v>112</v>
      </c>
      <c r="F1665" t="s">
        <v>113</v>
      </c>
      <c r="G1665" t="s">
        <v>78</v>
      </c>
      <c r="H1665" s="1">
        <v>45415</v>
      </c>
    </row>
    <row r="1666" spans="1:8">
      <c r="A1666" t="s">
        <v>3369</v>
      </c>
      <c r="B1666" t="s">
        <v>3370</v>
      </c>
      <c r="C1666" t="s">
        <v>10</v>
      </c>
      <c r="D1666">
        <v>36</v>
      </c>
      <c r="E1666" t="s">
        <v>101</v>
      </c>
      <c r="F1666" t="s">
        <v>21</v>
      </c>
      <c r="G1666" t="s">
        <v>22</v>
      </c>
      <c r="H1666" s="1">
        <v>45835</v>
      </c>
    </row>
    <row r="1667" spans="1:8">
      <c r="A1667" t="s">
        <v>3371</v>
      </c>
      <c r="B1667" t="s">
        <v>3372</v>
      </c>
      <c r="C1667" t="s">
        <v>31</v>
      </c>
      <c r="D1667">
        <v>26</v>
      </c>
      <c r="E1667" t="s">
        <v>11</v>
      </c>
      <c r="F1667" t="s">
        <v>11</v>
      </c>
      <c r="G1667" t="s">
        <v>12</v>
      </c>
      <c r="H1667" s="1">
        <v>45928</v>
      </c>
    </row>
    <row r="1668" spans="1:8">
      <c r="A1668" t="s">
        <v>3373</v>
      </c>
      <c r="B1668" t="s">
        <v>3374</v>
      </c>
      <c r="C1668" t="s">
        <v>31</v>
      </c>
      <c r="D1668">
        <v>24</v>
      </c>
      <c r="E1668" t="s">
        <v>34</v>
      </c>
      <c r="F1668" t="s">
        <v>16</v>
      </c>
      <c r="G1668" t="s">
        <v>17</v>
      </c>
      <c r="H1668" s="1">
        <v>45802</v>
      </c>
    </row>
    <row r="1669" spans="1:8">
      <c r="A1669" t="s">
        <v>3375</v>
      </c>
      <c r="B1669" t="s">
        <v>3376</v>
      </c>
      <c r="C1669" t="s">
        <v>10</v>
      </c>
      <c r="D1669">
        <v>31</v>
      </c>
      <c r="E1669" t="s">
        <v>69</v>
      </c>
      <c r="F1669" t="s">
        <v>69</v>
      </c>
      <c r="G1669" t="s">
        <v>12</v>
      </c>
      <c r="H1669" s="1">
        <v>45183</v>
      </c>
    </row>
    <row r="1670" spans="1:8">
      <c r="A1670" t="s">
        <v>3377</v>
      </c>
      <c r="B1670" t="s">
        <v>3378</v>
      </c>
      <c r="C1670" t="s">
        <v>31</v>
      </c>
      <c r="D1670">
        <v>40</v>
      </c>
      <c r="E1670" t="s">
        <v>20</v>
      </c>
      <c r="F1670" t="s">
        <v>21</v>
      </c>
      <c r="G1670" t="s">
        <v>22</v>
      </c>
      <c r="H1670" s="1">
        <v>45296</v>
      </c>
    </row>
    <row r="1671" spans="1:8">
      <c r="A1671" t="s">
        <v>3379</v>
      </c>
      <c r="B1671" t="s">
        <v>3380</v>
      </c>
      <c r="C1671" t="s">
        <v>10</v>
      </c>
      <c r="D1671">
        <v>69</v>
      </c>
      <c r="E1671" t="s">
        <v>63</v>
      </c>
      <c r="F1671" t="s">
        <v>64</v>
      </c>
      <c r="G1671" t="s">
        <v>12</v>
      </c>
      <c r="H1671" s="1">
        <v>45593</v>
      </c>
    </row>
    <row r="1672" spans="1:8">
      <c r="A1672" t="s">
        <v>3381</v>
      </c>
      <c r="B1672" t="s">
        <v>3382</v>
      </c>
      <c r="C1672" t="s">
        <v>10</v>
      </c>
      <c r="D1672">
        <v>25</v>
      </c>
      <c r="E1672" t="s">
        <v>41</v>
      </c>
      <c r="F1672" t="s">
        <v>42</v>
      </c>
      <c r="G1672" t="s">
        <v>17</v>
      </c>
      <c r="H1672" s="1">
        <v>44795</v>
      </c>
    </row>
    <row r="1673" spans="1:8">
      <c r="A1673" t="s">
        <v>3383</v>
      </c>
      <c r="B1673" t="s">
        <v>3384</v>
      </c>
      <c r="C1673" t="s">
        <v>31</v>
      </c>
      <c r="D1673">
        <v>68</v>
      </c>
      <c r="E1673" t="s">
        <v>149</v>
      </c>
      <c r="F1673" t="s">
        <v>38</v>
      </c>
      <c r="G1673" t="s">
        <v>22</v>
      </c>
      <c r="H1673" s="1">
        <v>45090</v>
      </c>
    </row>
    <row r="1674" spans="1:8">
      <c r="A1674" t="s">
        <v>3385</v>
      </c>
      <c r="B1674" t="s">
        <v>3386</v>
      </c>
      <c r="C1674" t="s">
        <v>31</v>
      </c>
      <c r="D1674">
        <v>27</v>
      </c>
      <c r="E1674" t="s">
        <v>20</v>
      </c>
      <c r="F1674" t="s">
        <v>21</v>
      </c>
      <c r="G1674" t="s">
        <v>22</v>
      </c>
      <c r="H1674" s="1">
        <v>45702</v>
      </c>
    </row>
    <row r="1675" spans="1:8">
      <c r="A1675" t="s">
        <v>3387</v>
      </c>
      <c r="B1675" t="s">
        <v>3388</v>
      </c>
      <c r="C1675" t="s">
        <v>10</v>
      </c>
      <c r="D1675">
        <v>63</v>
      </c>
      <c r="E1675" t="s">
        <v>128</v>
      </c>
      <c r="F1675" t="s">
        <v>129</v>
      </c>
      <c r="G1675" t="s">
        <v>78</v>
      </c>
      <c r="H1675" s="1">
        <v>45799</v>
      </c>
    </row>
    <row r="1676" spans="1:8">
      <c r="A1676" t="s">
        <v>3389</v>
      </c>
      <c r="B1676" t="s">
        <v>3390</v>
      </c>
      <c r="C1676" t="s">
        <v>10</v>
      </c>
      <c r="D1676">
        <v>24</v>
      </c>
      <c r="E1676" t="s">
        <v>41</v>
      </c>
      <c r="F1676" t="s">
        <v>42</v>
      </c>
      <c r="G1676" t="s">
        <v>17</v>
      </c>
      <c r="H1676" s="1">
        <v>45498</v>
      </c>
    </row>
    <row r="1677" spans="1:8">
      <c r="A1677" t="s">
        <v>3391</v>
      </c>
      <c r="B1677" t="s">
        <v>3392</v>
      </c>
      <c r="C1677" t="s">
        <v>10</v>
      </c>
      <c r="D1677">
        <v>50</v>
      </c>
      <c r="E1677" t="s">
        <v>27</v>
      </c>
      <c r="F1677" t="s">
        <v>28</v>
      </c>
      <c r="G1677" t="s">
        <v>12</v>
      </c>
      <c r="H1677" s="1">
        <v>44770</v>
      </c>
    </row>
    <row r="1678" spans="1:8">
      <c r="A1678" t="s">
        <v>3393</v>
      </c>
      <c r="B1678" t="s">
        <v>3394</v>
      </c>
      <c r="C1678" t="s">
        <v>31</v>
      </c>
      <c r="D1678">
        <v>28</v>
      </c>
      <c r="E1678" t="s">
        <v>15</v>
      </c>
      <c r="F1678" t="s">
        <v>16</v>
      </c>
      <c r="G1678" t="s">
        <v>17</v>
      </c>
      <c r="H1678" s="1">
        <v>44982</v>
      </c>
    </row>
    <row r="1679" spans="1:8">
      <c r="A1679" t="s">
        <v>3395</v>
      </c>
      <c r="B1679" t="s">
        <v>3396</v>
      </c>
      <c r="C1679" t="s">
        <v>31</v>
      </c>
      <c r="D1679">
        <v>64</v>
      </c>
      <c r="E1679" t="s">
        <v>69</v>
      </c>
      <c r="F1679" t="s">
        <v>69</v>
      </c>
      <c r="G1679" t="s">
        <v>12</v>
      </c>
      <c r="H1679" s="1">
        <v>45598</v>
      </c>
    </row>
    <row r="1680" spans="1:8">
      <c r="A1680" t="s">
        <v>3397</v>
      </c>
      <c r="B1680" t="s">
        <v>3398</v>
      </c>
      <c r="C1680" t="s">
        <v>31</v>
      </c>
      <c r="D1680">
        <v>39</v>
      </c>
      <c r="E1680" t="s">
        <v>76</v>
      </c>
      <c r="F1680" t="s">
        <v>77</v>
      </c>
      <c r="G1680" t="s">
        <v>78</v>
      </c>
      <c r="H1680" s="1">
        <v>45887</v>
      </c>
    </row>
    <row r="1681" spans="1:8">
      <c r="A1681" t="s">
        <v>3399</v>
      </c>
      <c r="B1681" t="s">
        <v>3400</v>
      </c>
      <c r="C1681" t="s">
        <v>31</v>
      </c>
      <c r="D1681">
        <v>44</v>
      </c>
      <c r="E1681" t="s">
        <v>11</v>
      </c>
      <c r="F1681" t="s">
        <v>11</v>
      </c>
      <c r="G1681" t="s">
        <v>12</v>
      </c>
      <c r="H1681" s="1">
        <v>44975</v>
      </c>
    </row>
    <row r="1682" spans="1:8">
      <c r="A1682" t="s">
        <v>3401</v>
      </c>
      <c r="B1682" t="s">
        <v>3402</v>
      </c>
      <c r="C1682" t="s">
        <v>31</v>
      </c>
      <c r="D1682">
        <v>39</v>
      </c>
      <c r="E1682" t="s">
        <v>11</v>
      </c>
      <c r="F1682" t="s">
        <v>11</v>
      </c>
      <c r="G1682" t="s">
        <v>12</v>
      </c>
      <c r="H1682" s="1">
        <v>45064</v>
      </c>
    </row>
    <row r="1683" spans="1:8">
      <c r="A1683" t="s">
        <v>3403</v>
      </c>
      <c r="B1683" t="s">
        <v>3404</v>
      </c>
      <c r="C1683" t="s">
        <v>31</v>
      </c>
      <c r="D1683">
        <v>41</v>
      </c>
      <c r="E1683" t="s">
        <v>34</v>
      </c>
      <c r="F1683" t="s">
        <v>16</v>
      </c>
      <c r="G1683" t="s">
        <v>17</v>
      </c>
      <c r="H1683" s="1">
        <v>44736</v>
      </c>
    </row>
    <row r="1684" spans="1:8">
      <c r="A1684" t="s">
        <v>3405</v>
      </c>
      <c r="B1684" t="s">
        <v>3406</v>
      </c>
      <c r="C1684" t="s">
        <v>10</v>
      </c>
      <c r="D1684">
        <v>27</v>
      </c>
      <c r="E1684" t="s">
        <v>69</v>
      </c>
      <c r="F1684" t="s">
        <v>69</v>
      </c>
      <c r="G1684" t="s">
        <v>12</v>
      </c>
      <c r="H1684" s="1">
        <v>45300</v>
      </c>
    </row>
    <row r="1685" spans="1:8">
      <c r="A1685" t="s">
        <v>3407</v>
      </c>
      <c r="B1685" t="s">
        <v>3408</v>
      </c>
      <c r="C1685" t="s">
        <v>10</v>
      </c>
      <c r="D1685">
        <v>26</v>
      </c>
      <c r="E1685" t="s">
        <v>27</v>
      </c>
      <c r="F1685" t="s">
        <v>28</v>
      </c>
      <c r="G1685" t="s">
        <v>12</v>
      </c>
      <c r="H1685" s="1">
        <v>45425</v>
      </c>
    </row>
    <row r="1686" spans="1:8">
      <c r="A1686" t="s">
        <v>3409</v>
      </c>
      <c r="B1686" t="s">
        <v>3410</v>
      </c>
      <c r="C1686" t="s">
        <v>31</v>
      </c>
      <c r="D1686">
        <v>51</v>
      </c>
      <c r="E1686" t="s">
        <v>69</v>
      </c>
      <c r="F1686" t="s">
        <v>69</v>
      </c>
      <c r="G1686" t="s">
        <v>12</v>
      </c>
      <c r="H1686" s="1">
        <v>45400</v>
      </c>
    </row>
    <row r="1687" spans="1:8">
      <c r="A1687" t="s">
        <v>3411</v>
      </c>
      <c r="B1687" t="s">
        <v>3412</v>
      </c>
      <c r="C1687" t="s">
        <v>31</v>
      </c>
      <c r="D1687">
        <v>27</v>
      </c>
      <c r="E1687" t="s">
        <v>134</v>
      </c>
      <c r="F1687" t="s">
        <v>28</v>
      </c>
      <c r="G1687" t="s">
        <v>12</v>
      </c>
      <c r="H1687" s="1">
        <v>44622</v>
      </c>
    </row>
    <row r="1688" spans="1:8">
      <c r="A1688" t="s">
        <v>3413</v>
      </c>
      <c r="B1688" t="s">
        <v>3414</v>
      </c>
      <c r="C1688" t="s">
        <v>10</v>
      </c>
      <c r="D1688">
        <v>39</v>
      </c>
      <c r="E1688" t="s">
        <v>27</v>
      </c>
      <c r="F1688" t="s">
        <v>28</v>
      </c>
      <c r="G1688" t="s">
        <v>12</v>
      </c>
      <c r="H1688" s="1">
        <v>44704</v>
      </c>
    </row>
    <row r="1689" spans="1:8">
      <c r="A1689" t="s">
        <v>3415</v>
      </c>
      <c r="B1689" t="s">
        <v>3416</v>
      </c>
      <c r="C1689" t="s">
        <v>10</v>
      </c>
      <c r="D1689">
        <v>43</v>
      </c>
      <c r="E1689" t="s">
        <v>101</v>
      </c>
      <c r="F1689" t="s">
        <v>21</v>
      </c>
      <c r="G1689" t="s">
        <v>22</v>
      </c>
      <c r="H1689" s="1">
        <v>45450</v>
      </c>
    </row>
    <row r="1690" spans="1:8">
      <c r="A1690" t="s">
        <v>3417</v>
      </c>
      <c r="B1690" t="s">
        <v>3418</v>
      </c>
      <c r="C1690" t="s">
        <v>10</v>
      </c>
      <c r="D1690">
        <v>58</v>
      </c>
      <c r="E1690" t="s">
        <v>63</v>
      </c>
      <c r="F1690" t="s">
        <v>64</v>
      </c>
      <c r="G1690" t="s">
        <v>12</v>
      </c>
      <c r="H1690" s="1">
        <v>45738</v>
      </c>
    </row>
    <row r="1691" spans="1:8">
      <c r="A1691" t="s">
        <v>3419</v>
      </c>
      <c r="B1691" t="s">
        <v>3420</v>
      </c>
      <c r="C1691" t="s">
        <v>31</v>
      </c>
      <c r="D1691">
        <v>43</v>
      </c>
      <c r="E1691" t="s">
        <v>128</v>
      </c>
      <c r="F1691" t="s">
        <v>129</v>
      </c>
      <c r="G1691" t="s">
        <v>78</v>
      </c>
      <c r="H1691" s="1">
        <v>45167</v>
      </c>
    </row>
    <row r="1692" spans="1:8">
      <c r="A1692" t="s">
        <v>3421</v>
      </c>
      <c r="B1692" t="s">
        <v>3422</v>
      </c>
      <c r="C1692" t="s">
        <v>31</v>
      </c>
      <c r="D1692">
        <v>40</v>
      </c>
      <c r="E1692" t="s">
        <v>128</v>
      </c>
      <c r="F1692" t="s">
        <v>129</v>
      </c>
      <c r="G1692" t="s">
        <v>78</v>
      </c>
      <c r="H1692" s="1">
        <v>45185</v>
      </c>
    </row>
    <row r="1693" spans="1:8">
      <c r="A1693" t="s">
        <v>3423</v>
      </c>
      <c r="B1693" t="s">
        <v>3424</v>
      </c>
      <c r="C1693" t="s">
        <v>10</v>
      </c>
      <c r="D1693">
        <v>62</v>
      </c>
      <c r="E1693" t="s">
        <v>45</v>
      </c>
      <c r="F1693" t="s">
        <v>46</v>
      </c>
      <c r="G1693" t="s">
        <v>17</v>
      </c>
      <c r="H1693" s="1">
        <v>45642</v>
      </c>
    </row>
    <row r="1694" spans="1:8">
      <c r="A1694" t="s">
        <v>3425</v>
      </c>
      <c r="B1694" t="s">
        <v>3426</v>
      </c>
      <c r="C1694" t="s">
        <v>31</v>
      </c>
      <c r="D1694">
        <v>62</v>
      </c>
      <c r="E1694" t="s">
        <v>101</v>
      </c>
      <c r="F1694" t="s">
        <v>21</v>
      </c>
      <c r="G1694" t="s">
        <v>22</v>
      </c>
      <c r="H1694" s="1">
        <v>45676</v>
      </c>
    </row>
    <row r="1695" spans="1:8">
      <c r="A1695" t="s">
        <v>3427</v>
      </c>
      <c r="B1695" t="s">
        <v>3428</v>
      </c>
      <c r="C1695" t="s">
        <v>31</v>
      </c>
      <c r="D1695">
        <v>23</v>
      </c>
      <c r="E1695" t="s">
        <v>149</v>
      </c>
      <c r="F1695" t="s">
        <v>38</v>
      </c>
      <c r="G1695" t="s">
        <v>22</v>
      </c>
      <c r="H1695" s="1">
        <v>44966</v>
      </c>
    </row>
    <row r="1696" spans="1:8">
      <c r="A1696" t="s">
        <v>3429</v>
      </c>
      <c r="B1696" t="s">
        <v>3430</v>
      </c>
      <c r="C1696" t="s">
        <v>10</v>
      </c>
      <c r="D1696">
        <v>51</v>
      </c>
      <c r="E1696" t="s">
        <v>45</v>
      </c>
      <c r="F1696" t="s">
        <v>46</v>
      </c>
      <c r="G1696" t="s">
        <v>17</v>
      </c>
      <c r="H1696" s="1">
        <v>45360</v>
      </c>
    </row>
    <row r="1697" spans="1:8">
      <c r="A1697" t="s">
        <v>3431</v>
      </c>
      <c r="B1697" t="s">
        <v>3432</v>
      </c>
      <c r="C1697" t="s">
        <v>10</v>
      </c>
      <c r="D1697">
        <v>50</v>
      </c>
      <c r="E1697" t="s">
        <v>91</v>
      </c>
      <c r="F1697" t="s">
        <v>92</v>
      </c>
      <c r="G1697" t="s">
        <v>78</v>
      </c>
      <c r="H1697" s="1">
        <v>44999</v>
      </c>
    </row>
    <row r="1698" spans="1:8">
      <c r="A1698" t="s">
        <v>3433</v>
      </c>
      <c r="B1698" t="s">
        <v>3434</v>
      </c>
      <c r="C1698" t="s">
        <v>10</v>
      </c>
      <c r="D1698">
        <v>19</v>
      </c>
      <c r="E1698" t="s">
        <v>60</v>
      </c>
      <c r="F1698" t="s">
        <v>21</v>
      </c>
      <c r="G1698" t="s">
        <v>22</v>
      </c>
      <c r="H1698" s="1">
        <v>45259</v>
      </c>
    </row>
    <row r="1699" spans="1:8">
      <c r="A1699" t="s">
        <v>3435</v>
      </c>
      <c r="B1699" t="s">
        <v>3436</v>
      </c>
      <c r="C1699" t="s">
        <v>31</v>
      </c>
      <c r="D1699">
        <v>33</v>
      </c>
      <c r="E1699" t="s">
        <v>218</v>
      </c>
      <c r="F1699" t="s">
        <v>219</v>
      </c>
      <c r="G1699" t="s">
        <v>17</v>
      </c>
      <c r="H1699" s="1">
        <v>45775</v>
      </c>
    </row>
    <row r="1700" spans="1:8">
      <c r="A1700" t="s">
        <v>3437</v>
      </c>
      <c r="B1700" t="s">
        <v>3438</v>
      </c>
      <c r="C1700" t="s">
        <v>10</v>
      </c>
      <c r="D1700">
        <v>64</v>
      </c>
      <c r="E1700" t="s">
        <v>91</v>
      </c>
      <c r="F1700" t="s">
        <v>92</v>
      </c>
      <c r="G1700" t="s">
        <v>78</v>
      </c>
      <c r="H1700" s="1">
        <v>45427</v>
      </c>
    </row>
    <row r="1701" spans="1:8">
      <c r="A1701" t="s">
        <v>3439</v>
      </c>
      <c r="B1701" t="s">
        <v>3440</v>
      </c>
      <c r="C1701" t="s">
        <v>31</v>
      </c>
      <c r="D1701">
        <v>25</v>
      </c>
      <c r="E1701" t="s">
        <v>45</v>
      </c>
      <c r="F1701" t="s">
        <v>46</v>
      </c>
      <c r="G1701" t="s">
        <v>17</v>
      </c>
      <c r="H1701" s="1">
        <v>45093</v>
      </c>
    </row>
    <row r="1702" spans="1:8">
      <c r="A1702" t="s">
        <v>3441</v>
      </c>
      <c r="B1702" t="s">
        <v>3442</v>
      </c>
      <c r="C1702" t="s">
        <v>31</v>
      </c>
      <c r="D1702">
        <v>54</v>
      </c>
      <c r="E1702" t="s">
        <v>15</v>
      </c>
      <c r="F1702" t="s">
        <v>16</v>
      </c>
      <c r="G1702" t="s">
        <v>17</v>
      </c>
      <c r="H1702" s="1">
        <v>45481</v>
      </c>
    </row>
    <row r="1703" spans="1:8">
      <c r="A1703" t="s">
        <v>3443</v>
      </c>
      <c r="B1703" t="s">
        <v>3444</v>
      </c>
      <c r="C1703" t="s">
        <v>10</v>
      </c>
      <c r="D1703">
        <v>69</v>
      </c>
      <c r="E1703" t="s">
        <v>69</v>
      </c>
      <c r="F1703" t="s">
        <v>69</v>
      </c>
      <c r="G1703" t="s">
        <v>12</v>
      </c>
      <c r="H1703" s="1">
        <v>45256</v>
      </c>
    </row>
    <row r="1704" spans="1:8">
      <c r="A1704" t="s">
        <v>3445</v>
      </c>
      <c r="B1704" t="s">
        <v>3446</v>
      </c>
      <c r="C1704" t="s">
        <v>10</v>
      </c>
      <c r="D1704">
        <v>40</v>
      </c>
      <c r="E1704" t="s">
        <v>27</v>
      </c>
      <c r="F1704" t="s">
        <v>28</v>
      </c>
      <c r="G1704" t="s">
        <v>12</v>
      </c>
      <c r="H1704" s="1">
        <v>45720</v>
      </c>
    </row>
    <row r="1705" spans="1:8">
      <c r="A1705" t="s">
        <v>3447</v>
      </c>
      <c r="B1705" t="s">
        <v>3448</v>
      </c>
      <c r="C1705" t="s">
        <v>10</v>
      </c>
      <c r="D1705">
        <v>63</v>
      </c>
      <c r="E1705" t="s">
        <v>218</v>
      </c>
      <c r="F1705" t="s">
        <v>219</v>
      </c>
      <c r="G1705" t="s">
        <v>17</v>
      </c>
      <c r="H1705" s="1">
        <v>45939</v>
      </c>
    </row>
    <row r="1706" spans="1:8">
      <c r="A1706" t="s">
        <v>3449</v>
      </c>
      <c r="B1706" t="s">
        <v>3450</v>
      </c>
      <c r="C1706" t="s">
        <v>31</v>
      </c>
      <c r="D1706">
        <v>51</v>
      </c>
      <c r="E1706" t="s">
        <v>101</v>
      </c>
      <c r="F1706" t="s">
        <v>21</v>
      </c>
      <c r="G1706" t="s">
        <v>22</v>
      </c>
      <c r="H1706" s="1">
        <v>44777</v>
      </c>
    </row>
    <row r="1707" spans="1:8">
      <c r="A1707" t="s">
        <v>3451</v>
      </c>
      <c r="B1707" t="s">
        <v>3452</v>
      </c>
      <c r="C1707" t="s">
        <v>10</v>
      </c>
      <c r="D1707">
        <v>27</v>
      </c>
      <c r="E1707" t="s">
        <v>134</v>
      </c>
      <c r="F1707" t="s">
        <v>28</v>
      </c>
      <c r="G1707" t="s">
        <v>12</v>
      </c>
      <c r="H1707" s="1">
        <v>45492</v>
      </c>
    </row>
    <row r="1708" spans="1:8">
      <c r="A1708" t="s">
        <v>3453</v>
      </c>
      <c r="B1708" t="s">
        <v>3454</v>
      </c>
      <c r="C1708" t="s">
        <v>10</v>
      </c>
      <c r="D1708">
        <v>21</v>
      </c>
      <c r="E1708" t="s">
        <v>69</v>
      </c>
      <c r="F1708" t="s">
        <v>69</v>
      </c>
      <c r="G1708" t="s">
        <v>12</v>
      </c>
      <c r="H1708" s="1">
        <v>44729</v>
      </c>
    </row>
    <row r="1709" spans="1:8">
      <c r="A1709" t="s">
        <v>3455</v>
      </c>
      <c r="B1709" t="s">
        <v>3456</v>
      </c>
      <c r="C1709" t="s">
        <v>10</v>
      </c>
      <c r="D1709">
        <v>46</v>
      </c>
      <c r="E1709" t="s">
        <v>101</v>
      </c>
      <c r="F1709" t="s">
        <v>21</v>
      </c>
      <c r="G1709" t="s">
        <v>22</v>
      </c>
      <c r="H1709" s="1">
        <v>45537</v>
      </c>
    </row>
    <row r="1710" spans="1:8">
      <c r="A1710" t="s">
        <v>3457</v>
      </c>
      <c r="B1710" t="s">
        <v>3458</v>
      </c>
      <c r="C1710" t="s">
        <v>31</v>
      </c>
      <c r="D1710">
        <v>34</v>
      </c>
      <c r="E1710" t="s">
        <v>218</v>
      </c>
      <c r="F1710" t="s">
        <v>219</v>
      </c>
      <c r="G1710" t="s">
        <v>17</v>
      </c>
      <c r="H1710" s="1">
        <v>45386</v>
      </c>
    </row>
    <row r="1711" spans="1:8">
      <c r="A1711" t="s">
        <v>3459</v>
      </c>
      <c r="B1711" t="s">
        <v>3460</v>
      </c>
      <c r="C1711" t="s">
        <v>31</v>
      </c>
      <c r="D1711">
        <v>64</v>
      </c>
      <c r="E1711" t="s">
        <v>69</v>
      </c>
      <c r="F1711" t="s">
        <v>69</v>
      </c>
      <c r="G1711" t="s">
        <v>12</v>
      </c>
      <c r="H1711" s="1">
        <v>45463</v>
      </c>
    </row>
    <row r="1712" spans="1:8">
      <c r="A1712" t="s">
        <v>3461</v>
      </c>
      <c r="B1712" t="s">
        <v>3462</v>
      </c>
      <c r="C1712" t="s">
        <v>10</v>
      </c>
      <c r="D1712">
        <v>49</v>
      </c>
      <c r="E1712" t="s">
        <v>76</v>
      </c>
      <c r="F1712" t="s">
        <v>77</v>
      </c>
      <c r="G1712" t="s">
        <v>78</v>
      </c>
      <c r="H1712" s="1">
        <v>44857</v>
      </c>
    </row>
    <row r="1713" spans="1:8">
      <c r="A1713" t="s">
        <v>3463</v>
      </c>
      <c r="B1713" t="s">
        <v>3464</v>
      </c>
      <c r="C1713" t="s">
        <v>10</v>
      </c>
      <c r="D1713">
        <v>62</v>
      </c>
      <c r="E1713" t="s">
        <v>63</v>
      </c>
      <c r="F1713" t="s">
        <v>64</v>
      </c>
      <c r="G1713" t="s">
        <v>12</v>
      </c>
      <c r="H1713" s="1">
        <v>46004</v>
      </c>
    </row>
    <row r="1714" spans="1:8">
      <c r="A1714" t="s">
        <v>3465</v>
      </c>
      <c r="B1714" t="s">
        <v>3466</v>
      </c>
      <c r="C1714" t="s">
        <v>10</v>
      </c>
      <c r="D1714">
        <v>53</v>
      </c>
      <c r="E1714" t="s">
        <v>41</v>
      </c>
      <c r="F1714" t="s">
        <v>42</v>
      </c>
      <c r="G1714" t="s">
        <v>17</v>
      </c>
      <c r="H1714" s="1">
        <v>44628</v>
      </c>
    </row>
    <row r="1715" spans="1:8">
      <c r="A1715" t="s">
        <v>3467</v>
      </c>
      <c r="B1715" t="s">
        <v>3468</v>
      </c>
      <c r="C1715" t="s">
        <v>31</v>
      </c>
      <c r="D1715">
        <v>25</v>
      </c>
      <c r="E1715" t="s">
        <v>20</v>
      </c>
      <c r="F1715" t="s">
        <v>21</v>
      </c>
      <c r="G1715" t="s">
        <v>22</v>
      </c>
      <c r="H1715" s="1">
        <v>45794</v>
      </c>
    </row>
    <row r="1716" spans="1:8">
      <c r="A1716" t="s">
        <v>3469</v>
      </c>
      <c r="B1716" t="s">
        <v>3470</v>
      </c>
      <c r="C1716" t="s">
        <v>10</v>
      </c>
      <c r="D1716">
        <v>51</v>
      </c>
      <c r="E1716" t="s">
        <v>218</v>
      </c>
      <c r="F1716" t="s">
        <v>219</v>
      </c>
      <c r="G1716" t="s">
        <v>17</v>
      </c>
      <c r="H1716" s="1">
        <v>45155</v>
      </c>
    </row>
    <row r="1717" spans="1:8">
      <c r="A1717" t="s">
        <v>3471</v>
      </c>
      <c r="B1717" t="s">
        <v>3472</v>
      </c>
      <c r="C1717" t="s">
        <v>31</v>
      </c>
      <c r="D1717">
        <v>37</v>
      </c>
      <c r="E1717" t="s">
        <v>45</v>
      </c>
      <c r="F1717" t="s">
        <v>46</v>
      </c>
      <c r="G1717" t="s">
        <v>17</v>
      </c>
      <c r="H1717" s="1">
        <v>45186</v>
      </c>
    </row>
    <row r="1718" spans="1:8">
      <c r="A1718" t="s">
        <v>3473</v>
      </c>
      <c r="B1718" t="s">
        <v>3474</v>
      </c>
      <c r="C1718" t="s">
        <v>10</v>
      </c>
      <c r="D1718">
        <v>68</v>
      </c>
      <c r="E1718" t="s">
        <v>15</v>
      </c>
      <c r="F1718" t="s">
        <v>16</v>
      </c>
      <c r="G1718" t="s">
        <v>17</v>
      </c>
      <c r="H1718" s="1">
        <v>44854</v>
      </c>
    </row>
    <row r="1719" spans="1:8">
      <c r="A1719" t="s">
        <v>3475</v>
      </c>
      <c r="B1719" t="s">
        <v>3476</v>
      </c>
      <c r="C1719" t="s">
        <v>31</v>
      </c>
      <c r="D1719">
        <v>31</v>
      </c>
      <c r="E1719" t="s">
        <v>11</v>
      </c>
      <c r="F1719" t="s">
        <v>11</v>
      </c>
      <c r="G1719" t="s">
        <v>12</v>
      </c>
      <c r="H1719" s="1">
        <v>45186</v>
      </c>
    </row>
    <row r="1720" spans="1:8">
      <c r="A1720" t="s">
        <v>3477</v>
      </c>
      <c r="B1720" t="s">
        <v>3478</v>
      </c>
      <c r="C1720" t="s">
        <v>10</v>
      </c>
      <c r="D1720">
        <v>53</v>
      </c>
      <c r="E1720" t="s">
        <v>41</v>
      </c>
      <c r="F1720" t="s">
        <v>42</v>
      </c>
      <c r="G1720" t="s">
        <v>17</v>
      </c>
      <c r="H1720" s="1">
        <v>44566</v>
      </c>
    </row>
    <row r="1721" spans="1:8">
      <c r="A1721" t="s">
        <v>3479</v>
      </c>
      <c r="B1721" t="s">
        <v>3480</v>
      </c>
      <c r="C1721" t="s">
        <v>31</v>
      </c>
      <c r="D1721">
        <v>54</v>
      </c>
      <c r="E1721" t="s">
        <v>20</v>
      </c>
      <c r="F1721" t="s">
        <v>21</v>
      </c>
      <c r="G1721" t="s">
        <v>22</v>
      </c>
      <c r="H1721" s="1">
        <v>45417</v>
      </c>
    </row>
    <row r="1722" spans="1:8">
      <c r="A1722" t="s">
        <v>3481</v>
      </c>
      <c r="B1722" t="s">
        <v>3482</v>
      </c>
      <c r="C1722" t="s">
        <v>31</v>
      </c>
      <c r="D1722">
        <v>48</v>
      </c>
      <c r="E1722" t="s">
        <v>149</v>
      </c>
      <c r="F1722" t="s">
        <v>38</v>
      </c>
      <c r="G1722" t="s">
        <v>22</v>
      </c>
      <c r="H1722" s="1">
        <v>45253</v>
      </c>
    </row>
    <row r="1723" spans="1:8">
      <c r="A1723" t="s">
        <v>3483</v>
      </c>
      <c r="B1723" t="s">
        <v>3484</v>
      </c>
      <c r="C1723" t="s">
        <v>10</v>
      </c>
      <c r="D1723">
        <v>50</v>
      </c>
      <c r="E1723" t="s">
        <v>128</v>
      </c>
      <c r="F1723" t="s">
        <v>129</v>
      </c>
      <c r="G1723" t="s">
        <v>78</v>
      </c>
      <c r="H1723" s="1">
        <v>44833</v>
      </c>
    </row>
    <row r="1724" spans="1:8">
      <c r="A1724" t="s">
        <v>3485</v>
      </c>
      <c r="B1724" t="s">
        <v>3486</v>
      </c>
      <c r="C1724" t="s">
        <v>31</v>
      </c>
      <c r="D1724">
        <v>27</v>
      </c>
      <c r="E1724" t="s">
        <v>69</v>
      </c>
      <c r="F1724" t="s">
        <v>69</v>
      </c>
      <c r="G1724" t="s">
        <v>12</v>
      </c>
      <c r="H1724" s="1">
        <v>45928</v>
      </c>
    </row>
    <row r="1725" spans="1:8">
      <c r="A1725" t="s">
        <v>3487</v>
      </c>
      <c r="B1725" t="s">
        <v>3488</v>
      </c>
      <c r="C1725" t="s">
        <v>31</v>
      </c>
      <c r="D1725">
        <v>42</v>
      </c>
      <c r="E1725" t="s">
        <v>91</v>
      </c>
      <c r="F1725" t="s">
        <v>92</v>
      </c>
      <c r="G1725" t="s">
        <v>78</v>
      </c>
      <c r="H1725" s="1">
        <v>44744</v>
      </c>
    </row>
    <row r="1726" spans="1:8">
      <c r="A1726" t="s">
        <v>3489</v>
      </c>
      <c r="B1726" t="s">
        <v>3490</v>
      </c>
      <c r="C1726" t="s">
        <v>10</v>
      </c>
      <c r="D1726">
        <v>60</v>
      </c>
      <c r="E1726" t="s">
        <v>41</v>
      </c>
      <c r="F1726" t="s">
        <v>42</v>
      </c>
      <c r="G1726" t="s">
        <v>17</v>
      </c>
      <c r="H1726" s="1">
        <v>45256</v>
      </c>
    </row>
    <row r="1727" spans="1:8">
      <c r="A1727" t="s">
        <v>3491</v>
      </c>
      <c r="B1727" t="s">
        <v>573</v>
      </c>
      <c r="C1727" t="s">
        <v>10</v>
      </c>
      <c r="D1727">
        <v>28</v>
      </c>
      <c r="E1727" t="s">
        <v>91</v>
      </c>
      <c r="F1727" t="s">
        <v>92</v>
      </c>
      <c r="G1727" t="s">
        <v>78</v>
      </c>
      <c r="H1727" s="1">
        <v>45884</v>
      </c>
    </row>
    <row r="1728" spans="1:8">
      <c r="A1728" t="s">
        <v>3492</v>
      </c>
      <c r="B1728" t="s">
        <v>3493</v>
      </c>
      <c r="C1728" t="s">
        <v>31</v>
      </c>
      <c r="D1728">
        <v>53</v>
      </c>
      <c r="E1728" t="s">
        <v>27</v>
      </c>
      <c r="F1728" t="s">
        <v>28</v>
      </c>
      <c r="G1728" t="s">
        <v>12</v>
      </c>
      <c r="H1728" s="1">
        <v>45852</v>
      </c>
    </row>
    <row r="1729" spans="1:8">
      <c r="A1729" t="s">
        <v>3494</v>
      </c>
      <c r="B1729" t="s">
        <v>3495</v>
      </c>
      <c r="C1729" t="s">
        <v>10</v>
      </c>
      <c r="D1729">
        <v>57</v>
      </c>
      <c r="E1729" t="s">
        <v>27</v>
      </c>
      <c r="F1729" t="s">
        <v>28</v>
      </c>
      <c r="G1729" t="s">
        <v>12</v>
      </c>
      <c r="H1729" s="1">
        <v>44736</v>
      </c>
    </row>
    <row r="1730" spans="1:8">
      <c r="A1730" t="s">
        <v>3496</v>
      </c>
      <c r="B1730" t="s">
        <v>3497</v>
      </c>
      <c r="C1730" t="s">
        <v>10</v>
      </c>
      <c r="D1730">
        <v>66</v>
      </c>
      <c r="E1730" t="s">
        <v>20</v>
      </c>
      <c r="F1730" t="s">
        <v>21</v>
      </c>
      <c r="G1730" t="s">
        <v>22</v>
      </c>
      <c r="H1730" s="1">
        <v>45729</v>
      </c>
    </row>
    <row r="1731" spans="1:8">
      <c r="A1731" t="s">
        <v>3498</v>
      </c>
      <c r="B1731" t="s">
        <v>3499</v>
      </c>
      <c r="C1731" t="s">
        <v>10</v>
      </c>
      <c r="D1731">
        <v>19</v>
      </c>
      <c r="E1731" t="s">
        <v>20</v>
      </c>
      <c r="F1731" t="s">
        <v>21</v>
      </c>
      <c r="G1731" t="s">
        <v>22</v>
      </c>
      <c r="H1731" s="1">
        <v>44808</v>
      </c>
    </row>
    <row r="1732" spans="1:8">
      <c r="A1732" t="s">
        <v>3500</v>
      </c>
      <c r="B1732" t="s">
        <v>3501</v>
      </c>
      <c r="C1732" t="s">
        <v>31</v>
      </c>
      <c r="D1732">
        <v>23</v>
      </c>
      <c r="E1732" t="s">
        <v>34</v>
      </c>
      <c r="F1732" t="s">
        <v>16</v>
      </c>
      <c r="G1732" t="s">
        <v>17</v>
      </c>
      <c r="H1732" s="1">
        <v>45064</v>
      </c>
    </row>
    <row r="1733" spans="1:8">
      <c r="A1733" t="s">
        <v>3502</v>
      </c>
      <c r="B1733" t="s">
        <v>3503</v>
      </c>
      <c r="C1733" t="s">
        <v>31</v>
      </c>
      <c r="D1733">
        <v>55</v>
      </c>
      <c r="E1733" t="s">
        <v>27</v>
      </c>
      <c r="F1733" t="s">
        <v>28</v>
      </c>
      <c r="G1733" t="s">
        <v>12</v>
      </c>
      <c r="H1733" s="1">
        <v>45218</v>
      </c>
    </row>
    <row r="1734" spans="1:8">
      <c r="A1734" t="s">
        <v>3504</v>
      </c>
      <c r="B1734" t="s">
        <v>3505</v>
      </c>
      <c r="C1734" t="s">
        <v>31</v>
      </c>
      <c r="D1734">
        <v>29</v>
      </c>
      <c r="E1734" t="s">
        <v>15</v>
      </c>
      <c r="F1734" t="s">
        <v>16</v>
      </c>
      <c r="G1734" t="s">
        <v>17</v>
      </c>
      <c r="H1734" s="1">
        <v>45258</v>
      </c>
    </row>
    <row r="1735" spans="1:8">
      <c r="A1735" t="s">
        <v>3506</v>
      </c>
      <c r="B1735" t="s">
        <v>3507</v>
      </c>
      <c r="C1735" t="s">
        <v>31</v>
      </c>
      <c r="D1735">
        <v>34</v>
      </c>
      <c r="E1735" t="s">
        <v>60</v>
      </c>
      <c r="F1735" t="s">
        <v>21</v>
      </c>
      <c r="G1735" t="s">
        <v>22</v>
      </c>
      <c r="H1735" s="1">
        <v>45211</v>
      </c>
    </row>
    <row r="1736" spans="1:8">
      <c r="A1736" t="s">
        <v>3508</v>
      </c>
      <c r="B1736" t="s">
        <v>3509</v>
      </c>
      <c r="C1736" t="s">
        <v>10</v>
      </c>
      <c r="D1736">
        <v>36</v>
      </c>
      <c r="E1736" t="s">
        <v>15</v>
      </c>
      <c r="F1736" t="s">
        <v>16</v>
      </c>
      <c r="G1736" t="s">
        <v>17</v>
      </c>
      <c r="H1736" s="1">
        <v>45671</v>
      </c>
    </row>
    <row r="1737" spans="1:8">
      <c r="A1737" t="s">
        <v>3510</v>
      </c>
      <c r="B1737" t="s">
        <v>3511</v>
      </c>
      <c r="C1737" t="s">
        <v>10</v>
      </c>
      <c r="D1737">
        <v>37</v>
      </c>
      <c r="E1737" t="s">
        <v>45</v>
      </c>
      <c r="F1737" t="s">
        <v>46</v>
      </c>
      <c r="G1737" t="s">
        <v>17</v>
      </c>
      <c r="H1737" s="1">
        <v>44745</v>
      </c>
    </row>
    <row r="1738" spans="1:8">
      <c r="A1738" t="s">
        <v>3512</v>
      </c>
      <c r="B1738" t="s">
        <v>3513</v>
      </c>
      <c r="C1738" t="s">
        <v>31</v>
      </c>
      <c r="D1738">
        <v>29</v>
      </c>
      <c r="E1738" t="s">
        <v>76</v>
      </c>
      <c r="F1738" t="s">
        <v>77</v>
      </c>
      <c r="G1738" t="s">
        <v>78</v>
      </c>
      <c r="H1738" s="1">
        <v>44682</v>
      </c>
    </row>
    <row r="1739" spans="1:8">
      <c r="A1739" t="s">
        <v>3514</v>
      </c>
      <c r="B1739" t="s">
        <v>3515</v>
      </c>
      <c r="C1739" t="s">
        <v>31</v>
      </c>
      <c r="D1739">
        <v>24</v>
      </c>
      <c r="E1739" t="s">
        <v>15</v>
      </c>
      <c r="F1739" t="s">
        <v>16</v>
      </c>
      <c r="G1739" t="s">
        <v>17</v>
      </c>
      <c r="H1739" s="1">
        <v>45172</v>
      </c>
    </row>
    <row r="1740" spans="1:8">
      <c r="A1740" t="s">
        <v>3516</v>
      </c>
      <c r="B1740" t="s">
        <v>3517</v>
      </c>
      <c r="C1740" t="s">
        <v>31</v>
      </c>
      <c r="D1740">
        <v>42</v>
      </c>
      <c r="E1740" t="s">
        <v>149</v>
      </c>
      <c r="F1740" t="s">
        <v>38</v>
      </c>
      <c r="G1740" t="s">
        <v>22</v>
      </c>
      <c r="H1740" s="1">
        <v>45225</v>
      </c>
    </row>
    <row r="1741" spans="1:8">
      <c r="A1741" t="s">
        <v>3518</v>
      </c>
      <c r="B1741" t="s">
        <v>3519</v>
      </c>
      <c r="C1741" t="s">
        <v>10</v>
      </c>
      <c r="D1741">
        <v>33</v>
      </c>
      <c r="E1741" t="s">
        <v>87</v>
      </c>
      <c r="F1741" t="s">
        <v>88</v>
      </c>
      <c r="G1741" t="s">
        <v>78</v>
      </c>
      <c r="H1741" s="1">
        <v>44668</v>
      </c>
    </row>
    <row r="1742" spans="1:8">
      <c r="A1742" t="s">
        <v>3520</v>
      </c>
      <c r="B1742" t="s">
        <v>3521</v>
      </c>
      <c r="C1742" t="s">
        <v>31</v>
      </c>
      <c r="D1742">
        <v>50</v>
      </c>
      <c r="E1742" t="s">
        <v>27</v>
      </c>
      <c r="F1742" t="s">
        <v>28</v>
      </c>
      <c r="G1742" t="s">
        <v>12</v>
      </c>
      <c r="H1742" s="1">
        <v>45046</v>
      </c>
    </row>
    <row r="1743" spans="1:8">
      <c r="A1743" t="s">
        <v>3522</v>
      </c>
      <c r="B1743" t="s">
        <v>3523</v>
      </c>
      <c r="C1743" t="s">
        <v>31</v>
      </c>
      <c r="D1743">
        <v>21</v>
      </c>
      <c r="E1743" t="s">
        <v>69</v>
      </c>
      <c r="F1743" t="s">
        <v>69</v>
      </c>
      <c r="G1743" t="s">
        <v>12</v>
      </c>
      <c r="H1743" s="1">
        <v>44797</v>
      </c>
    </row>
    <row r="1744" spans="1:8">
      <c r="A1744" t="s">
        <v>3524</v>
      </c>
      <c r="B1744" t="s">
        <v>3525</v>
      </c>
      <c r="C1744" t="s">
        <v>10</v>
      </c>
      <c r="D1744">
        <v>48</v>
      </c>
      <c r="E1744" t="s">
        <v>60</v>
      </c>
      <c r="F1744" t="s">
        <v>21</v>
      </c>
      <c r="G1744" t="s">
        <v>22</v>
      </c>
      <c r="H1744" s="1">
        <v>45395</v>
      </c>
    </row>
    <row r="1745" spans="1:8">
      <c r="A1745" t="s">
        <v>3526</v>
      </c>
      <c r="B1745" t="s">
        <v>3527</v>
      </c>
      <c r="C1745" t="s">
        <v>31</v>
      </c>
      <c r="D1745">
        <v>53</v>
      </c>
      <c r="E1745" t="s">
        <v>34</v>
      </c>
      <c r="F1745" t="s">
        <v>16</v>
      </c>
      <c r="G1745" t="s">
        <v>17</v>
      </c>
      <c r="H1745" s="1">
        <v>44600</v>
      </c>
    </row>
    <row r="1746" spans="1:8">
      <c r="A1746" t="s">
        <v>3528</v>
      </c>
      <c r="B1746" t="s">
        <v>3529</v>
      </c>
      <c r="C1746" t="s">
        <v>10</v>
      </c>
      <c r="D1746">
        <v>37</v>
      </c>
      <c r="E1746" t="s">
        <v>87</v>
      </c>
      <c r="F1746" t="s">
        <v>88</v>
      </c>
      <c r="G1746" t="s">
        <v>78</v>
      </c>
      <c r="H1746" s="1">
        <v>45066</v>
      </c>
    </row>
    <row r="1747" spans="1:8">
      <c r="A1747" t="s">
        <v>3530</v>
      </c>
      <c r="B1747" t="s">
        <v>3531</v>
      </c>
      <c r="C1747" t="s">
        <v>10</v>
      </c>
      <c r="D1747">
        <v>68</v>
      </c>
      <c r="E1747" t="s">
        <v>149</v>
      </c>
      <c r="F1747" t="s">
        <v>38</v>
      </c>
      <c r="G1747" t="s">
        <v>22</v>
      </c>
      <c r="H1747" s="1">
        <v>44733</v>
      </c>
    </row>
    <row r="1748" spans="1:8">
      <c r="A1748" t="s">
        <v>3532</v>
      </c>
      <c r="B1748" t="s">
        <v>3533</v>
      </c>
      <c r="C1748" t="s">
        <v>10</v>
      </c>
      <c r="D1748">
        <v>68</v>
      </c>
      <c r="E1748" t="s">
        <v>91</v>
      </c>
      <c r="F1748" t="s">
        <v>92</v>
      </c>
      <c r="G1748" t="s">
        <v>78</v>
      </c>
      <c r="H1748" s="1">
        <v>45668</v>
      </c>
    </row>
    <row r="1749" spans="1:8">
      <c r="A1749" t="s">
        <v>3534</v>
      </c>
      <c r="B1749" t="s">
        <v>3535</v>
      </c>
      <c r="C1749" t="s">
        <v>31</v>
      </c>
      <c r="D1749">
        <v>20</v>
      </c>
      <c r="E1749" t="s">
        <v>41</v>
      </c>
      <c r="F1749" t="s">
        <v>42</v>
      </c>
      <c r="G1749" t="s">
        <v>17</v>
      </c>
      <c r="H1749" s="1">
        <v>45698</v>
      </c>
    </row>
    <row r="1750" spans="1:8">
      <c r="A1750" t="s">
        <v>3536</v>
      </c>
      <c r="B1750" t="s">
        <v>3537</v>
      </c>
      <c r="C1750" t="s">
        <v>31</v>
      </c>
      <c r="D1750">
        <v>59</v>
      </c>
      <c r="E1750" t="s">
        <v>41</v>
      </c>
      <c r="F1750" t="s">
        <v>42</v>
      </c>
      <c r="G1750" t="s">
        <v>17</v>
      </c>
      <c r="H1750" s="1">
        <v>45833</v>
      </c>
    </row>
    <row r="1751" spans="1:8">
      <c r="A1751" t="s">
        <v>3538</v>
      </c>
      <c r="B1751" t="s">
        <v>1609</v>
      </c>
      <c r="C1751" t="s">
        <v>31</v>
      </c>
      <c r="D1751">
        <v>35</v>
      </c>
      <c r="E1751" t="s">
        <v>87</v>
      </c>
      <c r="F1751" t="s">
        <v>88</v>
      </c>
      <c r="G1751" t="s">
        <v>78</v>
      </c>
      <c r="H1751" s="1">
        <v>44685</v>
      </c>
    </row>
    <row r="1752" spans="1:8">
      <c r="A1752" t="s">
        <v>3539</v>
      </c>
      <c r="B1752" t="s">
        <v>3540</v>
      </c>
      <c r="C1752" t="s">
        <v>10</v>
      </c>
      <c r="D1752">
        <v>55</v>
      </c>
      <c r="E1752" t="s">
        <v>69</v>
      </c>
      <c r="F1752" t="s">
        <v>69</v>
      </c>
      <c r="G1752" t="s">
        <v>12</v>
      </c>
      <c r="H1752" s="1">
        <v>45281</v>
      </c>
    </row>
    <row r="1753" spans="1:8">
      <c r="A1753" t="s">
        <v>3541</v>
      </c>
      <c r="B1753" t="s">
        <v>3542</v>
      </c>
      <c r="C1753" t="s">
        <v>10</v>
      </c>
      <c r="D1753">
        <v>65</v>
      </c>
      <c r="E1753" t="s">
        <v>91</v>
      </c>
      <c r="F1753" t="s">
        <v>92</v>
      </c>
      <c r="G1753" t="s">
        <v>78</v>
      </c>
      <c r="H1753" s="1">
        <v>44655</v>
      </c>
    </row>
    <row r="1754" spans="1:8">
      <c r="A1754" t="s">
        <v>3543</v>
      </c>
      <c r="B1754" t="s">
        <v>3544</v>
      </c>
      <c r="C1754" t="s">
        <v>10</v>
      </c>
      <c r="D1754">
        <v>43</v>
      </c>
      <c r="E1754" t="s">
        <v>20</v>
      </c>
      <c r="F1754" t="s">
        <v>21</v>
      </c>
      <c r="G1754" t="s">
        <v>22</v>
      </c>
      <c r="H1754" s="1">
        <v>45177</v>
      </c>
    </row>
    <row r="1755" spans="1:8">
      <c r="A1755" t="s">
        <v>3545</v>
      </c>
      <c r="B1755" t="s">
        <v>3546</v>
      </c>
      <c r="C1755" t="s">
        <v>31</v>
      </c>
      <c r="D1755">
        <v>45</v>
      </c>
      <c r="E1755" t="s">
        <v>63</v>
      </c>
      <c r="F1755" t="s">
        <v>64</v>
      </c>
      <c r="G1755" t="s">
        <v>12</v>
      </c>
      <c r="H1755" s="1">
        <v>45701</v>
      </c>
    </row>
    <row r="1756" spans="1:8">
      <c r="A1756" t="s">
        <v>3547</v>
      </c>
      <c r="B1756" t="s">
        <v>3548</v>
      </c>
      <c r="C1756" t="s">
        <v>31</v>
      </c>
      <c r="D1756">
        <v>58</v>
      </c>
      <c r="E1756" t="s">
        <v>218</v>
      </c>
      <c r="F1756" t="s">
        <v>219</v>
      </c>
      <c r="G1756" t="s">
        <v>17</v>
      </c>
      <c r="H1756" s="1">
        <v>45213</v>
      </c>
    </row>
    <row r="1757" spans="1:8">
      <c r="A1757" t="s">
        <v>3549</v>
      </c>
      <c r="B1757" t="s">
        <v>3550</v>
      </c>
      <c r="C1757" t="s">
        <v>10</v>
      </c>
      <c r="D1757">
        <v>60</v>
      </c>
      <c r="E1757" t="s">
        <v>41</v>
      </c>
      <c r="F1757" t="s">
        <v>42</v>
      </c>
      <c r="G1757" t="s">
        <v>17</v>
      </c>
      <c r="H1757" s="1">
        <v>45121</v>
      </c>
    </row>
    <row r="1758" spans="1:8">
      <c r="A1758" t="s">
        <v>3551</v>
      </c>
      <c r="B1758" t="s">
        <v>3552</v>
      </c>
      <c r="C1758" t="s">
        <v>31</v>
      </c>
      <c r="D1758">
        <v>56</v>
      </c>
      <c r="E1758" t="s">
        <v>91</v>
      </c>
      <c r="F1758" t="s">
        <v>92</v>
      </c>
      <c r="G1758" t="s">
        <v>78</v>
      </c>
      <c r="H1758" s="1">
        <v>44993</v>
      </c>
    </row>
    <row r="1759" spans="1:8">
      <c r="A1759" t="s">
        <v>3553</v>
      </c>
      <c r="B1759" t="s">
        <v>3554</v>
      </c>
      <c r="C1759" t="s">
        <v>10</v>
      </c>
      <c r="D1759">
        <v>56</v>
      </c>
      <c r="E1759" t="s">
        <v>101</v>
      </c>
      <c r="F1759" t="s">
        <v>21</v>
      </c>
      <c r="G1759" t="s">
        <v>22</v>
      </c>
      <c r="H1759" s="1">
        <v>45885</v>
      </c>
    </row>
    <row r="1760" spans="1:8">
      <c r="A1760" t="s">
        <v>3555</v>
      </c>
      <c r="B1760" t="s">
        <v>3556</v>
      </c>
      <c r="C1760" t="s">
        <v>10</v>
      </c>
      <c r="D1760">
        <v>44</v>
      </c>
      <c r="E1760" t="s">
        <v>20</v>
      </c>
      <c r="F1760" t="s">
        <v>21</v>
      </c>
      <c r="G1760" t="s">
        <v>22</v>
      </c>
      <c r="H1760" s="1">
        <v>45939</v>
      </c>
    </row>
    <row r="1761" spans="1:8">
      <c r="A1761" t="s">
        <v>3557</v>
      </c>
      <c r="B1761" t="s">
        <v>3558</v>
      </c>
      <c r="C1761" t="s">
        <v>10</v>
      </c>
      <c r="D1761">
        <v>68</v>
      </c>
      <c r="E1761" t="s">
        <v>149</v>
      </c>
      <c r="F1761" t="s">
        <v>38</v>
      </c>
      <c r="G1761" t="s">
        <v>22</v>
      </c>
      <c r="H1761" s="1">
        <v>45366</v>
      </c>
    </row>
    <row r="1762" spans="1:8">
      <c r="A1762" t="s">
        <v>3559</v>
      </c>
      <c r="B1762" t="s">
        <v>3560</v>
      </c>
      <c r="C1762" t="s">
        <v>10</v>
      </c>
      <c r="D1762">
        <v>70</v>
      </c>
      <c r="E1762" t="s">
        <v>87</v>
      </c>
      <c r="F1762" t="s">
        <v>88</v>
      </c>
      <c r="G1762" t="s">
        <v>78</v>
      </c>
      <c r="H1762" s="1">
        <v>45665</v>
      </c>
    </row>
    <row r="1763" spans="1:8">
      <c r="A1763" t="s">
        <v>3561</v>
      </c>
      <c r="B1763" t="s">
        <v>3562</v>
      </c>
      <c r="C1763" t="s">
        <v>31</v>
      </c>
      <c r="D1763">
        <v>70</v>
      </c>
      <c r="E1763" t="s">
        <v>11</v>
      </c>
      <c r="F1763" t="s">
        <v>11</v>
      </c>
      <c r="G1763" t="s">
        <v>12</v>
      </c>
      <c r="H1763" s="1">
        <v>45284</v>
      </c>
    </row>
    <row r="1764" spans="1:8">
      <c r="A1764" t="s">
        <v>3563</v>
      </c>
      <c r="B1764" t="s">
        <v>3564</v>
      </c>
      <c r="C1764" t="s">
        <v>10</v>
      </c>
      <c r="D1764">
        <v>25</v>
      </c>
      <c r="E1764" t="s">
        <v>69</v>
      </c>
      <c r="F1764" t="s">
        <v>69</v>
      </c>
      <c r="G1764" t="s">
        <v>12</v>
      </c>
      <c r="H1764" s="1">
        <v>44924</v>
      </c>
    </row>
    <row r="1765" spans="1:8">
      <c r="A1765" t="s">
        <v>3565</v>
      </c>
      <c r="B1765" t="s">
        <v>3566</v>
      </c>
      <c r="C1765" t="s">
        <v>10</v>
      </c>
      <c r="D1765">
        <v>32</v>
      </c>
      <c r="E1765" t="s">
        <v>101</v>
      </c>
      <c r="F1765" t="s">
        <v>21</v>
      </c>
      <c r="G1765" t="s">
        <v>22</v>
      </c>
      <c r="H1765" s="1">
        <v>45472</v>
      </c>
    </row>
    <row r="1766" spans="1:8">
      <c r="A1766" t="s">
        <v>3567</v>
      </c>
      <c r="B1766" t="s">
        <v>3568</v>
      </c>
      <c r="C1766" t="s">
        <v>31</v>
      </c>
      <c r="D1766">
        <v>30</v>
      </c>
      <c r="E1766" t="s">
        <v>134</v>
      </c>
      <c r="F1766" t="s">
        <v>28</v>
      </c>
      <c r="G1766" t="s">
        <v>12</v>
      </c>
      <c r="H1766" s="1">
        <v>45955</v>
      </c>
    </row>
    <row r="1767" spans="1:8">
      <c r="A1767" t="s">
        <v>3569</v>
      </c>
      <c r="B1767" t="s">
        <v>3570</v>
      </c>
      <c r="C1767" t="s">
        <v>31</v>
      </c>
      <c r="D1767">
        <v>69</v>
      </c>
      <c r="E1767" t="s">
        <v>218</v>
      </c>
      <c r="F1767" t="s">
        <v>219</v>
      </c>
      <c r="G1767" t="s">
        <v>17</v>
      </c>
      <c r="H1767" s="1">
        <v>45842</v>
      </c>
    </row>
    <row r="1768" spans="1:8">
      <c r="A1768" t="s">
        <v>3571</v>
      </c>
      <c r="B1768" t="s">
        <v>3572</v>
      </c>
      <c r="C1768" t="s">
        <v>31</v>
      </c>
      <c r="D1768">
        <v>20</v>
      </c>
      <c r="E1768" t="s">
        <v>63</v>
      </c>
      <c r="F1768" t="s">
        <v>64</v>
      </c>
      <c r="G1768" t="s">
        <v>12</v>
      </c>
      <c r="H1768" s="1">
        <v>45573</v>
      </c>
    </row>
    <row r="1769" spans="1:8">
      <c r="A1769" t="s">
        <v>3573</v>
      </c>
      <c r="B1769" t="s">
        <v>3574</v>
      </c>
      <c r="C1769" t="s">
        <v>10</v>
      </c>
      <c r="D1769">
        <v>30</v>
      </c>
      <c r="E1769" t="s">
        <v>218</v>
      </c>
      <c r="F1769" t="s">
        <v>219</v>
      </c>
      <c r="G1769" t="s">
        <v>17</v>
      </c>
      <c r="H1769" s="1">
        <v>44990</v>
      </c>
    </row>
    <row r="1770" spans="1:8">
      <c r="A1770" t="s">
        <v>3575</v>
      </c>
      <c r="B1770" t="s">
        <v>3576</v>
      </c>
      <c r="C1770" t="s">
        <v>31</v>
      </c>
      <c r="D1770">
        <v>54</v>
      </c>
      <c r="E1770" t="s">
        <v>112</v>
      </c>
      <c r="F1770" t="s">
        <v>113</v>
      </c>
      <c r="G1770" t="s">
        <v>78</v>
      </c>
      <c r="H1770" s="1">
        <v>44789</v>
      </c>
    </row>
    <row r="1771" spans="1:8">
      <c r="A1771" t="s">
        <v>3577</v>
      </c>
      <c r="B1771" t="s">
        <v>3578</v>
      </c>
      <c r="C1771" t="s">
        <v>10</v>
      </c>
      <c r="D1771">
        <v>60</v>
      </c>
      <c r="E1771" t="s">
        <v>101</v>
      </c>
      <c r="F1771" t="s">
        <v>21</v>
      </c>
      <c r="G1771" t="s">
        <v>22</v>
      </c>
      <c r="H1771" s="1">
        <v>45692</v>
      </c>
    </row>
    <row r="1772" spans="1:8">
      <c r="A1772" t="s">
        <v>3579</v>
      </c>
      <c r="B1772" t="s">
        <v>3580</v>
      </c>
      <c r="C1772" t="s">
        <v>10</v>
      </c>
      <c r="D1772">
        <v>22</v>
      </c>
      <c r="E1772" t="s">
        <v>27</v>
      </c>
      <c r="F1772" t="s">
        <v>28</v>
      </c>
      <c r="G1772" t="s">
        <v>12</v>
      </c>
      <c r="H1772" s="1">
        <v>45719</v>
      </c>
    </row>
    <row r="1773" spans="1:8">
      <c r="A1773" t="s">
        <v>3581</v>
      </c>
      <c r="B1773" t="s">
        <v>3582</v>
      </c>
      <c r="C1773" t="s">
        <v>31</v>
      </c>
      <c r="D1773">
        <v>54</v>
      </c>
      <c r="E1773" t="s">
        <v>11</v>
      </c>
      <c r="F1773" t="s">
        <v>11</v>
      </c>
      <c r="G1773" t="s">
        <v>12</v>
      </c>
      <c r="H1773" s="1">
        <v>44822</v>
      </c>
    </row>
    <row r="1774" spans="1:8">
      <c r="A1774" t="s">
        <v>3583</v>
      </c>
      <c r="B1774" t="s">
        <v>3584</v>
      </c>
      <c r="C1774" t="s">
        <v>10</v>
      </c>
      <c r="D1774">
        <v>61</v>
      </c>
      <c r="E1774" t="s">
        <v>128</v>
      </c>
      <c r="F1774" t="s">
        <v>129</v>
      </c>
      <c r="G1774" t="s">
        <v>78</v>
      </c>
      <c r="H1774" s="1">
        <v>45123</v>
      </c>
    </row>
    <row r="1775" spans="1:8">
      <c r="A1775" t="s">
        <v>3585</v>
      </c>
      <c r="B1775" t="s">
        <v>3586</v>
      </c>
      <c r="C1775" t="s">
        <v>31</v>
      </c>
      <c r="D1775">
        <v>61</v>
      </c>
      <c r="E1775" t="s">
        <v>218</v>
      </c>
      <c r="F1775" t="s">
        <v>219</v>
      </c>
      <c r="G1775" t="s">
        <v>17</v>
      </c>
      <c r="H1775" s="1">
        <v>45820</v>
      </c>
    </row>
    <row r="1776" spans="1:8">
      <c r="A1776" t="s">
        <v>3587</v>
      </c>
      <c r="B1776" t="s">
        <v>3588</v>
      </c>
      <c r="C1776" t="s">
        <v>31</v>
      </c>
      <c r="D1776">
        <v>59</v>
      </c>
      <c r="E1776" t="s">
        <v>149</v>
      </c>
      <c r="F1776" t="s">
        <v>38</v>
      </c>
      <c r="G1776" t="s">
        <v>22</v>
      </c>
      <c r="H1776" s="1">
        <v>44566</v>
      </c>
    </row>
    <row r="1777" spans="1:8">
      <c r="A1777" t="s">
        <v>3589</v>
      </c>
      <c r="B1777" t="s">
        <v>3590</v>
      </c>
      <c r="C1777" t="s">
        <v>31</v>
      </c>
      <c r="D1777">
        <v>44</v>
      </c>
      <c r="E1777" t="s">
        <v>11</v>
      </c>
      <c r="F1777" t="s">
        <v>11</v>
      </c>
      <c r="G1777" t="s">
        <v>12</v>
      </c>
      <c r="H1777" s="1">
        <v>45223</v>
      </c>
    </row>
    <row r="1778" spans="1:8">
      <c r="A1778" t="s">
        <v>3591</v>
      </c>
      <c r="B1778" t="s">
        <v>3592</v>
      </c>
      <c r="C1778" t="s">
        <v>31</v>
      </c>
      <c r="D1778">
        <v>41</v>
      </c>
      <c r="E1778" t="s">
        <v>218</v>
      </c>
      <c r="F1778" t="s">
        <v>219</v>
      </c>
      <c r="G1778" t="s">
        <v>17</v>
      </c>
      <c r="H1778" s="1">
        <v>45517</v>
      </c>
    </row>
    <row r="1779" spans="1:8">
      <c r="A1779" t="s">
        <v>3593</v>
      </c>
      <c r="B1779" t="s">
        <v>3594</v>
      </c>
      <c r="C1779" t="s">
        <v>10</v>
      </c>
      <c r="D1779">
        <v>35</v>
      </c>
      <c r="E1779" t="s">
        <v>20</v>
      </c>
      <c r="F1779" t="s">
        <v>21</v>
      </c>
      <c r="G1779" t="s">
        <v>22</v>
      </c>
      <c r="H1779" s="1">
        <v>45021</v>
      </c>
    </row>
    <row r="1780" spans="1:8">
      <c r="A1780" t="s">
        <v>3595</v>
      </c>
      <c r="B1780" t="s">
        <v>3596</v>
      </c>
      <c r="C1780" t="s">
        <v>31</v>
      </c>
      <c r="D1780">
        <v>18</v>
      </c>
      <c r="E1780" t="s">
        <v>128</v>
      </c>
      <c r="F1780" t="s">
        <v>129</v>
      </c>
      <c r="G1780" t="s">
        <v>78</v>
      </c>
      <c r="H1780" s="1">
        <v>45481</v>
      </c>
    </row>
    <row r="1781" spans="1:8">
      <c r="A1781" t="s">
        <v>3597</v>
      </c>
      <c r="B1781" t="s">
        <v>3598</v>
      </c>
      <c r="C1781" t="s">
        <v>10</v>
      </c>
      <c r="D1781">
        <v>65</v>
      </c>
      <c r="E1781" t="s">
        <v>37</v>
      </c>
      <c r="F1781" t="s">
        <v>38</v>
      </c>
      <c r="G1781" t="s">
        <v>22</v>
      </c>
      <c r="H1781" s="1">
        <v>44729</v>
      </c>
    </row>
    <row r="1782" spans="1:8">
      <c r="A1782" t="s">
        <v>3599</v>
      </c>
      <c r="B1782" t="s">
        <v>3600</v>
      </c>
      <c r="C1782" t="s">
        <v>10</v>
      </c>
      <c r="D1782">
        <v>30</v>
      </c>
      <c r="E1782" t="s">
        <v>41</v>
      </c>
      <c r="F1782" t="s">
        <v>42</v>
      </c>
      <c r="G1782" t="s">
        <v>17</v>
      </c>
      <c r="H1782" s="1">
        <v>44714</v>
      </c>
    </row>
    <row r="1783" spans="1:8">
      <c r="A1783" t="s">
        <v>3601</v>
      </c>
      <c r="B1783" t="s">
        <v>3602</v>
      </c>
      <c r="C1783" t="s">
        <v>10</v>
      </c>
      <c r="D1783">
        <v>19</v>
      </c>
      <c r="E1783" t="s">
        <v>45</v>
      </c>
      <c r="F1783" t="s">
        <v>46</v>
      </c>
      <c r="G1783" t="s">
        <v>17</v>
      </c>
      <c r="H1783" s="1">
        <v>44690</v>
      </c>
    </row>
    <row r="1784" spans="1:8">
      <c r="A1784" t="s">
        <v>3603</v>
      </c>
      <c r="B1784" t="s">
        <v>3604</v>
      </c>
      <c r="C1784" t="s">
        <v>31</v>
      </c>
      <c r="D1784">
        <v>34</v>
      </c>
      <c r="E1784" t="s">
        <v>20</v>
      </c>
      <c r="F1784" t="s">
        <v>21</v>
      </c>
      <c r="G1784" t="s">
        <v>22</v>
      </c>
      <c r="H1784" s="1">
        <v>45775</v>
      </c>
    </row>
    <row r="1785" spans="1:8">
      <c r="A1785" t="s">
        <v>3605</v>
      </c>
      <c r="B1785" t="s">
        <v>3606</v>
      </c>
      <c r="C1785" t="s">
        <v>31</v>
      </c>
      <c r="D1785">
        <v>21</v>
      </c>
      <c r="E1785" t="s">
        <v>41</v>
      </c>
      <c r="F1785" t="s">
        <v>42</v>
      </c>
      <c r="G1785" t="s">
        <v>17</v>
      </c>
      <c r="H1785" s="1">
        <v>45050</v>
      </c>
    </row>
    <row r="1786" spans="1:8">
      <c r="A1786" t="s">
        <v>3607</v>
      </c>
      <c r="B1786" t="s">
        <v>3608</v>
      </c>
      <c r="C1786" t="s">
        <v>10</v>
      </c>
      <c r="D1786">
        <v>67</v>
      </c>
      <c r="E1786" t="s">
        <v>128</v>
      </c>
      <c r="F1786" t="s">
        <v>129</v>
      </c>
      <c r="G1786" t="s">
        <v>78</v>
      </c>
      <c r="H1786" s="1">
        <v>45046</v>
      </c>
    </row>
    <row r="1787" spans="1:8">
      <c r="A1787" t="s">
        <v>3609</v>
      </c>
      <c r="B1787" t="s">
        <v>3610</v>
      </c>
      <c r="C1787" t="s">
        <v>31</v>
      </c>
      <c r="D1787">
        <v>55</v>
      </c>
      <c r="E1787" t="s">
        <v>69</v>
      </c>
      <c r="F1787" t="s">
        <v>69</v>
      </c>
      <c r="G1787" t="s">
        <v>12</v>
      </c>
      <c r="H1787" s="1">
        <v>44757</v>
      </c>
    </row>
    <row r="1788" spans="1:8">
      <c r="A1788" t="s">
        <v>3611</v>
      </c>
      <c r="B1788" t="s">
        <v>3612</v>
      </c>
      <c r="C1788" t="s">
        <v>31</v>
      </c>
      <c r="D1788">
        <v>38</v>
      </c>
      <c r="E1788" t="s">
        <v>15</v>
      </c>
      <c r="F1788" t="s">
        <v>16</v>
      </c>
      <c r="G1788" t="s">
        <v>17</v>
      </c>
      <c r="H1788" s="1">
        <v>44630</v>
      </c>
    </row>
    <row r="1789" spans="1:8">
      <c r="A1789" t="s">
        <v>3613</v>
      </c>
      <c r="B1789" t="s">
        <v>3614</v>
      </c>
      <c r="C1789" t="s">
        <v>10</v>
      </c>
      <c r="D1789">
        <v>69</v>
      </c>
      <c r="E1789" t="s">
        <v>87</v>
      </c>
      <c r="F1789" t="s">
        <v>88</v>
      </c>
      <c r="G1789" t="s">
        <v>78</v>
      </c>
      <c r="H1789" s="1">
        <v>44823</v>
      </c>
    </row>
    <row r="1790" spans="1:8">
      <c r="A1790" t="s">
        <v>3615</v>
      </c>
      <c r="B1790" t="s">
        <v>3616</v>
      </c>
      <c r="C1790" t="s">
        <v>31</v>
      </c>
      <c r="D1790">
        <v>22</v>
      </c>
      <c r="E1790" t="s">
        <v>37</v>
      </c>
      <c r="F1790" t="s">
        <v>38</v>
      </c>
      <c r="G1790" t="s">
        <v>22</v>
      </c>
      <c r="H1790" s="1">
        <v>45812</v>
      </c>
    </row>
    <row r="1791" spans="1:8">
      <c r="A1791" t="s">
        <v>3617</v>
      </c>
      <c r="B1791" t="s">
        <v>3618</v>
      </c>
      <c r="C1791" t="s">
        <v>10</v>
      </c>
      <c r="D1791">
        <v>36</v>
      </c>
      <c r="E1791" t="s">
        <v>15</v>
      </c>
      <c r="F1791" t="s">
        <v>16</v>
      </c>
      <c r="G1791" t="s">
        <v>17</v>
      </c>
      <c r="H1791" s="1">
        <v>45707</v>
      </c>
    </row>
    <row r="1792" spans="1:8">
      <c r="A1792" t="s">
        <v>3619</v>
      </c>
      <c r="B1792" t="s">
        <v>3620</v>
      </c>
      <c r="C1792" t="s">
        <v>31</v>
      </c>
      <c r="D1792">
        <v>32</v>
      </c>
      <c r="E1792" t="s">
        <v>112</v>
      </c>
      <c r="F1792" t="s">
        <v>113</v>
      </c>
      <c r="G1792" t="s">
        <v>78</v>
      </c>
      <c r="H1792" s="1">
        <v>44758</v>
      </c>
    </row>
    <row r="1793" spans="1:8">
      <c r="A1793" t="s">
        <v>3621</v>
      </c>
      <c r="B1793" t="s">
        <v>3622</v>
      </c>
      <c r="C1793" t="s">
        <v>31</v>
      </c>
      <c r="D1793">
        <v>42</v>
      </c>
      <c r="E1793" t="s">
        <v>128</v>
      </c>
      <c r="F1793" t="s">
        <v>129</v>
      </c>
      <c r="G1793" t="s">
        <v>78</v>
      </c>
      <c r="H1793" s="1">
        <v>44583</v>
      </c>
    </row>
    <row r="1794" spans="1:8">
      <c r="A1794" t="s">
        <v>3623</v>
      </c>
      <c r="B1794" t="s">
        <v>3624</v>
      </c>
      <c r="C1794" t="s">
        <v>10</v>
      </c>
      <c r="D1794">
        <v>39</v>
      </c>
      <c r="E1794" t="s">
        <v>149</v>
      </c>
      <c r="F1794" t="s">
        <v>38</v>
      </c>
      <c r="G1794" t="s">
        <v>22</v>
      </c>
      <c r="H1794" s="1">
        <v>45832</v>
      </c>
    </row>
    <row r="1795" spans="1:8">
      <c r="A1795" t="s">
        <v>3625</v>
      </c>
      <c r="B1795" t="s">
        <v>3626</v>
      </c>
      <c r="C1795" t="s">
        <v>31</v>
      </c>
      <c r="D1795">
        <v>55</v>
      </c>
      <c r="E1795" t="s">
        <v>11</v>
      </c>
      <c r="F1795" t="s">
        <v>11</v>
      </c>
      <c r="G1795" t="s">
        <v>12</v>
      </c>
      <c r="H1795" s="1">
        <v>45491</v>
      </c>
    </row>
    <row r="1796" spans="1:8">
      <c r="A1796" t="s">
        <v>3627</v>
      </c>
      <c r="B1796" t="s">
        <v>3628</v>
      </c>
      <c r="C1796" t="s">
        <v>10</v>
      </c>
      <c r="D1796">
        <v>55</v>
      </c>
      <c r="E1796" t="s">
        <v>15</v>
      </c>
      <c r="F1796" t="s">
        <v>16</v>
      </c>
      <c r="G1796" t="s">
        <v>17</v>
      </c>
      <c r="H1796" s="1">
        <v>44587</v>
      </c>
    </row>
    <row r="1797" spans="1:8">
      <c r="A1797" t="s">
        <v>3629</v>
      </c>
      <c r="B1797" t="s">
        <v>3630</v>
      </c>
      <c r="C1797" t="s">
        <v>10</v>
      </c>
      <c r="D1797">
        <v>58</v>
      </c>
      <c r="E1797" t="s">
        <v>63</v>
      </c>
      <c r="F1797" t="s">
        <v>64</v>
      </c>
      <c r="G1797" t="s">
        <v>12</v>
      </c>
      <c r="H1797" s="1">
        <v>45735</v>
      </c>
    </row>
    <row r="1798" spans="1:8">
      <c r="A1798" t="s">
        <v>3631</v>
      </c>
      <c r="B1798" t="s">
        <v>3632</v>
      </c>
      <c r="C1798" t="s">
        <v>31</v>
      </c>
      <c r="D1798">
        <v>64</v>
      </c>
      <c r="E1798" t="s">
        <v>37</v>
      </c>
      <c r="F1798" t="s">
        <v>38</v>
      </c>
      <c r="G1798" t="s">
        <v>22</v>
      </c>
      <c r="H1798" s="1">
        <v>45424</v>
      </c>
    </row>
    <row r="1799" spans="1:8">
      <c r="A1799" t="s">
        <v>3633</v>
      </c>
      <c r="B1799" t="s">
        <v>3634</v>
      </c>
      <c r="C1799" t="s">
        <v>10</v>
      </c>
      <c r="D1799">
        <v>69</v>
      </c>
      <c r="E1799" t="s">
        <v>63</v>
      </c>
      <c r="F1799" t="s">
        <v>64</v>
      </c>
      <c r="G1799" t="s">
        <v>12</v>
      </c>
      <c r="H1799" s="1">
        <v>45059</v>
      </c>
    </row>
    <row r="1800" spans="1:8">
      <c r="A1800" t="s">
        <v>3635</v>
      </c>
      <c r="B1800" t="s">
        <v>3636</v>
      </c>
      <c r="C1800" t="s">
        <v>31</v>
      </c>
      <c r="D1800">
        <v>50</v>
      </c>
      <c r="E1800" t="s">
        <v>34</v>
      </c>
      <c r="F1800" t="s">
        <v>16</v>
      </c>
      <c r="G1800" t="s">
        <v>17</v>
      </c>
      <c r="H1800" s="1">
        <v>45200</v>
      </c>
    </row>
    <row r="1801" spans="1:8">
      <c r="A1801" t="s">
        <v>3637</v>
      </c>
      <c r="B1801" t="s">
        <v>3638</v>
      </c>
      <c r="C1801" t="s">
        <v>10</v>
      </c>
      <c r="D1801">
        <v>27</v>
      </c>
      <c r="E1801" t="s">
        <v>91</v>
      </c>
      <c r="F1801" t="s">
        <v>92</v>
      </c>
      <c r="G1801" t="s">
        <v>78</v>
      </c>
      <c r="H1801" s="1">
        <v>45199</v>
      </c>
    </row>
    <row r="1802" spans="1:8">
      <c r="A1802" t="s">
        <v>3639</v>
      </c>
      <c r="B1802" t="s">
        <v>3640</v>
      </c>
      <c r="C1802" t="s">
        <v>31</v>
      </c>
      <c r="D1802">
        <v>41</v>
      </c>
      <c r="E1802" t="s">
        <v>60</v>
      </c>
      <c r="F1802" t="s">
        <v>21</v>
      </c>
      <c r="G1802" t="s">
        <v>22</v>
      </c>
      <c r="H1802" s="1">
        <v>45264</v>
      </c>
    </row>
    <row r="1803" spans="1:8">
      <c r="A1803" t="s">
        <v>3641</v>
      </c>
      <c r="B1803" t="s">
        <v>3642</v>
      </c>
      <c r="C1803" t="s">
        <v>10</v>
      </c>
      <c r="D1803">
        <v>21</v>
      </c>
      <c r="E1803" t="s">
        <v>128</v>
      </c>
      <c r="F1803" t="s">
        <v>129</v>
      </c>
      <c r="G1803" t="s">
        <v>78</v>
      </c>
      <c r="H1803" s="1">
        <v>45763</v>
      </c>
    </row>
    <row r="1804" spans="1:8">
      <c r="A1804" t="s">
        <v>3643</v>
      </c>
      <c r="B1804" t="s">
        <v>3644</v>
      </c>
      <c r="C1804" t="s">
        <v>31</v>
      </c>
      <c r="D1804">
        <v>40</v>
      </c>
      <c r="E1804" t="s">
        <v>218</v>
      </c>
      <c r="F1804" t="s">
        <v>219</v>
      </c>
      <c r="G1804" t="s">
        <v>17</v>
      </c>
      <c r="H1804" s="1">
        <v>44673</v>
      </c>
    </row>
    <row r="1805" spans="1:8">
      <c r="A1805" t="s">
        <v>3645</v>
      </c>
      <c r="B1805" t="s">
        <v>3646</v>
      </c>
      <c r="C1805" t="s">
        <v>10</v>
      </c>
      <c r="D1805">
        <v>68</v>
      </c>
      <c r="E1805" t="s">
        <v>34</v>
      </c>
      <c r="F1805" t="s">
        <v>16</v>
      </c>
      <c r="G1805" t="s">
        <v>17</v>
      </c>
      <c r="H1805" s="1">
        <v>45873</v>
      </c>
    </row>
    <row r="1806" spans="1:8">
      <c r="A1806" t="s">
        <v>3647</v>
      </c>
      <c r="B1806" t="s">
        <v>3648</v>
      </c>
      <c r="C1806" t="s">
        <v>31</v>
      </c>
      <c r="D1806">
        <v>62</v>
      </c>
      <c r="E1806" t="s">
        <v>34</v>
      </c>
      <c r="F1806" t="s">
        <v>16</v>
      </c>
      <c r="G1806" t="s">
        <v>17</v>
      </c>
      <c r="H1806" s="1">
        <v>45929</v>
      </c>
    </row>
    <row r="1807" spans="1:8">
      <c r="A1807" t="s">
        <v>3649</v>
      </c>
      <c r="B1807" t="s">
        <v>3650</v>
      </c>
      <c r="C1807" t="s">
        <v>31</v>
      </c>
      <c r="D1807">
        <v>55</v>
      </c>
      <c r="E1807" t="s">
        <v>69</v>
      </c>
      <c r="F1807" t="s">
        <v>69</v>
      </c>
      <c r="G1807" t="s">
        <v>12</v>
      </c>
      <c r="H1807" s="1">
        <v>45790</v>
      </c>
    </row>
    <row r="1808" spans="1:8">
      <c r="A1808" t="s">
        <v>3651</v>
      </c>
      <c r="B1808" t="s">
        <v>3652</v>
      </c>
      <c r="C1808" t="s">
        <v>31</v>
      </c>
      <c r="D1808">
        <v>44</v>
      </c>
      <c r="E1808" t="s">
        <v>37</v>
      </c>
      <c r="F1808" t="s">
        <v>38</v>
      </c>
      <c r="G1808" t="s">
        <v>22</v>
      </c>
      <c r="H1808" s="1">
        <v>45823</v>
      </c>
    </row>
    <row r="1809" spans="1:8">
      <c r="A1809" t="s">
        <v>3653</v>
      </c>
      <c r="B1809" t="s">
        <v>3654</v>
      </c>
      <c r="C1809" t="s">
        <v>10</v>
      </c>
      <c r="D1809">
        <v>49</v>
      </c>
      <c r="E1809" t="s">
        <v>20</v>
      </c>
      <c r="F1809" t="s">
        <v>21</v>
      </c>
      <c r="G1809" t="s">
        <v>22</v>
      </c>
      <c r="H1809" s="1">
        <v>45492</v>
      </c>
    </row>
    <row r="1810" spans="1:8">
      <c r="A1810" t="s">
        <v>3655</v>
      </c>
      <c r="B1810" t="s">
        <v>3656</v>
      </c>
      <c r="C1810" t="s">
        <v>10</v>
      </c>
      <c r="D1810">
        <v>62</v>
      </c>
      <c r="E1810" t="s">
        <v>15</v>
      </c>
      <c r="F1810" t="s">
        <v>16</v>
      </c>
      <c r="G1810" t="s">
        <v>17</v>
      </c>
      <c r="H1810" s="1">
        <v>45870</v>
      </c>
    </row>
    <row r="1811" spans="1:8">
      <c r="A1811" t="s">
        <v>3657</v>
      </c>
      <c r="B1811" t="s">
        <v>3658</v>
      </c>
      <c r="C1811" t="s">
        <v>10</v>
      </c>
      <c r="D1811">
        <v>48</v>
      </c>
      <c r="E1811" t="s">
        <v>218</v>
      </c>
      <c r="F1811" t="s">
        <v>219</v>
      </c>
      <c r="G1811" t="s">
        <v>17</v>
      </c>
      <c r="H1811" s="1">
        <v>44998</v>
      </c>
    </row>
    <row r="1812" spans="1:8">
      <c r="A1812" t="s">
        <v>3659</v>
      </c>
      <c r="B1812" t="s">
        <v>3660</v>
      </c>
      <c r="C1812" t="s">
        <v>10</v>
      </c>
      <c r="D1812">
        <v>43</v>
      </c>
      <c r="E1812" t="s">
        <v>134</v>
      </c>
      <c r="F1812" t="s">
        <v>28</v>
      </c>
      <c r="G1812" t="s">
        <v>12</v>
      </c>
      <c r="H1812" s="1">
        <v>45331</v>
      </c>
    </row>
    <row r="1813" spans="1:8">
      <c r="A1813" t="s">
        <v>3661</v>
      </c>
      <c r="B1813" t="s">
        <v>3662</v>
      </c>
      <c r="C1813" t="s">
        <v>10</v>
      </c>
      <c r="D1813">
        <v>22</v>
      </c>
      <c r="E1813" t="s">
        <v>15</v>
      </c>
      <c r="F1813" t="s">
        <v>16</v>
      </c>
      <c r="G1813" t="s">
        <v>17</v>
      </c>
      <c r="H1813" s="1">
        <v>45305</v>
      </c>
    </row>
    <row r="1814" spans="1:8">
      <c r="A1814" t="s">
        <v>3663</v>
      </c>
      <c r="B1814" t="s">
        <v>3664</v>
      </c>
      <c r="C1814" t="s">
        <v>10</v>
      </c>
      <c r="D1814">
        <v>36</v>
      </c>
      <c r="E1814" t="s">
        <v>60</v>
      </c>
      <c r="F1814" t="s">
        <v>21</v>
      </c>
      <c r="G1814" t="s">
        <v>22</v>
      </c>
      <c r="H1814" s="1">
        <v>44797</v>
      </c>
    </row>
    <row r="1815" spans="1:8">
      <c r="A1815" t="s">
        <v>3665</v>
      </c>
      <c r="B1815" t="s">
        <v>3666</v>
      </c>
      <c r="C1815" t="s">
        <v>10</v>
      </c>
      <c r="D1815">
        <v>19</v>
      </c>
      <c r="E1815" t="s">
        <v>60</v>
      </c>
      <c r="F1815" t="s">
        <v>21</v>
      </c>
      <c r="G1815" t="s">
        <v>22</v>
      </c>
      <c r="H1815" s="1">
        <v>45299</v>
      </c>
    </row>
    <row r="1816" spans="1:8">
      <c r="A1816" t="s">
        <v>3667</v>
      </c>
      <c r="B1816" t="s">
        <v>3668</v>
      </c>
      <c r="C1816" t="s">
        <v>10</v>
      </c>
      <c r="D1816">
        <v>34</v>
      </c>
      <c r="E1816" t="s">
        <v>45</v>
      </c>
      <c r="F1816" t="s">
        <v>46</v>
      </c>
      <c r="G1816" t="s">
        <v>17</v>
      </c>
      <c r="H1816" s="1">
        <v>44918</v>
      </c>
    </row>
    <row r="1817" spans="1:8">
      <c r="A1817" t="s">
        <v>3669</v>
      </c>
      <c r="B1817" t="s">
        <v>3670</v>
      </c>
      <c r="C1817" t="s">
        <v>10</v>
      </c>
      <c r="D1817">
        <v>29</v>
      </c>
      <c r="E1817" t="s">
        <v>134</v>
      </c>
      <c r="F1817" t="s">
        <v>28</v>
      </c>
      <c r="G1817" t="s">
        <v>12</v>
      </c>
      <c r="H1817" s="1">
        <v>45697</v>
      </c>
    </row>
    <row r="1818" spans="1:8">
      <c r="A1818" t="s">
        <v>3671</v>
      </c>
      <c r="B1818" t="s">
        <v>3672</v>
      </c>
      <c r="C1818" t="s">
        <v>10</v>
      </c>
      <c r="D1818">
        <v>19</v>
      </c>
      <c r="E1818" t="s">
        <v>34</v>
      </c>
      <c r="F1818" t="s">
        <v>16</v>
      </c>
      <c r="G1818" t="s">
        <v>17</v>
      </c>
      <c r="H1818" s="1">
        <v>45098</v>
      </c>
    </row>
    <row r="1819" spans="1:8">
      <c r="A1819" t="s">
        <v>3673</v>
      </c>
      <c r="B1819" t="s">
        <v>3674</v>
      </c>
      <c r="C1819" t="s">
        <v>10</v>
      </c>
      <c r="D1819">
        <v>39</v>
      </c>
      <c r="E1819" t="s">
        <v>76</v>
      </c>
      <c r="F1819" t="s">
        <v>77</v>
      </c>
      <c r="G1819" t="s">
        <v>78</v>
      </c>
      <c r="H1819" s="1">
        <v>45338</v>
      </c>
    </row>
    <row r="1820" spans="1:8">
      <c r="A1820" t="s">
        <v>3675</v>
      </c>
      <c r="B1820" t="s">
        <v>3676</v>
      </c>
      <c r="C1820" t="s">
        <v>10</v>
      </c>
      <c r="D1820">
        <v>41</v>
      </c>
      <c r="E1820" t="s">
        <v>91</v>
      </c>
      <c r="F1820" t="s">
        <v>92</v>
      </c>
      <c r="G1820" t="s">
        <v>78</v>
      </c>
      <c r="H1820" s="1">
        <v>45496</v>
      </c>
    </row>
    <row r="1821" spans="1:8">
      <c r="A1821" t="s">
        <v>3677</v>
      </c>
      <c r="B1821" t="s">
        <v>3678</v>
      </c>
      <c r="C1821" t="s">
        <v>31</v>
      </c>
      <c r="D1821">
        <v>63</v>
      </c>
      <c r="E1821" t="s">
        <v>63</v>
      </c>
      <c r="F1821" t="s">
        <v>64</v>
      </c>
      <c r="G1821" t="s">
        <v>12</v>
      </c>
      <c r="H1821" s="1">
        <v>45641</v>
      </c>
    </row>
    <row r="1822" spans="1:8">
      <c r="A1822" t="s">
        <v>3679</v>
      </c>
      <c r="B1822" t="s">
        <v>3680</v>
      </c>
      <c r="C1822" t="s">
        <v>10</v>
      </c>
      <c r="D1822">
        <v>30</v>
      </c>
      <c r="E1822" t="s">
        <v>34</v>
      </c>
      <c r="F1822" t="s">
        <v>16</v>
      </c>
      <c r="G1822" t="s">
        <v>17</v>
      </c>
      <c r="H1822" s="1">
        <v>44829</v>
      </c>
    </row>
    <row r="1823" spans="1:8">
      <c r="A1823" t="s">
        <v>3681</v>
      </c>
      <c r="B1823" t="s">
        <v>3682</v>
      </c>
      <c r="C1823" t="s">
        <v>31</v>
      </c>
      <c r="D1823">
        <v>58</v>
      </c>
      <c r="E1823" t="s">
        <v>37</v>
      </c>
      <c r="F1823" t="s">
        <v>38</v>
      </c>
      <c r="G1823" t="s">
        <v>22</v>
      </c>
      <c r="H1823" s="1">
        <v>45213</v>
      </c>
    </row>
    <row r="1824" spans="1:8">
      <c r="A1824" t="s">
        <v>3683</v>
      </c>
      <c r="B1824" t="s">
        <v>3684</v>
      </c>
      <c r="C1824" t="s">
        <v>10</v>
      </c>
      <c r="D1824">
        <v>52</v>
      </c>
      <c r="E1824" t="s">
        <v>15</v>
      </c>
      <c r="F1824" t="s">
        <v>16</v>
      </c>
      <c r="G1824" t="s">
        <v>17</v>
      </c>
      <c r="H1824" s="1">
        <v>45823</v>
      </c>
    </row>
    <row r="1825" spans="1:8">
      <c r="A1825" t="s">
        <v>3685</v>
      </c>
      <c r="B1825" t="s">
        <v>3686</v>
      </c>
      <c r="C1825" t="s">
        <v>10</v>
      </c>
      <c r="D1825">
        <v>21</v>
      </c>
      <c r="E1825" t="s">
        <v>34</v>
      </c>
      <c r="F1825" t="s">
        <v>16</v>
      </c>
      <c r="G1825" t="s">
        <v>17</v>
      </c>
      <c r="H1825" s="1">
        <v>45233</v>
      </c>
    </row>
    <row r="1826" spans="1:8">
      <c r="A1826" t="s">
        <v>3687</v>
      </c>
      <c r="B1826" t="s">
        <v>3688</v>
      </c>
      <c r="C1826" t="s">
        <v>31</v>
      </c>
      <c r="D1826">
        <v>31</v>
      </c>
      <c r="E1826" t="s">
        <v>134</v>
      </c>
      <c r="F1826" t="s">
        <v>28</v>
      </c>
      <c r="G1826" t="s">
        <v>12</v>
      </c>
      <c r="H1826" s="1">
        <v>44820</v>
      </c>
    </row>
    <row r="1827" spans="1:8">
      <c r="A1827" t="s">
        <v>3689</v>
      </c>
      <c r="B1827" t="s">
        <v>3690</v>
      </c>
      <c r="C1827" t="s">
        <v>10</v>
      </c>
      <c r="D1827">
        <v>28</v>
      </c>
      <c r="E1827" t="s">
        <v>69</v>
      </c>
      <c r="F1827" t="s">
        <v>69</v>
      </c>
      <c r="G1827" t="s">
        <v>12</v>
      </c>
      <c r="H1827" s="1">
        <v>45920</v>
      </c>
    </row>
    <row r="1828" spans="1:8">
      <c r="A1828" t="s">
        <v>3691</v>
      </c>
      <c r="B1828" t="s">
        <v>3692</v>
      </c>
      <c r="C1828" t="s">
        <v>31</v>
      </c>
      <c r="D1828">
        <v>51</v>
      </c>
      <c r="E1828" t="s">
        <v>60</v>
      </c>
      <c r="F1828" t="s">
        <v>21</v>
      </c>
      <c r="G1828" t="s">
        <v>22</v>
      </c>
      <c r="H1828" s="1">
        <v>45328</v>
      </c>
    </row>
    <row r="1829" spans="1:8">
      <c r="A1829" t="s">
        <v>3693</v>
      </c>
      <c r="B1829" t="s">
        <v>3694</v>
      </c>
      <c r="C1829" t="s">
        <v>31</v>
      </c>
      <c r="D1829">
        <v>51</v>
      </c>
      <c r="E1829" t="s">
        <v>37</v>
      </c>
      <c r="F1829" t="s">
        <v>38</v>
      </c>
      <c r="G1829" t="s">
        <v>22</v>
      </c>
      <c r="H1829" s="1">
        <v>46021</v>
      </c>
    </row>
    <row r="1830" spans="1:8">
      <c r="A1830" t="s">
        <v>3695</v>
      </c>
      <c r="B1830" t="s">
        <v>3696</v>
      </c>
      <c r="C1830" t="s">
        <v>31</v>
      </c>
      <c r="D1830">
        <v>55</v>
      </c>
      <c r="E1830" t="s">
        <v>69</v>
      </c>
      <c r="F1830" t="s">
        <v>69</v>
      </c>
      <c r="G1830" t="s">
        <v>12</v>
      </c>
      <c r="H1830" s="1">
        <v>45532</v>
      </c>
    </row>
    <row r="1831" spans="1:8">
      <c r="A1831" t="s">
        <v>3697</v>
      </c>
      <c r="B1831" t="s">
        <v>3698</v>
      </c>
      <c r="C1831" t="s">
        <v>10</v>
      </c>
      <c r="D1831">
        <v>31</v>
      </c>
      <c r="E1831" t="s">
        <v>60</v>
      </c>
      <c r="F1831" t="s">
        <v>21</v>
      </c>
      <c r="G1831" t="s">
        <v>22</v>
      </c>
      <c r="H1831" s="1">
        <v>45892</v>
      </c>
    </row>
    <row r="1832" spans="1:8">
      <c r="A1832" t="s">
        <v>3699</v>
      </c>
      <c r="B1832" t="s">
        <v>3700</v>
      </c>
      <c r="C1832" t="s">
        <v>10</v>
      </c>
      <c r="D1832">
        <v>43</v>
      </c>
      <c r="E1832" t="s">
        <v>34</v>
      </c>
      <c r="F1832" t="s">
        <v>16</v>
      </c>
      <c r="G1832" t="s">
        <v>17</v>
      </c>
      <c r="H1832" s="1">
        <v>45487</v>
      </c>
    </row>
    <row r="1833" spans="1:8">
      <c r="A1833" t="s">
        <v>3701</v>
      </c>
      <c r="B1833" t="s">
        <v>3702</v>
      </c>
      <c r="C1833" t="s">
        <v>10</v>
      </c>
      <c r="D1833">
        <v>41</v>
      </c>
      <c r="E1833" t="s">
        <v>41</v>
      </c>
      <c r="F1833" t="s">
        <v>42</v>
      </c>
      <c r="G1833" t="s">
        <v>17</v>
      </c>
      <c r="H1833" s="1">
        <v>45334</v>
      </c>
    </row>
    <row r="1834" spans="1:8">
      <c r="A1834" t="s">
        <v>3703</v>
      </c>
      <c r="B1834" t="s">
        <v>3704</v>
      </c>
      <c r="C1834" t="s">
        <v>10</v>
      </c>
      <c r="D1834">
        <v>36</v>
      </c>
      <c r="E1834" t="s">
        <v>15</v>
      </c>
      <c r="F1834" t="s">
        <v>16</v>
      </c>
      <c r="G1834" t="s">
        <v>17</v>
      </c>
      <c r="H1834" s="1">
        <v>44837</v>
      </c>
    </row>
    <row r="1835" spans="1:8">
      <c r="A1835" t="s">
        <v>3705</v>
      </c>
      <c r="B1835" t="s">
        <v>3706</v>
      </c>
      <c r="C1835" t="s">
        <v>10</v>
      </c>
      <c r="D1835">
        <v>47</v>
      </c>
      <c r="E1835" t="s">
        <v>37</v>
      </c>
      <c r="F1835" t="s">
        <v>38</v>
      </c>
      <c r="G1835" t="s">
        <v>22</v>
      </c>
      <c r="H1835" s="1">
        <v>45033</v>
      </c>
    </row>
    <row r="1836" spans="1:8">
      <c r="A1836" t="s">
        <v>3707</v>
      </c>
      <c r="B1836" t="s">
        <v>921</v>
      </c>
      <c r="C1836" t="s">
        <v>31</v>
      </c>
      <c r="D1836">
        <v>47</v>
      </c>
      <c r="E1836" t="s">
        <v>37</v>
      </c>
      <c r="F1836" t="s">
        <v>38</v>
      </c>
      <c r="G1836" t="s">
        <v>22</v>
      </c>
      <c r="H1836" s="1">
        <v>45434</v>
      </c>
    </row>
    <row r="1837" spans="1:8">
      <c r="A1837" t="s">
        <v>3708</v>
      </c>
      <c r="B1837" t="s">
        <v>3709</v>
      </c>
      <c r="C1837" t="s">
        <v>31</v>
      </c>
      <c r="D1837">
        <v>35</v>
      </c>
      <c r="E1837" t="s">
        <v>37</v>
      </c>
      <c r="F1837" t="s">
        <v>38</v>
      </c>
      <c r="G1837" t="s">
        <v>22</v>
      </c>
      <c r="H1837" s="1">
        <v>45580</v>
      </c>
    </row>
    <row r="1838" spans="1:8">
      <c r="A1838" t="s">
        <v>3710</v>
      </c>
      <c r="B1838" t="s">
        <v>3711</v>
      </c>
      <c r="C1838" t="s">
        <v>10</v>
      </c>
      <c r="D1838">
        <v>34</v>
      </c>
      <c r="E1838" t="s">
        <v>101</v>
      </c>
      <c r="F1838" t="s">
        <v>21</v>
      </c>
      <c r="G1838" t="s">
        <v>22</v>
      </c>
      <c r="H1838" s="1">
        <v>45466</v>
      </c>
    </row>
    <row r="1839" spans="1:8">
      <c r="A1839" t="s">
        <v>3712</v>
      </c>
      <c r="B1839" t="s">
        <v>3713</v>
      </c>
      <c r="C1839" t="s">
        <v>31</v>
      </c>
      <c r="D1839">
        <v>50</v>
      </c>
      <c r="E1839" t="s">
        <v>134</v>
      </c>
      <c r="F1839" t="s">
        <v>28</v>
      </c>
      <c r="G1839" t="s">
        <v>12</v>
      </c>
      <c r="H1839" s="1">
        <v>44730</v>
      </c>
    </row>
    <row r="1840" spans="1:8">
      <c r="A1840" t="s">
        <v>3714</v>
      </c>
      <c r="B1840" t="s">
        <v>3715</v>
      </c>
      <c r="C1840" t="s">
        <v>10</v>
      </c>
      <c r="D1840">
        <v>24</v>
      </c>
      <c r="E1840" t="s">
        <v>20</v>
      </c>
      <c r="F1840" t="s">
        <v>21</v>
      </c>
      <c r="G1840" t="s">
        <v>22</v>
      </c>
      <c r="H1840" s="1">
        <v>45128</v>
      </c>
    </row>
    <row r="1841" spans="1:8">
      <c r="A1841" t="s">
        <v>3716</v>
      </c>
      <c r="B1841" t="s">
        <v>3717</v>
      </c>
      <c r="C1841" t="s">
        <v>10</v>
      </c>
      <c r="D1841">
        <v>39</v>
      </c>
      <c r="E1841" t="s">
        <v>45</v>
      </c>
      <c r="F1841" t="s">
        <v>46</v>
      </c>
      <c r="G1841" t="s">
        <v>17</v>
      </c>
      <c r="H1841" s="1">
        <v>44640</v>
      </c>
    </row>
    <row r="1842" spans="1:8">
      <c r="A1842" t="s">
        <v>3718</v>
      </c>
      <c r="B1842" t="s">
        <v>3719</v>
      </c>
      <c r="C1842" t="s">
        <v>31</v>
      </c>
      <c r="D1842">
        <v>65</v>
      </c>
      <c r="E1842" t="s">
        <v>45</v>
      </c>
      <c r="F1842" t="s">
        <v>46</v>
      </c>
      <c r="G1842" t="s">
        <v>17</v>
      </c>
      <c r="H1842" s="1">
        <v>45074</v>
      </c>
    </row>
    <row r="1843" spans="1:8">
      <c r="A1843" t="s">
        <v>3720</v>
      </c>
      <c r="B1843" t="s">
        <v>3721</v>
      </c>
      <c r="C1843" t="s">
        <v>10</v>
      </c>
      <c r="D1843">
        <v>66</v>
      </c>
      <c r="E1843" t="s">
        <v>134</v>
      </c>
      <c r="F1843" t="s">
        <v>28</v>
      </c>
      <c r="G1843" t="s">
        <v>12</v>
      </c>
      <c r="H1843" s="1">
        <v>44952</v>
      </c>
    </row>
    <row r="1844" spans="1:8">
      <c r="A1844" t="s">
        <v>3722</v>
      </c>
      <c r="B1844" t="s">
        <v>3723</v>
      </c>
      <c r="C1844" t="s">
        <v>10</v>
      </c>
      <c r="D1844">
        <v>67</v>
      </c>
      <c r="E1844" t="s">
        <v>27</v>
      </c>
      <c r="F1844" t="s">
        <v>28</v>
      </c>
      <c r="G1844" t="s">
        <v>12</v>
      </c>
      <c r="H1844" s="1">
        <v>45096</v>
      </c>
    </row>
    <row r="1845" spans="1:8">
      <c r="A1845" t="s">
        <v>3724</v>
      </c>
      <c r="B1845" t="s">
        <v>3725</v>
      </c>
      <c r="C1845" t="s">
        <v>31</v>
      </c>
      <c r="D1845">
        <v>70</v>
      </c>
      <c r="E1845" t="s">
        <v>45</v>
      </c>
      <c r="F1845" t="s">
        <v>46</v>
      </c>
      <c r="G1845" t="s">
        <v>17</v>
      </c>
      <c r="H1845" s="1">
        <v>45389</v>
      </c>
    </row>
    <row r="1846" spans="1:8">
      <c r="A1846" t="s">
        <v>3726</v>
      </c>
      <c r="B1846" t="s">
        <v>3727</v>
      </c>
      <c r="C1846" t="s">
        <v>10</v>
      </c>
      <c r="D1846">
        <v>43</v>
      </c>
      <c r="E1846" t="s">
        <v>49</v>
      </c>
      <c r="F1846" t="s">
        <v>21</v>
      </c>
      <c r="G1846" t="s">
        <v>22</v>
      </c>
      <c r="H1846" s="1">
        <v>45528</v>
      </c>
    </row>
    <row r="1847" spans="1:8">
      <c r="A1847" t="s">
        <v>3728</v>
      </c>
      <c r="B1847" t="s">
        <v>3729</v>
      </c>
      <c r="C1847" t="s">
        <v>10</v>
      </c>
      <c r="D1847">
        <v>51</v>
      </c>
      <c r="E1847" t="s">
        <v>34</v>
      </c>
      <c r="F1847" t="s">
        <v>16</v>
      </c>
      <c r="G1847" t="s">
        <v>17</v>
      </c>
      <c r="H1847" s="1">
        <v>45533</v>
      </c>
    </row>
    <row r="1848" spans="1:8">
      <c r="A1848" t="s">
        <v>3730</v>
      </c>
      <c r="B1848" t="s">
        <v>3731</v>
      </c>
      <c r="C1848" t="s">
        <v>31</v>
      </c>
      <c r="D1848">
        <v>39</v>
      </c>
      <c r="E1848" t="s">
        <v>27</v>
      </c>
      <c r="F1848" t="s">
        <v>28</v>
      </c>
      <c r="G1848" t="s">
        <v>12</v>
      </c>
      <c r="H1848" s="1">
        <v>45521</v>
      </c>
    </row>
    <row r="1849" spans="1:8">
      <c r="A1849" t="s">
        <v>3732</v>
      </c>
      <c r="B1849" t="s">
        <v>3733</v>
      </c>
      <c r="C1849" t="s">
        <v>31</v>
      </c>
      <c r="D1849">
        <v>67</v>
      </c>
      <c r="E1849" t="s">
        <v>134</v>
      </c>
      <c r="F1849" t="s">
        <v>28</v>
      </c>
      <c r="G1849" t="s">
        <v>12</v>
      </c>
      <c r="H1849" s="1">
        <v>44946</v>
      </c>
    </row>
    <row r="1850" spans="1:8">
      <c r="A1850" t="s">
        <v>3734</v>
      </c>
      <c r="B1850" t="s">
        <v>3735</v>
      </c>
      <c r="C1850" t="s">
        <v>31</v>
      </c>
      <c r="D1850">
        <v>46</v>
      </c>
      <c r="E1850" t="s">
        <v>112</v>
      </c>
      <c r="F1850" t="s">
        <v>113</v>
      </c>
      <c r="G1850" t="s">
        <v>78</v>
      </c>
      <c r="H1850" s="1">
        <v>44991</v>
      </c>
    </row>
    <row r="1851" spans="1:8">
      <c r="A1851" t="s">
        <v>3736</v>
      </c>
      <c r="B1851" t="s">
        <v>3737</v>
      </c>
      <c r="C1851" t="s">
        <v>10</v>
      </c>
      <c r="D1851">
        <v>54</v>
      </c>
      <c r="E1851" t="s">
        <v>87</v>
      </c>
      <c r="F1851" t="s">
        <v>88</v>
      </c>
      <c r="G1851" t="s">
        <v>78</v>
      </c>
      <c r="H1851" s="1">
        <v>45329</v>
      </c>
    </row>
    <row r="1852" spans="1:8">
      <c r="A1852" t="s">
        <v>3738</v>
      </c>
      <c r="B1852" t="s">
        <v>3739</v>
      </c>
      <c r="C1852" t="s">
        <v>31</v>
      </c>
      <c r="D1852">
        <v>69</v>
      </c>
      <c r="E1852" t="s">
        <v>91</v>
      </c>
      <c r="F1852" t="s">
        <v>92</v>
      </c>
      <c r="G1852" t="s">
        <v>78</v>
      </c>
      <c r="H1852" s="1">
        <v>44581</v>
      </c>
    </row>
    <row r="1853" spans="1:8">
      <c r="A1853" t="s">
        <v>3740</v>
      </c>
      <c r="B1853" t="s">
        <v>3741</v>
      </c>
      <c r="C1853" t="s">
        <v>10</v>
      </c>
      <c r="D1853">
        <v>44</v>
      </c>
      <c r="E1853" t="s">
        <v>134</v>
      </c>
      <c r="F1853" t="s">
        <v>28</v>
      </c>
      <c r="G1853" t="s">
        <v>12</v>
      </c>
      <c r="H1853" s="1">
        <v>45257</v>
      </c>
    </row>
    <row r="1854" spans="1:8">
      <c r="A1854" t="s">
        <v>3742</v>
      </c>
      <c r="B1854" t="s">
        <v>3743</v>
      </c>
      <c r="C1854" t="s">
        <v>31</v>
      </c>
      <c r="D1854">
        <v>38</v>
      </c>
      <c r="E1854" t="s">
        <v>149</v>
      </c>
      <c r="F1854" t="s">
        <v>38</v>
      </c>
      <c r="G1854" t="s">
        <v>22</v>
      </c>
      <c r="H1854" s="1">
        <v>45976</v>
      </c>
    </row>
    <row r="1855" spans="1:8">
      <c r="A1855" t="s">
        <v>3744</v>
      </c>
      <c r="B1855" t="s">
        <v>3745</v>
      </c>
      <c r="C1855" t="s">
        <v>10</v>
      </c>
      <c r="D1855">
        <v>27</v>
      </c>
      <c r="E1855" t="s">
        <v>27</v>
      </c>
      <c r="F1855" t="s">
        <v>28</v>
      </c>
      <c r="G1855" t="s">
        <v>12</v>
      </c>
      <c r="H1855" s="1">
        <v>44627</v>
      </c>
    </row>
    <row r="1856" spans="1:8">
      <c r="A1856" t="s">
        <v>3746</v>
      </c>
      <c r="B1856" t="s">
        <v>3747</v>
      </c>
      <c r="C1856" t="s">
        <v>31</v>
      </c>
      <c r="D1856">
        <v>42</v>
      </c>
      <c r="E1856" t="s">
        <v>91</v>
      </c>
      <c r="F1856" t="s">
        <v>92</v>
      </c>
      <c r="G1856" t="s">
        <v>78</v>
      </c>
      <c r="H1856" s="1">
        <v>45725</v>
      </c>
    </row>
    <row r="1857" spans="1:8">
      <c r="A1857" t="s">
        <v>3748</v>
      </c>
      <c r="B1857" t="s">
        <v>3749</v>
      </c>
      <c r="C1857" t="s">
        <v>31</v>
      </c>
      <c r="D1857">
        <v>30</v>
      </c>
      <c r="E1857" t="s">
        <v>41</v>
      </c>
      <c r="F1857" t="s">
        <v>42</v>
      </c>
      <c r="G1857" t="s">
        <v>17</v>
      </c>
      <c r="H1857" s="1">
        <v>44692</v>
      </c>
    </row>
    <row r="1858" spans="1:8">
      <c r="A1858" t="s">
        <v>3750</v>
      </c>
      <c r="B1858" t="s">
        <v>3751</v>
      </c>
      <c r="C1858" t="s">
        <v>31</v>
      </c>
      <c r="D1858">
        <v>58</v>
      </c>
      <c r="E1858" t="s">
        <v>37</v>
      </c>
      <c r="F1858" t="s">
        <v>38</v>
      </c>
      <c r="G1858" t="s">
        <v>22</v>
      </c>
      <c r="H1858" s="1">
        <v>45728</v>
      </c>
    </row>
    <row r="1859" spans="1:8">
      <c r="A1859" t="s">
        <v>3752</v>
      </c>
      <c r="B1859" t="s">
        <v>3753</v>
      </c>
      <c r="C1859" t="s">
        <v>10</v>
      </c>
      <c r="D1859">
        <v>61</v>
      </c>
      <c r="E1859" t="s">
        <v>87</v>
      </c>
      <c r="F1859" t="s">
        <v>88</v>
      </c>
      <c r="G1859" t="s">
        <v>78</v>
      </c>
      <c r="H1859" s="1">
        <v>44913</v>
      </c>
    </row>
    <row r="1860" spans="1:8">
      <c r="A1860" t="s">
        <v>3754</v>
      </c>
      <c r="B1860" t="s">
        <v>3755</v>
      </c>
      <c r="C1860" t="s">
        <v>31</v>
      </c>
      <c r="D1860">
        <v>19</v>
      </c>
      <c r="E1860" t="s">
        <v>20</v>
      </c>
      <c r="F1860" t="s">
        <v>21</v>
      </c>
      <c r="G1860" t="s">
        <v>22</v>
      </c>
      <c r="H1860" s="1">
        <v>45973</v>
      </c>
    </row>
    <row r="1861" spans="1:8">
      <c r="A1861" t="s">
        <v>3756</v>
      </c>
      <c r="B1861" t="s">
        <v>3757</v>
      </c>
      <c r="C1861" t="s">
        <v>31</v>
      </c>
      <c r="D1861">
        <v>31</v>
      </c>
      <c r="E1861" t="s">
        <v>15</v>
      </c>
      <c r="F1861" t="s">
        <v>16</v>
      </c>
      <c r="G1861" t="s">
        <v>17</v>
      </c>
      <c r="H1861" s="1">
        <v>45352</v>
      </c>
    </row>
    <row r="1862" spans="1:8">
      <c r="A1862" t="s">
        <v>3758</v>
      </c>
      <c r="B1862" t="s">
        <v>3759</v>
      </c>
      <c r="C1862" t="s">
        <v>31</v>
      </c>
      <c r="D1862">
        <v>21</v>
      </c>
      <c r="E1862" t="s">
        <v>218</v>
      </c>
      <c r="F1862" t="s">
        <v>219</v>
      </c>
      <c r="G1862" t="s">
        <v>17</v>
      </c>
      <c r="H1862" s="1">
        <v>44705</v>
      </c>
    </row>
    <row r="1863" spans="1:8">
      <c r="A1863" t="s">
        <v>3760</v>
      </c>
      <c r="B1863" t="s">
        <v>3761</v>
      </c>
      <c r="C1863" t="s">
        <v>31</v>
      </c>
      <c r="D1863">
        <v>44</v>
      </c>
      <c r="E1863" t="s">
        <v>20</v>
      </c>
      <c r="F1863" t="s">
        <v>21</v>
      </c>
      <c r="G1863" t="s">
        <v>22</v>
      </c>
      <c r="H1863" s="1">
        <v>44913</v>
      </c>
    </row>
    <row r="1864" spans="1:8">
      <c r="A1864" t="s">
        <v>3762</v>
      </c>
      <c r="B1864" t="s">
        <v>3763</v>
      </c>
      <c r="C1864" t="s">
        <v>31</v>
      </c>
      <c r="D1864">
        <v>48</v>
      </c>
      <c r="E1864" t="s">
        <v>20</v>
      </c>
      <c r="F1864" t="s">
        <v>21</v>
      </c>
      <c r="G1864" t="s">
        <v>22</v>
      </c>
      <c r="H1864" s="1">
        <v>44826</v>
      </c>
    </row>
    <row r="1865" spans="1:8">
      <c r="A1865" t="s">
        <v>3764</v>
      </c>
      <c r="B1865" t="s">
        <v>3765</v>
      </c>
      <c r="C1865" t="s">
        <v>10</v>
      </c>
      <c r="D1865">
        <v>31</v>
      </c>
      <c r="E1865" t="s">
        <v>69</v>
      </c>
      <c r="F1865" t="s">
        <v>69</v>
      </c>
      <c r="G1865" t="s">
        <v>12</v>
      </c>
      <c r="H1865" s="1">
        <v>44984</v>
      </c>
    </row>
    <row r="1866" spans="1:8">
      <c r="A1866" t="s">
        <v>3766</v>
      </c>
      <c r="B1866" t="s">
        <v>3767</v>
      </c>
      <c r="C1866" t="s">
        <v>31</v>
      </c>
      <c r="D1866">
        <v>55</v>
      </c>
      <c r="E1866" t="s">
        <v>149</v>
      </c>
      <c r="F1866" t="s">
        <v>38</v>
      </c>
      <c r="G1866" t="s">
        <v>22</v>
      </c>
      <c r="H1866" s="1">
        <v>44887</v>
      </c>
    </row>
    <row r="1867" spans="1:8">
      <c r="A1867" t="s">
        <v>3768</v>
      </c>
      <c r="B1867" t="s">
        <v>3769</v>
      </c>
      <c r="C1867" t="s">
        <v>10</v>
      </c>
      <c r="D1867">
        <v>18</v>
      </c>
      <c r="E1867" t="s">
        <v>41</v>
      </c>
      <c r="F1867" t="s">
        <v>42</v>
      </c>
      <c r="G1867" t="s">
        <v>17</v>
      </c>
      <c r="H1867" s="1">
        <v>45126</v>
      </c>
    </row>
    <row r="1868" spans="1:8">
      <c r="A1868" t="s">
        <v>3770</v>
      </c>
      <c r="B1868" t="s">
        <v>3771</v>
      </c>
      <c r="C1868" t="s">
        <v>31</v>
      </c>
      <c r="D1868">
        <v>56</v>
      </c>
      <c r="E1868" t="s">
        <v>112</v>
      </c>
      <c r="F1868" t="s">
        <v>113</v>
      </c>
      <c r="G1868" t="s">
        <v>78</v>
      </c>
      <c r="H1868" s="1">
        <v>44693</v>
      </c>
    </row>
    <row r="1869" spans="1:8">
      <c r="A1869" t="s">
        <v>3772</v>
      </c>
      <c r="B1869" t="s">
        <v>3773</v>
      </c>
      <c r="C1869" t="s">
        <v>31</v>
      </c>
      <c r="D1869">
        <v>47</v>
      </c>
      <c r="E1869" t="s">
        <v>27</v>
      </c>
      <c r="F1869" t="s">
        <v>28</v>
      </c>
      <c r="G1869" t="s">
        <v>12</v>
      </c>
      <c r="H1869" s="1">
        <v>45235</v>
      </c>
    </row>
    <row r="1870" spans="1:8">
      <c r="A1870" t="s">
        <v>3774</v>
      </c>
      <c r="B1870" t="s">
        <v>3775</v>
      </c>
      <c r="C1870" t="s">
        <v>31</v>
      </c>
      <c r="D1870">
        <v>59</v>
      </c>
      <c r="E1870" t="s">
        <v>20</v>
      </c>
      <c r="F1870" t="s">
        <v>21</v>
      </c>
      <c r="G1870" t="s">
        <v>22</v>
      </c>
      <c r="H1870" s="1">
        <v>44748</v>
      </c>
    </row>
    <row r="1871" spans="1:8">
      <c r="A1871" t="s">
        <v>3776</v>
      </c>
      <c r="B1871" t="s">
        <v>3777</v>
      </c>
      <c r="C1871" t="s">
        <v>31</v>
      </c>
      <c r="D1871">
        <v>43</v>
      </c>
      <c r="E1871" t="s">
        <v>112</v>
      </c>
      <c r="F1871" t="s">
        <v>113</v>
      </c>
      <c r="G1871" t="s">
        <v>78</v>
      </c>
      <c r="H1871" s="1">
        <v>45272</v>
      </c>
    </row>
    <row r="1872" spans="1:8">
      <c r="A1872" t="s">
        <v>3778</v>
      </c>
      <c r="B1872" t="s">
        <v>3779</v>
      </c>
      <c r="C1872" t="s">
        <v>10</v>
      </c>
      <c r="D1872">
        <v>29</v>
      </c>
      <c r="E1872" t="s">
        <v>63</v>
      </c>
      <c r="F1872" t="s">
        <v>64</v>
      </c>
      <c r="G1872" t="s">
        <v>12</v>
      </c>
      <c r="H1872" s="1">
        <v>45412</v>
      </c>
    </row>
    <row r="1873" spans="1:8">
      <c r="A1873" t="s">
        <v>3780</v>
      </c>
      <c r="B1873" t="s">
        <v>3781</v>
      </c>
      <c r="C1873" t="s">
        <v>31</v>
      </c>
      <c r="D1873">
        <v>60</v>
      </c>
      <c r="E1873" t="s">
        <v>112</v>
      </c>
      <c r="F1873" t="s">
        <v>113</v>
      </c>
      <c r="G1873" t="s">
        <v>78</v>
      </c>
      <c r="H1873" s="1">
        <v>45499</v>
      </c>
    </row>
    <row r="1874" spans="1:8">
      <c r="A1874" t="s">
        <v>3782</v>
      </c>
      <c r="B1874" t="s">
        <v>3783</v>
      </c>
      <c r="C1874" t="s">
        <v>31</v>
      </c>
      <c r="D1874">
        <v>62</v>
      </c>
      <c r="E1874" t="s">
        <v>218</v>
      </c>
      <c r="F1874" t="s">
        <v>219</v>
      </c>
      <c r="G1874" t="s">
        <v>17</v>
      </c>
      <c r="H1874" s="1">
        <v>44757</v>
      </c>
    </row>
    <row r="1875" spans="1:8">
      <c r="A1875" t="s">
        <v>3784</v>
      </c>
      <c r="B1875" t="s">
        <v>3785</v>
      </c>
      <c r="C1875" t="s">
        <v>31</v>
      </c>
      <c r="D1875">
        <v>58</v>
      </c>
      <c r="E1875" t="s">
        <v>76</v>
      </c>
      <c r="F1875" t="s">
        <v>77</v>
      </c>
      <c r="G1875" t="s">
        <v>78</v>
      </c>
      <c r="H1875" s="1">
        <v>44885</v>
      </c>
    </row>
    <row r="1876" spans="1:8">
      <c r="A1876" t="s">
        <v>3786</v>
      </c>
      <c r="B1876" t="s">
        <v>3787</v>
      </c>
      <c r="C1876" t="s">
        <v>10</v>
      </c>
      <c r="D1876">
        <v>49</v>
      </c>
      <c r="E1876" t="s">
        <v>20</v>
      </c>
      <c r="F1876" t="s">
        <v>21</v>
      </c>
      <c r="G1876" t="s">
        <v>22</v>
      </c>
      <c r="H1876" s="1">
        <v>45991</v>
      </c>
    </row>
    <row r="1877" spans="1:8">
      <c r="A1877" t="s">
        <v>3788</v>
      </c>
      <c r="B1877" t="s">
        <v>3789</v>
      </c>
      <c r="C1877" t="s">
        <v>31</v>
      </c>
      <c r="D1877">
        <v>22</v>
      </c>
      <c r="E1877" t="s">
        <v>60</v>
      </c>
      <c r="F1877" t="s">
        <v>21</v>
      </c>
      <c r="G1877" t="s">
        <v>22</v>
      </c>
      <c r="H1877" s="1">
        <v>44810</v>
      </c>
    </row>
    <row r="1878" spans="1:8">
      <c r="A1878" t="s">
        <v>3790</v>
      </c>
      <c r="B1878" t="s">
        <v>3791</v>
      </c>
      <c r="C1878" t="s">
        <v>31</v>
      </c>
      <c r="D1878">
        <v>46</v>
      </c>
      <c r="E1878" t="s">
        <v>27</v>
      </c>
      <c r="F1878" t="s">
        <v>28</v>
      </c>
      <c r="G1878" t="s">
        <v>12</v>
      </c>
      <c r="H1878" s="1">
        <v>45229</v>
      </c>
    </row>
    <row r="1879" spans="1:8">
      <c r="A1879" t="s">
        <v>3792</v>
      </c>
      <c r="B1879" t="s">
        <v>3793</v>
      </c>
      <c r="C1879" t="s">
        <v>10</v>
      </c>
      <c r="D1879">
        <v>47</v>
      </c>
      <c r="E1879" t="s">
        <v>34</v>
      </c>
      <c r="F1879" t="s">
        <v>16</v>
      </c>
      <c r="G1879" t="s">
        <v>17</v>
      </c>
      <c r="H1879" s="1">
        <v>45598</v>
      </c>
    </row>
    <row r="1880" spans="1:8">
      <c r="A1880" t="s">
        <v>3794</v>
      </c>
      <c r="B1880" t="s">
        <v>3795</v>
      </c>
      <c r="C1880" t="s">
        <v>31</v>
      </c>
      <c r="D1880">
        <v>65</v>
      </c>
      <c r="E1880" t="s">
        <v>41</v>
      </c>
      <c r="F1880" t="s">
        <v>42</v>
      </c>
      <c r="G1880" t="s">
        <v>17</v>
      </c>
      <c r="H1880" s="1">
        <v>45342</v>
      </c>
    </row>
    <row r="1881" spans="1:8">
      <c r="A1881" t="s">
        <v>3796</v>
      </c>
      <c r="B1881" t="s">
        <v>3797</v>
      </c>
      <c r="C1881" t="s">
        <v>10</v>
      </c>
      <c r="D1881">
        <v>18</v>
      </c>
      <c r="E1881" t="s">
        <v>101</v>
      </c>
      <c r="F1881" t="s">
        <v>21</v>
      </c>
      <c r="G1881" t="s">
        <v>22</v>
      </c>
      <c r="H1881" s="1">
        <v>45374</v>
      </c>
    </row>
    <row r="1882" spans="1:8">
      <c r="A1882" t="s">
        <v>3798</v>
      </c>
      <c r="B1882" t="s">
        <v>3799</v>
      </c>
      <c r="C1882" t="s">
        <v>31</v>
      </c>
      <c r="D1882">
        <v>49</v>
      </c>
      <c r="E1882" t="s">
        <v>34</v>
      </c>
      <c r="F1882" t="s">
        <v>16</v>
      </c>
      <c r="G1882" t="s">
        <v>17</v>
      </c>
      <c r="H1882" s="1">
        <v>45231</v>
      </c>
    </row>
    <row r="1883" spans="1:8">
      <c r="A1883" t="s">
        <v>3800</v>
      </c>
      <c r="B1883" t="s">
        <v>3801</v>
      </c>
      <c r="C1883" t="s">
        <v>10</v>
      </c>
      <c r="D1883">
        <v>63</v>
      </c>
      <c r="E1883" t="s">
        <v>20</v>
      </c>
      <c r="F1883" t="s">
        <v>21</v>
      </c>
      <c r="G1883" t="s">
        <v>22</v>
      </c>
      <c r="H1883" s="1">
        <v>45685</v>
      </c>
    </row>
    <row r="1884" spans="1:8">
      <c r="A1884" t="s">
        <v>3802</v>
      </c>
      <c r="B1884" t="s">
        <v>3803</v>
      </c>
      <c r="C1884" t="s">
        <v>31</v>
      </c>
      <c r="D1884">
        <v>28</v>
      </c>
      <c r="E1884" t="s">
        <v>76</v>
      </c>
      <c r="F1884" t="s">
        <v>77</v>
      </c>
      <c r="G1884" t="s">
        <v>78</v>
      </c>
      <c r="H1884" s="1">
        <v>45526</v>
      </c>
    </row>
    <row r="1885" spans="1:8">
      <c r="A1885" t="s">
        <v>3804</v>
      </c>
      <c r="B1885" t="s">
        <v>3805</v>
      </c>
      <c r="C1885" t="s">
        <v>10</v>
      </c>
      <c r="D1885">
        <v>29</v>
      </c>
      <c r="E1885" t="s">
        <v>15</v>
      </c>
      <c r="F1885" t="s">
        <v>16</v>
      </c>
      <c r="G1885" t="s">
        <v>17</v>
      </c>
      <c r="H1885" s="1">
        <v>45805</v>
      </c>
    </row>
    <row r="1886" spans="1:8">
      <c r="A1886" t="s">
        <v>3806</v>
      </c>
      <c r="B1886" t="s">
        <v>3807</v>
      </c>
      <c r="C1886" t="s">
        <v>10</v>
      </c>
      <c r="D1886">
        <v>22</v>
      </c>
      <c r="E1886" t="s">
        <v>218</v>
      </c>
      <c r="F1886" t="s">
        <v>219</v>
      </c>
      <c r="G1886" t="s">
        <v>17</v>
      </c>
      <c r="H1886" s="1">
        <v>45362</v>
      </c>
    </row>
    <row r="1887" spans="1:8">
      <c r="A1887" t="s">
        <v>3808</v>
      </c>
      <c r="B1887" t="s">
        <v>3809</v>
      </c>
      <c r="C1887" t="s">
        <v>31</v>
      </c>
      <c r="D1887">
        <v>27</v>
      </c>
      <c r="E1887" t="s">
        <v>11</v>
      </c>
      <c r="F1887" t="s">
        <v>11</v>
      </c>
      <c r="G1887" t="s">
        <v>12</v>
      </c>
      <c r="H1887" s="1">
        <v>45949</v>
      </c>
    </row>
    <row r="1888" spans="1:8">
      <c r="A1888" t="s">
        <v>3810</v>
      </c>
      <c r="B1888" t="s">
        <v>3811</v>
      </c>
      <c r="C1888" t="s">
        <v>10</v>
      </c>
      <c r="D1888">
        <v>61</v>
      </c>
      <c r="E1888" t="s">
        <v>101</v>
      </c>
      <c r="F1888" t="s">
        <v>21</v>
      </c>
      <c r="G1888" t="s">
        <v>22</v>
      </c>
      <c r="H1888" s="1">
        <v>45005</v>
      </c>
    </row>
    <row r="1889" spans="1:8">
      <c r="A1889" t="s">
        <v>3812</v>
      </c>
      <c r="B1889" t="s">
        <v>3813</v>
      </c>
      <c r="C1889" t="s">
        <v>10</v>
      </c>
      <c r="D1889">
        <v>58</v>
      </c>
      <c r="E1889" t="s">
        <v>149</v>
      </c>
      <c r="F1889" t="s">
        <v>38</v>
      </c>
      <c r="G1889" t="s">
        <v>22</v>
      </c>
      <c r="H1889" s="1">
        <v>45988</v>
      </c>
    </row>
    <row r="1890" spans="1:8">
      <c r="A1890" t="s">
        <v>3814</v>
      </c>
      <c r="B1890" t="s">
        <v>3815</v>
      </c>
      <c r="C1890" t="s">
        <v>31</v>
      </c>
      <c r="D1890">
        <v>46</v>
      </c>
      <c r="E1890" t="s">
        <v>11</v>
      </c>
      <c r="F1890" t="s">
        <v>11</v>
      </c>
      <c r="G1890" t="s">
        <v>12</v>
      </c>
      <c r="H1890" s="1">
        <v>45361</v>
      </c>
    </row>
    <row r="1891" spans="1:8">
      <c r="A1891" t="s">
        <v>3816</v>
      </c>
      <c r="B1891" t="s">
        <v>3817</v>
      </c>
      <c r="C1891" t="s">
        <v>31</v>
      </c>
      <c r="D1891">
        <v>67</v>
      </c>
      <c r="E1891" t="s">
        <v>15</v>
      </c>
      <c r="F1891" t="s">
        <v>16</v>
      </c>
      <c r="G1891" t="s">
        <v>17</v>
      </c>
      <c r="H1891" s="1">
        <v>44661</v>
      </c>
    </row>
    <row r="1892" spans="1:8">
      <c r="A1892" t="s">
        <v>3818</v>
      </c>
      <c r="B1892" t="s">
        <v>3819</v>
      </c>
      <c r="C1892" t="s">
        <v>10</v>
      </c>
      <c r="D1892">
        <v>30</v>
      </c>
      <c r="E1892" t="s">
        <v>34</v>
      </c>
      <c r="F1892" t="s">
        <v>16</v>
      </c>
      <c r="G1892" t="s">
        <v>17</v>
      </c>
      <c r="H1892" s="1">
        <v>45329</v>
      </c>
    </row>
    <row r="1893" spans="1:8">
      <c r="A1893" t="s">
        <v>3820</v>
      </c>
      <c r="B1893" t="s">
        <v>3821</v>
      </c>
      <c r="C1893" t="s">
        <v>10</v>
      </c>
      <c r="D1893">
        <v>39</v>
      </c>
      <c r="E1893" t="s">
        <v>41</v>
      </c>
      <c r="F1893" t="s">
        <v>42</v>
      </c>
      <c r="G1893" t="s">
        <v>17</v>
      </c>
      <c r="H1893" s="1">
        <v>44619</v>
      </c>
    </row>
    <row r="1894" spans="1:8">
      <c r="A1894" t="s">
        <v>3822</v>
      </c>
      <c r="B1894" t="s">
        <v>3823</v>
      </c>
      <c r="C1894" t="s">
        <v>10</v>
      </c>
      <c r="D1894">
        <v>69</v>
      </c>
      <c r="E1894" t="s">
        <v>87</v>
      </c>
      <c r="F1894" t="s">
        <v>88</v>
      </c>
      <c r="G1894" t="s">
        <v>78</v>
      </c>
      <c r="H1894" s="1">
        <v>45013</v>
      </c>
    </row>
    <row r="1895" spans="1:8">
      <c r="A1895" t="s">
        <v>3824</v>
      </c>
      <c r="B1895" t="s">
        <v>3825</v>
      </c>
      <c r="C1895" t="s">
        <v>10</v>
      </c>
      <c r="D1895">
        <v>44</v>
      </c>
      <c r="E1895" t="s">
        <v>76</v>
      </c>
      <c r="F1895" t="s">
        <v>77</v>
      </c>
      <c r="G1895" t="s">
        <v>78</v>
      </c>
      <c r="H1895" s="1">
        <v>44904</v>
      </c>
    </row>
    <row r="1896" spans="1:8">
      <c r="A1896" t="s">
        <v>3826</v>
      </c>
      <c r="B1896" t="s">
        <v>3827</v>
      </c>
      <c r="C1896" t="s">
        <v>10</v>
      </c>
      <c r="D1896">
        <v>57</v>
      </c>
      <c r="E1896" t="s">
        <v>37</v>
      </c>
      <c r="F1896" t="s">
        <v>38</v>
      </c>
      <c r="G1896" t="s">
        <v>22</v>
      </c>
      <c r="H1896" s="1">
        <v>45222</v>
      </c>
    </row>
    <row r="1897" spans="1:8">
      <c r="A1897" t="s">
        <v>3828</v>
      </c>
      <c r="B1897" t="s">
        <v>3829</v>
      </c>
      <c r="C1897" t="s">
        <v>31</v>
      </c>
      <c r="D1897">
        <v>25</v>
      </c>
      <c r="E1897" t="s">
        <v>218</v>
      </c>
      <c r="F1897" t="s">
        <v>219</v>
      </c>
      <c r="G1897" t="s">
        <v>17</v>
      </c>
      <c r="H1897" s="1">
        <v>45371</v>
      </c>
    </row>
    <row r="1898" spans="1:8">
      <c r="A1898" t="s">
        <v>3830</v>
      </c>
      <c r="B1898" t="s">
        <v>3831</v>
      </c>
      <c r="C1898" t="s">
        <v>31</v>
      </c>
      <c r="D1898">
        <v>29</v>
      </c>
      <c r="E1898" t="s">
        <v>15</v>
      </c>
      <c r="F1898" t="s">
        <v>16</v>
      </c>
      <c r="G1898" t="s">
        <v>17</v>
      </c>
      <c r="H1898" s="1">
        <v>45292</v>
      </c>
    </row>
    <row r="1899" spans="1:8">
      <c r="A1899" t="s">
        <v>3832</v>
      </c>
      <c r="B1899" t="s">
        <v>3833</v>
      </c>
      <c r="C1899" t="s">
        <v>31</v>
      </c>
      <c r="D1899">
        <v>31</v>
      </c>
      <c r="E1899" t="s">
        <v>45</v>
      </c>
      <c r="F1899" t="s">
        <v>46</v>
      </c>
      <c r="G1899" t="s">
        <v>17</v>
      </c>
      <c r="H1899" s="1">
        <v>44586</v>
      </c>
    </row>
    <row r="1900" spans="1:8">
      <c r="A1900" t="s">
        <v>3834</v>
      </c>
      <c r="B1900" t="s">
        <v>3835</v>
      </c>
      <c r="C1900" t="s">
        <v>31</v>
      </c>
      <c r="D1900">
        <v>59</v>
      </c>
      <c r="E1900" t="s">
        <v>20</v>
      </c>
      <c r="F1900" t="s">
        <v>21</v>
      </c>
      <c r="G1900" t="s">
        <v>22</v>
      </c>
      <c r="H1900" s="1">
        <v>45909</v>
      </c>
    </row>
    <row r="1901" spans="1:8">
      <c r="A1901" t="s">
        <v>3836</v>
      </c>
      <c r="B1901" t="s">
        <v>3837</v>
      </c>
      <c r="C1901" t="s">
        <v>10</v>
      </c>
      <c r="D1901">
        <v>44</v>
      </c>
      <c r="E1901" t="s">
        <v>11</v>
      </c>
      <c r="F1901" t="s">
        <v>11</v>
      </c>
      <c r="G1901" t="s">
        <v>12</v>
      </c>
      <c r="H1901" s="1">
        <v>44699</v>
      </c>
    </row>
    <row r="1902" spans="1:8">
      <c r="A1902" t="s">
        <v>3838</v>
      </c>
      <c r="B1902" t="s">
        <v>3839</v>
      </c>
      <c r="C1902" t="s">
        <v>10</v>
      </c>
      <c r="D1902">
        <v>63</v>
      </c>
      <c r="E1902" t="s">
        <v>60</v>
      </c>
      <c r="F1902" t="s">
        <v>21</v>
      </c>
      <c r="G1902" t="s">
        <v>22</v>
      </c>
      <c r="H1902" s="1">
        <v>45585</v>
      </c>
    </row>
    <row r="1903" spans="1:8">
      <c r="A1903" t="s">
        <v>3840</v>
      </c>
      <c r="B1903" t="s">
        <v>3841</v>
      </c>
      <c r="C1903" t="s">
        <v>31</v>
      </c>
      <c r="D1903">
        <v>24</v>
      </c>
      <c r="E1903" t="s">
        <v>60</v>
      </c>
      <c r="F1903" t="s">
        <v>21</v>
      </c>
      <c r="G1903" t="s">
        <v>22</v>
      </c>
      <c r="H1903" s="1">
        <v>44913</v>
      </c>
    </row>
    <row r="1904" spans="1:8">
      <c r="A1904" t="s">
        <v>3842</v>
      </c>
      <c r="B1904" t="s">
        <v>3843</v>
      </c>
      <c r="C1904" t="s">
        <v>10</v>
      </c>
      <c r="D1904">
        <v>39</v>
      </c>
      <c r="E1904" t="s">
        <v>69</v>
      </c>
      <c r="F1904" t="s">
        <v>69</v>
      </c>
      <c r="G1904" t="s">
        <v>12</v>
      </c>
      <c r="H1904" s="1">
        <v>45950</v>
      </c>
    </row>
    <row r="1905" spans="1:8">
      <c r="A1905" t="s">
        <v>3844</v>
      </c>
      <c r="B1905" t="s">
        <v>3845</v>
      </c>
      <c r="C1905" t="s">
        <v>31</v>
      </c>
      <c r="D1905">
        <v>22</v>
      </c>
      <c r="E1905" t="s">
        <v>45</v>
      </c>
      <c r="F1905" t="s">
        <v>46</v>
      </c>
      <c r="G1905" t="s">
        <v>17</v>
      </c>
      <c r="H1905" s="1">
        <v>45926</v>
      </c>
    </row>
    <row r="1906" spans="1:8">
      <c r="A1906" t="s">
        <v>3846</v>
      </c>
      <c r="B1906" t="s">
        <v>3847</v>
      </c>
      <c r="C1906" t="s">
        <v>31</v>
      </c>
      <c r="D1906">
        <v>42</v>
      </c>
      <c r="E1906" t="s">
        <v>60</v>
      </c>
      <c r="F1906" t="s">
        <v>21</v>
      </c>
      <c r="G1906" t="s">
        <v>22</v>
      </c>
      <c r="H1906" s="1">
        <v>45760</v>
      </c>
    </row>
    <row r="1907" spans="1:8">
      <c r="A1907" t="s">
        <v>3848</v>
      </c>
      <c r="B1907" t="s">
        <v>3849</v>
      </c>
      <c r="C1907" t="s">
        <v>10</v>
      </c>
      <c r="D1907">
        <v>32</v>
      </c>
      <c r="E1907" t="s">
        <v>101</v>
      </c>
      <c r="F1907" t="s">
        <v>21</v>
      </c>
      <c r="G1907" t="s">
        <v>22</v>
      </c>
      <c r="H1907" s="1">
        <v>45593</v>
      </c>
    </row>
    <row r="1908" spans="1:8">
      <c r="A1908" t="s">
        <v>3850</v>
      </c>
      <c r="B1908" t="s">
        <v>3851</v>
      </c>
      <c r="C1908" t="s">
        <v>10</v>
      </c>
      <c r="D1908">
        <v>65</v>
      </c>
      <c r="E1908" t="s">
        <v>15</v>
      </c>
      <c r="F1908" t="s">
        <v>16</v>
      </c>
      <c r="G1908" t="s">
        <v>17</v>
      </c>
      <c r="H1908" s="1">
        <v>45194</v>
      </c>
    </row>
    <row r="1909" spans="1:8">
      <c r="A1909" t="s">
        <v>3852</v>
      </c>
      <c r="B1909" t="s">
        <v>3853</v>
      </c>
      <c r="C1909" t="s">
        <v>10</v>
      </c>
      <c r="D1909">
        <v>21</v>
      </c>
      <c r="E1909" t="s">
        <v>101</v>
      </c>
      <c r="F1909" t="s">
        <v>21</v>
      </c>
      <c r="G1909" t="s">
        <v>22</v>
      </c>
      <c r="H1909" s="1">
        <v>45831</v>
      </c>
    </row>
    <row r="1910" spans="1:8">
      <c r="A1910" t="s">
        <v>3854</v>
      </c>
      <c r="B1910" t="s">
        <v>3855</v>
      </c>
      <c r="C1910" t="s">
        <v>10</v>
      </c>
      <c r="D1910">
        <v>27</v>
      </c>
      <c r="E1910" t="s">
        <v>41</v>
      </c>
      <c r="F1910" t="s">
        <v>42</v>
      </c>
      <c r="G1910" t="s">
        <v>17</v>
      </c>
      <c r="H1910" s="1">
        <v>45169</v>
      </c>
    </row>
    <row r="1911" spans="1:8">
      <c r="A1911" t="s">
        <v>3856</v>
      </c>
      <c r="B1911" t="s">
        <v>3857</v>
      </c>
      <c r="C1911" t="s">
        <v>31</v>
      </c>
      <c r="D1911">
        <v>65</v>
      </c>
      <c r="E1911" t="s">
        <v>20</v>
      </c>
      <c r="F1911" t="s">
        <v>21</v>
      </c>
      <c r="G1911" t="s">
        <v>22</v>
      </c>
      <c r="H1911" s="1">
        <v>45049</v>
      </c>
    </row>
    <row r="1912" spans="1:8">
      <c r="A1912" t="s">
        <v>3858</v>
      </c>
      <c r="B1912" t="s">
        <v>3859</v>
      </c>
      <c r="C1912" t="s">
        <v>31</v>
      </c>
      <c r="D1912">
        <v>59</v>
      </c>
      <c r="E1912" t="s">
        <v>76</v>
      </c>
      <c r="F1912" t="s">
        <v>77</v>
      </c>
      <c r="G1912" t="s">
        <v>78</v>
      </c>
      <c r="H1912" s="1">
        <v>45131</v>
      </c>
    </row>
    <row r="1913" spans="1:8">
      <c r="A1913" t="s">
        <v>3860</v>
      </c>
      <c r="B1913" t="s">
        <v>3861</v>
      </c>
      <c r="C1913" t="s">
        <v>31</v>
      </c>
      <c r="D1913">
        <v>59</v>
      </c>
      <c r="E1913" t="s">
        <v>11</v>
      </c>
      <c r="F1913" t="s">
        <v>11</v>
      </c>
      <c r="G1913" t="s">
        <v>12</v>
      </c>
      <c r="H1913" s="1">
        <v>45628</v>
      </c>
    </row>
    <row r="1914" spans="1:8">
      <c r="A1914" t="s">
        <v>3862</v>
      </c>
      <c r="B1914" t="s">
        <v>3863</v>
      </c>
      <c r="C1914" t="s">
        <v>31</v>
      </c>
      <c r="D1914">
        <v>39</v>
      </c>
      <c r="E1914" t="s">
        <v>11</v>
      </c>
      <c r="F1914" t="s">
        <v>11</v>
      </c>
      <c r="G1914" t="s">
        <v>12</v>
      </c>
      <c r="H1914" s="1">
        <v>45031</v>
      </c>
    </row>
    <row r="1915" spans="1:8">
      <c r="A1915" t="s">
        <v>3864</v>
      </c>
      <c r="B1915" t="s">
        <v>3865</v>
      </c>
      <c r="C1915" t="s">
        <v>10</v>
      </c>
      <c r="D1915">
        <v>69</v>
      </c>
      <c r="E1915" t="s">
        <v>218</v>
      </c>
      <c r="F1915" t="s">
        <v>219</v>
      </c>
      <c r="G1915" t="s">
        <v>17</v>
      </c>
      <c r="H1915" s="1">
        <v>44672</v>
      </c>
    </row>
    <row r="1916" spans="1:8">
      <c r="A1916" t="s">
        <v>3866</v>
      </c>
      <c r="B1916" t="s">
        <v>3867</v>
      </c>
      <c r="C1916" t="s">
        <v>31</v>
      </c>
      <c r="D1916">
        <v>51</v>
      </c>
      <c r="E1916" t="s">
        <v>63</v>
      </c>
      <c r="F1916" t="s">
        <v>64</v>
      </c>
      <c r="G1916" t="s">
        <v>12</v>
      </c>
      <c r="H1916" s="1">
        <v>45807</v>
      </c>
    </row>
    <row r="1917" spans="1:8">
      <c r="A1917" t="s">
        <v>3868</v>
      </c>
      <c r="B1917" t="s">
        <v>3869</v>
      </c>
      <c r="C1917" t="s">
        <v>10</v>
      </c>
      <c r="D1917">
        <v>22</v>
      </c>
      <c r="E1917" t="s">
        <v>149</v>
      </c>
      <c r="F1917" t="s">
        <v>38</v>
      </c>
      <c r="G1917" t="s">
        <v>22</v>
      </c>
      <c r="H1917" s="1">
        <v>45851</v>
      </c>
    </row>
    <row r="1918" spans="1:8">
      <c r="A1918" t="s">
        <v>3870</v>
      </c>
      <c r="B1918" t="s">
        <v>3871</v>
      </c>
      <c r="C1918" t="s">
        <v>10</v>
      </c>
      <c r="D1918">
        <v>58</v>
      </c>
      <c r="E1918" t="s">
        <v>87</v>
      </c>
      <c r="F1918" t="s">
        <v>88</v>
      </c>
      <c r="G1918" t="s">
        <v>78</v>
      </c>
      <c r="H1918" s="1">
        <v>44956</v>
      </c>
    </row>
    <row r="1919" spans="1:8">
      <c r="A1919" t="s">
        <v>3872</v>
      </c>
      <c r="B1919" t="s">
        <v>3873</v>
      </c>
      <c r="C1919" t="s">
        <v>10</v>
      </c>
      <c r="D1919">
        <v>29</v>
      </c>
      <c r="E1919" t="s">
        <v>76</v>
      </c>
      <c r="F1919" t="s">
        <v>77</v>
      </c>
      <c r="G1919" t="s">
        <v>78</v>
      </c>
      <c r="H1919" s="1">
        <v>44819</v>
      </c>
    </row>
    <row r="1920" spans="1:8">
      <c r="A1920" t="s">
        <v>3874</v>
      </c>
      <c r="B1920" t="s">
        <v>3875</v>
      </c>
      <c r="C1920" t="s">
        <v>10</v>
      </c>
      <c r="D1920">
        <v>45</v>
      </c>
      <c r="E1920" t="s">
        <v>63</v>
      </c>
      <c r="F1920" t="s">
        <v>64</v>
      </c>
      <c r="G1920" t="s">
        <v>12</v>
      </c>
      <c r="H1920" s="1">
        <v>45045</v>
      </c>
    </row>
    <row r="1921" spans="1:8">
      <c r="A1921" t="s">
        <v>3876</v>
      </c>
      <c r="B1921" t="s">
        <v>3877</v>
      </c>
      <c r="C1921" t="s">
        <v>10</v>
      </c>
      <c r="D1921">
        <v>33</v>
      </c>
      <c r="E1921" t="s">
        <v>134</v>
      </c>
      <c r="F1921" t="s">
        <v>28</v>
      </c>
      <c r="G1921" t="s">
        <v>12</v>
      </c>
      <c r="H1921" s="1">
        <v>44898</v>
      </c>
    </row>
    <row r="1922" spans="1:8">
      <c r="A1922" t="s">
        <v>3878</v>
      </c>
      <c r="B1922" t="s">
        <v>3879</v>
      </c>
      <c r="C1922" t="s">
        <v>31</v>
      </c>
      <c r="D1922">
        <v>36</v>
      </c>
      <c r="E1922" t="s">
        <v>60</v>
      </c>
      <c r="F1922" t="s">
        <v>21</v>
      </c>
      <c r="G1922" t="s">
        <v>22</v>
      </c>
      <c r="H1922" s="1">
        <v>45071</v>
      </c>
    </row>
    <row r="1923" spans="1:8">
      <c r="A1923" t="s">
        <v>3880</v>
      </c>
      <c r="B1923" t="s">
        <v>3881</v>
      </c>
      <c r="C1923" t="s">
        <v>31</v>
      </c>
      <c r="D1923">
        <v>23</v>
      </c>
      <c r="E1923" t="s">
        <v>101</v>
      </c>
      <c r="F1923" t="s">
        <v>21</v>
      </c>
      <c r="G1923" t="s">
        <v>22</v>
      </c>
      <c r="H1923" s="1">
        <v>45118</v>
      </c>
    </row>
    <row r="1924" spans="1:8">
      <c r="A1924" t="s">
        <v>3882</v>
      </c>
      <c r="B1924" t="s">
        <v>3883</v>
      </c>
      <c r="C1924" t="s">
        <v>31</v>
      </c>
      <c r="D1924">
        <v>28</v>
      </c>
      <c r="E1924" t="s">
        <v>91</v>
      </c>
      <c r="F1924" t="s">
        <v>92</v>
      </c>
      <c r="G1924" t="s">
        <v>78</v>
      </c>
      <c r="H1924" s="1">
        <v>45377</v>
      </c>
    </row>
    <row r="1925" spans="1:8">
      <c r="A1925" t="s">
        <v>3884</v>
      </c>
      <c r="B1925" t="s">
        <v>3885</v>
      </c>
      <c r="C1925" t="s">
        <v>31</v>
      </c>
      <c r="D1925">
        <v>66</v>
      </c>
      <c r="E1925" t="s">
        <v>149</v>
      </c>
      <c r="F1925" t="s">
        <v>38</v>
      </c>
      <c r="G1925" t="s">
        <v>22</v>
      </c>
      <c r="H1925" s="1">
        <v>45596</v>
      </c>
    </row>
    <row r="1926" spans="1:8">
      <c r="A1926" t="s">
        <v>3886</v>
      </c>
      <c r="B1926" t="s">
        <v>3887</v>
      </c>
      <c r="C1926" t="s">
        <v>31</v>
      </c>
      <c r="D1926">
        <v>45</v>
      </c>
      <c r="E1926" t="s">
        <v>41</v>
      </c>
      <c r="F1926" t="s">
        <v>42</v>
      </c>
      <c r="G1926" t="s">
        <v>17</v>
      </c>
      <c r="H1926" s="1">
        <v>44602</v>
      </c>
    </row>
    <row r="1927" spans="1:8">
      <c r="A1927" t="s">
        <v>3888</v>
      </c>
      <c r="B1927" t="s">
        <v>3889</v>
      </c>
      <c r="C1927" t="s">
        <v>10</v>
      </c>
      <c r="D1927">
        <v>53</v>
      </c>
      <c r="E1927" t="s">
        <v>91</v>
      </c>
      <c r="F1927" t="s">
        <v>92</v>
      </c>
      <c r="G1927" t="s">
        <v>78</v>
      </c>
      <c r="H1927" s="1">
        <v>45780</v>
      </c>
    </row>
    <row r="1928" spans="1:8">
      <c r="A1928" t="s">
        <v>3890</v>
      </c>
      <c r="B1928" t="s">
        <v>3891</v>
      </c>
      <c r="C1928" t="s">
        <v>31</v>
      </c>
      <c r="D1928">
        <v>37</v>
      </c>
      <c r="E1928" t="s">
        <v>134</v>
      </c>
      <c r="F1928" t="s">
        <v>28</v>
      </c>
      <c r="G1928" t="s">
        <v>12</v>
      </c>
      <c r="H1928" s="1">
        <v>45341</v>
      </c>
    </row>
    <row r="1929" spans="1:8">
      <c r="A1929" t="s">
        <v>3892</v>
      </c>
      <c r="B1929" t="s">
        <v>3893</v>
      </c>
      <c r="C1929" t="s">
        <v>31</v>
      </c>
      <c r="D1929">
        <v>22</v>
      </c>
      <c r="E1929" t="s">
        <v>149</v>
      </c>
      <c r="F1929" t="s">
        <v>38</v>
      </c>
      <c r="G1929" t="s">
        <v>22</v>
      </c>
      <c r="H1929" s="1">
        <v>45713</v>
      </c>
    </row>
    <row r="1930" spans="1:8">
      <c r="A1930" t="s">
        <v>3894</v>
      </c>
      <c r="B1930" t="s">
        <v>3895</v>
      </c>
      <c r="C1930" t="s">
        <v>10</v>
      </c>
      <c r="D1930">
        <v>30</v>
      </c>
      <c r="E1930" t="s">
        <v>149</v>
      </c>
      <c r="F1930" t="s">
        <v>38</v>
      </c>
      <c r="G1930" t="s">
        <v>22</v>
      </c>
      <c r="H1930" s="1">
        <v>44962</v>
      </c>
    </row>
    <row r="1931" spans="1:8">
      <c r="A1931" t="s">
        <v>3896</v>
      </c>
      <c r="B1931" t="s">
        <v>3897</v>
      </c>
      <c r="C1931" t="s">
        <v>31</v>
      </c>
      <c r="D1931">
        <v>43</v>
      </c>
      <c r="E1931" t="s">
        <v>218</v>
      </c>
      <c r="F1931" t="s">
        <v>219</v>
      </c>
      <c r="G1931" t="s">
        <v>17</v>
      </c>
      <c r="H1931" s="1">
        <v>45328</v>
      </c>
    </row>
    <row r="1932" spans="1:8">
      <c r="A1932" t="s">
        <v>3898</v>
      </c>
      <c r="B1932" t="s">
        <v>3899</v>
      </c>
      <c r="C1932" t="s">
        <v>31</v>
      </c>
      <c r="D1932">
        <v>49</v>
      </c>
      <c r="E1932" t="s">
        <v>112</v>
      </c>
      <c r="F1932" t="s">
        <v>113</v>
      </c>
      <c r="G1932" t="s">
        <v>78</v>
      </c>
      <c r="H1932" s="1">
        <v>45326</v>
      </c>
    </row>
    <row r="1933" spans="1:8">
      <c r="A1933" t="s">
        <v>3900</v>
      </c>
      <c r="B1933" t="s">
        <v>3901</v>
      </c>
      <c r="C1933" t="s">
        <v>31</v>
      </c>
      <c r="D1933">
        <v>20</v>
      </c>
      <c r="E1933" t="s">
        <v>60</v>
      </c>
      <c r="F1933" t="s">
        <v>21</v>
      </c>
      <c r="G1933" t="s">
        <v>22</v>
      </c>
      <c r="H1933" s="1">
        <v>44707</v>
      </c>
    </row>
    <row r="1934" spans="1:8">
      <c r="A1934" t="s">
        <v>3902</v>
      </c>
      <c r="B1934" t="s">
        <v>3903</v>
      </c>
      <c r="C1934" t="s">
        <v>10</v>
      </c>
      <c r="D1934">
        <v>30</v>
      </c>
      <c r="E1934" t="s">
        <v>87</v>
      </c>
      <c r="F1934" t="s">
        <v>88</v>
      </c>
      <c r="G1934" t="s">
        <v>78</v>
      </c>
      <c r="H1934" s="1">
        <v>45350</v>
      </c>
    </row>
    <row r="1935" spans="1:8">
      <c r="A1935" t="s">
        <v>3904</v>
      </c>
      <c r="B1935" t="s">
        <v>3905</v>
      </c>
      <c r="C1935" t="s">
        <v>31</v>
      </c>
      <c r="D1935">
        <v>58</v>
      </c>
      <c r="E1935" t="s">
        <v>134</v>
      </c>
      <c r="F1935" t="s">
        <v>28</v>
      </c>
      <c r="G1935" t="s">
        <v>12</v>
      </c>
      <c r="H1935" s="1">
        <v>45275</v>
      </c>
    </row>
    <row r="1936" spans="1:8">
      <c r="A1936" t="s">
        <v>3906</v>
      </c>
      <c r="B1936" t="s">
        <v>3907</v>
      </c>
      <c r="C1936" t="s">
        <v>31</v>
      </c>
      <c r="D1936">
        <v>45</v>
      </c>
      <c r="E1936" t="s">
        <v>11</v>
      </c>
      <c r="F1936" t="s">
        <v>11</v>
      </c>
      <c r="G1936" t="s">
        <v>12</v>
      </c>
      <c r="H1936" s="1">
        <v>45895</v>
      </c>
    </row>
    <row r="1937" spans="1:8">
      <c r="A1937" t="s">
        <v>3908</v>
      </c>
      <c r="B1937" t="s">
        <v>3909</v>
      </c>
      <c r="C1937" t="s">
        <v>10</v>
      </c>
      <c r="D1937">
        <v>70</v>
      </c>
      <c r="E1937" t="s">
        <v>63</v>
      </c>
      <c r="F1937" t="s">
        <v>64</v>
      </c>
      <c r="G1937" t="s">
        <v>12</v>
      </c>
      <c r="H1937" s="1">
        <v>45540</v>
      </c>
    </row>
    <row r="1938" spans="1:8">
      <c r="A1938" t="s">
        <v>3910</v>
      </c>
      <c r="B1938" t="s">
        <v>3911</v>
      </c>
      <c r="C1938" t="s">
        <v>10</v>
      </c>
      <c r="D1938">
        <v>34</v>
      </c>
      <c r="E1938" t="s">
        <v>20</v>
      </c>
      <c r="F1938" t="s">
        <v>21</v>
      </c>
      <c r="G1938" t="s">
        <v>22</v>
      </c>
      <c r="H1938" s="1">
        <v>45990</v>
      </c>
    </row>
    <row r="1939" spans="1:8">
      <c r="A1939" t="s">
        <v>3912</v>
      </c>
      <c r="B1939" t="s">
        <v>3913</v>
      </c>
      <c r="C1939" t="s">
        <v>10</v>
      </c>
      <c r="D1939">
        <v>56</v>
      </c>
      <c r="E1939" t="s">
        <v>63</v>
      </c>
      <c r="F1939" t="s">
        <v>64</v>
      </c>
      <c r="G1939" t="s">
        <v>12</v>
      </c>
      <c r="H1939" s="1">
        <v>45082</v>
      </c>
    </row>
    <row r="1940" spans="1:8">
      <c r="A1940" t="s">
        <v>3914</v>
      </c>
      <c r="B1940" t="s">
        <v>3915</v>
      </c>
      <c r="C1940" t="s">
        <v>10</v>
      </c>
      <c r="D1940">
        <v>67</v>
      </c>
      <c r="E1940" t="s">
        <v>101</v>
      </c>
      <c r="F1940" t="s">
        <v>21</v>
      </c>
      <c r="G1940" t="s">
        <v>22</v>
      </c>
      <c r="H1940" s="1">
        <v>44587</v>
      </c>
    </row>
    <row r="1941" spans="1:8">
      <c r="A1941" t="s">
        <v>3916</v>
      </c>
      <c r="B1941" t="s">
        <v>3917</v>
      </c>
      <c r="C1941" t="s">
        <v>10</v>
      </c>
      <c r="D1941">
        <v>51</v>
      </c>
      <c r="E1941" t="s">
        <v>41</v>
      </c>
      <c r="F1941" t="s">
        <v>42</v>
      </c>
      <c r="G1941" t="s">
        <v>17</v>
      </c>
      <c r="H1941" s="1">
        <v>45376</v>
      </c>
    </row>
    <row r="1942" spans="1:8">
      <c r="A1942" t="s">
        <v>3918</v>
      </c>
      <c r="B1942" t="s">
        <v>3919</v>
      </c>
      <c r="C1942" t="s">
        <v>31</v>
      </c>
      <c r="D1942">
        <v>34</v>
      </c>
      <c r="E1942" t="s">
        <v>112</v>
      </c>
      <c r="F1942" t="s">
        <v>113</v>
      </c>
      <c r="G1942" t="s">
        <v>78</v>
      </c>
      <c r="H1942" s="1">
        <v>44901</v>
      </c>
    </row>
    <row r="1943" spans="1:8">
      <c r="A1943" t="s">
        <v>3920</v>
      </c>
      <c r="B1943" t="s">
        <v>3921</v>
      </c>
      <c r="C1943" t="s">
        <v>31</v>
      </c>
      <c r="D1943">
        <v>55</v>
      </c>
      <c r="E1943" t="s">
        <v>27</v>
      </c>
      <c r="F1943" t="s">
        <v>28</v>
      </c>
      <c r="G1943" t="s">
        <v>12</v>
      </c>
      <c r="H1943" s="1">
        <v>45653</v>
      </c>
    </row>
    <row r="1944" spans="1:8">
      <c r="A1944" t="s">
        <v>3922</v>
      </c>
      <c r="B1944" t="s">
        <v>3923</v>
      </c>
      <c r="C1944" t="s">
        <v>10</v>
      </c>
      <c r="D1944">
        <v>58</v>
      </c>
      <c r="E1944" t="s">
        <v>149</v>
      </c>
      <c r="F1944" t="s">
        <v>38</v>
      </c>
      <c r="G1944" t="s">
        <v>22</v>
      </c>
      <c r="H1944" s="1">
        <v>44744</v>
      </c>
    </row>
    <row r="1945" spans="1:8">
      <c r="A1945" t="s">
        <v>3924</v>
      </c>
      <c r="B1945" t="s">
        <v>3925</v>
      </c>
      <c r="C1945" t="s">
        <v>31</v>
      </c>
      <c r="D1945">
        <v>65</v>
      </c>
      <c r="E1945" t="s">
        <v>37</v>
      </c>
      <c r="F1945" t="s">
        <v>38</v>
      </c>
      <c r="G1945" t="s">
        <v>22</v>
      </c>
      <c r="H1945" s="1">
        <v>44854</v>
      </c>
    </row>
    <row r="1946" spans="1:8">
      <c r="A1946" t="s">
        <v>3926</v>
      </c>
      <c r="B1946" t="s">
        <v>3927</v>
      </c>
      <c r="C1946" t="s">
        <v>31</v>
      </c>
      <c r="D1946">
        <v>18</v>
      </c>
      <c r="E1946" t="s">
        <v>41</v>
      </c>
      <c r="F1946" t="s">
        <v>42</v>
      </c>
      <c r="G1946" t="s">
        <v>17</v>
      </c>
      <c r="H1946" s="1">
        <v>45993</v>
      </c>
    </row>
    <row r="1947" spans="1:8">
      <c r="A1947" t="s">
        <v>3928</v>
      </c>
      <c r="B1947" t="s">
        <v>3929</v>
      </c>
      <c r="C1947" t="s">
        <v>10</v>
      </c>
      <c r="D1947">
        <v>22</v>
      </c>
      <c r="E1947" t="s">
        <v>112</v>
      </c>
      <c r="F1947" t="s">
        <v>113</v>
      </c>
      <c r="G1947" t="s">
        <v>78</v>
      </c>
      <c r="H1947" s="1">
        <v>44565</v>
      </c>
    </row>
    <row r="1948" spans="1:8">
      <c r="A1948" t="s">
        <v>3930</v>
      </c>
      <c r="B1948" t="s">
        <v>3931</v>
      </c>
      <c r="C1948" t="s">
        <v>31</v>
      </c>
      <c r="D1948">
        <v>59</v>
      </c>
      <c r="E1948" t="s">
        <v>69</v>
      </c>
      <c r="F1948" t="s">
        <v>69</v>
      </c>
      <c r="G1948" t="s">
        <v>12</v>
      </c>
      <c r="H1948" s="1">
        <v>45637</v>
      </c>
    </row>
    <row r="1949" spans="1:8">
      <c r="A1949" t="s">
        <v>3932</v>
      </c>
      <c r="B1949" t="s">
        <v>3933</v>
      </c>
      <c r="C1949" t="s">
        <v>10</v>
      </c>
      <c r="D1949">
        <v>41</v>
      </c>
      <c r="E1949" t="s">
        <v>41</v>
      </c>
      <c r="F1949" t="s">
        <v>42</v>
      </c>
      <c r="G1949" t="s">
        <v>17</v>
      </c>
      <c r="H1949" s="1">
        <v>44911</v>
      </c>
    </row>
    <row r="1950" spans="1:8">
      <c r="A1950" t="s">
        <v>3934</v>
      </c>
      <c r="B1950" t="s">
        <v>3935</v>
      </c>
      <c r="C1950" t="s">
        <v>31</v>
      </c>
      <c r="D1950">
        <v>29</v>
      </c>
      <c r="E1950" t="s">
        <v>34</v>
      </c>
      <c r="F1950" t="s">
        <v>16</v>
      </c>
      <c r="G1950" t="s">
        <v>17</v>
      </c>
      <c r="H1950" s="1">
        <v>44967</v>
      </c>
    </row>
    <row r="1951" spans="1:8">
      <c r="A1951" t="s">
        <v>3936</v>
      </c>
      <c r="B1951" t="s">
        <v>3937</v>
      </c>
      <c r="C1951" t="s">
        <v>10</v>
      </c>
      <c r="D1951">
        <v>29</v>
      </c>
      <c r="E1951" t="s">
        <v>20</v>
      </c>
      <c r="F1951" t="s">
        <v>21</v>
      </c>
      <c r="G1951" t="s">
        <v>22</v>
      </c>
      <c r="H1951" s="1">
        <v>45484</v>
      </c>
    </row>
    <row r="1952" spans="1:8">
      <c r="A1952" t="s">
        <v>3938</v>
      </c>
      <c r="B1952" t="s">
        <v>3939</v>
      </c>
      <c r="C1952" t="s">
        <v>31</v>
      </c>
      <c r="D1952">
        <v>44</v>
      </c>
      <c r="E1952" t="s">
        <v>34</v>
      </c>
      <c r="F1952" t="s">
        <v>16</v>
      </c>
      <c r="G1952" t="s">
        <v>17</v>
      </c>
      <c r="H1952" s="1">
        <v>44954</v>
      </c>
    </row>
    <row r="1953" spans="1:8">
      <c r="A1953" t="s">
        <v>3940</v>
      </c>
      <c r="B1953" t="s">
        <v>3941</v>
      </c>
      <c r="C1953" t="s">
        <v>10</v>
      </c>
      <c r="D1953">
        <v>23</v>
      </c>
      <c r="E1953" t="s">
        <v>60</v>
      </c>
      <c r="F1953" t="s">
        <v>21</v>
      </c>
      <c r="G1953" t="s">
        <v>22</v>
      </c>
      <c r="H1953" s="1">
        <v>44785</v>
      </c>
    </row>
    <row r="1954" spans="1:8">
      <c r="A1954" t="s">
        <v>3942</v>
      </c>
      <c r="B1954" t="s">
        <v>3943</v>
      </c>
      <c r="C1954" t="s">
        <v>31</v>
      </c>
      <c r="D1954">
        <v>22</v>
      </c>
      <c r="E1954" t="s">
        <v>41</v>
      </c>
      <c r="F1954" t="s">
        <v>42</v>
      </c>
      <c r="G1954" t="s">
        <v>17</v>
      </c>
      <c r="H1954" s="1">
        <v>44817</v>
      </c>
    </row>
    <row r="1955" spans="1:8">
      <c r="A1955" t="s">
        <v>3944</v>
      </c>
      <c r="B1955" t="s">
        <v>3945</v>
      </c>
      <c r="C1955" t="s">
        <v>31</v>
      </c>
      <c r="D1955">
        <v>49</v>
      </c>
      <c r="E1955" t="s">
        <v>60</v>
      </c>
      <c r="F1955" t="s">
        <v>21</v>
      </c>
      <c r="G1955" t="s">
        <v>22</v>
      </c>
      <c r="H1955" s="1">
        <v>45042</v>
      </c>
    </row>
    <row r="1956" spans="1:8">
      <c r="A1956" t="s">
        <v>3946</v>
      </c>
      <c r="B1956" t="s">
        <v>3947</v>
      </c>
      <c r="C1956" t="s">
        <v>10</v>
      </c>
      <c r="D1956">
        <v>35</v>
      </c>
      <c r="E1956" t="s">
        <v>11</v>
      </c>
      <c r="F1956" t="s">
        <v>11</v>
      </c>
      <c r="G1956" t="s">
        <v>12</v>
      </c>
      <c r="H1956" s="1">
        <v>44581</v>
      </c>
    </row>
    <row r="1957" spans="1:8">
      <c r="A1957" t="s">
        <v>3948</v>
      </c>
      <c r="B1957" t="s">
        <v>3949</v>
      </c>
      <c r="C1957" t="s">
        <v>10</v>
      </c>
      <c r="D1957">
        <v>24</v>
      </c>
      <c r="E1957" t="s">
        <v>11</v>
      </c>
      <c r="F1957" t="s">
        <v>11</v>
      </c>
      <c r="G1957" t="s">
        <v>12</v>
      </c>
      <c r="H1957" s="1">
        <v>45924</v>
      </c>
    </row>
    <row r="1958" spans="1:8">
      <c r="A1958" t="s">
        <v>3950</v>
      </c>
      <c r="B1958" t="s">
        <v>3951</v>
      </c>
      <c r="C1958" t="s">
        <v>31</v>
      </c>
      <c r="D1958">
        <v>49</v>
      </c>
      <c r="E1958" t="s">
        <v>15</v>
      </c>
      <c r="F1958" t="s">
        <v>16</v>
      </c>
      <c r="G1958" t="s">
        <v>17</v>
      </c>
      <c r="H1958" s="1">
        <v>45331</v>
      </c>
    </row>
    <row r="1959" spans="1:8">
      <c r="A1959" t="s">
        <v>3952</v>
      </c>
      <c r="B1959" t="s">
        <v>3953</v>
      </c>
      <c r="C1959" t="s">
        <v>31</v>
      </c>
      <c r="D1959">
        <v>39</v>
      </c>
      <c r="E1959" t="s">
        <v>37</v>
      </c>
      <c r="F1959" t="s">
        <v>38</v>
      </c>
      <c r="G1959" t="s">
        <v>22</v>
      </c>
      <c r="H1959" s="1">
        <v>45799</v>
      </c>
    </row>
    <row r="1960" spans="1:8">
      <c r="A1960" t="s">
        <v>3954</v>
      </c>
      <c r="B1960" t="s">
        <v>3955</v>
      </c>
      <c r="C1960" t="s">
        <v>10</v>
      </c>
      <c r="D1960">
        <v>41</v>
      </c>
      <c r="E1960" t="s">
        <v>37</v>
      </c>
      <c r="F1960" t="s">
        <v>38</v>
      </c>
      <c r="G1960" t="s">
        <v>22</v>
      </c>
      <c r="H1960" s="1">
        <v>45207</v>
      </c>
    </row>
    <row r="1961" spans="1:8">
      <c r="A1961" t="s">
        <v>3956</v>
      </c>
      <c r="B1961" t="s">
        <v>3957</v>
      </c>
      <c r="C1961" t="s">
        <v>10</v>
      </c>
      <c r="D1961">
        <v>40</v>
      </c>
      <c r="E1961" t="s">
        <v>69</v>
      </c>
      <c r="F1961" t="s">
        <v>69</v>
      </c>
      <c r="G1961" t="s">
        <v>12</v>
      </c>
      <c r="H1961" s="1">
        <v>45812</v>
      </c>
    </row>
    <row r="1962" spans="1:8">
      <c r="A1962" t="s">
        <v>3958</v>
      </c>
      <c r="B1962" t="s">
        <v>3959</v>
      </c>
      <c r="C1962" t="s">
        <v>31</v>
      </c>
      <c r="D1962">
        <v>62</v>
      </c>
      <c r="E1962" t="s">
        <v>87</v>
      </c>
      <c r="F1962" t="s">
        <v>88</v>
      </c>
      <c r="G1962" t="s">
        <v>78</v>
      </c>
      <c r="H1962" s="1">
        <v>44568</v>
      </c>
    </row>
    <row r="1963" spans="1:8">
      <c r="A1963" t="s">
        <v>3960</v>
      </c>
      <c r="B1963" t="s">
        <v>3961</v>
      </c>
      <c r="C1963" t="s">
        <v>10</v>
      </c>
      <c r="D1963">
        <v>51</v>
      </c>
      <c r="E1963" t="s">
        <v>101</v>
      </c>
      <c r="F1963" t="s">
        <v>21</v>
      </c>
      <c r="G1963" t="s">
        <v>22</v>
      </c>
      <c r="H1963" s="1">
        <v>44614</v>
      </c>
    </row>
    <row r="1964" spans="1:8">
      <c r="A1964" t="s">
        <v>3962</v>
      </c>
      <c r="B1964" t="s">
        <v>3963</v>
      </c>
      <c r="C1964" t="s">
        <v>31</v>
      </c>
      <c r="D1964">
        <v>57</v>
      </c>
      <c r="E1964" t="s">
        <v>34</v>
      </c>
      <c r="F1964" t="s">
        <v>16</v>
      </c>
      <c r="G1964" t="s">
        <v>17</v>
      </c>
      <c r="H1964" s="1">
        <v>45316</v>
      </c>
    </row>
    <row r="1965" spans="1:8">
      <c r="A1965" t="s">
        <v>3964</v>
      </c>
      <c r="B1965" t="s">
        <v>3965</v>
      </c>
      <c r="C1965" t="s">
        <v>31</v>
      </c>
      <c r="D1965">
        <v>60</v>
      </c>
      <c r="E1965" t="s">
        <v>69</v>
      </c>
      <c r="F1965" t="s">
        <v>69</v>
      </c>
      <c r="G1965" t="s">
        <v>12</v>
      </c>
      <c r="H1965" s="1">
        <v>45616</v>
      </c>
    </row>
    <row r="1966" spans="1:8">
      <c r="A1966" t="s">
        <v>3966</v>
      </c>
      <c r="B1966" t="s">
        <v>3967</v>
      </c>
      <c r="C1966" t="s">
        <v>31</v>
      </c>
      <c r="D1966">
        <v>20</v>
      </c>
      <c r="E1966" t="s">
        <v>45</v>
      </c>
      <c r="F1966" t="s">
        <v>46</v>
      </c>
      <c r="G1966" t="s">
        <v>17</v>
      </c>
      <c r="H1966" s="1">
        <v>44596</v>
      </c>
    </row>
    <row r="1967" spans="1:8">
      <c r="A1967" t="s">
        <v>3968</v>
      </c>
      <c r="B1967" t="s">
        <v>3969</v>
      </c>
      <c r="C1967" t="s">
        <v>31</v>
      </c>
      <c r="D1967">
        <v>32</v>
      </c>
      <c r="E1967" t="s">
        <v>91</v>
      </c>
      <c r="F1967" t="s">
        <v>92</v>
      </c>
      <c r="G1967" t="s">
        <v>78</v>
      </c>
      <c r="H1967" s="1">
        <v>45950</v>
      </c>
    </row>
    <row r="1968" spans="1:8">
      <c r="A1968" t="s">
        <v>3970</v>
      </c>
      <c r="B1968" t="s">
        <v>3971</v>
      </c>
      <c r="C1968" t="s">
        <v>10</v>
      </c>
      <c r="D1968">
        <v>40</v>
      </c>
      <c r="E1968" t="s">
        <v>69</v>
      </c>
      <c r="F1968" t="s">
        <v>69</v>
      </c>
      <c r="G1968" t="s">
        <v>12</v>
      </c>
      <c r="H1968" s="1">
        <v>45816</v>
      </c>
    </row>
    <row r="1969" spans="1:8">
      <c r="A1969" t="s">
        <v>3972</v>
      </c>
      <c r="B1969" t="s">
        <v>3973</v>
      </c>
      <c r="C1969" t="s">
        <v>10</v>
      </c>
      <c r="D1969">
        <v>64</v>
      </c>
      <c r="E1969" t="s">
        <v>149</v>
      </c>
      <c r="F1969" t="s">
        <v>38</v>
      </c>
      <c r="G1969" t="s">
        <v>22</v>
      </c>
      <c r="H1969" s="1">
        <v>45910</v>
      </c>
    </row>
    <row r="1970" spans="1:8">
      <c r="A1970" t="s">
        <v>3974</v>
      </c>
      <c r="B1970" t="s">
        <v>3975</v>
      </c>
      <c r="C1970" t="s">
        <v>10</v>
      </c>
      <c r="D1970">
        <v>51</v>
      </c>
      <c r="E1970" t="s">
        <v>60</v>
      </c>
      <c r="F1970" t="s">
        <v>21</v>
      </c>
      <c r="G1970" t="s">
        <v>22</v>
      </c>
      <c r="H1970" s="1">
        <v>44961</v>
      </c>
    </row>
    <row r="1971" spans="1:8">
      <c r="A1971" t="s">
        <v>3976</v>
      </c>
      <c r="B1971" t="s">
        <v>3977</v>
      </c>
      <c r="C1971" t="s">
        <v>10</v>
      </c>
      <c r="D1971">
        <v>49</v>
      </c>
      <c r="E1971" t="s">
        <v>128</v>
      </c>
      <c r="F1971" t="s">
        <v>129</v>
      </c>
      <c r="G1971" t="s">
        <v>78</v>
      </c>
      <c r="H1971" s="1">
        <v>44627</v>
      </c>
    </row>
    <row r="1972" spans="1:8">
      <c r="A1972" t="s">
        <v>3978</v>
      </c>
      <c r="B1972" t="s">
        <v>3979</v>
      </c>
      <c r="C1972" t="s">
        <v>31</v>
      </c>
      <c r="D1972">
        <v>28</v>
      </c>
      <c r="E1972" t="s">
        <v>134</v>
      </c>
      <c r="F1972" t="s">
        <v>28</v>
      </c>
      <c r="G1972" t="s">
        <v>12</v>
      </c>
      <c r="H1972" s="1">
        <v>45940</v>
      </c>
    </row>
    <row r="1973" spans="1:8">
      <c r="A1973" t="s">
        <v>3980</v>
      </c>
      <c r="B1973" t="s">
        <v>3981</v>
      </c>
      <c r="C1973" t="s">
        <v>10</v>
      </c>
      <c r="D1973">
        <v>33</v>
      </c>
      <c r="E1973" t="s">
        <v>87</v>
      </c>
      <c r="F1973" t="s">
        <v>88</v>
      </c>
      <c r="G1973" t="s">
        <v>78</v>
      </c>
      <c r="H1973" s="1">
        <v>45549</v>
      </c>
    </row>
    <row r="1974" spans="1:8">
      <c r="A1974" t="s">
        <v>3982</v>
      </c>
      <c r="B1974" t="s">
        <v>3983</v>
      </c>
      <c r="C1974" t="s">
        <v>31</v>
      </c>
      <c r="D1974">
        <v>63</v>
      </c>
      <c r="E1974" t="s">
        <v>15</v>
      </c>
      <c r="F1974" t="s">
        <v>16</v>
      </c>
      <c r="G1974" t="s">
        <v>17</v>
      </c>
      <c r="H1974" s="1">
        <v>44778</v>
      </c>
    </row>
    <row r="1975" spans="1:8">
      <c r="A1975" t="s">
        <v>3984</v>
      </c>
      <c r="B1975" t="s">
        <v>3985</v>
      </c>
      <c r="C1975" t="s">
        <v>31</v>
      </c>
      <c r="D1975">
        <v>32</v>
      </c>
      <c r="E1975" t="s">
        <v>45</v>
      </c>
      <c r="F1975" t="s">
        <v>46</v>
      </c>
      <c r="G1975" t="s">
        <v>17</v>
      </c>
      <c r="H1975" s="1">
        <v>45347</v>
      </c>
    </row>
    <row r="1976" spans="1:8">
      <c r="A1976" t="s">
        <v>3986</v>
      </c>
      <c r="B1976" t="s">
        <v>3987</v>
      </c>
      <c r="C1976" t="s">
        <v>10</v>
      </c>
      <c r="D1976">
        <v>60</v>
      </c>
      <c r="E1976" t="s">
        <v>69</v>
      </c>
      <c r="F1976" t="s">
        <v>69</v>
      </c>
      <c r="G1976" t="s">
        <v>12</v>
      </c>
      <c r="H1976" s="1">
        <v>45935</v>
      </c>
    </row>
    <row r="1977" spans="1:8">
      <c r="A1977" t="s">
        <v>3988</v>
      </c>
      <c r="B1977" t="s">
        <v>3989</v>
      </c>
      <c r="C1977" t="s">
        <v>31</v>
      </c>
      <c r="D1977">
        <v>23</v>
      </c>
      <c r="E1977" t="s">
        <v>218</v>
      </c>
      <c r="F1977" t="s">
        <v>219</v>
      </c>
      <c r="G1977" t="s">
        <v>17</v>
      </c>
      <c r="H1977" s="1">
        <v>45859</v>
      </c>
    </row>
    <row r="1978" spans="1:8">
      <c r="A1978" t="s">
        <v>3990</v>
      </c>
      <c r="B1978" t="s">
        <v>3991</v>
      </c>
      <c r="C1978" t="s">
        <v>10</v>
      </c>
      <c r="D1978">
        <v>59</v>
      </c>
      <c r="E1978" t="s">
        <v>134</v>
      </c>
      <c r="F1978" t="s">
        <v>28</v>
      </c>
      <c r="G1978" t="s">
        <v>12</v>
      </c>
      <c r="H1978" s="1">
        <v>45020</v>
      </c>
    </row>
    <row r="1979" spans="1:8">
      <c r="A1979" t="s">
        <v>3992</v>
      </c>
      <c r="B1979" t="s">
        <v>3993</v>
      </c>
      <c r="C1979" t="s">
        <v>31</v>
      </c>
      <c r="D1979">
        <v>69</v>
      </c>
      <c r="E1979" t="s">
        <v>149</v>
      </c>
      <c r="F1979" t="s">
        <v>38</v>
      </c>
      <c r="G1979" t="s">
        <v>22</v>
      </c>
      <c r="H1979" s="1">
        <v>45901</v>
      </c>
    </row>
    <row r="1980" spans="1:8">
      <c r="A1980" t="s">
        <v>3994</v>
      </c>
      <c r="B1980" t="s">
        <v>3995</v>
      </c>
      <c r="C1980" t="s">
        <v>31</v>
      </c>
      <c r="D1980">
        <v>23</v>
      </c>
      <c r="E1980" t="s">
        <v>45</v>
      </c>
      <c r="F1980" t="s">
        <v>46</v>
      </c>
      <c r="G1980" t="s">
        <v>17</v>
      </c>
      <c r="H1980" s="1">
        <v>44798</v>
      </c>
    </row>
    <row r="1981" spans="1:8">
      <c r="A1981" t="s">
        <v>3996</v>
      </c>
      <c r="B1981" t="s">
        <v>3997</v>
      </c>
      <c r="C1981" t="s">
        <v>10</v>
      </c>
      <c r="D1981">
        <v>65</v>
      </c>
      <c r="E1981" t="s">
        <v>45</v>
      </c>
      <c r="F1981" t="s">
        <v>46</v>
      </c>
      <c r="G1981" t="s">
        <v>17</v>
      </c>
      <c r="H1981" s="1">
        <v>45774</v>
      </c>
    </row>
    <row r="1982" spans="1:8">
      <c r="A1982" t="s">
        <v>3998</v>
      </c>
      <c r="B1982" t="s">
        <v>3999</v>
      </c>
      <c r="C1982" t="s">
        <v>10</v>
      </c>
      <c r="D1982">
        <v>38</v>
      </c>
      <c r="E1982" t="s">
        <v>128</v>
      </c>
      <c r="F1982" t="s">
        <v>129</v>
      </c>
      <c r="G1982" t="s">
        <v>78</v>
      </c>
      <c r="H1982" s="1">
        <v>45315</v>
      </c>
    </row>
    <row r="1983" spans="1:8">
      <c r="A1983" t="s">
        <v>4000</v>
      </c>
      <c r="B1983" t="s">
        <v>4001</v>
      </c>
      <c r="C1983" t="s">
        <v>31</v>
      </c>
      <c r="D1983">
        <v>21</v>
      </c>
      <c r="E1983" t="s">
        <v>128</v>
      </c>
      <c r="F1983" t="s">
        <v>129</v>
      </c>
      <c r="G1983" t="s">
        <v>78</v>
      </c>
      <c r="H1983" s="1">
        <v>44565</v>
      </c>
    </row>
    <row r="1984" spans="1:8">
      <c r="A1984" t="s">
        <v>4002</v>
      </c>
      <c r="B1984" t="s">
        <v>4003</v>
      </c>
      <c r="C1984" t="s">
        <v>31</v>
      </c>
      <c r="D1984">
        <v>38</v>
      </c>
      <c r="E1984" t="s">
        <v>63</v>
      </c>
      <c r="F1984" t="s">
        <v>64</v>
      </c>
      <c r="G1984" t="s">
        <v>12</v>
      </c>
      <c r="H1984" s="1">
        <v>45356</v>
      </c>
    </row>
    <row r="1985" spans="1:8">
      <c r="A1985" t="s">
        <v>4004</v>
      </c>
      <c r="B1985" t="s">
        <v>4005</v>
      </c>
      <c r="C1985" t="s">
        <v>10</v>
      </c>
      <c r="D1985">
        <v>24</v>
      </c>
      <c r="E1985" t="s">
        <v>63</v>
      </c>
      <c r="F1985" t="s">
        <v>64</v>
      </c>
      <c r="G1985" t="s">
        <v>12</v>
      </c>
      <c r="H1985" s="1">
        <v>45626</v>
      </c>
    </row>
    <row r="1986" spans="1:8">
      <c r="A1986" t="s">
        <v>4006</v>
      </c>
      <c r="B1986" t="s">
        <v>4007</v>
      </c>
      <c r="C1986" t="s">
        <v>31</v>
      </c>
      <c r="D1986">
        <v>27</v>
      </c>
      <c r="E1986" t="s">
        <v>60</v>
      </c>
      <c r="F1986" t="s">
        <v>21</v>
      </c>
      <c r="G1986" t="s">
        <v>22</v>
      </c>
      <c r="H1986" s="1">
        <v>45505</v>
      </c>
    </row>
    <row r="1987" spans="1:8">
      <c r="A1987" t="s">
        <v>4008</v>
      </c>
      <c r="B1987" t="s">
        <v>4009</v>
      </c>
      <c r="C1987" t="s">
        <v>31</v>
      </c>
      <c r="D1987">
        <v>61</v>
      </c>
      <c r="E1987" t="s">
        <v>134</v>
      </c>
      <c r="F1987" t="s">
        <v>28</v>
      </c>
      <c r="G1987" t="s">
        <v>12</v>
      </c>
      <c r="H1987" s="1">
        <v>45010</v>
      </c>
    </row>
    <row r="1988" spans="1:8">
      <c r="A1988" t="s">
        <v>4010</v>
      </c>
      <c r="B1988" t="s">
        <v>4011</v>
      </c>
      <c r="C1988" t="s">
        <v>10</v>
      </c>
      <c r="D1988">
        <v>65</v>
      </c>
      <c r="E1988" t="s">
        <v>60</v>
      </c>
      <c r="F1988" t="s">
        <v>21</v>
      </c>
      <c r="G1988" t="s">
        <v>22</v>
      </c>
      <c r="H1988" s="1">
        <v>45142</v>
      </c>
    </row>
    <row r="1989" spans="1:8">
      <c r="A1989" t="s">
        <v>4012</v>
      </c>
      <c r="B1989" t="s">
        <v>4013</v>
      </c>
      <c r="C1989" t="s">
        <v>31</v>
      </c>
      <c r="D1989">
        <v>37</v>
      </c>
      <c r="E1989" t="s">
        <v>11</v>
      </c>
      <c r="F1989" t="s">
        <v>11</v>
      </c>
      <c r="G1989" t="s">
        <v>12</v>
      </c>
      <c r="H1989" s="1">
        <v>45788</v>
      </c>
    </row>
    <row r="1990" spans="1:8">
      <c r="A1990" t="s">
        <v>4014</v>
      </c>
      <c r="B1990" t="s">
        <v>4015</v>
      </c>
      <c r="C1990" t="s">
        <v>31</v>
      </c>
      <c r="D1990">
        <v>58</v>
      </c>
      <c r="E1990" t="s">
        <v>20</v>
      </c>
      <c r="F1990" t="s">
        <v>21</v>
      </c>
      <c r="G1990" t="s">
        <v>22</v>
      </c>
      <c r="H1990" s="1">
        <v>45122</v>
      </c>
    </row>
    <row r="1991" spans="1:8">
      <c r="A1991" t="s">
        <v>4016</v>
      </c>
      <c r="B1991" t="s">
        <v>4017</v>
      </c>
      <c r="C1991" t="s">
        <v>31</v>
      </c>
      <c r="D1991">
        <v>21</v>
      </c>
      <c r="E1991" t="s">
        <v>112</v>
      </c>
      <c r="F1991" t="s">
        <v>113</v>
      </c>
      <c r="G1991" t="s">
        <v>78</v>
      </c>
      <c r="H1991" s="1">
        <v>45158</v>
      </c>
    </row>
    <row r="1992" spans="1:8">
      <c r="A1992" t="s">
        <v>4018</v>
      </c>
      <c r="B1992" t="s">
        <v>4019</v>
      </c>
      <c r="C1992" t="s">
        <v>10</v>
      </c>
      <c r="D1992">
        <v>64</v>
      </c>
      <c r="E1992" t="s">
        <v>91</v>
      </c>
      <c r="F1992" t="s">
        <v>92</v>
      </c>
      <c r="G1992" t="s">
        <v>78</v>
      </c>
      <c r="H1992" s="1">
        <v>44874</v>
      </c>
    </row>
    <row r="1993" spans="1:8">
      <c r="A1993" t="s">
        <v>4020</v>
      </c>
      <c r="B1993" t="s">
        <v>4021</v>
      </c>
      <c r="C1993" t="s">
        <v>10</v>
      </c>
      <c r="D1993">
        <v>67</v>
      </c>
      <c r="E1993" t="s">
        <v>76</v>
      </c>
      <c r="F1993" t="s">
        <v>77</v>
      </c>
      <c r="G1993" t="s">
        <v>78</v>
      </c>
      <c r="H1993" s="1">
        <v>45996</v>
      </c>
    </row>
    <row r="1994" spans="1:8">
      <c r="A1994" t="s">
        <v>4022</v>
      </c>
      <c r="B1994" t="s">
        <v>4023</v>
      </c>
      <c r="C1994" t="s">
        <v>31</v>
      </c>
      <c r="D1994">
        <v>70</v>
      </c>
      <c r="E1994" t="s">
        <v>41</v>
      </c>
      <c r="F1994" t="s">
        <v>42</v>
      </c>
      <c r="G1994" t="s">
        <v>17</v>
      </c>
      <c r="H1994" s="1">
        <v>45364</v>
      </c>
    </row>
    <row r="1995" spans="1:8">
      <c r="A1995" t="s">
        <v>4024</v>
      </c>
      <c r="B1995" t="s">
        <v>4025</v>
      </c>
      <c r="C1995" t="s">
        <v>31</v>
      </c>
      <c r="D1995">
        <v>39</v>
      </c>
      <c r="E1995" t="s">
        <v>63</v>
      </c>
      <c r="F1995" t="s">
        <v>64</v>
      </c>
      <c r="G1995" t="s">
        <v>12</v>
      </c>
      <c r="H1995" s="1">
        <v>44606</v>
      </c>
    </row>
    <row r="1996" spans="1:8">
      <c r="A1996" t="s">
        <v>4026</v>
      </c>
      <c r="B1996" t="s">
        <v>4027</v>
      </c>
      <c r="C1996" t="s">
        <v>31</v>
      </c>
      <c r="D1996">
        <v>43</v>
      </c>
      <c r="E1996" t="s">
        <v>149</v>
      </c>
      <c r="F1996" t="s">
        <v>38</v>
      </c>
      <c r="G1996" t="s">
        <v>22</v>
      </c>
      <c r="H1996" s="1">
        <v>45275</v>
      </c>
    </row>
    <row r="1997" spans="1:8">
      <c r="A1997" t="s">
        <v>4028</v>
      </c>
      <c r="B1997" t="s">
        <v>4029</v>
      </c>
      <c r="C1997" t="s">
        <v>10</v>
      </c>
      <c r="D1997">
        <v>62</v>
      </c>
      <c r="E1997" t="s">
        <v>45</v>
      </c>
      <c r="F1997" t="s">
        <v>46</v>
      </c>
      <c r="G1997" t="s">
        <v>17</v>
      </c>
      <c r="H1997" s="1">
        <v>45140</v>
      </c>
    </row>
    <row r="1998" spans="1:8">
      <c r="A1998" t="s">
        <v>4030</v>
      </c>
      <c r="B1998" t="s">
        <v>4031</v>
      </c>
      <c r="C1998" t="s">
        <v>10</v>
      </c>
      <c r="D1998">
        <v>38</v>
      </c>
      <c r="E1998" t="s">
        <v>112</v>
      </c>
      <c r="F1998" t="s">
        <v>113</v>
      </c>
      <c r="G1998" t="s">
        <v>78</v>
      </c>
      <c r="H1998" s="1">
        <v>44761</v>
      </c>
    </row>
    <row r="1999" spans="1:8">
      <c r="A1999" t="s">
        <v>4032</v>
      </c>
      <c r="B1999" t="s">
        <v>4033</v>
      </c>
      <c r="C1999" t="s">
        <v>31</v>
      </c>
      <c r="D1999">
        <v>47</v>
      </c>
      <c r="E1999" t="s">
        <v>27</v>
      </c>
      <c r="F1999" t="s">
        <v>28</v>
      </c>
      <c r="G1999" t="s">
        <v>12</v>
      </c>
      <c r="H1999" s="1">
        <v>44672</v>
      </c>
    </row>
    <row r="2000" spans="1:8">
      <c r="A2000" t="s">
        <v>4034</v>
      </c>
      <c r="B2000" t="s">
        <v>4035</v>
      </c>
      <c r="C2000" t="s">
        <v>31</v>
      </c>
      <c r="D2000">
        <v>62</v>
      </c>
      <c r="E2000" t="s">
        <v>27</v>
      </c>
      <c r="F2000" t="s">
        <v>28</v>
      </c>
      <c r="G2000" t="s">
        <v>12</v>
      </c>
      <c r="H2000" s="1">
        <v>44843</v>
      </c>
    </row>
    <row r="2001" spans="1:8">
      <c r="A2001" t="s">
        <v>4036</v>
      </c>
      <c r="B2001" t="s">
        <v>4037</v>
      </c>
      <c r="C2001" t="s">
        <v>10</v>
      </c>
      <c r="D2001">
        <v>69</v>
      </c>
      <c r="E2001" t="s">
        <v>101</v>
      </c>
      <c r="F2001" t="s">
        <v>21</v>
      </c>
      <c r="G2001" t="s">
        <v>22</v>
      </c>
      <c r="H2001" s="1">
        <v>44991</v>
      </c>
    </row>
    <row r="2002" spans="1:8">
      <c r="A2002" t="s">
        <v>4038</v>
      </c>
      <c r="B2002" t="s">
        <v>4039</v>
      </c>
      <c r="C2002" t="s">
        <v>10</v>
      </c>
      <c r="D2002">
        <v>61</v>
      </c>
      <c r="E2002" t="s">
        <v>11</v>
      </c>
      <c r="F2002" t="s">
        <v>11</v>
      </c>
      <c r="G2002" t="s">
        <v>12</v>
      </c>
      <c r="H2002" s="1">
        <v>45303</v>
      </c>
    </row>
    <row r="2003" spans="1:8">
      <c r="A2003" t="s">
        <v>4040</v>
      </c>
      <c r="B2003" t="s">
        <v>4041</v>
      </c>
      <c r="C2003" t="s">
        <v>31</v>
      </c>
      <c r="D2003">
        <v>61</v>
      </c>
      <c r="E2003" t="s">
        <v>63</v>
      </c>
      <c r="F2003" t="s">
        <v>64</v>
      </c>
      <c r="G2003" t="s">
        <v>12</v>
      </c>
      <c r="H2003" s="1">
        <v>45333</v>
      </c>
    </row>
    <row r="2004" spans="1:8">
      <c r="A2004" t="s">
        <v>4042</v>
      </c>
      <c r="B2004" t="s">
        <v>4043</v>
      </c>
      <c r="C2004" t="s">
        <v>31</v>
      </c>
      <c r="D2004">
        <v>48</v>
      </c>
      <c r="E2004" t="s">
        <v>87</v>
      </c>
      <c r="F2004" t="s">
        <v>88</v>
      </c>
      <c r="G2004" t="s">
        <v>78</v>
      </c>
      <c r="H2004" s="1">
        <v>44758</v>
      </c>
    </row>
    <row r="2005" spans="1:8">
      <c r="A2005" t="s">
        <v>4044</v>
      </c>
      <c r="B2005" t="s">
        <v>4045</v>
      </c>
      <c r="C2005" t="s">
        <v>31</v>
      </c>
      <c r="D2005">
        <v>55</v>
      </c>
      <c r="E2005" t="s">
        <v>15</v>
      </c>
      <c r="F2005" t="s">
        <v>16</v>
      </c>
      <c r="G2005" t="s">
        <v>17</v>
      </c>
      <c r="H2005" s="1">
        <v>44802</v>
      </c>
    </row>
    <row r="2006" spans="1:8">
      <c r="A2006" t="s">
        <v>4046</v>
      </c>
      <c r="B2006" t="s">
        <v>4047</v>
      </c>
      <c r="C2006" t="s">
        <v>31</v>
      </c>
      <c r="D2006">
        <v>33</v>
      </c>
      <c r="E2006" t="s">
        <v>101</v>
      </c>
      <c r="F2006" t="s">
        <v>21</v>
      </c>
      <c r="G2006" t="s">
        <v>22</v>
      </c>
      <c r="H2006" s="1">
        <v>45846</v>
      </c>
    </row>
    <row r="2007" spans="1:8">
      <c r="A2007" t="s">
        <v>4048</v>
      </c>
      <c r="B2007" t="s">
        <v>4049</v>
      </c>
      <c r="C2007" t="s">
        <v>31</v>
      </c>
      <c r="D2007">
        <v>37</v>
      </c>
      <c r="E2007" t="s">
        <v>34</v>
      </c>
      <c r="F2007" t="s">
        <v>16</v>
      </c>
      <c r="G2007" t="s">
        <v>17</v>
      </c>
      <c r="H2007" s="1">
        <v>45374</v>
      </c>
    </row>
    <row r="2008" spans="1:8">
      <c r="A2008" t="s">
        <v>4050</v>
      </c>
      <c r="B2008" t="s">
        <v>4051</v>
      </c>
      <c r="C2008" t="s">
        <v>31</v>
      </c>
      <c r="D2008">
        <v>67</v>
      </c>
      <c r="E2008" t="s">
        <v>49</v>
      </c>
      <c r="F2008" t="s">
        <v>64</v>
      </c>
      <c r="G2008" t="s">
        <v>12</v>
      </c>
      <c r="H2008" s="1">
        <v>45898</v>
      </c>
    </row>
    <row r="2009" spans="1:8">
      <c r="A2009" t="s">
        <v>4052</v>
      </c>
      <c r="B2009" t="s">
        <v>4053</v>
      </c>
      <c r="C2009" t="s">
        <v>31</v>
      </c>
      <c r="D2009">
        <v>35</v>
      </c>
      <c r="E2009" t="s">
        <v>11</v>
      </c>
      <c r="F2009" t="s">
        <v>11</v>
      </c>
      <c r="G2009" t="s">
        <v>12</v>
      </c>
      <c r="H2009" s="1">
        <v>45511</v>
      </c>
    </row>
    <row r="2010" spans="1:8">
      <c r="A2010" t="s">
        <v>4054</v>
      </c>
      <c r="B2010" t="s">
        <v>4055</v>
      </c>
      <c r="C2010" t="s">
        <v>10</v>
      </c>
      <c r="D2010">
        <v>25</v>
      </c>
      <c r="E2010" t="s">
        <v>69</v>
      </c>
      <c r="F2010" t="s">
        <v>69</v>
      </c>
      <c r="G2010" t="s">
        <v>12</v>
      </c>
      <c r="H2010" s="1">
        <v>45314</v>
      </c>
    </row>
    <row r="2011" spans="1:8">
      <c r="A2011" t="s">
        <v>4056</v>
      </c>
      <c r="B2011" t="s">
        <v>4057</v>
      </c>
      <c r="C2011" t="s">
        <v>10</v>
      </c>
      <c r="D2011">
        <v>19</v>
      </c>
      <c r="E2011" t="s">
        <v>15</v>
      </c>
      <c r="F2011" t="s">
        <v>16</v>
      </c>
      <c r="G2011" t="s">
        <v>17</v>
      </c>
      <c r="H2011" s="1">
        <v>45563</v>
      </c>
    </row>
    <row r="2012" spans="1:8">
      <c r="A2012" t="s">
        <v>4058</v>
      </c>
      <c r="B2012" t="s">
        <v>4059</v>
      </c>
      <c r="C2012" t="s">
        <v>31</v>
      </c>
      <c r="D2012">
        <v>62</v>
      </c>
      <c r="E2012" t="s">
        <v>27</v>
      </c>
      <c r="F2012" t="s">
        <v>28</v>
      </c>
      <c r="G2012" t="s">
        <v>12</v>
      </c>
      <c r="H2012" s="1">
        <v>45544</v>
      </c>
    </row>
    <row r="2013" spans="1:8">
      <c r="A2013" t="s">
        <v>4060</v>
      </c>
      <c r="B2013" t="s">
        <v>4061</v>
      </c>
      <c r="C2013" t="s">
        <v>31</v>
      </c>
      <c r="D2013">
        <v>48</v>
      </c>
      <c r="E2013" t="s">
        <v>27</v>
      </c>
      <c r="F2013" t="s">
        <v>28</v>
      </c>
      <c r="G2013" t="s">
        <v>12</v>
      </c>
      <c r="H2013" s="1">
        <v>44932</v>
      </c>
    </row>
    <row r="2014" spans="1:8">
      <c r="A2014" t="s">
        <v>4062</v>
      </c>
      <c r="B2014" t="s">
        <v>4063</v>
      </c>
      <c r="C2014" t="s">
        <v>10</v>
      </c>
      <c r="D2014">
        <v>24</v>
      </c>
      <c r="E2014" t="s">
        <v>112</v>
      </c>
      <c r="F2014" t="s">
        <v>113</v>
      </c>
      <c r="G2014" t="s">
        <v>78</v>
      </c>
      <c r="H2014" s="1">
        <v>45173</v>
      </c>
    </row>
    <row r="2015" spans="1:8">
      <c r="A2015" t="s">
        <v>4064</v>
      </c>
      <c r="B2015" t="s">
        <v>4065</v>
      </c>
      <c r="C2015" t="s">
        <v>31</v>
      </c>
      <c r="D2015">
        <v>70</v>
      </c>
      <c r="E2015" t="s">
        <v>60</v>
      </c>
      <c r="F2015" t="s">
        <v>21</v>
      </c>
      <c r="G2015" t="s">
        <v>22</v>
      </c>
      <c r="H2015" s="1">
        <v>44940</v>
      </c>
    </row>
    <row r="2016" spans="1:8">
      <c r="A2016" t="s">
        <v>4066</v>
      </c>
      <c r="B2016" t="s">
        <v>429</v>
      </c>
      <c r="C2016" t="s">
        <v>31</v>
      </c>
      <c r="D2016">
        <v>22</v>
      </c>
      <c r="E2016" t="s">
        <v>69</v>
      </c>
      <c r="F2016" t="s">
        <v>69</v>
      </c>
      <c r="G2016" t="s">
        <v>12</v>
      </c>
      <c r="H2016" s="1">
        <v>45700</v>
      </c>
    </row>
    <row r="2017" spans="1:8">
      <c r="A2017" t="s">
        <v>4067</v>
      </c>
      <c r="B2017" t="s">
        <v>4068</v>
      </c>
      <c r="C2017" t="s">
        <v>10</v>
      </c>
      <c r="D2017">
        <v>66</v>
      </c>
      <c r="E2017" t="s">
        <v>60</v>
      </c>
      <c r="F2017" t="s">
        <v>21</v>
      </c>
      <c r="G2017" t="s">
        <v>22</v>
      </c>
      <c r="H2017" s="1">
        <v>45665</v>
      </c>
    </row>
    <row r="2018" spans="1:8">
      <c r="A2018" t="s">
        <v>4069</v>
      </c>
      <c r="B2018" t="s">
        <v>4070</v>
      </c>
      <c r="C2018" t="s">
        <v>10</v>
      </c>
      <c r="D2018">
        <v>18</v>
      </c>
      <c r="E2018" t="s">
        <v>11</v>
      </c>
      <c r="F2018" t="s">
        <v>11</v>
      </c>
      <c r="G2018" t="s">
        <v>12</v>
      </c>
      <c r="H2018" s="1">
        <v>44932</v>
      </c>
    </row>
    <row r="2019" spans="1:8">
      <c r="A2019" t="s">
        <v>4071</v>
      </c>
      <c r="B2019" t="s">
        <v>4072</v>
      </c>
      <c r="C2019" t="s">
        <v>10</v>
      </c>
      <c r="D2019">
        <v>26</v>
      </c>
      <c r="E2019" t="s">
        <v>37</v>
      </c>
      <c r="F2019" t="s">
        <v>38</v>
      </c>
      <c r="G2019" t="s">
        <v>22</v>
      </c>
      <c r="H2019" s="1">
        <v>44813</v>
      </c>
    </row>
    <row r="2020" spans="1:8">
      <c r="A2020" t="s">
        <v>4073</v>
      </c>
      <c r="B2020" t="s">
        <v>4074</v>
      </c>
      <c r="C2020" t="s">
        <v>31</v>
      </c>
      <c r="D2020">
        <v>66</v>
      </c>
      <c r="E2020" t="s">
        <v>101</v>
      </c>
      <c r="F2020" t="s">
        <v>21</v>
      </c>
      <c r="G2020" t="s">
        <v>22</v>
      </c>
      <c r="H2020" s="1">
        <v>44741</v>
      </c>
    </row>
    <row r="2021" spans="1:8">
      <c r="A2021" t="s">
        <v>4075</v>
      </c>
      <c r="B2021" t="s">
        <v>4076</v>
      </c>
      <c r="C2021" t="s">
        <v>31</v>
      </c>
      <c r="D2021">
        <v>41</v>
      </c>
      <c r="E2021" t="s">
        <v>15</v>
      </c>
      <c r="F2021" t="s">
        <v>16</v>
      </c>
      <c r="G2021" t="s">
        <v>17</v>
      </c>
      <c r="H2021" s="1">
        <v>45598</v>
      </c>
    </row>
    <row r="2022" spans="1:8">
      <c r="A2022" t="s">
        <v>4077</v>
      </c>
      <c r="B2022" t="s">
        <v>4078</v>
      </c>
      <c r="C2022" t="s">
        <v>10</v>
      </c>
      <c r="D2022">
        <v>33</v>
      </c>
      <c r="E2022" t="s">
        <v>76</v>
      </c>
      <c r="F2022" t="s">
        <v>77</v>
      </c>
      <c r="G2022" t="s">
        <v>78</v>
      </c>
      <c r="H2022" s="1">
        <v>45428</v>
      </c>
    </row>
    <row r="2023" spans="1:8">
      <c r="A2023" t="s">
        <v>4079</v>
      </c>
      <c r="B2023" t="s">
        <v>4080</v>
      </c>
      <c r="C2023" t="s">
        <v>31</v>
      </c>
      <c r="D2023">
        <v>26</v>
      </c>
      <c r="E2023" t="s">
        <v>60</v>
      </c>
      <c r="F2023" t="s">
        <v>21</v>
      </c>
      <c r="G2023" t="s">
        <v>22</v>
      </c>
      <c r="H2023" s="1">
        <v>45162</v>
      </c>
    </row>
    <row r="2024" spans="1:8">
      <c r="A2024" t="s">
        <v>4081</v>
      </c>
      <c r="B2024" t="s">
        <v>4082</v>
      </c>
      <c r="C2024" t="s">
        <v>31</v>
      </c>
      <c r="D2024">
        <v>56</v>
      </c>
      <c r="E2024" t="s">
        <v>37</v>
      </c>
      <c r="F2024" t="s">
        <v>38</v>
      </c>
      <c r="G2024" t="s">
        <v>22</v>
      </c>
      <c r="H2024" s="1">
        <v>45632</v>
      </c>
    </row>
    <row r="2025" spans="1:8">
      <c r="A2025" t="s">
        <v>4083</v>
      </c>
      <c r="B2025" t="s">
        <v>4084</v>
      </c>
      <c r="C2025" t="s">
        <v>10</v>
      </c>
      <c r="D2025">
        <v>60</v>
      </c>
      <c r="E2025" t="s">
        <v>101</v>
      </c>
      <c r="F2025" t="s">
        <v>21</v>
      </c>
      <c r="G2025" t="s">
        <v>22</v>
      </c>
      <c r="H2025" s="1">
        <v>45970</v>
      </c>
    </row>
    <row r="2026" spans="1:8">
      <c r="A2026" t="s">
        <v>4085</v>
      </c>
      <c r="B2026" t="s">
        <v>4086</v>
      </c>
      <c r="C2026" t="s">
        <v>10</v>
      </c>
      <c r="D2026">
        <v>27</v>
      </c>
      <c r="E2026" t="s">
        <v>63</v>
      </c>
      <c r="F2026" t="s">
        <v>64</v>
      </c>
      <c r="G2026" t="s">
        <v>12</v>
      </c>
      <c r="H2026" s="1">
        <v>44637</v>
      </c>
    </row>
    <row r="2027" spans="1:8">
      <c r="A2027" t="s">
        <v>4087</v>
      </c>
      <c r="B2027" t="s">
        <v>4088</v>
      </c>
      <c r="C2027" t="s">
        <v>10</v>
      </c>
      <c r="D2027">
        <v>55</v>
      </c>
      <c r="E2027" t="s">
        <v>34</v>
      </c>
      <c r="F2027" t="s">
        <v>16</v>
      </c>
      <c r="G2027" t="s">
        <v>17</v>
      </c>
      <c r="H2027" s="1">
        <v>44836</v>
      </c>
    </row>
    <row r="2028" spans="1:8">
      <c r="A2028" t="s">
        <v>4089</v>
      </c>
      <c r="B2028" t="s">
        <v>4090</v>
      </c>
      <c r="C2028" t="s">
        <v>31</v>
      </c>
      <c r="D2028">
        <v>22</v>
      </c>
      <c r="E2028" t="s">
        <v>101</v>
      </c>
      <c r="F2028" t="s">
        <v>21</v>
      </c>
      <c r="G2028" t="s">
        <v>22</v>
      </c>
      <c r="H2028" s="1">
        <v>45836</v>
      </c>
    </row>
    <row r="2029" spans="1:8">
      <c r="A2029" t="s">
        <v>4091</v>
      </c>
      <c r="B2029" t="s">
        <v>4092</v>
      </c>
      <c r="C2029" t="s">
        <v>10</v>
      </c>
      <c r="D2029">
        <v>43</v>
      </c>
      <c r="E2029" t="s">
        <v>37</v>
      </c>
      <c r="F2029" t="s">
        <v>38</v>
      </c>
      <c r="G2029" t="s">
        <v>22</v>
      </c>
      <c r="H2029" s="1">
        <v>45343</v>
      </c>
    </row>
    <row r="2030" spans="1:8">
      <c r="A2030" t="s">
        <v>4093</v>
      </c>
      <c r="B2030" t="s">
        <v>4094</v>
      </c>
      <c r="C2030" t="s">
        <v>31</v>
      </c>
      <c r="D2030">
        <v>62</v>
      </c>
      <c r="E2030" t="s">
        <v>37</v>
      </c>
      <c r="F2030" t="s">
        <v>38</v>
      </c>
      <c r="G2030" t="s">
        <v>22</v>
      </c>
      <c r="H2030" s="1">
        <v>45947</v>
      </c>
    </row>
    <row r="2031" spans="1:8">
      <c r="A2031" t="s">
        <v>4095</v>
      </c>
      <c r="B2031" t="s">
        <v>4096</v>
      </c>
      <c r="C2031" t="s">
        <v>31</v>
      </c>
      <c r="D2031">
        <v>58</v>
      </c>
      <c r="E2031" t="s">
        <v>34</v>
      </c>
      <c r="F2031" t="s">
        <v>16</v>
      </c>
      <c r="G2031" t="s">
        <v>17</v>
      </c>
      <c r="H2031" s="1">
        <v>44706</v>
      </c>
    </row>
    <row r="2032" spans="1:8">
      <c r="A2032" t="s">
        <v>4097</v>
      </c>
      <c r="B2032" t="s">
        <v>4098</v>
      </c>
      <c r="C2032" t="s">
        <v>10</v>
      </c>
      <c r="D2032">
        <v>44</v>
      </c>
      <c r="E2032" t="s">
        <v>63</v>
      </c>
      <c r="F2032" t="s">
        <v>64</v>
      </c>
      <c r="G2032" t="s">
        <v>12</v>
      </c>
      <c r="H2032" s="1">
        <v>45324</v>
      </c>
    </row>
    <row r="2033" spans="1:8">
      <c r="A2033" t="s">
        <v>4099</v>
      </c>
      <c r="B2033" t="s">
        <v>4100</v>
      </c>
      <c r="C2033" t="s">
        <v>31</v>
      </c>
      <c r="D2033">
        <v>19</v>
      </c>
      <c r="E2033" t="s">
        <v>91</v>
      </c>
      <c r="F2033" t="s">
        <v>92</v>
      </c>
      <c r="G2033" t="s">
        <v>78</v>
      </c>
      <c r="H2033" s="1">
        <v>45450</v>
      </c>
    </row>
    <row r="2034" spans="1:8">
      <c r="A2034" t="s">
        <v>4101</v>
      </c>
      <c r="B2034" t="s">
        <v>4102</v>
      </c>
      <c r="C2034" t="s">
        <v>31</v>
      </c>
      <c r="D2034">
        <v>25</v>
      </c>
      <c r="E2034" t="s">
        <v>76</v>
      </c>
      <c r="F2034" t="s">
        <v>77</v>
      </c>
      <c r="G2034" t="s">
        <v>78</v>
      </c>
      <c r="H2034" s="1">
        <v>44720</v>
      </c>
    </row>
    <row r="2035" spans="1:8">
      <c r="A2035" t="s">
        <v>4103</v>
      </c>
      <c r="B2035" t="s">
        <v>4104</v>
      </c>
      <c r="C2035" t="s">
        <v>10</v>
      </c>
      <c r="D2035">
        <v>39</v>
      </c>
      <c r="E2035" t="s">
        <v>60</v>
      </c>
      <c r="F2035" t="s">
        <v>21</v>
      </c>
      <c r="G2035" t="s">
        <v>22</v>
      </c>
      <c r="H2035" s="1">
        <v>45395</v>
      </c>
    </row>
    <row r="2036" spans="1:8">
      <c r="A2036" t="s">
        <v>4105</v>
      </c>
      <c r="B2036" t="s">
        <v>4106</v>
      </c>
      <c r="C2036" t="s">
        <v>31</v>
      </c>
      <c r="D2036">
        <v>27</v>
      </c>
      <c r="E2036" t="s">
        <v>134</v>
      </c>
      <c r="F2036" t="s">
        <v>28</v>
      </c>
      <c r="G2036" t="s">
        <v>12</v>
      </c>
      <c r="H2036" s="1">
        <v>45245</v>
      </c>
    </row>
    <row r="2037" spans="1:8">
      <c r="A2037" t="s">
        <v>4107</v>
      </c>
      <c r="B2037" t="s">
        <v>4108</v>
      </c>
      <c r="C2037" t="s">
        <v>10</v>
      </c>
      <c r="D2037">
        <v>24</v>
      </c>
      <c r="E2037" t="s">
        <v>76</v>
      </c>
      <c r="F2037" t="s">
        <v>77</v>
      </c>
      <c r="G2037" t="s">
        <v>78</v>
      </c>
      <c r="H2037" s="1">
        <v>45122</v>
      </c>
    </row>
    <row r="2038" spans="1:8">
      <c r="A2038" t="s">
        <v>4109</v>
      </c>
      <c r="B2038" t="s">
        <v>4110</v>
      </c>
      <c r="C2038" t="s">
        <v>10</v>
      </c>
      <c r="D2038">
        <v>68</v>
      </c>
      <c r="E2038" t="s">
        <v>101</v>
      </c>
      <c r="F2038" t="s">
        <v>21</v>
      </c>
      <c r="G2038" t="s">
        <v>22</v>
      </c>
      <c r="H2038" s="1">
        <v>45337</v>
      </c>
    </row>
    <row r="2039" spans="1:8">
      <c r="A2039" t="s">
        <v>4111</v>
      </c>
      <c r="B2039" t="s">
        <v>4112</v>
      </c>
      <c r="C2039" t="s">
        <v>31</v>
      </c>
      <c r="D2039">
        <v>55</v>
      </c>
      <c r="E2039" t="s">
        <v>76</v>
      </c>
      <c r="F2039" t="s">
        <v>77</v>
      </c>
      <c r="G2039" t="s">
        <v>78</v>
      </c>
      <c r="H2039" s="1">
        <v>45640</v>
      </c>
    </row>
    <row r="2040" spans="1:8">
      <c r="A2040" t="s">
        <v>4113</v>
      </c>
      <c r="B2040" t="s">
        <v>4114</v>
      </c>
      <c r="C2040" t="s">
        <v>31</v>
      </c>
      <c r="D2040">
        <v>62</v>
      </c>
      <c r="E2040" t="s">
        <v>112</v>
      </c>
      <c r="F2040" t="s">
        <v>113</v>
      </c>
      <c r="G2040" t="s">
        <v>78</v>
      </c>
      <c r="H2040" s="1">
        <v>44757</v>
      </c>
    </row>
    <row r="2041" spans="1:8">
      <c r="A2041" t="s">
        <v>4115</v>
      </c>
      <c r="B2041" t="s">
        <v>4116</v>
      </c>
      <c r="C2041" t="s">
        <v>31</v>
      </c>
      <c r="D2041">
        <v>56</v>
      </c>
      <c r="E2041" t="s">
        <v>37</v>
      </c>
      <c r="F2041" t="s">
        <v>38</v>
      </c>
      <c r="G2041" t="s">
        <v>22</v>
      </c>
      <c r="H2041" s="1">
        <v>45691</v>
      </c>
    </row>
    <row r="2042" spans="1:8">
      <c r="A2042" t="s">
        <v>4117</v>
      </c>
      <c r="B2042" t="s">
        <v>4118</v>
      </c>
      <c r="C2042" t="s">
        <v>31</v>
      </c>
      <c r="D2042">
        <v>66</v>
      </c>
      <c r="E2042" t="s">
        <v>15</v>
      </c>
      <c r="F2042" t="s">
        <v>16</v>
      </c>
      <c r="G2042" t="s">
        <v>17</v>
      </c>
      <c r="H2042" s="1">
        <v>44911</v>
      </c>
    </row>
    <row r="2043" spans="1:8">
      <c r="A2043" t="s">
        <v>4119</v>
      </c>
      <c r="B2043" t="s">
        <v>4120</v>
      </c>
      <c r="C2043" t="s">
        <v>31</v>
      </c>
      <c r="D2043">
        <v>48</v>
      </c>
      <c r="E2043" t="s">
        <v>37</v>
      </c>
      <c r="F2043" t="s">
        <v>38</v>
      </c>
      <c r="G2043" t="s">
        <v>22</v>
      </c>
      <c r="H2043" s="1">
        <v>45950</v>
      </c>
    </row>
    <row r="2044" spans="1:8">
      <c r="A2044" t="s">
        <v>4121</v>
      </c>
      <c r="B2044" t="s">
        <v>4122</v>
      </c>
      <c r="C2044" t="s">
        <v>10</v>
      </c>
      <c r="D2044">
        <v>60</v>
      </c>
      <c r="E2044" t="s">
        <v>134</v>
      </c>
      <c r="F2044" t="s">
        <v>28</v>
      </c>
      <c r="G2044" t="s">
        <v>12</v>
      </c>
      <c r="H2044" s="1">
        <v>44581</v>
      </c>
    </row>
    <row r="2045" spans="1:8">
      <c r="A2045" t="s">
        <v>4123</v>
      </c>
      <c r="B2045" t="s">
        <v>4124</v>
      </c>
      <c r="C2045" t="s">
        <v>31</v>
      </c>
      <c r="D2045">
        <v>21</v>
      </c>
      <c r="E2045" t="s">
        <v>41</v>
      </c>
      <c r="F2045" t="s">
        <v>42</v>
      </c>
      <c r="G2045" t="s">
        <v>17</v>
      </c>
      <c r="H2045" s="1">
        <v>45724</v>
      </c>
    </row>
    <row r="2046" spans="1:8">
      <c r="A2046" t="s">
        <v>4125</v>
      </c>
      <c r="B2046" t="s">
        <v>4126</v>
      </c>
      <c r="C2046" t="s">
        <v>10</v>
      </c>
      <c r="D2046">
        <v>61</v>
      </c>
      <c r="E2046" t="s">
        <v>91</v>
      </c>
      <c r="F2046" t="s">
        <v>92</v>
      </c>
      <c r="G2046" t="s">
        <v>78</v>
      </c>
      <c r="H2046" s="1">
        <v>46010</v>
      </c>
    </row>
    <row r="2047" spans="1:8">
      <c r="A2047" t="s">
        <v>4127</v>
      </c>
      <c r="B2047" t="s">
        <v>4128</v>
      </c>
      <c r="C2047" t="s">
        <v>31</v>
      </c>
      <c r="D2047">
        <v>40</v>
      </c>
      <c r="E2047" t="s">
        <v>69</v>
      </c>
      <c r="F2047" t="s">
        <v>69</v>
      </c>
      <c r="G2047" t="s">
        <v>12</v>
      </c>
      <c r="H2047" s="1">
        <v>44936</v>
      </c>
    </row>
    <row r="2048" spans="1:8">
      <c r="A2048" t="s">
        <v>4129</v>
      </c>
      <c r="B2048" t="s">
        <v>995</v>
      </c>
      <c r="C2048" t="s">
        <v>31</v>
      </c>
      <c r="D2048">
        <v>45</v>
      </c>
      <c r="E2048" t="s">
        <v>27</v>
      </c>
      <c r="F2048" t="s">
        <v>28</v>
      </c>
      <c r="G2048" t="s">
        <v>12</v>
      </c>
      <c r="H2048" s="1">
        <v>45149</v>
      </c>
    </row>
    <row r="2049" spans="1:8">
      <c r="A2049" t="s">
        <v>4130</v>
      </c>
      <c r="B2049" t="s">
        <v>4131</v>
      </c>
      <c r="C2049" t="s">
        <v>10</v>
      </c>
      <c r="D2049">
        <v>37</v>
      </c>
      <c r="E2049" t="s">
        <v>101</v>
      </c>
      <c r="F2049" t="s">
        <v>21</v>
      </c>
      <c r="G2049" t="s">
        <v>22</v>
      </c>
      <c r="H2049" s="1">
        <v>45187</v>
      </c>
    </row>
    <row r="2050" spans="1:8">
      <c r="A2050" t="s">
        <v>4132</v>
      </c>
      <c r="B2050" t="s">
        <v>4133</v>
      </c>
      <c r="C2050" t="s">
        <v>10</v>
      </c>
      <c r="D2050">
        <v>22</v>
      </c>
      <c r="E2050" t="s">
        <v>37</v>
      </c>
      <c r="F2050" t="s">
        <v>38</v>
      </c>
      <c r="G2050" t="s">
        <v>22</v>
      </c>
      <c r="H2050" s="1">
        <v>44746</v>
      </c>
    </row>
    <row r="2051" spans="1:8">
      <c r="A2051" t="s">
        <v>4134</v>
      </c>
      <c r="B2051" t="s">
        <v>4135</v>
      </c>
      <c r="C2051" t="s">
        <v>10</v>
      </c>
      <c r="D2051">
        <v>23</v>
      </c>
      <c r="E2051" t="s">
        <v>11</v>
      </c>
      <c r="F2051" t="s">
        <v>11</v>
      </c>
      <c r="G2051" t="s">
        <v>12</v>
      </c>
      <c r="H2051" s="1">
        <v>44900</v>
      </c>
    </row>
    <row r="2052" spans="1:8">
      <c r="A2052" t="s">
        <v>4136</v>
      </c>
      <c r="B2052" t="s">
        <v>4137</v>
      </c>
      <c r="C2052" t="s">
        <v>10</v>
      </c>
      <c r="D2052">
        <v>45</v>
      </c>
      <c r="E2052" t="s">
        <v>27</v>
      </c>
      <c r="F2052" t="s">
        <v>28</v>
      </c>
      <c r="G2052" t="s">
        <v>12</v>
      </c>
      <c r="H2052" s="1">
        <v>45571</v>
      </c>
    </row>
    <row r="2053" spans="1:8">
      <c r="A2053" t="s">
        <v>4138</v>
      </c>
      <c r="B2053" t="s">
        <v>4139</v>
      </c>
      <c r="C2053" t="s">
        <v>31</v>
      </c>
      <c r="D2053">
        <v>50</v>
      </c>
      <c r="E2053" t="s">
        <v>63</v>
      </c>
      <c r="F2053" t="s">
        <v>64</v>
      </c>
      <c r="G2053" t="s">
        <v>12</v>
      </c>
      <c r="H2053" s="1">
        <v>45544</v>
      </c>
    </row>
    <row r="2054" spans="1:8">
      <c r="A2054" t="s">
        <v>4140</v>
      </c>
      <c r="B2054" t="s">
        <v>4141</v>
      </c>
      <c r="C2054" t="s">
        <v>10</v>
      </c>
      <c r="D2054">
        <v>43</v>
      </c>
      <c r="E2054" t="s">
        <v>27</v>
      </c>
      <c r="F2054" t="s">
        <v>28</v>
      </c>
      <c r="G2054" t="s">
        <v>12</v>
      </c>
      <c r="H2054" s="1">
        <v>45991</v>
      </c>
    </row>
    <row r="2055" spans="1:8">
      <c r="A2055" t="s">
        <v>4142</v>
      </c>
      <c r="B2055" t="s">
        <v>4143</v>
      </c>
      <c r="C2055" t="s">
        <v>31</v>
      </c>
      <c r="D2055">
        <v>62</v>
      </c>
      <c r="E2055" t="s">
        <v>34</v>
      </c>
      <c r="F2055" t="s">
        <v>16</v>
      </c>
      <c r="G2055" t="s">
        <v>17</v>
      </c>
      <c r="H2055" s="1">
        <v>44576</v>
      </c>
    </row>
    <row r="2056" spans="1:8">
      <c r="A2056" t="s">
        <v>4144</v>
      </c>
      <c r="B2056" t="s">
        <v>4145</v>
      </c>
      <c r="C2056" t="s">
        <v>10</v>
      </c>
      <c r="D2056">
        <v>56</v>
      </c>
      <c r="E2056" t="s">
        <v>37</v>
      </c>
      <c r="F2056" t="s">
        <v>38</v>
      </c>
      <c r="G2056" t="s">
        <v>22</v>
      </c>
      <c r="H2056" s="1">
        <v>45062</v>
      </c>
    </row>
    <row r="2057" spans="1:8">
      <c r="A2057" t="s">
        <v>4146</v>
      </c>
      <c r="B2057" t="s">
        <v>4147</v>
      </c>
      <c r="C2057" t="s">
        <v>10</v>
      </c>
      <c r="D2057">
        <v>29</v>
      </c>
      <c r="E2057" t="s">
        <v>101</v>
      </c>
      <c r="F2057" t="s">
        <v>21</v>
      </c>
      <c r="G2057" t="s">
        <v>22</v>
      </c>
      <c r="H2057" s="1">
        <v>45943</v>
      </c>
    </row>
    <row r="2058" spans="1:8">
      <c r="A2058" t="s">
        <v>4148</v>
      </c>
      <c r="B2058" t="s">
        <v>4149</v>
      </c>
      <c r="C2058" t="s">
        <v>31</v>
      </c>
      <c r="D2058">
        <v>21</v>
      </c>
      <c r="E2058" t="s">
        <v>34</v>
      </c>
      <c r="F2058" t="s">
        <v>16</v>
      </c>
      <c r="G2058" t="s">
        <v>17</v>
      </c>
      <c r="H2058" s="1">
        <v>45614</v>
      </c>
    </row>
    <row r="2059" spans="1:8">
      <c r="A2059" t="s">
        <v>4150</v>
      </c>
      <c r="B2059" t="s">
        <v>4151</v>
      </c>
      <c r="C2059" t="s">
        <v>31</v>
      </c>
      <c r="D2059">
        <v>25</v>
      </c>
      <c r="E2059" t="s">
        <v>149</v>
      </c>
      <c r="F2059" t="s">
        <v>38</v>
      </c>
      <c r="G2059" t="s">
        <v>22</v>
      </c>
      <c r="H2059" s="1">
        <v>44911</v>
      </c>
    </row>
    <row r="2060" spans="1:8">
      <c r="A2060" t="s">
        <v>4152</v>
      </c>
      <c r="B2060" t="s">
        <v>4153</v>
      </c>
      <c r="C2060" t="s">
        <v>10</v>
      </c>
      <c r="D2060">
        <v>36</v>
      </c>
      <c r="E2060" t="s">
        <v>101</v>
      </c>
      <c r="F2060" t="s">
        <v>21</v>
      </c>
      <c r="G2060" t="s">
        <v>22</v>
      </c>
      <c r="H2060" s="1">
        <v>45666</v>
      </c>
    </row>
    <row r="2061" spans="1:8">
      <c r="A2061" t="s">
        <v>4154</v>
      </c>
      <c r="B2061" t="s">
        <v>4155</v>
      </c>
      <c r="C2061" t="s">
        <v>10</v>
      </c>
      <c r="D2061">
        <v>18</v>
      </c>
      <c r="E2061" t="s">
        <v>45</v>
      </c>
      <c r="F2061" t="s">
        <v>46</v>
      </c>
      <c r="G2061" t="s">
        <v>17</v>
      </c>
      <c r="H2061" s="1">
        <v>45104</v>
      </c>
    </row>
    <row r="2062" spans="1:8">
      <c r="A2062" t="s">
        <v>4156</v>
      </c>
      <c r="B2062" t="s">
        <v>4157</v>
      </c>
      <c r="C2062" t="s">
        <v>10</v>
      </c>
      <c r="D2062">
        <v>37</v>
      </c>
      <c r="E2062" t="s">
        <v>27</v>
      </c>
      <c r="F2062" t="s">
        <v>28</v>
      </c>
      <c r="G2062" t="s">
        <v>12</v>
      </c>
      <c r="H2062" s="1">
        <v>45368</v>
      </c>
    </row>
    <row r="2063" spans="1:8">
      <c r="A2063" t="s">
        <v>4158</v>
      </c>
      <c r="B2063" t="s">
        <v>4159</v>
      </c>
      <c r="C2063" t="s">
        <v>31</v>
      </c>
      <c r="D2063">
        <v>57</v>
      </c>
      <c r="E2063" t="s">
        <v>128</v>
      </c>
      <c r="F2063" t="s">
        <v>129</v>
      </c>
      <c r="G2063" t="s">
        <v>78</v>
      </c>
      <c r="H2063" s="1">
        <v>44634</v>
      </c>
    </row>
    <row r="2064" spans="1:8">
      <c r="A2064" t="s">
        <v>4160</v>
      </c>
      <c r="B2064" t="s">
        <v>4161</v>
      </c>
      <c r="C2064" t="s">
        <v>10</v>
      </c>
      <c r="D2064">
        <v>57</v>
      </c>
      <c r="E2064" t="s">
        <v>87</v>
      </c>
      <c r="F2064" t="s">
        <v>88</v>
      </c>
      <c r="G2064" t="s">
        <v>78</v>
      </c>
      <c r="H2064" s="1">
        <v>45290</v>
      </c>
    </row>
    <row r="2065" spans="1:8">
      <c r="A2065" t="s">
        <v>4162</v>
      </c>
      <c r="B2065" t="s">
        <v>4163</v>
      </c>
      <c r="C2065" t="s">
        <v>10</v>
      </c>
      <c r="D2065">
        <v>18</v>
      </c>
      <c r="E2065" t="s">
        <v>37</v>
      </c>
      <c r="F2065" t="s">
        <v>38</v>
      </c>
      <c r="G2065" t="s">
        <v>22</v>
      </c>
      <c r="H2065" s="1">
        <v>45286</v>
      </c>
    </row>
    <row r="2066" spans="1:8">
      <c r="A2066" t="s">
        <v>4164</v>
      </c>
      <c r="B2066" t="s">
        <v>4165</v>
      </c>
      <c r="C2066" t="s">
        <v>31</v>
      </c>
      <c r="D2066">
        <v>18</v>
      </c>
      <c r="E2066" t="s">
        <v>101</v>
      </c>
      <c r="F2066" t="s">
        <v>21</v>
      </c>
      <c r="G2066" t="s">
        <v>22</v>
      </c>
      <c r="H2066" s="1">
        <v>45385</v>
      </c>
    </row>
    <row r="2067" spans="1:8">
      <c r="A2067" t="s">
        <v>4166</v>
      </c>
      <c r="B2067" t="s">
        <v>4167</v>
      </c>
      <c r="C2067" t="s">
        <v>10</v>
      </c>
      <c r="D2067">
        <v>51</v>
      </c>
      <c r="E2067" t="s">
        <v>41</v>
      </c>
      <c r="F2067" t="s">
        <v>42</v>
      </c>
      <c r="G2067" t="s">
        <v>17</v>
      </c>
      <c r="H2067" s="1">
        <v>44966</v>
      </c>
    </row>
    <row r="2068" spans="1:8">
      <c r="A2068" t="s">
        <v>4168</v>
      </c>
      <c r="B2068" t="s">
        <v>4169</v>
      </c>
      <c r="C2068" t="s">
        <v>10</v>
      </c>
      <c r="D2068">
        <v>49</v>
      </c>
      <c r="E2068" t="s">
        <v>101</v>
      </c>
      <c r="F2068" t="s">
        <v>21</v>
      </c>
      <c r="G2068" t="s">
        <v>22</v>
      </c>
      <c r="H2068" s="1">
        <v>45403</v>
      </c>
    </row>
    <row r="2069" spans="1:8">
      <c r="A2069" t="s">
        <v>4170</v>
      </c>
      <c r="B2069" t="s">
        <v>4171</v>
      </c>
      <c r="C2069" t="s">
        <v>31</v>
      </c>
      <c r="D2069">
        <v>43</v>
      </c>
      <c r="E2069" t="s">
        <v>45</v>
      </c>
      <c r="F2069" t="s">
        <v>46</v>
      </c>
      <c r="G2069" t="s">
        <v>17</v>
      </c>
      <c r="H2069" s="1">
        <v>45025</v>
      </c>
    </row>
    <row r="2070" spans="1:8">
      <c r="A2070" t="s">
        <v>4172</v>
      </c>
      <c r="B2070" t="s">
        <v>4173</v>
      </c>
      <c r="C2070" t="s">
        <v>10</v>
      </c>
      <c r="D2070">
        <v>52</v>
      </c>
      <c r="E2070" t="s">
        <v>37</v>
      </c>
      <c r="F2070" t="s">
        <v>38</v>
      </c>
      <c r="G2070" t="s">
        <v>22</v>
      </c>
      <c r="H2070" s="1">
        <v>45439</v>
      </c>
    </row>
    <row r="2071" spans="1:8">
      <c r="A2071" t="s">
        <v>4174</v>
      </c>
      <c r="B2071" t="s">
        <v>4175</v>
      </c>
      <c r="C2071" t="s">
        <v>31</v>
      </c>
      <c r="D2071">
        <v>28</v>
      </c>
      <c r="E2071" t="s">
        <v>11</v>
      </c>
      <c r="F2071" t="s">
        <v>11</v>
      </c>
      <c r="G2071" t="s">
        <v>12</v>
      </c>
      <c r="H2071" s="1">
        <v>45460</v>
      </c>
    </row>
    <row r="2072" spans="1:8">
      <c r="A2072" t="s">
        <v>4176</v>
      </c>
      <c r="B2072" t="s">
        <v>4177</v>
      </c>
      <c r="C2072" t="s">
        <v>31</v>
      </c>
      <c r="D2072">
        <v>63</v>
      </c>
      <c r="E2072" t="s">
        <v>41</v>
      </c>
      <c r="F2072" t="s">
        <v>42</v>
      </c>
      <c r="G2072" t="s">
        <v>17</v>
      </c>
      <c r="H2072" s="1">
        <v>44573</v>
      </c>
    </row>
    <row r="2073" spans="1:8">
      <c r="A2073" t="s">
        <v>4178</v>
      </c>
      <c r="B2073" t="s">
        <v>4179</v>
      </c>
      <c r="C2073" t="s">
        <v>10</v>
      </c>
      <c r="D2073">
        <v>26</v>
      </c>
      <c r="E2073" t="s">
        <v>34</v>
      </c>
      <c r="F2073" t="s">
        <v>16</v>
      </c>
      <c r="G2073" t="s">
        <v>17</v>
      </c>
      <c r="H2073" s="1">
        <v>45145</v>
      </c>
    </row>
    <row r="2074" spans="1:8">
      <c r="A2074" t="s">
        <v>4180</v>
      </c>
      <c r="B2074" t="s">
        <v>4181</v>
      </c>
      <c r="C2074" t="s">
        <v>10</v>
      </c>
      <c r="D2074">
        <v>60</v>
      </c>
      <c r="E2074" t="s">
        <v>37</v>
      </c>
      <c r="F2074" t="s">
        <v>38</v>
      </c>
      <c r="G2074" t="s">
        <v>22</v>
      </c>
      <c r="H2074" s="1">
        <v>44626</v>
      </c>
    </row>
    <row r="2075" spans="1:8">
      <c r="A2075" t="s">
        <v>4182</v>
      </c>
      <c r="B2075" t="s">
        <v>4183</v>
      </c>
      <c r="C2075" t="s">
        <v>31</v>
      </c>
      <c r="D2075">
        <v>25</v>
      </c>
      <c r="E2075" t="s">
        <v>41</v>
      </c>
      <c r="F2075" t="s">
        <v>42</v>
      </c>
      <c r="G2075" t="s">
        <v>17</v>
      </c>
      <c r="H2075" s="1">
        <v>45924</v>
      </c>
    </row>
    <row r="2076" spans="1:8">
      <c r="A2076" t="s">
        <v>4184</v>
      </c>
      <c r="B2076" t="s">
        <v>4185</v>
      </c>
      <c r="C2076" t="s">
        <v>10</v>
      </c>
      <c r="D2076">
        <v>38</v>
      </c>
      <c r="E2076" t="s">
        <v>60</v>
      </c>
      <c r="F2076" t="s">
        <v>21</v>
      </c>
      <c r="G2076" t="s">
        <v>22</v>
      </c>
      <c r="H2076" s="1">
        <v>45576</v>
      </c>
    </row>
    <row r="2077" spans="1:8">
      <c r="A2077" t="s">
        <v>4186</v>
      </c>
      <c r="B2077" t="s">
        <v>4187</v>
      </c>
      <c r="C2077" t="s">
        <v>31</v>
      </c>
      <c r="D2077">
        <v>26</v>
      </c>
      <c r="E2077" t="s">
        <v>69</v>
      </c>
      <c r="F2077" t="s">
        <v>69</v>
      </c>
      <c r="G2077" t="s">
        <v>12</v>
      </c>
      <c r="H2077" s="1">
        <v>45589</v>
      </c>
    </row>
    <row r="2078" spans="1:8">
      <c r="A2078" t="s">
        <v>4188</v>
      </c>
      <c r="B2078" t="s">
        <v>4189</v>
      </c>
      <c r="C2078" t="s">
        <v>10</v>
      </c>
      <c r="D2078">
        <v>27</v>
      </c>
      <c r="E2078" t="s">
        <v>15</v>
      </c>
      <c r="F2078" t="s">
        <v>16</v>
      </c>
      <c r="G2078" t="s">
        <v>17</v>
      </c>
      <c r="H2078" s="1">
        <v>44605</v>
      </c>
    </row>
    <row r="2079" spans="1:8">
      <c r="A2079" t="s">
        <v>4190</v>
      </c>
      <c r="B2079" t="s">
        <v>4191</v>
      </c>
      <c r="C2079" t="s">
        <v>10</v>
      </c>
      <c r="D2079">
        <v>21</v>
      </c>
      <c r="E2079" t="s">
        <v>20</v>
      </c>
      <c r="F2079" t="s">
        <v>21</v>
      </c>
      <c r="G2079" t="s">
        <v>22</v>
      </c>
      <c r="H2079" s="1">
        <v>45963</v>
      </c>
    </row>
    <row r="2080" spans="1:8">
      <c r="A2080" t="s">
        <v>4192</v>
      </c>
      <c r="B2080" t="s">
        <v>4193</v>
      </c>
      <c r="C2080" t="s">
        <v>10</v>
      </c>
      <c r="D2080">
        <v>45</v>
      </c>
      <c r="E2080" t="s">
        <v>134</v>
      </c>
      <c r="F2080" t="s">
        <v>28</v>
      </c>
      <c r="G2080" t="s">
        <v>12</v>
      </c>
      <c r="H2080" s="1">
        <v>45441</v>
      </c>
    </row>
    <row r="2081" spans="1:8">
      <c r="A2081" t="s">
        <v>4194</v>
      </c>
      <c r="B2081" t="s">
        <v>4195</v>
      </c>
      <c r="C2081" t="s">
        <v>10</v>
      </c>
      <c r="D2081">
        <v>66</v>
      </c>
      <c r="E2081" t="s">
        <v>37</v>
      </c>
      <c r="F2081" t="s">
        <v>38</v>
      </c>
      <c r="G2081" t="s">
        <v>22</v>
      </c>
      <c r="H2081" s="1">
        <v>45557</v>
      </c>
    </row>
    <row r="2082" spans="1:8">
      <c r="A2082" t="s">
        <v>4196</v>
      </c>
      <c r="B2082" t="s">
        <v>4197</v>
      </c>
      <c r="C2082" t="s">
        <v>10</v>
      </c>
      <c r="D2082">
        <v>33</v>
      </c>
      <c r="E2082" t="s">
        <v>60</v>
      </c>
      <c r="F2082" t="s">
        <v>21</v>
      </c>
      <c r="G2082" t="s">
        <v>22</v>
      </c>
      <c r="H2082" s="1">
        <v>44874</v>
      </c>
    </row>
    <row r="2083" spans="1:8">
      <c r="A2083" t="s">
        <v>4198</v>
      </c>
      <c r="B2083" t="s">
        <v>4199</v>
      </c>
      <c r="C2083" t="s">
        <v>10</v>
      </c>
      <c r="D2083">
        <v>60</v>
      </c>
      <c r="E2083" t="s">
        <v>15</v>
      </c>
      <c r="F2083" t="s">
        <v>16</v>
      </c>
      <c r="G2083" t="s">
        <v>17</v>
      </c>
      <c r="H2083" s="1">
        <v>45101</v>
      </c>
    </row>
    <row r="2084" spans="1:8">
      <c r="A2084" t="s">
        <v>4200</v>
      </c>
      <c r="B2084" t="s">
        <v>4201</v>
      </c>
      <c r="C2084" t="s">
        <v>10</v>
      </c>
      <c r="D2084">
        <v>62</v>
      </c>
      <c r="E2084" t="s">
        <v>76</v>
      </c>
      <c r="F2084" t="s">
        <v>77</v>
      </c>
      <c r="G2084" t="s">
        <v>78</v>
      </c>
      <c r="H2084" s="1">
        <v>45532</v>
      </c>
    </row>
    <row r="2085" spans="1:8">
      <c r="A2085" t="s">
        <v>4202</v>
      </c>
      <c r="B2085" t="s">
        <v>4203</v>
      </c>
      <c r="C2085" t="s">
        <v>10</v>
      </c>
      <c r="D2085">
        <v>55</v>
      </c>
      <c r="E2085" t="s">
        <v>27</v>
      </c>
      <c r="F2085" t="s">
        <v>28</v>
      </c>
      <c r="G2085" t="s">
        <v>12</v>
      </c>
      <c r="H2085" s="1">
        <v>44933</v>
      </c>
    </row>
    <row r="2086" spans="1:8">
      <c r="A2086" t="s">
        <v>4204</v>
      </c>
      <c r="B2086" t="s">
        <v>4205</v>
      </c>
      <c r="C2086" t="s">
        <v>10</v>
      </c>
      <c r="D2086">
        <v>26</v>
      </c>
      <c r="E2086" t="s">
        <v>63</v>
      </c>
      <c r="F2086" t="s">
        <v>64</v>
      </c>
      <c r="G2086" t="s">
        <v>12</v>
      </c>
      <c r="H2086" s="1">
        <v>45031</v>
      </c>
    </row>
    <row r="2087" spans="1:8">
      <c r="A2087" t="s">
        <v>4206</v>
      </c>
      <c r="B2087" t="s">
        <v>4207</v>
      </c>
      <c r="C2087" t="s">
        <v>10</v>
      </c>
      <c r="D2087">
        <v>45</v>
      </c>
      <c r="E2087" t="s">
        <v>37</v>
      </c>
      <c r="F2087" t="s">
        <v>38</v>
      </c>
      <c r="G2087" t="s">
        <v>22</v>
      </c>
      <c r="H2087" s="1">
        <v>44955</v>
      </c>
    </row>
    <row r="2088" spans="1:8">
      <c r="A2088" t="s">
        <v>4208</v>
      </c>
      <c r="B2088" t="s">
        <v>4209</v>
      </c>
      <c r="C2088" t="s">
        <v>10</v>
      </c>
      <c r="D2088">
        <v>42</v>
      </c>
      <c r="E2088" t="s">
        <v>34</v>
      </c>
      <c r="F2088" t="s">
        <v>16</v>
      </c>
      <c r="G2088" t="s">
        <v>17</v>
      </c>
      <c r="H2088" s="1">
        <v>44748</v>
      </c>
    </row>
    <row r="2089" spans="1:8">
      <c r="A2089" t="s">
        <v>4210</v>
      </c>
      <c r="B2089" t="s">
        <v>4211</v>
      </c>
      <c r="C2089" t="s">
        <v>10</v>
      </c>
      <c r="D2089">
        <v>32</v>
      </c>
      <c r="E2089" t="s">
        <v>37</v>
      </c>
      <c r="F2089" t="s">
        <v>38</v>
      </c>
      <c r="G2089" t="s">
        <v>22</v>
      </c>
      <c r="H2089" s="1">
        <v>45995</v>
      </c>
    </row>
    <row r="2090" spans="1:8">
      <c r="A2090" t="s">
        <v>4212</v>
      </c>
      <c r="B2090" t="s">
        <v>4213</v>
      </c>
      <c r="C2090" t="s">
        <v>31</v>
      </c>
      <c r="D2090">
        <v>59</v>
      </c>
      <c r="E2090" t="s">
        <v>149</v>
      </c>
      <c r="F2090" t="s">
        <v>38</v>
      </c>
      <c r="G2090" t="s">
        <v>22</v>
      </c>
      <c r="H2090" s="1">
        <v>44687</v>
      </c>
    </row>
    <row r="2091" spans="1:8">
      <c r="A2091" t="s">
        <v>4214</v>
      </c>
      <c r="B2091" t="s">
        <v>4215</v>
      </c>
      <c r="C2091" t="s">
        <v>31</v>
      </c>
      <c r="D2091">
        <v>35</v>
      </c>
      <c r="E2091" t="s">
        <v>15</v>
      </c>
      <c r="F2091" t="s">
        <v>16</v>
      </c>
      <c r="G2091" t="s">
        <v>17</v>
      </c>
      <c r="H2091" s="1">
        <v>45113</v>
      </c>
    </row>
    <row r="2092" spans="1:8">
      <c r="A2092" t="s">
        <v>4216</v>
      </c>
      <c r="B2092" t="s">
        <v>4217</v>
      </c>
      <c r="C2092" t="s">
        <v>31</v>
      </c>
      <c r="D2092">
        <v>21</v>
      </c>
      <c r="E2092" t="s">
        <v>112</v>
      </c>
      <c r="F2092" t="s">
        <v>113</v>
      </c>
      <c r="G2092" t="s">
        <v>78</v>
      </c>
      <c r="H2092" s="1">
        <v>45067</v>
      </c>
    </row>
    <row r="2093" spans="1:8">
      <c r="A2093" t="s">
        <v>4218</v>
      </c>
      <c r="B2093" t="s">
        <v>4219</v>
      </c>
      <c r="C2093" t="s">
        <v>31</v>
      </c>
      <c r="D2093">
        <v>31</v>
      </c>
      <c r="E2093" t="s">
        <v>15</v>
      </c>
      <c r="F2093" t="s">
        <v>16</v>
      </c>
      <c r="G2093" t="s">
        <v>17</v>
      </c>
      <c r="H2093" s="1">
        <v>44668</v>
      </c>
    </row>
    <row r="2094" spans="1:8">
      <c r="A2094" t="s">
        <v>4220</v>
      </c>
      <c r="B2094" t="s">
        <v>4221</v>
      </c>
      <c r="C2094" t="s">
        <v>10</v>
      </c>
      <c r="D2094">
        <v>45</v>
      </c>
      <c r="E2094" t="s">
        <v>45</v>
      </c>
      <c r="F2094" t="s">
        <v>46</v>
      </c>
      <c r="G2094" t="s">
        <v>17</v>
      </c>
      <c r="H2094" s="1">
        <v>45804</v>
      </c>
    </row>
    <row r="2095" spans="1:8">
      <c r="A2095" t="s">
        <v>4222</v>
      </c>
      <c r="B2095" t="s">
        <v>4223</v>
      </c>
      <c r="C2095" t="s">
        <v>31</v>
      </c>
      <c r="D2095">
        <v>37</v>
      </c>
      <c r="E2095" t="s">
        <v>41</v>
      </c>
      <c r="F2095" t="s">
        <v>42</v>
      </c>
      <c r="G2095" t="s">
        <v>17</v>
      </c>
      <c r="H2095" s="1">
        <v>45306</v>
      </c>
    </row>
    <row r="2096" spans="1:8">
      <c r="A2096" t="s">
        <v>4224</v>
      </c>
      <c r="B2096" t="s">
        <v>4225</v>
      </c>
      <c r="C2096" t="s">
        <v>10</v>
      </c>
      <c r="D2096">
        <v>39</v>
      </c>
      <c r="E2096" t="s">
        <v>15</v>
      </c>
      <c r="F2096" t="s">
        <v>16</v>
      </c>
      <c r="G2096" t="s">
        <v>17</v>
      </c>
      <c r="H2096" s="1">
        <v>45960</v>
      </c>
    </row>
    <row r="2097" spans="1:8">
      <c r="A2097" t="s">
        <v>4226</v>
      </c>
      <c r="B2097" t="s">
        <v>4227</v>
      </c>
      <c r="C2097" t="s">
        <v>31</v>
      </c>
      <c r="D2097">
        <v>33</v>
      </c>
      <c r="E2097" t="s">
        <v>37</v>
      </c>
      <c r="F2097" t="s">
        <v>38</v>
      </c>
      <c r="G2097" t="s">
        <v>22</v>
      </c>
      <c r="H2097" s="1">
        <v>45768</v>
      </c>
    </row>
    <row r="2098" spans="1:8">
      <c r="A2098" t="s">
        <v>4228</v>
      </c>
      <c r="B2098" t="s">
        <v>4229</v>
      </c>
      <c r="C2098" t="s">
        <v>31</v>
      </c>
      <c r="D2098">
        <v>23</v>
      </c>
      <c r="E2098" t="s">
        <v>63</v>
      </c>
      <c r="F2098" t="s">
        <v>64</v>
      </c>
      <c r="G2098" t="s">
        <v>12</v>
      </c>
      <c r="H2098" s="1">
        <v>45758</v>
      </c>
    </row>
    <row r="2099" spans="1:8">
      <c r="A2099" t="s">
        <v>4230</v>
      </c>
      <c r="B2099" t="s">
        <v>4231</v>
      </c>
      <c r="C2099" t="s">
        <v>10</v>
      </c>
      <c r="D2099">
        <v>20</v>
      </c>
      <c r="E2099" t="s">
        <v>76</v>
      </c>
      <c r="F2099" t="s">
        <v>77</v>
      </c>
      <c r="G2099" t="s">
        <v>78</v>
      </c>
      <c r="H2099" s="1">
        <v>45851</v>
      </c>
    </row>
    <row r="2100" spans="1:8">
      <c r="A2100" t="s">
        <v>4232</v>
      </c>
      <c r="B2100" t="s">
        <v>4233</v>
      </c>
      <c r="C2100" t="s">
        <v>31</v>
      </c>
      <c r="D2100">
        <v>24</v>
      </c>
      <c r="E2100" t="s">
        <v>63</v>
      </c>
      <c r="F2100" t="s">
        <v>64</v>
      </c>
      <c r="G2100" t="s">
        <v>12</v>
      </c>
      <c r="H2100" s="1">
        <v>44957</v>
      </c>
    </row>
    <row r="2101" spans="1:8">
      <c r="A2101" t="s">
        <v>4234</v>
      </c>
      <c r="B2101" t="s">
        <v>4235</v>
      </c>
      <c r="C2101" t="s">
        <v>31</v>
      </c>
      <c r="D2101">
        <v>37</v>
      </c>
      <c r="E2101" t="s">
        <v>218</v>
      </c>
      <c r="F2101" t="s">
        <v>219</v>
      </c>
      <c r="G2101" t="s">
        <v>17</v>
      </c>
      <c r="H2101" s="1">
        <v>45829</v>
      </c>
    </row>
    <row r="2102" spans="1:8">
      <c r="A2102" t="s">
        <v>4236</v>
      </c>
      <c r="B2102" t="s">
        <v>4237</v>
      </c>
      <c r="C2102" t="s">
        <v>10</v>
      </c>
      <c r="D2102">
        <v>20</v>
      </c>
      <c r="E2102" t="s">
        <v>63</v>
      </c>
      <c r="F2102" t="s">
        <v>64</v>
      </c>
      <c r="G2102" t="s">
        <v>12</v>
      </c>
      <c r="H2102" s="1">
        <v>45654</v>
      </c>
    </row>
    <row r="2103" spans="1:8">
      <c r="A2103" t="s">
        <v>4238</v>
      </c>
      <c r="B2103" t="s">
        <v>4239</v>
      </c>
      <c r="C2103" t="s">
        <v>31</v>
      </c>
      <c r="D2103">
        <v>66</v>
      </c>
      <c r="E2103" t="s">
        <v>41</v>
      </c>
      <c r="F2103" t="s">
        <v>42</v>
      </c>
      <c r="G2103" t="s">
        <v>17</v>
      </c>
      <c r="H2103" s="1">
        <v>45689</v>
      </c>
    </row>
    <row r="2104" spans="1:8">
      <c r="A2104" t="s">
        <v>4240</v>
      </c>
      <c r="B2104" t="s">
        <v>4241</v>
      </c>
      <c r="C2104" t="s">
        <v>31</v>
      </c>
      <c r="D2104">
        <v>46</v>
      </c>
      <c r="E2104" t="s">
        <v>128</v>
      </c>
      <c r="F2104" t="s">
        <v>129</v>
      </c>
      <c r="G2104" t="s">
        <v>78</v>
      </c>
      <c r="H2104" s="1">
        <v>45273</v>
      </c>
    </row>
    <row r="2105" spans="1:8">
      <c r="A2105" t="s">
        <v>4242</v>
      </c>
      <c r="B2105" t="s">
        <v>4243</v>
      </c>
      <c r="C2105" t="s">
        <v>10</v>
      </c>
      <c r="D2105">
        <v>48</v>
      </c>
      <c r="E2105" t="s">
        <v>11</v>
      </c>
      <c r="F2105" t="s">
        <v>11</v>
      </c>
      <c r="G2105" t="s">
        <v>12</v>
      </c>
      <c r="H2105" s="1">
        <v>45455</v>
      </c>
    </row>
    <row r="2106" spans="1:8">
      <c r="A2106" t="s">
        <v>4244</v>
      </c>
      <c r="B2106" t="s">
        <v>4245</v>
      </c>
      <c r="C2106" t="s">
        <v>10</v>
      </c>
      <c r="D2106">
        <v>56</v>
      </c>
      <c r="E2106" t="s">
        <v>60</v>
      </c>
      <c r="F2106" t="s">
        <v>21</v>
      </c>
      <c r="G2106" t="s">
        <v>22</v>
      </c>
      <c r="H2106" s="1">
        <v>44606</v>
      </c>
    </row>
    <row r="2107" spans="1:8">
      <c r="A2107" t="s">
        <v>4246</v>
      </c>
      <c r="B2107" t="s">
        <v>4247</v>
      </c>
      <c r="C2107" t="s">
        <v>10</v>
      </c>
      <c r="D2107">
        <v>54</v>
      </c>
      <c r="E2107" t="s">
        <v>34</v>
      </c>
      <c r="F2107" t="s">
        <v>16</v>
      </c>
      <c r="G2107" t="s">
        <v>17</v>
      </c>
      <c r="H2107" s="1">
        <v>45155</v>
      </c>
    </row>
    <row r="2108" spans="1:8">
      <c r="A2108" t="s">
        <v>4248</v>
      </c>
      <c r="B2108" t="s">
        <v>4249</v>
      </c>
      <c r="C2108" t="s">
        <v>31</v>
      </c>
      <c r="D2108">
        <v>61</v>
      </c>
      <c r="E2108" t="s">
        <v>34</v>
      </c>
      <c r="F2108" t="s">
        <v>16</v>
      </c>
      <c r="G2108" t="s">
        <v>17</v>
      </c>
      <c r="H2108" s="1">
        <v>45376</v>
      </c>
    </row>
    <row r="2109" spans="1:8">
      <c r="A2109" t="s">
        <v>4250</v>
      </c>
      <c r="B2109" t="s">
        <v>4251</v>
      </c>
      <c r="C2109" t="s">
        <v>10</v>
      </c>
      <c r="D2109">
        <v>46</v>
      </c>
      <c r="E2109" t="s">
        <v>60</v>
      </c>
      <c r="F2109" t="s">
        <v>21</v>
      </c>
      <c r="G2109" t="s">
        <v>22</v>
      </c>
      <c r="H2109" s="1">
        <v>44715</v>
      </c>
    </row>
    <row r="2110" spans="1:8">
      <c r="A2110" t="s">
        <v>4252</v>
      </c>
      <c r="B2110" t="s">
        <v>4253</v>
      </c>
      <c r="C2110" t="s">
        <v>31</v>
      </c>
      <c r="D2110">
        <v>43</v>
      </c>
      <c r="E2110" t="s">
        <v>69</v>
      </c>
      <c r="F2110" t="s">
        <v>69</v>
      </c>
      <c r="G2110" t="s">
        <v>12</v>
      </c>
      <c r="H2110" s="1">
        <v>45713</v>
      </c>
    </row>
    <row r="2111" spans="1:8">
      <c r="A2111" t="s">
        <v>4254</v>
      </c>
      <c r="B2111" t="s">
        <v>4255</v>
      </c>
      <c r="C2111" t="s">
        <v>10</v>
      </c>
      <c r="D2111">
        <v>28</v>
      </c>
      <c r="E2111" t="s">
        <v>63</v>
      </c>
      <c r="F2111" t="s">
        <v>64</v>
      </c>
      <c r="G2111" t="s">
        <v>12</v>
      </c>
      <c r="H2111" s="1">
        <v>44938</v>
      </c>
    </row>
    <row r="2112" spans="1:8">
      <c r="A2112" t="s">
        <v>4256</v>
      </c>
      <c r="B2112" t="s">
        <v>4257</v>
      </c>
      <c r="C2112" t="s">
        <v>10</v>
      </c>
      <c r="D2112">
        <v>68</v>
      </c>
      <c r="E2112" t="s">
        <v>60</v>
      </c>
      <c r="F2112" t="s">
        <v>21</v>
      </c>
      <c r="G2112" t="s">
        <v>22</v>
      </c>
      <c r="H2112" s="1">
        <v>45988</v>
      </c>
    </row>
    <row r="2113" spans="1:8">
      <c r="A2113" t="s">
        <v>4258</v>
      </c>
      <c r="B2113" t="s">
        <v>4259</v>
      </c>
      <c r="C2113" t="s">
        <v>31</v>
      </c>
      <c r="D2113">
        <v>37</v>
      </c>
      <c r="E2113" t="s">
        <v>60</v>
      </c>
      <c r="F2113" t="s">
        <v>21</v>
      </c>
      <c r="G2113" t="s">
        <v>22</v>
      </c>
      <c r="H2113" s="1">
        <v>46011</v>
      </c>
    </row>
    <row r="2114" spans="1:8">
      <c r="A2114" t="s">
        <v>4260</v>
      </c>
      <c r="B2114" t="s">
        <v>4261</v>
      </c>
      <c r="C2114" t="s">
        <v>31</v>
      </c>
      <c r="D2114">
        <v>53</v>
      </c>
      <c r="E2114" t="s">
        <v>91</v>
      </c>
      <c r="F2114" t="s">
        <v>92</v>
      </c>
      <c r="G2114" t="s">
        <v>78</v>
      </c>
      <c r="H2114" s="1">
        <v>46012</v>
      </c>
    </row>
    <row r="2115" spans="1:8">
      <c r="A2115" t="s">
        <v>4262</v>
      </c>
      <c r="B2115" t="s">
        <v>4263</v>
      </c>
      <c r="C2115" t="s">
        <v>10</v>
      </c>
      <c r="D2115">
        <v>36</v>
      </c>
      <c r="E2115" t="s">
        <v>34</v>
      </c>
      <c r="F2115" t="s">
        <v>16</v>
      </c>
      <c r="G2115" t="s">
        <v>17</v>
      </c>
      <c r="H2115" s="1">
        <v>44655</v>
      </c>
    </row>
    <row r="2116" spans="1:8">
      <c r="A2116" t="s">
        <v>4264</v>
      </c>
      <c r="B2116" t="s">
        <v>4265</v>
      </c>
      <c r="C2116" t="s">
        <v>10</v>
      </c>
      <c r="D2116">
        <v>35</v>
      </c>
      <c r="E2116" t="s">
        <v>34</v>
      </c>
      <c r="F2116" t="s">
        <v>16</v>
      </c>
      <c r="G2116" t="s">
        <v>17</v>
      </c>
      <c r="H2116" s="1">
        <v>45130</v>
      </c>
    </row>
    <row r="2117" spans="1:8">
      <c r="A2117" t="s">
        <v>4266</v>
      </c>
      <c r="B2117" t="s">
        <v>4267</v>
      </c>
      <c r="C2117" t="s">
        <v>10</v>
      </c>
      <c r="D2117">
        <v>70</v>
      </c>
      <c r="E2117" t="s">
        <v>87</v>
      </c>
      <c r="F2117" t="s">
        <v>88</v>
      </c>
      <c r="G2117" t="s">
        <v>78</v>
      </c>
      <c r="H2117" s="1">
        <v>45877</v>
      </c>
    </row>
    <row r="2118" spans="1:8">
      <c r="A2118" t="s">
        <v>4268</v>
      </c>
      <c r="B2118" t="s">
        <v>4269</v>
      </c>
      <c r="C2118" t="s">
        <v>31</v>
      </c>
      <c r="D2118">
        <v>58</v>
      </c>
      <c r="E2118" t="s">
        <v>15</v>
      </c>
      <c r="F2118" t="s">
        <v>16</v>
      </c>
      <c r="G2118" t="s">
        <v>17</v>
      </c>
      <c r="H2118" s="1">
        <v>44564</v>
      </c>
    </row>
    <row r="2119" spans="1:8">
      <c r="A2119" t="s">
        <v>4270</v>
      </c>
      <c r="B2119" t="s">
        <v>4271</v>
      </c>
      <c r="C2119" t="s">
        <v>10</v>
      </c>
      <c r="D2119">
        <v>63</v>
      </c>
      <c r="E2119" t="s">
        <v>134</v>
      </c>
      <c r="F2119" t="s">
        <v>28</v>
      </c>
      <c r="G2119" t="s">
        <v>12</v>
      </c>
      <c r="H2119" s="1">
        <v>45226</v>
      </c>
    </row>
    <row r="2120" spans="1:8">
      <c r="A2120" t="s">
        <v>4272</v>
      </c>
      <c r="B2120" t="s">
        <v>4273</v>
      </c>
      <c r="C2120" t="s">
        <v>31</v>
      </c>
      <c r="D2120">
        <v>57</v>
      </c>
      <c r="E2120" t="s">
        <v>91</v>
      </c>
      <c r="F2120" t="s">
        <v>92</v>
      </c>
      <c r="G2120" t="s">
        <v>78</v>
      </c>
      <c r="H2120" s="1">
        <v>44835</v>
      </c>
    </row>
    <row r="2121" spans="1:8">
      <c r="A2121" t="s">
        <v>4274</v>
      </c>
      <c r="B2121" t="s">
        <v>4275</v>
      </c>
      <c r="C2121" t="s">
        <v>10</v>
      </c>
      <c r="D2121">
        <v>70</v>
      </c>
      <c r="E2121" t="s">
        <v>15</v>
      </c>
      <c r="F2121" t="s">
        <v>16</v>
      </c>
      <c r="G2121" t="s">
        <v>17</v>
      </c>
      <c r="H2121" s="1">
        <v>45843</v>
      </c>
    </row>
    <row r="2122" spans="1:8">
      <c r="A2122" t="s">
        <v>4276</v>
      </c>
      <c r="B2122" t="s">
        <v>4277</v>
      </c>
      <c r="C2122" t="s">
        <v>31</v>
      </c>
      <c r="D2122">
        <v>19</v>
      </c>
      <c r="E2122" t="s">
        <v>37</v>
      </c>
      <c r="F2122" t="s">
        <v>38</v>
      </c>
      <c r="G2122" t="s">
        <v>22</v>
      </c>
      <c r="H2122" s="1">
        <v>44923</v>
      </c>
    </row>
    <row r="2123" spans="1:8">
      <c r="A2123" t="s">
        <v>4278</v>
      </c>
      <c r="B2123" t="s">
        <v>4279</v>
      </c>
      <c r="C2123" t="s">
        <v>31</v>
      </c>
      <c r="D2123">
        <v>59</v>
      </c>
      <c r="E2123" t="s">
        <v>60</v>
      </c>
      <c r="F2123" t="s">
        <v>21</v>
      </c>
      <c r="G2123" t="s">
        <v>22</v>
      </c>
      <c r="H2123" s="1">
        <v>44779</v>
      </c>
    </row>
    <row r="2124" spans="1:8">
      <c r="A2124" t="s">
        <v>4280</v>
      </c>
      <c r="B2124" t="s">
        <v>4281</v>
      </c>
      <c r="C2124" t="s">
        <v>10</v>
      </c>
      <c r="D2124">
        <v>70</v>
      </c>
      <c r="E2124" t="s">
        <v>218</v>
      </c>
      <c r="F2124" t="s">
        <v>219</v>
      </c>
      <c r="G2124" t="s">
        <v>17</v>
      </c>
      <c r="H2124" s="1">
        <v>45690</v>
      </c>
    </row>
    <row r="2125" spans="1:8">
      <c r="A2125" t="s">
        <v>4282</v>
      </c>
      <c r="B2125" t="s">
        <v>4283</v>
      </c>
      <c r="C2125" t="s">
        <v>10</v>
      </c>
      <c r="D2125">
        <v>55</v>
      </c>
      <c r="E2125" t="s">
        <v>37</v>
      </c>
      <c r="F2125" t="s">
        <v>38</v>
      </c>
      <c r="G2125" t="s">
        <v>22</v>
      </c>
      <c r="H2125" s="1">
        <v>45112</v>
      </c>
    </row>
    <row r="2126" spans="1:8">
      <c r="A2126" t="s">
        <v>4284</v>
      </c>
      <c r="B2126" t="s">
        <v>4285</v>
      </c>
      <c r="C2126" t="s">
        <v>31</v>
      </c>
      <c r="D2126">
        <v>32</v>
      </c>
      <c r="E2126" t="s">
        <v>69</v>
      </c>
      <c r="F2126" t="s">
        <v>69</v>
      </c>
      <c r="G2126" t="s">
        <v>12</v>
      </c>
      <c r="H2126" s="1">
        <v>44880</v>
      </c>
    </row>
    <row r="2127" spans="1:8">
      <c r="A2127" t="s">
        <v>4286</v>
      </c>
      <c r="B2127" t="s">
        <v>4287</v>
      </c>
      <c r="C2127" t="s">
        <v>10</v>
      </c>
      <c r="D2127">
        <v>48</v>
      </c>
      <c r="E2127" t="s">
        <v>69</v>
      </c>
      <c r="F2127" t="s">
        <v>69</v>
      </c>
      <c r="G2127" t="s">
        <v>12</v>
      </c>
      <c r="H2127" s="1">
        <v>45316</v>
      </c>
    </row>
    <row r="2128" spans="1:8">
      <c r="A2128" t="s">
        <v>4288</v>
      </c>
      <c r="B2128" t="s">
        <v>4289</v>
      </c>
      <c r="C2128" t="s">
        <v>10</v>
      </c>
      <c r="D2128">
        <v>70</v>
      </c>
      <c r="E2128" t="s">
        <v>34</v>
      </c>
      <c r="F2128" t="s">
        <v>16</v>
      </c>
      <c r="G2128" t="s">
        <v>17</v>
      </c>
      <c r="H2128" s="1">
        <v>45502</v>
      </c>
    </row>
    <row r="2129" spans="1:8">
      <c r="A2129" t="s">
        <v>4290</v>
      </c>
      <c r="B2129" t="s">
        <v>4291</v>
      </c>
      <c r="C2129" t="s">
        <v>31</v>
      </c>
      <c r="D2129">
        <v>64</v>
      </c>
      <c r="E2129" t="s">
        <v>76</v>
      </c>
      <c r="F2129" t="s">
        <v>77</v>
      </c>
      <c r="G2129" t="s">
        <v>78</v>
      </c>
      <c r="H2129" s="1">
        <v>45728</v>
      </c>
    </row>
    <row r="2130" spans="1:8">
      <c r="A2130" t="s">
        <v>4292</v>
      </c>
      <c r="B2130" t="s">
        <v>4293</v>
      </c>
      <c r="C2130" t="s">
        <v>31</v>
      </c>
      <c r="D2130">
        <v>28</v>
      </c>
      <c r="E2130" t="s">
        <v>45</v>
      </c>
      <c r="F2130" t="s">
        <v>46</v>
      </c>
      <c r="G2130" t="s">
        <v>17</v>
      </c>
      <c r="H2130" s="1">
        <v>44605</v>
      </c>
    </row>
    <row r="2131" spans="1:8">
      <c r="A2131" t="s">
        <v>4294</v>
      </c>
      <c r="B2131" t="s">
        <v>4295</v>
      </c>
      <c r="C2131" t="s">
        <v>10</v>
      </c>
      <c r="D2131">
        <v>22</v>
      </c>
      <c r="E2131" t="s">
        <v>112</v>
      </c>
      <c r="F2131" t="s">
        <v>113</v>
      </c>
      <c r="G2131" t="s">
        <v>78</v>
      </c>
      <c r="H2131" s="1">
        <v>45969</v>
      </c>
    </row>
    <row r="2132" spans="1:8">
      <c r="A2132" t="s">
        <v>4296</v>
      </c>
      <c r="B2132" t="s">
        <v>4297</v>
      </c>
      <c r="C2132" t="s">
        <v>31</v>
      </c>
      <c r="D2132">
        <v>59</v>
      </c>
      <c r="E2132" t="s">
        <v>41</v>
      </c>
      <c r="F2132" t="s">
        <v>42</v>
      </c>
      <c r="G2132" t="s">
        <v>17</v>
      </c>
      <c r="H2132" s="1">
        <v>45064</v>
      </c>
    </row>
    <row r="2133" spans="1:8">
      <c r="A2133" t="s">
        <v>4298</v>
      </c>
      <c r="B2133" t="s">
        <v>4299</v>
      </c>
      <c r="C2133" t="s">
        <v>10</v>
      </c>
      <c r="D2133">
        <v>64</v>
      </c>
      <c r="E2133" t="s">
        <v>87</v>
      </c>
      <c r="F2133" t="s">
        <v>88</v>
      </c>
      <c r="G2133" t="s">
        <v>78</v>
      </c>
      <c r="H2133" s="1">
        <v>45640</v>
      </c>
    </row>
    <row r="2134" spans="1:8">
      <c r="A2134" t="s">
        <v>4300</v>
      </c>
      <c r="B2134" t="s">
        <v>4301</v>
      </c>
      <c r="C2134" t="s">
        <v>10</v>
      </c>
      <c r="D2134">
        <v>42</v>
      </c>
      <c r="E2134" t="s">
        <v>11</v>
      </c>
      <c r="F2134" t="s">
        <v>11</v>
      </c>
      <c r="G2134" t="s">
        <v>12</v>
      </c>
      <c r="H2134" s="1">
        <v>45797</v>
      </c>
    </row>
    <row r="2135" spans="1:8">
      <c r="A2135" t="s">
        <v>4302</v>
      </c>
      <c r="B2135" t="s">
        <v>4303</v>
      </c>
      <c r="C2135" t="s">
        <v>10</v>
      </c>
      <c r="D2135">
        <v>26</v>
      </c>
      <c r="E2135" t="s">
        <v>20</v>
      </c>
      <c r="F2135" t="s">
        <v>21</v>
      </c>
      <c r="G2135" t="s">
        <v>22</v>
      </c>
      <c r="H2135" s="1">
        <v>44589</v>
      </c>
    </row>
    <row r="2136" spans="1:8">
      <c r="A2136" t="s">
        <v>4304</v>
      </c>
      <c r="B2136" t="s">
        <v>4305</v>
      </c>
      <c r="C2136" t="s">
        <v>10</v>
      </c>
      <c r="D2136">
        <v>58</v>
      </c>
      <c r="E2136" t="s">
        <v>15</v>
      </c>
      <c r="F2136" t="s">
        <v>16</v>
      </c>
      <c r="G2136" t="s">
        <v>17</v>
      </c>
      <c r="H2136" s="1">
        <v>45110</v>
      </c>
    </row>
    <row r="2137" spans="1:8">
      <c r="A2137" t="s">
        <v>4306</v>
      </c>
      <c r="B2137" t="s">
        <v>4307</v>
      </c>
      <c r="C2137" t="s">
        <v>31</v>
      </c>
      <c r="D2137">
        <v>63</v>
      </c>
      <c r="E2137" t="s">
        <v>11</v>
      </c>
      <c r="F2137" t="s">
        <v>11</v>
      </c>
      <c r="G2137" t="s">
        <v>12</v>
      </c>
      <c r="H2137" s="1">
        <v>44779</v>
      </c>
    </row>
    <row r="2138" spans="1:8">
      <c r="A2138" t="s">
        <v>4308</v>
      </c>
      <c r="B2138" t="s">
        <v>4309</v>
      </c>
      <c r="C2138" t="s">
        <v>31</v>
      </c>
      <c r="D2138">
        <v>70</v>
      </c>
      <c r="E2138" t="s">
        <v>34</v>
      </c>
      <c r="F2138" t="s">
        <v>16</v>
      </c>
      <c r="G2138" t="s">
        <v>17</v>
      </c>
      <c r="H2138" s="1">
        <v>45545</v>
      </c>
    </row>
    <row r="2139" spans="1:8">
      <c r="A2139" t="s">
        <v>4310</v>
      </c>
      <c r="B2139" t="s">
        <v>4311</v>
      </c>
      <c r="C2139" t="s">
        <v>10</v>
      </c>
      <c r="D2139">
        <v>33</v>
      </c>
      <c r="E2139" t="s">
        <v>45</v>
      </c>
      <c r="F2139" t="s">
        <v>46</v>
      </c>
      <c r="G2139" t="s">
        <v>17</v>
      </c>
      <c r="H2139" s="1">
        <v>45542</v>
      </c>
    </row>
    <row r="2140" spans="1:8">
      <c r="A2140" t="s">
        <v>4312</v>
      </c>
      <c r="B2140" t="s">
        <v>4313</v>
      </c>
      <c r="C2140" t="s">
        <v>10</v>
      </c>
      <c r="D2140">
        <v>19</v>
      </c>
      <c r="E2140" t="s">
        <v>45</v>
      </c>
      <c r="F2140" t="s">
        <v>46</v>
      </c>
      <c r="G2140" t="s">
        <v>17</v>
      </c>
      <c r="H2140" s="1">
        <v>45847</v>
      </c>
    </row>
    <row r="2141" spans="1:8">
      <c r="A2141" t="s">
        <v>4314</v>
      </c>
      <c r="B2141" t="s">
        <v>4315</v>
      </c>
      <c r="C2141" t="s">
        <v>31</v>
      </c>
      <c r="D2141">
        <v>24</v>
      </c>
      <c r="E2141" t="s">
        <v>87</v>
      </c>
      <c r="F2141" t="s">
        <v>88</v>
      </c>
      <c r="G2141" t="s">
        <v>78</v>
      </c>
      <c r="H2141" s="1">
        <v>45677</v>
      </c>
    </row>
    <row r="2142" spans="1:8">
      <c r="A2142" t="s">
        <v>4316</v>
      </c>
      <c r="B2142" t="s">
        <v>4317</v>
      </c>
      <c r="C2142" t="s">
        <v>10</v>
      </c>
      <c r="D2142">
        <v>32</v>
      </c>
      <c r="E2142" t="s">
        <v>149</v>
      </c>
      <c r="F2142" t="s">
        <v>38</v>
      </c>
      <c r="G2142" t="s">
        <v>22</v>
      </c>
      <c r="H2142" s="1">
        <v>44852</v>
      </c>
    </row>
    <row r="2143" spans="1:8">
      <c r="A2143" t="s">
        <v>4318</v>
      </c>
      <c r="B2143" t="s">
        <v>4319</v>
      </c>
      <c r="C2143" t="s">
        <v>10</v>
      </c>
      <c r="D2143">
        <v>40</v>
      </c>
      <c r="E2143" t="s">
        <v>41</v>
      </c>
      <c r="F2143" t="s">
        <v>42</v>
      </c>
      <c r="G2143" t="s">
        <v>17</v>
      </c>
      <c r="H2143" s="1">
        <v>45351</v>
      </c>
    </row>
    <row r="2144" spans="1:8">
      <c r="A2144" t="s">
        <v>4320</v>
      </c>
      <c r="B2144" t="s">
        <v>4321</v>
      </c>
      <c r="C2144" t="s">
        <v>31</v>
      </c>
      <c r="D2144">
        <v>61</v>
      </c>
      <c r="E2144" t="s">
        <v>63</v>
      </c>
      <c r="F2144" t="s">
        <v>64</v>
      </c>
      <c r="G2144" t="s">
        <v>12</v>
      </c>
      <c r="H2144" s="1">
        <v>45963</v>
      </c>
    </row>
    <row r="2145" spans="1:8">
      <c r="A2145" t="s">
        <v>4322</v>
      </c>
      <c r="B2145" t="s">
        <v>4323</v>
      </c>
      <c r="C2145" t="s">
        <v>10</v>
      </c>
      <c r="D2145">
        <v>25</v>
      </c>
      <c r="E2145" t="s">
        <v>87</v>
      </c>
      <c r="F2145" t="s">
        <v>88</v>
      </c>
      <c r="G2145" t="s">
        <v>78</v>
      </c>
      <c r="H2145" s="1">
        <v>45569</v>
      </c>
    </row>
    <row r="2146" spans="1:8">
      <c r="A2146" t="s">
        <v>4324</v>
      </c>
      <c r="B2146" t="s">
        <v>48</v>
      </c>
      <c r="C2146" t="s">
        <v>10</v>
      </c>
      <c r="D2146">
        <v>57</v>
      </c>
      <c r="E2146" t="s">
        <v>45</v>
      </c>
      <c r="F2146" t="s">
        <v>46</v>
      </c>
      <c r="G2146" t="s">
        <v>17</v>
      </c>
      <c r="H2146" s="1">
        <v>45293</v>
      </c>
    </row>
    <row r="2147" spans="1:8">
      <c r="A2147" t="s">
        <v>4325</v>
      </c>
      <c r="B2147" t="s">
        <v>4326</v>
      </c>
      <c r="C2147" t="s">
        <v>10</v>
      </c>
      <c r="D2147">
        <v>56</v>
      </c>
      <c r="E2147" t="s">
        <v>37</v>
      </c>
      <c r="F2147" t="s">
        <v>38</v>
      </c>
      <c r="G2147" t="s">
        <v>22</v>
      </c>
      <c r="H2147" s="1">
        <v>44735</v>
      </c>
    </row>
    <row r="2148" spans="1:8">
      <c r="A2148" t="s">
        <v>4327</v>
      </c>
      <c r="B2148" t="s">
        <v>4328</v>
      </c>
      <c r="C2148" t="s">
        <v>31</v>
      </c>
      <c r="D2148">
        <v>56</v>
      </c>
      <c r="E2148" t="s">
        <v>41</v>
      </c>
      <c r="F2148" t="s">
        <v>42</v>
      </c>
      <c r="G2148" t="s">
        <v>17</v>
      </c>
      <c r="H2148" s="1">
        <v>45648</v>
      </c>
    </row>
    <row r="2149" spans="1:8">
      <c r="A2149" t="s">
        <v>4329</v>
      </c>
      <c r="B2149" t="s">
        <v>4330</v>
      </c>
      <c r="C2149" t="s">
        <v>31</v>
      </c>
      <c r="D2149">
        <v>57</v>
      </c>
      <c r="E2149" t="s">
        <v>41</v>
      </c>
      <c r="F2149" t="s">
        <v>42</v>
      </c>
      <c r="G2149" t="s">
        <v>17</v>
      </c>
      <c r="H2149" s="1">
        <v>44869</v>
      </c>
    </row>
    <row r="2150" spans="1:8">
      <c r="A2150" t="s">
        <v>4331</v>
      </c>
      <c r="B2150" t="s">
        <v>4332</v>
      </c>
      <c r="C2150" t="s">
        <v>31</v>
      </c>
      <c r="D2150">
        <v>49</v>
      </c>
      <c r="E2150" t="s">
        <v>134</v>
      </c>
      <c r="F2150" t="s">
        <v>28</v>
      </c>
      <c r="G2150" t="s">
        <v>12</v>
      </c>
      <c r="H2150" s="1">
        <v>44774</v>
      </c>
    </row>
    <row r="2151" spans="1:8">
      <c r="A2151" t="s">
        <v>4333</v>
      </c>
      <c r="B2151" t="s">
        <v>4334</v>
      </c>
      <c r="C2151" t="s">
        <v>10</v>
      </c>
      <c r="D2151">
        <v>68</v>
      </c>
      <c r="E2151" t="s">
        <v>134</v>
      </c>
      <c r="F2151" t="s">
        <v>28</v>
      </c>
      <c r="G2151" t="s">
        <v>12</v>
      </c>
      <c r="H2151" s="1">
        <v>46018</v>
      </c>
    </row>
    <row r="2152" spans="1:8">
      <c r="A2152" t="s">
        <v>4335</v>
      </c>
      <c r="B2152" t="s">
        <v>4336</v>
      </c>
      <c r="C2152" t="s">
        <v>10</v>
      </c>
      <c r="D2152">
        <v>38</v>
      </c>
      <c r="E2152" t="s">
        <v>34</v>
      </c>
      <c r="F2152" t="s">
        <v>16</v>
      </c>
      <c r="G2152" t="s">
        <v>17</v>
      </c>
      <c r="H2152" s="1">
        <v>45905</v>
      </c>
    </row>
    <row r="2153" spans="1:8">
      <c r="A2153" t="s">
        <v>4337</v>
      </c>
      <c r="B2153" t="s">
        <v>4338</v>
      </c>
      <c r="C2153" t="s">
        <v>10</v>
      </c>
      <c r="D2153">
        <v>25</v>
      </c>
      <c r="E2153" t="s">
        <v>41</v>
      </c>
      <c r="F2153" t="s">
        <v>42</v>
      </c>
      <c r="G2153" t="s">
        <v>17</v>
      </c>
      <c r="H2153" s="1">
        <v>45541</v>
      </c>
    </row>
    <row r="2154" spans="1:8">
      <c r="A2154" t="s">
        <v>4339</v>
      </c>
      <c r="B2154" t="s">
        <v>4340</v>
      </c>
      <c r="C2154" t="s">
        <v>10</v>
      </c>
      <c r="D2154">
        <v>38</v>
      </c>
      <c r="E2154" t="s">
        <v>37</v>
      </c>
      <c r="F2154" t="s">
        <v>38</v>
      </c>
      <c r="G2154" t="s">
        <v>22</v>
      </c>
      <c r="H2154" s="1">
        <v>44858</v>
      </c>
    </row>
    <row r="2155" spans="1:8">
      <c r="A2155" t="s">
        <v>4341</v>
      </c>
      <c r="B2155" t="s">
        <v>4342</v>
      </c>
      <c r="C2155" t="s">
        <v>31</v>
      </c>
      <c r="D2155">
        <v>38</v>
      </c>
      <c r="E2155" t="s">
        <v>76</v>
      </c>
      <c r="F2155" t="s">
        <v>77</v>
      </c>
      <c r="G2155" t="s">
        <v>78</v>
      </c>
      <c r="H2155" s="1">
        <v>45350</v>
      </c>
    </row>
    <row r="2156" spans="1:8">
      <c r="A2156" t="s">
        <v>4343</v>
      </c>
      <c r="B2156" t="s">
        <v>4344</v>
      </c>
      <c r="C2156" t="s">
        <v>31</v>
      </c>
      <c r="D2156">
        <v>56</v>
      </c>
      <c r="E2156" t="s">
        <v>149</v>
      </c>
      <c r="F2156" t="s">
        <v>38</v>
      </c>
      <c r="G2156" t="s">
        <v>22</v>
      </c>
      <c r="H2156" s="1">
        <v>45982</v>
      </c>
    </row>
    <row r="2157" spans="1:8">
      <c r="A2157" t="s">
        <v>4345</v>
      </c>
      <c r="B2157" t="s">
        <v>4346</v>
      </c>
      <c r="C2157" t="s">
        <v>10</v>
      </c>
      <c r="D2157">
        <v>42</v>
      </c>
      <c r="E2157" t="s">
        <v>134</v>
      </c>
      <c r="F2157" t="s">
        <v>28</v>
      </c>
      <c r="G2157" t="s">
        <v>12</v>
      </c>
      <c r="H2157" s="1">
        <v>44845</v>
      </c>
    </row>
    <row r="2158" spans="1:8">
      <c r="A2158" t="s">
        <v>4347</v>
      </c>
      <c r="B2158" t="s">
        <v>4348</v>
      </c>
      <c r="C2158" t="s">
        <v>31</v>
      </c>
      <c r="D2158">
        <v>52</v>
      </c>
      <c r="E2158" t="s">
        <v>149</v>
      </c>
      <c r="F2158" t="s">
        <v>38</v>
      </c>
      <c r="G2158" t="s">
        <v>22</v>
      </c>
      <c r="H2158" s="1">
        <v>45665</v>
      </c>
    </row>
    <row r="2159" spans="1:8">
      <c r="A2159" t="s">
        <v>4349</v>
      </c>
      <c r="B2159" t="s">
        <v>4350</v>
      </c>
      <c r="C2159" t="s">
        <v>10</v>
      </c>
      <c r="D2159">
        <v>55</v>
      </c>
      <c r="E2159" t="s">
        <v>101</v>
      </c>
      <c r="F2159" t="s">
        <v>21</v>
      </c>
      <c r="G2159" t="s">
        <v>22</v>
      </c>
      <c r="H2159" s="1">
        <v>45349</v>
      </c>
    </row>
    <row r="2160" spans="1:8">
      <c r="A2160" t="s">
        <v>4351</v>
      </c>
      <c r="B2160" t="s">
        <v>4352</v>
      </c>
      <c r="C2160" t="s">
        <v>10</v>
      </c>
      <c r="D2160">
        <v>62</v>
      </c>
      <c r="E2160" t="s">
        <v>27</v>
      </c>
      <c r="F2160" t="s">
        <v>28</v>
      </c>
      <c r="G2160" t="s">
        <v>12</v>
      </c>
      <c r="H2160" s="1">
        <v>45745</v>
      </c>
    </row>
    <row r="2161" spans="1:8">
      <c r="A2161" t="s">
        <v>4353</v>
      </c>
      <c r="B2161" t="s">
        <v>4354</v>
      </c>
      <c r="C2161" t="s">
        <v>10</v>
      </c>
      <c r="D2161">
        <v>19</v>
      </c>
      <c r="E2161" t="s">
        <v>45</v>
      </c>
      <c r="F2161" t="s">
        <v>46</v>
      </c>
      <c r="G2161" t="s">
        <v>17</v>
      </c>
      <c r="H2161" s="1">
        <v>44567</v>
      </c>
    </row>
    <row r="2162" spans="1:8">
      <c r="A2162" t="s">
        <v>4355</v>
      </c>
      <c r="B2162" t="s">
        <v>4356</v>
      </c>
      <c r="C2162" t="s">
        <v>10</v>
      </c>
      <c r="D2162">
        <v>21</v>
      </c>
      <c r="E2162" t="s">
        <v>149</v>
      </c>
      <c r="F2162" t="s">
        <v>38</v>
      </c>
      <c r="G2162" t="s">
        <v>22</v>
      </c>
      <c r="H2162" s="1">
        <v>44835</v>
      </c>
    </row>
    <row r="2163" spans="1:8">
      <c r="A2163" t="s">
        <v>4357</v>
      </c>
      <c r="B2163" t="s">
        <v>4358</v>
      </c>
      <c r="C2163" t="s">
        <v>31</v>
      </c>
      <c r="D2163">
        <v>47</v>
      </c>
      <c r="E2163" t="s">
        <v>91</v>
      </c>
      <c r="F2163" t="s">
        <v>92</v>
      </c>
      <c r="G2163" t="s">
        <v>78</v>
      </c>
      <c r="H2163" s="1">
        <v>44847</v>
      </c>
    </row>
    <row r="2164" spans="1:8">
      <c r="A2164" t="s">
        <v>4359</v>
      </c>
      <c r="B2164" t="s">
        <v>4360</v>
      </c>
      <c r="C2164" t="s">
        <v>10</v>
      </c>
      <c r="D2164">
        <v>31</v>
      </c>
      <c r="E2164" t="s">
        <v>218</v>
      </c>
      <c r="F2164" t="s">
        <v>219</v>
      </c>
      <c r="G2164" t="s">
        <v>17</v>
      </c>
      <c r="H2164" s="1">
        <v>45424</v>
      </c>
    </row>
    <row r="2165" spans="1:8">
      <c r="A2165" t="s">
        <v>4361</v>
      </c>
      <c r="B2165" t="s">
        <v>4362</v>
      </c>
      <c r="C2165" t="s">
        <v>10</v>
      </c>
      <c r="D2165">
        <v>62</v>
      </c>
      <c r="E2165" t="s">
        <v>87</v>
      </c>
      <c r="F2165" t="s">
        <v>88</v>
      </c>
      <c r="G2165" t="s">
        <v>78</v>
      </c>
      <c r="H2165" s="1">
        <v>44844</v>
      </c>
    </row>
    <row r="2166" spans="1:8">
      <c r="A2166" t="s">
        <v>4363</v>
      </c>
      <c r="B2166" t="s">
        <v>4364</v>
      </c>
      <c r="C2166" t="s">
        <v>31</v>
      </c>
      <c r="D2166">
        <v>41</v>
      </c>
      <c r="E2166" t="s">
        <v>69</v>
      </c>
      <c r="F2166" t="s">
        <v>69</v>
      </c>
      <c r="G2166" t="s">
        <v>12</v>
      </c>
      <c r="H2166" s="1">
        <v>44615</v>
      </c>
    </row>
    <row r="2167" spans="1:8">
      <c r="A2167" t="s">
        <v>4365</v>
      </c>
      <c r="B2167" t="s">
        <v>4366</v>
      </c>
      <c r="C2167" t="s">
        <v>10</v>
      </c>
      <c r="D2167">
        <v>48</v>
      </c>
      <c r="E2167" t="s">
        <v>15</v>
      </c>
      <c r="F2167" t="s">
        <v>16</v>
      </c>
      <c r="G2167" t="s">
        <v>17</v>
      </c>
      <c r="H2167" s="1">
        <v>45919</v>
      </c>
    </row>
    <row r="2168" spans="1:8">
      <c r="A2168" t="s">
        <v>4367</v>
      </c>
      <c r="B2168" t="s">
        <v>4368</v>
      </c>
      <c r="C2168" t="s">
        <v>10</v>
      </c>
      <c r="D2168">
        <v>41</v>
      </c>
      <c r="E2168" t="s">
        <v>76</v>
      </c>
      <c r="F2168" t="s">
        <v>77</v>
      </c>
      <c r="G2168" t="s">
        <v>78</v>
      </c>
      <c r="H2168" s="1">
        <v>44623</v>
      </c>
    </row>
    <row r="2169" spans="1:8">
      <c r="A2169" t="s">
        <v>4369</v>
      </c>
      <c r="B2169" t="s">
        <v>4370</v>
      </c>
      <c r="C2169" t="s">
        <v>10</v>
      </c>
      <c r="D2169">
        <v>54</v>
      </c>
      <c r="E2169" t="s">
        <v>34</v>
      </c>
      <c r="F2169" t="s">
        <v>16</v>
      </c>
      <c r="G2169" t="s">
        <v>17</v>
      </c>
      <c r="H2169" s="1">
        <v>44719</v>
      </c>
    </row>
    <row r="2170" spans="1:8">
      <c r="A2170" t="s">
        <v>4371</v>
      </c>
      <c r="B2170" t="s">
        <v>4372</v>
      </c>
      <c r="C2170" t="s">
        <v>10</v>
      </c>
      <c r="D2170">
        <v>48</v>
      </c>
      <c r="E2170" t="s">
        <v>112</v>
      </c>
      <c r="F2170" t="s">
        <v>113</v>
      </c>
      <c r="G2170" t="s">
        <v>78</v>
      </c>
      <c r="H2170" s="1">
        <v>44868</v>
      </c>
    </row>
    <row r="2171" spans="1:8">
      <c r="A2171" t="s">
        <v>4373</v>
      </c>
      <c r="B2171" t="s">
        <v>4374</v>
      </c>
      <c r="C2171" t="s">
        <v>31</v>
      </c>
      <c r="D2171">
        <v>48</v>
      </c>
      <c r="E2171" t="s">
        <v>27</v>
      </c>
      <c r="F2171" t="s">
        <v>28</v>
      </c>
      <c r="G2171" t="s">
        <v>12</v>
      </c>
      <c r="H2171" s="1">
        <v>45992</v>
      </c>
    </row>
    <row r="2172" spans="1:8">
      <c r="A2172" t="s">
        <v>4375</v>
      </c>
      <c r="B2172" t="s">
        <v>4376</v>
      </c>
      <c r="C2172" t="s">
        <v>10</v>
      </c>
      <c r="D2172">
        <v>36</v>
      </c>
      <c r="E2172" t="s">
        <v>37</v>
      </c>
      <c r="F2172" t="s">
        <v>38</v>
      </c>
      <c r="G2172" t="s">
        <v>22</v>
      </c>
      <c r="H2172" s="1">
        <v>45471</v>
      </c>
    </row>
    <row r="2173" spans="1:8">
      <c r="A2173" t="s">
        <v>4377</v>
      </c>
      <c r="B2173" t="s">
        <v>4378</v>
      </c>
      <c r="C2173" t="s">
        <v>10</v>
      </c>
      <c r="D2173">
        <v>56</v>
      </c>
      <c r="E2173" t="s">
        <v>15</v>
      </c>
      <c r="F2173" t="s">
        <v>16</v>
      </c>
      <c r="G2173" t="s">
        <v>17</v>
      </c>
      <c r="H2173" s="1">
        <v>45877</v>
      </c>
    </row>
    <row r="2174" spans="1:8">
      <c r="A2174" t="s">
        <v>4379</v>
      </c>
      <c r="B2174" t="s">
        <v>4380</v>
      </c>
      <c r="C2174" t="s">
        <v>10</v>
      </c>
      <c r="D2174">
        <v>43</v>
      </c>
      <c r="E2174" t="s">
        <v>27</v>
      </c>
      <c r="F2174" t="s">
        <v>28</v>
      </c>
      <c r="G2174" t="s">
        <v>12</v>
      </c>
      <c r="H2174" s="1">
        <v>44890</v>
      </c>
    </row>
    <row r="2175" spans="1:8">
      <c r="A2175" t="s">
        <v>4381</v>
      </c>
      <c r="B2175" t="s">
        <v>4382</v>
      </c>
      <c r="C2175" t="s">
        <v>31</v>
      </c>
      <c r="D2175">
        <v>54</v>
      </c>
      <c r="E2175" t="s">
        <v>112</v>
      </c>
      <c r="F2175" t="s">
        <v>113</v>
      </c>
      <c r="G2175" t="s">
        <v>78</v>
      </c>
      <c r="H2175" s="1">
        <v>45696</v>
      </c>
    </row>
    <row r="2176" spans="1:8">
      <c r="A2176" t="s">
        <v>4383</v>
      </c>
      <c r="B2176" t="s">
        <v>4384</v>
      </c>
      <c r="C2176" t="s">
        <v>10</v>
      </c>
      <c r="D2176">
        <v>35</v>
      </c>
      <c r="E2176" t="s">
        <v>101</v>
      </c>
      <c r="F2176" t="s">
        <v>21</v>
      </c>
      <c r="G2176" t="s">
        <v>22</v>
      </c>
      <c r="H2176" s="1">
        <v>45429</v>
      </c>
    </row>
    <row r="2177" spans="1:8">
      <c r="A2177" t="s">
        <v>4385</v>
      </c>
      <c r="B2177" t="s">
        <v>4386</v>
      </c>
      <c r="C2177" t="s">
        <v>10</v>
      </c>
      <c r="D2177">
        <v>65</v>
      </c>
      <c r="E2177" t="s">
        <v>128</v>
      </c>
      <c r="F2177" t="s">
        <v>129</v>
      </c>
      <c r="G2177" t="s">
        <v>78</v>
      </c>
      <c r="H2177" s="1">
        <v>45335</v>
      </c>
    </row>
    <row r="2178" spans="1:8">
      <c r="A2178" t="s">
        <v>4387</v>
      </c>
      <c r="B2178" t="s">
        <v>4388</v>
      </c>
      <c r="C2178" t="s">
        <v>10</v>
      </c>
      <c r="D2178">
        <v>43</v>
      </c>
      <c r="E2178" t="s">
        <v>218</v>
      </c>
      <c r="F2178" t="s">
        <v>219</v>
      </c>
      <c r="G2178" t="s">
        <v>17</v>
      </c>
      <c r="H2178" s="1">
        <v>44676</v>
      </c>
    </row>
    <row r="2179" spans="1:8">
      <c r="A2179" t="s">
        <v>4389</v>
      </c>
      <c r="B2179" t="s">
        <v>4390</v>
      </c>
      <c r="C2179" t="s">
        <v>10</v>
      </c>
      <c r="D2179">
        <v>70</v>
      </c>
      <c r="E2179" t="s">
        <v>218</v>
      </c>
      <c r="F2179" t="s">
        <v>219</v>
      </c>
      <c r="G2179" t="s">
        <v>17</v>
      </c>
      <c r="H2179" s="1">
        <v>45801</v>
      </c>
    </row>
    <row r="2180" spans="1:8">
      <c r="A2180" t="s">
        <v>4391</v>
      </c>
      <c r="B2180" t="s">
        <v>4392</v>
      </c>
      <c r="C2180" t="s">
        <v>31</v>
      </c>
      <c r="D2180">
        <v>70</v>
      </c>
      <c r="E2180" t="s">
        <v>69</v>
      </c>
      <c r="F2180" t="s">
        <v>69</v>
      </c>
      <c r="G2180" t="s">
        <v>12</v>
      </c>
      <c r="H2180" s="1">
        <v>45203</v>
      </c>
    </row>
    <row r="2181" spans="1:8">
      <c r="A2181" t="s">
        <v>4393</v>
      </c>
      <c r="B2181" t="s">
        <v>4394</v>
      </c>
      <c r="C2181" t="s">
        <v>31</v>
      </c>
      <c r="D2181">
        <v>30</v>
      </c>
      <c r="E2181" t="s">
        <v>20</v>
      </c>
      <c r="F2181" t="s">
        <v>21</v>
      </c>
      <c r="G2181" t="s">
        <v>22</v>
      </c>
      <c r="H2181" s="1">
        <v>45322</v>
      </c>
    </row>
    <row r="2182" spans="1:8">
      <c r="A2182" t="s">
        <v>4395</v>
      </c>
      <c r="B2182" t="s">
        <v>4396</v>
      </c>
      <c r="C2182" t="s">
        <v>31</v>
      </c>
      <c r="D2182">
        <v>56</v>
      </c>
      <c r="E2182" t="s">
        <v>15</v>
      </c>
      <c r="F2182" t="s">
        <v>16</v>
      </c>
      <c r="G2182" t="s">
        <v>17</v>
      </c>
      <c r="H2182" s="1">
        <v>44721</v>
      </c>
    </row>
    <row r="2183" spans="1:8">
      <c r="A2183" t="s">
        <v>4397</v>
      </c>
      <c r="B2183" t="s">
        <v>4398</v>
      </c>
      <c r="C2183" t="s">
        <v>10</v>
      </c>
      <c r="D2183">
        <v>36</v>
      </c>
      <c r="E2183" t="s">
        <v>134</v>
      </c>
      <c r="F2183" t="s">
        <v>28</v>
      </c>
      <c r="G2183" t="s">
        <v>12</v>
      </c>
      <c r="H2183" s="1">
        <v>44619</v>
      </c>
    </row>
    <row r="2184" spans="1:8">
      <c r="A2184" t="s">
        <v>4399</v>
      </c>
      <c r="B2184" t="s">
        <v>4400</v>
      </c>
      <c r="C2184" t="s">
        <v>10</v>
      </c>
      <c r="D2184">
        <v>56</v>
      </c>
      <c r="E2184" t="s">
        <v>15</v>
      </c>
      <c r="F2184" t="s">
        <v>16</v>
      </c>
      <c r="G2184" t="s">
        <v>17</v>
      </c>
      <c r="H2184" s="1">
        <v>44695</v>
      </c>
    </row>
    <row r="2185" spans="1:8">
      <c r="A2185" t="s">
        <v>4401</v>
      </c>
      <c r="B2185" t="s">
        <v>4402</v>
      </c>
      <c r="C2185" t="s">
        <v>10</v>
      </c>
      <c r="D2185">
        <v>58</v>
      </c>
      <c r="E2185" t="s">
        <v>45</v>
      </c>
      <c r="F2185" t="s">
        <v>46</v>
      </c>
      <c r="G2185" t="s">
        <v>17</v>
      </c>
      <c r="H2185" s="1">
        <v>44946</v>
      </c>
    </row>
    <row r="2186" spans="1:8">
      <c r="A2186" t="s">
        <v>4403</v>
      </c>
      <c r="B2186" t="s">
        <v>4404</v>
      </c>
      <c r="C2186" t="s">
        <v>10</v>
      </c>
      <c r="D2186">
        <v>54</v>
      </c>
      <c r="E2186" t="s">
        <v>76</v>
      </c>
      <c r="F2186" t="s">
        <v>77</v>
      </c>
      <c r="G2186" t="s">
        <v>78</v>
      </c>
      <c r="H2186" s="1">
        <v>45113</v>
      </c>
    </row>
    <row r="2187" spans="1:8">
      <c r="A2187" t="s">
        <v>4405</v>
      </c>
      <c r="B2187" t="s">
        <v>4406</v>
      </c>
      <c r="C2187" t="s">
        <v>10</v>
      </c>
      <c r="D2187">
        <v>21</v>
      </c>
      <c r="E2187" t="s">
        <v>60</v>
      </c>
      <c r="F2187" t="s">
        <v>21</v>
      </c>
      <c r="G2187" t="s">
        <v>22</v>
      </c>
      <c r="H2187" s="1">
        <v>45552</v>
      </c>
    </row>
    <row r="2188" spans="1:8">
      <c r="A2188" t="s">
        <v>4407</v>
      </c>
      <c r="B2188" t="s">
        <v>4408</v>
      </c>
      <c r="C2188" t="s">
        <v>31</v>
      </c>
      <c r="D2188">
        <v>66</v>
      </c>
      <c r="E2188" t="s">
        <v>37</v>
      </c>
      <c r="F2188" t="s">
        <v>38</v>
      </c>
      <c r="G2188" t="s">
        <v>22</v>
      </c>
      <c r="H2188" s="1">
        <v>44579</v>
      </c>
    </row>
    <row r="2189" spans="1:8">
      <c r="A2189" t="s">
        <v>4409</v>
      </c>
      <c r="B2189" t="s">
        <v>4410</v>
      </c>
      <c r="C2189" t="s">
        <v>10</v>
      </c>
      <c r="D2189">
        <v>38</v>
      </c>
      <c r="E2189" t="s">
        <v>41</v>
      </c>
      <c r="F2189" t="s">
        <v>42</v>
      </c>
      <c r="G2189" t="s">
        <v>17</v>
      </c>
      <c r="H2189" s="1">
        <v>45586</v>
      </c>
    </row>
    <row r="2190" spans="1:8">
      <c r="A2190" t="s">
        <v>4411</v>
      </c>
      <c r="B2190" t="s">
        <v>4412</v>
      </c>
      <c r="C2190" t="s">
        <v>10</v>
      </c>
      <c r="D2190">
        <v>39</v>
      </c>
      <c r="E2190" t="s">
        <v>134</v>
      </c>
      <c r="F2190" t="s">
        <v>28</v>
      </c>
      <c r="G2190" t="s">
        <v>12</v>
      </c>
      <c r="H2190" s="1">
        <v>44827</v>
      </c>
    </row>
    <row r="2191" spans="1:8">
      <c r="A2191" t="s">
        <v>4413</v>
      </c>
      <c r="B2191" t="s">
        <v>4414</v>
      </c>
      <c r="C2191" t="s">
        <v>10</v>
      </c>
      <c r="D2191">
        <v>19</v>
      </c>
      <c r="E2191" t="s">
        <v>60</v>
      </c>
      <c r="F2191" t="s">
        <v>21</v>
      </c>
      <c r="G2191" t="s">
        <v>22</v>
      </c>
      <c r="H2191" s="1">
        <v>44768</v>
      </c>
    </row>
    <row r="2192" spans="1:8">
      <c r="A2192" t="s">
        <v>4415</v>
      </c>
      <c r="B2192" t="s">
        <v>4416</v>
      </c>
      <c r="C2192" t="s">
        <v>10</v>
      </c>
      <c r="D2192">
        <v>36</v>
      </c>
      <c r="E2192" t="s">
        <v>69</v>
      </c>
      <c r="F2192" t="s">
        <v>69</v>
      </c>
      <c r="G2192" t="s">
        <v>12</v>
      </c>
      <c r="H2192" s="1">
        <v>45538</v>
      </c>
    </row>
    <row r="2193" spans="1:8">
      <c r="A2193" t="s">
        <v>4417</v>
      </c>
      <c r="B2193" t="s">
        <v>4418</v>
      </c>
      <c r="C2193" t="s">
        <v>10</v>
      </c>
      <c r="D2193">
        <v>63</v>
      </c>
      <c r="E2193" t="s">
        <v>41</v>
      </c>
      <c r="F2193" t="s">
        <v>42</v>
      </c>
      <c r="G2193" t="s">
        <v>17</v>
      </c>
      <c r="H2193" s="1">
        <v>44723</v>
      </c>
    </row>
    <row r="2194" spans="1:8">
      <c r="A2194" t="s">
        <v>4419</v>
      </c>
      <c r="B2194" t="s">
        <v>4420</v>
      </c>
      <c r="C2194" t="s">
        <v>10</v>
      </c>
      <c r="D2194">
        <v>67</v>
      </c>
      <c r="E2194" t="s">
        <v>34</v>
      </c>
      <c r="F2194" t="s">
        <v>16</v>
      </c>
      <c r="G2194" t="s">
        <v>17</v>
      </c>
      <c r="H2194" s="1">
        <v>45957</v>
      </c>
    </row>
    <row r="2195" spans="1:8">
      <c r="A2195" t="s">
        <v>4421</v>
      </c>
      <c r="B2195" t="s">
        <v>4422</v>
      </c>
      <c r="C2195" t="s">
        <v>31</v>
      </c>
      <c r="D2195">
        <v>46</v>
      </c>
      <c r="E2195" t="s">
        <v>27</v>
      </c>
      <c r="F2195" t="s">
        <v>28</v>
      </c>
      <c r="G2195" t="s">
        <v>12</v>
      </c>
      <c r="H2195" s="1">
        <v>45619</v>
      </c>
    </row>
    <row r="2196" spans="1:8">
      <c r="A2196" t="s">
        <v>4423</v>
      </c>
      <c r="B2196" t="s">
        <v>4424</v>
      </c>
      <c r="C2196" t="s">
        <v>31</v>
      </c>
      <c r="D2196">
        <v>57</v>
      </c>
      <c r="E2196" t="s">
        <v>134</v>
      </c>
      <c r="F2196" t="s">
        <v>28</v>
      </c>
      <c r="G2196" t="s">
        <v>12</v>
      </c>
      <c r="H2196" s="1">
        <v>45157</v>
      </c>
    </row>
    <row r="2197" spans="1:8">
      <c r="A2197" t="s">
        <v>4425</v>
      </c>
      <c r="B2197" t="s">
        <v>4426</v>
      </c>
      <c r="C2197" t="s">
        <v>31</v>
      </c>
      <c r="D2197">
        <v>33</v>
      </c>
      <c r="E2197" t="s">
        <v>112</v>
      </c>
      <c r="F2197" t="s">
        <v>113</v>
      </c>
      <c r="G2197" t="s">
        <v>78</v>
      </c>
      <c r="H2197" s="1">
        <v>44643</v>
      </c>
    </row>
    <row r="2198" spans="1:8">
      <c r="A2198" t="s">
        <v>4427</v>
      </c>
      <c r="B2198" t="s">
        <v>4428</v>
      </c>
      <c r="C2198" t="s">
        <v>10</v>
      </c>
      <c r="D2198">
        <v>27</v>
      </c>
      <c r="E2198" t="s">
        <v>218</v>
      </c>
      <c r="F2198" t="s">
        <v>219</v>
      </c>
      <c r="G2198" t="s">
        <v>17</v>
      </c>
      <c r="H2198" s="1">
        <v>45804</v>
      </c>
    </row>
    <row r="2199" spans="1:8">
      <c r="A2199" t="s">
        <v>4429</v>
      </c>
      <c r="B2199" t="s">
        <v>4430</v>
      </c>
      <c r="C2199" t="s">
        <v>10</v>
      </c>
      <c r="D2199">
        <v>27</v>
      </c>
      <c r="E2199" t="s">
        <v>149</v>
      </c>
      <c r="F2199" t="s">
        <v>38</v>
      </c>
      <c r="G2199" t="s">
        <v>22</v>
      </c>
      <c r="H2199" s="1">
        <v>44761</v>
      </c>
    </row>
    <row r="2200" spans="1:8">
      <c r="A2200" t="s">
        <v>4431</v>
      </c>
      <c r="B2200" t="s">
        <v>4432</v>
      </c>
      <c r="C2200" t="s">
        <v>10</v>
      </c>
      <c r="D2200">
        <v>49</v>
      </c>
      <c r="E2200" t="s">
        <v>134</v>
      </c>
      <c r="F2200" t="s">
        <v>28</v>
      </c>
      <c r="G2200" t="s">
        <v>12</v>
      </c>
      <c r="H2200" s="1">
        <v>45682</v>
      </c>
    </row>
    <row r="2201" spans="1:8">
      <c r="A2201" t="s">
        <v>4433</v>
      </c>
      <c r="B2201" t="s">
        <v>4434</v>
      </c>
      <c r="C2201" t="s">
        <v>31</v>
      </c>
      <c r="D2201">
        <v>28</v>
      </c>
      <c r="E2201" t="s">
        <v>45</v>
      </c>
      <c r="F2201" t="s">
        <v>46</v>
      </c>
      <c r="G2201" t="s">
        <v>17</v>
      </c>
      <c r="H2201" s="1">
        <v>44909</v>
      </c>
    </row>
    <row r="2202" spans="1:8">
      <c r="A2202" t="s">
        <v>4435</v>
      </c>
      <c r="B2202" t="s">
        <v>4436</v>
      </c>
      <c r="C2202" t="s">
        <v>31</v>
      </c>
      <c r="D2202">
        <v>23</v>
      </c>
      <c r="E2202" t="s">
        <v>218</v>
      </c>
      <c r="F2202" t="s">
        <v>219</v>
      </c>
      <c r="G2202" t="s">
        <v>17</v>
      </c>
      <c r="H2202" s="1">
        <v>45306</v>
      </c>
    </row>
    <row r="2203" spans="1:8">
      <c r="A2203" t="s">
        <v>4437</v>
      </c>
      <c r="B2203" t="s">
        <v>4438</v>
      </c>
      <c r="C2203" t="s">
        <v>31</v>
      </c>
      <c r="D2203">
        <v>34</v>
      </c>
      <c r="E2203" t="s">
        <v>41</v>
      </c>
      <c r="F2203" t="s">
        <v>42</v>
      </c>
      <c r="G2203" t="s">
        <v>17</v>
      </c>
      <c r="H2203" s="1">
        <v>45090</v>
      </c>
    </row>
    <row r="2204" spans="1:8">
      <c r="A2204" t="s">
        <v>4439</v>
      </c>
      <c r="B2204" t="s">
        <v>4440</v>
      </c>
      <c r="C2204" t="s">
        <v>10</v>
      </c>
      <c r="D2204">
        <v>25</v>
      </c>
      <c r="E2204" t="s">
        <v>69</v>
      </c>
      <c r="F2204" t="s">
        <v>69</v>
      </c>
      <c r="G2204" t="s">
        <v>12</v>
      </c>
      <c r="H2204" s="1">
        <v>45893</v>
      </c>
    </row>
    <row r="2205" spans="1:8">
      <c r="A2205" t="s">
        <v>4441</v>
      </c>
      <c r="B2205" t="s">
        <v>4442</v>
      </c>
      <c r="C2205" t="s">
        <v>31</v>
      </c>
      <c r="D2205">
        <v>36</v>
      </c>
      <c r="E2205" t="s">
        <v>112</v>
      </c>
      <c r="F2205" t="s">
        <v>113</v>
      </c>
      <c r="G2205" t="s">
        <v>78</v>
      </c>
      <c r="H2205" s="1">
        <v>44643</v>
      </c>
    </row>
    <row r="2206" spans="1:8">
      <c r="A2206" t="s">
        <v>4443</v>
      </c>
      <c r="B2206" t="s">
        <v>4444</v>
      </c>
      <c r="C2206" t="s">
        <v>10</v>
      </c>
      <c r="D2206">
        <v>46</v>
      </c>
      <c r="E2206" t="s">
        <v>60</v>
      </c>
      <c r="F2206" t="s">
        <v>21</v>
      </c>
      <c r="G2206" t="s">
        <v>22</v>
      </c>
      <c r="H2206" s="1">
        <v>45955</v>
      </c>
    </row>
    <row r="2207" spans="1:8">
      <c r="A2207" t="s">
        <v>4445</v>
      </c>
      <c r="B2207" t="s">
        <v>4446</v>
      </c>
      <c r="C2207" t="s">
        <v>31</v>
      </c>
      <c r="D2207">
        <v>23</v>
      </c>
      <c r="E2207" t="s">
        <v>60</v>
      </c>
      <c r="F2207" t="s">
        <v>21</v>
      </c>
      <c r="G2207" t="s">
        <v>22</v>
      </c>
      <c r="H2207" s="1">
        <v>45204</v>
      </c>
    </row>
    <row r="2208" spans="1:8">
      <c r="A2208" t="s">
        <v>4447</v>
      </c>
      <c r="B2208" t="s">
        <v>4448</v>
      </c>
      <c r="C2208" t="s">
        <v>31</v>
      </c>
      <c r="D2208">
        <v>61</v>
      </c>
      <c r="E2208" t="s">
        <v>27</v>
      </c>
      <c r="F2208" t="s">
        <v>28</v>
      </c>
      <c r="G2208" t="s">
        <v>12</v>
      </c>
      <c r="H2208" s="1">
        <v>45483</v>
      </c>
    </row>
    <row r="2209" spans="1:8">
      <c r="A2209" t="s">
        <v>4449</v>
      </c>
      <c r="B2209" t="s">
        <v>4450</v>
      </c>
      <c r="C2209" t="s">
        <v>10</v>
      </c>
      <c r="D2209">
        <v>27</v>
      </c>
      <c r="E2209" t="s">
        <v>15</v>
      </c>
      <c r="F2209" t="s">
        <v>16</v>
      </c>
      <c r="G2209" t="s">
        <v>17</v>
      </c>
      <c r="H2209" s="1">
        <v>45063</v>
      </c>
    </row>
    <row r="2210" spans="1:8">
      <c r="A2210" t="s">
        <v>4451</v>
      </c>
      <c r="B2210" t="s">
        <v>4452</v>
      </c>
      <c r="C2210" t="s">
        <v>10</v>
      </c>
      <c r="D2210">
        <v>54</v>
      </c>
      <c r="E2210" t="s">
        <v>91</v>
      </c>
      <c r="F2210" t="s">
        <v>92</v>
      </c>
      <c r="G2210" t="s">
        <v>78</v>
      </c>
      <c r="H2210" s="1">
        <v>45331</v>
      </c>
    </row>
    <row r="2211" spans="1:8">
      <c r="A2211" t="s">
        <v>4453</v>
      </c>
      <c r="B2211" t="s">
        <v>4454</v>
      </c>
      <c r="C2211" t="s">
        <v>31</v>
      </c>
      <c r="D2211">
        <v>47</v>
      </c>
      <c r="E2211" t="s">
        <v>20</v>
      </c>
      <c r="F2211" t="s">
        <v>21</v>
      </c>
      <c r="G2211" t="s">
        <v>22</v>
      </c>
      <c r="H2211" s="1">
        <v>45018</v>
      </c>
    </row>
    <row r="2212" spans="1:8">
      <c r="A2212" t="s">
        <v>4455</v>
      </c>
      <c r="B2212" t="s">
        <v>4456</v>
      </c>
      <c r="C2212" t="s">
        <v>31</v>
      </c>
      <c r="D2212">
        <v>59</v>
      </c>
      <c r="E2212" t="s">
        <v>134</v>
      </c>
      <c r="F2212" t="s">
        <v>28</v>
      </c>
      <c r="G2212" t="s">
        <v>12</v>
      </c>
      <c r="H2212" s="1">
        <v>45516</v>
      </c>
    </row>
    <row r="2213" spans="1:8">
      <c r="A2213" t="s">
        <v>4457</v>
      </c>
      <c r="B2213" t="s">
        <v>4458</v>
      </c>
      <c r="C2213" t="s">
        <v>10</v>
      </c>
      <c r="D2213">
        <v>29</v>
      </c>
      <c r="E2213" t="s">
        <v>149</v>
      </c>
      <c r="F2213" t="s">
        <v>38</v>
      </c>
      <c r="G2213" t="s">
        <v>22</v>
      </c>
      <c r="H2213" s="1">
        <v>44785</v>
      </c>
    </row>
    <row r="2214" spans="1:8">
      <c r="A2214" t="s">
        <v>4459</v>
      </c>
      <c r="B2214" t="s">
        <v>4460</v>
      </c>
      <c r="C2214" t="s">
        <v>10</v>
      </c>
      <c r="D2214">
        <v>43</v>
      </c>
      <c r="E2214" t="s">
        <v>69</v>
      </c>
      <c r="F2214" t="s">
        <v>69</v>
      </c>
      <c r="G2214" t="s">
        <v>12</v>
      </c>
      <c r="H2214" s="1">
        <v>45449</v>
      </c>
    </row>
    <row r="2215" spans="1:8">
      <c r="A2215" t="s">
        <v>4461</v>
      </c>
      <c r="B2215" t="s">
        <v>4462</v>
      </c>
      <c r="C2215" t="s">
        <v>31</v>
      </c>
      <c r="D2215">
        <v>31</v>
      </c>
      <c r="E2215" t="s">
        <v>37</v>
      </c>
      <c r="F2215" t="s">
        <v>38</v>
      </c>
      <c r="G2215" t="s">
        <v>22</v>
      </c>
      <c r="H2215" s="1">
        <v>45263</v>
      </c>
    </row>
    <row r="2216" spans="1:8">
      <c r="A2216" t="s">
        <v>4463</v>
      </c>
      <c r="B2216" t="s">
        <v>4464</v>
      </c>
      <c r="C2216" t="s">
        <v>31</v>
      </c>
      <c r="D2216">
        <v>47</v>
      </c>
      <c r="E2216" t="s">
        <v>69</v>
      </c>
      <c r="F2216" t="s">
        <v>69</v>
      </c>
      <c r="G2216" t="s">
        <v>12</v>
      </c>
      <c r="H2216" s="1">
        <v>44796</v>
      </c>
    </row>
    <row r="2217" spans="1:8">
      <c r="A2217" t="s">
        <v>4465</v>
      </c>
      <c r="B2217" t="s">
        <v>4466</v>
      </c>
      <c r="C2217" t="s">
        <v>10</v>
      </c>
      <c r="D2217">
        <v>58</v>
      </c>
      <c r="E2217" t="s">
        <v>34</v>
      </c>
      <c r="F2217" t="s">
        <v>16</v>
      </c>
      <c r="G2217" t="s">
        <v>17</v>
      </c>
      <c r="H2217" s="1">
        <v>45524</v>
      </c>
    </row>
    <row r="2218" spans="1:8">
      <c r="A2218" t="s">
        <v>4467</v>
      </c>
      <c r="B2218" t="s">
        <v>4468</v>
      </c>
      <c r="C2218" t="s">
        <v>31</v>
      </c>
      <c r="D2218">
        <v>21</v>
      </c>
      <c r="E2218" t="s">
        <v>218</v>
      </c>
      <c r="F2218" t="s">
        <v>219</v>
      </c>
      <c r="G2218" t="s">
        <v>17</v>
      </c>
      <c r="H2218" s="1">
        <v>44626</v>
      </c>
    </row>
    <row r="2219" spans="1:8">
      <c r="A2219" t="s">
        <v>4469</v>
      </c>
      <c r="B2219" t="s">
        <v>4470</v>
      </c>
      <c r="C2219" t="s">
        <v>31</v>
      </c>
      <c r="D2219">
        <v>31</v>
      </c>
      <c r="E2219" t="s">
        <v>91</v>
      </c>
      <c r="F2219" t="s">
        <v>92</v>
      </c>
      <c r="G2219" t="s">
        <v>78</v>
      </c>
      <c r="H2219" s="1">
        <v>45442</v>
      </c>
    </row>
    <row r="2220" spans="1:8">
      <c r="A2220" t="s">
        <v>4471</v>
      </c>
      <c r="B2220" t="s">
        <v>4472</v>
      </c>
      <c r="C2220" t="s">
        <v>31</v>
      </c>
      <c r="D2220">
        <v>35</v>
      </c>
      <c r="E2220" t="s">
        <v>15</v>
      </c>
      <c r="F2220" t="s">
        <v>16</v>
      </c>
      <c r="G2220" t="s">
        <v>17</v>
      </c>
      <c r="H2220" s="1">
        <v>45962</v>
      </c>
    </row>
    <row r="2221" spans="1:8">
      <c r="A2221" t="s">
        <v>4473</v>
      </c>
      <c r="B2221" t="s">
        <v>4474</v>
      </c>
      <c r="C2221" t="s">
        <v>10</v>
      </c>
      <c r="D2221">
        <v>22</v>
      </c>
      <c r="E2221" t="s">
        <v>34</v>
      </c>
      <c r="F2221" t="s">
        <v>16</v>
      </c>
      <c r="G2221" t="s">
        <v>17</v>
      </c>
      <c r="H2221" s="1">
        <v>44733</v>
      </c>
    </row>
    <row r="2222" spans="1:8">
      <c r="A2222" t="s">
        <v>4475</v>
      </c>
      <c r="B2222" t="s">
        <v>4476</v>
      </c>
      <c r="C2222" t="s">
        <v>31</v>
      </c>
      <c r="D2222">
        <v>44</v>
      </c>
      <c r="E2222" t="s">
        <v>15</v>
      </c>
      <c r="F2222" t="s">
        <v>16</v>
      </c>
      <c r="G2222" t="s">
        <v>17</v>
      </c>
      <c r="H2222" s="1">
        <v>45172</v>
      </c>
    </row>
    <row r="2223" spans="1:8">
      <c r="A2223" t="s">
        <v>4477</v>
      </c>
      <c r="B2223" t="s">
        <v>4478</v>
      </c>
      <c r="C2223" t="s">
        <v>10</v>
      </c>
      <c r="D2223">
        <v>23</v>
      </c>
      <c r="E2223" t="s">
        <v>37</v>
      </c>
      <c r="F2223" t="s">
        <v>38</v>
      </c>
      <c r="G2223" t="s">
        <v>22</v>
      </c>
      <c r="H2223" s="1">
        <v>44938</v>
      </c>
    </row>
    <row r="2224" spans="1:8">
      <c r="A2224" t="s">
        <v>4479</v>
      </c>
      <c r="B2224" t="s">
        <v>4480</v>
      </c>
      <c r="C2224" t="s">
        <v>31</v>
      </c>
      <c r="D2224">
        <v>28</v>
      </c>
      <c r="E2224" t="s">
        <v>112</v>
      </c>
      <c r="F2224" t="s">
        <v>113</v>
      </c>
      <c r="G2224" t="s">
        <v>78</v>
      </c>
      <c r="H2224" s="1">
        <v>45262</v>
      </c>
    </row>
    <row r="2225" spans="1:8">
      <c r="A2225" t="s">
        <v>4481</v>
      </c>
      <c r="B2225" t="s">
        <v>4482</v>
      </c>
      <c r="C2225" t="s">
        <v>31</v>
      </c>
      <c r="D2225">
        <v>52</v>
      </c>
      <c r="E2225" t="s">
        <v>41</v>
      </c>
      <c r="F2225" t="s">
        <v>42</v>
      </c>
      <c r="G2225" t="s">
        <v>17</v>
      </c>
      <c r="H2225" s="1">
        <v>45548</v>
      </c>
    </row>
    <row r="2226" spans="1:8">
      <c r="A2226" t="s">
        <v>4483</v>
      </c>
      <c r="B2226" t="s">
        <v>4484</v>
      </c>
      <c r="C2226" t="s">
        <v>31</v>
      </c>
      <c r="D2226">
        <v>40</v>
      </c>
      <c r="E2226" t="s">
        <v>63</v>
      </c>
      <c r="F2226" t="s">
        <v>64</v>
      </c>
      <c r="G2226" t="s">
        <v>12</v>
      </c>
      <c r="H2226" s="1">
        <v>45988</v>
      </c>
    </row>
    <row r="2227" spans="1:8">
      <c r="A2227" t="s">
        <v>4485</v>
      </c>
      <c r="B2227" t="s">
        <v>4486</v>
      </c>
      <c r="C2227" t="s">
        <v>10</v>
      </c>
      <c r="D2227">
        <v>53</v>
      </c>
      <c r="E2227" t="s">
        <v>128</v>
      </c>
      <c r="F2227" t="s">
        <v>129</v>
      </c>
      <c r="G2227" t="s">
        <v>78</v>
      </c>
      <c r="H2227" s="1">
        <v>45358</v>
      </c>
    </row>
    <row r="2228" spans="1:8">
      <c r="A2228" t="s">
        <v>4487</v>
      </c>
      <c r="B2228" t="s">
        <v>4488</v>
      </c>
      <c r="C2228" t="s">
        <v>10</v>
      </c>
      <c r="D2228">
        <v>64</v>
      </c>
      <c r="E2228" t="s">
        <v>27</v>
      </c>
      <c r="F2228" t="s">
        <v>28</v>
      </c>
      <c r="G2228" t="s">
        <v>12</v>
      </c>
      <c r="H2228" s="1">
        <v>44968</v>
      </c>
    </row>
    <row r="2229" spans="1:8">
      <c r="A2229" t="s">
        <v>4489</v>
      </c>
      <c r="B2229" t="s">
        <v>4490</v>
      </c>
      <c r="C2229" t="s">
        <v>31</v>
      </c>
      <c r="D2229">
        <v>60</v>
      </c>
      <c r="E2229" t="s">
        <v>27</v>
      </c>
      <c r="F2229" t="s">
        <v>28</v>
      </c>
      <c r="G2229" t="s">
        <v>12</v>
      </c>
      <c r="H2229" s="1">
        <v>44858</v>
      </c>
    </row>
    <row r="2230" spans="1:8">
      <c r="A2230" t="s">
        <v>4491</v>
      </c>
      <c r="B2230" t="s">
        <v>4492</v>
      </c>
      <c r="C2230" t="s">
        <v>10</v>
      </c>
      <c r="D2230">
        <v>47</v>
      </c>
      <c r="E2230" t="s">
        <v>91</v>
      </c>
      <c r="F2230" t="s">
        <v>92</v>
      </c>
      <c r="G2230" t="s">
        <v>78</v>
      </c>
      <c r="H2230" s="1">
        <v>44591</v>
      </c>
    </row>
    <row r="2231" spans="1:8">
      <c r="A2231" t="s">
        <v>4493</v>
      </c>
      <c r="B2231" t="s">
        <v>4494</v>
      </c>
      <c r="C2231" t="s">
        <v>10</v>
      </c>
      <c r="D2231">
        <v>68</v>
      </c>
      <c r="E2231" t="s">
        <v>112</v>
      </c>
      <c r="F2231" t="s">
        <v>113</v>
      </c>
      <c r="G2231" t="s">
        <v>78</v>
      </c>
      <c r="H2231" s="1">
        <v>45210</v>
      </c>
    </row>
    <row r="2232" spans="1:8">
      <c r="A2232" t="s">
        <v>4495</v>
      </c>
      <c r="B2232" t="s">
        <v>4496</v>
      </c>
      <c r="C2232" t="s">
        <v>10</v>
      </c>
      <c r="D2232">
        <v>46</v>
      </c>
      <c r="E2232" t="s">
        <v>112</v>
      </c>
      <c r="F2232" t="s">
        <v>113</v>
      </c>
      <c r="G2232" t="s">
        <v>78</v>
      </c>
      <c r="H2232" s="1">
        <v>45100</v>
      </c>
    </row>
    <row r="2233" spans="1:8">
      <c r="A2233" t="s">
        <v>4497</v>
      </c>
      <c r="B2233" t="s">
        <v>4498</v>
      </c>
      <c r="C2233" t="s">
        <v>31</v>
      </c>
      <c r="D2233">
        <v>58</v>
      </c>
      <c r="E2233" t="s">
        <v>76</v>
      </c>
      <c r="F2233" t="s">
        <v>77</v>
      </c>
      <c r="G2233" t="s">
        <v>78</v>
      </c>
      <c r="H2233" s="1">
        <v>45861</v>
      </c>
    </row>
    <row r="2234" spans="1:8">
      <c r="A2234" t="s">
        <v>4499</v>
      </c>
      <c r="B2234" t="s">
        <v>4500</v>
      </c>
      <c r="C2234" t="s">
        <v>10</v>
      </c>
      <c r="D2234">
        <v>65</v>
      </c>
      <c r="E2234" t="s">
        <v>87</v>
      </c>
      <c r="F2234" t="s">
        <v>88</v>
      </c>
      <c r="G2234" t="s">
        <v>78</v>
      </c>
      <c r="H2234" s="1">
        <v>44636</v>
      </c>
    </row>
    <row r="2235" spans="1:8">
      <c r="A2235" t="s">
        <v>4501</v>
      </c>
      <c r="B2235" t="s">
        <v>4502</v>
      </c>
      <c r="C2235" t="s">
        <v>10</v>
      </c>
      <c r="D2235">
        <v>56</v>
      </c>
      <c r="E2235" t="s">
        <v>112</v>
      </c>
      <c r="F2235" t="s">
        <v>113</v>
      </c>
      <c r="G2235" t="s">
        <v>78</v>
      </c>
      <c r="H2235" s="1">
        <v>45988</v>
      </c>
    </row>
    <row r="2236" spans="1:8">
      <c r="A2236" t="s">
        <v>4503</v>
      </c>
      <c r="B2236" t="s">
        <v>4504</v>
      </c>
      <c r="C2236" t="s">
        <v>10</v>
      </c>
      <c r="D2236">
        <v>61</v>
      </c>
      <c r="E2236" t="s">
        <v>37</v>
      </c>
      <c r="F2236" t="s">
        <v>38</v>
      </c>
      <c r="G2236" t="s">
        <v>22</v>
      </c>
      <c r="H2236" s="1">
        <v>44991</v>
      </c>
    </row>
    <row r="2237" spans="1:8">
      <c r="A2237" t="s">
        <v>4505</v>
      </c>
      <c r="B2237" t="s">
        <v>4506</v>
      </c>
      <c r="C2237" t="s">
        <v>31</v>
      </c>
      <c r="D2237">
        <v>19</v>
      </c>
      <c r="E2237" t="s">
        <v>20</v>
      </c>
      <c r="F2237" t="s">
        <v>21</v>
      </c>
      <c r="G2237" t="s">
        <v>22</v>
      </c>
      <c r="H2237" s="1">
        <v>45320</v>
      </c>
    </row>
    <row r="2238" spans="1:8">
      <c r="A2238" t="s">
        <v>4507</v>
      </c>
      <c r="B2238" t="s">
        <v>4508</v>
      </c>
      <c r="C2238" t="s">
        <v>10</v>
      </c>
      <c r="D2238">
        <v>62</v>
      </c>
      <c r="E2238" t="s">
        <v>37</v>
      </c>
      <c r="F2238" t="s">
        <v>38</v>
      </c>
      <c r="G2238" t="s">
        <v>22</v>
      </c>
      <c r="H2238" s="1">
        <v>45590</v>
      </c>
    </row>
    <row r="2239" spans="1:8">
      <c r="A2239" t="s">
        <v>4509</v>
      </c>
      <c r="B2239" t="s">
        <v>4510</v>
      </c>
      <c r="C2239" t="s">
        <v>31</v>
      </c>
      <c r="D2239">
        <v>40</v>
      </c>
      <c r="E2239" t="s">
        <v>149</v>
      </c>
      <c r="F2239" t="s">
        <v>38</v>
      </c>
      <c r="G2239" t="s">
        <v>22</v>
      </c>
      <c r="H2239" s="1">
        <v>45409</v>
      </c>
    </row>
    <row r="2240" spans="1:8">
      <c r="A2240" t="s">
        <v>4511</v>
      </c>
      <c r="B2240" t="s">
        <v>4512</v>
      </c>
      <c r="C2240" t="s">
        <v>31</v>
      </c>
      <c r="D2240">
        <v>25</v>
      </c>
      <c r="E2240" t="s">
        <v>60</v>
      </c>
      <c r="F2240" t="s">
        <v>21</v>
      </c>
      <c r="G2240" t="s">
        <v>22</v>
      </c>
      <c r="H2240" s="1">
        <v>45434</v>
      </c>
    </row>
    <row r="2241" spans="1:8">
      <c r="A2241" t="s">
        <v>4513</v>
      </c>
      <c r="B2241" t="s">
        <v>4514</v>
      </c>
      <c r="C2241" t="s">
        <v>31</v>
      </c>
      <c r="D2241">
        <v>29</v>
      </c>
      <c r="E2241" t="s">
        <v>112</v>
      </c>
      <c r="F2241" t="s">
        <v>113</v>
      </c>
      <c r="G2241" t="s">
        <v>78</v>
      </c>
      <c r="H2241" s="1">
        <v>45439</v>
      </c>
    </row>
    <row r="2242" spans="1:8">
      <c r="A2242" t="s">
        <v>4515</v>
      </c>
      <c r="B2242" t="s">
        <v>4516</v>
      </c>
      <c r="C2242" t="s">
        <v>31</v>
      </c>
      <c r="D2242">
        <v>42</v>
      </c>
      <c r="E2242" t="s">
        <v>101</v>
      </c>
      <c r="F2242" t="s">
        <v>21</v>
      </c>
      <c r="G2242" t="s">
        <v>22</v>
      </c>
      <c r="H2242" s="1">
        <v>45673</v>
      </c>
    </row>
    <row r="2243" spans="1:8">
      <c r="A2243" t="s">
        <v>4517</v>
      </c>
      <c r="B2243" t="s">
        <v>4518</v>
      </c>
      <c r="C2243" t="s">
        <v>31</v>
      </c>
      <c r="D2243">
        <v>62</v>
      </c>
      <c r="E2243" t="s">
        <v>41</v>
      </c>
      <c r="F2243" t="s">
        <v>42</v>
      </c>
      <c r="G2243" t="s">
        <v>17</v>
      </c>
      <c r="H2243" s="1">
        <v>45860</v>
      </c>
    </row>
    <row r="2244" spans="1:8">
      <c r="A2244" t="s">
        <v>4519</v>
      </c>
      <c r="B2244" t="s">
        <v>4520</v>
      </c>
      <c r="C2244" t="s">
        <v>10</v>
      </c>
      <c r="D2244">
        <v>23</v>
      </c>
      <c r="E2244" t="s">
        <v>11</v>
      </c>
      <c r="F2244" t="s">
        <v>11</v>
      </c>
      <c r="G2244" t="s">
        <v>12</v>
      </c>
      <c r="H2244" s="1">
        <v>44741</v>
      </c>
    </row>
    <row r="2245" spans="1:8">
      <c r="A2245" t="s">
        <v>4521</v>
      </c>
      <c r="B2245" t="s">
        <v>4522</v>
      </c>
      <c r="C2245" t="s">
        <v>10</v>
      </c>
      <c r="D2245">
        <v>49</v>
      </c>
      <c r="E2245" t="s">
        <v>27</v>
      </c>
      <c r="F2245" t="s">
        <v>28</v>
      </c>
      <c r="G2245" t="s">
        <v>12</v>
      </c>
      <c r="H2245" s="1">
        <v>45404</v>
      </c>
    </row>
    <row r="2246" spans="1:8">
      <c r="A2246" t="s">
        <v>4523</v>
      </c>
      <c r="B2246" t="s">
        <v>4524</v>
      </c>
      <c r="C2246" t="s">
        <v>10</v>
      </c>
      <c r="D2246">
        <v>58</v>
      </c>
      <c r="E2246" t="s">
        <v>27</v>
      </c>
      <c r="F2246" t="s">
        <v>28</v>
      </c>
      <c r="G2246" t="s">
        <v>12</v>
      </c>
      <c r="H2246" s="1">
        <v>45677</v>
      </c>
    </row>
    <row r="2247" spans="1:8">
      <c r="A2247" t="s">
        <v>4525</v>
      </c>
      <c r="B2247" t="s">
        <v>4526</v>
      </c>
      <c r="C2247" t="s">
        <v>31</v>
      </c>
      <c r="D2247">
        <v>44</v>
      </c>
      <c r="E2247" t="s">
        <v>60</v>
      </c>
      <c r="F2247" t="s">
        <v>21</v>
      </c>
      <c r="G2247" t="s">
        <v>22</v>
      </c>
      <c r="H2247" s="1">
        <v>44628</v>
      </c>
    </row>
    <row r="2248" spans="1:8">
      <c r="A2248" t="s">
        <v>4527</v>
      </c>
      <c r="B2248" t="s">
        <v>4528</v>
      </c>
      <c r="C2248" t="s">
        <v>31</v>
      </c>
      <c r="D2248">
        <v>25</v>
      </c>
      <c r="E2248" t="s">
        <v>41</v>
      </c>
      <c r="F2248" t="s">
        <v>42</v>
      </c>
      <c r="G2248" t="s">
        <v>17</v>
      </c>
      <c r="H2248" s="1">
        <v>45691</v>
      </c>
    </row>
    <row r="2249" spans="1:8">
      <c r="A2249" t="s">
        <v>4529</v>
      </c>
      <c r="B2249" t="s">
        <v>4530</v>
      </c>
      <c r="C2249" t="s">
        <v>31</v>
      </c>
      <c r="D2249">
        <v>68</v>
      </c>
      <c r="E2249" t="s">
        <v>41</v>
      </c>
      <c r="F2249" t="s">
        <v>42</v>
      </c>
      <c r="G2249" t="s">
        <v>17</v>
      </c>
      <c r="H2249" s="1">
        <v>44816</v>
      </c>
    </row>
    <row r="2250" spans="1:8">
      <c r="A2250" t="s">
        <v>4531</v>
      </c>
      <c r="B2250" t="s">
        <v>4532</v>
      </c>
      <c r="C2250" t="s">
        <v>31</v>
      </c>
      <c r="D2250">
        <v>18</v>
      </c>
      <c r="E2250" t="s">
        <v>112</v>
      </c>
      <c r="F2250" t="s">
        <v>113</v>
      </c>
      <c r="G2250" t="s">
        <v>78</v>
      </c>
      <c r="H2250" s="1">
        <v>45882</v>
      </c>
    </row>
    <row r="2251" spans="1:8">
      <c r="A2251" t="s">
        <v>4533</v>
      </c>
      <c r="B2251" t="s">
        <v>4534</v>
      </c>
      <c r="C2251" t="s">
        <v>31</v>
      </c>
      <c r="D2251">
        <v>35</v>
      </c>
      <c r="E2251" t="s">
        <v>76</v>
      </c>
      <c r="F2251" t="s">
        <v>77</v>
      </c>
      <c r="G2251" t="s">
        <v>78</v>
      </c>
      <c r="H2251" s="1">
        <v>45601</v>
      </c>
    </row>
    <row r="2252" spans="1:8">
      <c r="A2252" t="s">
        <v>4535</v>
      </c>
      <c r="B2252" t="s">
        <v>4536</v>
      </c>
      <c r="C2252" t="s">
        <v>31</v>
      </c>
      <c r="D2252">
        <v>61</v>
      </c>
      <c r="E2252" t="s">
        <v>91</v>
      </c>
      <c r="F2252" t="s">
        <v>92</v>
      </c>
      <c r="G2252" t="s">
        <v>78</v>
      </c>
      <c r="H2252" s="1">
        <v>45191</v>
      </c>
    </row>
    <row r="2253" spans="1:8">
      <c r="A2253" t="s">
        <v>4537</v>
      </c>
      <c r="B2253" t="s">
        <v>4538</v>
      </c>
      <c r="C2253" t="s">
        <v>10</v>
      </c>
      <c r="D2253">
        <v>19</v>
      </c>
      <c r="E2253" t="s">
        <v>41</v>
      </c>
      <c r="F2253" t="s">
        <v>42</v>
      </c>
      <c r="G2253" t="s">
        <v>17</v>
      </c>
      <c r="H2253" s="1">
        <v>44628</v>
      </c>
    </row>
    <row r="2254" spans="1:8">
      <c r="A2254" t="s">
        <v>4539</v>
      </c>
      <c r="B2254" t="s">
        <v>4540</v>
      </c>
      <c r="C2254" t="s">
        <v>31</v>
      </c>
      <c r="D2254">
        <v>39</v>
      </c>
      <c r="E2254" t="s">
        <v>45</v>
      </c>
      <c r="F2254" t="s">
        <v>46</v>
      </c>
      <c r="G2254" t="s">
        <v>17</v>
      </c>
      <c r="H2254" s="1">
        <v>45624</v>
      </c>
    </row>
    <row r="2255" spans="1:8">
      <c r="A2255" t="s">
        <v>4541</v>
      </c>
      <c r="B2255" t="s">
        <v>4542</v>
      </c>
      <c r="C2255" t="s">
        <v>10</v>
      </c>
      <c r="D2255">
        <v>53</v>
      </c>
      <c r="E2255" t="s">
        <v>218</v>
      </c>
      <c r="F2255" t="s">
        <v>219</v>
      </c>
      <c r="G2255" t="s">
        <v>17</v>
      </c>
      <c r="H2255" s="1">
        <v>45442</v>
      </c>
    </row>
    <row r="2256" spans="1:8">
      <c r="A2256" t="s">
        <v>4543</v>
      </c>
      <c r="B2256" t="s">
        <v>4544</v>
      </c>
      <c r="C2256" t="s">
        <v>31</v>
      </c>
      <c r="D2256">
        <v>21</v>
      </c>
      <c r="E2256" t="s">
        <v>76</v>
      </c>
      <c r="F2256" t="s">
        <v>77</v>
      </c>
      <c r="G2256" t="s">
        <v>78</v>
      </c>
      <c r="H2256" s="1">
        <v>45824</v>
      </c>
    </row>
    <row r="2257" spans="1:8">
      <c r="A2257" t="s">
        <v>4545</v>
      </c>
      <c r="B2257" t="s">
        <v>4546</v>
      </c>
      <c r="C2257" t="s">
        <v>10</v>
      </c>
      <c r="D2257">
        <v>58</v>
      </c>
      <c r="E2257" t="s">
        <v>27</v>
      </c>
      <c r="F2257" t="s">
        <v>28</v>
      </c>
      <c r="G2257" t="s">
        <v>12</v>
      </c>
      <c r="H2257" s="1">
        <v>45440</v>
      </c>
    </row>
    <row r="2258" spans="1:8">
      <c r="A2258" t="s">
        <v>4547</v>
      </c>
      <c r="B2258" t="s">
        <v>4548</v>
      </c>
      <c r="C2258" t="s">
        <v>31</v>
      </c>
      <c r="D2258">
        <v>51</v>
      </c>
      <c r="E2258" t="s">
        <v>101</v>
      </c>
      <c r="F2258" t="s">
        <v>21</v>
      </c>
      <c r="G2258" t="s">
        <v>22</v>
      </c>
      <c r="H2258" s="1">
        <v>45387</v>
      </c>
    </row>
    <row r="2259" spans="1:8">
      <c r="A2259" t="s">
        <v>4549</v>
      </c>
      <c r="B2259" t="s">
        <v>4550</v>
      </c>
      <c r="C2259" t="s">
        <v>10</v>
      </c>
      <c r="D2259">
        <v>50</v>
      </c>
      <c r="E2259" t="s">
        <v>34</v>
      </c>
      <c r="F2259" t="s">
        <v>16</v>
      </c>
      <c r="G2259" t="s">
        <v>17</v>
      </c>
      <c r="H2259" s="1">
        <v>44765</v>
      </c>
    </row>
    <row r="2260" spans="1:8">
      <c r="A2260" t="s">
        <v>4551</v>
      </c>
      <c r="B2260" t="s">
        <v>4552</v>
      </c>
      <c r="C2260" t="s">
        <v>31</v>
      </c>
      <c r="D2260">
        <v>53</v>
      </c>
      <c r="E2260" t="s">
        <v>218</v>
      </c>
      <c r="F2260" t="s">
        <v>219</v>
      </c>
      <c r="G2260" t="s">
        <v>17</v>
      </c>
      <c r="H2260" s="1">
        <v>45364</v>
      </c>
    </row>
    <row r="2261" spans="1:8">
      <c r="A2261" t="s">
        <v>4553</v>
      </c>
      <c r="B2261" t="s">
        <v>4554</v>
      </c>
      <c r="C2261" t="s">
        <v>10</v>
      </c>
      <c r="D2261">
        <v>23</v>
      </c>
      <c r="E2261" t="s">
        <v>45</v>
      </c>
      <c r="F2261" t="s">
        <v>46</v>
      </c>
      <c r="G2261" t="s">
        <v>17</v>
      </c>
      <c r="H2261" s="1">
        <v>44979</v>
      </c>
    </row>
    <row r="2262" spans="1:8">
      <c r="A2262" t="s">
        <v>4555</v>
      </c>
      <c r="B2262" t="s">
        <v>4556</v>
      </c>
      <c r="C2262" t="s">
        <v>10</v>
      </c>
      <c r="D2262">
        <v>19</v>
      </c>
      <c r="E2262" t="s">
        <v>49</v>
      </c>
      <c r="F2262" t="s">
        <v>16</v>
      </c>
      <c r="G2262" t="s">
        <v>17</v>
      </c>
      <c r="H2262" s="1">
        <v>45849</v>
      </c>
    </row>
    <row r="2263" spans="1:8">
      <c r="A2263" t="s">
        <v>4557</v>
      </c>
      <c r="B2263" t="s">
        <v>4558</v>
      </c>
      <c r="C2263" t="s">
        <v>31</v>
      </c>
      <c r="D2263">
        <v>19</v>
      </c>
      <c r="E2263" t="s">
        <v>27</v>
      </c>
      <c r="F2263" t="s">
        <v>28</v>
      </c>
      <c r="G2263" t="s">
        <v>12</v>
      </c>
      <c r="H2263" s="1">
        <v>44723</v>
      </c>
    </row>
    <row r="2264" spans="1:8">
      <c r="A2264" t="s">
        <v>4559</v>
      </c>
      <c r="B2264" t="s">
        <v>4560</v>
      </c>
      <c r="C2264" t="s">
        <v>31</v>
      </c>
      <c r="D2264">
        <v>29</v>
      </c>
      <c r="E2264" t="s">
        <v>63</v>
      </c>
      <c r="F2264" t="s">
        <v>64</v>
      </c>
      <c r="G2264" t="s">
        <v>12</v>
      </c>
      <c r="H2264" s="1">
        <v>45491</v>
      </c>
    </row>
    <row r="2265" spans="1:8">
      <c r="A2265" t="s">
        <v>4561</v>
      </c>
      <c r="B2265" t="s">
        <v>4562</v>
      </c>
      <c r="C2265" t="s">
        <v>10</v>
      </c>
      <c r="D2265">
        <v>52</v>
      </c>
      <c r="E2265" t="s">
        <v>34</v>
      </c>
      <c r="F2265" t="s">
        <v>16</v>
      </c>
      <c r="G2265" t="s">
        <v>17</v>
      </c>
      <c r="H2265" s="1">
        <v>45170</v>
      </c>
    </row>
    <row r="2266" spans="1:8">
      <c r="A2266" t="s">
        <v>4563</v>
      </c>
      <c r="B2266" t="s">
        <v>4564</v>
      </c>
      <c r="C2266" t="s">
        <v>10</v>
      </c>
      <c r="D2266">
        <v>35</v>
      </c>
      <c r="E2266" t="s">
        <v>112</v>
      </c>
      <c r="F2266" t="s">
        <v>113</v>
      </c>
      <c r="G2266" t="s">
        <v>78</v>
      </c>
      <c r="H2266" s="1">
        <v>45095</v>
      </c>
    </row>
    <row r="2267" spans="1:8">
      <c r="A2267" t="s">
        <v>4565</v>
      </c>
      <c r="B2267" t="s">
        <v>4566</v>
      </c>
      <c r="C2267" t="s">
        <v>10</v>
      </c>
      <c r="D2267">
        <v>58</v>
      </c>
      <c r="E2267" t="s">
        <v>34</v>
      </c>
      <c r="F2267" t="s">
        <v>16</v>
      </c>
      <c r="G2267" t="s">
        <v>17</v>
      </c>
      <c r="H2267" s="1">
        <v>45846</v>
      </c>
    </row>
    <row r="2268" spans="1:8">
      <c r="A2268" t="s">
        <v>4567</v>
      </c>
      <c r="B2268" t="s">
        <v>4568</v>
      </c>
      <c r="C2268" t="s">
        <v>31</v>
      </c>
      <c r="D2268">
        <v>56</v>
      </c>
      <c r="E2268" t="s">
        <v>87</v>
      </c>
      <c r="F2268" t="s">
        <v>88</v>
      </c>
      <c r="G2268" t="s">
        <v>78</v>
      </c>
      <c r="H2268" s="1">
        <v>44789</v>
      </c>
    </row>
    <row r="2269" spans="1:8">
      <c r="A2269" t="s">
        <v>4569</v>
      </c>
      <c r="B2269" t="s">
        <v>4570</v>
      </c>
      <c r="C2269" t="s">
        <v>31</v>
      </c>
      <c r="D2269">
        <v>29</v>
      </c>
      <c r="E2269" t="s">
        <v>34</v>
      </c>
      <c r="F2269" t="s">
        <v>16</v>
      </c>
      <c r="G2269" t="s">
        <v>17</v>
      </c>
      <c r="H2269" s="1">
        <v>45140</v>
      </c>
    </row>
    <row r="2270" spans="1:8">
      <c r="A2270" t="s">
        <v>4571</v>
      </c>
      <c r="B2270" t="s">
        <v>4572</v>
      </c>
      <c r="C2270" t="s">
        <v>10</v>
      </c>
      <c r="D2270">
        <v>43</v>
      </c>
      <c r="E2270" t="s">
        <v>41</v>
      </c>
      <c r="F2270" t="s">
        <v>42</v>
      </c>
      <c r="G2270" t="s">
        <v>17</v>
      </c>
      <c r="H2270" s="1">
        <v>45302</v>
      </c>
    </row>
    <row r="2271" spans="1:8">
      <c r="A2271" t="s">
        <v>4573</v>
      </c>
      <c r="B2271" t="s">
        <v>4574</v>
      </c>
      <c r="C2271" t="s">
        <v>10</v>
      </c>
      <c r="D2271">
        <v>49</v>
      </c>
      <c r="E2271" t="s">
        <v>15</v>
      </c>
      <c r="F2271" t="s">
        <v>16</v>
      </c>
      <c r="G2271" t="s">
        <v>17</v>
      </c>
      <c r="H2271" s="1">
        <v>45409</v>
      </c>
    </row>
    <row r="2272" spans="1:8">
      <c r="A2272" t="s">
        <v>4575</v>
      </c>
      <c r="B2272" t="s">
        <v>4576</v>
      </c>
      <c r="C2272" t="s">
        <v>31</v>
      </c>
      <c r="D2272">
        <v>42</v>
      </c>
      <c r="E2272" t="s">
        <v>87</v>
      </c>
      <c r="F2272" t="s">
        <v>88</v>
      </c>
      <c r="G2272" t="s">
        <v>78</v>
      </c>
      <c r="H2272" s="1">
        <v>44992</v>
      </c>
    </row>
    <row r="2273" spans="1:8">
      <c r="A2273" t="s">
        <v>4577</v>
      </c>
      <c r="B2273" t="s">
        <v>4578</v>
      </c>
      <c r="C2273" t="s">
        <v>10</v>
      </c>
      <c r="D2273">
        <v>37</v>
      </c>
      <c r="E2273" t="s">
        <v>112</v>
      </c>
      <c r="F2273" t="s">
        <v>113</v>
      </c>
      <c r="G2273" t="s">
        <v>78</v>
      </c>
      <c r="H2273" s="1">
        <v>44891</v>
      </c>
    </row>
    <row r="2274" spans="1:8">
      <c r="A2274" t="s">
        <v>4579</v>
      </c>
      <c r="B2274" t="s">
        <v>4580</v>
      </c>
      <c r="C2274" t="s">
        <v>10</v>
      </c>
      <c r="D2274">
        <v>25</v>
      </c>
      <c r="E2274" t="s">
        <v>34</v>
      </c>
      <c r="F2274" t="s">
        <v>16</v>
      </c>
      <c r="G2274" t="s">
        <v>17</v>
      </c>
      <c r="H2274" s="1">
        <v>45912</v>
      </c>
    </row>
    <row r="2275" spans="1:8">
      <c r="A2275" t="s">
        <v>4581</v>
      </c>
      <c r="B2275" t="s">
        <v>4582</v>
      </c>
      <c r="C2275" t="s">
        <v>10</v>
      </c>
      <c r="D2275">
        <v>28</v>
      </c>
      <c r="E2275" t="s">
        <v>91</v>
      </c>
      <c r="F2275" t="s">
        <v>92</v>
      </c>
      <c r="G2275" t="s">
        <v>78</v>
      </c>
      <c r="H2275" s="1">
        <v>45553</v>
      </c>
    </row>
    <row r="2276" spans="1:8">
      <c r="A2276" t="s">
        <v>4583</v>
      </c>
      <c r="B2276" t="s">
        <v>4584</v>
      </c>
      <c r="C2276" t="s">
        <v>10</v>
      </c>
      <c r="D2276">
        <v>56</v>
      </c>
      <c r="E2276" t="s">
        <v>37</v>
      </c>
      <c r="F2276" t="s">
        <v>38</v>
      </c>
      <c r="G2276" t="s">
        <v>22</v>
      </c>
      <c r="H2276" s="1">
        <v>44811</v>
      </c>
    </row>
    <row r="2277" spans="1:8">
      <c r="A2277" t="s">
        <v>4585</v>
      </c>
      <c r="B2277" t="s">
        <v>4586</v>
      </c>
      <c r="C2277" t="s">
        <v>10</v>
      </c>
      <c r="D2277">
        <v>31</v>
      </c>
      <c r="E2277" t="s">
        <v>15</v>
      </c>
      <c r="F2277" t="s">
        <v>16</v>
      </c>
      <c r="G2277" t="s">
        <v>17</v>
      </c>
      <c r="H2277" s="1">
        <v>45622</v>
      </c>
    </row>
    <row r="2278" spans="1:8">
      <c r="A2278" t="s">
        <v>4587</v>
      </c>
      <c r="B2278" t="s">
        <v>4588</v>
      </c>
      <c r="C2278" t="s">
        <v>10</v>
      </c>
      <c r="D2278">
        <v>38</v>
      </c>
      <c r="E2278" t="s">
        <v>87</v>
      </c>
      <c r="F2278" t="s">
        <v>88</v>
      </c>
      <c r="G2278" t="s">
        <v>78</v>
      </c>
      <c r="H2278" s="1">
        <v>45006</v>
      </c>
    </row>
    <row r="2279" spans="1:8">
      <c r="A2279" t="s">
        <v>4589</v>
      </c>
      <c r="B2279" t="s">
        <v>1214</v>
      </c>
      <c r="C2279" t="s">
        <v>10</v>
      </c>
      <c r="D2279">
        <v>35</v>
      </c>
      <c r="E2279" t="s">
        <v>15</v>
      </c>
      <c r="F2279" t="s">
        <v>16</v>
      </c>
      <c r="G2279" t="s">
        <v>17</v>
      </c>
      <c r="H2279" s="1">
        <v>45978</v>
      </c>
    </row>
    <row r="2280" spans="1:8">
      <c r="A2280" t="s">
        <v>4590</v>
      </c>
      <c r="B2280" t="s">
        <v>4591</v>
      </c>
      <c r="C2280" t="s">
        <v>31</v>
      </c>
      <c r="D2280">
        <v>63</v>
      </c>
      <c r="E2280" t="s">
        <v>34</v>
      </c>
      <c r="F2280" t="s">
        <v>16</v>
      </c>
      <c r="G2280" t="s">
        <v>17</v>
      </c>
      <c r="H2280" s="1">
        <v>44750</v>
      </c>
    </row>
    <row r="2281" spans="1:8">
      <c r="A2281" t="s">
        <v>4592</v>
      </c>
      <c r="B2281" t="s">
        <v>4593</v>
      </c>
      <c r="C2281" t="s">
        <v>31</v>
      </c>
      <c r="D2281">
        <v>45</v>
      </c>
      <c r="E2281" t="s">
        <v>37</v>
      </c>
      <c r="F2281" t="s">
        <v>38</v>
      </c>
      <c r="G2281" t="s">
        <v>22</v>
      </c>
      <c r="H2281" s="1">
        <v>45518</v>
      </c>
    </row>
    <row r="2282" spans="1:8">
      <c r="A2282" t="s">
        <v>4594</v>
      </c>
      <c r="B2282" t="s">
        <v>4595</v>
      </c>
      <c r="C2282" t="s">
        <v>31</v>
      </c>
      <c r="D2282">
        <v>29</v>
      </c>
      <c r="E2282" t="s">
        <v>149</v>
      </c>
      <c r="F2282" t="s">
        <v>38</v>
      </c>
      <c r="G2282" t="s">
        <v>22</v>
      </c>
      <c r="H2282" s="1">
        <v>44957</v>
      </c>
    </row>
    <row r="2283" spans="1:8">
      <c r="A2283" t="s">
        <v>4596</v>
      </c>
      <c r="B2283" t="s">
        <v>4597</v>
      </c>
      <c r="C2283" t="s">
        <v>10</v>
      </c>
      <c r="D2283">
        <v>55</v>
      </c>
      <c r="E2283" t="s">
        <v>45</v>
      </c>
      <c r="F2283" t="s">
        <v>46</v>
      </c>
      <c r="G2283" t="s">
        <v>17</v>
      </c>
      <c r="H2283" s="1">
        <v>45366</v>
      </c>
    </row>
    <row r="2284" spans="1:8">
      <c r="A2284" t="s">
        <v>4598</v>
      </c>
      <c r="B2284" t="s">
        <v>4599</v>
      </c>
      <c r="C2284" t="s">
        <v>10</v>
      </c>
      <c r="D2284">
        <v>68</v>
      </c>
      <c r="E2284" t="s">
        <v>27</v>
      </c>
      <c r="F2284" t="s">
        <v>28</v>
      </c>
      <c r="G2284" t="s">
        <v>12</v>
      </c>
      <c r="H2284" s="1">
        <v>45200</v>
      </c>
    </row>
    <row r="2285" spans="1:8">
      <c r="A2285" t="s">
        <v>4600</v>
      </c>
      <c r="B2285" t="s">
        <v>4601</v>
      </c>
      <c r="C2285" t="s">
        <v>31</v>
      </c>
      <c r="D2285">
        <v>45</v>
      </c>
      <c r="E2285" t="s">
        <v>41</v>
      </c>
      <c r="F2285" t="s">
        <v>42</v>
      </c>
      <c r="G2285" t="s">
        <v>17</v>
      </c>
      <c r="H2285" s="1">
        <v>45449</v>
      </c>
    </row>
    <row r="2286" spans="1:8">
      <c r="A2286" t="s">
        <v>4602</v>
      </c>
      <c r="B2286" t="s">
        <v>4603</v>
      </c>
      <c r="C2286" t="s">
        <v>10</v>
      </c>
      <c r="D2286">
        <v>56</v>
      </c>
      <c r="E2286" t="s">
        <v>134</v>
      </c>
      <c r="F2286" t="s">
        <v>28</v>
      </c>
      <c r="G2286" t="s">
        <v>12</v>
      </c>
      <c r="H2286" s="1">
        <v>45214</v>
      </c>
    </row>
    <row r="2287" spans="1:8">
      <c r="A2287" t="s">
        <v>4604</v>
      </c>
      <c r="B2287" t="s">
        <v>4605</v>
      </c>
      <c r="C2287" t="s">
        <v>31</v>
      </c>
      <c r="D2287">
        <v>41</v>
      </c>
      <c r="E2287" t="s">
        <v>101</v>
      </c>
      <c r="F2287" t="s">
        <v>21</v>
      </c>
      <c r="G2287" t="s">
        <v>22</v>
      </c>
      <c r="H2287" s="1">
        <v>45723</v>
      </c>
    </row>
    <row r="2288" spans="1:8">
      <c r="A2288" t="s">
        <v>4606</v>
      </c>
      <c r="B2288" t="s">
        <v>4607</v>
      </c>
      <c r="C2288" t="s">
        <v>10</v>
      </c>
      <c r="D2288">
        <v>20</v>
      </c>
      <c r="E2288" t="s">
        <v>87</v>
      </c>
      <c r="F2288" t="s">
        <v>88</v>
      </c>
      <c r="G2288" t="s">
        <v>78</v>
      </c>
      <c r="H2288" s="1">
        <v>45482</v>
      </c>
    </row>
    <row r="2289" spans="1:8">
      <c r="A2289" t="s">
        <v>4608</v>
      </c>
      <c r="B2289" t="s">
        <v>4609</v>
      </c>
      <c r="C2289" t="s">
        <v>31</v>
      </c>
      <c r="D2289">
        <v>36</v>
      </c>
      <c r="E2289" t="s">
        <v>91</v>
      </c>
      <c r="F2289" t="s">
        <v>92</v>
      </c>
      <c r="G2289" t="s">
        <v>78</v>
      </c>
      <c r="H2289" s="1">
        <v>45763</v>
      </c>
    </row>
    <row r="2290" spans="1:8">
      <c r="A2290" t="s">
        <v>4610</v>
      </c>
      <c r="B2290" t="s">
        <v>4611</v>
      </c>
      <c r="C2290" t="s">
        <v>31</v>
      </c>
      <c r="D2290">
        <v>19</v>
      </c>
      <c r="E2290" t="s">
        <v>27</v>
      </c>
      <c r="F2290" t="s">
        <v>28</v>
      </c>
      <c r="G2290" t="s">
        <v>12</v>
      </c>
      <c r="H2290" s="1">
        <v>45283</v>
      </c>
    </row>
    <row r="2291" spans="1:8">
      <c r="A2291" t="s">
        <v>4612</v>
      </c>
      <c r="B2291" t="s">
        <v>4613</v>
      </c>
      <c r="C2291" t="s">
        <v>10</v>
      </c>
      <c r="D2291">
        <v>40</v>
      </c>
      <c r="E2291" t="s">
        <v>45</v>
      </c>
      <c r="F2291" t="s">
        <v>46</v>
      </c>
      <c r="G2291" t="s">
        <v>17</v>
      </c>
      <c r="H2291" s="1">
        <v>45441</v>
      </c>
    </row>
    <row r="2292" spans="1:8">
      <c r="A2292" t="s">
        <v>4614</v>
      </c>
      <c r="B2292" t="s">
        <v>4615</v>
      </c>
      <c r="C2292" t="s">
        <v>31</v>
      </c>
      <c r="D2292">
        <v>41</v>
      </c>
      <c r="E2292" t="s">
        <v>34</v>
      </c>
      <c r="F2292" t="s">
        <v>16</v>
      </c>
      <c r="G2292" t="s">
        <v>17</v>
      </c>
      <c r="H2292" s="1">
        <v>45907</v>
      </c>
    </row>
    <row r="2293" spans="1:8">
      <c r="A2293" t="s">
        <v>4616</v>
      </c>
      <c r="B2293" t="s">
        <v>4617</v>
      </c>
      <c r="C2293" t="s">
        <v>10</v>
      </c>
      <c r="D2293">
        <v>38</v>
      </c>
      <c r="E2293" t="s">
        <v>45</v>
      </c>
      <c r="F2293" t="s">
        <v>46</v>
      </c>
      <c r="G2293" t="s">
        <v>17</v>
      </c>
      <c r="H2293" s="1">
        <v>44812</v>
      </c>
    </row>
    <row r="2294" spans="1:8">
      <c r="A2294" t="s">
        <v>4618</v>
      </c>
      <c r="B2294" t="s">
        <v>4619</v>
      </c>
      <c r="C2294" t="s">
        <v>31</v>
      </c>
      <c r="D2294">
        <v>54</v>
      </c>
      <c r="E2294" t="s">
        <v>134</v>
      </c>
      <c r="F2294" t="s">
        <v>28</v>
      </c>
      <c r="G2294" t="s">
        <v>12</v>
      </c>
      <c r="H2294" s="1">
        <v>44999</v>
      </c>
    </row>
    <row r="2295" spans="1:8">
      <c r="A2295" t="s">
        <v>4620</v>
      </c>
      <c r="B2295" t="s">
        <v>4621</v>
      </c>
      <c r="C2295" t="s">
        <v>10</v>
      </c>
      <c r="D2295">
        <v>42</v>
      </c>
      <c r="E2295" t="s">
        <v>63</v>
      </c>
      <c r="F2295" t="s">
        <v>64</v>
      </c>
      <c r="G2295" t="s">
        <v>12</v>
      </c>
      <c r="H2295" s="1">
        <v>45712</v>
      </c>
    </row>
    <row r="2296" spans="1:8">
      <c r="A2296" t="s">
        <v>4622</v>
      </c>
      <c r="B2296" t="s">
        <v>4623</v>
      </c>
      <c r="C2296" t="s">
        <v>10</v>
      </c>
      <c r="D2296">
        <v>24</v>
      </c>
      <c r="E2296" t="s">
        <v>34</v>
      </c>
      <c r="F2296" t="s">
        <v>16</v>
      </c>
      <c r="G2296" t="s">
        <v>17</v>
      </c>
      <c r="H2296" s="1">
        <v>45641</v>
      </c>
    </row>
    <row r="2297" spans="1:8">
      <c r="A2297" t="s">
        <v>4624</v>
      </c>
      <c r="B2297" t="s">
        <v>4625</v>
      </c>
      <c r="C2297" t="s">
        <v>10</v>
      </c>
      <c r="D2297">
        <v>54</v>
      </c>
      <c r="E2297" t="s">
        <v>60</v>
      </c>
      <c r="F2297" t="s">
        <v>21</v>
      </c>
      <c r="G2297" t="s">
        <v>22</v>
      </c>
      <c r="H2297" s="1">
        <v>45936</v>
      </c>
    </row>
    <row r="2298" spans="1:8">
      <c r="A2298" t="s">
        <v>4626</v>
      </c>
      <c r="B2298" t="s">
        <v>4627</v>
      </c>
      <c r="C2298" t="s">
        <v>31</v>
      </c>
      <c r="D2298">
        <v>38</v>
      </c>
      <c r="E2298" t="s">
        <v>112</v>
      </c>
      <c r="F2298" t="s">
        <v>113</v>
      </c>
      <c r="G2298" t="s">
        <v>78</v>
      </c>
      <c r="H2298" s="1">
        <v>45959</v>
      </c>
    </row>
    <row r="2299" spans="1:8">
      <c r="A2299" t="s">
        <v>4628</v>
      </c>
      <c r="B2299" t="s">
        <v>4629</v>
      </c>
      <c r="C2299" t="s">
        <v>10</v>
      </c>
      <c r="D2299">
        <v>69</v>
      </c>
      <c r="E2299" t="s">
        <v>63</v>
      </c>
      <c r="F2299" t="s">
        <v>64</v>
      </c>
      <c r="G2299" t="s">
        <v>12</v>
      </c>
      <c r="H2299" s="1">
        <v>44965</v>
      </c>
    </row>
    <row r="2300" spans="1:8">
      <c r="A2300" t="s">
        <v>4630</v>
      </c>
      <c r="B2300" t="s">
        <v>4631</v>
      </c>
      <c r="C2300" t="s">
        <v>31</v>
      </c>
      <c r="D2300">
        <v>25</v>
      </c>
      <c r="E2300" t="s">
        <v>20</v>
      </c>
      <c r="F2300" t="s">
        <v>21</v>
      </c>
      <c r="G2300" t="s">
        <v>22</v>
      </c>
      <c r="H2300" s="1">
        <v>45124</v>
      </c>
    </row>
    <row r="2301" spans="1:8">
      <c r="A2301" t="s">
        <v>4632</v>
      </c>
      <c r="B2301" t="s">
        <v>4633</v>
      </c>
      <c r="C2301" t="s">
        <v>31</v>
      </c>
      <c r="D2301">
        <v>55</v>
      </c>
      <c r="E2301" t="s">
        <v>34</v>
      </c>
      <c r="F2301" t="s">
        <v>16</v>
      </c>
      <c r="G2301" t="s">
        <v>17</v>
      </c>
      <c r="H2301" s="1">
        <v>45793</v>
      </c>
    </row>
    <row r="2302" spans="1:8">
      <c r="A2302" t="s">
        <v>4634</v>
      </c>
      <c r="B2302" t="s">
        <v>4635</v>
      </c>
      <c r="C2302" t="s">
        <v>31</v>
      </c>
      <c r="D2302">
        <v>19</v>
      </c>
      <c r="E2302" t="s">
        <v>60</v>
      </c>
      <c r="F2302" t="s">
        <v>21</v>
      </c>
      <c r="G2302" t="s">
        <v>22</v>
      </c>
      <c r="H2302" s="1">
        <v>44605</v>
      </c>
    </row>
    <row r="2303" spans="1:8">
      <c r="A2303" t="s">
        <v>4636</v>
      </c>
      <c r="B2303" t="s">
        <v>4637</v>
      </c>
      <c r="C2303" t="s">
        <v>31</v>
      </c>
      <c r="D2303">
        <v>36</v>
      </c>
      <c r="E2303" t="s">
        <v>27</v>
      </c>
      <c r="F2303" t="s">
        <v>28</v>
      </c>
      <c r="G2303" t="s">
        <v>12</v>
      </c>
      <c r="H2303" s="1">
        <v>44571</v>
      </c>
    </row>
    <row r="2304" spans="1:8">
      <c r="A2304" t="s">
        <v>4638</v>
      </c>
      <c r="B2304" t="s">
        <v>4639</v>
      </c>
      <c r="C2304" t="s">
        <v>10</v>
      </c>
      <c r="D2304">
        <v>39</v>
      </c>
      <c r="E2304" t="s">
        <v>41</v>
      </c>
      <c r="F2304" t="s">
        <v>42</v>
      </c>
      <c r="G2304" t="s">
        <v>17</v>
      </c>
      <c r="H2304" s="1">
        <v>44637</v>
      </c>
    </row>
    <row r="2305" spans="1:8">
      <c r="A2305" t="s">
        <v>4640</v>
      </c>
      <c r="B2305" t="s">
        <v>4641</v>
      </c>
      <c r="C2305" t="s">
        <v>10</v>
      </c>
      <c r="D2305">
        <v>69</v>
      </c>
      <c r="E2305" t="s">
        <v>11</v>
      </c>
      <c r="F2305" t="s">
        <v>11</v>
      </c>
      <c r="G2305" t="s">
        <v>12</v>
      </c>
      <c r="H2305" s="1">
        <v>45524</v>
      </c>
    </row>
    <row r="2306" spans="1:8">
      <c r="A2306" t="s">
        <v>4642</v>
      </c>
      <c r="B2306" t="s">
        <v>4643</v>
      </c>
      <c r="C2306" t="s">
        <v>31</v>
      </c>
      <c r="D2306">
        <v>66</v>
      </c>
      <c r="E2306" t="s">
        <v>37</v>
      </c>
      <c r="F2306" t="s">
        <v>38</v>
      </c>
      <c r="G2306" t="s">
        <v>22</v>
      </c>
      <c r="H2306" s="1">
        <v>45124</v>
      </c>
    </row>
    <row r="2307" spans="1:8">
      <c r="A2307" t="s">
        <v>4644</v>
      </c>
      <c r="B2307" t="s">
        <v>4645</v>
      </c>
      <c r="C2307" t="s">
        <v>31</v>
      </c>
      <c r="D2307">
        <v>49</v>
      </c>
      <c r="E2307" t="s">
        <v>20</v>
      </c>
      <c r="F2307" t="s">
        <v>21</v>
      </c>
      <c r="G2307" t="s">
        <v>22</v>
      </c>
      <c r="H2307" s="1">
        <v>45701</v>
      </c>
    </row>
    <row r="2308" spans="1:8">
      <c r="A2308" t="s">
        <v>4646</v>
      </c>
      <c r="B2308" t="s">
        <v>4647</v>
      </c>
      <c r="C2308" t="s">
        <v>31</v>
      </c>
      <c r="D2308">
        <v>49</v>
      </c>
      <c r="E2308" t="s">
        <v>69</v>
      </c>
      <c r="F2308" t="s">
        <v>69</v>
      </c>
      <c r="G2308" t="s">
        <v>12</v>
      </c>
      <c r="H2308" s="1">
        <v>45173</v>
      </c>
    </row>
    <row r="2309" spans="1:8">
      <c r="A2309" t="s">
        <v>4648</v>
      </c>
      <c r="B2309" t="s">
        <v>4649</v>
      </c>
      <c r="C2309" t="s">
        <v>10</v>
      </c>
      <c r="D2309">
        <v>19</v>
      </c>
      <c r="E2309" t="s">
        <v>87</v>
      </c>
      <c r="F2309" t="s">
        <v>88</v>
      </c>
      <c r="G2309" t="s">
        <v>78</v>
      </c>
      <c r="H2309" s="1">
        <v>45327</v>
      </c>
    </row>
    <row r="2310" spans="1:8">
      <c r="A2310" t="s">
        <v>4650</v>
      </c>
      <c r="B2310" t="s">
        <v>4651</v>
      </c>
      <c r="C2310" t="s">
        <v>10</v>
      </c>
      <c r="D2310">
        <v>38</v>
      </c>
      <c r="E2310" t="s">
        <v>15</v>
      </c>
      <c r="F2310" t="s">
        <v>16</v>
      </c>
      <c r="G2310" t="s">
        <v>17</v>
      </c>
      <c r="H2310" s="1">
        <v>44846</v>
      </c>
    </row>
    <row r="2311" spans="1:8">
      <c r="A2311" t="s">
        <v>4652</v>
      </c>
      <c r="B2311" t="s">
        <v>4653</v>
      </c>
      <c r="C2311" t="s">
        <v>10</v>
      </c>
      <c r="D2311">
        <v>23</v>
      </c>
      <c r="E2311" t="s">
        <v>112</v>
      </c>
      <c r="F2311" t="s">
        <v>113</v>
      </c>
      <c r="G2311" t="s">
        <v>78</v>
      </c>
      <c r="H2311" s="1">
        <v>45025</v>
      </c>
    </row>
    <row r="2312" spans="1:8">
      <c r="A2312" t="s">
        <v>4654</v>
      </c>
      <c r="B2312" t="s">
        <v>4655</v>
      </c>
      <c r="C2312" t="s">
        <v>10</v>
      </c>
      <c r="D2312">
        <v>62</v>
      </c>
      <c r="E2312" t="s">
        <v>45</v>
      </c>
      <c r="F2312" t="s">
        <v>46</v>
      </c>
      <c r="G2312" t="s">
        <v>17</v>
      </c>
      <c r="H2312" s="1">
        <v>45662</v>
      </c>
    </row>
    <row r="2313" spans="1:8">
      <c r="A2313" t="s">
        <v>4656</v>
      </c>
      <c r="B2313" t="s">
        <v>4657</v>
      </c>
      <c r="C2313" t="s">
        <v>10</v>
      </c>
      <c r="D2313">
        <v>21</v>
      </c>
      <c r="E2313" t="s">
        <v>91</v>
      </c>
      <c r="F2313" t="s">
        <v>92</v>
      </c>
      <c r="G2313" t="s">
        <v>78</v>
      </c>
      <c r="H2313" s="1">
        <v>44650</v>
      </c>
    </row>
    <row r="2314" spans="1:8">
      <c r="A2314" t="s">
        <v>4658</v>
      </c>
      <c r="B2314" t="s">
        <v>4659</v>
      </c>
      <c r="C2314" t="s">
        <v>31</v>
      </c>
      <c r="D2314">
        <v>62</v>
      </c>
      <c r="E2314" t="s">
        <v>87</v>
      </c>
      <c r="F2314" t="s">
        <v>88</v>
      </c>
      <c r="G2314" t="s">
        <v>78</v>
      </c>
      <c r="H2314" s="1">
        <v>45102</v>
      </c>
    </row>
    <row r="2315" spans="1:8">
      <c r="A2315" t="s">
        <v>4660</v>
      </c>
      <c r="B2315" t="s">
        <v>4661</v>
      </c>
      <c r="C2315" t="s">
        <v>10</v>
      </c>
      <c r="D2315">
        <v>26</v>
      </c>
      <c r="E2315" t="s">
        <v>69</v>
      </c>
      <c r="F2315" t="s">
        <v>69</v>
      </c>
      <c r="G2315" t="s">
        <v>12</v>
      </c>
      <c r="H2315" s="1">
        <v>45114</v>
      </c>
    </row>
    <row r="2316" spans="1:8">
      <c r="A2316" t="s">
        <v>4662</v>
      </c>
      <c r="B2316" t="s">
        <v>4663</v>
      </c>
      <c r="C2316" t="s">
        <v>31</v>
      </c>
      <c r="D2316">
        <v>27</v>
      </c>
      <c r="E2316" t="s">
        <v>11</v>
      </c>
      <c r="F2316" t="s">
        <v>11</v>
      </c>
      <c r="G2316" t="s">
        <v>12</v>
      </c>
      <c r="H2316" s="1">
        <v>44820</v>
      </c>
    </row>
    <row r="2317" spans="1:8">
      <c r="A2317" t="s">
        <v>4664</v>
      </c>
      <c r="B2317" t="s">
        <v>4665</v>
      </c>
      <c r="C2317" t="s">
        <v>31</v>
      </c>
      <c r="D2317">
        <v>60</v>
      </c>
      <c r="E2317" t="s">
        <v>69</v>
      </c>
      <c r="F2317" t="s">
        <v>69</v>
      </c>
      <c r="G2317" t="s">
        <v>12</v>
      </c>
      <c r="H2317" s="1">
        <v>45866</v>
      </c>
    </row>
    <row r="2318" spans="1:8">
      <c r="A2318" t="s">
        <v>4666</v>
      </c>
      <c r="B2318" t="s">
        <v>4667</v>
      </c>
      <c r="C2318" t="s">
        <v>31</v>
      </c>
      <c r="D2318">
        <v>60</v>
      </c>
      <c r="E2318" t="s">
        <v>218</v>
      </c>
      <c r="F2318" t="s">
        <v>219</v>
      </c>
      <c r="G2318" t="s">
        <v>17</v>
      </c>
      <c r="H2318" s="1">
        <v>45054</v>
      </c>
    </row>
    <row r="2319" spans="1:8">
      <c r="A2319" t="s">
        <v>4668</v>
      </c>
      <c r="B2319" t="s">
        <v>4669</v>
      </c>
      <c r="C2319" t="s">
        <v>31</v>
      </c>
      <c r="D2319">
        <v>32</v>
      </c>
      <c r="E2319" t="s">
        <v>37</v>
      </c>
      <c r="F2319" t="s">
        <v>38</v>
      </c>
      <c r="G2319" t="s">
        <v>22</v>
      </c>
      <c r="H2319" s="1">
        <v>45221</v>
      </c>
    </row>
    <row r="2320" spans="1:8">
      <c r="A2320" t="s">
        <v>4670</v>
      </c>
      <c r="B2320" t="s">
        <v>4671</v>
      </c>
      <c r="C2320" t="s">
        <v>10</v>
      </c>
      <c r="D2320">
        <v>40</v>
      </c>
      <c r="E2320" t="s">
        <v>45</v>
      </c>
      <c r="F2320" t="s">
        <v>46</v>
      </c>
      <c r="G2320" t="s">
        <v>17</v>
      </c>
      <c r="H2320" s="1">
        <v>46018</v>
      </c>
    </row>
    <row r="2321" spans="1:8">
      <c r="A2321" t="s">
        <v>4672</v>
      </c>
      <c r="B2321" t="s">
        <v>4673</v>
      </c>
      <c r="C2321" t="s">
        <v>10</v>
      </c>
      <c r="D2321">
        <v>62</v>
      </c>
      <c r="E2321" t="s">
        <v>101</v>
      </c>
      <c r="F2321" t="s">
        <v>21</v>
      </c>
      <c r="G2321" t="s">
        <v>22</v>
      </c>
      <c r="H2321" s="1">
        <v>45912</v>
      </c>
    </row>
    <row r="2322" spans="1:8">
      <c r="A2322" t="s">
        <v>4674</v>
      </c>
      <c r="B2322" t="s">
        <v>4675</v>
      </c>
      <c r="C2322" t="s">
        <v>10</v>
      </c>
      <c r="D2322">
        <v>18</v>
      </c>
      <c r="E2322" t="s">
        <v>41</v>
      </c>
      <c r="F2322" t="s">
        <v>42</v>
      </c>
      <c r="G2322" t="s">
        <v>17</v>
      </c>
      <c r="H2322" s="1">
        <v>44685</v>
      </c>
    </row>
    <row r="2323" spans="1:8">
      <c r="A2323" t="s">
        <v>4676</v>
      </c>
      <c r="B2323" t="s">
        <v>4677</v>
      </c>
      <c r="C2323" t="s">
        <v>10</v>
      </c>
      <c r="D2323">
        <v>49</v>
      </c>
      <c r="E2323" t="s">
        <v>69</v>
      </c>
      <c r="F2323" t="s">
        <v>69</v>
      </c>
      <c r="G2323" t="s">
        <v>12</v>
      </c>
      <c r="H2323" s="1">
        <v>45350</v>
      </c>
    </row>
    <row r="2324" spans="1:8">
      <c r="A2324" t="s">
        <v>4678</v>
      </c>
      <c r="B2324" t="s">
        <v>4679</v>
      </c>
      <c r="C2324" t="s">
        <v>31</v>
      </c>
      <c r="D2324">
        <v>66</v>
      </c>
      <c r="E2324" t="s">
        <v>34</v>
      </c>
      <c r="F2324" t="s">
        <v>16</v>
      </c>
      <c r="G2324" t="s">
        <v>17</v>
      </c>
      <c r="H2324" s="1">
        <v>45771</v>
      </c>
    </row>
    <row r="2325" spans="1:8">
      <c r="A2325" t="s">
        <v>4680</v>
      </c>
      <c r="B2325" t="s">
        <v>4681</v>
      </c>
      <c r="C2325" t="s">
        <v>10</v>
      </c>
      <c r="D2325">
        <v>50</v>
      </c>
      <c r="E2325" t="s">
        <v>112</v>
      </c>
      <c r="F2325" t="s">
        <v>113</v>
      </c>
      <c r="G2325" t="s">
        <v>78</v>
      </c>
      <c r="H2325" s="1">
        <v>45904</v>
      </c>
    </row>
    <row r="2326" spans="1:8">
      <c r="A2326" t="s">
        <v>4682</v>
      </c>
      <c r="B2326" t="s">
        <v>4683</v>
      </c>
      <c r="C2326" t="s">
        <v>31</v>
      </c>
      <c r="D2326">
        <v>42</v>
      </c>
      <c r="E2326" t="s">
        <v>34</v>
      </c>
      <c r="F2326" t="s">
        <v>16</v>
      </c>
      <c r="G2326" t="s">
        <v>17</v>
      </c>
      <c r="H2326" s="1">
        <v>45010</v>
      </c>
    </row>
    <row r="2327" spans="1:8">
      <c r="A2327" t="s">
        <v>4684</v>
      </c>
      <c r="B2327" t="s">
        <v>4685</v>
      </c>
      <c r="C2327" t="s">
        <v>10</v>
      </c>
      <c r="D2327">
        <v>67</v>
      </c>
      <c r="E2327" t="s">
        <v>128</v>
      </c>
      <c r="F2327" t="s">
        <v>129</v>
      </c>
      <c r="G2327" t="s">
        <v>78</v>
      </c>
      <c r="H2327" s="1">
        <v>45613</v>
      </c>
    </row>
    <row r="2328" spans="1:8">
      <c r="A2328" t="s">
        <v>4686</v>
      </c>
      <c r="B2328" t="s">
        <v>4687</v>
      </c>
      <c r="C2328" t="s">
        <v>31</v>
      </c>
      <c r="D2328">
        <v>28</v>
      </c>
      <c r="E2328" t="s">
        <v>20</v>
      </c>
      <c r="F2328" t="s">
        <v>21</v>
      </c>
      <c r="G2328" t="s">
        <v>22</v>
      </c>
      <c r="H2328" s="1">
        <v>45131</v>
      </c>
    </row>
    <row r="2329" spans="1:8">
      <c r="A2329" t="s">
        <v>4688</v>
      </c>
      <c r="B2329" t="s">
        <v>4689</v>
      </c>
      <c r="C2329" t="s">
        <v>10</v>
      </c>
      <c r="D2329">
        <v>27</v>
      </c>
      <c r="E2329" t="s">
        <v>27</v>
      </c>
      <c r="F2329" t="s">
        <v>28</v>
      </c>
      <c r="G2329" t="s">
        <v>12</v>
      </c>
      <c r="H2329" s="1">
        <v>45889</v>
      </c>
    </row>
    <row r="2330" spans="1:8">
      <c r="A2330" t="s">
        <v>4690</v>
      </c>
      <c r="B2330" t="s">
        <v>4691</v>
      </c>
      <c r="C2330" t="s">
        <v>10</v>
      </c>
      <c r="D2330">
        <v>19</v>
      </c>
      <c r="E2330" t="s">
        <v>20</v>
      </c>
      <c r="F2330" t="s">
        <v>21</v>
      </c>
      <c r="G2330" t="s">
        <v>22</v>
      </c>
      <c r="H2330" s="1">
        <v>44787</v>
      </c>
    </row>
    <row r="2331" spans="1:8">
      <c r="A2331" t="s">
        <v>4692</v>
      </c>
      <c r="B2331" t="s">
        <v>4693</v>
      </c>
      <c r="C2331" t="s">
        <v>10</v>
      </c>
      <c r="D2331">
        <v>48</v>
      </c>
      <c r="E2331" t="s">
        <v>76</v>
      </c>
      <c r="F2331" t="s">
        <v>77</v>
      </c>
      <c r="G2331" t="s">
        <v>78</v>
      </c>
      <c r="H2331" s="1">
        <v>45108</v>
      </c>
    </row>
    <row r="2332" spans="1:8">
      <c r="A2332" t="s">
        <v>4694</v>
      </c>
      <c r="B2332" t="s">
        <v>4695</v>
      </c>
      <c r="C2332" t="s">
        <v>31</v>
      </c>
      <c r="D2332">
        <v>25</v>
      </c>
      <c r="E2332" t="s">
        <v>69</v>
      </c>
      <c r="F2332" t="s">
        <v>69</v>
      </c>
      <c r="G2332" t="s">
        <v>12</v>
      </c>
      <c r="H2332" s="1">
        <v>45282</v>
      </c>
    </row>
    <row r="2333" spans="1:8">
      <c r="A2333" t="s">
        <v>4696</v>
      </c>
      <c r="B2333" t="s">
        <v>4697</v>
      </c>
      <c r="C2333" t="s">
        <v>31</v>
      </c>
      <c r="D2333">
        <v>31</v>
      </c>
      <c r="E2333" t="s">
        <v>87</v>
      </c>
      <c r="F2333" t="s">
        <v>88</v>
      </c>
      <c r="G2333" t="s">
        <v>78</v>
      </c>
      <c r="H2333" s="1">
        <v>45287</v>
      </c>
    </row>
    <row r="2334" spans="1:8">
      <c r="A2334" t="s">
        <v>4698</v>
      </c>
      <c r="B2334" t="s">
        <v>4699</v>
      </c>
      <c r="C2334" t="s">
        <v>31</v>
      </c>
      <c r="D2334">
        <v>21</v>
      </c>
      <c r="E2334" t="s">
        <v>218</v>
      </c>
      <c r="F2334" t="s">
        <v>219</v>
      </c>
      <c r="G2334" t="s">
        <v>17</v>
      </c>
      <c r="H2334" s="1">
        <v>45444</v>
      </c>
    </row>
    <row r="2335" spans="1:8">
      <c r="A2335" t="s">
        <v>4700</v>
      </c>
      <c r="B2335" t="s">
        <v>4701</v>
      </c>
      <c r="C2335" t="s">
        <v>10</v>
      </c>
      <c r="D2335">
        <v>59</v>
      </c>
      <c r="E2335" t="s">
        <v>37</v>
      </c>
      <c r="F2335" t="s">
        <v>38</v>
      </c>
      <c r="G2335" t="s">
        <v>22</v>
      </c>
      <c r="H2335" s="1">
        <v>44762</v>
      </c>
    </row>
    <row r="2336" spans="1:8">
      <c r="A2336" t="s">
        <v>4702</v>
      </c>
      <c r="B2336" t="s">
        <v>4703</v>
      </c>
      <c r="C2336" t="s">
        <v>31</v>
      </c>
      <c r="D2336">
        <v>30</v>
      </c>
      <c r="E2336" t="s">
        <v>149</v>
      </c>
      <c r="F2336" t="s">
        <v>38</v>
      </c>
      <c r="G2336" t="s">
        <v>22</v>
      </c>
      <c r="H2336" s="1">
        <v>44959</v>
      </c>
    </row>
    <row r="2337" spans="1:8">
      <c r="A2337" t="s">
        <v>4704</v>
      </c>
      <c r="B2337" t="s">
        <v>4705</v>
      </c>
      <c r="C2337" t="s">
        <v>31</v>
      </c>
      <c r="D2337">
        <v>51</v>
      </c>
      <c r="E2337" t="s">
        <v>60</v>
      </c>
      <c r="F2337" t="s">
        <v>21</v>
      </c>
      <c r="G2337" t="s">
        <v>22</v>
      </c>
      <c r="H2337" s="1">
        <v>45127</v>
      </c>
    </row>
    <row r="2338" spans="1:8">
      <c r="A2338" t="s">
        <v>4706</v>
      </c>
      <c r="B2338" t="s">
        <v>4707</v>
      </c>
      <c r="C2338" t="s">
        <v>10</v>
      </c>
      <c r="D2338">
        <v>25</v>
      </c>
      <c r="E2338" t="s">
        <v>20</v>
      </c>
      <c r="F2338" t="s">
        <v>21</v>
      </c>
      <c r="G2338" t="s">
        <v>22</v>
      </c>
      <c r="H2338" s="1">
        <v>45885</v>
      </c>
    </row>
    <row r="2339" spans="1:8">
      <c r="A2339" t="s">
        <v>4708</v>
      </c>
      <c r="B2339" t="s">
        <v>4709</v>
      </c>
      <c r="C2339" t="s">
        <v>31</v>
      </c>
      <c r="D2339">
        <v>33</v>
      </c>
      <c r="E2339" t="s">
        <v>15</v>
      </c>
      <c r="F2339" t="s">
        <v>16</v>
      </c>
      <c r="G2339" t="s">
        <v>17</v>
      </c>
      <c r="H2339" s="1">
        <v>44635</v>
      </c>
    </row>
    <row r="2340" spans="1:8">
      <c r="A2340" t="s">
        <v>4710</v>
      </c>
      <c r="B2340" t="s">
        <v>4711</v>
      </c>
      <c r="C2340" t="s">
        <v>10</v>
      </c>
      <c r="D2340">
        <v>57</v>
      </c>
      <c r="E2340" t="s">
        <v>15</v>
      </c>
      <c r="F2340" t="s">
        <v>16</v>
      </c>
      <c r="G2340" t="s">
        <v>17</v>
      </c>
      <c r="H2340" s="1">
        <v>45126</v>
      </c>
    </row>
    <row r="2341" spans="1:8">
      <c r="A2341" t="s">
        <v>4712</v>
      </c>
      <c r="B2341" t="s">
        <v>4713</v>
      </c>
      <c r="C2341" t="s">
        <v>31</v>
      </c>
      <c r="D2341">
        <v>24</v>
      </c>
      <c r="E2341" t="s">
        <v>69</v>
      </c>
      <c r="F2341" t="s">
        <v>69</v>
      </c>
      <c r="G2341" t="s">
        <v>12</v>
      </c>
      <c r="H2341" s="1">
        <v>45364</v>
      </c>
    </row>
    <row r="2342" spans="1:8">
      <c r="A2342" t="s">
        <v>4714</v>
      </c>
      <c r="B2342" t="s">
        <v>4715</v>
      </c>
      <c r="C2342" t="s">
        <v>10</v>
      </c>
      <c r="D2342">
        <v>28</v>
      </c>
      <c r="E2342" t="s">
        <v>45</v>
      </c>
      <c r="F2342" t="s">
        <v>46</v>
      </c>
      <c r="G2342" t="s">
        <v>17</v>
      </c>
      <c r="H2342" s="1">
        <v>45576</v>
      </c>
    </row>
    <row r="2343" spans="1:8">
      <c r="A2343" t="s">
        <v>4716</v>
      </c>
      <c r="B2343" t="s">
        <v>4717</v>
      </c>
      <c r="C2343" t="s">
        <v>31</v>
      </c>
      <c r="D2343">
        <v>63</v>
      </c>
      <c r="E2343" t="s">
        <v>134</v>
      </c>
      <c r="F2343" t="s">
        <v>28</v>
      </c>
      <c r="G2343" t="s">
        <v>12</v>
      </c>
      <c r="H2343" s="1">
        <v>45866</v>
      </c>
    </row>
    <row r="2344" spans="1:8">
      <c r="A2344" t="s">
        <v>4718</v>
      </c>
      <c r="B2344" t="s">
        <v>4719</v>
      </c>
      <c r="C2344" t="s">
        <v>10</v>
      </c>
      <c r="D2344">
        <v>50</v>
      </c>
      <c r="E2344" t="s">
        <v>11</v>
      </c>
      <c r="F2344" t="s">
        <v>11</v>
      </c>
      <c r="G2344" t="s">
        <v>12</v>
      </c>
      <c r="H2344" s="1">
        <v>44755</v>
      </c>
    </row>
    <row r="2345" spans="1:8">
      <c r="A2345" t="s">
        <v>4720</v>
      </c>
      <c r="B2345" t="s">
        <v>4721</v>
      </c>
      <c r="C2345" t="s">
        <v>31</v>
      </c>
      <c r="D2345">
        <v>62</v>
      </c>
      <c r="E2345" t="s">
        <v>128</v>
      </c>
      <c r="F2345" t="s">
        <v>129</v>
      </c>
      <c r="G2345" t="s">
        <v>78</v>
      </c>
      <c r="H2345" s="1">
        <v>45538</v>
      </c>
    </row>
    <row r="2346" spans="1:8">
      <c r="A2346" t="s">
        <v>4722</v>
      </c>
      <c r="B2346" t="s">
        <v>4723</v>
      </c>
      <c r="C2346" t="s">
        <v>10</v>
      </c>
      <c r="D2346">
        <v>28</v>
      </c>
      <c r="E2346" t="s">
        <v>45</v>
      </c>
      <c r="F2346" t="s">
        <v>46</v>
      </c>
      <c r="G2346" t="s">
        <v>17</v>
      </c>
      <c r="H2346" s="1">
        <v>45957</v>
      </c>
    </row>
    <row r="2347" spans="1:8">
      <c r="A2347" t="s">
        <v>4724</v>
      </c>
      <c r="B2347" t="s">
        <v>4544</v>
      </c>
      <c r="C2347" t="s">
        <v>10</v>
      </c>
      <c r="D2347">
        <v>60</v>
      </c>
      <c r="E2347" t="s">
        <v>41</v>
      </c>
      <c r="F2347" t="s">
        <v>42</v>
      </c>
      <c r="G2347" t="s">
        <v>17</v>
      </c>
      <c r="H2347" s="1">
        <v>44852</v>
      </c>
    </row>
    <row r="2348" spans="1:8">
      <c r="A2348" t="s">
        <v>4725</v>
      </c>
      <c r="B2348" t="s">
        <v>4726</v>
      </c>
      <c r="C2348" t="s">
        <v>10</v>
      </c>
      <c r="D2348">
        <v>34</v>
      </c>
      <c r="E2348" t="s">
        <v>37</v>
      </c>
      <c r="F2348" t="s">
        <v>38</v>
      </c>
      <c r="G2348" t="s">
        <v>22</v>
      </c>
      <c r="H2348" s="1">
        <v>44604</v>
      </c>
    </row>
    <row r="2349" spans="1:8">
      <c r="A2349" t="s">
        <v>4727</v>
      </c>
      <c r="B2349" t="s">
        <v>4728</v>
      </c>
      <c r="C2349" t="s">
        <v>10</v>
      </c>
      <c r="D2349">
        <v>56</v>
      </c>
      <c r="E2349" t="s">
        <v>76</v>
      </c>
      <c r="F2349" t="s">
        <v>77</v>
      </c>
      <c r="G2349" t="s">
        <v>78</v>
      </c>
      <c r="H2349" s="1">
        <v>45953</v>
      </c>
    </row>
    <row r="2350" spans="1:8">
      <c r="A2350" t="s">
        <v>4729</v>
      </c>
      <c r="B2350" t="s">
        <v>4730</v>
      </c>
      <c r="C2350" t="s">
        <v>10</v>
      </c>
      <c r="D2350">
        <v>49</v>
      </c>
      <c r="E2350" t="s">
        <v>149</v>
      </c>
      <c r="F2350" t="s">
        <v>38</v>
      </c>
      <c r="G2350" t="s">
        <v>22</v>
      </c>
      <c r="H2350" s="1">
        <v>45756</v>
      </c>
    </row>
    <row r="2351" spans="1:8">
      <c r="A2351" t="s">
        <v>4731</v>
      </c>
      <c r="B2351" t="s">
        <v>4732</v>
      </c>
      <c r="C2351" t="s">
        <v>10</v>
      </c>
      <c r="D2351">
        <v>70</v>
      </c>
      <c r="E2351" t="s">
        <v>112</v>
      </c>
      <c r="F2351" t="s">
        <v>113</v>
      </c>
      <c r="G2351" t="s">
        <v>78</v>
      </c>
      <c r="H2351" s="1">
        <v>44786</v>
      </c>
    </row>
    <row r="2352" spans="1:8">
      <c r="A2352" t="s">
        <v>4733</v>
      </c>
      <c r="B2352" t="s">
        <v>4734</v>
      </c>
      <c r="C2352" t="s">
        <v>10</v>
      </c>
      <c r="D2352">
        <v>66</v>
      </c>
      <c r="E2352" t="s">
        <v>45</v>
      </c>
      <c r="F2352" t="s">
        <v>46</v>
      </c>
      <c r="G2352" t="s">
        <v>17</v>
      </c>
      <c r="H2352" s="1">
        <v>45029</v>
      </c>
    </row>
    <row r="2353" spans="1:8">
      <c r="A2353" t="s">
        <v>4735</v>
      </c>
      <c r="B2353" t="s">
        <v>4736</v>
      </c>
      <c r="C2353" t="s">
        <v>31</v>
      </c>
      <c r="D2353">
        <v>69</v>
      </c>
      <c r="E2353" t="s">
        <v>15</v>
      </c>
      <c r="F2353" t="s">
        <v>16</v>
      </c>
      <c r="G2353" t="s">
        <v>17</v>
      </c>
      <c r="H2353" s="1">
        <v>44766</v>
      </c>
    </row>
    <row r="2354" spans="1:8">
      <c r="A2354" t="s">
        <v>4737</v>
      </c>
      <c r="B2354" t="s">
        <v>4738</v>
      </c>
      <c r="C2354" t="s">
        <v>31</v>
      </c>
      <c r="D2354">
        <v>52</v>
      </c>
      <c r="E2354" t="s">
        <v>69</v>
      </c>
      <c r="F2354" t="s">
        <v>69</v>
      </c>
      <c r="G2354" t="s">
        <v>12</v>
      </c>
      <c r="H2354" s="1">
        <v>45566</v>
      </c>
    </row>
    <row r="2355" spans="1:8">
      <c r="A2355" t="s">
        <v>4739</v>
      </c>
      <c r="B2355" t="s">
        <v>4740</v>
      </c>
      <c r="C2355" t="s">
        <v>31</v>
      </c>
      <c r="D2355">
        <v>47</v>
      </c>
      <c r="E2355" t="s">
        <v>41</v>
      </c>
      <c r="F2355" t="s">
        <v>42</v>
      </c>
      <c r="G2355" t="s">
        <v>17</v>
      </c>
      <c r="H2355" s="1">
        <v>45081</v>
      </c>
    </row>
    <row r="2356" spans="1:8">
      <c r="A2356" t="s">
        <v>4741</v>
      </c>
      <c r="B2356" t="s">
        <v>4742</v>
      </c>
      <c r="C2356" t="s">
        <v>31</v>
      </c>
      <c r="D2356">
        <v>51</v>
      </c>
      <c r="E2356" t="s">
        <v>45</v>
      </c>
      <c r="F2356" t="s">
        <v>46</v>
      </c>
      <c r="G2356" t="s">
        <v>17</v>
      </c>
      <c r="H2356" s="1">
        <v>45178</v>
      </c>
    </row>
    <row r="2357" spans="1:8">
      <c r="A2357" t="s">
        <v>4743</v>
      </c>
      <c r="B2357" t="s">
        <v>4744</v>
      </c>
      <c r="C2357" t="s">
        <v>10</v>
      </c>
      <c r="D2357">
        <v>35</v>
      </c>
      <c r="E2357" t="s">
        <v>27</v>
      </c>
      <c r="F2357" t="s">
        <v>28</v>
      </c>
      <c r="G2357" t="s">
        <v>12</v>
      </c>
      <c r="H2357" s="1">
        <v>45553</v>
      </c>
    </row>
    <row r="2358" spans="1:8">
      <c r="A2358" t="s">
        <v>4745</v>
      </c>
      <c r="B2358" t="s">
        <v>4746</v>
      </c>
      <c r="C2358" t="s">
        <v>31</v>
      </c>
      <c r="D2358">
        <v>32</v>
      </c>
      <c r="E2358" t="s">
        <v>11</v>
      </c>
      <c r="F2358" t="s">
        <v>11</v>
      </c>
      <c r="G2358" t="s">
        <v>12</v>
      </c>
      <c r="H2358" s="1">
        <v>44864</v>
      </c>
    </row>
    <row r="2359" spans="1:8">
      <c r="A2359" t="s">
        <v>4747</v>
      </c>
      <c r="B2359" t="s">
        <v>4748</v>
      </c>
      <c r="C2359" t="s">
        <v>31</v>
      </c>
      <c r="D2359">
        <v>19</v>
      </c>
      <c r="E2359" t="s">
        <v>63</v>
      </c>
      <c r="F2359" t="s">
        <v>64</v>
      </c>
      <c r="G2359" t="s">
        <v>12</v>
      </c>
      <c r="H2359" s="1">
        <v>45293</v>
      </c>
    </row>
    <row r="2360" spans="1:8">
      <c r="A2360" t="s">
        <v>4749</v>
      </c>
      <c r="B2360" t="s">
        <v>4750</v>
      </c>
      <c r="C2360" t="s">
        <v>10</v>
      </c>
      <c r="D2360">
        <v>65</v>
      </c>
      <c r="E2360" t="s">
        <v>41</v>
      </c>
      <c r="F2360" t="s">
        <v>42</v>
      </c>
      <c r="G2360" t="s">
        <v>17</v>
      </c>
      <c r="H2360" s="1">
        <v>45298</v>
      </c>
    </row>
    <row r="2361" spans="1:8">
      <c r="A2361" t="s">
        <v>4751</v>
      </c>
      <c r="B2361" t="s">
        <v>4752</v>
      </c>
      <c r="C2361" t="s">
        <v>10</v>
      </c>
      <c r="D2361">
        <v>35</v>
      </c>
      <c r="E2361" t="s">
        <v>41</v>
      </c>
      <c r="F2361" t="s">
        <v>42</v>
      </c>
      <c r="G2361" t="s">
        <v>17</v>
      </c>
      <c r="H2361" s="1">
        <v>45870</v>
      </c>
    </row>
    <row r="2362" spans="1:8">
      <c r="A2362" t="s">
        <v>4753</v>
      </c>
      <c r="B2362" t="s">
        <v>4754</v>
      </c>
      <c r="C2362" t="s">
        <v>10</v>
      </c>
      <c r="D2362">
        <v>34</v>
      </c>
      <c r="E2362" t="s">
        <v>128</v>
      </c>
      <c r="F2362" t="s">
        <v>129</v>
      </c>
      <c r="G2362" t="s">
        <v>78</v>
      </c>
      <c r="H2362" s="1">
        <v>45482</v>
      </c>
    </row>
    <row r="2363" spans="1:8">
      <c r="A2363" t="s">
        <v>4755</v>
      </c>
      <c r="B2363" t="s">
        <v>4756</v>
      </c>
      <c r="C2363" t="s">
        <v>31</v>
      </c>
      <c r="D2363">
        <v>55</v>
      </c>
      <c r="E2363" t="s">
        <v>91</v>
      </c>
      <c r="F2363" t="s">
        <v>92</v>
      </c>
      <c r="G2363" t="s">
        <v>78</v>
      </c>
      <c r="H2363" s="1">
        <v>45240</v>
      </c>
    </row>
    <row r="2364" spans="1:8">
      <c r="A2364" t="s">
        <v>4757</v>
      </c>
      <c r="B2364" t="s">
        <v>4758</v>
      </c>
      <c r="C2364" t="s">
        <v>10</v>
      </c>
      <c r="D2364">
        <v>20</v>
      </c>
      <c r="E2364" t="s">
        <v>37</v>
      </c>
      <c r="F2364" t="s">
        <v>38</v>
      </c>
      <c r="G2364" t="s">
        <v>22</v>
      </c>
      <c r="H2364" s="1">
        <v>45195</v>
      </c>
    </row>
    <row r="2365" spans="1:8">
      <c r="A2365" t="s">
        <v>4759</v>
      </c>
      <c r="B2365" t="s">
        <v>4760</v>
      </c>
      <c r="C2365" t="s">
        <v>10</v>
      </c>
      <c r="D2365">
        <v>45</v>
      </c>
      <c r="E2365" t="s">
        <v>37</v>
      </c>
      <c r="F2365" t="s">
        <v>38</v>
      </c>
      <c r="G2365" t="s">
        <v>22</v>
      </c>
      <c r="H2365" s="1">
        <v>45816</v>
      </c>
    </row>
    <row r="2366" spans="1:8">
      <c r="A2366" t="s">
        <v>4761</v>
      </c>
      <c r="B2366" t="s">
        <v>4762</v>
      </c>
      <c r="C2366" t="s">
        <v>31</v>
      </c>
      <c r="D2366">
        <v>25</v>
      </c>
      <c r="E2366" t="s">
        <v>27</v>
      </c>
      <c r="F2366" t="s">
        <v>28</v>
      </c>
      <c r="G2366" t="s">
        <v>12</v>
      </c>
      <c r="H2366" s="1">
        <v>45272</v>
      </c>
    </row>
    <row r="2367" spans="1:8">
      <c r="A2367" t="s">
        <v>4763</v>
      </c>
      <c r="B2367" t="s">
        <v>4764</v>
      </c>
      <c r="C2367" t="s">
        <v>10</v>
      </c>
      <c r="D2367">
        <v>47</v>
      </c>
      <c r="E2367" t="s">
        <v>112</v>
      </c>
      <c r="F2367" t="s">
        <v>113</v>
      </c>
      <c r="G2367" t="s">
        <v>78</v>
      </c>
      <c r="H2367" s="1">
        <v>45965</v>
      </c>
    </row>
    <row r="2368" spans="1:8">
      <c r="A2368" t="s">
        <v>4765</v>
      </c>
      <c r="B2368" t="s">
        <v>4766</v>
      </c>
      <c r="C2368" t="s">
        <v>10</v>
      </c>
      <c r="D2368">
        <v>37</v>
      </c>
      <c r="E2368" t="s">
        <v>27</v>
      </c>
      <c r="F2368" t="s">
        <v>28</v>
      </c>
      <c r="G2368" t="s">
        <v>12</v>
      </c>
      <c r="H2368" s="1">
        <v>45155</v>
      </c>
    </row>
    <row r="2369" spans="1:8">
      <c r="A2369" t="s">
        <v>4767</v>
      </c>
      <c r="B2369" t="s">
        <v>4768</v>
      </c>
      <c r="C2369" t="s">
        <v>10</v>
      </c>
      <c r="D2369">
        <v>47</v>
      </c>
      <c r="E2369" t="s">
        <v>20</v>
      </c>
      <c r="F2369" t="s">
        <v>21</v>
      </c>
      <c r="G2369" t="s">
        <v>22</v>
      </c>
      <c r="H2369" s="1">
        <v>45165</v>
      </c>
    </row>
    <row r="2370" spans="1:8">
      <c r="A2370" t="s">
        <v>4769</v>
      </c>
      <c r="B2370" t="s">
        <v>4770</v>
      </c>
      <c r="C2370" t="s">
        <v>10</v>
      </c>
      <c r="D2370">
        <v>21</v>
      </c>
      <c r="E2370" t="s">
        <v>45</v>
      </c>
      <c r="F2370" t="s">
        <v>46</v>
      </c>
      <c r="G2370" t="s">
        <v>17</v>
      </c>
      <c r="H2370" s="1">
        <v>45776</v>
      </c>
    </row>
    <row r="2371" spans="1:8">
      <c r="A2371" t="s">
        <v>4771</v>
      </c>
      <c r="B2371" t="s">
        <v>4772</v>
      </c>
      <c r="C2371" t="s">
        <v>31</v>
      </c>
      <c r="D2371">
        <v>60</v>
      </c>
      <c r="E2371" t="s">
        <v>20</v>
      </c>
      <c r="F2371" t="s">
        <v>21</v>
      </c>
      <c r="G2371" t="s">
        <v>22</v>
      </c>
      <c r="H2371" s="1">
        <v>45443</v>
      </c>
    </row>
    <row r="2372" spans="1:8">
      <c r="A2372" t="s">
        <v>4773</v>
      </c>
      <c r="B2372" t="s">
        <v>4774</v>
      </c>
      <c r="C2372" t="s">
        <v>10</v>
      </c>
      <c r="D2372">
        <v>40</v>
      </c>
      <c r="E2372" t="s">
        <v>87</v>
      </c>
      <c r="F2372" t="s">
        <v>88</v>
      </c>
      <c r="G2372" t="s">
        <v>78</v>
      </c>
      <c r="H2372" s="1">
        <v>45076</v>
      </c>
    </row>
    <row r="2373" spans="1:8">
      <c r="A2373" t="s">
        <v>4775</v>
      </c>
      <c r="B2373" t="s">
        <v>4776</v>
      </c>
      <c r="C2373" t="s">
        <v>10</v>
      </c>
      <c r="D2373">
        <v>23</v>
      </c>
      <c r="E2373" t="s">
        <v>128</v>
      </c>
      <c r="F2373" t="s">
        <v>129</v>
      </c>
      <c r="G2373" t="s">
        <v>78</v>
      </c>
      <c r="H2373" s="1">
        <v>45924</v>
      </c>
    </row>
    <row r="2374" spans="1:8">
      <c r="A2374" t="s">
        <v>4777</v>
      </c>
      <c r="B2374" t="s">
        <v>4778</v>
      </c>
      <c r="C2374" t="s">
        <v>31</v>
      </c>
      <c r="D2374">
        <v>55</v>
      </c>
      <c r="E2374" t="s">
        <v>63</v>
      </c>
      <c r="F2374" t="s">
        <v>64</v>
      </c>
      <c r="G2374" t="s">
        <v>12</v>
      </c>
      <c r="H2374" s="1">
        <v>44964</v>
      </c>
    </row>
    <row r="2375" spans="1:8">
      <c r="A2375" t="s">
        <v>4779</v>
      </c>
      <c r="B2375" t="s">
        <v>4780</v>
      </c>
      <c r="C2375" t="s">
        <v>10</v>
      </c>
      <c r="D2375">
        <v>48</v>
      </c>
      <c r="E2375" t="s">
        <v>91</v>
      </c>
      <c r="F2375" t="s">
        <v>92</v>
      </c>
      <c r="G2375" t="s">
        <v>78</v>
      </c>
      <c r="H2375" s="1">
        <v>45010</v>
      </c>
    </row>
    <row r="2376" spans="1:8">
      <c r="A2376" t="s">
        <v>4781</v>
      </c>
      <c r="B2376" t="s">
        <v>4782</v>
      </c>
      <c r="C2376" t="s">
        <v>31</v>
      </c>
      <c r="D2376">
        <v>45</v>
      </c>
      <c r="E2376" t="s">
        <v>76</v>
      </c>
      <c r="F2376" t="s">
        <v>77</v>
      </c>
      <c r="G2376" t="s">
        <v>78</v>
      </c>
      <c r="H2376" s="1">
        <v>45951</v>
      </c>
    </row>
    <row r="2377" spans="1:8">
      <c r="A2377" t="s">
        <v>4783</v>
      </c>
      <c r="B2377" t="s">
        <v>4784</v>
      </c>
      <c r="C2377" t="s">
        <v>31</v>
      </c>
      <c r="D2377">
        <v>56</v>
      </c>
      <c r="E2377" t="s">
        <v>20</v>
      </c>
      <c r="F2377" t="s">
        <v>21</v>
      </c>
      <c r="G2377" t="s">
        <v>22</v>
      </c>
      <c r="H2377" s="1">
        <v>45097</v>
      </c>
    </row>
    <row r="2378" spans="1:8">
      <c r="A2378" t="s">
        <v>4785</v>
      </c>
      <c r="B2378" t="s">
        <v>4786</v>
      </c>
      <c r="C2378" t="s">
        <v>31</v>
      </c>
      <c r="D2378">
        <v>69</v>
      </c>
      <c r="E2378" t="s">
        <v>60</v>
      </c>
      <c r="F2378" t="s">
        <v>21</v>
      </c>
      <c r="G2378" t="s">
        <v>22</v>
      </c>
      <c r="H2378" s="1">
        <v>45454</v>
      </c>
    </row>
    <row r="2379" spans="1:8">
      <c r="A2379" t="s">
        <v>4787</v>
      </c>
      <c r="B2379" t="s">
        <v>4788</v>
      </c>
      <c r="C2379" t="s">
        <v>10</v>
      </c>
      <c r="D2379">
        <v>44</v>
      </c>
      <c r="E2379" t="s">
        <v>101</v>
      </c>
      <c r="F2379" t="s">
        <v>21</v>
      </c>
      <c r="G2379" t="s">
        <v>22</v>
      </c>
      <c r="H2379" s="1">
        <v>45074</v>
      </c>
    </row>
    <row r="2380" spans="1:8">
      <c r="A2380" t="s">
        <v>4789</v>
      </c>
      <c r="B2380" t="s">
        <v>4790</v>
      </c>
      <c r="C2380" t="s">
        <v>10</v>
      </c>
      <c r="D2380">
        <v>37</v>
      </c>
      <c r="E2380" t="s">
        <v>37</v>
      </c>
      <c r="F2380" t="s">
        <v>38</v>
      </c>
      <c r="G2380" t="s">
        <v>22</v>
      </c>
      <c r="H2380" s="1">
        <v>45186</v>
      </c>
    </row>
    <row r="2381" spans="1:8">
      <c r="A2381" t="s">
        <v>4791</v>
      </c>
      <c r="B2381" t="s">
        <v>4792</v>
      </c>
      <c r="C2381" t="s">
        <v>10</v>
      </c>
      <c r="D2381">
        <v>42</v>
      </c>
      <c r="E2381" t="s">
        <v>149</v>
      </c>
      <c r="F2381" t="s">
        <v>38</v>
      </c>
      <c r="G2381" t="s">
        <v>22</v>
      </c>
      <c r="H2381" s="1">
        <v>45679</v>
      </c>
    </row>
    <row r="2382" spans="1:8">
      <c r="A2382" t="s">
        <v>4793</v>
      </c>
      <c r="B2382" t="s">
        <v>4794</v>
      </c>
      <c r="C2382" t="s">
        <v>10</v>
      </c>
      <c r="D2382">
        <v>51</v>
      </c>
      <c r="E2382" t="s">
        <v>69</v>
      </c>
      <c r="F2382" t="s">
        <v>69</v>
      </c>
      <c r="G2382" t="s">
        <v>12</v>
      </c>
      <c r="H2382" s="1">
        <v>44758</v>
      </c>
    </row>
    <row r="2383" spans="1:8">
      <c r="A2383" t="s">
        <v>4795</v>
      </c>
      <c r="B2383" t="s">
        <v>4796</v>
      </c>
      <c r="C2383" t="s">
        <v>31</v>
      </c>
      <c r="D2383">
        <v>47</v>
      </c>
      <c r="E2383" t="s">
        <v>37</v>
      </c>
      <c r="F2383" t="s">
        <v>38</v>
      </c>
      <c r="G2383" t="s">
        <v>22</v>
      </c>
      <c r="H2383" s="1">
        <v>45593</v>
      </c>
    </row>
    <row r="2384" spans="1:8">
      <c r="A2384" t="s">
        <v>4797</v>
      </c>
      <c r="B2384" t="s">
        <v>4798</v>
      </c>
      <c r="C2384" t="s">
        <v>31</v>
      </c>
      <c r="D2384">
        <v>47</v>
      </c>
      <c r="E2384" t="s">
        <v>149</v>
      </c>
      <c r="F2384" t="s">
        <v>38</v>
      </c>
      <c r="G2384" t="s">
        <v>22</v>
      </c>
      <c r="H2384" s="1">
        <v>45423</v>
      </c>
    </row>
    <row r="2385" spans="1:8">
      <c r="A2385" t="s">
        <v>4799</v>
      </c>
      <c r="B2385" t="s">
        <v>4800</v>
      </c>
      <c r="C2385" t="s">
        <v>31</v>
      </c>
      <c r="D2385">
        <v>23</v>
      </c>
      <c r="E2385" t="s">
        <v>218</v>
      </c>
      <c r="F2385" t="s">
        <v>219</v>
      </c>
      <c r="G2385" t="s">
        <v>17</v>
      </c>
      <c r="H2385" s="1">
        <v>44616</v>
      </c>
    </row>
    <row r="2386" spans="1:8">
      <c r="A2386" t="s">
        <v>4801</v>
      </c>
      <c r="B2386" t="s">
        <v>4802</v>
      </c>
      <c r="C2386" t="s">
        <v>10</v>
      </c>
      <c r="D2386">
        <v>55</v>
      </c>
      <c r="E2386" t="s">
        <v>27</v>
      </c>
      <c r="F2386" t="s">
        <v>28</v>
      </c>
      <c r="G2386" t="s">
        <v>12</v>
      </c>
      <c r="H2386" s="1">
        <v>45181</v>
      </c>
    </row>
    <row r="2387" spans="1:8">
      <c r="A2387" t="s">
        <v>4803</v>
      </c>
      <c r="B2387" t="s">
        <v>4804</v>
      </c>
      <c r="C2387" t="s">
        <v>31</v>
      </c>
      <c r="D2387">
        <v>21</v>
      </c>
      <c r="E2387" t="s">
        <v>101</v>
      </c>
      <c r="F2387" t="s">
        <v>21</v>
      </c>
      <c r="G2387" t="s">
        <v>22</v>
      </c>
      <c r="H2387" s="1">
        <v>45833</v>
      </c>
    </row>
    <row r="2388" spans="1:8">
      <c r="A2388" t="s">
        <v>4805</v>
      </c>
      <c r="B2388" t="s">
        <v>4806</v>
      </c>
      <c r="C2388" t="s">
        <v>31</v>
      </c>
      <c r="D2388">
        <v>60</v>
      </c>
      <c r="E2388" t="s">
        <v>69</v>
      </c>
      <c r="F2388" t="s">
        <v>69</v>
      </c>
      <c r="G2388" t="s">
        <v>12</v>
      </c>
      <c r="H2388" s="1">
        <v>44819</v>
      </c>
    </row>
    <row r="2389" spans="1:8">
      <c r="A2389" t="s">
        <v>4807</v>
      </c>
      <c r="B2389" t="s">
        <v>4808</v>
      </c>
      <c r="C2389" t="s">
        <v>10</v>
      </c>
      <c r="D2389">
        <v>23</v>
      </c>
      <c r="E2389" t="s">
        <v>218</v>
      </c>
      <c r="F2389" t="s">
        <v>219</v>
      </c>
      <c r="G2389" t="s">
        <v>17</v>
      </c>
      <c r="H2389" s="1">
        <v>45504</v>
      </c>
    </row>
    <row r="2390" spans="1:8">
      <c r="A2390" t="s">
        <v>4809</v>
      </c>
      <c r="B2390" t="s">
        <v>663</v>
      </c>
      <c r="C2390" t="s">
        <v>10</v>
      </c>
      <c r="D2390">
        <v>70</v>
      </c>
      <c r="E2390" t="s">
        <v>15</v>
      </c>
      <c r="F2390" t="s">
        <v>16</v>
      </c>
      <c r="G2390" t="s">
        <v>17</v>
      </c>
      <c r="H2390" s="1">
        <v>45244</v>
      </c>
    </row>
    <row r="2391" spans="1:8">
      <c r="A2391" t="s">
        <v>4810</v>
      </c>
      <c r="B2391" t="s">
        <v>4811</v>
      </c>
      <c r="C2391" t="s">
        <v>31</v>
      </c>
      <c r="D2391">
        <v>21</v>
      </c>
      <c r="E2391" t="s">
        <v>41</v>
      </c>
      <c r="F2391" t="s">
        <v>42</v>
      </c>
      <c r="G2391" t="s">
        <v>17</v>
      </c>
      <c r="H2391" s="1">
        <v>45976</v>
      </c>
    </row>
    <row r="2392" spans="1:8">
      <c r="A2392" t="s">
        <v>4812</v>
      </c>
      <c r="B2392" t="s">
        <v>4813</v>
      </c>
      <c r="C2392" t="s">
        <v>10</v>
      </c>
      <c r="D2392">
        <v>62</v>
      </c>
      <c r="E2392" t="s">
        <v>218</v>
      </c>
      <c r="F2392" t="s">
        <v>219</v>
      </c>
      <c r="G2392" t="s">
        <v>17</v>
      </c>
      <c r="H2392" s="1">
        <v>45943</v>
      </c>
    </row>
    <row r="2393" spans="1:8">
      <c r="A2393" t="s">
        <v>4814</v>
      </c>
      <c r="B2393" t="s">
        <v>4815</v>
      </c>
      <c r="C2393" t="s">
        <v>31</v>
      </c>
      <c r="D2393">
        <v>26</v>
      </c>
      <c r="E2393" t="s">
        <v>34</v>
      </c>
      <c r="F2393" t="s">
        <v>16</v>
      </c>
      <c r="G2393" t="s">
        <v>17</v>
      </c>
      <c r="H2393" s="1">
        <v>45713</v>
      </c>
    </row>
    <row r="2394" spans="1:8">
      <c r="A2394" t="s">
        <v>4816</v>
      </c>
      <c r="B2394" t="s">
        <v>4817</v>
      </c>
      <c r="C2394" t="s">
        <v>31</v>
      </c>
      <c r="D2394">
        <v>64</v>
      </c>
      <c r="E2394" t="s">
        <v>34</v>
      </c>
      <c r="F2394" t="s">
        <v>16</v>
      </c>
      <c r="G2394" t="s">
        <v>17</v>
      </c>
      <c r="H2394" s="1">
        <v>45178</v>
      </c>
    </row>
    <row r="2395" spans="1:8">
      <c r="A2395" t="s">
        <v>4818</v>
      </c>
      <c r="B2395" t="s">
        <v>4819</v>
      </c>
      <c r="C2395" t="s">
        <v>10</v>
      </c>
      <c r="D2395">
        <v>25</v>
      </c>
      <c r="E2395" t="s">
        <v>87</v>
      </c>
      <c r="F2395" t="s">
        <v>88</v>
      </c>
      <c r="G2395" t="s">
        <v>78</v>
      </c>
      <c r="H2395" s="1">
        <v>45555</v>
      </c>
    </row>
    <row r="2396" spans="1:8">
      <c r="A2396" t="s">
        <v>4820</v>
      </c>
      <c r="B2396" t="s">
        <v>4821</v>
      </c>
      <c r="C2396" t="s">
        <v>10</v>
      </c>
      <c r="D2396">
        <v>51</v>
      </c>
      <c r="E2396" t="s">
        <v>34</v>
      </c>
      <c r="F2396" t="s">
        <v>16</v>
      </c>
      <c r="G2396" t="s">
        <v>17</v>
      </c>
      <c r="H2396" s="1">
        <v>45798</v>
      </c>
    </row>
    <row r="2397" spans="1:8">
      <c r="A2397" t="s">
        <v>4822</v>
      </c>
      <c r="B2397" t="s">
        <v>4823</v>
      </c>
      <c r="C2397" t="s">
        <v>31</v>
      </c>
      <c r="D2397">
        <v>19</v>
      </c>
      <c r="E2397" t="s">
        <v>34</v>
      </c>
      <c r="F2397" t="s">
        <v>16</v>
      </c>
      <c r="G2397" t="s">
        <v>17</v>
      </c>
      <c r="H2397" s="1">
        <v>44774</v>
      </c>
    </row>
    <row r="2398" spans="1:8">
      <c r="A2398" t="s">
        <v>4824</v>
      </c>
      <c r="B2398" t="s">
        <v>4825</v>
      </c>
      <c r="C2398" t="s">
        <v>10</v>
      </c>
      <c r="D2398">
        <v>25</v>
      </c>
      <c r="E2398" t="s">
        <v>112</v>
      </c>
      <c r="F2398" t="s">
        <v>113</v>
      </c>
      <c r="G2398" t="s">
        <v>78</v>
      </c>
      <c r="H2398" s="1">
        <v>45362</v>
      </c>
    </row>
    <row r="2399" spans="1:8">
      <c r="A2399" t="s">
        <v>4826</v>
      </c>
      <c r="B2399" t="s">
        <v>4827</v>
      </c>
      <c r="C2399" t="s">
        <v>10</v>
      </c>
      <c r="D2399">
        <v>52</v>
      </c>
      <c r="E2399" t="s">
        <v>41</v>
      </c>
      <c r="F2399" t="s">
        <v>42</v>
      </c>
      <c r="G2399" t="s">
        <v>17</v>
      </c>
      <c r="H2399" s="1">
        <v>44938</v>
      </c>
    </row>
    <row r="2400" spans="1:8">
      <c r="A2400" t="s">
        <v>4828</v>
      </c>
      <c r="B2400" t="s">
        <v>4829</v>
      </c>
      <c r="C2400" t="s">
        <v>31</v>
      </c>
      <c r="D2400">
        <v>60</v>
      </c>
      <c r="E2400" t="s">
        <v>218</v>
      </c>
      <c r="F2400" t="s">
        <v>219</v>
      </c>
      <c r="G2400" t="s">
        <v>17</v>
      </c>
      <c r="H2400" s="1">
        <v>45957</v>
      </c>
    </row>
    <row r="2401" spans="1:8">
      <c r="A2401" t="s">
        <v>4830</v>
      </c>
      <c r="B2401" t="s">
        <v>4831</v>
      </c>
      <c r="C2401" t="s">
        <v>10</v>
      </c>
      <c r="D2401">
        <v>29</v>
      </c>
      <c r="E2401" t="s">
        <v>69</v>
      </c>
      <c r="F2401" t="s">
        <v>69</v>
      </c>
      <c r="G2401" t="s">
        <v>12</v>
      </c>
      <c r="H2401" s="1">
        <v>44861</v>
      </c>
    </row>
    <row r="2402" spans="1:8">
      <c r="A2402" t="s">
        <v>4832</v>
      </c>
      <c r="B2402" t="s">
        <v>4833</v>
      </c>
      <c r="C2402" t="s">
        <v>10</v>
      </c>
      <c r="D2402">
        <v>48</v>
      </c>
      <c r="E2402" t="s">
        <v>34</v>
      </c>
      <c r="F2402" t="s">
        <v>16</v>
      </c>
      <c r="G2402" t="s">
        <v>17</v>
      </c>
      <c r="H2402" s="1">
        <v>44911</v>
      </c>
    </row>
    <row r="2403" spans="1:8">
      <c r="A2403" t="s">
        <v>4834</v>
      </c>
      <c r="B2403" t="s">
        <v>4835</v>
      </c>
      <c r="C2403" t="s">
        <v>10</v>
      </c>
      <c r="D2403">
        <v>55</v>
      </c>
      <c r="E2403" t="s">
        <v>37</v>
      </c>
      <c r="F2403" t="s">
        <v>38</v>
      </c>
      <c r="G2403" t="s">
        <v>22</v>
      </c>
      <c r="H2403" s="1">
        <v>45929</v>
      </c>
    </row>
    <row r="2404" spans="1:8">
      <c r="A2404" t="s">
        <v>4836</v>
      </c>
      <c r="B2404" t="s">
        <v>4837</v>
      </c>
      <c r="C2404" t="s">
        <v>31</v>
      </c>
      <c r="D2404">
        <v>62</v>
      </c>
      <c r="E2404" t="s">
        <v>37</v>
      </c>
      <c r="F2404" t="s">
        <v>38</v>
      </c>
      <c r="G2404" t="s">
        <v>22</v>
      </c>
      <c r="H2404" s="1">
        <v>45363</v>
      </c>
    </row>
    <row r="2405" spans="1:8">
      <c r="A2405" t="s">
        <v>4838</v>
      </c>
      <c r="B2405" t="s">
        <v>4839</v>
      </c>
      <c r="C2405" t="s">
        <v>31</v>
      </c>
      <c r="D2405">
        <v>27</v>
      </c>
      <c r="E2405" t="s">
        <v>69</v>
      </c>
      <c r="F2405" t="s">
        <v>69</v>
      </c>
      <c r="G2405" t="s">
        <v>12</v>
      </c>
      <c r="H2405" s="1">
        <v>45415</v>
      </c>
    </row>
    <row r="2406" spans="1:8">
      <c r="A2406" t="s">
        <v>4840</v>
      </c>
      <c r="B2406" t="s">
        <v>4841</v>
      </c>
      <c r="C2406" t="s">
        <v>31</v>
      </c>
      <c r="D2406">
        <v>18</v>
      </c>
      <c r="E2406" t="s">
        <v>41</v>
      </c>
      <c r="F2406" t="s">
        <v>42</v>
      </c>
      <c r="G2406" t="s">
        <v>17</v>
      </c>
      <c r="H2406" s="1">
        <v>44808</v>
      </c>
    </row>
    <row r="2407" spans="1:8">
      <c r="A2407" t="s">
        <v>4842</v>
      </c>
      <c r="B2407" t="s">
        <v>4843</v>
      </c>
      <c r="C2407" t="s">
        <v>31</v>
      </c>
      <c r="D2407">
        <v>20</v>
      </c>
      <c r="E2407" t="s">
        <v>11</v>
      </c>
      <c r="F2407" t="s">
        <v>11</v>
      </c>
      <c r="G2407" t="s">
        <v>12</v>
      </c>
      <c r="H2407" s="1">
        <v>45883</v>
      </c>
    </row>
    <row r="2408" spans="1:8">
      <c r="A2408" t="s">
        <v>4844</v>
      </c>
      <c r="B2408" t="s">
        <v>4845</v>
      </c>
      <c r="C2408" t="s">
        <v>31</v>
      </c>
      <c r="D2408">
        <v>64</v>
      </c>
      <c r="E2408" t="s">
        <v>91</v>
      </c>
      <c r="F2408" t="s">
        <v>92</v>
      </c>
      <c r="G2408" t="s">
        <v>78</v>
      </c>
      <c r="H2408" s="1">
        <v>44847</v>
      </c>
    </row>
    <row r="2409" spans="1:8">
      <c r="A2409" t="s">
        <v>4846</v>
      </c>
      <c r="B2409" t="s">
        <v>4847</v>
      </c>
      <c r="C2409" t="s">
        <v>31</v>
      </c>
      <c r="D2409">
        <v>50</v>
      </c>
      <c r="E2409" t="s">
        <v>20</v>
      </c>
      <c r="F2409" t="s">
        <v>21</v>
      </c>
      <c r="G2409" t="s">
        <v>22</v>
      </c>
      <c r="H2409" s="1">
        <v>44886</v>
      </c>
    </row>
    <row r="2410" spans="1:8">
      <c r="A2410" t="s">
        <v>4848</v>
      </c>
      <c r="B2410" t="s">
        <v>4849</v>
      </c>
      <c r="C2410" t="s">
        <v>31</v>
      </c>
      <c r="D2410">
        <v>63</v>
      </c>
      <c r="E2410" t="s">
        <v>128</v>
      </c>
      <c r="F2410" t="s">
        <v>129</v>
      </c>
      <c r="G2410" t="s">
        <v>78</v>
      </c>
      <c r="H2410" s="1">
        <v>44993</v>
      </c>
    </row>
    <row r="2411" spans="1:8">
      <c r="A2411" t="s">
        <v>4850</v>
      </c>
      <c r="B2411" t="s">
        <v>4851</v>
      </c>
      <c r="C2411" t="s">
        <v>10</v>
      </c>
      <c r="D2411">
        <v>59</v>
      </c>
      <c r="E2411" t="s">
        <v>60</v>
      </c>
      <c r="F2411" t="s">
        <v>21</v>
      </c>
      <c r="G2411" t="s">
        <v>22</v>
      </c>
      <c r="H2411" s="1">
        <v>44690</v>
      </c>
    </row>
    <row r="2412" spans="1:8">
      <c r="A2412" t="s">
        <v>4852</v>
      </c>
      <c r="B2412" t="s">
        <v>4853</v>
      </c>
      <c r="C2412" t="s">
        <v>31</v>
      </c>
      <c r="D2412">
        <v>63</v>
      </c>
      <c r="E2412" t="s">
        <v>218</v>
      </c>
      <c r="F2412" t="s">
        <v>219</v>
      </c>
      <c r="G2412" t="s">
        <v>17</v>
      </c>
      <c r="H2412" s="1">
        <v>45256</v>
      </c>
    </row>
    <row r="2413" spans="1:8">
      <c r="A2413" t="s">
        <v>4854</v>
      </c>
      <c r="B2413" t="s">
        <v>4855</v>
      </c>
      <c r="C2413" t="s">
        <v>31</v>
      </c>
      <c r="D2413">
        <v>43</v>
      </c>
      <c r="E2413" t="s">
        <v>76</v>
      </c>
      <c r="F2413" t="s">
        <v>77</v>
      </c>
      <c r="G2413" t="s">
        <v>78</v>
      </c>
      <c r="H2413" s="1">
        <v>45132</v>
      </c>
    </row>
    <row r="2414" spans="1:8">
      <c r="A2414" t="s">
        <v>4856</v>
      </c>
      <c r="B2414" t="s">
        <v>4857</v>
      </c>
      <c r="C2414" t="s">
        <v>31</v>
      </c>
      <c r="D2414">
        <v>56</v>
      </c>
      <c r="E2414" t="s">
        <v>41</v>
      </c>
      <c r="F2414" t="s">
        <v>42</v>
      </c>
      <c r="G2414" t="s">
        <v>17</v>
      </c>
      <c r="H2414" s="1">
        <v>45333</v>
      </c>
    </row>
    <row r="2415" spans="1:8">
      <c r="A2415" t="s">
        <v>4858</v>
      </c>
      <c r="B2415" t="s">
        <v>4859</v>
      </c>
      <c r="C2415" t="s">
        <v>31</v>
      </c>
      <c r="D2415">
        <v>26</v>
      </c>
      <c r="E2415" t="s">
        <v>27</v>
      </c>
      <c r="F2415" t="s">
        <v>28</v>
      </c>
      <c r="G2415" t="s">
        <v>12</v>
      </c>
      <c r="H2415" s="1">
        <v>46013</v>
      </c>
    </row>
    <row r="2416" spans="1:8">
      <c r="A2416" t="s">
        <v>4860</v>
      </c>
      <c r="B2416" t="s">
        <v>4861</v>
      </c>
      <c r="C2416" t="s">
        <v>31</v>
      </c>
      <c r="D2416">
        <v>55</v>
      </c>
      <c r="E2416" t="s">
        <v>27</v>
      </c>
      <c r="F2416" t="s">
        <v>28</v>
      </c>
      <c r="G2416" t="s">
        <v>12</v>
      </c>
      <c r="H2416" s="1">
        <v>45751</v>
      </c>
    </row>
    <row r="2417" spans="1:8">
      <c r="A2417" t="s">
        <v>4862</v>
      </c>
      <c r="B2417" t="s">
        <v>4863</v>
      </c>
      <c r="C2417" t="s">
        <v>10</v>
      </c>
      <c r="D2417">
        <v>19</v>
      </c>
      <c r="E2417" t="s">
        <v>69</v>
      </c>
      <c r="F2417" t="s">
        <v>69</v>
      </c>
      <c r="G2417" t="s">
        <v>12</v>
      </c>
      <c r="H2417" s="1">
        <v>44700</v>
      </c>
    </row>
    <row r="2418" spans="1:8">
      <c r="A2418" t="s">
        <v>4864</v>
      </c>
      <c r="B2418" t="s">
        <v>4865</v>
      </c>
      <c r="C2418" t="s">
        <v>10</v>
      </c>
      <c r="D2418">
        <v>60</v>
      </c>
      <c r="E2418" t="s">
        <v>76</v>
      </c>
      <c r="F2418" t="s">
        <v>77</v>
      </c>
      <c r="G2418" t="s">
        <v>78</v>
      </c>
      <c r="H2418" s="1">
        <v>45036</v>
      </c>
    </row>
    <row r="2419" spans="1:8">
      <c r="A2419" t="s">
        <v>4866</v>
      </c>
      <c r="B2419" t="s">
        <v>4867</v>
      </c>
      <c r="C2419" t="s">
        <v>10</v>
      </c>
      <c r="D2419">
        <v>67</v>
      </c>
      <c r="E2419" t="s">
        <v>41</v>
      </c>
      <c r="F2419" t="s">
        <v>42</v>
      </c>
      <c r="G2419" t="s">
        <v>17</v>
      </c>
      <c r="H2419" s="1">
        <v>45224</v>
      </c>
    </row>
    <row r="2420" spans="1:8">
      <c r="A2420" t="s">
        <v>4868</v>
      </c>
      <c r="B2420" t="s">
        <v>4869</v>
      </c>
      <c r="C2420" t="s">
        <v>10</v>
      </c>
      <c r="D2420">
        <v>64</v>
      </c>
      <c r="E2420" t="s">
        <v>63</v>
      </c>
      <c r="F2420" t="s">
        <v>64</v>
      </c>
      <c r="G2420" t="s">
        <v>12</v>
      </c>
      <c r="H2420" s="1">
        <v>44777</v>
      </c>
    </row>
    <row r="2421" spans="1:8">
      <c r="A2421" t="s">
        <v>4870</v>
      </c>
      <c r="B2421" t="s">
        <v>4871</v>
      </c>
      <c r="C2421" t="s">
        <v>10</v>
      </c>
      <c r="D2421">
        <v>57</v>
      </c>
      <c r="E2421" t="s">
        <v>112</v>
      </c>
      <c r="F2421" t="s">
        <v>113</v>
      </c>
      <c r="G2421" t="s">
        <v>78</v>
      </c>
      <c r="H2421" s="1">
        <v>44693</v>
      </c>
    </row>
    <row r="2422" spans="1:8">
      <c r="A2422" t="s">
        <v>4872</v>
      </c>
      <c r="B2422" t="s">
        <v>4873</v>
      </c>
      <c r="C2422" t="s">
        <v>31</v>
      </c>
      <c r="D2422">
        <v>66</v>
      </c>
      <c r="E2422" t="s">
        <v>15</v>
      </c>
      <c r="F2422" t="s">
        <v>16</v>
      </c>
      <c r="G2422" t="s">
        <v>17</v>
      </c>
      <c r="H2422" s="1">
        <v>44711</v>
      </c>
    </row>
    <row r="2423" spans="1:8">
      <c r="A2423" t="s">
        <v>4874</v>
      </c>
      <c r="B2423" t="s">
        <v>4875</v>
      </c>
      <c r="C2423" t="s">
        <v>31</v>
      </c>
      <c r="D2423">
        <v>24</v>
      </c>
      <c r="E2423" t="s">
        <v>20</v>
      </c>
      <c r="F2423" t="s">
        <v>21</v>
      </c>
      <c r="G2423" t="s">
        <v>22</v>
      </c>
      <c r="H2423" s="1">
        <v>44918</v>
      </c>
    </row>
    <row r="2424" spans="1:8">
      <c r="A2424" t="s">
        <v>4876</v>
      </c>
      <c r="B2424" t="s">
        <v>4877</v>
      </c>
      <c r="C2424" t="s">
        <v>10</v>
      </c>
      <c r="D2424">
        <v>30</v>
      </c>
      <c r="E2424" t="s">
        <v>69</v>
      </c>
      <c r="F2424" t="s">
        <v>69</v>
      </c>
      <c r="G2424" t="s">
        <v>12</v>
      </c>
      <c r="H2424" s="1">
        <v>44834</v>
      </c>
    </row>
    <row r="2425" spans="1:8">
      <c r="A2425" t="s">
        <v>4878</v>
      </c>
      <c r="B2425" t="s">
        <v>4879</v>
      </c>
      <c r="C2425" t="s">
        <v>31</v>
      </c>
      <c r="D2425">
        <v>32</v>
      </c>
      <c r="E2425" t="s">
        <v>41</v>
      </c>
      <c r="F2425" t="s">
        <v>42</v>
      </c>
      <c r="G2425" t="s">
        <v>17</v>
      </c>
      <c r="H2425" s="1">
        <v>45952</v>
      </c>
    </row>
    <row r="2426" spans="1:8">
      <c r="A2426" t="s">
        <v>4880</v>
      </c>
      <c r="B2426" t="s">
        <v>4881</v>
      </c>
      <c r="C2426" t="s">
        <v>10</v>
      </c>
      <c r="D2426">
        <v>23</v>
      </c>
      <c r="E2426" t="s">
        <v>34</v>
      </c>
      <c r="F2426" t="s">
        <v>16</v>
      </c>
      <c r="G2426" t="s">
        <v>17</v>
      </c>
      <c r="H2426" s="1">
        <v>45450</v>
      </c>
    </row>
    <row r="2427" spans="1:8">
      <c r="A2427" t="s">
        <v>4882</v>
      </c>
      <c r="B2427" t="s">
        <v>4883</v>
      </c>
      <c r="C2427" t="s">
        <v>10</v>
      </c>
      <c r="D2427">
        <v>69</v>
      </c>
      <c r="E2427" t="s">
        <v>11</v>
      </c>
      <c r="F2427" t="s">
        <v>11</v>
      </c>
      <c r="G2427" t="s">
        <v>12</v>
      </c>
      <c r="H2427" s="1">
        <v>44978</v>
      </c>
    </row>
    <row r="2428" spans="1:8">
      <c r="A2428" t="s">
        <v>4884</v>
      </c>
      <c r="B2428" t="s">
        <v>4885</v>
      </c>
      <c r="C2428" t="s">
        <v>31</v>
      </c>
      <c r="D2428">
        <v>54</v>
      </c>
      <c r="E2428" t="s">
        <v>15</v>
      </c>
      <c r="F2428" t="s">
        <v>16</v>
      </c>
      <c r="G2428" t="s">
        <v>17</v>
      </c>
      <c r="H2428" s="1">
        <v>45298</v>
      </c>
    </row>
    <row r="2429" spans="1:8">
      <c r="A2429" t="s">
        <v>4886</v>
      </c>
      <c r="B2429" t="s">
        <v>4887</v>
      </c>
      <c r="C2429" t="s">
        <v>10</v>
      </c>
      <c r="D2429">
        <v>61</v>
      </c>
      <c r="E2429" t="s">
        <v>20</v>
      </c>
      <c r="F2429" t="s">
        <v>21</v>
      </c>
      <c r="G2429" t="s">
        <v>22</v>
      </c>
      <c r="H2429" s="1">
        <v>45259</v>
      </c>
    </row>
    <row r="2430" spans="1:8">
      <c r="A2430" t="s">
        <v>4888</v>
      </c>
      <c r="B2430" t="s">
        <v>4889</v>
      </c>
      <c r="C2430" t="s">
        <v>10</v>
      </c>
      <c r="D2430">
        <v>31</v>
      </c>
      <c r="E2430" t="s">
        <v>27</v>
      </c>
      <c r="F2430" t="s">
        <v>28</v>
      </c>
      <c r="G2430" t="s">
        <v>12</v>
      </c>
      <c r="H2430" s="1">
        <v>45578</v>
      </c>
    </row>
    <row r="2431" spans="1:8">
      <c r="A2431" t="s">
        <v>4890</v>
      </c>
      <c r="B2431" t="s">
        <v>4891</v>
      </c>
      <c r="C2431" t="s">
        <v>31</v>
      </c>
      <c r="D2431">
        <v>40</v>
      </c>
      <c r="E2431" t="s">
        <v>149</v>
      </c>
      <c r="F2431" t="s">
        <v>38</v>
      </c>
      <c r="G2431" t="s">
        <v>22</v>
      </c>
      <c r="H2431" s="1">
        <v>45587</v>
      </c>
    </row>
    <row r="2432" spans="1:8">
      <c r="A2432" t="s">
        <v>4892</v>
      </c>
      <c r="B2432" t="s">
        <v>4893</v>
      </c>
      <c r="C2432" t="s">
        <v>10</v>
      </c>
      <c r="D2432">
        <v>46</v>
      </c>
      <c r="E2432" t="s">
        <v>27</v>
      </c>
      <c r="F2432" t="s">
        <v>28</v>
      </c>
      <c r="G2432" t="s">
        <v>12</v>
      </c>
      <c r="H2432" s="1">
        <v>44844</v>
      </c>
    </row>
    <row r="2433" spans="1:8">
      <c r="A2433" t="s">
        <v>4894</v>
      </c>
      <c r="B2433" t="s">
        <v>4895</v>
      </c>
      <c r="C2433" t="s">
        <v>10</v>
      </c>
      <c r="D2433">
        <v>26</v>
      </c>
      <c r="E2433" t="s">
        <v>149</v>
      </c>
      <c r="F2433" t="s">
        <v>38</v>
      </c>
      <c r="G2433" t="s">
        <v>22</v>
      </c>
      <c r="H2433" s="1">
        <v>44707</v>
      </c>
    </row>
    <row r="2434" spans="1:8">
      <c r="A2434" t="s">
        <v>4896</v>
      </c>
      <c r="B2434" t="s">
        <v>4897</v>
      </c>
      <c r="C2434" t="s">
        <v>10</v>
      </c>
      <c r="D2434">
        <v>49</v>
      </c>
      <c r="E2434" t="s">
        <v>134</v>
      </c>
      <c r="F2434" t="s">
        <v>28</v>
      </c>
      <c r="G2434" t="s">
        <v>12</v>
      </c>
      <c r="H2434" s="1">
        <v>44768</v>
      </c>
    </row>
    <row r="2435" spans="1:8">
      <c r="A2435" t="s">
        <v>4898</v>
      </c>
      <c r="B2435" t="s">
        <v>4899</v>
      </c>
      <c r="C2435" t="s">
        <v>31</v>
      </c>
      <c r="D2435">
        <v>19</v>
      </c>
      <c r="E2435" t="s">
        <v>218</v>
      </c>
      <c r="F2435" t="s">
        <v>219</v>
      </c>
      <c r="G2435" t="s">
        <v>17</v>
      </c>
      <c r="H2435" s="1">
        <v>45669</v>
      </c>
    </row>
    <row r="2436" spans="1:8">
      <c r="A2436" t="s">
        <v>4900</v>
      </c>
      <c r="B2436" t="s">
        <v>4901</v>
      </c>
      <c r="C2436" t="s">
        <v>31</v>
      </c>
      <c r="D2436">
        <v>63</v>
      </c>
      <c r="E2436" t="s">
        <v>45</v>
      </c>
      <c r="F2436" t="s">
        <v>46</v>
      </c>
      <c r="G2436" t="s">
        <v>17</v>
      </c>
      <c r="H2436" s="1">
        <v>45076</v>
      </c>
    </row>
    <row r="2437" spans="1:8">
      <c r="A2437" t="s">
        <v>4902</v>
      </c>
      <c r="B2437" t="s">
        <v>4903</v>
      </c>
      <c r="C2437" t="s">
        <v>10</v>
      </c>
      <c r="D2437">
        <v>52</v>
      </c>
      <c r="E2437" t="s">
        <v>101</v>
      </c>
      <c r="F2437" t="s">
        <v>21</v>
      </c>
      <c r="G2437" t="s">
        <v>22</v>
      </c>
      <c r="H2437" s="1">
        <v>45151</v>
      </c>
    </row>
    <row r="2438" spans="1:8">
      <c r="A2438" t="s">
        <v>4904</v>
      </c>
      <c r="B2438" t="s">
        <v>4905</v>
      </c>
      <c r="C2438" t="s">
        <v>31</v>
      </c>
      <c r="D2438">
        <v>43</v>
      </c>
      <c r="E2438" t="s">
        <v>60</v>
      </c>
      <c r="F2438" t="s">
        <v>21</v>
      </c>
      <c r="G2438" t="s">
        <v>22</v>
      </c>
      <c r="H2438" s="1">
        <v>45813</v>
      </c>
    </row>
    <row r="2439" spans="1:8">
      <c r="A2439" t="s">
        <v>4906</v>
      </c>
      <c r="B2439" t="s">
        <v>4907</v>
      </c>
      <c r="C2439" t="s">
        <v>10</v>
      </c>
      <c r="D2439">
        <v>55</v>
      </c>
      <c r="E2439" t="s">
        <v>27</v>
      </c>
      <c r="F2439" t="s">
        <v>28</v>
      </c>
      <c r="G2439" t="s">
        <v>12</v>
      </c>
      <c r="H2439" s="1">
        <v>45990</v>
      </c>
    </row>
    <row r="2440" spans="1:8">
      <c r="A2440" t="s">
        <v>4908</v>
      </c>
      <c r="B2440" t="s">
        <v>4909</v>
      </c>
      <c r="C2440" t="s">
        <v>10</v>
      </c>
      <c r="D2440">
        <v>20</v>
      </c>
      <c r="E2440" t="s">
        <v>37</v>
      </c>
      <c r="F2440" t="s">
        <v>38</v>
      </c>
      <c r="G2440" t="s">
        <v>22</v>
      </c>
      <c r="H2440" s="1">
        <v>45899</v>
      </c>
    </row>
    <row r="2441" spans="1:8">
      <c r="A2441" t="s">
        <v>4910</v>
      </c>
      <c r="B2441" t="s">
        <v>4911</v>
      </c>
      <c r="C2441" t="s">
        <v>31</v>
      </c>
      <c r="D2441">
        <v>66</v>
      </c>
      <c r="E2441" t="s">
        <v>37</v>
      </c>
      <c r="F2441" t="s">
        <v>38</v>
      </c>
      <c r="G2441" t="s">
        <v>22</v>
      </c>
      <c r="H2441" s="1">
        <v>44972</v>
      </c>
    </row>
    <row r="2442" spans="1:8">
      <c r="A2442" t="s">
        <v>4912</v>
      </c>
      <c r="B2442" t="s">
        <v>4913</v>
      </c>
      <c r="C2442" t="s">
        <v>31</v>
      </c>
      <c r="D2442">
        <v>66</v>
      </c>
      <c r="E2442" t="s">
        <v>34</v>
      </c>
      <c r="F2442" t="s">
        <v>16</v>
      </c>
      <c r="G2442" t="s">
        <v>17</v>
      </c>
      <c r="H2442" s="1">
        <v>45682</v>
      </c>
    </row>
    <row r="2443" spans="1:8">
      <c r="A2443" t="s">
        <v>4914</v>
      </c>
      <c r="B2443" t="s">
        <v>4915</v>
      </c>
      <c r="C2443" t="s">
        <v>31</v>
      </c>
      <c r="D2443">
        <v>22</v>
      </c>
      <c r="E2443" t="s">
        <v>11</v>
      </c>
      <c r="F2443" t="s">
        <v>11</v>
      </c>
      <c r="G2443" t="s">
        <v>12</v>
      </c>
      <c r="H2443" s="1">
        <v>45044</v>
      </c>
    </row>
    <row r="2444" spans="1:8">
      <c r="A2444" t="s">
        <v>4916</v>
      </c>
      <c r="B2444" t="s">
        <v>4917</v>
      </c>
      <c r="C2444" t="s">
        <v>10</v>
      </c>
      <c r="D2444">
        <v>40</v>
      </c>
      <c r="E2444" t="s">
        <v>27</v>
      </c>
      <c r="F2444" t="s">
        <v>28</v>
      </c>
      <c r="G2444" t="s">
        <v>12</v>
      </c>
      <c r="H2444" s="1">
        <v>45811</v>
      </c>
    </row>
    <row r="2445" spans="1:8">
      <c r="A2445" t="s">
        <v>4918</v>
      </c>
      <c r="B2445" t="s">
        <v>4919</v>
      </c>
      <c r="C2445" t="s">
        <v>10</v>
      </c>
      <c r="D2445">
        <v>53</v>
      </c>
      <c r="E2445" t="s">
        <v>112</v>
      </c>
      <c r="F2445" t="s">
        <v>113</v>
      </c>
      <c r="G2445" t="s">
        <v>78</v>
      </c>
      <c r="H2445" s="1">
        <v>45787</v>
      </c>
    </row>
    <row r="2446" spans="1:8">
      <c r="A2446" t="s">
        <v>4920</v>
      </c>
      <c r="B2446" t="s">
        <v>4921</v>
      </c>
      <c r="C2446" t="s">
        <v>10</v>
      </c>
      <c r="D2446">
        <v>24</v>
      </c>
      <c r="E2446" t="s">
        <v>101</v>
      </c>
      <c r="F2446" t="s">
        <v>21</v>
      </c>
      <c r="G2446" t="s">
        <v>22</v>
      </c>
      <c r="H2446" s="1">
        <v>45116</v>
      </c>
    </row>
    <row r="2447" spans="1:8">
      <c r="A2447" t="s">
        <v>4922</v>
      </c>
      <c r="B2447" t="s">
        <v>4923</v>
      </c>
      <c r="C2447" t="s">
        <v>31</v>
      </c>
      <c r="D2447">
        <v>45</v>
      </c>
      <c r="E2447" t="s">
        <v>218</v>
      </c>
      <c r="F2447" t="s">
        <v>219</v>
      </c>
      <c r="G2447" t="s">
        <v>17</v>
      </c>
      <c r="H2447" s="1">
        <v>45023</v>
      </c>
    </row>
    <row r="2448" spans="1:8">
      <c r="A2448" t="s">
        <v>4924</v>
      </c>
      <c r="B2448" t="s">
        <v>4925</v>
      </c>
      <c r="C2448" t="s">
        <v>10</v>
      </c>
      <c r="D2448">
        <v>19</v>
      </c>
      <c r="E2448" t="s">
        <v>101</v>
      </c>
      <c r="F2448" t="s">
        <v>21</v>
      </c>
      <c r="G2448" t="s">
        <v>22</v>
      </c>
      <c r="H2448" s="1">
        <v>44605</v>
      </c>
    </row>
    <row r="2449" spans="1:8">
      <c r="A2449" t="s">
        <v>4926</v>
      </c>
      <c r="B2449" t="s">
        <v>4927</v>
      </c>
      <c r="C2449" t="s">
        <v>31</v>
      </c>
      <c r="D2449">
        <v>61</v>
      </c>
      <c r="E2449" t="s">
        <v>63</v>
      </c>
      <c r="F2449" t="s">
        <v>64</v>
      </c>
      <c r="G2449" t="s">
        <v>12</v>
      </c>
      <c r="H2449" s="1">
        <v>45656</v>
      </c>
    </row>
    <row r="2450" spans="1:8">
      <c r="A2450" t="s">
        <v>4928</v>
      </c>
      <c r="B2450" t="s">
        <v>4929</v>
      </c>
      <c r="C2450" t="s">
        <v>31</v>
      </c>
      <c r="D2450">
        <v>21</v>
      </c>
      <c r="E2450" t="s">
        <v>11</v>
      </c>
      <c r="F2450" t="s">
        <v>11</v>
      </c>
      <c r="G2450" t="s">
        <v>12</v>
      </c>
      <c r="H2450" s="1">
        <v>45693</v>
      </c>
    </row>
    <row r="2451" spans="1:8">
      <c r="A2451" t="s">
        <v>4930</v>
      </c>
      <c r="B2451" t="s">
        <v>4931</v>
      </c>
      <c r="C2451" t="s">
        <v>10</v>
      </c>
      <c r="D2451">
        <v>45</v>
      </c>
      <c r="E2451" t="s">
        <v>149</v>
      </c>
      <c r="F2451" t="s">
        <v>38</v>
      </c>
      <c r="G2451" t="s">
        <v>22</v>
      </c>
      <c r="H2451" s="1">
        <v>45986</v>
      </c>
    </row>
    <row r="2452" spans="1:8">
      <c r="A2452" t="s">
        <v>4932</v>
      </c>
      <c r="B2452" t="s">
        <v>4933</v>
      </c>
      <c r="C2452" t="s">
        <v>10</v>
      </c>
      <c r="D2452">
        <v>46</v>
      </c>
      <c r="E2452" t="s">
        <v>27</v>
      </c>
      <c r="F2452" t="s">
        <v>28</v>
      </c>
      <c r="G2452" t="s">
        <v>12</v>
      </c>
      <c r="H2452" s="1">
        <v>44844</v>
      </c>
    </row>
    <row r="2453" spans="1:8">
      <c r="A2453" t="s">
        <v>4934</v>
      </c>
      <c r="B2453" t="s">
        <v>4935</v>
      </c>
      <c r="C2453" t="s">
        <v>31</v>
      </c>
      <c r="D2453">
        <v>30</v>
      </c>
      <c r="E2453" t="s">
        <v>218</v>
      </c>
      <c r="F2453" t="s">
        <v>219</v>
      </c>
      <c r="G2453" t="s">
        <v>17</v>
      </c>
      <c r="H2453" s="1">
        <v>45315</v>
      </c>
    </row>
    <row r="2454" spans="1:8">
      <c r="A2454" t="s">
        <v>4936</v>
      </c>
      <c r="B2454" t="s">
        <v>4937</v>
      </c>
      <c r="C2454" t="s">
        <v>10</v>
      </c>
      <c r="D2454">
        <v>23</v>
      </c>
      <c r="E2454" t="s">
        <v>20</v>
      </c>
      <c r="F2454" t="s">
        <v>21</v>
      </c>
      <c r="G2454" t="s">
        <v>22</v>
      </c>
      <c r="H2454" s="1">
        <v>45049</v>
      </c>
    </row>
    <row r="2455" spans="1:8">
      <c r="A2455" t="s">
        <v>4938</v>
      </c>
      <c r="B2455" t="s">
        <v>4939</v>
      </c>
      <c r="C2455" t="s">
        <v>10</v>
      </c>
      <c r="D2455">
        <v>69</v>
      </c>
      <c r="E2455" t="s">
        <v>63</v>
      </c>
      <c r="F2455" t="s">
        <v>64</v>
      </c>
      <c r="G2455" t="s">
        <v>12</v>
      </c>
      <c r="H2455" s="1">
        <v>45407</v>
      </c>
    </row>
    <row r="2456" spans="1:8">
      <c r="A2456" t="s">
        <v>4940</v>
      </c>
      <c r="B2456" t="s">
        <v>4941</v>
      </c>
      <c r="C2456" t="s">
        <v>10</v>
      </c>
      <c r="D2456">
        <v>21</v>
      </c>
      <c r="E2456" t="s">
        <v>34</v>
      </c>
      <c r="F2456" t="s">
        <v>16</v>
      </c>
      <c r="G2456" t="s">
        <v>17</v>
      </c>
      <c r="H2456" s="1">
        <v>44678</v>
      </c>
    </row>
    <row r="2457" spans="1:8">
      <c r="A2457" t="s">
        <v>4942</v>
      </c>
      <c r="B2457" t="s">
        <v>4943</v>
      </c>
      <c r="C2457" t="s">
        <v>10</v>
      </c>
      <c r="D2457">
        <v>38</v>
      </c>
      <c r="E2457" t="s">
        <v>34</v>
      </c>
      <c r="F2457" t="s">
        <v>16</v>
      </c>
      <c r="G2457" t="s">
        <v>17</v>
      </c>
      <c r="H2457" s="1">
        <v>45140</v>
      </c>
    </row>
    <row r="2458" spans="1:8">
      <c r="A2458" t="s">
        <v>4944</v>
      </c>
      <c r="B2458" t="s">
        <v>4945</v>
      </c>
      <c r="C2458" t="s">
        <v>10</v>
      </c>
      <c r="D2458">
        <v>56</v>
      </c>
      <c r="E2458" t="s">
        <v>101</v>
      </c>
      <c r="F2458" t="s">
        <v>21</v>
      </c>
      <c r="G2458" t="s">
        <v>22</v>
      </c>
      <c r="H2458" s="1">
        <v>45160</v>
      </c>
    </row>
    <row r="2459" spans="1:8">
      <c r="A2459" t="s">
        <v>4946</v>
      </c>
      <c r="B2459" t="s">
        <v>4947</v>
      </c>
      <c r="C2459" t="s">
        <v>10</v>
      </c>
      <c r="D2459">
        <v>22</v>
      </c>
      <c r="E2459" t="s">
        <v>20</v>
      </c>
      <c r="F2459" t="s">
        <v>21</v>
      </c>
      <c r="G2459" t="s">
        <v>22</v>
      </c>
      <c r="H2459" s="1">
        <v>45906</v>
      </c>
    </row>
    <row r="2460" spans="1:8">
      <c r="A2460" t="s">
        <v>4948</v>
      </c>
      <c r="B2460" t="s">
        <v>4949</v>
      </c>
      <c r="C2460" t="s">
        <v>31</v>
      </c>
      <c r="D2460">
        <v>63</v>
      </c>
      <c r="E2460" t="s">
        <v>218</v>
      </c>
      <c r="F2460" t="s">
        <v>219</v>
      </c>
      <c r="G2460" t="s">
        <v>17</v>
      </c>
      <c r="H2460" s="1">
        <v>44983</v>
      </c>
    </row>
    <row r="2461" spans="1:8">
      <c r="A2461" t="s">
        <v>4950</v>
      </c>
      <c r="B2461" t="s">
        <v>4951</v>
      </c>
      <c r="C2461" t="s">
        <v>31</v>
      </c>
      <c r="D2461">
        <v>63</v>
      </c>
      <c r="E2461" t="s">
        <v>134</v>
      </c>
      <c r="F2461" t="s">
        <v>28</v>
      </c>
      <c r="G2461" t="s">
        <v>12</v>
      </c>
      <c r="H2461" s="1">
        <v>45013</v>
      </c>
    </row>
    <row r="2462" spans="1:8">
      <c r="A2462" t="s">
        <v>4952</v>
      </c>
      <c r="B2462" t="s">
        <v>4953</v>
      </c>
      <c r="C2462" t="s">
        <v>31</v>
      </c>
      <c r="D2462">
        <v>59</v>
      </c>
      <c r="E2462" t="s">
        <v>37</v>
      </c>
      <c r="F2462" t="s">
        <v>38</v>
      </c>
      <c r="G2462" t="s">
        <v>22</v>
      </c>
      <c r="H2462" s="1">
        <v>45691</v>
      </c>
    </row>
    <row r="2463" spans="1:8">
      <c r="A2463" t="s">
        <v>4954</v>
      </c>
      <c r="B2463" t="s">
        <v>4955</v>
      </c>
      <c r="C2463" t="s">
        <v>10</v>
      </c>
      <c r="D2463">
        <v>21</v>
      </c>
      <c r="E2463" t="s">
        <v>45</v>
      </c>
      <c r="F2463" t="s">
        <v>46</v>
      </c>
      <c r="G2463" t="s">
        <v>17</v>
      </c>
      <c r="H2463" s="1">
        <v>45215</v>
      </c>
    </row>
    <row r="2464" spans="1:8">
      <c r="A2464" t="s">
        <v>4956</v>
      </c>
      <c r="B2464" t="s">
        <v>4957</v>
      </c>
      <c r="C2464" t="s">
        <v>31</v>
      </c>
      <c r="D2464">
        <v>35</v>
      </c>
      <c r="E2464" t="s">
        <v>149</v>
      </c>
      <c r="F2464" t="s">
        <v>38</v>
      </c>
      <c r="G2464" t="s">
        <v>22</v>
      </c>
      <c r="H2464" s="1">
        <v>46006</v>
      </c>
    </row>
    <row r="2465" spans="1:8">
      <c r="A2465" t="s">
        <v>4958</v>
      </c>
      <c r="B2465" t="s">
        <v>4959</v>
      </c>
      <c r="C2465" t="s">
        <v>10</v>
      </c>
      <c r="D2465">
        <v>37</v>
      </c>
      <c r="E2465" t="s">
        <v>34</v>
      </c>
      <c r="F2465" t="s">
        <v>16</v>
      </c>
      <c r="G2465" t="s">
        <v>17</v>
      </c>
      <c r="H2465" s="1">
        <v>45628</v>
      </c>
    </row>
    <row r="2466" spans="1:8">
      <c r="A2466" t="s">
        <v>4960</v>
      </c>
      <c r="B2466" t="s">
        <v>4961</v>
      </c>
      <c r="C2466" t="s">
        <v>31</v>
      </c>
      <c r="D2466">
        <v>64</v>
      </c>
      <c r="E2466" t="s">
        <v>63</v>
      </c>
      <c r="F2466" t="s">
        <v>64</v>
      </c>
      <c r="G2466" t="s">
        <v>12</v>
      </c>
      <c r="H2466" s="1">
        <v>44813</v>
      </c>
    </row>
    <row r="2467" spans="1:8">
      <c r="A2467" t="s">
        <v>4962</v>
      </c>
      <c r="B2467" t="s">
        <v>4963</v>
      </c>
      <c r="C2467" t="s">
        <v>10</v>
      </c>
      <c r="D2467">
        <v>62</v>
      </c>
      <c r="E2467" t="s">
        <v>63</v>
      </c>
      <c r="F2467" t="s">
        <v>64</v>
      </c>
      <c r="G2467" t="s">
        <v>12</v>
      </c>
      <c r="H2467" s="1">
        <v>44635</v>
      </c>
    </row>
    <row r="2468" spans="1:8">
      <c r="A2468" t="s">
        <v>4964</v>
      </c>
      <c r="B2468" t="s">
        <v>4965</v>
      </c>
      <c r="C2468" t="s">
        <v>10</v>
      </c>
      <c r="D2468">
        <v>49</v>
      </c>
      <c r="E2468" t="s">
        <v>149</v>
      </c>
      <c r="F2468" t="s">
        <v>38</v>
      </c>
      <c r="G2468" t="s">
        <v>22</v>
      </c>
      <c r="H2468" s="1">
        <v>44795</v>
      </c>
    </row>
    <row r="2469" spans="1:8">
      <c r="A2469" t="s">
        <v>4966</v>
      </c>
      <c r="B2469" t="s">
        <v>4967</v>
      </c>
      <c r="C2469" t="s">
        <v>31</v>
      </c>
      <c r="D2469">
        <v>37</v>
      </c>
      <c r="E2469" t="s">
        <v>91</v>
      </c>
      <c r="F2469" t="s">
        <v>92</v>
      </c>
      <c r="G2469" t="s">
        <v>78</v>
      </c>
      <c r="H2469" s="1">
        <v>45131</v>
      </c>
    </row>
    <row r="2470" spans="1:8">
      <c r="A2470" t="s">
        <v>4968</v>
      </c>
      <c r="B2470" t="s">
        <v>4969</v>
      </c>
      <c r="C2470" t="s">
        <v>31</v>
      </c>
      <c r="D2470">
        <v>57</v>
      </c>
      <c r="E2470" t="s">
        <v>87</v>
      </c>
      <c r="F2470" t="s">
        <v>88</v>
      </c>
      <c r="G2470" t="s">
        <v>78</v>
      </c>
      <c r="H2470" s="1">
        <v>44684</v>
      </c>
    </row>
    <row r="2471" spans="1:8">
      <c r="A2471" t="s">
        <v>4970</v>
      </c>
      <c r="B2471" t="s">
        <v>4971</v>
      </c>
      <c r="C2471" t="s">
        <v>31</v>
      </c>
      <c r="D2471">
        <v>46</v>
      </c>
      <c r="E2471" t="s">
        <v>20</v>
      </c>
      <c r="F2471" t="s">
        <v>21</v>
      </c>
      <c r="G2471" t="s">
        <v>22</v>
      </c>
      <c r="H2471" s="1">
        <v>45345</v>
      </c>
    </row>
    <row r="2472" spans="1:8">
      <c r="A2472" t="s">
        <v>4972</v>
      </c>
      <c r="B2472" t="s">
        <v>4973</v>
      </c>
      <c r="C2472" t="s">
        <v>10</v>
      </c>
      <c r="D2472">
        <v>60</v>
      </c>
      <c r="E2472" t="s">
        <v>34</v>
      </c>
      <c r="F2472" t="s">
        <v>16</v>
      </c>
      <c r="G2472" t="s">
        <v>17</v>
      </c>
      <c r="H2472" s="1">
        <v>45338</v>
      </c>
    </row>
    <row r="2473" spans="1:8">
      <c r="A2473" t="s">
        <v>4974</v>
      </c>
      <c r="B2473" t="s">
        <v>4975</v>
      </c>
      <c r="C2473" t="s">
        <v>31</v>
      </c>
      <c r="D2473">
        <v>20</v>
      </c>
      <c r="E2473" t="s">
        <v>20</v>
      </c>
      <c r="F2473" t="s">
        <v>21</v>
      </c>
      <c r="G2473" t="s">
        <v>22</v>
      </c>
      <c r="H2473" s="1">
        <v>45914</v>
      </c>
    </row>
    <row r="2474" spans="1:8">
      <c r="A2474" t="s">
        <v>4976</v>
      </c>
      <c r="B2474" t="s">
        <v>4977</v>
      </c>
      <c r="C2474" t="s">
        <v>31</v>
      </c>
      <c r="D2474">
        <v>34</v>
      </c>
      <c r="E2474" t="s">
        <v>37</v>
      </c>
      <c r="F2474" t="s">
        <v>38</v>
      </c>
      <c r="G2474" t="s">
        <v>22</v>
      </c>
      <c r="H2474" s="1">
        <v>44615</v>
      </c>
    </row>
    <row r="2475" spans="1:8">
      <c r="A2475" t="s">
        <v>4978</v>
      </c>
      <c r="B2475" t="s">
        <v>4979</v>
      </c>
      <c r="C2475" t="s">
        <v>10</v>
      </c>
      <c r="D2475">
        <v>39</v>
      </c>
      <c r="E2475" t="s">
        <v>27</v>
      </c>
      <c r="F2475" t="s">
        <v>28</v>
      </c>
      <c r="G2475" t="s">
        <v>12</v>
      </c>
      <c r="H2475" s="1">
        <v>45005</v>
      </c>
    </row>
    <row r="2476" spans="1:8">
      <c r="A2476" t="s">
        <v>4980</v>
      </c>
      <c r="B2476" t="s">
        <v>1824</v>
      </c>
      <c r="C2476" t="s">
        <v>31</v>
      </c>
      <c r="D2476">
        <v>68</v>
      </c>
      <c r="E2476" t="s">
        <v>27</v>
      </c>
      <c r="F2476" t="s">
        <v>28</v>
      </c>
      <c r="G2476" t="s">
        <v>12</v>
      </c>
      <c r="H2476" s="1">
        <v>45450</v>
      </c>
    </row>
    <row r="2477" spans="1:8">
      <c r="A2477" t="s">
        <v>4981</v>
      </c>
      <c r="B2477" t="s">
        <v>4982</v>
      </c>
      <c r="C2477" t="s">
        <v>31</v>
      </c>
      <c r="D2477">
        <v>64</v>
      </c>
      <c r="E2477" t="s">
        <v>11</v>
      </c>
      <c r="F2477" t="s">
        <v>11</v>
      </c>
      <c r="G2477" t="s">
        <v>12</v>
      </c>
      <c r="H2477" s="1">
        <v>44785</v>
      </c>
    </row>
    <row r="2478" spans="1:8">
      <c r="A2478" t="s">
        <v>4983</v>
      </c>
      <c r="B2478" t="s">
        <v>4984</v>
      </c>
      <c r="C2478" t="s">
        <v>31</v>
      </c>
      <c r="D2478">
        <v>45</v>
      </c>
      <c r="E2478" t="s">
        <v>91</v>
      </c>
      <c r="F2478" t="s">
        <v>92</v>
      </c>
      <c r="G2478" t="s">
        <v>78</v>
      </c>
      <c r="H2478" s="1">
        <v>45657</v>
      </c>
    </row>
    <row r="2479" spans="1:8">
      <c r="A2479" t="s">
        <v>4985</v>
      </c>
      <c r="B2479" t="s">
        <v>4986</v>
      </c>
      <c r="C2479" t="s">
        <v>31</v>
      </c>
      <c r="D2479">
        <v>28</v>
      </c>
      <c r="E2479" t="s">
        <v>60</v>
      </c>
      <c r="F2479" t="s">
        <v>21</v>
      </c>
      <c r="G2479" t="s">
        <v>22</v>
      </c>
      <c r="H2479" s="1">
        <v>45624</v>
      </c>
    </row>
    <row r="2480" spans="1:8">
      <c r="A2480" t="s">
        <v>4987</v>
      </c>
      <c r="B2480" t="s">
        <v>4988</v>
      </c>
      <c r="C2480" t="s">
        <v>10</v>
      </c>
      <c r="D2480">
        <v>18</v>
      </c>
      <c r="E2480" t="s">
        <v>112</v>
      </c>
      <c r="F2480" t="s">
        <v>113</v>
      </c>
      <c r="G2480" t="s">
        <v>78</v>
      </c>
      <c r="H2480" s="1">
        <v>45049</v>
      </c>
    </row>
    <row r="2481" spans="1:8">
      <c r="A2481" t="s">
        <v>4989</v>
      </c>
      <c r="B2481" t="s">
        <v>4990</v>
      </c>
      <c r="C2481" t="s">
        <v>10</v>
      </c>
      <c r="D2481">
        <v>67</v>
      </c>
      <c r="E2481" t="s">
        <v>45</v>
      </c>
      <c r="F2481" t="s">
        <v>46</v>
      </c>
      <c r="G2481" t="s">
        <v>17</v>
      </c>
      <c r="H2481" s="1">
        <v>44737</v>
      </c>
    </row>
    <row r="2482" spans="1:8">
      <c r="A2482" t="s">
        <v>4991</v>
      </c>
      <c r="B2482" t="s">
        <v>4992</v>
      </c>
      <c r="C2482" t="s">
        <v>31</v>
      </c>
      <c r="D2482">
        <v>20</v>
      </c>
      <c r="E2482" t="s">
        <v>37</v>
      </c>
      <c r="F2482" t="s">
        <v>38</v>
      </c>
      <c r="G2482" t="s">
        <v>22</v>
      </c>
      <c r="H2482" s="1">
        <v>45731</v>
      </c>
    </row>
    <row r="2483" spans="1:8">
      <c r="A2483" t="s">
        <v>4993</v>
      </c>
      <c r="B2483" t="s">
        <v>4994</v>
      </c>
      <c r="C2483" t="s">
        <v>31</v>
      </c>
      <c r="D2483">
        <v>68</v>
      </c>
      <c r="E2483" t="s">
        <v>134</v>
      </c>
      <c r="F2483" t="s">
        <v>28</v>
      </c>
      <c r="G2483" t="s">
        <v>12</v>
      </c>
      <c r="H2483" s="1">
        <v>45112</v>
      </c>
    </row>
    <row r="2484" spans="1:8">
      <c r="A2484" t="s">
        <v>4995</v>
      </c>
      <c r="B2484" t="s">
        <v>4996</v>
      </c>
      <c r="C2484" t="s">
        <v>10</v>
      </c>
      <c r="D2484">
        <v>37</v>
      </c>
      <c r="E2484" t="s">
        <v>27</v>
      </c>
      <c r="F2484" t="s">
        <v>28</v>
      </c>
      <c r="G2484" t="s">
        <v>12</v>
      </c>
      <c r="H2484" s="1">
        <v>44587</v>
      </c>
    </row>
    <row r="2485" spans="1:8">
      <c r="A2485" t="s">
        <v>4997</v>
      </c>
      <c r="B2485" t="s">
        <v>4998</v>
      </c>
      <c r="C2485" t="s">
        <v>10</v>
      </c>
      <c r="D2485">
        <v>46</v>
      </c>
      <c r="E2485" t="s">
        <v>37</v>
      </c>
      <c r="F2485" t="s">
        <v>38</v>
      </c>
      <c r="G2485" t="s">
        <v>22</v>
      </c>
      <c r="H2485" s="1">
        <v>45103</v>
      </c>
    </row>
    <row r="2486" spans="1:8">
      <c r="A2486" t="s">
        <v>4999</v>
      </c>
      <c r="B2486" t="s">
        <v>5000</v>
      </c>
      <c r="C2486" t="s">
        <v>31</v>
      </c>
      <c r="D2486">
        <v>20</v>
      </c>
      <c r="E2486" t="s">
        <v>149</v>
      </c>
      <c r="F2486" t="s">
        <v>38</v>
      </c>
      <c r="G2486" t="s">
        <v>22</v>
      </c>
      <c r="H2486" s="1">
        <v>44580</v>
      </c>
    </row>
    <row r="2487" spans="1:8">
      <c r="A2487" t="s">
        <v>5001</v>
      </c>
      <c r="B2487" t="s">
        <v>5002</v>
      </c>
      <c r="C2487" t="s">
        <v>10</v>
      </c>
      <c r="D2487">
        <v>44</v>
      </c>
      <c r="E2487" t="s">
        <v>112</v>
      </c>
      <c r="F2487" t="s">
        <v>113</v>
      </c>
      <c r="G2487" t="s">
        <v>78</v>
      </c>
      <c r="H2487" s="1">
        <v>45868</v>
      </c>
    </row>
    <row r="2488" spans="1:8">
      <c r="A2488" t="s">
        <v>5003</v>
      </c>
      <c r="B2488" t="s">
        <v>5004</v>
      </c>
      <c r="C2488" t="s">
        <v>31</v>
      </c>
      <c r="D2488">
        <v>22</v>
      </c>
      <c r="E2488" t="s">
        <v>15</v>
      </c>
      <c r="F2488" t="s">
        <v>16</v>
      </c>
      <c r="G2488" t="s">
        <v>17</v>
      </c>
      <c r="H2488" s="1">
        <v>45128</v>
      </c>
    </row>
    <row r="2489" spans="1:8">
      <c r="A2489" t="s">
        <v>5005</v>
      </c>
      <c r="B2489" t="s">
        <v>5006</v>
      </c>
      <c r="C2489" t="s">
        <v>31</v>
      </c>
      <c r="D2489">
        <v>49</v>
      </c>
      <c r="E2489" t="s">
        <v>37</v>
      </c>
      <c r="F2489" t="s">
        <v>38</v>
      </c>
      <c r="G2489" t="s">
        <v>22</v>
      </c>
      <c r="H2489" s="1">
        <v>45127</v>
      </c>
    </row>
    <row r="2490" spans="1:8">
      <c r="A2490" t="s">
        <v>5007</v>
      </c>
      <c r="B2490" t="s">
        <v>5008</v>
      </c>
      <c r="C2490" t="s">
        <v>10</v>
      </c>
      <c r="D2490">
        <v>32</v>
      </c>
      <c r="E2490" t="s">
        <v>34</v>
      </c>
      <c r="F2490" t="s">
        <v>16</v>
      </c>
      <c r="G2490" t="s">
        <v>17</v>
      </c>
      <c r="H2490" s="1">
        <v>44862</v>
      </c>
    </row>
    <row r="2491" spans="1:8">
      <c r="A2491" t="s">
        <v>5009</v>
      </c>
      <c r="B2491" t="s">
        <v>5010</v>
      </c>
      <c r="C2491" t="s">
        <v>31</v>
      </c>
      <c r="D2491">
        <v>55</v>
      </c>
      <c r="E2491" t="s">
        <v>15</v>
      </c>
      <c r="F2491" t="s">
        <v>16</v>
      </c>
      <c r="G2491" t="s">
        <v>17</v>
      </c>
      <c r="H2491" s="1">
        <v>44939</v>
      </c>
    </row>
    <row r="2492" spans="1:8">
      <c r="A2492" t="s">
        <v>5011</v>
      </c>
      <c r="B2492" t="s">
        <v>5012</v>
      </c>
      <c r="C2492" t="s">
        <v>10</v>
      </c>
      <c r="D2492">
        <v>63</v>
      </c>
      <c r="E2492" t="s">
        <v>60</v>
      </c>
      <c r="F2492" t="s">
        <v>21</v>
      </c>
      <c r="G2492" t="s">
        <v>22</v>
      </c>
      <c r="H2492" s="1">
        <v>45028</v>
      </c>
    </row>
    <row r="2493" spans="1:8">
      <c r="A2493" t="s">
        <v>5013</v>
      </c>
      <c r="B2493" t="s">
        <v>5014</v>
      </c>
      <c r="C2493" t="s">
        <v>31</v>
      </c>
      <c r="D2493">
        <v>52</v>
      </c>
      <c r="E2493" t="s">
        <v>91</v>
      </c>
      <c r="F2493" t="s">
        <v>92</v>
      </c>
      <c r="G2493" t="s">
        <v>78</v>
      </c>
      <c r="H2493" s="1">
        <v>44595</v>
      </c>
    </row>
    <row r="2494" spans="1:8">
      <c r="A2494" t="s">
        <v>5015</v>
      </c>
      <c r="B2494" t="s">
        <v>5016</v>
      </c>
      <c r="C2494" t="s">
        <v>31</v>
      </c>
      <c r="D2494">
        <v>24</v>
      </c>
      <c r="E2494" t="s">
        <v>27</v>
      </c>
      <c r="F2494" t="s">
        <v>28</v>
      </c>
      <c r="G2494" t="s">
        <v>12</v>
      </c>
      <c r="H2494" s="1">
        <v>45042</v>
      </c>
    </row>
    <row r="2495" spans="1:8">
      <c r="A2495" t="s">
        <v>5017</v>
      </c>
      <c r="B2495" t="s">
        <v>5018</v>
      </c>
      <c r="C2495" t="s">
        <v>10</v>
      </c>
      <c r="D2495">
        <v>33</v>
      </c>
      <c r="E2495" t="s">
        <v>41</v>
      </c>
      <c r="F2495" t="s">
        <v>42</v>
      </c>
      <c r="G2495" t="s">
        <v>17</v>
      </c>
      <c r="H2495" s="1">
        <v>44793</v>
      </c>
    </row>
    <row r="2496" spans="1:8">
      <c r="A2496" t="s">
        <v>5019</v>
      </c>
      <c r="B2496" t="s">
        <v>5020</v>
      </c>
      <c r="C2496" t="s">
        <v>31</v>
      </c>
      <c r="D2496">
        <v>22</v>
      </c>
      <c r="E2496" t="s">
        <v>218</v>
      </c>
      <c r="F2496" t="s">
        <v>219</v>
      </c>
      <c r="G2496" t="s">
        <v>17</v>
      </c>
      <c r="H2496" s="1">
        <v>45322</v>
      </c>
    </row>
    <row r="2497" spans="1:8">
      <c r="A2497" t="s">
        <v>5021</v>
      </c>
      <c r="B2497" t="s">
        <v>5022</v>
      </c>
      <c r="C2497" t="s">
        <v>10</v>
      </c>
      <c r="D2497">
        <v>38</v>
      </c>
      <c r="E2497" t="s">
        <v>134</v>
      </c>
      <c r="F2497" t="s">
        <v>28</v>
      </c>
      <c r="G2497" t="s">
        <v>12</v>
      </c>
      <c r="H2497" s="1">
        <v>44855</v>
      </c>
    </row>
    <row r="2498" spans="1:8">
      <c r="A2498" t="s">
        <v>5023</v>
      </c>
      <c r="B2498" t="s">
        <v>5024</v>
      </c>
      <c r="C2498" t="s">
        <v>31</v>
      </c>
      <c r="D2498">
        <v>59</v>
      </c>
      <c r="E2498" t="s">
        <v>134</v>
      </c>
      <c r="F2498" t="s">
        <v>28</v>
      </c>
      <c r="G2498" t="s">
        <v>12</v>
      </c>
      <c r="H2498" s="1">
        <v>45248</v>
      </c>
    </row>
    <row r="2499" spans="1:8">
      <c r="A2499" t="s">
        <v>5025</v>
      </c>
      <c r="B2499" t="s">
        <v>5026</v>
      </c>
      <c r="C2499" t="s">
        <v>10</v>
      </c>
      <c r="D2499">
        <v>28</v>
      </c>
      <c r="E2499" t="s">
        <v>37</v>
      </c>
      <c r="F2499" t="s">
        <v>38</v>
      </c>
      <c r="G2499" t="s">
        <v>22</v>
      </c>
      <c r="H2499" s="1">
        <v>45835</v>
      </c>
    </row>
    <row r="2500" spans="1:8">
      <c r="A2500" t="s">
        <v>5027</v>
      </c>
      <c r="B2500" t="s">
        <v>5028</v>
      </c>
      <c r="C2500" t="s">
        <v>10</v>
      </c>
      <c r="D2500">
        <v>24</v>
      </c>
      <c r="E2500" t="s">
        <v>37</v>
      </c>
      <c r="F2500" t="s">
        <v>38</v>
      </c>
      <c r="G2500" t="s">
        <v>22</v>
      </c>
      <c r="H2500" s="1">
        <v>44869</v>
      </c>
    </row>
    <row r="2501" spans="1:8">
      <c r="A2501" t="s">
        <v>5029</v>
      </c>
      <c r="B2501" t="s">
        <v>5030</v>
      </c>
      <c r="C2501" t="s">
        <v>31</v>
      </c>
      <c r="D2501">
        <v>31</v>
      </c>
      <c r="E2501" t="s">
        <v>134</v>
      </c>
      <c r="F2501" t="s">
        <v>28</v>
      </c>
      <c r="G2501" t="s">
        <v>12</v>
      </c>
      <c r="H2501" s="1">
        <v>45608</v>
      </c>
    </row>
    <row r="2502" spans="1:8">
      <c r="A2502" t="s">
        <v>5031</v>
      </c>
      <c r="B2502" t="s">
        <v>5032</v>
      </c>
      <c r="C2502" t="s">
        <v>10</v>
      </c>
      <c r="D2502">
        <v>42</v>
      </c>
      <c r="E2502" t="s">
        <v>60</v>
      </c>
      <c r="F2502" t="s">
        <v>21</v>
      </c>
      <c r="G2502" t="s">
        <v>22</v>
      </c>
      <c r="H2502" s="1">
        <v>44628</v>
      </c>
    </row>
    <row r="2503" spans="1:8">
      <c r="A2503" t="s">
        <v>5033</v>
      </c>
      <c r="B2503" t="s">
        <v>5034</v>
      </c>
      <c r="C2503" t="s">
        <v>10</v>
      </c>
      <c r="D2503">
        <v>54</v>
      </c>
      <c r="E2503" t="s">
        <v>11</v>
      </c>
      <c r="F2503" t="s">
        <v>11</v>
      </c>
      <c r="G2503" t="s">
        <v>12</v>
      </c>
      <c r="H2503" s="1">
        <v>44720</v>
      </c>
    </row>
    <row r="2504" spans="1:8">
      <c r="A2504" t="s">
        <v>5035</v>
      </c>
      <c r="B2504" t="s">
        <v>5036</v>
      </c>
      <c r="C2504" t="s">
        <v>31</v>
      </c>
      <c r="D2504">
        <v>52</v>
      </c>
      <c r="E2504" t="s">
        <v>60</v>
      </c>
      <c r="F2504" t="s">
        <v>21</v>
      </c>
      <c r="G2504" t="s">
        <v>22</v>
      </c>
      <c r="H2504" s="1">
        <v>45852</v>
      </c>
    </row>
    <row r="2505" spans="1:8">
      <c r="A2505" t="s">
        <v>5037</v>
      </c>
      <c r="B2505" t="s">
        <v>5038</v>
      </c>
      <c r="C2505" t="s">
        <v>31</v>
      </c>
      <c r="D2505">
        <v>60</v>
      </c>
      <c r="E2505" t="s">
        <v>27</v>
      </c>
      <c r="F2505" t="s">
        <v>28</v>
      </c>
      <c r="G2505" t="s">
        <v>12</v>
      </c>
      <c r="H2505" s="1">
        <v>44667</v>
      </c>
    </row>
    <row r="2506" spans="1:8">
      <c r="A2506" t="s">
        <v>5039</v>
      </c>
      <c r="B2506" t="s">
        <v>5040</v>
      </c>
      <c r="C2506" t="s">
        <v>31</v>
      </c>
      <c r="D2506">
        <v>30</v>
      </c>
      <c r="E2506" t="s">
        <v>149</v>
      </c>
      <c r="F2506" t="s">
        <v>38</v>
      </c>
      <c r="G2506" t="s">
        <v>22</v>
      </c>
      <c r="H2506" s="1">
        <v>45211</v>
      </c>
    </row>
    <row r="2507" spans="1:8">
      <c r="A2507" t="s">
        <v>5041</v>
      </c>
      <c r="B2507" t="s">
        <v>5042</v>
      </c>
      <c r="C2507" t="s">
        <v>31</v>
      </c>
      <c r="D2507">
        <v>33</v>
      </c>
      <c r="E2507" t="s">
        <v>91</v>
      </c>
      <c r="F2507" t="s">
        <v>92</v>
      </c>
      <c r="G2507" t="s">
        <v>78</v>
      </c>
      <c r="H2507" s="1">
        <v>45061</v>
      </c>
    </row>
    <row r="2508" spans="1:8">
      <c r="A2508" t="s">
        <v>5043</v>
      </c>
      <c r="B2508" t="s">
        <v>5044</v>
      </c>
      <c r="C2508" t="s">
        <v>31</v>
      </c>
      <c r="D2508">
        <v>38</v>
      </c>
      <c r="E2508" t="s">
        <v>134</v>
      </c>
      <c r="F2508" t="s">
        <v>28</v>
      </c>
      <c r="G2508" t="s">
        <v>12</v>
      </c>
      <c r="H2508" s="1">
        <v>45034</v>
      </c>
    </row>
    <row r="2509" spans="1:8">
      <c r="A2509" t="s">
        <v>5045</v>
      </c>
      <c r="B2509" t="s">
        <v>5046</v>
      </c>
      <c r="C2509" t="s">
        <v>10</v>
      </c>
      <c r="D2509">
        <v>46</v>
      </c>
      <c r="E2509" t="s">
        <v>11</v>
      </c>
      <c r="F2509" t="s">
        <v>11</v>
      </c>
      <c r="G2509" t="s">
        <v>12</v>
      </c>
      <c r="H2509" s="1">
        <v>45981</v>
      </c>
    </row>
    <row r="2510" spans="1:8">
      <c r="A2510" t="s">
        <v>5047</v>
      </c>
      <c r="B2510" t="s">
        <v>5048</v>
      </c>
      <c r="C2510" t="s">
        <v>10</v>
      </c>
      <c r="D2510">
        <v>40</v>
      </c>
      <c r="E2510" t="s">
        <v>69</v>
      </c>
      <c r="F2510" t="s">
        <v>69</v>
      </c>
      <c r="G2510" t="s">
        <v>12</v>
      </c>
      <c r="H2510" s="1">
        <v>45303</v>
      </c>
    </row>
    <row r="2511" spans="1:8">
      <c r="A2511" t="s">
        <v>5049</v>
      </c>
      <c r="B2511" t="s">
        <v>5050</v>
      </c>
      <c r="C2511" t="s">
        <v>31</v>
      </c>
      <c r="D2511">
        <v>56</v>
      </c>
      <c r="E2511" t="s">
        <v>20</v>
      </c>
      <c r="F2511" t="s">
        <v>21</v>
      </c>
      <c r="G2511" t="s">
        <v>22</v>
      </c>
      <c r="H2511" s="1">
        <v>45303</v>
      </c>
    </row>
    <row r="2512" spans="1:8">
      <c r="A2512" t="s">
        <v>5051</v>
      </c>
      <c r="B2512" t="s">
        <v>5052</v>
      </c>
      <c r="C2512" t="s">
        <v>10</v>
      </c>
      <c r="D2512">
        <v>52</v>
      </c>
      <c r="E2512" t="s">
        <v>41</v>
      </c>
      <c r="F2512" t="s">
        <v>42</v>
      </c>
      <c r="G2512" t="s">
        <v>17</v>
      </c>
      <c r="H2512" s="1">
        <v>45032</v>
      </c>
    </row>
    <row r="2513" spans="1:8">
      <c r="A2513" t="s">
        <v>5053</v>
      </c>
      <c r="B2513" t="s">
        <v>5054</v>
      </c>
      <c r="C2513" t="s">
        <v>10</v>
      </c>
      <c r="D2513">
        <v>56</v>
      </c>
      <c r="E2513" t="s">
        <v>41</v>
      </c>
      <c r="F2513" t="s">
        <v>42</v>
      </c>
      <c r="G2513" t="s">
        <v>17</v>
      </c>
      <c r="H2513" s="1">
        <v>45942</v>
      </c>
    </row>
    <row r="2514" spans="1:8">
      <c r="A2514" t="s">
        <v>5055</v>
      </c>
      <c r="B2514" t="s">
        <v>5056</v>
      </c>
      <c r="C2514" t="s">
        <v>31</v>
      </c>
      <c r="D2514">
        <v>25</v>
      </c>
      <c r="E2514" t="s">
        <v>45</v>
      </c>
      <c r="F2514" t="s">
        <v>46</v>
      </c>
      <c r="G2514" t="s">
        <v>17</v>
      </c>
      <c r="H2514" s="1">
        <v>45261</v>
      </c>
    </row>
    <row r="2515" spans="1:8">
      <c r="A2515" t="s">
        <v>5057</v>
      </c>
      <c r="B2515" t="s">
        <v>5058</v>
      </c>
      <c r="C2515" t="s">
        <v>10</v>
      </c>
      <c r="D2515">
        <v>54</v>
      </c>
      <c r="E2515" t="s">
        <v>41</v>
      </c>
      <c r="F2515" t="s">
        <v>42</v>
      </c>
      <c r="G2515" t="s">
        <v>17</v>
      </c>
      <c r="H2515" s="1">
        <v>45596</v>
      </c>
    </row>
    <row r="2516" spans="1:8">
      <c r="A2516" t="s">
        <v>5059</v>
      </c>
      <c r="B2516" t="s">
        <v>5060</v>
      </c>
      <c r="C2516" t="s">
        <v>31</v>
      </c>
      <c r="D2516">
        <v>18</v>
      </c>
      <c r="E2516" t="s">
        <v>101</v>
      </c>
      <c r="F2516" t="s">
        <v>21</v>
      </c>
      <c r="G2516" t="s">
        <v>22</v>
      </c>
      <c r="H2516" s="1">
        <v>44930</v>
      </c>
    </row>
    <row r="2517" spans="1:8">
      <c r="A2517" t="s">
        <v>5061</v>
      </c>
      <c r="B2517" t="s">
        <v>5062</v>
      </c>
      <c r="C2517" t="s">
        <v>31</v>
      </c>
      <c r="D2517">
        <v>65</v>
      </c>
      <c r="E2517" t="s">
        <v>41</v>
      </c>
      <c r="F2517" t="s">
        <v>42</v>
      </c>
      <c r="G2517" t="s">
        <v>17</v>
      </c>
      <c r="H2517" s="1">
        <v>45101</v>
      </c>
    </row>
    <row r="2518" spans="1:8">
      <c r="A2518" t="s">
        <v>5063</v>
      </c>
      <c r="B2518" t="s">
        <v>5064</v>
      </c>
      <c r="C2518" t="s">
        <v>10</v>
      </c>
      <c r="D2518">
        <v>62</v>
      </c>
      <c r="E2518" t="s">
        <v>15</v>
      </c>
      <c r="F2518" t="s">
        <v>16</v>
      </c>
      <c r="G2518" t="s">
        <v>17</v>
      </c>
      <c r="H2518" s="1">
        <v>45445</v>
      </c>
    </row>
    <row r="2519" spans="1:8">
      <c r="A2519" t="s">
        <v>5065</v>
      </c>
      <c r="B2519" t="s">
        <v>5066</v>
      </c>
      <c r="C2519" t="s">
        <v>31</v>
      </c>
      <c r="D2519">
        <v>45</v>
      </c>
      <c r="E2519" t="s">
        <v>15</v>
      </c>
      <c r="F2519" t="s">
        <v>16</v>
      </c>
      <c r="G2519" t="s">
        <v>17</v>
      </c>
      <c r="H2519" s="1">
        <v>44833</v>
      </c>
    </row>
    <row r="2520" spans="1:8">
      <c r="A2520" t="s">
        <v>5067</v>
      </c>
      <c r="B2520" t="s">
        <v>5068</v>
      </c>
      <c r="C2520" t="s">
        <v>10</v>
      </c>
      <c r="D2520">
        <v>63</v>
      </c>
      <c r="E2520" t="s">
        <v>149</v>
      </c>
      <c r="F2520" t="s">
        <v>38</v>
      </c>
      <c r="G2520" t="s">
        <v>22</v>
      </c>
      <c r="H2520" s="1">
        <v>45989</v>
      </c>
    </row>
    <row r="2521" spans="1:8">
      <c r="A2521" t="s">
        <v>5069</v>
      </c>
      <c r="B2521" t="s">
        <v>5070</v>
      </c>
      <c r="C2521" t="s">
        <v>10</v>
      </c>
      <c r="D2521">
        <v>64</v>
      </c>
      <c r="E2521" t="s">
        <v>45</v>
      </c>
      <c r="F2521" t="s">
        <v>46</v>
      </c>
      <c r="G2521" t="s">
        <v>17</v>
      </c>
      <c r="H2521" s="1">
        <v>45251</v>
      </c>
    </row>
    <row r="2522" spans="1:8">
      <c r="A2522" t="s">
        <v>5071</v>
      </c>
      <c r="B2522" t="s">
        <v>5072</v>
      </c>
      <c r="C2522" t="s">
        <v>31</v>
      </c>
      <c r="D2522">
        <v>58</v>
      </c>
      <c r="E2522" t="s">
        <v>45</v>
      </c>
      <c r="F2522" t="s">
        <v>46</v>
      </c>
      <c r="G2522" t="s">
        <v>17</v>
      </c>
      <c r="H2522" s="1">
        <v>45481</v>
      </c>
    </row>
    <row r="2523" spans="1:8">
      <c r="A2523" t="s">
        <v>5073</v>
      </c>
      <c r="B2523" t="s">
        <v>5074</v>
      </c>
      <c r="C2523" t="s">
        <v>31</v>
      </c>
      <c r="D2523">
        <v>62</v>
      </c>
      <c r="E2523" t="s">
        <v>149</v>
      </c>
      <c r="F2523" t="s">
        <v>38</v>
      </c>
      <c r="G2523" t="s">
        <v>22</v>
      </c>
      <c r="H2523" s="1">
        <v>45154</v>
      </c>
    </row>
    <row r="2524" spans="1:8">
      <c r="A2524" t="s">
        <v>5075</v>
      </c>
      <c r="B2524" t="s">
        <v>5076</v>
      </c>
      <c r="C2524" t="s">
        <v>10</v>
      </c>
      <c r="D2524">
        <v>27</v>
      </c>
      <c r="E2524" t="s">
        <v>34</v>
      </c>
      <c r="F2524" t="s">
        <v>16</v>
      </c>
      <c r="G2524" t="s">
        <v>17</v>
      </c>
      <c r="H2524" s="1">
        <v>45769</v>
      </c>
    </row>
    <row r="2525" spans="1:8">
      <c r="A2525" t="s">
        <v>5077</v>
      </c>
      <c r="B2525" t="s">
        <v>5078</v>
      </c>
      <c r="C2525" t="s">
        <v>31</v>
      </c>
      <c r="D2525">
        <v>61</v>
      </c>
      <c r="E2525" t="s">
        <v>128</v>
      </c>
      <c r="F2525" t="s">
        <v>129</v>
      </c>
      <c r="G2525" t="s">
        <v>78</v>
      </c>
      <c r="H2525" s="1">
        <v>45776</v>
      </c>
    </row>
    <row r="2526" spans="1:8">
      <c r="A2526" t="s">
        <v>5079</v>
      </c>
      <c r="B2526" t="s">
        <v>5080</v>
      </c>
      <c r="C2526" t="s">
        <v>31</v>
      </c>
      <c r="D2526">
        <v>29</v>
      </c>
      <c r="E2526" t="s">
        <v>69</v>
      </c>
      <c r="F2526" t="s">
        <v>69</v>
      </c>
      <c r="G2526" t="s">
        <v>12</v>
      </c>
      <c r="H2526" s="1">
        <v>45218</v>
      </c>
    </row>
    <row r="2527" spans="1:8">
      <c r="A2527" t="s">
        <v>5081</v>
      </c>
      <c r="B2527" t="s">
        <v>5082</v>
      </c>
      <c r="C2527" t="s">
        <v>10</v>
      </c>
      <c r="D2527">
        <v>32</v>
      </c>
      <c r="E2527" t="s">
        <v>60</v>
      </c>
      <c r="F2527" t="s">
        <v>21</v>
      </c>
      <c r="G2527" t="s">
        <v>22</v>
      </c>
      <c r="H2527" s="1">
        <v>45134</v>
      </c>
    </row>
    <row r="2528" spans="1:8">
      <c r="A2528" t="s">
        <v>5083</v>
      </c>
      <c r="B2528" t="s">
        <v>5084</v>
      </c>
      <c r="C2528" t="s">
        <v>31</v>
      </c>
      <c r="D2528">
        <v>36</v>
      </c>
      <c r="E2528" t="s">
        <v>45</v>
      </c>
      <c r="F2528" t="s">
        <v>46</v>
      </c>
      <c r="G2528" t="s">
        <v>17</v>
      </c>
      <c r="H2528" s="1">
        <v>44660</v>
      </c>
    </row>
    <row r="2529" spans="1:8">
      <c r="A2529" t="s">
        <v>5085</v>
      </c>
      <c r="B2529" t="s">
        <v>5086</v>
      </c>
      <c r="C2529" t="s">
        <v>10</v>
      </c>
      <c r="D2529">
        <v>20</v>
      </c>
      <c r="E2529" t="s">
        <v>37</v>
      </c>
      <c r="F2529" t="s">
        <v>38</v>
      </c>
      <c r="G2529" t="s">
        <v>22</v>
      </c>
      <c r="H2529" s="1">
        <v>44927</v>
      </c>
    </row>
    <row r="2530" spans="1:8">
      <c r="A2530" t="s">
        <v>5087</v>
      </c>
      <c r="B2530" t="s">
        <v>5088</v>
      </c>
      <c r="C2530" t="s">
        <v>31</v>
      </c>
      <c r="D2530">
        <v>54</v>
      </c>
      <c r="E2530" t="s">
        <v>63</v>
      </c>
      <c r="F2530" t="s">
        <v>64</v>
      </c>
      <c r="G2530" t="s">
        <v>12</v>
      </c>
      <c r="H2530" s="1">
        <v>45443</v>
      </c>
    </row>
    <row r="2531" spans="1:8">
      <c r="A2531" t="s">
        <v>5089</v>
      </c>
      <c r="B2531" t="s">
        <v>5090</v>
      </c>
      <c r="C2531" t="s">
        <v>31</v>
      </c>
      <c r="D2531">
        <v>36</v>
      </c>
      <c r="E2531" t="s">
        <v>91</v>
      </c>
      <c r="F2531" t="s">
        <v>92</v>
      </c>
      <c r="G2531" t="s">
        <v>78</v>
      </c>
      <c r="H2531" s="1">
        <v>44765</v>
      </c>
    </row>
    <row r="2532" spans="1:8">
      <c r="A2532" t="s">
        <v>5091</v>
      </c>
      <c r="B2532" t="s">
        <v>5092</v>
      </c>
      <c r="C2532" t="s">
        <v>31</v>
      </c>
      <c r="D2532">
        <v>46</v>
      </c>
      <c r="E2532" t="s">
        <v>45</v>
      </c>
      <c r="F2532" t="s">
        <v>46</v>
      </c>
      <c r="G2532" t="s">
        <v>17</v>
      </c>
      <c r="H2532" s="1">
        <v>45122</v>
      </c>
    </row>
    <row r="2533" spans="1:8">
      <c r="A2533" t="s">
        <v>5093</v>
      </c>
      <c r="B2533" t="s">
        <v>5094</v>
      </c>
      <c r="C2533" t="s">
        <v>31</v>
      </c>
      <c r="D2533">
        <v>56</v>
      </c>
      <c r="E2533" t="s">
        <v>34</v>
      </c>
      <c r="F2533" t="s">
        <v>16</v>
      </c>
      <c r="G2533" t="s">
        <v>17</v>
      </c>
      <c r="H2533" s="1">
        <v>45152</v>
      </c>
    </row>
    <row r="2534" spans="1:8">
      <c r="A2534" t="s">
        <v>5095</v>
      </c>
      <c r="B2534" t="s">
        <v>5096</v>
      </c>
      <c r="C2534" t="s">
        <v>31</v>
      </c>
      <c r="D2534">
        <v>27</v>
      </c>
      <c r="E2534" t="s">
        <v>63</v>
      </c>
      <c r="F2534" t="s">
        <v>64</v>
      </c>
      <c r="G2534" t="s">
        <v>12</v>
      </c>
      <c r="H2534" s="1">
        <v>45926</v>
      </c>
    </row>
    <row r="2535" spans="1:8">
      <c r="A2535" t="s">
        <v>5097</v>
      </c>
      <c r="B2535" t="s">
        <v>5098</v>
      </c>
      <c r="C2535" t="s">
        <v>10</v>
      </c>
      <c r="D2535">
        <v>19</v>
      </c>
      <c r="E2535" t="s">
        <v>218</v>
      </c>
      <c r="F2535" t="s">
        <v>219</v>
      </c>
      <c r="G2535" t="s">
        <v>17</v>
      </c>
      <c r="H2535" s="1">
        <v>45603</v>
      </c>
    </row>
    <row r="2536" spans="1:8">
      <c r="A2536" t="s">
        <v>5099</v>
      </c>
      <c r="B2536" t="s">
        <v>5100</v>
      </c>
      <c r="C2536" t="s">
        <v>10</v>
      </c>
      <c r="D2536">
        <v>18</v>
      </c>
      <c r="E2536" t="s">
        <v>11</v>
      </c>
      <c r="F2536" t="s">
        <v>11</v>
      </c>
      <c r="G2536" t="s">
        <v>12</v>
      </c>
      <c r="H2536" s="1">
        <v>45667</v>
      </c>
    </row>
    <row r="2537" spans="1:8">
      <c r="A2537" t="s">
        <v>5101</v>
      </c>
      <c r="B2537" t="s">
        <v>5102</v>
      </c>
      <c r="C2537" t="s">
        <v>10</v>
      </c>
      <c r="D2537">
        <v>36</v>
      </c>
      <c r="E2537" t="s">
        <v>20</v>
      </c>
      <c r="F2537" t="s">
        <v>21</v>
      </c>
      <c r="G2537" t="s">
        <v>22</v>
      </c>
      <c r="H2537" s="1">
        <v>45318</v>
      </c>
    </row>
    <row r="2538" spans="1:8">
      <c r="A2538" t="s">
        <v>5103</v>
      </c>
      <c r="B2538" t="s">
        <v>5104</v>
      </c>
      <c r="C2538" t="s">
        <v>31</v>
      </c>
      <c r="D2538">
        <v>51</v>
      </c>
      <c r="E2538" t="s">
        <v>128</v>
      </c>
      <c r="F2538" t="s">
        <v>129</v>
      </c>
      <c r="G2538" t="s">
        <v>78</v>
      </c>
      <c r="H2538" s="1">
        <v>45435</v>
      </c>
    </row>
    <row r="2539" spans="1:8">
      <c r="A2539" t="s">
        <v>5105</v>
      </c>
      <c r="B2539" t="s">
        <v>5106</v>
      </c>
      <c r="C2539" t="s">
        <v>10</v>
      </c>
      <c r="D2539">
        <v>63</v>
      </c>
      <c r="E2539" t="s">
        <v>41</v>
      </c>
      <c r="F2539" t="s">
        <v>42</v>
      </c>
      <c r="G2539" t="s">
        <v>17</v>
      </c>
      <c r="H2539" s="1">
        <v>45166</v>
      </c>
    </row>
    <row r="2540" spans="1:8">
      <c r="A2540" t="s">
        <v>5107</v>
      </c>
      <c r="B2540" t="s">
        <v>5108</v>
      </c>
      <c r="C2540" t="s">
        <v>31</v>
      </c>
      <c r="D2540">
        <v>49</v>
      </c>
      <c r="E2540" t="s">
        <v>11</v>
      </c>
      <c r="F2540" t="s">
        <v>11</v>
      </c>
      <c r="G2540" t="s">
        <v>12</v>
      </c>
      <c r="H2540" s="1">
        <v>45472</v>
      </c>
    </row>
    <row r="2541" spans="1:8">
      <c r="A2541" t="s">
        <v>5109</v>
      </c>
      <c r="B2541" t="s">
        <v>5110</v>
      </c>
      <c r="C2541" t="s">
        <v>10</v>
      </c>
      <c r="D2541">
        <v>40</v>
      </c>
      <c r="E2541" t="s">
        <v>34</v>
      </c>
      <c r="F2541" t="s">
        <v>16</v>
      </c>
      <c r="G2541" t="s">
        <v>17</v>
      </c>
      <c r="H2541" s="1">
        <v>45132</v>
      </c>
    </row>
    <row r="2542" spans="1:8">
      <c r="A2542" t="s">
        <v>5111</v>
      </c>
      <c r="B2542" t="s">
        <v>5112</v>
      </c>
      <c r="C2542" t="s">
        <v>31</v>
      </c>
      <c r="D2542">
        <v>28</v>
      </c>
      <c r="E2542" t="s">
        <v>63</v>
      </c>
      <c r="F2542" t="s">
        <v>64</v>
      </c>
      <c r="G2542" t="s">
        <v>12</v>
      </c>
      <c r="H2542" s="1">
        <v>44714</v>
      </c>
    </row>
    <row r="2543" spans="1:8">
      <c r="A2543" t="s">
        <v>5113</v>
      </c>
      <c r="B2543" t="s">
        <v>5114</v>
      </c>
      <c r="C2543" t="s">
        <v>10</v>
      </c>
      <c r="D2543">
        <v>63</v>
      </c>
      <c r="E2543" t="s">
        <v>37</v>
      </c>
      <c r="F2543" t="s">
        <v>38</v>
      </c>
      <c r="G2543" t="s">
        <v>22</v>
      </c>
      <c r="H2543" s="1">
        <v>45490</v>
      </c>
    </row>
    <row r="2544" spans="1:8">
      <c r="A2544" t="s">
        <v>5115</v>
      </c>
      <c r="B2544" t="s">
        <v>5116</v>
      </c>
      <c r="C2544" t="s">
        <v>10</v>
      </c>
      <c r="D2544">
        <v>63</v>
      </c>
      <c r="E2544" t="s">
        <v>11</v>
      </c>
      <c r="F2544" t="s">
        <v>11</v>
      </c>
      <c r="G2544" t="s">
        <v>12</v>
      </c>
      <c r="H2544" s="1">
        <v>45449</v>
      </c>
    </row>
    <row r="2545" spans="1:8">
      <c r="A2545" t="s">
        <v>5117</v>
      </c>
      <c r="B2545" t="s">
        <v>5118</v>
      </c>
      <c r="C2545" t="s">
        <v>10</v>
      </c>
      <c r="D2545">
        <v>58</v>
      </c>
      <c r="E2545" t="s">
        <v>134</v>
      </c>
      <c r="F2545" t="s">
        <v>28</v>
      </c>
      <c r="G2545" t="s">
        <v>12</v>
      </c>
      <c r="H2545" s="1">
        <v>44951</v>
      </c>
    </row>
    <row r="2546" spans="1:8">
      <c r="A2546" t="s">
        <v>5119</v>
      </c>
      <c r="B2546" t="s">
        <v>5120</v>
      </c>
      <c r="C2546" t="s">
        <v>31</v>
      </c>
      <c r="D2546">
        <v>32</v>
      </c>
      <c r="E2546" t="s">
        <v>63</v>
      </c>
      <c r="F2546" t="s">
        <v>64</v>
      </c>
      <c r="G2546" t="s">
        <v>12</v>
      </c>
      <c r="H2546" s="1">
        <v>44842</v>
      </c>
    </row>
    <row r="2547" spans="1:8">
      <c r="A2547" t="s">
        <v>5121</v>
      </c>
      <c r="B2547" t="s">
        <v>5122</v>
      </c>
      <c r="C2547" t="s">
        <v>10</v>
      </c>
      <c r="D2547">
        <v>49</v>
      </c>
      <c r="E2547" t="s">
        <v>134</v>
      </c>
      <c r="F2547" t="s">
        <v>28</v>
      </c>
      <c r="G2547" t="s">
        <v>12</v>
      </c>
      <c r="H2547" s="1">
        <v>45524</v>
      </c>
    </row>
    <row r="2548" spans="1:8">
      <c r="A2548" t="s">
        <v>5123</v>
      </c>
      <c r="B2548" t="s">
        <v>5124</v>
      </c>
      <c r="C2548" t="s">
        <v>10</v>
      </c>
      <c r="D2548">
        <v>30</v>
      </c>
      <c r="E2548" t="s">
        <v>69</v>
      </c>
      <c r="F2548" t="s">
        <v>69</v>
      </c>
      <c r="G2548" t="s">
        <v>12</v>
      </c>
      <c r="H2548" s="1">
        <v>45140</v>
      </c>
    </row>
    <row r="2549" spans="1:8">
      <c r="A2549" t="s">
        <v>5125</v>
      </c>
      <c r="B2549" t="s">
        <v>5126</v>
      </c>
      <c r="C2549" t="s">
        <v>10</v>
      </c>
      <c r="D2549">
        <v>18</v>
      </c>
      <c r="E2549" t="s">
        <v>11</v>
      </c>
      <c r="F2549" t="s">
        <v>11</v>
      </c>
      <c r="G2549" t="s">
        <v>12</v>
      </c>
      <c r="H2549" s="1">
        <v>45619</v>
      </c>
    </row>
    <row r="2550" spans="1:8">
      <c r="A2550" t="s">
        <v>5127</v>
      </c>
      <c r="B2550" t="s">
        <v>5128</v>
      </c>
      <c r="C2550" t="s">
        <v>10</v>
      </c>
      <c r="D2550">
        <v>63</v>
      </c>
      <c r="E2550" t="s">
        <v>149</v>
      </c>
      <c r="F2550" t="s">
        <v>38</v>
      </c>
      <c r="G2550" t="s">
        <v>22</v>
      </c>
      <c r="H2550" s="1">
        <v>45704</v>
      </c>
    </row>
    <row r="2551" spans="1:8">
      <c r="A2551" t="s">
        <v>5129</v>
      </c>
      <c r="B2551" t="s">
        <v>5130</v>
      </c>
      <c r="C2551" t="s">
        <v>31</v>
      </c>
      <c r="D2551">
        <v>57</v>
      </c>
      <c r="E2551" t="s">
        <v>41</v>
      </c>
      <c r="F2551" t="s">
        <v>42</v>
      </c>
      <c r="G2551" t="s">
        <v>17</v>
      </c>
      <c r="H2551" s="1">
        <v>45970</v>
      </c>
    </row>
    <row r="2552" spans="1:8">
      <c r="A2552" t="s">
        <v>5131</v>
      </c>
      <c r="B2552" t="s">
        <v>5132</v>
      </c>
      <c r="C2552" t="s">
        <v>31</v>
      </c>
      <c r="D2552">
        <v>48</v>
      </c>
      <c r="E2552" t="s">
        <v>60</v>
      </c>
      <c r="F2552" t="s">
        <v>21</v>
      </c>
      <c r="G2552" t="s">
        <v>22</v>
      </c>
      <c r="H2552" s="1">
        <v>45042</v>
      </c>
    </row>
    <row r="2553" spans="1:8">
      <c r="A2553" t="s">
        <v>5133</v>
      </c>
      <c r="B2553" t="s">
        <v>5134</v>
      </c>
      <c r="C2553" t="s">
        <v>10</v>
      </c>
      <c r="D2553">
        <v>36</v>
      </c>
      <c r="E2553" t="s">
        <v>101</v>
      </c>
      <c r="F2553" t="s">
        <v>21</v>
      </c>
      <c r="G2553" t="s">
        <v>22</v>
      </c>
      <c r="H2553" s="1">
        <v>45176</v>
      </c>
    </row>
    <row r="2554" spans="1:8">
      <c r="A2554" t="s">
        <v>5135</v>
      </c>
      <c r="B2554" t="s">
        <v>5136</v>
      </c>
      <c r="C2554" t="s">
        <v>31</v>
      </c>
      <c r="D2554">
        <v>56</v>
      </c>
      <c r="E2554" t="s">
        <v>69</v>
      </c>
      <c r="F2554" t="s">
        <v>69</v>
      </c>
      <c r="G2554" t="s">
        <v>12</v>
      </c>
      <c r="H2554" s="1">
        <v>45852</v>
      </c>
    </row>
    <row r="2555" spans="1:8">
      <c r="A2555" t="s">
        <v>5137</v>
      </c>
      <c r="B2555" t="s">
        <v>5138</v>
      </c>
      <c r="C2555" t="s">
        <v>10</v>
      </c>
      <c r="D2555">
        <v>32</v>
      </c>
      <c r="E2555" t="s">
        <v>149</v>
      </c>
      <c r="F2555" t="s">
        <v>38</v>
      </c>
      <c r="G2555" t="s">
        <v>22</v>
      </c>
      <c r="H2555" s="1">
        <v>45167</v>
      </c>
    </row>
    <row r="2556" spans="1:8">
      <c r="A2556" t="s">
        <v>5139</v>
      </c>
      <c r="B2556" t="s">
        <v>5140</v>
      </c>
      <c r="C2556" t="s">
        <v>31</v>
      </c>
      <c r="D2556">
        <v>38</v>
      </c>
      <c r="E2556" t="s">
        <v>45</v>
      </c>
      <c r="F2556" t="s">
        <v>46</v>
      </c>
      <c r="G2556" t="s">
        <v>17</v>
      </c>
      <c r="H2556" s="1">
        <v>45421</v>
      </c>
    </row>
    <row r="2557" spans="1:8">
      <c r="A2557" t="s">
        <v>5141</v>
      </c>
      <c r="B2557" t="s">
        <v>5142</v>
      </c>
      <c r="C2557" t="s">
        <v>10</v>
      </c>
      <c r="D2557">
        <v>47</v>
      </c>
      <c r="E2557" t="s">
        <v>41</v>
      </c>
      <c r="F2557" t="s">
        <v>42</v>
      </c>
      <c r="G2557" t="s">
        <v>17</v>
      </c>
      <c r="H2557" s="1">
        <v>44799</v>
      </c>
    </row>
    <row r="2558" spans="1:8">
      <c r="A2558" t="s">
        <v>5143</v>
      </c>
      <c r="B2558" t="s">
        <v>5144</v>
      </c>
      <c r="C2558" t="s">
        <v>31</v>
      </c>
      <c r="D2558">
        <v>63</v>
      </c>
      <c r="E2558" t="s">
        <v>87</v>
      </c>
      <c r="F2558" t="s">
        <v>88</v>
      </c>
      <c r="G2558" t="s">
        <v>78</v>
      </c>
      <c r="H2558" s="1">
        <v>45273</v>
      </c>
    </row>
    <row r="2559" spans="1:8">
      <c r="A2559" t="s">
        <v>5145</v>
      </c>
      <c r="B2559" t="s">
        <v>5146</v>
      </c>
      <c r="C2559" t="s">
        <v>31</v>
      </c>
      <c r="D2559">
        <v>61</v>
      </c>
      <c r="E2559" t="s">
        <v>41</v>
      </c>
      <c r="F2559" t="s">
        <v>42</v>
      </c>
      <c r="G2559" t="s">
        <v>17</v>
      </c>
      <c r="H2559" s="1">
        <v>45563</v>
      </c>
    </row>
    <row r="2560" spans="1:8">
      <c r="A2560" t="s">
        <v>5147</v>
      </c>
      <c r="B2560" t="s">
        <v>5148</v>
      </c>
      <c r="C2560" t="s">
        <v>10</v>
      </c>
      <c r="D2560">
        <v>68</v>
      </c>
      <c r="E2560" t="s">
        <v>45</v>
      </c>
      <c r="F2560" t="s">
        <v>46</v>
      </c>
      <c r="G2560" t="s">
        <v>17</v>
      </c>
      <c r="H2560" s="1">
        <v>45110</v>
      </c>
    </row>
    <row r="2561" spans="1:8">
      <c r="A2561" t="s">
        <v>5149</v>
      </c>
      <c r="B2561" t="s">
        <v>5150</v>
      </c>
      <c r="C2561" t="s">
        <v>31</v>
      </c>
      <c r="D2561">
        <v>61</v>
      </c>
      <c r="E2561" t="s">
        <v>60</v>
      </c>
      <c r="F2561" t="s">
        <v>21</v>
      </c>
      <c r="G2561" t="s">
        <v>22</v>
      </c>
      <c r="H2561" s="1">
        <v>45223</v>
      </c>
    </row>
    <row r="2562" spans="1:8">
      <c r="A2562" t="s">
        <v>5151</v>
      </c>
      <c r="B2562" t="s">
        <v>5152</v>
      </c>
      <c r="C2562" t="s">
        <v>31</v>
      </c>
      <c r="D2562">
        <v>43</v>
      </c>
      <c r="E2562" t="s">
        <v>149</v>
      </c>
      <c r="F2562" t="s">
        <v>38</v>
      </c>
      <c r="G2562" t="s">
        <v>22</v>
      </c>
      <c r="H2562" s="1">
        <v>45467</v>
      </c>
    </row>
    <row r="2563" spans="1:8">
      <c r="A2563" t="s">
        <v>5153</v>
      </c>
      <c r="B2563" t="s">
        <v>5154</v>
      </c>
      <c r="C2563" t="s">
        <v>31</v>
      </c>
      <c r="D2563">
        <v>64</v>
      </c>
      <c r="E2563" t="s">
        <v>15</v>
      </c>
      <c r="F2563" t="s">
        <v>16</v>
      </c>
      <c r="G2563" t="s">
        <v>17</v>
      </c>
      <c r="H2563" s="1">
        <v>45111</v>
      </c>
    </row>
    <row r="2564" spans="1:8">
      <c r="A2564" t="s">
        <v>5155</v>
      </c>
      <c r="B2564" t="s">
        <v>5156</v>
      </c>
      <c r="C2564" t="s">
        <v>31</v>
      </c>
      <c r="D2564">
        <v>44</v>
      </c>
      <c r="E2564" t="s">
        <v>15</v>
      </c>
      <c r="F2564" t="s">
        <v>16</v>
      </c>
      <c r="G2564" t="s">
        <v>17</v>
      </c>
      <c r="H2564" s="1">
        <v>45193</v>
      </c>
    </row>
    <row r="2565" spans="1:8">
      <c r="A2565" t="s">
        <v>5157</v>
      </c>
      <c r="B2565" t="s">
        <v>5158</v>
      </c>
      <c r="C2565" t="s">
        <v>10</v>
      </c>
      <c r="D2565">
        <v>67</v>
      </c>
      <c r="E2565" t="s">
        <v>34</v>
      </c>
      <c r="F2565" t="s">
        <v>16</v>
      </c>
      <c r="G2565" t="s">
        <v>17</v>
      </c>
      <c r="H2565" s="1">
        <v>45659</v>
      </c>
    </row>
    <row r="2566" spans="1:8">
      <c r="A2566" t="s">
        <v>5159</v>
      </c>
      <c r="B2566" t="s">
        <v>5160</v>
      </c>
      <c r="C2566" t="s">
        <v>31</v>
      </c>
      <c r="D2566">
        <v>26</v>
      </c>
      <c r="E2566" t="s">
        <v>27</v>
      </c>
      <c r="F2566" t="s">
        <v>28</v>
      </c>
      <c r="G2566" t="s">
        <v>12</v>
      </c>
      <c r="H2566" s="1">
        <v>45812</v>
      </c>
    </row>
    <row r="2567" spans="1:8">
      <c r="A2567" t="s">
        <v>5161</v>
      </c>
      <c r="B2567" t="s">
        <v>5162</v>
      </c>
      <c r="C2567" t="s">
        <v>31</v>
      </c>
      <c r="D2567">
        <v>23</v>
      </c>
      <c r="E2567" t="s">
        <v>49</v>
      </c>
      <c r="F2567" t="s">
        <v>11</v>
      </c>
      <c r="G2567" t="s">
        <v>12</v>
      </c>
      <c r="H2567" s="1">
        <v>44605</v>
      </c>
    </row>
    <row r="2568" spans="1:8">
      <c r="A2568" t="s">
        <v>5163</v>
      </c>
      <c r="B2568" t="s">
        <v>5164</v>
      </c>
      <c r="C2568" t="s">
        <v>10</v>
      </c>
      <c r="D2568">
        <v>59</v>
      </c>
      <c r="E2568" t="s">
        <v>134</v>
      </c>
      <c r="F2568" t="s">
        <v>28</v>
      </c>
      <c r="G2568" t="s">
        <v>12</v>
      </c>
      <c r="H2568" s="1">
        <v>45284</v>
      </c>
    </row>
    <row r="2569" spans="1:8">
      <c r="A2569" t="s">
        <v>5165</v>
      </c>
      <c r="B2569" t="s">
        <v>5166</v>
      </c>
      <c r="C2569" t="s">
        <v>10</v>
      </c>
      <c r="D2569">
        <v>28</v>
      </c>
      <c r="E2569" t="s">
        <v>34</v>
      </c>
      <c r="F2569" t="s">
        <v>16</v>
      </c>
      <c r="G2569" t="s">
        <v>17</v>
      </c>
      <c r="H2569" s="1">
        <v>45303</v>
      </c>
    </row>
    <row r="2570" spans="1:8">
      <c r="A2570" t="s">
        <v>5167</v>
      </c>
      <c r="B2570" t="s">
        <v>5168</v>
      </c>
      <c r="C2570" t="s">
        <v>31</v>
      </c>
      <c r="D2570">
        <v>69</v>
      </c>
      <c r="E2570" t="s">
        <v>112</v>
      </c>
      <c r="F2570" t="s">
        <v>113</v>
      </c>
      <c r="G2570" t="s">
        <v>78</v>
      </c>
      <c r="H2570" s="1">
        <v>45031</v>
      </c>
    </row>
    <row r="2571" spans="1:8">
      <c r="A2571" t="s">
        <v>5169</v>
      </c>
      <c r="B2571" t="s">
        <v>5170</v>
      </c>
      <c r="C2571" t="s">
        <v>31</v>
      </c>
      <c r="D2571">
        <v>31</v>
      </c>
      <c r="E2571" t="s">
        <v>45</v>
      </c>
      <c r="F2571" t="s">
        <v>46</v>
      </c>
      <c r="G2571" t="s">
        <v>17</v>
      </c>
      <c r="H2571" s="1">
        <v>45240</v>
      </c>
    </row>
    <row r="2572" spans="1:8">
      <c r="A2572" t="s">
        <v>5171</v>
      </c>
      <c r="B2572" t="s">
        <v>5172</v>
      </c>
      <c r="C2572" t="s">
        <v>10</v>
      </c>
      <c r="D2572">
        <v>19</v>
      </c>
      <c r="E2572" t="s">
        <v>101</v>
      </c>
      <c r="F2572" t="s">
        <v>21</v>
      </c>
      <c r="G2572" t="s">
        <v>22</v>
      </c>
      <c r="H2572" s="1">
        <v>44589</v>
      </c>
    </row>
    <row r="2573" spans="1:8">
      <c r="A2573" t="s">
        <v>5173</v>
      </c>
      <c r="B2573" t="s">
        <v>5174</v>
      </c>
      <c r="C2573" t="s">
        <v>31</v>
      </c>
      <c r="D2573">
        <v>68</v>
      </c>
      <c r="E2573" t="s">
        <v>27</v>
      </c>
      <c r="F2573" t="s">
        <v>28</v>
      </c>
      <c r="G2573" t="s">
        <v>12</v>
      </c>
      <c r="H2573" s="1">
        <v>44771</v>
      </c>
    </row>
    <row r="2574" spans="1:8">
      <c r="A2574" t="s">
        <v>5175</v>
      </c>
      <c r="B2574" t="s">
        <v>5176</v>
      </c>
      <c r="C2574" t="s">
        <v>31</v>
      </c>
      <c r="D2574">
        <v>19</v>
      </c>
      <c r="E2574" t="s">
        <v>101</v>
      </c>
      <c r="F2574" t="s">
        <v>21</v>
      </c>
      <c r="G2574" t="s">
        <v>22</v>
      </c>
      <c r="H2574" s="1">
        <v>45141</v>
      </c>
    </row>
    <row r="2575" spans="1:8">
      <c r="A2575" t="s">
        <v>5177</v>
      </c>
      <c r="B2575" t="s">
        <v>5178</v>
      </c>
      <c r="C2575" t="s">
        <v>31</v>
      </c>
      <c r="D2575">
        <v>65</v>
      </c>
      <c r="E2575" t="s">
        <v>34</v>
      </c>
      <c r="F2575" t="s">
        <v>16</v>
      </c>
      <c r="G2575" t="s">
        <v>17</v>
      </c>
      <c r="H2575" s="1">
        <v>44631</v>
      </c>
    </row>
    <row r="2576" spans="1:8">
      <c r="A2576" t="s">
        <v>5179</v>
      </c>
      <c r="B2576" t="s">
        <v>5180</v>
      </c>
      <c r="C2576" t="s">
        <v>31</v>
      </c>
      <c r="D2576">
        <v>26</v>
      </c>
      <c r="E2576" t="s">
        <v>41</v>
      </c>
      <c r="F2576" t="s">
        <v>42</v>
      </c>
      <c r="G2576" t="s">
        <v>17</v>
      </c>
      <c r="H2576" s="1">
        <v>45904</v>
      </c>
    </row>
    <row r="2577" spans="1:8">
      <c r="A2577" t="s">
        <v>5181</v>
      </c>
      <c r="B2577" t="s">
        <v>5182</v>
      </c>
      <c r="C2577" t="s">
        <v>10</v>
      </c>
      <c r="D2577">
        <v>22</v>
      </c>
      <c r="E2577" t="s">
        <v>134</v>
      </c>
      <c r="F2577" t="s">
        <v>28</v>
      </c>
      <c r="G2577" t="s">
        <v>12</v>
      </c>
      <c r="H2577" s="1">
        <v>44735</v>
      </c>
    </row>
    <row r="2578" spans="1:8">
      <c r="A2578" t="s">
        <v>5183</v>
      </c>
      <c r="B2578" t="s">
        <v>5184</v>
      </c>
      <c r="C2578" t="s">
        <v>10</v>
      </c>
      <c r="D2578">
        <v>65</v>
      </c>
      <c r="E2578" t="s">
        <v>149</v>
      </c>
      <c r="F2578" t="s">
        <v>38</v>
      </c>
      <c r="G2578" t="s">
        <v>22</v>
      </c>
      <c r="H2578" s="1">
        <v>44603</v>
      </c>
    </row>
    <row r="2579" spans="1:8">
      <c r="A2579" t="s">
        <v>5185</v>
      </c>
      <c r="B2579" t="s">
        <v>5186</v>
      </c>
      <c r="C2579" t="s">
        <v>10</v>
      </c>
      <c r="D2579">
        <v>65</v>
      </c>
      <c r="E2579" t="s">
        <v>128</v>
      </c>
      <c r="F2579" t="s">
        <v>129</v>
      </c>
      <c r="G2579" t="s">
        <v>78</v>
      </c>
      <c r="H2579" s="1">
        <v>44872</v>
      </c>
    </row>
    <row r="2580" spans="1:8">
      <c r="A2580" t="s">
        <v>5187</v>
      </c>
      <c r="B2580" t="s">
        <v>5188</v>
      </c>
      <c r="C2580" t="s">
        <v>31</v>
      </c>
      <c r="D2580">
        <v>68</v>
      </c>
      <c r="E2580" t="s">
        <v>69</v>
      </c>
      <c r="F2580" t="s">
        <v>69</v>
      </c>
      <c r="G2580" t="s">
        <v>12</v>
      </c>
      <c r="H2580" s="1">
        <v>44959</v>
      </c>
    </row>
    <row r="2581" spans="1:8">
      <c r="A2581" t="s">
        <v>5189</v>
      </c>
      <c r="B2581" t="s">
        <v>5190</v>
      </c>
      <c r="C2581" t="s">
        <v>31</v>
      </c>
      <c r="D2581">
        <v>35</v>
      </c>
      <c r="E2581" t="s">
        <v>60</v>
      </c>
      <c r="F2581" t="s">
        <v>21</v>
      </c>
      <c r="G2581" t="s">
        <v>22</v>
      </c>
      <c r="H2581" s="1">
        <v>44609</v>
      </c>
    </row>
    <row r="2582" spans="1:8">
      <c r="A2582" t="s">
        <v>5191</v>
      </c>
      <c r="B2582" t="s">
        <v>5192</v>
      </c>
      <c r="C2582" t="s">
        <v>31</v>
      </c>
      <c r="D2582">
        <v>42</v>
      </c>
      <c r="E2582" t="s">
        <v>20</v>
      </c>
      <c r="F2582" t="s">
        <v>21</v>
      </c>
      <c r="G2582" t="s">
        <v>22</v>
      </c>
      <c r="H2582" s="1">
        <v>45103</v>
      </c>
    </row>
    <row r="2583" spans="1:8">
      <c r="A2583" t="s">
        <v>5193</v>
      </c>
      <c r="B2583" t="s">
        <v>5194</v>
      </c>
      <c r="C2583" t="s">
        <v>31</v>
      </c>
      <c r="D2583">
        <v>53</v>
      </c>
      <c r="E2583" t="s">
        <v>15</v>
      </c>
      <c r="F2583" t="s">
        <v>16</v>
      </c>
      <c r="G2583" t="s">
        <v>17</v>
      </c>
      <c r="H2583" s="1">
        <v>45017</v>
      </c>
    </row>
    <row r="2584" spans="1:8">
      <c r="A2584" t="s">
        <v>5195</v>
      </c>
      <c r="B2584" t="s">
        <v>5196</v>
      </c>
      <c r="C2584" t="s">
        <v>10</v>
      </c>
      <c r="D2584">
        <v>42</v>
      </c>
      <c r="E2584" t="s">
        <v>45</v>
      </c>
      <c r="F2584" t="s">
        <v>46</v>
      </c>
      <c r="G2584" t="s">
        <v>17</v>
      </c>
      <c r="H2584" s="1">
        <v>46001</v>
      </c>
    </row>
    <row r="2585" spans="1:8">
      <c r="A2585" t="s">
        <v>5197</v>
      </c>
      <c r="B2585" t="s">
        <v>5198</v>
      </c>
      <c r="C2585" t="s">
        <v>31</v>
      </c>
      <c r="D2585">
        <v>66</v>
      </c>
      <c r="E2585" t="s">
        <v>41</v>
      </c>
      <c r="F2585" t="s">
        <v>42</v>
      </c>
      <c r="G2585" t="s">
        <v>17</v>
      </c>
      <c r="H2585" s="1">
        <v>45368</v>
      </c>
    </row>
    <row r="2586" spans="1:8">
      <c r="A2586" t="s">
        <v>5199</v>
      </c>
      <c r="B2586" t="s">
        <v>5200</v>
      </c>
      <c r="C2586" t="s">
        <v>10</v>
      </c>
      <c r="D2586">
        <v>54</v>
      </c>
      <c r="E2586" t="s">
        <v>20</v>
      </c>
      <c r="F2586" t="s">
        <v>21</v>
      </c>
      <c r="G2586" t="s">
        <v>22</v>
      </c>
      <c r="H2586" s="1">
        <v>45488</v>
      </c>
    </row>
    <row r="2587" spans="1:8">
      <c r="A2587" t="s">
        <v>5201</v>
      </c>
      <c r="B2587" t="s">
        <v>5202</v>
      </c>
      <c r="C2587" t="s">
        <v>31</v>
      </c>
      <c r="D2587">
        <v>41</v>
      </c>
      <c r="E2587" t="s">
        <v>112</v>
      </c>
      <c r="F2587" t="s">
        <v>113</v>
      </c>
      <c r="G2587" t="s">
        <v>78</v>
      </c>
      <c r="H2587" s="1">
        <v>45037</v>
      </c>
    </row>
    <row r="2588" spans="1:8">
      <c r="A2588" t="s">
        <v>5203</v>
      </c>
      <c r="B2588" t="s">
        <v>5204</v>
      </c>
      <c r="C2588" t="s">
        <v>31</v>
      </c>
      <c r="D2588">
        <v>39</v>
      </c>
      <c r="E2588" t="s">
        <v>20</v>
      </c>
      <c r="F2588" t="s">
        <v>21</v>
      </c>
      <c r="G2588" t="s">
        <v>22</v>
      </c>
      <c r="H2588" s="1">
        <v>45878</v>
      </c>
    </row>
    <row r="2589" spans="1:8">
      <c r="A2589" t="s">
        <v>5205</v>
      </c>
      <c r="B2589" t="s">
        <v>5206</v>
      </c>
      <c r="C2589" t="s">
        <v>10</v>
      </c>
      <c r="D2589">
        <v>31</v>
      </c>
      <c r="E2589" t="s">
        <v>15</v>
      </c>
      <c r="F2589" t="s">
        <v>16</v>
      </c>
      <c r="G2589" t="s">
        <v>17</v>
      </c>
      <c r="H2589" s="1">
        <v>44757</v>
      </c>
    </row>
    <row r="2590" spans="1:8">
      <c r="A2590" t="s">
        <v>5207</v>
      </c>
      <c r="B2590" t="s">
        <v>5208</v>
      </c>
      <c r="C2590" t="s">
        <v>10</v>
      </c>
      <c r="D2590">
        <v>23</v>
      </c>
      <c r="E2590" t="s">
        <v>112</v>
      </c>
      <c r="F2590" t="s">
        <v>113</v>
      </c>
      <c r="G2590" t="s">
        <v>78</v>
      </c>
      <c r="H2590" s="1">
        <v>45777</v>
      </c>
    </row>
    <row r="2591" spans="1:8">
      <c r="A2591" t="s">
        <v>5209</v>
      </c>
      <c r="B2591" t="s">
        <v>5210</v>
      </c>
      <c r="C2591" t="s">
        <v>10</v>
      </c>
      <c r="D2591">
        <v>21</v>
      </c>
      <c r="E2591" t="s">
        <v>218</v>
      </c>
      <c r="F2591" t="s">
        <v>219</v>
      </c>
      <c r="G2591" t="s">
        <v>17</v>
      </c>
      <c r="H2591" s="1">
        <v>45531</v>
      </c>
    </row>
    <row r="2592" spans="1:8">
      <c r="A2592" t="s">
        <v>5211</v>
      </c>
      <c r="B2592" t="s">
        <v>5212</v>
      </c>
      <c r="C2592" t="s">
        <v>31</v>
      </c>
      <c r="D2592">
        <v>65</v>
      </c>
      <c r="E2592" t="s">
        <v>134</v>
      </c>
      <c r="F2592" t="s">
        <v>28</v>
      </c>
      <c r="G2592" t="s">
        <v>12</v>
      </c>
      <c r="H2592" s="1">
        <v>45405</v>
      </c>
    </row>
    <row r="2593" spans="1:8">
      <c r="A2593" t="s">
        <v>5213</v>
      </c>
      <c r="B2593" t="s">
        <v>5214</v>
      </c>
      <c r="C2593" t="s">
        <v>31</v>
      </c>
      <c r="D2593">
        <v>62</v>
      </c>
      <c r="E2593" t="s">
        <v>101</v>
      </c>
      <c r="F2593" t="s">
        <v>21</v>
      </c>
      <c r="G2593" t="s">
        <v>22</v>
      </c>
      <c r="H2593" s="1">
        <v>44636</v>
      </c>
    </row>
    <row r="2594" spans="1:8">
      <c r="A2594" t="s">
        <v>5215</v>
      </c>
      <c r="B2594" t="s">
        <v>5216</v>
      </c>
      <c r="C2594" t="s">
        <v>31</v>
      </c>
      <c r="D2594">
        <v>62</v>
      </c>
      <c r="E2594" t="s">
        <v>149</v>
      </c>
      <c r="F2594" t="s">
        <v>38</v>
      </c>
      <c r="G2594" t="s">
        <v>22</v>
      </c>
      <c r="H2594" s="1">
        <v>44573</v>
      </c>
    </row>
    <row r="2595" spans="1:8">
      <c r="A2595" t="s">
        <v>5217</v>
      </c>
      <c r="B2595" t="s">
        <v>5218</v>
      </c>
      <c r="C2595" t="s">
        <v>31</v>
      </c>
      <c r="D2595">
        <v>38</v>
      </c>
      <c r="E2595" t="s">
        <v>218</v>
      </c>
      <c r="F2595" t="s">
        <v>219</v>
      </c>
      <c r="G2595" t="s">
        <v>17</v>
      </c>
      <c r="H2595" s="1">
        <v>45562</v>
      </c>
    </row>
    <row r="2596" spans="1:8">
      <c r="A2596" t="s">
        <v>5219</v>
      </c>
      <c r="B2596" t="s">
        <v>5220</v>
      </c>
      <c r="C2596" t="s">
        <v>31</v>
      </c>
      <c r="D2596">
        <v>63</v>
      </c>
      <c r="E2596" t="s">
        <v>76</v>
      </c>
      <c r="F2596" t="s">
        <v>77</v>
      </c>
      <c r="G2596" t="s">
        <v>78</v>
      </c>
      <c r="H2596" s="1">
        <v>45221</v>
      </c>
    </row>
    <row r="2597" spans="1:8">
      <c r="A2597" t="s">
        <v>5221</v>
      </c>
      <c r="B2597" t="s">
        <v>5222</v>
      </c>
      <c r="C2597" t="s">
        <v>10</v>
      </c>
      <c r="D2597">
        <v>45</v>
      </c>
      <c r="E2597" t="s">
        <v>60</v>
      </c>
      <c r="F2597" t="s">
        <v>21</v>
      </c>
      <c r="G2597" t="s">
        <v>22</v>
      </c>
      <c r="H2597" s="1">
        <v>44728</v>
      </c>
    </row>
    <row r="2598" spans="1:8">
      <c r="A2598" t="s">
        <v>5223</v>
      </c>
      <c r="B2598" t="s">
        <v>5224</v>
      </c>
      <c r="C2598" t="s">
        <v>10</v>
      </c>
      <c r="D2598">
        <v>28</v>
      </c>
      <c r="E2598" t="s">
        <v>69</v>
      </c>
      <c r="F2598" t="s">
        <v>69</v>
      </c>
      <c r="G2598" t="s">
        <v>12</v>
      </c>
      <c r="H2598" s="1">
        <v>44822</v>
      </c>
    </row>
    <row r="2599" spans="1:8">
      <c r="A2599" t="s">
        <v>5225</v>
      </c>
      <c r="B2599" t="s">
        <v>5226</v>
      </c>
      <c r="C2599" t="s">
        <v>10</v>
      </c>
      <c r="D2599">
        <v>46</v>
      </c>
      <c r="E2599" t="s">
        <v>20</v>
      </c>
      <c r="F2599" t="s">
        <v>21</v>
      </c>
      <c r="G2599" t="s">
        <v>22</v>
      </c>
      <c r="H2599" s="1">
        <v>44902</v>
      </c>
    </row>
    <row r="2600" spans="1:8">
      <c r="A2600" t="s">
        <v>5227</v>
      </c>
      <c r="B2600" t="s">
        <v>5228</v>
      </c>
      <c r="C2600" t="s">
        <v>31</v>
      </c>
      <c r="D2600">
        <v>49</v>
      </c>
      <c r="E2600" t="s">
        <v>87</v>
      </c>
      <c r="F2600" t="s">
        <v>88</v>
      </c>
      <c r="G2600" t="s">
        <v>78</v>
      </c>
      <c r="H2600" s="1">
        <v>44641</v>
      </c>
    </row>
    <row r="2601" spans="1:8">
      <c r="A2601" t="s">
        <v>5229</v>
      </c>
      <c r="B2601" t="s">
        <v>5230</v>
      </c>
      <c r="C2601" t="s">
        <v>10</v>
      </c>
      <c r="D2601">
        <v>65</v>
      </c>
      <c r="E2601" t="s">
        <v>218</v>
      </c>
      <c r="F2601" t="s">
        <v>219</v>
      </c>
      <c r="G2601" t="s">
        <v>17</v>
      </c>
      <c r="H2601" s="1">
        <v>45559</v>
      </c>
    </row>
    <row r="2602" spans="1:8">
      <c r="A2602" t="s">
        <v>5231</v>
      </c>
      <c r="B2602" t="s">
        <v>5232</v>
      </c>
      <c r="C2602" t="s">
        <v>10</v>
      </c>
      <c r="D2602">
        <v>36</v>
      </c>
      <c r="E2602" t="s">
        <v>112</v>
      </c>
      <c r="F2602" t="s">
        <v>113</v>
      </c>
      <c r="G2602" t="s">
        <v>78</v>
      </c>
      <c r="H2602" s="1">
        <v>45379</v>
      </c>
    </row>
    <row r="2603" spans="1:8">
      <c r="A2603" t="s">
        <v>5233</v>
      </c>
      <c r="B2603" t="s">
        <v>5234</v>
      </c>
      <c r="C2603" t="s">
        <v>31</v>
      </c>
      <c r="D2603">
        <v>51</v>
      </c>
      <c r="E2603" t="s">
        <v>45</v>
      </c>
      <c r="F2603" t="s">
        <v>46</v>
      </c>
      <c r="G2603" t="s">
        <v>17</v>
      </c>
      <c r="H2603" s="1">
        <v>45947</v>
      </c>
    </row>
    <row r="2604" spans="1:8">
      <c r="A2604" t="s">
        <v>5235</v>
      </c>
      <c r="B2604" t="s">
        <v>5236</v>
      </c>
      <c r="C2604" t="s">
        <v>10</v>
      </c>
      <c r="D2604">
        <v>27</v>
      </c>
      <c r="E2604" t="s">
        <v>37</v>
      </c>
      <c r="F2604" t="s">
        <v>38</v>
      </c>
      <c r="G2604" t="s">
        <v>22</v>
      </c>
      <c r="H2604" s="1">
        <v>45716</v>
      </c>
    </row>
    <row r="2605" spans="1:8">
      <c r="A2605" t="s">
        <v>5237</v>
      </c>
      <c r="B2605" t="s">
        <v>5238</v>
      </c>
      <c r="C2605" t="s">
        <v>31</v>
      </c>
      <c r="D2605">
        <v>51</v>
      </c>
      <c r="E2605" t="s">
        <v>34</v>
      </c>
      <c r="F2605" t="s">
        <v>16</v>
      </c>
      <c r="G2605" t="s">
        <v>17</v>
      </c>
      <c r="H2605" s="1">
        <v>45819</v>
      </c>
    </row>
    <row r="2606" spans="1:8">
      <c r="A2606" t="s">
        <v>5239</v>
      </c>
      <c r="B2606" t="s">
        <v>5240</v>
      </c>
      <c r="C2606" t="s">
        <v>10</v>
      </c>
      <c r="D2606">
        <v>39</v>
      </c>
      <c r="E2606" t="s">
        <v>69</v>
      </c>
      <c r="F2606" t="s">
        <v>69</v>
      </c>
      <c r="G2606" t="s">
        <v>12</v>
      </c>
      <c r="H2606" s="1">
        <v>45509</v>
      </c>
    </row>
    <row r="2607" spans="1:8">
      <c r="A2607" t="s">
        <v>5241</v>
      </c>
      <c r="B2607" t="s">
        <v>5242</v>
      </c>
      <c r="C2607" t="s">
        <v>31</v>
      </c>
      <c r="D2607">
        <v>18</v>
      </c>
      <c r="E2607" t="s">
        <v>76</v>
      </c>
      <c r="F2607" t="s">
        <v>77</v>
      </c>
      <c r="G2607" t="s">
        <v>78</v>
      </c>
      <c r="H2607" s="1">
        <v>44898</v>
      </c>
    </row>
    <row r="2608" spans="1:8">
      <c r="A2608" t="s">
        <v>5243</v>
      </c>
      <c r="B2608" t="s">
        <v>5244</v>
      </c>
      <c r="C2608" t="s">
        <v>31</v>
      </c>
      <c r="D2608">
        <v>22</v>
      </c>
      <c r="E2608" t="s">
        <v>101</v>
      </c>
      <c r="F2608" t="s">
        <v>21</v>
      </c>
      <c r="G2608" t="s">
        <v>22</v>
      </c>
      <c r="H2608" s="1">
        <v>44869</v>
      </c>
    </row>
    <row r="2609" spans="1:8">
      <c r="A2609" t="s">
        <v>5245</v>
      </c>
      <c r="B2609" t="s">
        <v>5246</v>
      </c>
      <c r="C2609" t="s">
        <v>10</v>
      </c>
      <c r="D2609">
        <v>30</v>
      </c>
      <c r="E2609" t="s">
        <v>87</v>
      </c>
      <c r="F2609" t="s">
        <v>88</v>
      </c>
      <c r="G2609" t="s">
        <v>78</v>
      </c>
      <c r="H2609" s="1">
        <v>45200</v>
      </c>
    </row>
    <row r="2610" spans="1:8">
      <c r="A2610" t="s">
        <v>5247</v>
      </c>
      <c r="B2610" t="s">
        <v>5248</v>
      </c>
      <c r="C2610" t="s">
        <v>31</v>
      </c>
      <c r="D2610">
        <v>24</v>
      </c>
      <c r="E2610" t="s">
        <v>27</v>
      </c>
      <c r="F2610" t="s">
        <v>28</v>
      </c>
      <c r="G2610" t="s">
        <v>12</v>
      </c>
      <c r="H2610" s="1">
        <v>45501</v>
      </c>
    </row>
    <row r="2611" spans="1:8">
      <c r="A2611" t="s">
        <v>5249</v>
      </c>
      <c r="B2611" t="s">
        <v>5250</v>
      </c>
      <c r="C2611" t="s">
        <v>10</v>
      </c>
      <c r="D2611">
        <v>22</v>
      </c>
      <c r="E2611" t="s">
        <v>41</v>
      </c>
      <c r="F2611" t="s">
        <v>42</v>
      </c>
      <c r="G2611" t="s">
        <v>17</v>
      </c>
      <c r="H2611" s="1">
        <v>45779</v>
      </c>
    </row>
    <row r="2612" spans="1:8">
      <c r="A2612" t="s">
        <v>5251</v>
      </c>
      <c r="B2612" t="s">
        <v>5252</v>
      </c>
      <c r="C2612" t="s">
        <v>31</v>
      </c>
      <c r="D2612">
        <v>58</v>
      </c>
      <c r="E2612" t="s">
        <v>60</v>
      </c>
      <c r="F2612" t="s">
        <v>21</v>
      </c>
      <c r="G2612" t="s">
        <v>22</v>
      </c>
      <c r="H2612" s="1">
        <v>45024</v>
      </c>
    </row>
    <row r="2613" spans="1:8">
      <c r="A2613" t="s">
        <v>5253</v>
      </c>
      <c r="B2613" t="s">
        <v>5254</v>
      </c>
      <c r="C2613" t="s">
        <v>31</v>
      </c>
      <c r="D2613">
        <v>70</v>
      </c>
      <c r="E2613" t="s">
        <v>34</v>
      </c>
      <c r="F2613" t="s">
        <v>16</v>
      </c>
      <c r="G2613" t="s">
        <v>17</v>
      </c>
      <c r="H2613" s="1">
        <v>45124</v>
      </c>
    </row>
    <row r="2614" spans="1:8">
      <c r="A2614" t="s">
        <v>5255</v>
      </c>
      <c r="B2614" t="s">
        <v>5256</v>
      </c>
      <c r="C2614" t="s">
        <v>31</v>
      </c>
      <c r="D2614">
        <v>41</v>
      </c>
      <c r="E2614" t="s">
        <v>112</v>
      </c>
      <c r="F2614" t="s">
        <v>113</v>
      </c>
      <c r="G2614" t="s">
        <v>78</v>
      </c>
      <c r="H2614" s="1">
        <v>45758</v>
      </c>
    </row>
    <row r="2615" spans="1:8">
      <c r="A2615" t="s">
        <v>5257</v>
      </c>
      <c r="B2615" t="s">
        <v>5258</v>
      </c>
      <c r="C2615" t="s">
        <v>10</v>
      </c>
      <c r="D2615">
        <v>22</v>
      </c>
      <c r="E2615" t="s">
        <v>69</v>
      </c>
      <c r="F2615" t="s">
        <v>69</v>
      </c>
      <c r="G2615" t="s">
        <v>12</v>
      </c>
      <c r="H2615" s="1">
        <v>45083</v>
      </c>
    </row>
    <row r="2616" spans="1:8">
      <c r="A2616" t="s">
        <v>5259</v>
      </c>
      <c r="B2616" t="s">
        <v>5260</v>
      </c>
      <c r="C2616" t="s">
        <v>31</v>
      </c>
      <c r="D2616">
        <v>29</v>
      </c>
      <c r="E2616" t="s">
        <v>11</v>
      </c>
      <c r="F2616" t="s">
        <v>11</v>
      </c>
      <c r="G2616" t="s">
        <v>12</v>
      </c>
      <c r="H2616" s="1">
        <v>45005</v>
      </c>
    </row>
    <row r="2617" spans="1:8">
      <c r="A2617" t="s">
        <v>5261</v>
      </c>
      <c r="B2617" t="s">
        <v>5262</v>
      </c>
      <c r="C2617" t="s">
        <v>31</v>
      </c>
      <c r="D2617">
        <v>39</v>
      </c>
      <c r="E2617" t="s">
        <v>15</v>
      </c>
      <c r="F2617" t="s">
        <v>16</v>
      </c>
      <c r="G2617" t="s">
        <v>17</v>
      </c>
      <c r="H2617" s="1">
        <v>44821</v>
      </c>
    </row>
    <row r="2618" spans="1:8">
      <c r="A2618" t="s">
        <v>5263</v>
      </c>
      <c r="B2618" t="s">
        <v>5264</v>
      </c>
      <c r="C2618" t="s">
        <v>31</v>
      </c>
      <c r="D2618">
        <v>69</v>
      </c>
      <c r="E2618" t="s">
        <v>60</v>
      </c>
      <c r="F2618" t="s">
        <v>21</v>
      </c>
      <c r="G2618" t="s">
        <v>22</v>
      </c>
      <c r="H2618" s="1">
        <v>45800</v>
      </c>
    </row>
    <row r="2619" spans="1:8">
      <c r="A2619" t="s">
        <v>5265</v>
      </c>
      <c r="B2619" t="s">
        <v>5266</v>
      </c>
      <c r="C2619" t="s">
        <v>31</v>
      </c>
      <c r="D2619">
        <v>31</v>
      </c>
      <c r="E2619" t="s">
        <v>27</v>
      </c>
      <c r="F2619" t="s">
        <v>28</v>
      </c>
      <c r="G2619" t="s">
        <v>12</v>
      </c>
      <c r="H2619" s="1">
        <v>45931</v>
      </c>
    </row>
    <row r="2620" spans="1:8">
      <c r="A2620" t="s">
        <v>5267</v>
      </c>
      <c r="B2620" t="s">
        <v>5268</v>
      </c>
      <c r="C2620" t="s">
        <v>10</v>
      </c>
      <c r="D2620">
        <v>69</v>
      </c>
      <c r="E2620" t="s">
        <v>34</v>
      </c>
      <c r="F2620" t="s">
        <v>16</v>
      </c>
      <c r="G2620" t="s">
        <v>17</v>
      </c>
      <c r="H2620" s="1">
        <v>45005</v>
      </c>
    </row>
    <row r="2621" spans="1:8">
      <c r="A2621" t="s">
        <v>5269</v>
      </c>
      <c r="B2621" t="s">
        <v>5270</v>
      </c>
      <c r="C2621" t="s">
        <v>31</v>
      </c>
      <c r="D2621">
        <v>18</v>
      </c>
      <c r="E2621" t="s">
        <v>63</v>
      </c>
      <c r="F2621" t="s">
        <v>64</v>
      </c>
      <c r="G2621" t="s">
        <v>12</v>
      </c>
      <c r="H2621" s="1">
        <v>44899</v>
      </c>
    </row>
    <row r="2622" spans="1:8">
      <c r="A2622" t="s">
        <v>5271</v>
      </c>
      <c r="B2622" t="s">
        <v>5272</v>
      </c>
      <c r="C2622" t="s">
        <v>31</v>
      </c>
      <c r="D2622">
        <v>45</v>
      </c>
      <c r="E2622" t="s">
        <v>20</v>
      </c>
      <c r="F2622" t="s">
        <v>21</v>
      </c>
      <c r="G2622" t="s">
        <v>22</v>
      </c>
      <c r="H2622" s="1">
        <v>44842</v>
      </c>
    </row>
    <row r="2623" spans="1:8">
      <c r="A2623" t="s">
        <v>5273</v>
      </c>
      <c r="B2623" t="s">
        <v>5274</v>
      </c>
      <c r="C2623" t="s">
        <v>10</v>
      </c>
      <c r="D2623">
        <v>33</v>
      </c>
      <c r="E2623" t="s">
        <v>134</v>
      </c>
      <c r="F2623" t="s">
        <v>28</v>
      </c>
      <c r="G2623" t="s">
        <v>12</v>
      </c>
      <c r="H2623" s="1">
        <v>45181</v>
      </c>
    </row>
    <row r="2624" spans="1:8">
      <c r="A2624" t="s">
        <v>5275</v>
      </c>
      <c r="B2624" t="s">
        <v>5276</v>
      </c>
      <c r="C2624" t="s">
        <v>31</v>
      </c>
      <c r="D2624">
        <v>40</v>
      </c>
      <c r="E2624" t="s">
        <v>149</v>
      </c>
      <c r="F2624" t="s">
        <v>38</v>
      </c>
      <c r="G2624" t="s">
        <v>22</v>
      </c>
      <c r="H2624" s="1">
        <v>45351</v>
      </c>
    </row>
    <row r="2625" spans="1:8">
      <c r="A2625" t="s">
        <v>5277</v>
      </c>
      <c r="B2625" t="s">
        <v>5278</v>
      </c>
      <c r="C2625" t="s">
        <v>10</v>
      </c>
      <c r="D2625">
        <v>56</v>
      </c>
      <c r="E2625" t="s">
        <v>60</v>
      </c>
      <c r="F2625" t="s">
        <v>21</v>
      </c>
      <c r="G2625" t="s">
        <v>22</v>
      </c>
      <c r="H2625" s="1">
        <v>45211</v>
      </c>
    </row>
    <row r="2626" spans="1:8">
      <c r="A2626" t="s">
        <v>5279</v>
      </c>
      <c r="B2626" t="s">
        <v>5280</v>
      </c>
      <c r="C2626" t="s">
        <v>31</v>
      </c>
      <c r="D2626">
        <v>63</v>
      </c>
      <c r="E2626" t="s">
        <v>76</v>
      </c>
      <c r="F2626" t="s">
        <v>77</v>
      </c>
      <c r="G2626" t="s">
        <v>78</v>
      </c>
      <c r="H2626" s="1">
        <v>45859</v>
      </c>
    </row>
    <row r="2627" spans="1:8">
      <c r="A2627" t="s">
        <v>5281</v>
      </c>
      <c r="B2627" t="s">
        <v>5282</v>
      </c>
      <c r="C2627" t="s">
        <v>31</v>
      </c>
      <c r="D2627">
        <v>49</v>
      </c>
      <c r="E2627" t="s">
        <v>41</v>
      </c>
      <c r="F2627" t="s">
        <v>42</v>
      </c>
      <c r="G2627" t="s">
        <v>17</v>
      </c>
      <c r="H2627" s="1">
        <v>45709</v>
      </c>
    </row>
    <row r="2628" spans="1:8">
      <c r="A2628" t="s">
        <v>5283</v>
      </c>
      <c r="B2628" t="s">
        <v>5284</v>
      </c>
      <c r="C2628" t="s">
        <v>10</v>
      </c>
      <c r="D2628">
        <v>53</v>
      </c>
      <c r="E2628" t="s">
        <v>134</v>
      </c>
      <c r="F2628" t="s">
        <v>28</v>
      </c>
      <c r="G2628" t="s">
        <v>12</v>
      </c>
      <c r="H2628" s="1">
        <v>45965</v>
      </c>
    </row>
    <row r="2629" spans="1:8">
      <c r="A2629" t="s">
        <v>5285</v>
      </c>
      <c r="B2629" t="s">
        <v>5286</v>
      </c>
      <c r="C2629" t="s">
        <v>10</v>
      </c>
      <c r="D2629">
        <v>41</v>
      </c>
      <c r="E2629" t="s">
        <v>91</v>
      </c>
      <c r="F2629" t="s">
        <v>92</v>
      </c>
      <c r="G2629" t="s">
        <v>78</v>
      </c>
      <c r="H2629" s="1">
        <v>44926</v>
      </c>
    </row>
    <row r="2630" spans="1:8">
      <c r="A2630" t="s">
        <v>5287</v>
      </c>
      <c r="B2630" t="s">
        <v>5288</v>
      </c>
      <c r="C2630" t="s">
        <v>10</v>
      </c>
      <c r="D2630">
        <v>57</v>
      </c>
      <c r="E2630" t="s">
        <v>91</v>
      </c>
      <c r="F2630" t="s">
        <v>92</v>
      </c>
      <c r="G2630" t="s">
        <v>78</v>
      </c>
      <c r="H2630" s="1">
        <v>45430</v>
      </c>
    </row>
    <row r="2631" spans="1:8">
      <c r="A2631" t="s">
        <v>5289</v>
      </c>
      <c r="B2631" t="s">
        <v>5290</v>
      </c>
      <c r="C2631" t="s">
        <v>31</v>
      </c>
      <c r="D2631">
        <v>29</v>
      </c>
      <c r="E2631" t="s">
        <v>101</v>
      </c>
      <c r="F2631" t="s">
        <v>21</v>
      </c>
      <c r="G2631" t="s">
        <v>22</v>
      </c>
      <c r="H2631" s="1">
        <v>45345</v>
      </c>
    </row>
    <row r="2632" spans="1:8">
      <c r="A2632" t="s">
        <v>5291</v>
      </c>
      <c r="B2632" t="s">
        <v>5292</v>
      </c>
      <c r="C2632" t="s">
        <v>31</v>
      </c>
      <c r="D2632">
        <v>41</v>
      </c>
      <c r="E2632" t="s">
        <v>87</v>
      </c>
      <c r="F2632" t="s">
        <v>88</v>
      </c>
      <c r="G2632" t="s">
        <v>78</v>
      </c>
      <c r="H2632" s="1">
        <v>44963</v>
      </c>
    </row>
    <row r="2633" spans="1:8">
      <c r="A2633" t="s">
        <v>5293</v>
      </c>
      <c r="B2633" t="s">
        <v>5294</v>
      </c>
      <c r="C2633" t="s">
        <v>31</v>
      </c>
      <c r="D2633">
        <v>39</v>
      </c>
      <c r="E2633" t="s">
        <v>20</v>
      </c>
      <c r="F2633" t="s">
        <v>21</v>
      </c>
      <c r="G2633" t="s">
        <v>22</v>
      </c>
      <c r="H2633" s="1">
        <v>45762</v>
      </c>
    </row>
    <row r="2634" spans="1:8">
      <c r="A2634" t="s">
        <v>5295</v>
      </c>
      <c r="B2634" t="s">
        <v>5296</v>
      </c>
      <c r="C2634" t="s">
        <v>10</v>
      </c>
      <c r="D2634">
        <v>56</v>
      </c>
      <c r="E2634" t="s">
        <v>45</v>
      </c>
      <c r="F2634" t="s">
        <v>46</v>
      </c>
      <c r="G2634" t="s">
        <v>17</v>
      </c>
      <c r="H2634" s="1">
        <v>45081</v>
      </c>
    </row>
    <row r="2635" spans="1:8">
      <c r="A2635" t="s">
        <v>5297</v>
      </c>
      <c r="B2635" t="s">
        <v>5298</v>
      </c>
      <c r="C2635" t="s">
        <v>31</v>
      </c>
      <c r="D2635">
        <v>43</v>
      </c>
      <c r="E2635" t="s">
        <v>45</v>
      </c>
      <c r="F2635" t="s">
        <v>46</v>
      </c>
      <c r="G2635" t="s">
        <v>17</v>
      </c>
      <c r="H2635" s="1">
        <v>45876</v>
      </c>
    </row>
    <row r="2636" spans="1:8">
      <c r="A2636" t="s">
        <v>5299</v>
      </c>
      <c r="B2636" t="s">
        <v>5300</v>
      </c>
      <c r="C2636" t="s">
        <v>10</v>
      </c>
      <c r="D2636">
        <v>54</v>
      </c>
      <c r="E2636" t="s">
        <v>45</v>
      </c>
      <c r="F2636" t="s">
        <v>46</v>
      </c>
      <c r="G2636" t="s">
        <v>17</v>
      </c>
      <c r="H2636" s="1">
        <v>45123</v>
      </c>
    </row>
    <row r="2637" spans="1:8">
      <c r="A2637" t="s">
        <v>5301</v>
      </c>
      <c r="B2637" t="s">
        <v>5302</v>
      </c>
      <c r="C2637" t="s">
        <v>31</v>
      </c>
      <c r="D2637">
        <v>49</v>
      </c>
      <c r="E2637" t="s">
        <v>112</v>
      </c>
      <c r="F2637" t="s">
        <v>113</v>
      </c>
      <c r="G2637" t="s">
        <v>78</v>
      </c>
      <c r="H2637" s="1">
        <v>45806</v>
      </c>
    </row>
    <row r="2638" spans="1:8">
      <c r="A2638" t="s">
        <v>5303</v>
      </c>
      <c r="B2638" t="s">
        <v>5304</v>
      </c>
      <c r="C2638" t="s">
        <v>10</v>
      </c>
      <c r="D2638">
        <v>41</v>
      </c>
      <c r="E2638" t="s">
        <v>218</v>
      </c>
      <c r="F2638" t="s">
        <v>219</v>
      </c>
      <c r="G2638" t="s">
        <v>17</v>
      </c>
      <c r="H2638" s="1">
        <v>44774</v>
      </c>
    </row>
    <row r="2639" spans="1:8">
      <c r="A2639" t="s">
        <v>5305</v>
      </c>
      <c r="B2639" t="s">
        <v>5306</v>
      </c>
      <c r="C2639" t="s">
        <v>10</v>
      </c>
      <c r="D2639">
        <v>26</v>
      </c>
      <c r="E2639" t="s">
        <v>34</v>
      </c>
      <c r="F2639" t="s">
        <v>16</v>
      </c>
      <c r="G2639" t="s">
        <v>17</v>
      </c>
      <c r="H2639" s="1">
        <v>46007</v>
      </c>
    </row>
    <row r="2640" spans="1:8">
      <c r="A2640" t="s">
        <v>5307</v>
      </c>
      <c r="B2640" t="s">
        <v>5308</v>
      </c>
      <c r="C2640" t="s">
        <v>31</v>
      </c>
      <c r="D2640">
        <v>58</v>
      </c>
      <c r="E2640" t="s">
        <v>15</v>
      </c>
      <c r="F2640" t="s">
        <v>16</v>
      </c>
      <c r="G2640" t="s">
        <v>17</v>
      </c>
      <c r="H2640" s="1">
        <v>44676</v>
      </c>
    </row>
    <row r="2641" spans="1:8">
      <c r="A2641" t="s">
        <v>5309</v>
      </c>
      <c r="B2641" t="s">
        <v>5310</v>
      </c>
      <c r="C2641" t="s">
        <v>31</v>
      </c>
      <c r="D2641">
        <v>30</v>
      </c>
      <c r="E2641" t="s">
        <v>134</v>
      </c>
      <c r="F2641" t="s">
        <v>28</v>
      </c>
      <c r="G2641" t="s">
        <v>12</v>
      </c>
      <c r="H2641" s="1">
        <v>44761</v>
      </c>
    </row>
    <row r="2642" spans="1:8">
      <c r="A2642" t="s">
        <v>5311</v>
      </c>
      <c r="B2642" t="s">
        <v>5312</v>
      </c>
      <c r="C2642" t="s">
        <v>31</v>
      </c>
      <c r="D2642">
        <v>63</v>
      </c>
      <c r="E2642" t="s">
        <v>11</v>
      </c>
      <c r="F2642" t="s">
        <v>11</v>
      </c>
      <c r="G2642" t="s">
        <v>12</v>
      </c>
      <c r="H2642" s="1">
        <v>45243</v>
      </c>
    </row>
    <row r="2643" spans="1:8">
      <c r="A2643" t="s">
        <v>5313</v>
      </c>
      <c r="B2643" t="s">
        <v>5314</v>
      </c>
      <c r="C2643" t="s">
        <v>10</v>
      </c>
      <c r="D2643">
        <v>60</v>
      </c>
      <c r="E2643" t="s">
        <v>218</v>
      </c>
      <c r="F2643" t="s">
        <v>219</v>
      </c>
      <c r="G2643" t="s">
        <v>17</v>
      </c>
      <c r="H2643" s="1">
        <v>45312</v>
      </c>
    </row>
    <row r="2644" spans="1:8">
      <c r="A2644" t="s">
        <v>5315</v>
      </c>
      <c r="B2644" t="s">
        <v>5316</v>
      </c>
      <c r="C2644" t="s">
        <v>10</v>
      </c>
      <c r="D2644">
        <v>70</v>
      </c>
      <c r="E2644" t="s">
        <v>20</v>
      </c>
      <c r="F2644" t="s">
        <v>21</v>
      </c>
      <c r="G2644" t="s">
        <v>22</v>
      </c>
      <c r="H2644" s="1">
        <v>44695</v>
      </c>
    </row>
    <row r="2645" spans="1:8">
      <c r="A2645" t="s">
        <v>5317</v>
      </c>
      <c r="B2645" t="s">
        <v>5318</v>
      </c>
      <c r="C2645" t="s">
        <v>10</v>
      </c>
      <c r="D2645">
        <v>29</v>
      </c>
      <c r="E2645" t="s">
        <v>63</v>
      </c>
      <c r="F2645" t="s">
        <v>64</v>
      </c>
      <c r="G2645" t="s">
        <v>12</v>
      </c>
      <c r="H2645" s="1">
        <v>45108</v>
      </c>
    </row>
    <row r="2646" spans="1:8">
      <c r="A2646" t="s">
        <v>5319</v>
      </c>
      <c r="B2646" t="s">
        <v>5320</v>
      </c>
      <c r="C2646" t="s">
        <v>10</v>
      </c>
      <c r="D2646">
        <v>62</v>
      </c>
      <c r="E2646" t="s">
        <v>37</v>
      </c>
      <c r="F2646" t="s">
        <v>38</v>
      </c>
      <c r="G2646" t="s">
        <v>22</v>
      </c>
      <c r="H2646" s="1">
        <v>45808</v>
      </c>
    </row>
    <row r="2647" spans="1:8">
      <c r="A2647" t="s">
        <v>5321</v>
      </c>
      <c r="B2647" t="s">
        <v>5322</v>
      </c>
      <c r="C2647" t="s">
        <v>10</v>
      </c>
      <c r="D2647">
        <v>37</v>
      </c>
      <c r="E2647" t="s">
        <v>101</v>
      </c>
      <c r="F2647" t="s">
        <v>21</v>
      </c>
      <c r="G2647" t="s">
        <v>22</v>
      </c>
      <c r="H2647" s="1">
        <v>45863</v>
      </c>
    </row>
    <row r="2648" spans="1:8">
      <c r="A2648" t="s">
        <v>5323</v>
      </c>
      <c r="B2648" t="s">
        <v>5324</v>
      </c>
      <c r="C2648" t="s">
        <v>31</v>
      </c>
      <c r="D2648">
        <v>47</v>
      </c>
      <c r="E2648" t="s">
        <v>45</v>
      </c>
      <c r="F2648" t="s">
        <v>46</v>
      </c>
      <c r="G2648" t="s">
        <v>17</v>
      </c>
      <c r="H2648" s="1">
        <v>44803</v>
      </c>
    </row>
    <row r="2649" spans="1:8">
      <c r="A2649" t="s">
        <v>5325</v>
      </c>
      <c r="B2649" t="s">
        <v>5326</v>
      </c>
      <c r="C2649" t="s">
        <v>31</v>
      </c>
      <c r="D2649">
        <v>23</v>
      </c>
      <c r="E2649" t="s">
        <v>20</v>
      </c>
      <c r="F2649" t="s">
        <v>21</v>
      </c>
      <c r="G2649" t="s">
        <v>22</v>
      </c>
      <c r="H2649" s="1">
        <v>45721</v>
      </c>
    </row>
    <row r="2650" spans="1:8">
      <c r="A2650" t="s">
        <v>5327</v>
      </c>
      <c r="B2650" t="s">
        <v>5328</v>
      </c>
      <c r="C2650" t="s">
        <v>10</v>
      </c>
      <c r="D2650">
        <v>29</v>
      </c>
      <c r="E2650" t="s">
        <v>15</v>
      </c>
      <c r="F2650" t="s">
        <v>16</v>
      </c>
      <c r="G2650" t="s">
        <v>17</v>
      </c>
      <c r="H2650" s="1">
        <v>44935</v>
      </c>
    </row>
    <row r="2651" spans="1:8">
      <c r="A2651" t="s">
        <v>5329</v>
      </c>
      <c r="B2651" t="s">
        <v>5330</v>
      </c>
      <c r="C2651" t="s">
        <v>10</v>
      </c>
      <c r="D2651">
        <v>31</v>
      </c>
      <c r="E2651" t="s">
        <v>20</v>
      </c>
      <c r="F2651" t="s">
        <v>21</v>
      </c>
      <c r="G2651" t="s">
        <v>22</v>
      </c>
      <c r="H2651" s="1">
        <v>44908</v>
      </c>
    </row>
    <row r="2652" spans="1:8">
      <c r="A2652" t="s">
        <v>5331</v>
      </c>
      <c r="B2652" t="s">
        <v>5332</v>
      </c>
      <c r="C2652" t="s">
        <v>10</v>
      </c>
      <c r="D2652">
        <v>37</v>
      </c>
      <c r="E2652" t="s">
        <v>69</v>
      </c>
      <c r="F2652" t="s">
        <v>69</v>
      </c>
      <c r="G2652" t="s">
        <v>12</v>
      </c>
      <c r="H2652" s="1">
        <v>44728</v>
      </c>
    </row>
    <row r="2653" spans="1:8">
      <c r="A2653" t="s">
        <v>5333</v>
      </c>
      <c r="B2653" t="s">
        <v>5334</v>
      </c>
      <c r="C2653" t="s">
        <v>31</v>
      </c>
      <c r="D2653">
        <v>21</v>
      </c>
      <c r="E2653" t="s">
        <v>76</v>
      </c>
      <c r="F2653" t="s">
        <v>77</v>
      </c>
      <c r="G2653" t="s">
        <v>78</v>
      </c>
      <c r="H2653" s="1">
        <v>44833</v>
      </c>
    </row>
    <row r="2654" spans="1:8">
      <c r="A2654" t="s">
        <v>5335</v>
      </c>
      <c r="B2654" t="s">
        <v>5336</v>
      </c>
      <c r="C2654" t="s">
        <v>31</v>
      </c>
      <c r="D2654">
        <v>26</v>
      </c>
      <c r="E2654" t="s">
        <v>37</v>
      </c>
      <c r="F2654" t="s">
        <v>38</v>
      </c>
      <c r="G2654" t="s">
        <v>22</v>
      </c>
      <c r="H2654" s="1">
        <v>44926</v>
      </c>
    </row>
    <row r="2655" spans="1:8">
      <c r="A2655" t="s">
        <v>5337</v>
      </c>
      <c r="B2655" t="s">
        <v>5338</v>
      </c>
      <c r="C2655" t="s">
        <v>10</v>
      </c>
      <c r="D2655">
        <v>35</v>
      </c>
      <c r="E2655" t="s">
        <v>149</v>
      </c>
      <c r="F2655" t="s">
        <v>38</v>
      </c>
      <c r="G2655" t="s">
        <v>22</v>
      </c>
      <c r="H2655" s="1">
        <v>45024</v>
      </c>
    </row>
    <row r="2656" spans="1:8">
      <c r="A2656" t="s">
        <v>5339</v>
      </c>
      <c r="B2656" t="s">
        <v>5340</v>
      </c>
      <c r="C2656" t="s">
        <v>31</v>
      </c>
      <c r="D2656">
        <v>62</v>
      </c>
      <c r="E2656" t="s">
        <v>76</v>
      </c>
      <c r="F2656" t="s">
        <v>77</v>
      </c>
      <c r="G2656" t="s">
        <v>78</v>
      </c>
      <c r="H2656" s="1">
        <v>45166</v>
      </c>
    </row>
    <row r="2657" spans="1:8">
      <c r="A2657" t="s">
        <v>5341</v>
      </c>
      <c r="B2657" t="s">
        <v>5342</v>
      </c>
      <c r="C2657" t="s">
        <v>31</v>
      </c>
      <c r="D2657">
        <v>55</v>
      </c>
      <c r="E2657" t="s">
        <v>20</v>
      </c>
      <c r="F2657" t="s">
        <v>21</v>
      </c>
      <c r="G2657" t="s">
        <v>22</v>
      </c>
      <c r="H2657" s="1">
        <v>45565</v>
      </c>
    </row>
    <row r="2658" spans="1:8">
      <c r="A2658" t="s">
        <v>5343</v>
      </c>
      <c r="B2658" t="s">
        <v>5344</v>
      </c>
      <c r="C2658" t="s">
        <v>10</v>
      </c>
      <c r="D2658">
        <v>20</v>
      </c>
      <c r="E2658" t="s">
        <v>60</v>
      </c>
      <c r="F2658" t="s">
        <v>21</v>
      </c>
      <c r="G2658" t="s">
        <v>22</v>
      </c>
      <c r="H2658" s="1">
        <v>45482</v>
      </c>
    </row>
    <row r="2659" spans="1:8">
      <c r="A2659" t="s">
        <v>5345</v>
      </c>
      <c r="B2659" t="s">
        <v>5346</v>
      </c>
      <c r="C2659" t="s">
        <v>10</v>
      </c>
      <c r="D2659">
        <v>52</v>
      </c>
      <c r="E2659" t="s">
        <v>128</v>
      </c>
      <c r="F2659" t="s">
        <v>129</v>
      </c>
      <c r="G2659" t="s">
        <v>78</v>
      </c>
      <c r="H2659" s="1">
        <v>45351</v>
      </c>
    </row>
    <row r="2660" spans="1:8">
      <c r="A2660" t="s">
        <v>5347</v>
      </c>
      <c r="B2660" t="s">
        <v>5348</v>
      </c>
      <c r="C2660" t="s">
        <v>31</v>
      </c>
      <c r="D2660">
        <v>31</v>
      </c>
      <c r="E2660" t="s">
        <v>149</v>
      </c>
      <c r="F2660" t="s">
        <v>38</v>
      </c>
      <c r="G2660" t="s">
        <v>22</v>
      </c>
      <c r="H2660" s="1">
        <v>45272</v>
      </c>
    </row>
    <row r="2661" spans="1:8">
      <c r="A2661" t="s">
        <v>5349</v>
      </c>
      <c r="B2661" t="s">
        <v>5350</v>
      </c>
      <c r="C2661" t="s">
        <v>31</v>
      </c>
      <c r="D2661">
        <v>23</v>
      </c>
      <c r="E2661" t="s">
        <v>60</v>
      </c>
      <c r="F2661" t="s">
        <v>21</v>
      </c>
      <c r="G2661" t="s">
        <v>22</v>
      </c>
      <c r="H2661" s="1">
        <v>45691</v>
      </c>
    </row>
    <row r="2662" spans="1:8">
      <c r="A2662" t="s">
        <v>5351</v>
      </c>
      <c r="B2662" t="s">
        <v>5352</v>
      </c>
      <c r="C2662" t="s">
        <v>10</v>
      </c>
      <c r="D2662">
        <v>47</v>
      </c>
      <c r="E2662" t="s">
        <v>101</v>
      </c>
      <c r="F2662" t="s">
        <v>21</v>
      </c>
      <c r="G2662" t="s">
        <v>22</v>
      </c>
      <c r="H2662" s="1">
        <v>45090</v>
      </c>
    </row>
    <row r="2663" spans="1:8">
      <c r="A2663" t="s">
        <v>5353</v>
      </c>
      <c r="B2663" t="s">
        <v>5354</v>
      </c>
      <c r="C2663" t="s">
        <v>10</v>
      </c>
      <c r="D2663">
        <v>48</v>
      </c>
      <c r="E2663" t="s">
        <v>15</v>
      </c>
      <c r="F2663" t="s">
        <v>16</v>
      </c>
      <c r="G2663" t="s">
        <v>17</v>
      </c>
      <c r="H2663" s="1">
        <v>45620</v>
      </c>
    </row>
    <row r="2664" spans="1:8">
      <c r="A2664" t="s">
        <v>5355</v>
      </c>
      <c r="B2664" t="s">
        <v>5356</v>
      </c>
      <c r="C2664" t="s">
        <v>31</v>
      </c>
      <c r="D2664">
        <v>54</v>
      </c>
      <c r="E2664" t="s">
        <v>218</v>
      </c>
      <c r="F2664" t="s">
        <v>219</v>
      </c>
      <c r="G2664" t="s">
        <v>17</v>
      </c>
      <c r="H2664" s="1">
        <v>45223</v>
      </c>
    </row>
    <row r="2665" spans="1:8">
      <c r="A2665" t="s">
        <v>5357</v>
      </c>
      <c r="B2665" t="s">
        <v>5358</v>
      </c>
      <c r="C2665" t="s">
        <v>31</v>
      </c>
      <c r="D2665">
        <v>62</v>
      </c>
      <c r="E2665" t="s">
        <v>60</v>
      </c>
      <c r="F2665" t="s">
        <v>21</v>
      </c>
      <c r="G2665" t="s">
        <v>22</v>
      </c>
      <c r="H2665" s="1">
        <v>44631</v>
      </c>
    </row>
    <row r="2666" spans="1:8">
      <c r="A2666" t="s">
        <v>5359</v>
      </c>
      <c r="B2666" t="s">
        <v>5360</v>
      </c>
      <c r="C2666" t="s">
        <v>10</v>
      </c>
      <c r="D2666">
        <v>44</v>
      </c>
      <c r="E2666" t="s">
        <v>45</v>
      </c>
      <c r="F2666" t="s">
        <v>46</v>
      </c>
      <c r="G2666" t="s">
        <v>17</v>
      </c>
      <c r="H2666" s="1">
        <v>44578</v>
      </c>
    </row>
    <row r="2667" spans="1:8">
      <c r="A2667" t="s">
        <v>5361</v>
      </c>
      <c r="B2667" t="s">
        <v>5362</v>
      </c>
      <c r="C2667" t="s">
        <v>10</v>
      </c>
      <c r="D2667">
        <v>29</v>
      </c>
      <c r="E2667" t="s">
        <v>37</v>
      </c>
      <c r="F2667" t="s">
        <v>38</v>
      </c>
      <c r="G2667" t="s">
        <v>22</v>
      </c>
      <c r="H2667" s="1">
        <v>45888</v>
      </c>
    </row>
    <row r="2668" spans="1:8">
      <c r="A2668" t="s">
        <v>5363</v>
      </c>
      <c r="B2668" t="s">
        <v>5364</v>
      </c>
      <c r="C2668" t="s">
        <v>31</v>
      </c>
      <c r="D2668">
        <v>52</v>
      </c>
      <c r="E2668" t="s">
        <v>91</v>
      </c>
      <c r="F2668" t="s">
        <v>92</v>
      </c>
      <c r="G2668" t="s">
        <v>78</v>
      </c>
      <c r="H2668" s="1">
        <v>44895</v>
      </c>
    </row>
    <row r="2669" spans="1:8">
      <c r="A2669" t="s">
        <v>5365</v>
      </c>
      <c r="B2669" t="s">
        <v>5366</v>
      </c>
      <c r="C2669" t="s">
        <v>31</v>
      </c>
      <c r="D2669">
        <v>55</v>
      </c>
      <c r="E2669" t="s">
        <v>15</v>
      </c>
      <c r="F2669" t="s">
        <v>16</v>
      </c>
      <c r="G2669" t="s">
        <v>17</v>
      </c>
      <c r="H2669" s="1">
        <v>45461</v>
      </c>
    </row>
    <row r="2670" spans="1:8">
      <c r="A2670" t="s">
        <v>5367</v>
      </c>
      <c r="B2670" t="s">
        <v>5368</v>
      </c>
      <c r="C2670" t="s">
        <v>31</v>
      </c>
      <c r="D2670">
        <v>33</v>
      </c>
      <c r="E2670" t="s">
        <v>149</v>
      </c>
      <c r="F2670" t="s">
        <v>38</v>
      </c>
      <c r="G2670" t="s">
        <v>22</v>
      </c>
      <c r="H2670" s="1">
        <v>45379</v>
      </c>
    </row>
    <row r="2671" spans="1:8">
      <c r="A2671" t="s">
        <v>5369</v>
      </c>
      <c r="B2671" t="s">
        <v>5370</v>
      </c>
      <c r="C2671" t="s">
        <v>31</v>
      </c>
      <c r="D2671">
        <v>48</v>
      </c>
      <c r="E2671" t="s">
        <v>45</v>
      </c>
      <c r="F2671" t="s">
        <v>46</v>
      </c>
      <c r="G2671" t="s">
        <v>17</v>
      </c>
      <c r="H2671" s="1">
        <v>45792</v>
      </c>
    </row>
    <row r="2672" spans="1:8">
      <c r="A2672" t="s">
        <v>5371</v>
      </c>
      <c r="B2672" t="s">
        <v>5372</v>
      </c>
      <c r="C2672" t="s">
        <v>10</v>
      </c>
      <c r="D2672">
        <v>66</v>
      </c>
      <c r="E2672" t="s">
        <v>134</v>
      </c>
      <c r="F2672" t="s">
        <v>28</v>
      </c>
      <c r="G2672" t="s">
        <v>12</v>
      </c>
      <c r="H2672" s="1">
        <v>44644</v>
      </c>
    </row>
    <row r="2673" spans="1:8">
      <c r="A2673" t="s">
        <v>5373</v>
      </c>
      <c r="B2673" t="s">
        <v>5374</v>
      </c>
      <c r="C2673" t="s">
        <v>31</v>
      </c>
      <c r="D2673">
        <v>45</v>
      </c>
      <c r="E2673" t="s">
        <v>128</v>
      </c>
      <c r="F2673" t="s">
        <v>129</v>
      </c>
      <c r="G2673" t="s">
        <v>78</v>
      </c>
      <c r="H2673" s="1">
        <v>44782</v>
      </c>
    </row>
    <row r="2674" spans="1:8">
      <c r="A2674" t="s">
        <v>5375</v>
      </c>
      <c r="B2674" t="s">
        <v>5376</v>
      </c>
      <c r="C2674" t="s">
        <v>10</v>
      </c>
      <c r="D2674">
        <v>28</v>
      </c>
      <c r="E2674" t="s">
        <v>27</v>
      </c>
      <c r="F2674" t="s">
        <v>28</v>
      </c>
      <c r="G2674" t="s">
        <v>12</v>
      </c>
      <c r="H2674" s="1">
        <v>45382</v>
      </c>
    </row>
    <row r="2675" spans="1:8">
      <c r="A2675" t="s">
        <v>5377</v>
      </c>
      <c r="B2675" t="s">
        <v>5378</v>
      </c>
      <c r="C2675" t="s">
        <v>10</v>
      </c>
      <c r="D2675">
        <v>54</v>
      </c>
      <c r="E2675" t="s">
        <v>37</v>
      </c>
      <c r="F2675" t="s">
        <v>38</v>
      </c>
      <c r="G2675" t="s">
        <v>22</v>
      </c>
      <c r="H2675" s="1">
        <v>45784</v>
      </c>
    </row>
    <row r="2676" spans="1:8">
      <c r="A2676" t="s">
        <v>5379</v>
      </c>
      <c r="B2676" t="s">
        <v>5380</v>
      </c>
      <c r="C2676" t="s">
        <v>31</v>
      </c>
      <c r="D2676">
        <v>68</v>
      </c>
      <c r="E2676" t="s">
        <v>63</v>
      </c>
      <c r="F2676" t="s">
        <v>64</v>
      </c>
      <c r="G2676" t="s">
        <v>12</v>
      </c>
      <c r="H2676" s="1">
        <v>45920</v>
      </c>
    </row>
    <row r="2677" spans="1:8">
      <c r="A2677" t="s">
        <v>5381</v>
      </c>
      <c r="B2677" t="s">
        <v>5382</v>
      </c>
      <c r="C2677" t="s">
        <v>10</v>
      </c>
      <c r="D2677">
        <v>69</v>
      </c>
      <c r="E2677" t="s">
        <v>87</v>
      </c>
      <c r="F2677" t="s">
        <v>88</v>
      </c>
      <c r="G2677" t="s">
        <v>78</v>
      </c>
      <c r="H2677" s="1">
        <v>45195</v>
      </c>
    </row>
    <row r="2678" spans="1:8">
      <c r="A2678" t="s">
        <v>5383</v>
      </c>
      <c r="B2678" t="s">
        <v>5384</v>
      </c>
      <c r="C2678" t="s">
        <v>31</v>
      </c>
      <c r="D2678">
        <v>18</v>
      </c>
      <c r="E2678" t="s">
        <v>149</v>
      </c>
      <c r="F2678" t="s">
        <v>38</v>
      </c>
      <c r="G2678" t="s">
        <v>22</v>
      </c>
      <c r="H2678" s="1">
        <v>44900</v>
      </c>
    </row>
    <row r="2679" spans="1:8">
      <c r="A2679" t="s">
        <v>5385</v>
      </c>
      <c r="B2679" t="s">
        <v>5386</v>
      </c>
      <c r="C2679" t="s">
        <v>31</v>
      </c>
      <c r="D2679">
        <v>37</v>
      </c>
      <c r="E2679" t="s">
        <v>63</v>
      </c>
      <c r="F2679" t="s">
        <v>64</v>
      </c>
      <c r="G2679" t="s">
        <v>12</v>
      </c>
      <c r="H2679" s="1">
        <v>44914</v>
      </c>
    </row>
    <row r="2680" spans="1:8">
      <c r="A2680" t="s">
        <v>5387</v>
      </c>
      <c r="B2680" t="s">
        <v>5388</v>
      </c>
      <c r="C2680" t="s">
        <v>31</v>
      </c>
      <c r="D2680">
        <v>23</v>
      </c>
      <c r="E2680" t="s">
        <v>34</v>
      </c>
      <c r="F2680" t="s">
        <v>16</v>
      </c>
      <c r="G2680" t="s">
        <v>17</v>
      </c>
      <c r="H2680" s="1">
        <v>44978</v>
      </c>
    </row>
    <row r="2681" spans="1:8">
      <c r="A2681" t="s">
        <v>5389</v>
      </c>
      <c r="B2681" t="s">
        <v>5390</v>
      </c>
      <c r="C2681" t="s">
        <v>31</v>
      </c>
      <c r="D2681">
        <v>18</v>
      </c>
      <c r="E2681" t="s">
        <v>63</v>
      </c>
      <c r="F2681" t="s">
        <v>64</v>
      </c>
      <c r="G2681" t="s">
        <v>12</v>
      </c>
      <c r="H2681" s="1">
        <v>45964</v>
      </c>
    </row>
    <row r="2682" spans="1:8">
      <c r="A2682" t="s">
        <v>5391</v>
      </c>
      <c r="B2682" t="s">
        <v>5392</v>
      </c>
      <c r="C2682" t="s">
        <v>31</v>
      </c>
      <c r="D2682">
        <v>53</v>
      </c>
      <c r="E2682" t="s">
        <v>37</v>
      </c>
      <c r="F2682" t="s">
        <v>38</v>
      </c>
      <c r="G2682" t="s">
        <v>22</v>
      </c>
      <c r="H2682" s="1">
        <v>44766</v>
      </c>
    </row>
    <row r="2683" spans="1:8">
      <c r="A2683" t="s">
        <v>5393</v>
      </c>
      <c r="B2683" t="s">
        <v>2597</v>
      </c>
      <c r="C2683" t="s">
        <v>31</v>
      </c>
      <c r="D2683">
        <v>47</v>
      </c>
      <c r="E2683" t="s">
        <v>63</v>
      </c>
      <c r="F2683" t="s">
        <v>64</v>
      </c>
      <c r="G2683" t="s">
        <v>12</v>
      </c>
      <c r="H2683" s="1">
        <v>45529</v>
      </c>
    </row>
    <row r="2684" spans="1:8">
      <c r="A2684" t="s">
        <v>5394</v>
      </c>
      <c r="B2684" t="s">
        <v>5395</v>
      </c>
      <c r="C2684" t="s">
        <v>10</v>
      </c>
      <c r="D2684">
        <v>38</v>
      </c>
      <c r="E2684" t="s">
        <v>11</v>
      </c>
      <c r="F2684" t="s">
        <v>11</v>
      </c>
      <c r="G2684" t="s">
        <v>12</v>
      </c>
      <c r="H2684" s="1">
        <v>45355</v>
      </c>
    </row>
    <row r="2685" spans="1:8">
      <c r="A2685" t="s">
        <v>5396</v>
      </c>
      <c r="B2685" t="s">
        <v>5397</v>
      </c>
      <c r="C2685" t="s">
        <v>31</v>
      </c>
      <c r="D2685">
        <v>36</v>
      </c>
      <c r="E2685" t="s">
        <v>63</v>
      </c>
      <c r="F2685" t="s">
        <v>64</v>
      </c>
      <c r="G2685" t="s">
        <v>12</v>
      </c>
      <c r="H2685" s="1">
        <v>45380</v>
      </c>
    </row>
    <row r="2686" spans="1:8">
      <c r="A2686" t="s">
        <v>5398</v>
      </c>
      <c r="B2686" t="s">
        <v>5399</v>
      </c>
      <c r="C2686" t="s">
        <v>31</v>
      </c>
      <c r="D2686">
        <v>52</v>
      </c>
      <c r="E2686" t="s">
        <v>69</v>
      </c>
      <c r="F2686" t="s">
        <v>69</v>
      </c>
      <c r="G2686" t="s">
        <v>12</v>
      </c>
      <c r="H2686" s="1">
        <v>45784</v>
      </c>
    </row>
    <row r="2687" spans="1:8">
      <c r="A2687" t="s">
        <v>5400</v>
      </c>
      <c r="B2687" t="s">
        <v>5401</v>
      </c>
      <c r="C2687" t="s">
        <v>10</v>
      </c>
      <c r="D2687">
        <v>32</v>
      </c>
      <c r="E2687" t="s">
        <v>41</v>
      </c>
      <c r="F2687" t="s">
        <v>42</v>
      </c>
      <c r="G2687" t="s">
        <v>17</v>
      </c>
      <c r="H2687" s="1">
        <v>45933</v>
      </c>
    </row>
    <row r="2688" spans="1:8">
      <c r="A2688" t="s">
        <v>5402</v>
      </c>
      <c r="B2688" t="s">
        <v>5403</v>
      </c>
      <c r="C2688" t="s">
        <v>31</v>
      </c>
      <c r="D2688">
        <v>41</v>
      </c>
      <c r="E2688" t="s">
        <v>76</v>
      </c>
      <c r="F2688" t="s">
        <v>77</v>
      </c>
      <c r="G2688" t="s">
        <v>78</v>
      </c>
      <c r="H2688" s="1">
        <v>45043</v>
      </c>
    </row>
    <row r="2689" spans="1:8">
      <c r="A2689" t="s">
        <v>5404</v>
      </c>
      <c r="B2689" t="s">
        <v>5405</v>
      </c>
      <c r="C2689" t="s">
        <v>31</v>
      </c>
      <c r="D2689">
        <v>22</v>
      </c>
      <c r="E2689" t="s">
        <v>20</v>
      </c>
      <c r="F2689" t="s">
        <v>21</v>
      </c>
      <c r="G2689" t="s">
        <v>22</v>
      </c>
      <c r="H2689" s="1">
        <v>45812</v>
      </c>
    </row>
    <row r="2690" spans="1:8">
      <c r="A2690" t="s">
        <v>5406</v>
      </c>
      <c r="B2690" t="s">
        <v>5407</v>
      </c>
      <c r="C2690" t="s">
        <v>10</v>
      </c>
      <c r="D2690">
        <v>20</v>
      </c>
      <c r="E2690" t="s">
        <v>63</v>
      </c>
      <c r="F2690" t="s">
        <v>64</v>
      </c>
      <c r="G2690" t="s">
        <v>12</v>
      </c>
      <c r="H2690" s="1">
        <v>45585</v>
      </c>
    </row>
    <row r="2691" spans="1:8">
      <c r="A2691" t="s">
        <v>5408</v>
      </c>
      <c r="B2691" t="s">
        <v>5409</v>
      </c>
      <c r="C2691" t="s">
        <v>31</v>
      </c>
      <c r="D2691">
        <v>42</v>
      </c>
      <c r="E2691" t="s">
        <v>41</v>
      </c>
      <c r="F2691" t="s">
        <v>42</v>
      </c>
      <c r="G2691" t="s">
        <v>17</v>
      </c>
      <c r="H2691" s="1">
        <v>44752</v>
      </c>
    </row>
    <row r="2692" spans="1:8">
      <c r="A2692" t="s">
        <v>5410</v>
      </c>
      <c r="B2692" t="s">
        <v>5411</v>
      </c>
      <c r="C2692" t="s">
        <v>31</v>
      </c>
      <c r="D2692">
        <v>37</v>
      </c>
      <c r="E2692" t="s">
        <v>69</v>
      </c>
      <c r="F2692" t="s">
        <v>69</v>
      </c>
      <c r="G2692" t="s">
        <v>12</v>
      </c>
      <c r="H2692" s="1">
        <v>44870</v>
      </c>
    </row>
    <row r="2693" spans="1:8">
      <c r="A2693" t="s">
        <v>5412</v>
      </c>
      <c r="B2693" t="s">
        <v>5413</v>
      </c>
      <c r="C2693" t="s">
        <v>31</v>
      </c>
      <c r="D2693">
        <v>44</v>
      </c>
      <c r="E2693" t="s">
        <v>149</v>
      </c>
      <c r="F2693" t="s">
        <v>38</v>
      </c>
      <c r="G2693" t="s">
        <v>22</v>
      </c>
      <c r="H2693" s="1">
        <v>44633</v>
      </c>
    </row>
    <row r="2694" spans="1:8">
      <c r="A2694" t="s">
        <v>5414</v>
      </c>
      <c r="B2694" t="s">
        <v>5415</v>
      </c>
      <c r="C2694" t="s">
        <v>10</v>
      </c>
      <c r="D2694">
        <v>47</v>
      </c>
      <c r="E2694" t="s">
        <v>41</v>
      </c>
      <c r="F2694" t="s">
        <v>42</v>
      </c>
      <c r="G2694" t="s">
        <v>17</v>
      </c>
      <c r="H2694" s="1">
        <v>45959</v>
      </c>
    </row>
    <row r="2695" spans="1:8">
      <c r="A2695" t="s">
        <v>5416</v>
      </c>
      <c r="B2695" t="s">
        <v>5417</v>
      </c>
      <c r="C2695" t="s">
        <v>10</v>
      </c>
      <c r="D2695">
        <v>59</v>
      </c>
      <c r="E2695" t="s">
        <v>134</v>
      </c>
      <c r="F2695" t="s">
        <v>28</v>
      </c>
      <c r="G2695" t="s">
        <v>12</v>
      </c>
      <c r="H2695" s="1">
        <v>45967</v>
      </c>
    </row>
    <row r="2696" spans="1:8">
      <c r="A2696" t="s">
        <v>5418</v>
      </c>
      <c r="B2696" t="s">
        <v>5419</v>
      </c>
      <c r="C2696" t="s">
        <v>31</v>
      </c>
      <c r="D2696">
        <v>26</v>
      </c>
      <c r="E2696" t="s">
        <v>87</v>
      </c>
      <c r="F2696" t="s">
        <v>88</v>
      </c>
      <c r="G2696" t="s">
        <v>78</v>
      </c>
      <c r="H2696" s="1">
        <v>44891</v>
      </c>
    </row>
    <row r="2697" spans="1:8">
      <c r="A2697" t="s">
        <v>5420</v>
      </c>
      <c r="B2697" t="s">
        <v>5421</v>
      </c>
      <c r="C2697" t="s">
        <v>31</v>
      </c>
      <c r="D2697">
        <v>18</v>
      </c>
      <c r="E2697" t="s">
        <v>149</v>
      </c>
      <c r="F2697" t="s">
        <v>38</v>
      </c>
      <c r="G2697" t="s">
        <v>22</v>
      </c>
      <c r="H2697" s="1">
        <v>45967</v>
      </c>
    </row>
    <row r="2698" spans="1:8">
      <c r="A2698" t="s">
        <v>5422</v>
      </c>
      <c r="B2698" t="s">
        <v>5423</v>
      </c>
      <c r="C2698" t="s">
        <v>10</v>
      </c>
      <c r="D2698">
        <v>37</v>
      </c>
      <c r="E2698" t="s">
        <v>149</v>
      </c>
      <c r="F2698" t="s">
        <v>38</v>
      </c>
      <c r="G2698" t="s">
        <v>22</v>
      </c>
      <c r="H2698" s="1">
        <v>45427</v>
      </c>
    </row>
    <row r="2699" spans="1:8">
      <c r="A2699" t="s">
        <v>5424</v>
      </c>
      <c r="B2699" t="s">
        <v>5425</v>
      </c>
      <c r="C2699" t="s">
        <v>31</v>
      </c>
      <c r="D2699">
        <v>50</v>
      </c>
      <c r="E2699" t="s">
        <v>20</v>
      </c>
      <c r="F2699" t="s">
        <v>21</v>
      </c>
      <c r="G2699" t="s">
        <v>22</v>
      </c>
      <c r="H2699" s="1">
        <v>45798</v>
      </c>
    </row>
    <row r="2700" spans="1:8">
      <c r="A2700" t="s">
        <v>5426</v>
      </c>
      <c r="B2700" t="s">
        <v>5427</v>
      </c>
      <c r="C2700" t="s">
        <v>31</v>
      </c>
      <c r="D2700">
        <v>52</v>
      </c>
      <c r="E2700" t="s">
        <v>149</v>
      </c>
      <c r="F2700" t="s">
        <v>38</v>
      </c>
      <c r="G2700" t="s">
        <v>22</v>
      </c>
      <c r="H2700" s="1">
        <v>46020</v>
      </c>
    </row>
    <row r="2701" spans="1:8">
      <c r="A2701" t="s">
        <v>5428</v>
      </c>
      <c r="B2701" t="s">
        <v>5429</v>
      </c>
      <c r="C2701" t="s">
        <v>31</v>
      </c>
      <c r="D2701">
        <v>52</v>
      </c>
      <c r="E2701" t="s">
        <v>87</v>
      </c>
      <c r="F2701" t="s">
        <v>88</v>
      </c>
      <c r="G2701" t="s">
        <v>78</v>
      </c>
      <c r="H2701" s="1">
        <v>44928</v>
      </c>
    </row>
    <row r="2702" spans="1:8">
      <c r="A2702" t="s">
        <v>5430</v>
      </c>
      <c r="B2702" t="s">
        <v>5431</v>
      </c>
      <c r="C2702" t="s">
        <v>10</v>
      </c>
      <c r="D2702">
        <v>39</v>
      </c>
      <c r="E2702" t="s">
        <v>11</v>
      </c>
      <c r="F2702" t="s">
        <v>11</v>
      </c>
      <c r="G2702" t="s">
        <v>12</v>
      </c>
      <c r="H2702" s="1">
        <v>44869</v>
      </c>
    </row>
    <row r="2703" spans="1:8">
      <c r="A2703" t="s">
        <v>5432</v>
      </c>
      <c r="B2703" t="s">
        <v>5433</v>
      </c>
      <c r="C2703" t="s">
        <v>10</v>
      </c>
      <c r="D2703">
        <v>50</v>
      </c>
      <c r="E2703" t="s">
        <v>128</v>
      </c>
      <c r="F2703" t="s">
        <v>129</v>
      </c>
      <c r="G2703" t="s">
        <v>78</v>
      </c>
      <c r="H2703" s="1">
        <v>45090</v>
      </c>
    </row>
    <row r="2704" spans="1:8">
      <c r="A2704" t="s">
        <v>5434</v>
      </c>
      <c r="B2704" t="s">
        <v>5435</v>
      </c>
      <c r="C2704" t="s">
        <v>10</v>
      </c>
      <c r="D2704">
        <v>47</v>
      </c>
      <c r="E2704" t="s">
        <v>69</v>
      </c>
      <c r="F2704" t="s">
        <v>69</v>
      </c>
      <c r="G2704" t="s">
        <v>12</v>
      </c>
      <c r="H2704" s="1">
        <v>45452</v>
      </c>
    </row>
    <row r="2705" spans="1:8">
      <c r="A2705" t="s">
        <v>5436</v>
      </c>
      <c r="B2705" t="s">
        <v>5437</v>
      </c>
      <c r="C2705" t="s">
        <v>31</v>
      </c>
      <c r="D2705">
        <v>41</v>
      </c>
      <c r="E2705" t="s">
        <v>15</v>
      </c>
      <c r="F2705" t="s">
        <v>16</v>
      </c>
      <c r="G2705" t="s">
        <v>17</v>
      </c>
      <c r="H2705" s="1">
        <v>45564</v>
      </c>
    </row>
    <row r="2706" spans="1:8">
      <c r="A2706" t="s">
        <v>5438</v>
      </c>
      <c r="B2706" t="s">
        <v>5439</v>
      </c>
      <c r="C2706" t="s">
        <v>31</v>
      </c>
      <c r="D2706">
        <v>34</v>
      </c>
      <c r="E2706" t="s">
        <v>218</v>
      </c>
      <c r="F2706" t="s">
        <v>219</v>
      </c>
      <c r="G2706" t="s">
        <v>17</v>
      </c>
      <c r="H2706" s="1">
        <v>45967</v>
      </c>
    </row>
    <row r="2707" spans="1:8">
      <c r="A2707" t="s">
        <v>5440</v>
      </c>
      <c r="B2707" t="s">
        <v>5441</v>
      </c>
      <c r="C2707" t="s">
        <v>31</v>
      </c>
      <c r="D2707">
        <v>29</v>
      </c>
      <c r="E2707" t="s">
        <v>37</v>
      </c>
      <c r="F2707" t="s">
        <v>38</v>
      </c>
      <c r="G2707" t="s">
        <v>22</v>
      </c>
      <c r="H2707" s="1">
        <v>44610</v>
      </c>
    </row>
    <row r="2708" spans="1:8">
      <c r="A2708" t="s">
        <v>5442</v>
      </c>
      <c r="B2708" t="s">
        <v>5443</v>
      </c>
      <c r="C2708" t="s">
        <v>31</v>
      </c>
      <c r="D2708">
        <v>38</v>
      </c>
      <c r="E2708" t="s">
        <v>41</v>
      </c>
      <c r="F2708" t="s">
        <v>42</v>
      </c>
      <c r="G2708" t="s">
        <v>17</v>
      </c>
      <c r="H2708" s="1">
        <v>44597</v>
      </c>
    </row>
    <row r="2709" spans="1:8">
      <c r="A2709" t="s">
        <v>5444</v>
      </c>
      <c r="B2709" t="s">
        <v>5445</v>
      </c>
      <c r="C2709" t="s">
        <v>10</v>
      </c>
      <c r="D2709">
        <v>40</v>
      </c>
      <c r="E2709" t="s">
        <v>15</v>
      </c>
      <c r="F2709" t="s">
        <v>16</v>
      </c>
      <c r="G2709" t="s">
        <v>17</v>
      </c>
      <c r="H2709" s="1">
        <v>45782</v>
      </c>
    </row>
    <row r="2710" spans="1:8">
      <c r="A2710" t="s">
        <v>5446</v>
      </c>
      <c r="B2710" t="s">
        <v>5447</v>
      </c>
      <c r="C2710" t="s">
        <v>10</v>
      </c>
      <c r="D2710">
        <v>29</v>
      </c>
      <c r="E2710" t="s">
        <v>27</v>
      </c>
      <c r="F2710" t="s">
        <v>28</v>
      </c>
      <c r="G2710" t="s">
        <v>12</v>
      </c>
      <c r="H2710" s="1">
        <v>45373</v>
      </c>
    </row>
    <row r="2711" spans="1:8">
      <c r="A2711" t="s">
        <v>5448</v>
      </c>
      <c r="B2711" t="s">
        <v>5449</v>
      </c>
      <c r="C2711" t="s">
        <v>10</v>
      </c>
      <c r="D2711">
        <v>58</v>
      </c>
      <c r="E2711" t="s">
        <v>15</v>
      </c>
      <c r="F2711" t="s">
        <v>16</v>
      </c>
      <c r="G2711" t="s">
        <v>17</v>
      </c>
      <c r="H2711" s="1">
        <v>44820</v>
      </c>
    </row>
    <row r="2712" spans="1:8">
      <c r="A2712" t="s">
        <v>5450</v>
      </c>
      <c r="B2712" t="s">
        <v>5451</v>
      </c>
      <c r="C2712" t="s">
        <v>31</v>
      </c>
      <c r="D2712">
        <v>62</v>
      </c>
      <c r="E2712" t="s">
        <v>37</v>
      </c>
      <c r="F2712" t="s">
        <v>38</v>
      </c>
      <c r="G2712" t="s">
        <v>22</v>
      </c>
      <c r="H2712" s="1">
        <v>45269</v>
      </c>
    </row>
    <row r="2713" spans="1:8">
      <c r="A2713" t="s">
        <v>5452</v>
      </c>
      <c r="B2713" t="s">
        <v>5453</v>
      </c>
      <c r="C2713" t="s">
        <v>31</v>
      </c>
      <c r="D2713">
        <v>20</v>
      </c>
      <c r="E2713" t="s">
        <v>27</v>
      </c>
      <c r="F2713" t="s">
        <v>28</v>
      </c>
      <c r="G2713" t="s">
        <v>12</v>
      </c>
      <c r="H2713" s="1">
        <v>45727</v>
      </c>
    </row>
    <row r="2714" spans="1:8">
      <c r="A2714" t="s">
        <v>5454</v>
      </c>
      <c r="B2714" t="s">
        <v>5455</v>
      </c>
      <c r="C2714" t="s">
        <v>10</v>
      </c>
      <c r="D2714">
        <v>56</v>
      </c>
      <c r="E2714" t="s">
        <v>45</v>
      </c>
      <c r="F2714" t="s">
        <v>46</v>
      </c>
      <c r="G2714" t="s">
        <v>17</v>
      </c>
      <c r="H2714" s="1">
        <v>44640</v>
      </c>
    </row>
    <row r="2715" spans="1:8">
      <c r="A2715" t="s">
        <v>5456</v>
      </c>
      <c r="B2715" t="s">
        <v>5457</v>
      </c>
      <c r="C2715" t="s">
        <v>10</v>
      </c>
      <c r="D2715">
        <v>39</v>
      </c>
      <c r="E2715" t="s">
        <v>87</v>
      </c>
      <c r="F2715" t="s">
        <v>88</v>
      </c>
      <c r="G2715" t="s">
        <v>78</v>
      </c>
      <c r="H2715" s="1">
        <v>45344</v>
      </c>
    </row>
    <row r="2716" spans="1:8">
      <c r="A2716" t="s">
        <v>5458</v>
      </c>
      <c r="B2716" t="s">
        <v>5459</v>
      </c>
      <c r="C2716" t="s">
        <v>31</v>
      </c>
      <c r="D2716">
        <v>19</v>
      </c>
      <c r="E2716" t="s">
        <v>91</v>
      </c>
      <c r="F2716" t="s">
        <v>92</v>
      </c>
      <c r="G2716" t="s">
        <v>78</v>
      </c>
      <c r="H2716" s="1">
        <v>45427</v>
      </c>
    </row>
    <row r="2717" spans="1:8">
      <c r="A2717" t="s">
        <v>5460</v>
      </c>
      <c r="B2717" t="s">
        <v>5461</v>
      </c>
      <c r="C2717" t="s">
        <v>10</v>
      </c>
      <c r="D2717">
        <v>45</v>
      </c>
      <c r="E2717" t="s">
        <v>45</v>
      </c>
      <c r="F2717" t="s">
        <v>46</v>
      </c>
      <c r="G2717" t="s">
        <v>17</v>
      </c>
      <c r="H2717" s="1">
        <v>45899</v>
      </c>
    </row>
    <row r="2718" spans="1:8">
      <c r="A2718" t="s">
        <v>5462</v>
      </c>
      <c r="B2718" t="s">
        <v>5463</v>
      </c>
      <c r="C2718" t="s">
        <v>31</v>
      </c>
      <c r="D2718">
        <v>37</v>
      </c>
      <c r="E2718" t="s">
        <v>76</v>
      </c>
      <c r="F2718" t="s">
        <v>77</v>
      </c>
      <c r="G2718" t="s">
        <v>78</v>
      </c>
      <c r="H2718" s="1">
        <v>45731</v>
      </c>
    </row>
    <row r="2719" spans="1:8">
      <c r="A2719" t="s">
        <v>5464</v>
      </c>
      <c r="B2719" t="s">
        <v>5465</v>
      </c>
      <c r="C2719" t="s">
        <v>10</v>
      </c>
      <c r="D2719">
        <v>41</v>
      </c>
      <c r="E2719" t="s">
        <v>27</v>
      </c>
      <c r="F2719" t="s">
        <v>28</v>
      </c>
      <c r="G2719" t="s">
        <v>12</v>
      </c>
      <c r="H2719" s="1">
        <v>45061</v>
      </c>
    </row>
    <row r="2720" spans="1:8">
      <c r="A2720" t="s">
        <v>5466</v>
      </c>
      <c r="B2720" t="s">
        <v>5467</v>
      </c>
      <c r="C2720" t="s">
        <v>31</v>
      </c>
      <c r="D2720">
        <v>65</v>
      </c>
      <c r="E2720" t="s">
        <v>101</v>
      </c>
      <c r="F2720" t="s">
        <v>21</v>
      </c>
      <c r="G2720" t="s">
        <v>22</v>
      </c>
      <c r="H2720" s="1">
        <v>45456</v>
      </c>
    </row>
    <row r="2721" spans="1:8">
      <c r="A2721" t="s">
        <v>5468</v>
      </c>
      <c r="B2721" t="s">
        <v>5469</v>
      </c>
      <c r="C2721" t="s">
        <v>10</v>
      </c>
      <c r="D2721">
        <v>56</v>
      </c>
      <c r="E2721" t="s">
        <v>63</v>
      </c>
      <c r="F2721" t="s">
        <v>64</v>
      </c>
      <c r="G2721" t="s">
        <v>12</v>
      </c>
      <c r="H2721" s="1">
        <v>45128</v>
      </c>
    </row>
    <row r="2722" spans="1:8">
      <c r="A2722" t="s">
        <v>5470</v>
      </c>
      <c r="B2722" t="s">
        <v>5471</v>
      </c>
      <c r="C2722" t="s">
        <v>31</v>
      </c>
      <c r="D2722">
        <v>35</v>
      </c>
      <c r="E2722" t="s">
        <v>101</v>
      </c>
      <c r="F2722" t="s">
        <v>21</v>
      </c>
      <c r="G2722" t="s">
        <v>22</v>
      </c>
      <c r="H2722" s="1">
        <v>45950</v>
      </c>
    </row>
    <row r="2723" spans="1:8">
      <c r="A2723" t="s">
        <v>5472</v>
      </c>
      <c r="B2723" t="s">
        <v>5473</v>
      </c>
      <c r="C2723" t="s">
        <v>31</v>
      </c>
      <c r="D2723">
        <v>60</v>
      </c>
      <c r="E2723" t="s">
        <v>34</v>
      </c>
      <c r="F2723" t="s">
        <v>16</v>
      </c>
      <c r="G2723" t="s">
        <v>17</v>
      </c>
      <c r="H2723" s="1">
        <v>44600</v>
      </c>
    </row>
    <row r="2724" spans="1:8">
      <c r="A2724" t="s">
        <v>5474</v>
      </c>
      <c r="B2724" t="s">
        <v>5475</v>
      </c>
      <c r="C2724" t="s">
        <v>31</v>
      </c>
      <c r="D2724">
        <v>24</v>
      </c>
      <c r="E2724" t="s">
        <v>45</v>
      </c>
      <c r="F2724" t="s">
        <v>46</v>
      </c>
      <c r="G2724" t="s">
        <v>17</v>
      </c>
      <c r="H2724" s="1">
        <v>45509</v>
      </c>
    </row>
    <row r="2725" spans="1:8">
      <c r="A2725" t="s">
        <v>5476</v>
      </c>
      <c r="B2725" t="s">
        <v>5477</v>
      </c>
      <c r="C2725" t="s">
        <v>31</v>
      </c>
      <c r="D2725">
        <v>32</v>
      </c>
      <c r="E2725" t="s">
        <v>15</v>
      </c>
      <c r="F2725" t="s">
        <v>16</v>
      </c>
      <c r="G2725" t="s">
        <v>17</v>
      </c>
      <c r="H2725" s="1">
        <v>46014</v>
      </c>
    </row>
    <row r="2726" spans="1:8">
      <c r="A2726" t="s">
        <v>5478</v>
      </c>
      <c r="B2726" t="s">
        <v>5479</v>
      </c>
      <c r="C2726" t="s">
        <v>31</v>
      </c>
      <c r="D2726">
        <v>55</v>
      </c>
      <c r="E2726" t="s">
        <v>45</v>
      </c>
      <c r="F2726" t="s">
        <v>46</v>
      </c>
      <c r="G2726" t="s">
        <v>17</v>
      </c>
      <c r="H2726" s="1">
        <v>46020</v>
      </c>
    </row>
    <row r="2727" spans="1:8">
      <c r="A2727" t="s">
        <v>5480</v>
      </c>
      <c r="B2727" t="s">
        <v>5481</v>
      </c>
      <c r="C2727" t="s">
        <v>31</v>
      </c>
      <c r="D2727">
        <v>48</v>
      </c>
      <c r="E2727" t="s">
        <v>60</v>
      </c>
      <c r="F2727" t="s">
        <v>21</v>
      </c>
      <c r="G2727" t="s">
        <v>22</v>
      </c>
      <c r="H2727" s="1">
        <v>45235</v>
      </c>
    </row>
    <row r="2728" spans="1:8">
      <c r="A2728" t="s">
        <v>5482</v>
      </c>
      <c r="B2728" t="s">
        <v>5483</v>
      </c>
      <c r="C2728" t="s">
        <v>31</v>
      </c>
      <c r="D2728">
        <v>38</v>
      </c>
      <c r="E2728" t="s">
        <v>87</v>
      </c>
      <c r="F2728" t="s">
        <v>88</v>
      </c>
      <c r="G2728" t="s">
        <v>78</v>
      </c>
      <c r="H2728" s="1">
        <v>45264</v>
      </c>
    </row>
    <row r="2729" spans="1:8">
      <c r="A2729" t="s">
        <v>5484</v>
      </c>
      <c r="B2729" t="s">
        <v>5485</v>
      </c>
      <c r="C2729" t="s">
        <v>31</v>
      </c>
      <c r="D2729">
        <v>65</v>
      </c>
      <c r="E2729" t="s">
        <v>149</v>
      </c>
      <c r="F2729" t="s">
        <v>38</v>
      </c>
      <c r="G2729" t="s">
        <v>22</v>
      </c>
      <c r="H2729" s="1">
        <v>44872</v>
      </c>
    </row>
    <row r="2730" spans="1:8">
      <c r="A2730" t="s">
        <v>5486</v>
      </c>
      <c r="B2730" t="s">
        <v>5487</v>
      </c>
      <c r="C2730" t="s">
        <v>10</v>
      </c>
      <c r="D2730">
        <v>61</v>
      </c>
      <c r="E2730" t="s">
        <v>60</v>
      </c>
      <c r="F2730" t="s">
        <v>21</v>
      </c>
      <c r="G2730" t="s">
        <v>22</v>
      </c>
      <c r="H2730" s="1">
        <v>45990</v>
      </c>
    </row>
    <row r="2731" spans="1:8">
      <c r="A2731" t="s">
        <v>5488</v>
      </c>
      <c r="B2731" t="s">
        <v>5489</v>
      </c>
      <c r="C2731" t="s">
        <v>10</v>
      </c>
      <c r="D2731">
        <v>58</v>
      </c>
      <c r="E2731" t="s">
        <v>149</v>
      </c>
      <c r="F2731" t="s">
        <v>38</v>
      </c>
      <c r="G2731" t="s">
        <v>22</v>
      </c>
      <c r="H2731" s="1">
        <v>44628</v>
      </c>
    </row>
    <row r="2732" spans="1:8">
      <c r="A2732" t="s">
        <v>5490</v>
      </c>
      <c r="B2732" t="s">
        <v>5491</v>
      </c>
      <c r="C2732" t="s">
        <v>10</v>
      </c>
      <c r="D2732">
        <v>65</v>
      </c>
      <c r="E2732" t="s">
        <v>37</v>
      </c>
      <c r="F2732" t="s">
        <v>38</v>
      </c>
      <c r="G2732" t="s">
        <v>22</v>
      </c>
      <c r="H2732" s="1">
        <v>44732</v>
      </c>
    </row>
    <row r="2733" spans="1:8">
      <c r="A2733" t="s">
        <v>5492</v>
      </c>
      <c r="B2733" t="s">
        <v>5493</v>
      </c>
      <c r="C2733" t="s">
        <v>31</v>
      </c>
      <c r="D2733">
        <v>66</v>
      </c>
      <c r="E2733" t="s">
        <v>91</v>
      </c>
      <c r="F2733" t="s">
        <v>92</v>
      </c>
      <c r="G2733" t="s">
        <v>78</v>
      </c>
      <c r="H2733" s="1">
        <v>45184</v>
      </c>
    </row>
    <row r="2734" spans="1:8">
      <c r="A2734" t="s">
        <v>5494</v>
      </c>
      <c r="B2734" t="s">
        <v>5495</v>
      </c>
      <c r="C2734" t="s">
        <v>10</v>
      </c>
      <c r="D2734">
        <v>57</v>
      </c>
      <c r="E2734" t="s">
        <v>149</v>
      </c>
      <c r="F2734" t="s">
        <v>38</v>
      </c>
      <c r="G2734" t="s">
        <v>22</v>
      </c>
      <c r="H2734" s="1">
        <v>44622</v>
      </c>
    </row>
    <row r="2735" spans="1:8">
      <c r="A2735" t="s">
        <v>5496</v>
      </c>
      <c r="B2735" t="s">
        <v>5497</v>
      </c>
      <c r="C2735" t="s">
        <v>31</v>
      </c>
      <c r="D2735">
        <v>44</v>
      </c>
      <c r="E2735" t="s">
        <v>27</v>
      </c>
      <c r="F2735" t="s">
        <v>28</v>
      </c>
      <c r="G2735" t="s">
        <v>12</v>
      </c>
      <c r="H2735" s="1">
        <v>45282</v>
      </c>
    </row>
    <row r="2736" spans="1:8">
      <c r="A2736" t="s">
        <v>5498</v>
      </c>
      <c r="B2736" t="s">
        <v>5499</v>
      </c>
      <c r="C2736" t="s">
        <v>31</v>
      </c>
      <c r="D2736">
        <v>33</v>
      </c>
      <c r="E2736" t="s">
        <v>87</v>
      </c>
      <c r="F2736" t="s">
        <v>88</v>
      </c>
      <c r="G2736" t="s">
        <v>78</v>
      </c>
      <c r="H2736" s="1">
        <v>45143</v>
      </c>
    </row>
    <row r="2737" spans="1:8">
      <c r="A2737" t="s">
        <v>5500</v>
      </c>
      <c r="B2737" t="s">
        <v>5501</v>
      </c>
      <c r="C2737" t="s">
        <v>31</v>
      </c>
      <c r="D2737">
        <v>56</v>
      </c>
      <c r="E2737" t="s">
        <v>60</v>
      </c>
      <c r="F2737" t="s">
        <v>21</v>
      </c>
      <c r="G2737" t="s">
        <v>22</v>
      </c>
      <c r="H2737" s="1">
        <v>44831</v>
      </c>
    </row>
    <row r="2738" spans="1:8">
      <c r="A2738" t="s">
        <v>5502</v>
      </c>
      <c r="B2738" t="s">
        <v>5503</v>
      </c>
      <c r="C2738" t="s">
        <v>31</v>
      </c>
      <c r="D2738">
        <v>31</v>
      </c>
      <c r="E2738" t="s">
        <v>87</v>
      </c>
      <c r="F2738" t="s">
        <v>88</v>
      </c>
      <c r="G2738" t="s">
        <v>78</v>
      </c>
      <c r="H2738" s="1">
        <v>44760</v>
      </c>
    </row>
    <row r="2739" spans="1:8">
      <c r="A2739" t="s">
        <v>5504</v>
      </c>
      <c r="B2739" t="s">
        <v>5505</v>
      </c>
      <c r="C2739" t="s">
        <v>31</v>
      </c>
      <c r="D2739">
        <v>29</v>
      </c>
      <c r="E2739" t="s">
        <v>15</v>
      </c>
      <c r="F2739" t="s">
        <v>16</v>
      </c>
      <c r="G2739" t="s">
        <v>17</v>
      </c>
      <c r="H2739" s="1">
        <v>45730</v>
      </c>
    </row>
    <row r="2740" spans="1:8">
      <c r="A2740" t="s">
        <v>5506</v>
      </c>
      <c r="B2740" t="s">
        <v>5507</v>
      </c>
      <c r="C2740" t="s">
        <v>31</v>
      </c>
      <c r="D2740">
        <v>40</v>
      </c>
      <c r="E2740" t="s">
        <v>112</v>
      </c>
      <c r="F2740" t="s">
        <v>113</v>
      </c>
      <c r="G2740" t="s">
        <v>78</v>
      </c>
      <c r="H2740" s="1">
        <v>45688</v>
      </c>
    </row>
    <row r="2741" spans="1:8">
      <c r="A2741" t="s">
        <v>5508</v>
      </c>
      <c r="B2741" t="s">
        <v>5509</v>
      </c>
      <c r="C2741" t="s">
        <v>31</v>
      </c>
      <c r="D2741">
        <v>38</v>
      </c>
      <c r="E2741" t="s">
        <v>69</v>
      </c>
      <c r="F2741" t="s">
        <v>69</v>
      </c>
      <c r="G2741" t="s">
        <v>12</v>
      </c>
      <c r="H2741" s="1">
        <v>45789</v>
      </c>
    </row>
    <row r="2742" spans="1:8">
      <c r="A2742" t="s">
        <v>5510</v>
      </c>
      <c r="B2742" t="s">
        <v>5511</v>
      </c>
      <c r="C2742" t="s">
        <v>31</v>
      </c>
      <c r="D2742">
        <v>50</v>
      </c>
      <c r="E2742" t="s">
        <v>11</v>
      </c>
      <c r="F2742" t="s">
        <v>11</v>
      </c>
      <c r="G2742" t="s">
        <v>12</v>
      </c>
      <c r="H2742" s="1">
        <v>45922</v>
      </c>
    </row>
    <row r="2743" spans="1:8">
      <c r="A2743" t="s">
        <v>5512</v>
      </c>
      <c r="B2743" t="s">
        <v>5513</v>
      </c>
      <c r="C2743" t="s">
        <v>31</v>
      </c>
      <c r="D2743">
        <v>49</v>
      </c>
      <c r="E2743" t="s">
        <v>149</v>
      </c>
      <c r="F2743" t="s">
        <v>38</v>
      </c>
      <c r="G2743" t="s">
        <v>22</v>
      </c>
      <c r="H2743" s="1">
        <v>45023</v>
      </c>
    </row>
    <row r="2744" spans="1:8">
      <c r="A2744" t="s">
        <v>5514</v>
      </c>
      <c r="B2744" t="s">
        <v>5515</v>
      </c>
      <c r="C2744" t="s">
        <v>10</v>
      </c>
      <c r="D2744">
        <v>29</v>
      </c>
      <c r="E2744" t="s">
        <v>134</v>
      </c>
      <c r="F2744" t="s">
        <v>28</v>
      </c>
      <c r="G2744" t="s">
        <v>12</v>
      </c>
      <c r="H2744" s="1">
        <v>45482</v>
      </c>
    </row>
    <row r="2745" spans="1:8">
      <c r="A2745" t="s">
        <v>5516</v>
      </c>
      <c r="B2745" t="s">
        <v>5517</v>
      </c>
      <c r="C2745" t="s">
        <v>31</v>
      </c>
      <c r="D2745">
        <v>66</v>
      </c>
      <c r="E2745" t="s">
        <v>20</v>
      </c>
      <c r="F2745" t="s">
        <v>21</v>
      </c>
      <c r="G2745" t="s">
        <v>22</v>
      </c>
      <c r="H2745" s="1">
        <v>45652</v>
      </c>
    </row>
    <row r="2746" spans="1:8">
      <c r="A2746" t="s">
        <v>5518</v>
      </c>
      <c r="B2746" t="s">
        <v>5519</v>
      </c>
      <c r="C2746" t="s">
        <v>10</v>
      </c>
      <c r="D2746">
        <v>42</v>
      </c>
      <c r="E2746" t="s">
        <v>101</v>
      </c>
      <c r="F2746" t="s">
        <v>21</v>
      </c>
      <c r="G2746" t="s">
        <v>22</v>
      </c>
      <c r="H2746" s="1">
        <v>45961</v>
      </c>
    </row>
    <row r="2747" spans="1:8">
      <c r="A2747" t="s">
        <v>5520</v>
      </c>
      <c r="B2747" t="s">
        <v>5521</v>
      </c>
      <c r="C2747" t="s">
        <v>31</v>
      </c>
      <c r="D2747">
        <v>30</v>
      </c>
      <c r="E2747" t="s">
        <v>69</v>
      </c>
      <c r="F2747" t="s">
        <v>69</v>
      </c>
      <c r="G2747" t="s">
        <v>12</v>
      </c>
      <c r="H2747" s="1">
        <v>45418</v>
      </c>
    </row>
    <row r="2748" spans="1:8">
      <c r="A2748" t="s">
        <v>5522</v>
      </c>
      <c r="B2748" t="s">
        <v>5523</v>
      </c>
      <c r="C2748" t="s">
        <v>10</v>
      </c>
      <c r="D2748">
        <v>57</v>
      </c>
      <c r="E2748" t="s">
        <v>27</v>
      </c>
      <c r="F2748" t="s">
        <v>28</v>
      </c>
      <c r="G2748" t="s">
        <v>12</v>
      </c>
      <c r="H2748" s="1">
        <v>45021</v>
      </c>
    </row>
    <row r="2749" spans="1:8">
      <c r="A2749" t="s">
        <v>5524</v>
      </c>
      <c r="B2749" t="s">
        <v>5525</v>
      </c>
      <c r="C2749" t="s">
        <v>31</v>
      </c>
      <c r="D2749">
        <v>19</v>
      </c>
      <c r="E2749" t="s">
        <v>11</v>
      </c>
      <c r="F2749" t="s">
        <v>11</v>
      </c>
      <c r="G2749" t="s">
        <v>12</v>
      </c>
      <c r="H2749" s="1">
        <v>45789</v>
      </c>
    </row>
    <row r="2750" spans="1:8">
      <c r="A2750" t="s">
        <v>5526</v>
      </c>
      <c r="B2750" t="s">
        <v>5527</v>
      </c>
      <c r="C2750" t="s">
        <v>31</v>
      </c>
      <c r="D2750">
        <v>61</v>
      </c>
      <c r="E2750" t="s">
        <v>101</v>
      </c>
      <c r="F2750" t="s">
        <v>21</v>
      </c>
      <c r="G2750" t="s">
        <v>22</v>
      </c>
      <c r="H2750" s="1">
        <v>44902</v>
      </c>
    </row>
    <row r="2751" spans="1:8">
      <c r="A2751" t="s">
        <v>5528</v>
      </c>
      <c r="B2751" t="s">
        <v>631</v>
      </c>
      <c r="C2751" t="s">
        <v>31</v>
      </c>
      <c r="D2751">
        <v>53</v>
      </c>
      <c r="E2751" t="s">
        <v>45</v>
      </c>
      <c r="F2751" t="s">
        <v>46</v>
      </c>
      <c r="G2751" t="s">
        <v>17</v>
      </c>
      <c r="H2751" s="1">
        <v>44608</v>
      </c>
    </row>
    <row r="2752" spans="1:8">
      <c r="A2752" t="s">
        <v>5529</v>
      </c>
      <c r="B2752" t="s">
        <v>5530</v>
      </c>
      <c r="C2752" t="s">
        <v>31</v>
      </c>
      <c r="D2752">
        <v>41</v>
      </c>
      <c r="E2752" t="s">
        <v>101</v>
      </c>
      <c r="F2752" t="s">
        <v>21</v>
      </c>
      <c r="G2752" t="s">
        <v>22</v>
      </c>
      <c r="H2752" s="1">
        <v>44892</v>
      </c>
    </row>
    <row r="2753" spans="1:8">
      <c r="A2753" t="s">
        <v>5531</v>
      </c>
      <c r="B2753" t="s">
        <v>5532</v>
      </c>
      <c r="C2753" t="s">
        <v>31</v>
      </c>
      <c r="D2753">
        <v>63</v>
      </c>
      <c r="E2753" t="s">
        <v>63</v>
      </c>
      <c r="F2753" t="s">
        <v>64</v>
      </c>
      <c r="G2753" t="s">
        <v>12</v>
      </c>
      <c r="H2753" s="1">
        <v>44920</v>
      </c>
    </row>
    <row r="2754" spans="1:8">
      <c r="A2754" t="s">
        <v>5533</v>
      </c>
      <c r="B2754" t="s">
        <v>5534</v>
      </c>
      <c r="C2754" t="s">
        <v>31</v>
      </c>
      <c r="D2754">
        <v>22</v>
      </c>
      <c r="E2754" t="s">
        <v>91</v>
      </c>
      <c r="F2754" t="s">
        <v>92</v>
      </c>
      <c r="G2754" t="s">
        <v>78</v>
      </c>
      <c r="H2754" s="1">
        <v>44833</v>
      </c>
    </row>
    <row r="2755" spans="1:8">
      <c r="A2755" t="s">
        <v>5535</v>
      </c>
      <c r="B2755" t="s">
        <v>5536</v>
      </c>
      <c r="C2755" t="s">
        <v>31</v>
      </c>
      <c r="D2755">
        <v>47</v>
      </c>
      <c r="E2755" t="s">
        <v>76</v>
      </c>
      <c r="F2755" t="s">
        <v>77</v>
      </c>
      <c r="G2755" t="s">
        <v>78</v>
      </c>
      <c r="H2755" s="1">
        <v>45744</v>
      </c>
    </row>
    <row r="2756" spans="1:8">
      <c r="A2756" t="s">
        <v>5537</v>
      </c>
      <c r="B2756" t="s">
        <v>5538</v>
      </c>
      <c r="C2756" t="s">
        <v>10</v>
      </c>
      <c r="D2756">
        <v>68</v>
      </c>
      <c r="E2756" t="s">
        <v>218</v>
      </c>
      <c r="F2756" t="s">
        <v>219</v>
      </c>
      <c r="G2756" t="s">
        <v>17</v>
      </c>
      <c r="H2756" s="1">
        <v>45470</v>
      </c>
    </row>
    <row r="2757" spans="1:8">
      <c r="A2757" t="s">
        <v>5539</v>
      </c>
      <c r="B2757" t="s">
        <v>5540</v>
      </c>
      <c r="C2757" t="s">
        <v>10</v>
      </c>
      <c r="D2757">
        <v>69</v>
      </c>
      <c r="E2757" t="s">
        <v>41</v>
      </c>
      <c r="F2757" t="s">
        <v>42</v>
      </c>
      <c r="G2757" t="s">
        <v>17</v>
      </c>
      <c r="H2757" s="1">
        <v>45586</v>
      </c>
    </row>
    <row r="2758" spans="1:8">
      <c r="A2758" t="s">
        <v>5541</v>
      </c>
      <c r="B2758" t="s">
        <v>5542</v>
      </c>
      <c r="C2758" t="s">
        <v>10</v>
      </c>
      <c r="D2758">
        <v>47</v>
      </c>
      <c r="E2758" t="s">
        <v>134</v>
      </c>
      <c r="F2758" t="s">
        <v>28</v>
      </c>
      <c r="G2758" t="s">
        <v>12</v>
      </c>
      <c r="H2758" s="1">
        <v>44888</v>
      </c>
    </row>
    <row r="2759" spans="1:8">
      <c r="A2759" t="s">
        <v>5543</v>
      </c>
      <c r="B2759" t="s">
        <v>5544</v>
      </c>
      <c r="C2759" t="s">
        <v>10</v>
      </c>
      <c r="D2759">
        <v>61</v>
      </c>
      <c r="E2759" t="s">
        <v>11</v>
      </c>
      <c r="F2759" t="s">
        <v>11</v>
      </c>
      <c r="G2759" t="s">
        <v>12</v>
      </c>
      <c r="H2759" s="1">
        <v>44576</v>
      </c>
    </row>
    <row r="2760" spans="1:8">
      <c r="A2760" t="s">
        <v>5545</v>
      </c>
      <c r="B2760" t="s">
        <v>5546</v>
      </c>
      <c r="C2760" t="s">
        <v>31</v>
      </c>
      <c r="D2760">
        <v>22</v>
      </c>
      <c r="E2760" t="s">
        <v>27</v>
      </c>
      <c r="F2760" t="s">
        <v>28</v>
      </c>
      <c r="G2760" t="s">
        <v>12</v>
      </c>
      <c r="H2760" s="1">
        <v>45524</v>
      </c>
    </row>
    <row r="2761" spans="1:8">
      <c r="A2761" t="s">
        <v>5547</v>
      </c>
      <c r="B2761" t="s">
        <v>5548</v>
      </c>
      <c r="C2761" t="s">
        <v>10</v>
      </c>
      <c r="D2761">
        <v>63</v>
      </c>
      <c r="E2761" t="s">
        <v>134</v>
      </c>
      <c r="F2761" t="s">
        <v>28</v>
      </c>
      <c r="G2761" t="s">
        <v>12</v>
      </c>
      <c r="H2761" s="1">
        <v>45662</v>
      </c>
    </row>
    <row r="2762" spans="1:8">
      <c r="A2762" t="s">
        <v>5549</v>
      </c>
      <c r="B2762" t="s">
        <v>5550</v>
      </c>
      <c r="C2762" t="s">
        <v>31</v>
      </c>
      <c r="D2762">
        <v>48</v>
      </c>
      <c r="E2762" t="s">
        <v>27</v>
      </c>
      <c r="F2762" t="s">
        <v>28</v>
      </c>
      <c r="G2762" t="s">
        <v>12</v>
      </c>
      <c r="H2762" s="1">
        <v>44610</v>
      </c>
    </row>
    <row r="2763" spans="1:8">
      <c r="A2763" t="s">
        <v>5551</v>
      </c>
      <c r="B2763" t="s">
        <v>5552</v>
      </c>
      <c r="C2763" t="s">
        <v>31</v>
      </c>
      <c r="D2763">
        <v>70</v>
      </c>
      <c r="E2763" t="s">
        <v>87</v>
      </c>
      <c r="F2763" t="s">
        <v>88</v>
      </c>
      <c r="G2763" t="s">
        <v>78</v>
      </c>
      <c r="H2763" s="1">
        <v>45161</v>
      </c>
    </row>
    <row r="2764" spans="1:8">
      <c r="A2764" t="s">
        <v>5553</v>
      </c>
      <c r="B2764" t="s">
        <v>5554</v>
      </c>
      <c r="C2764" t="s">
        <v>31</v>
      </c>
      <c r="D2764">
        <v>63</v>
      </c>
      <c r="E2764" t="s">
        <v>11</v>
      </c>
      <c r="F2764" t="s">
        <v>11</v>
      </c>
      <c r="G2764" t="s">
        <v>12</v>
      </c>
      <c r="H2764" s="1">
        <v>45306</v>
      </c>
    </row>
    <row r="2765" spans="1:8">
      <c r="A2765" t="s">
        <v>5555</v>
      </c>
      <c r="B2765" t="s">
        <v>5556</v>
      </c>
      <c r="C2765" t="s">
        <v>10</v>
      </c>
      <c r="D2765">
        <v>24</v>
      </c>
      <c r="E2765" t="s">
        <v>112</v>
      </c>
      <c r="F2765" t="s">
        <v>113</v>
      </c>
      <c r="G2765" t="s">
        <v>78</v>
      </c>
      <c r="H2765" s="1">
        <v>45439</v>
      </c>
    </row>
    <row r="2766" spans="1:8">
      <c r="A2766" t="s">
        <v>5557</v>
      </c>
      <c r="B2766" t="s">
        <v>5558</v>
      </c>
      <c r="C2766" t="s">
        <v>10</v>
      </c>
      <c r="D2766">
        <v>64</v>
      </c>
      <c r="E2766" t="s">
        <v>45</v>
      </c>
      <c r="F2766" t="s">
        <v>46</v>
      </c>
      <c r="G2766" t="s">
        <v>17</v>
      </c>
      <c r="H2766" s="1">
        <v>45749</v>
      </c>
    </row>
    <row r="2767" spans="1:8">
      <c r="A2767" t="s">
        <v>5559</v>
      </c>
      <c r="B2767" t="s">
        <v>5560</v>
      </c>
      <c r="C2767" t="s">
        <v>31</v>
      </c>
      <c r="D2767">
        <v>27</v>
      </c>
      <c r="E2767" t="s">
        <v>41</v>
      </c>
      <c r="F2767" t="s">
        <v>42</v>
      </c>
      <c r="G2767" t="s">
        <v>17</v>
      </c>
      <c r="H2767" s="1">
        <v>45906</v>
      </c>
    </row>
    <row r="2768" spans="1:8">
      <c r="A2768" t="s">
        <v>5561</v>
      </c>
      <c r="B2768" t="s">
        <v>5562</v>
      </c>
      <c r="C2768" t="s">
        <v>31</v>
      </c>
      <c r="D2768">
        <v>24</v>
      </c>
      <c r="E2768" t="s">
        <v>112</v>
      </c>
      <c r="F2768" t="s">
        <v>113</v>
      </c>
      <c r="G2768" t="s">
        <v>78</v>
      </c>
      <c r="H2768" s="1">
        <v>44992</v>
      </c>
    </row>
    <row r="2769" spans="1:8">
      <c r="A2769" t="s">
        <v>5563</v>
      </c>
      <c r="B2769" t="s">
        <v>5564</v>
      </c>
      <c r="C2769" t="s">
        <v>31</v>
      </c>
      <c r="D2769">
        <v>66</v>
      </c>
      <c r="E2769" t="s">
        <v>20</v>
      </c>
      <c r="F2769" t="s">
        <v>21</v>
      </c>
      <c r="G2769" t="s">
        <v>22</v>
      </c>
      <c r="H2769" s="1">
        <v>45500</v>
      </c>
    </row>
    <row r="2770" spans="1:8">
      <c r="A2770" t="s">
        <v>5565</v>
      </c>
      <c r="B2770" t="s">
        <v>5566</v>
      </c>
      <c r="C2770" t="s">
        <v>31</v>
      </c>
      <c r="D2770">
        <v>62</v>
      </c>
      <c r="E2770" t="s">
        <v>45</v>
      </c>
      <c r="F2770" t="s">
        <v>46</v>
      </c>
      <c r="G2770" t="s">
        <v>17</v>
      </c>
      <c r="H2770" s="1">
        <v>45263</v>
      </c>
    </row>
    <row r="2771" spans="1:8">
      <c r="A2771" t="s">
        <v>5567</v>
      </c>
      <c r="B2771" t="s">
        <v>5568</v>
      </c>
      <c r="C2771" t="s">
        <v>31</v>
      </c>
      <c r="D2771">
        <v>54</v>
      </c>
      <c r="E2771" t="s">
        <v>149</v>
      </c>
      <c r="F2771" t="s">
        <v>38</v>
      </c>
      <c r="G2771" t="s">
        <v>22</v>
      </c>
      <c r="H2771" s="1">
        <v>45994</v>
      </c>
    </row>
    <row r="2772" spans="1:8">
      <c r="A2772" t="s">
        <v>5569</v>
      </c>
      <c r="B2772" t="s">
        <v>5570</v>
      </c>
      <c r="C2772" t="s">
        <v>10</v>
      </c>
      <c r="D2772">
        <v>51</v>
      </c>
      <c r="E2772" t="s">
        <v>15</v>
      </c>
      <c r="F2772" t="s">
        <v>16</v>
      </c>
      <c r="G2772" t="s">
        <v>17</v>
      </c>
      <c r="H2772" s="1">
        <v>44848</v>
      </c>
    </row>
    <row r="2773" spans="1:8">
      <c r="A2773" t="s">
        <v>5571</v>
      </c>
      <c r="B2773" t="s">
        <v>5572</v>
      </c>
      <c r="C2773" t="s">
        <v>31</v>
      </c>
      <c r="D2773">
        <v>63</v>
      </c>
      <c r="E2773" t="s">
        <v>34</v>
      </c>
      <c r="F2773" t="s">
        <v>16</v>
      </c>
      <c r="G2773" t="s">
        <v>17</v>
      </c>
      <c r="H2773" s="1">
        <v>45321</v>
      </c>
    </row>
    <row r="2774" spans="1:8">
      <c r="A2774" t="s">
        <v>5573</v>
      </c>
      <c r="B2774" t="s">
        <v>5574</v>
      </c>
      <c r="C2774" t="s">
        <v>31</v>
      </c>
      <c r="D2774">
        <v>48</v>
      </c>
      <c r="E2774" t="s">
        <v>34</v>
      </c>
      <c r="F2774" t="s">
        <v>16</v>
      </c>
      <c r="G2774" t="s">
        <v>17</v>
      </c>
      <c r="H2774" s="1">
        <v>45724</v>
      </c>
    </row>
    <row r="2775" spans="1:8">
      <c r="A2775" t="s">
        <v>5575</v>
      </c>
      <c r="B2775" t="s">
        <v>5576</v>
      </c>
      <c r="C2775" t="s">
        <v>10</v>
      </c>
      <c r="D2775">
        <v>27</v>
      </c>
      <c r="E2775" t="s">
        <v>134</v>
      </c>
      <c r="F2775" t="s">
        <v>28</v>
      </c>
      <c r="G2775" t="s">
        <v>12</v>
      </c>
      <c r="H2775" s="1">
        <v>44878</v>
      </c>
    </row>
    <row r="2776" spans="1:8">
      <c r="A2776" t="s">
        <v>5577</v>
      </c>
      <c r="B2776" t="s">
        <v>5578</v>
      </c>
      <c r="C2776" t="s">
        <v>10</v>
      </c>
      <c r="D2776">
        <v>19</v>
      </c>
      <c r="E2776" t="s">
        <v>69</v>
      </c>
      <c r="F2776" t="s">
        <v>69</v>
      </c>
      <c r="G2776" t="s">
        <v>12</v>
      </c>
      <c r="H2776" s="1">
        <v>45088</v>
      </c>
    </row>
    <row r="2777" spans="1:8">
      <c r="A2777" t="s">
        <v>5579</v>
      </c>
      <c r="B2777" t="s">
        <v>5580</v>
      </c>
      <c r="C2777" t="s">
        <v>10</v>
      </c>
      <c r="D2777">
        <v>55</v>
      </c>
      <c r="E2777" t="s">
        <v>128</v>
      </c>
      <c r="F2777" t="s">
        <v>129</v>
      </c>
      <c r="G2777" t="s">
        <v>78</v>
      </c>
      <c r="H2777" s="1">
        <v>45182</v>
      </c>
    </row>
    <row r="2778" spans="1:8">
      <c r="A2778" t="s">
        <v>5581</v>
      </c>
      <c r="B2778" t="s">
        <v>5582</v>
      </c>
      <c r="C2778" t="s">
        <v>31</v>
      </c>
      <c r="D2778">
        <v>48</v>
      </c>
      <c r="E2778" t="s">
        <v>45</v>
      </c>
      <c r="F2778" t="s">
        <v>46</v>
      </c>
      <c r="G2778" t="s">
        <v>17</v>
      </c>
      <c r="H2778" s="1">
        <v>45603</v>
      </c>
    </row>
    <row r="2779" spans="1:8">
      <c r="A2779" t="s">
        <v>5583</v>
      </c>
      <c r="B2779" t="s">
        <v>5584</v>
      </c>
      <c r="C2779" t="s">
        <v>10</v>
      </c>
      <c r="D2779">
        <v>55</v>
      </c>
      <c r="E2779" t="s">
        <v>63</v>
      </c>
      <c r="F2779" t="s">
        <v>64</v>
      </c>
      <c r="G2779" t="s">
        <v>12</v>
      </c>
      <c r="H2779" s="1">
        <v>45266</v>
      </c>
    </row>
    <row r="2780" spans="1:8">
      <c r="A2780" t="s">
        <v>5585</v>
      </c>
      <c r="B2780" t="s">
        <v>5586</v>
      </c>
      <c r="C2780" t="s">
        <v>31</v>
      </c>
      <c r="D2780">
        <v>42</v>
      </c>
      <c r="E2780" t="s">
        <v>91</v>
      </c>
      <c r="F2780" t="s">
        <v>92</v>
      </c>
      <c r="G2780" t="s">
        <v>78</v>
      </c>
      <c r="H2780" s="1">
        <v>45633</v>
      </c>
    </row>
    <row r="2781" spans="1:8">
      <c r="A2781" t="s">
        <v>5587</v>
      </c>
      <c r="B2781" t="s">
        <v>5588</v>
      </c>
      <c r="C2781" t="s">
        <v>10</v>
      </c>
      <c r="D2781">
        <v>51</v>
      </c>
      <c r="E2781" t="s">
        <v>112</v>
      </c>
      <c r="F2781" t="s">
        <v>113</v>
      </c>
      <c r="G2781" t="s">
        <v>78</v>
      </c>
      <c r="H2781" s="1">
        <v>45889</v>
      </c>
    </row>
    <row r="2782" spans="1:8">
      <c r="A2782" t="s">
        <v>5589</v>
      </c>
      <c r="B2782" t="s">
        <v>5590</v>
      </c>
      <c r="C2782" t="s">
        <v>10</v>
      </c>
      <c r="D2782">
        <v>60</v>
      </c>
      <c r="E2782" t="s">
        <v>149</v>
      </c>
      <c r="F2782" t="s">
        <v>38</v>
      </c>
      <c r="G2782" t="s">
        <v>22</v>
      </c>
      <c r="H2782" s="1">
        <v>45339</v>
      </c>
    </row>
    <row r="2783" spans="1:8">
      <c r="A2783" t="s">
        <v>5591</v>
      </c>
      <c r="B2783" t="s">
        <v>5592</v>
      </c>
      <c r="C2783" t="s">
        <v>31</v>
      </c>
      <c r="D2783">
        <v>31</v>
      </c>
      <c r="E2783" t="s">
        <v>91</v>
      </c>
      <c r="F2783" t="s">
        <v>92</v>
      </c>
      <c r="G2783" t="s">
        <v>78</v>
      </c>
      <c r="H2783" s="1">
        <v>45022</v>
      </c>
    </row>
    <row r="2784" spans="1:8">
      <c r="A2784" t="s">
        <v>5593</v>
      </c>
      <c r="B2784" t="s">
        <v>5594</v>
      </c>
      <c r="C2784" t="s">
        <v>10</v>
      </c>
      <c r="D2784">
        <v>59</v>
      </c>
      <c r="E2784" t="s">
        <v>45</v>
      </c>
      <c r="F2784" t="s">
        <v>46</v>
      </c>
      <c r="G2784" t="s">
        <v>17</v>
      </c>
      <c r="H2784" s="1">
        <v>45808</v>
      </c>
    </row>
    <row r="2785" spans="1:8">
      <c r="A2785" t="s">
        <v>5595</v>
      </c>
      <c r="B2785" t="s">
        <v>5596</v>
      </c>
      <c r="C2785" t="s">
        <v>10</v>
      </c>
      <c r="D2785">
        <v>65</v>
      </c>
      <c r="E2785" t="s">
        <v>41</v>
      </c>
      <c r="F2785" t="s">
        <v>42</v>
      </c>
      <c r="G2785" t="s">
        <v>17</v>
      </c>
      <c r="H2785" s="1">
        <v>45502</v>
      </c>
    </row>
    <row r="2786" spans="1:8">
      <c r="A2786" t="s">
        <v>5597</v>
      </c>
      <c r="B2786" t="s">
        <v>5598</v>
      </c>
      <c r="C2786" t="s">
        <v>10</v>
      </c>
      <c r="D2786">
        <v>41</v>
      </c>
      <c r="E2786" t="s">
        <v>128</v>
      </c>
      <c r="F2786" t="s">
        <v>129</v>
      </c>
      <c r="G2786" t="s">
        <v>78</v>
      </c>
      <c r="H2786" s="1">
        <v>45029</v>
      </c>
    </row>
    <row r="2787" spans="1:8">
      <c r="A2787" t="s">
        <v>5599</v>
      </c>
      <c r="B2787" t="s">
        <v>5600</v>
      </c>
      <c r="C2787" t="s">
        <v>10</v>
      </c>
      <c r="D2787">
        <v>39</v>
      </c>
      <c r="E2787" t="s">
        <v>69</v>
      </c>
      <c r="F2787" t="s">
        <v>69</v>
      </c>
      <c r="G2787" t="s">
        <v>12</v>
      </c>
      <c r="H2787" s="1">
        <v>45844</v>
      </c>
    </row>
    <row r="2788" spans="1:8">
      <c r="A2788" t="s">
        <v>5601</v>
      </c>
      <c r="B2788" t="s">
        <v>5602</v>
      </c>
      <c r="C2788" t="s">
        <v>10</v>
      </c>
      <c r="D2788">
        <v>69</v>
      </c>
      <c r="E2788" t="s">
        <v>37</v>
      </c>
      <c r="F2788" t="s">
        <v>38</v>
      </c>
      <c r="G2788" t="s">
        <v>22</v>
      </c>
      <c r="H2788" s="1">
        <v>45695</v>
      </c>
    </row>
    <row r="2789" spans="1:8">
      <c r="A2789" t="s">
        <v>5603</v>
      </c>
      <c r="B2789" t="s">
        <v>5604</v>
      </c>
      <c r="C2789" t="s">
        <v>10</v>
      </c>
      <c r="D2789">
        <v>33</v>
      </c>
      <c r="E2789" t="s">
        <v>218</v>
      </c>
      <c r="F2789" t="s">
        <v>219</v>
      </c>
      <c r="G2789" t="s">
        <v>17</v>
      </c>
      <c r="H2789" s="1">
        <v>45632</v>
      </c>
    </row>
    <row r="2790" spans="1:8">
      <c r="A2790" t="s">
        <v>5605</v>
      </c>
      <c r="B2790" t="s">
        <v>5606</v>
      </c>
      <c r="C2790" t="s">
        <v>10</v>
      </c>
      <c r="D2790">
        <v>32</v>
      </c>
      <c r="E2790" t="s">
        <v>34</v>
      </c>
      <c r="F2790" t="s">
        <v>16</v>
      </c>
      <c r="G2790" t="s">
        <v>17</v>
      </c>
      <c r="H2790" s="1">
        <v>45974</v>
      </c>
    </row>
    <row r="2791" spans="1:8">
      <c r="A2791" t="s">
        <v>5607</v>
      </c>
      <c r="B2791" t="s">
        <v>5608</v>
      </c>
      <c r="C2791" t="s">
        <v>10</v>
      </c>
      <c r="D2791">
        <v>56</v>
      </c>
      <c r="E2791" t="s">
        <v>69</v>
      </c>
      <c r="F2791" t="s">
        <v>69</v>
      </c>
      <c r="G2791" t="s">
        <v>12</v>
      </c>
      <c r="H2791" s="1">
        <v>44925</v>
      </c>
    </row>
    <row r="2792" spans="1:8">
      <c r="A2792" t="s">
        <v>5609</v>
      </c>
      <c r="B2792" t="s">
        <v>5610</v>
      </c>
      <c r="C2792" t="s">
        <v>10</v>
      </c>
      <c r="D2792">
        <v>64</v>
      </c>
      <c r="E2792" t="s">
        <v>45</v>
      </c>
      <c r="F2792" t="s">
        <v>46</v>
      </c>
      <c r="G2792" t="s">
        <v>17</v>
      </c>
      <c r="H2792" s="1">
        <v>44749</v>
      </c>
    </row>
    <row r="2793" spans="1:8">
      <c r="A2793" t="s">
        <v>5611</v>
      </c>
      <c r="B2793" t="s">
        <v>5612</v>
      </c>
      <c r="C2793" t="s">
        <v>31</v>
      </c>
      <c r="D2793">
        <v>21</v>
      </c>
      <c r="E2793" t="s">
        <v>87</v>
      </c>
      <c r="F2793" t="s">
        <v>88</v>
      </c>
      <c r="G2793" t="s">
        <v>78</v>
      </c>
      <c r="H2793" s="1">
        <v>44833</v>
      </c>
    </row>
    <row r="2794" spans="1:8">
      <c r="A2794" t="s">
        <v>5613</v>
      </c>
      <c r="B2794" t="s">
        <v>5614</v>
      </c>
      <c r="C2794" t="s">
        <v>31</v>
      </c>
      <c r="D2794">
        <v>47</v>
      </c>
      <c r="E2794" t="s">
        <v>34</v>
      </c>
      <c r="F2794" t="s">
        <v>16</v>
      </c>
      <c r="G2794" t="s">
        <v>17</v>
      </c>
      <c r="H2794" s="1">
        <v>45761</v>
      </c>
    </row>
    <row r="2795" spans="1:8">
      <c r="A2795" t="s">
        <v>5615</v>
      </c>
      <c r="B2795" t="s">
        <v>5616</v>
      </c>
      <c r="C2795" t="s">
        <v>10</v>
      </c>
      <c r="D2795">
        <v>30</v>
      </c>
      <c r="E2795" t="s">
        <v>15</v>
      </c>
      <c r="F2795" t="s">
        <v>16</v>
      </c>
      <c r="G2795" t="s">
        <v>17</v>
      </c>
      <c r="H2795" s="1">
        <v>45215</v>
      </c>
    </row>
    <row r="2796" spans="1:8">
      <c r="A2796" t="s">
        <v>5617</v>
      </c>
      <c r="B2796" t="s">
        <v>5618</v>
      </c>
      <c r="C2796" t="s">
        <v>31</v>
      </c>
      <c r="D2796">
        <v>30</v>
      </c>
      <c r="E2796" t="s">
        <v>149</v>
      </c>
      <c r="F2796" t="s">
        <v>38</v>
      </c>
      <c r="G2796" t="s">
        <v>22</v>
      </c>
      <c r="H2796" s="1">
        <v>44732</v>
      </c>
    </row>
    <row r="2797" spans="1:8">
      <c r="A2797" t="s">
        <v>5619</v>
      </c>
      <c r="B2797" t="s">
        <v>5620</v>
      </c>
      <c r="C2797" t="s">
        <v>31</v>
      </c>
      <c r="D2797">
        <v>37</v>
      </c>
      <c r="E2797" t="s">
        <v>218</v>
      </c>
      <c r="F2797" t="s">
        <v>219</v>
      </c>
      <c r="G2797" t="s">
        <v>17</v>
      </c>
      <c r="H2797" s="1">
        <v>45002</v>
      </c>
    </row>
    <row r="2798" spans="1:8">
      <c r="A2798" t="s">
        <v>5621</v>
      </c>
      <c r="B2798" t="s">
        <v>5622</v>
      </c>
      <c r="C2798" t="s">
        <v>10</v>
      </c>
      <c r="D2798">
        <v>64</v>
      </c>
      <c r="E2798" t="s">
        <v>60</v>
      </c>
      <c r="F2798" t="s">
        <v>21</v>
      </c>
      <c r="G2798" t="s">
        <v>22</v>
      </c>
      <c r="H2798" s="1">
        <v>45442</v>
      </c>
    </row>
    <row r="2799" spans="1:8">
      <c r="A2799" t="s">
        <v>5623</v>
      </c>
      <c r="B2799" t="s">
        <v>5624</v>
      </c>
      <c r="C2799" t="s">
        <v>31</v>
      </c>
      <c r="D2799">
        <v>18</v>
      </c>
      <c r="E2799" t="s">
        <v>76</v>
      </c>
      <c r="F2799" t="s">
        <v>77</v>
      </c>
      <c r="G2799" t="s">
        <v>78</v>
      </c>
      <c r="H2799" s="1">
        <v>45768</v>
      </c>
    </row>
    <row r="2800" spans="1:8">
      <c r="A2800" t="s">
        <v>5625</v>
      </c>
      <c r="B2800" t="s">
        <v>5626</v>
      </c>
      <c r="C2800" t="s">
        <v>31</v>
      </c>
      <c r="D2800">
        <v>49</v>
      </c>
      <c r="E2800" t="s">
        <v>41</v>
      </c>
      <c r="F2800" t="s">
        <v>42</v>
      </c>
      <c r="G2800" t="s">
        <v>17</v>
      </c>
      <c r="H2800" s="1">
        <v>45793</v>
      </c>
    </row>
    <row r="2801" spans="1:8">
      <c r="A2801" t="s">
        <v>5627</v>
      </c>
      <c r="B2801" t="s">
        <v>5628</v>
      </c>
      <c r="C2801" t="s">
        <v>31</v>
      </c>
      <c r="D2801">
        <v>50</v>
      </c>
      <c r="E2801" t="s">
        <v>134</v>
      </c>
      <c r="F2801" t="s">
        <v>28</v>
      </c>
      <c r="G2801" t="s">
        <v>12</v>
      </c>
      <c r="H2801" s="1">
        <v>45600</v>
      </c>
    </row>
    <row r="2802" spans="1:8">
      <c r="A2802" t="s">
        <v>5629</v>
      </c>
      <c r="B2802" t="s">
        <v>5630</v>
      </c>
      <c r="C2802" t="s">
        <v>10</v>
      </c>
      <c r="D2802">
        <v>39</v>
      </c>
      <c r="E2802" t="s">
        <v>45</v>
      </c>
      <c r="F2802" t="s">
        <v>46</v>
      </c>
      <c r="G2802" t="s">
        <v>17</v>
      </c>
      <c r="H2802" s="1">
        <v>45103</v>
      </c>
    </row>
    <row r="2803" spans="1:8">
      <c r="A2803" t="s">
        <v>5631</v>
      </c>
      <c r="B2803" t="s">
        <v>5632</v>
      </c>
      <c r="C2803" t="s">
        <v>31</v>
      </c>
      <c r="D2803">
        <v>58</v>
      </c>
      <c r="E2803" t="s">
        <v>218</v>
      </c>
      <c r="F2803" t="s">
        <v>219</v>
      </c>
      <c r="G2803" t="s">
        <v>17</v>
      </c>
      <c r="H2803" s="1">
        <v>45592</v>
      </c>
    </row>
    <row r="2804" spans="1:8">
      <c r="A2804" t="s">
        <v>5633</v>
      </c>
      <c r="B2804" t="s">
        <v>5634</v>
      </c>
      <c r="C2804" t="s">
        <v>10</v>
      </c>
      <c r="D2804">
        <v>38</v>
      </c>
      <c r="E2804" t="s">
        <v>101</v>
      </c>
      <c r="F2804" t="s">
        <v>21</v>
      </c>
      <c r="G2804" t="s">
        <v>22</v>
      </c>
      <c r="H2804" s="1">
        <v>45560</v>
      </c>
    </row>
    <row r="2805" spans="1:8">
      <c r="A2805" t="s">
        <v>5635</v>
      </c>
      <c r="B2805" t="s">
        <v>5636</v>
      </c>
      <c r="C2805" t="s">
        <v>31</v>
      </c>
      <c r="D2805">
        <v>28</v>
      </c>
      <c r="E2805" t="s">
        <v>128</v>
      </c>
      <c r="F2805" t="s">
        <v>129</v>
      </c>
      <c r="G2805" t="s">
        <v>78</v>
      </c>
      <c r="H2805" s="1">
        <v>45525</v>
      </c>
    </row>
    <row r="2806" spans="1:8">
      <c r="A2806" t="s">
        <v>5637</v>
      </c>
      <c r="B2806" t="s">
        <v>5638</v>
      </c>
      <c r="C2806" t="s">
        <v>31</v>
      </c>
      <c r="D2806">
        <v>24</v>
      </c>
      <c r="E2806" t="s">
        <v>41</v>
      </c>
      <c r="F2806" t="s">
        <v>42</v>
      </c>
      <c r="G2806" t="s">
        <v>17</v>
      </c>
      <c r="H2806" s="1">
        <v>45940</v>
      </c>
    </row>
    <row r="2807" spans="1:8">
      <c r="A2807" t="s">
        <v>5639</v>
      </c>
      <c r="B2807" t="s">
        <v>5640</v>
      </c>
      <c r="C2807" t="s">
        <v>10</v>
      </c>
      <c r="D2807">
        <v>30</v>
      </c>
      <c r="E2807" t="s">
        <v>112</v>
      </c>
      <c r="F2807" t="s">
        <v>113</v>
      </c>
      <c r="G2807" t="s">
        <v>78</v>
      </c>
      <c r="H2807" s="1">
        <v>45263</v>
      </c>
    </row>
    <row r="2808" spans="1:8">
      <c r="A2808" t="s">
        <v>5641</v>
      </c>
      <c r="B2808" t="s">
        <v>5642</v>
      </c>
      <c r="C2808" t="s">
        <v>31</v>
      </c>
      <c r="D2808">
        <v>50</v>
      </c>
      <c r="E2808" t="s">
        <v>63</v>
      </c>
      <c r="F2808" t="s">
        <v>64</v>
      </c>
      <c r="G2808" t="s">
        <v>12</v>
      </c>
      <c r="H2808" s="1">
        <v>44998</v>
      </c>
    </row>
    <row r="2809" spans="1:8">
      <c r="A2809" t="s">
        <v>5643</v>
      </c>
      <c r="B2809" t="s">
        <v>5644</v>
      </c>
      <c r="C2809" t="s">
        <v>10</v>
      </c>
      <c r="D2809">
        <v>61</v>
      </c>
      <c r="E2809" t="s">
        <v>60</v>
      </c>
      <c r="F2809" t="s">
        <v>21</v>
      </c>
      <c r="G2809" t="s">
        <v>22</v>
      </c>
      <c r="H2809" s="1">
        <v>45528</v>
      </c>
    </row>
    <row r="2810" spans="1:8">
      <c r="A2810" t="s">
        <v>5645</v>
      </c>
      <c r="B2810" t="s">
        <v>5646</v>
      </c>
      <c r="C2810" t="s">
        <v>10</v>
      </c>
      <c r="D2810">
        <v>38</v>
      </c>
      <c r="E2810" t="s">
        <v>60</v>
      </c>
      <c r="F2810" t="s">
        <v>21</v>
      </c>
      <c r="G2810" t="s">
        <v>22</v>
      </c>
      <c r="H2810" s="1">
        <v>44992</v>
      </c>
    </row>
    <row r="2811" spans="1:8">
      <c r="A2811" t="s">
        <v>5647</v>
      </c>
      <c r="B2811" t="s">
        <v>5648</v>
      </c>
      <c r="C2811" t="s">
        <v>10</v>
      </c>
      <c r="D2811">
        <v>57</v>
      </c>
      <c r="E2811" t="s">
        <v>41</v>
      </c>
      <c r="F2811" t="s">
        <v>42</v>
      </c>
      <c r="G2811" t="s">
        <v>17</v>
      </c>
      <c r="H2811" s="1">
        <v>44913</v>
      </c>
    </row>
    <row r="2812" spans="1:8">
      <c r="A2812" t="s">
        <v>5649</v>
      </c>
      <c r="B2812" t="s">
        <v>5650</v>
      </c>
      <c r="C2812" t="s">
        <v>31</v>
      </c>
      <c r="D2812">
        <v>59</v>
      </c>
      <c r="E2812" t="s">
        <v>134</v>
      </c>
      <c r="F2812" t="s">
        <v>28</v>
      </c>
      <c r="G2812" t="s">
        <v>12</v>
      </c>
      <c r="H2812" s="1">
        <v>45619</v>
      </c>
    </row>
    <row r="2813" spans="1:8">
      <c r="A2813" t="s">
        <v>5651</v>
      </c>
      <c r="B2813" t="s">
        <v>5652</v>
      </c>
      <c r="C2813" t="s">
        <v>10</v>
      </c>
      <c r="D2813">
        <v>34</v>
      </c>
      <c r="E2813" t="s">
        <v>69</v>
      </c>
      <c r="F2813" t="s">
        <v>69</v>
      </c>
      <c r="G2813" t="s">
        <v>12</v>
      </c>
      <c r="H2813" s="1">
        <v>45113</v>
      </c>
    </row>
    <row r="2814" spans="1:8">
      <c r="A2814" t="s">
        <v>5653</v>
      </c>
      <c r="B2814" t="s">
        <v>5654</v>
      </c>
      <c r="C2814" t="s">
        <v>10</v>
      </c>
      <c r="D2814">
        <v>37</v>
      </c>
      <c r="E2814" t="s">
        <v>37</v>
      </c>
      <c r="F2814" t="s">
        <v>38</v>
      </c>
      <c r="G2814" t="s">
        <v>22</v>
      </c>
      <c r="H2814" s="1">
        <v>45321</v>
      </c>
    </row>
    <row r="2815" spans="1:8">
      <c r="A2815" t="s">
        <v>5655</v>
      </c>
      <c r="B2815" t="s">
        <v>5656</v>
      </c>
      <c r="C2815" t="s">
        <v>31</v>
      </c>
      <c r="D2815">
        <v>37</v>
      </c>
      <c r="E2815" t="s">
        <v>37</v>
      </c>
      <c r="F2815" t="s">
        <v>38</v>
      </c>
      <c r="G2815" t="s">
        <v>22</v>
      </c>
      <c r="H2815" s="1">
        <v>45207</v>
      </c>
    </row>
    <row r="2816" spans="1:8">
      <c r="A2816" t="s">
        <v>5657</v>
      </c>
      <c r="B2816" t="s">
        <v>5523</v>
      </c>
      <c r="C2816" t="s">
        <v>10</v>
      </c>
      <c r="D2816">
        <v>66</v>
      </c>
      <c r="E2816" t="s">
        <v>149</v>
      </c>
      <c r="F2816" t="s">
        <v>38</v>
      </c>
      <c r="G2816" t="s">
        <v>22</v>
      </c>
      <c r="H2816" s="1">
        <v>45416</v>
      </c>
    </row>
    <row r="2817" spans="1:8">
      <c r="A2817" t="s">
        <v>5658</v>
      </c>
      <c r="B2817" t="s">
        <v>5659</v>
      </c>
      <c r="C2817" t="s">
        <v>31</v>
      </c>
      <c r="D2817">
        <v>59</v>
      </c>
      <c r="E2817" t="s">
        <v>87</v>
      </c>
      <c r="F2817" t="s">
        <v>88</v>
      </c>
      <c r="G2817" t="s">
        <v>78</v>
      </c>
      <c r="H2817" s="1">
        <v>45399</v>
      </c>
    </row>
    <row r="2818" spans="1:8">
      <c r="A2818" t="s">
        <v>5660</v>
      </c>
      <c r="B2818" t="s">
        <v>5661</v>
      </c>
      <c r="C2818" t="s">
        <v>10</v>
      </c>
      <c r="D2818">
        <v>70</v>
      </c>
      <c r="E2818" t="s">
        <v>69</v>
      </c>
      <c r="F2818" t="s">
        <v>69</v>
      </c>
      <c r="G2818" t="s">
        <v>12</v>
      </c>
      <c r="H2818" s="1">
        <v>45123</v>
      </c>
    </row>
    <row r="2819" spans="1:8">
      <c r="A2819" t="s">
        <v>5662</v>
      </c>
      <c r="B2819" t="s">
        <v>5663</v>
      </c>
      <c r="C2819" t="s">
        <v>31</v>
      </c>
      <c r="D2819">
        <v>36</v>
      </c>
      <c r="E2819" t="s">
        <v>63</v>
      </c>
      <c r="F2819" t="s">
        <v>64</v>
      </c>
      <c r="G2819" t="s">
        <v>12</v>
      </c>
      <c r="H2819" s="1">
        <v>45917</v>
      </c>
    </row>
    <row r="2820" spans="1:8">
      <c r="A2820" t="s">
        <v>5664</v>
      </c>
      <c r="B2820" t="s">
        <v>5665</v>
      </c>
      <c r="C2820" t="s">
        <v>31</v>
      </c>
      <c r="D2820">
        <v>68</v>
      </c>
      <c r="E2820" t="s">
        <v>87</v>
      </c>
      <c r="F2820" t="s">
        <v>88</v>
      </c>
      <c r="G2820" t="s">
        <v>78</v>
      </c>
      <c r="H2820" s="1">
        <v>45221</v>
      </c>
    </row>
    <row r="2821" spans="1:8">
      <c r="A2821" t="s">
        <v>5666</v>
      </c>
      <c r="B2821" t="s">
        <v>5667</v>
      </c>
      <c r="C2821" t="s">
        <v>10</v>
      </c>
      <c r="D2821">
        <v>69</v>
      </c>
      <c r="E2821" t="s">
        <v>60</v>
      </c>
      <c r="F2821" t="s">
        <v>21</v>
      </c>
      <c r="G2821" t="s">
        <v>22</v>
      </c>
      <c r="H2821" s="1">
        <v>45708</v>
      </c>
    </row>
    <row r="2822" spans="1:8">
      <c r="A2822" t="s">
        <v>5668</v>
      </c>
      <c r="B2822" t="s">
        <v>5669</v>
      </c>
      <c r="C2822" t="s">
        <v>31</v>
      </c>
      <c r="D2822">
        <v>24</v>
      </c>
      <c r="E2822" t="s">
        <v>218</v>
      </c>
      <c r="F2822" t="s">
        <v>219</v>
      </c>
      <c r="G2822" t="s">
        <v>17</v>
      </c>
      <c r="H2822" s="1">
        <v>45463</v>
      </c>
    </row>
    <row r="2823" spans="1:8">
      <c r="A2823" t="s">
        <v>5670</v>
      </c>
      <c r="B2823" t="s">
        <v>5671</v>
      </c>
      <c r="C2823" t="s">
        <v>31</v>
      </c>
      <c r="D2823">
        <v>64</v>
      </c>
      <c r="E2823" t="s">
        <v>34</v>
      </c>
      <c r="F2823" t="s">
        <v>16</v>
      </c>
      <c r="G2823" t="s">
        <v>17</v>
      </c>
      <c r="H2823" s="1">
        <v>45228</v>
      </c>
    </row>
    <row r="2824" spans="1:8">
      <c r="A2824" t="s">
        <v>5672</v>
      </c>
      <c r="B2824" t="s">
        <v>5673</v>
      </c>
      <c r="C2824" t="s">
        <v>31</v>
      </c>
      <c r="D2824">
        <v>62</v>
      </c>
      <c r="E2824" t="s">
        <v>11</v>
      </c>
      <c r="F2824" t="s">
        <v>11</v>
      </c>
      <c r="G2824" t="s">
        <v>12</v>
      </c>
      <c r="H2824" s="1">
        <v>45912</v>
      </c>
    </row>
    <row r="2825" spans="1:8">
      <c r="A2825" t="s">
        <v>5674</v>
      </c>
      <c r="B2825" t="s">
        <v>5675</v>
      </c>
      <c r="C2825" t="s">
        <v>31</v>
      </c>
      <c r="D2825">
        <v>56</v>
      </c>
      <c r="E2825" t="s">
        <v>112</v>
      </c>
      <c r="F2825" t="s">
        <v>113</v>
      </c>
      <c r="G2825" t="s">
        <v>78</v>
      </c>
      <c r="H2825" s="1">
        <v>45073</v>
      </c>
    </row>
    <row r="2826" spans="1:8">
      <c r="A2826" t="s">
        <v>5676</v>
      </c>
      <c r="B2826" t="s">
        <v>5677</v>
      </c>
      <c r="C2826" t="s">
        <v>10</v>
      </c>
      <c r="D2826">
        <v>58</v>
      </c>
      <c r="E2826" t="s">
        <v>11</v>
      </c>
      <c r="F2826" t="s">
        <v>11</v>
      </c>
      <c r="G2826" t="s">
        <v>12</v>
      </c>
      <c r="H2826" s="1">
        <v>44769</v>
      </c>
    </row>
    <row r="2827" spans="1:8">
      <c r="A2827" t="s">
        <v>5678</v>
      </c>
      <c r="B2827" t="s">
        <v>5679</v>
      </c>
      <c r="C2827" t="s">
        <v>31</v>
      </c>
      <c r="D2827">
        <v>36</v>
      </c>
      <c r="E2827" t="s">
        <v>60</v>
      </c>
      <c r="F2827" t="s">
        <v>21</v>
      </c>
      <c r="G2827" t="s">
        <v>22</v>
      </c>
      <c r="H2827" s="1">
        <v>45318</v>
      </c>
    </row>
    <row r="2828" spans="1:8">
      <c r="A2828" t="s">
        <v>5680</v>
      </c>
      <c r="B2828" t="s">
        <v>5681</v>
      </c>
      <c r="C2828" t="s">
        <v>31</v>
      </c>
      <c r="D2828">
        <v>67</v>
      </c>
      <c r="E2828" t="s">
        <v>34</v>
      </c>
      <c r="F2828" t="s">
        <v>16</v>
      </c>
      <c r="G2828" t="s">
        <v>17</v>
      </c>
      <c r="H2828" s="1">
        <v>44713</v>
      </c>
    </row>
    <row r="2829" spans="1:8">
      <c r="A2829" t="s">
        <v>5682</v>
      </c>
      <c r="B2829" t="s">
        <v>5683</v>
      </c>
      <c r="C2829" t="s">
        <v>31</v>
      </c>
      <c r="D2829">
        <v>54</v>
      </c>
      <c r="E2829" t="s">
        <v>63</v>
      </c>
      <c r="F2829" t="s">
        <v>64</v>
      </c>
      <c r="G2829" t="s">
        <v>12</v>
      </c>
      <c r="H2829" s="1">
        <v>44870</v>
      </c>
    </row>
    <row r="2830" spans="1:8">
      <c r="A2830" t="s">
        <v>5684</v>
      </c>
      <c r="B2830" t="s">
        <v>5685</v>
      </c>
      <c r="C2830" t="s">
        <v>10</v>
      </c>
      <c r="D2830">
        <v>38</v>
      </c>
      <c r="E2830" t="s">
        <v>15</v>
      </c>
      <c r="F2830" t="s">
        <v>16</v>
      </c>
      <c r="G2830" t="s">
        <v>17</v>
      </c>
      <c r="H2830" s="1">
        <v>45459</v>
      </c>
    </row>
    <row r="2831" spans="1:8">
      <c r="A2831" t="s">
        <v>5686</v>
      </c>
      <c r="B2831" t="s">
        <v>5687</v>
      </c>
      <c r="C2831" t="s">
        <v>31</v>
      </c>
      <c r="D2831">
        <v>62</v>
      </c>
      <c r="E2831" t="s">
        <v>37</v>
      </c>
      <c r="F2831" t="s">
        <v>38</v>
      </c>
      <c r="G2831" t="s">
        <v>22</v>
      </c>
      <c r="H2831" s="1">
        <v>45702</v>
      </c>
    </row>
    <row r="2832" spans="1:8">
      <c r="A2832" t="s">
        <v>5688</v>
      </c>
      <c r="B2832" t="s">
        <v>5689</v>
      </c>
      <c r="C2832" t="s">
        <v>31</v>
      </c>
      <c r="D2832">
        <v>41</v>
      </c>
      <c r="E2832" t="s">
        <v>15</v>
      </c>
      <c r="F2832" t="s">
        <v>16</v>
      </c>
      <c r="G2832" t="s">
        <v>17</v>
      </c>
      <c r="H2832" s="1">
        <v>45994</v>
      </c>
    </row>
    <row r="2833" spans="1:8">
      <c r="A2833" t="s">
        <v>5690</v>
      </c>
      <c r="B2833" t="s">
        <v>5691</v>
      </c>
      <c r="C2833" t="s">
        <v>10</v>
      </c>
      <c r="D2833">
        <v>38</v>
      </c>
      <c r="E2833" t="s">
        <v>112</v>
      </c>
      <c r="F2833" t="s">
        <v>113</v>
      </c>
      <c r="G2833" t="s">
        <v>78</v>
      </c>
      <c r="H2833" s="1">
        <v>45001</v>
      </c>
    </row>
    <row r="2834" spans="1:8">
      <c r="A2834" t="s">
        <v>5692</v>
      </c>
      <c r="B2834" t="s">
        <v>5693</v>
      </c>
      <c r="C2834" t="s">
        <v>31</v>
      </c>
      <c r="D2834">
        <v>30</v>
      </c>
      <c r="E2834" t="s">
        <v>149</v>
      </c>
      <c r="F2834" t="s">
        <v>38</v>
      </c>
      <c r="G2834" t="s">
        <v>22</v>
      </c>
      <c r="H2834" s="1">
        <v>45303</v>
      </c>
    </row>
    <row r="2835" spans="1:8">
      <c r="A2835" t="s">
        <v>5694</v>
      </c>
      <c r="B2835" t="s">
        <v>5695</v>
      </c>
      <c r="C2835" t="s">
        <v>10</v>
      </c>
      <c r="D2835">
        <v>26</v>
      </c>
      <c r="E2835" t="s">
        <v>134</v>
      </c>
      <c r="F2835" t="s">
        <v>28</v>
      </c>
      <c r="G2835" t="s">
        <v>12</v>
      </c>
      <c r="H2835" s="1">
        <v>45084</v>
      </c>
    </row>
    <row r="2836" spans="1:8">
      <c r="A2836" t="s">
        <v>5696</v>
      </c>
      <c r="B2836" t="s">
        <v>5697</v>
      </c>
      <c r="C2836" t="s">
        <v>31</v>
      </c>
      <c r="D2836">
        <v>69</v>
      </c>
      <c r="E2836" t="s">
        <v>41</v>
      </c>
      <c r="F2836" t="s">
        <v>42</v>
      </c>
      <c r="G2836" t="s">
        <v>17</v>
      </c>
      <c r="H2836" s="1">
        <v>45437</v>
      </c>
    </row>
    <row r="2837" spans="1:8">
      <c r="A2837" t="s">
        <v>5698</v>
      </c>
      <c r="B2837" t="s">
        <v>5699</v>
      </c>
      <c r="C2837" t="s">
        <v>10</v>
      </c>
      <c r="D2837">
        <v>50</v>
      </c>
      <c r="E2837" t="s">
        <v>20</v>
      </c>
      <c r="F2837" t="s">
        <v>21</v>
      </c>
      <c r="G2837" t="s">
        <v>22</v>
      </c>
      <c r="H2837" s="1">
        <v>45644</v>
      </c>
    </row>
    <row r="2838" spans="1:8">
      <c r="A2838" t="s">
        <v>5700</v>
      </c>
      <c r="B2838" t="s">
        <v>5701</v>
      </c>
      <c r="C2838" t="s">
        <v>10</v>
      </c>
      <c r="D2838">
        <v>50</v>
      </c>
      <c r="E2838" t="s">
        <v>60</v>
      </c>
      <c r="F2838" t="s">
        <v>21</v>
      </c>
      <c r="G2838" t="s">
        <v>22</v>
      </c>
      <c r="H2838" s="1">
        <v>45457</v>
      </c>
    </row>
    <row r="2839" spans="1:8">
      <c r="A2839" t="s">
        <v>5702</v>
      </c>
      <c r="B2839" t="s">
        <v>5703</v>
      </c>
      <c r="C2839" t="s">
        <v>31</v>
      </c>
      <c r="D2839">
        <v>36</v>
      </c>
      <c r="E2839" t="s">
        <v>91</v>
      </c>
      <c r="F2839" t="s">
        <v>92</v>
      </c>
      <c r="G2839" t="s">
        <v>78</v>
      </c>
      <c r="H2839" s="1">
        <v>45665</v>
      </c>
    </row>
    <row r="2840" spans="1:8">
      <c r="A2840" t="s">
        <v>5704</v>
      </c>
      <c r="B2840" t="s">
        <v>5705</v>
      </c>
      <c r="C2840" t="s">
        <v>10</v>
      </c>
      <c r="D2840">
        <v>53</v>
      </c>
      <c r="E2840" t="s">
        <v>20</v>
      </c>
      <c r="F2840" t="s">
        <v>21</v>
      </c>
      <c r="G2840" t="s">
        <v>22</v>
      </c>
      <c r="H2840" s="1">
        <v>44716</v>
      </c>
    </row>
    <row r="2841" spans="1:8">
      <c r="A2841" t="s">
        <v>5706</v>
      </c>
      <c r="B2841" t="s">
        <v>5707</v>
      </c>
      <c r="C2841" t="s">
        <v>10</v>
      </c>
      <c r="D2841">
        <v>54</v>
      </c>
      <c r="E2841" t="s">
        <v>27</v>
      </c>
      <c r="F2841" t="s">
        <v>28</v>
      </c>
      <c r="G2841" t="s">
        <v>12</v>
      </c>
      <c r="H2841" s="1">
        <v>44886</v>
      </c>
    </row>
    <row r="2842" spans="1:8">
      <c r="A2842" t="s">
        <v>5708</v>
      </c>
      <c r="B2842" t="s">
        <v>5709</v>
      </c>
      <c r="C2842" t="s">
        <v>10</v>
      </c>
      <c r="D2842">
        <v>66</v>
      </c>
      <c r="E2842" t="s">
        <v>128</v>
      </c>
      <c r="F2842" t="s">
        <v>129</v>
      </c>
      <c r="G2842" t="s">
        <v>78</v>
      </c>
      <c r="H2842" s="1">
        <v>45893</v>
      </c>
    </row>
    <row r="2843" spans="1:8">
      <c r="A2843" t="s">
        <v>5710</v>
      </c>
      <c r="B2843" t="s">
        <v>5711</v>
      </c>
      <c r="C2843" t="s">
        <v>31</v>
      </c>
      <c r="D2843">
        <v>46</v>
      </c>
      <c r="E2843" t="s">
        <v>41</v>
      </c>
      <c r="F2843" t="s">
        <v>42</v>
      </c>
      <c r="G2843" t="s">
        <v>17</v>
      </c>
      <c r="H2843" s="1">
        <v>45129</v>
      </c>
    </row>
    <row r="2844" spans="1:8">
      <c r="A2844" t="s">
        <v>5712</v>
      </c>
      <c r="B2844" t="s">
        <v>5713</v>
      </c>
      <c r="C2844" t="s">
        <v>31</v>
      </c>
      <c r="D2844">
        <v>22</v>
      </c>
      <c r="E2844" t="s">
        <v>76</v>
      </c>
      <c r="F2844" t="s">
        <v>77</v>
      </c>
      <c r="G2844" t="s">
        <v>78</v>
      </c>
      <c r="H2844" s="1">
        <v>45894</v>
      </c>
    </row>
    <row r="2845" spans="1:8">
      <c r="A2845" t="s">
        <v>5714</v>
      </c>
      <c r="B2845" t="s">
        <v>5715</v>
      </c>
      <c r="C2845" t="s">
        <v>31</v>
      </c>
      <c r="D2845">
        <v>51</v>
      </c>
      <c r="E2845" t="s">
        <v>218</v>
      </c>
      <c r="F2845" t="s">
        <v>219</v>
      </c>
      <c r="G2845" t="s">
        <v>17</v>
      </c>
      <c r="H2845" s="1">
        <v>45257</v>
      </c>
    </row>
    <row r="2846" spans="1:8">
      <c r="A2846" t="s">
        <v>5716</v>
      </c>
      <c r="B2846" t="s">
        <v>5717</v>
      </c>
      <c r="C2846" t="s">
        <v>31</v>
      </c>
      <c r="D2846">
        <v>54</v>
      </c>
      <c r="E2846" t="s">
        <v>69</v>
      </c>
      <c r="F2846" t="s">
        <v>69</v>
      </c>
      <c r="G2846" t="s">
        <v>12</v>
      </c>
      <c r="H2846" s="1">
        <v>44605</v>
      </c>
    </row>
    <row r="2847" spans="1:8">
      <c r="A2847" t="s">
        <v>5718</v>
      </c>
      <c r="B2847" t="s">
        <v>5719</v>
      </c>
      <c r="C2847" t="s">
        <v>10</v>
      </c>
      <c r="D2847">
        <v>18</v>
      </c>
      <c r="E2847" t="s">
        <v>218</v>
      </c>
      <c r="F2847" t="s">
        <v>219</v>
      </c>
      <c r="G2847" t="s">
        <v>17</v>
      </c>
      <c r="H2847" s="1">
        <v>45360</v>
      </c>
    </row>
    <row r="2848" spans="1:8">
      <c r="A2848" t="s">
        <v>5720</v>
      </c>
      <c r="B2848" t="s">
        <v>5721</v>
      </c>
      <c r="C2848" t="s">
        <v>31</v>
      </c>
      <c r="D2848">
        <v>32</v>
      </c>
      <c r="E2848" t="s">
        <v>41</v>
      </c>
      <c r="F2848" t="s">
        <v>42</v>
      </c>
      <c r="G2848" t="s">
        <v>17</v>
      </c>
      <c r="H2848" s="1">
        <v>44870</v>
      </c>
    </row>
    <row r="2849" spans="1:8">
      <c r="A2849" t="s">
        <v>5722</v>
      </c>
      <c r="B2849" t="s">
        <v>5723</v>
      </c>
      <c r="C2849" t="s">
        <v>31</v>
      </c>
      <c r="D2849">
        <v>59</v>
      </c>
      <c r="E2849" t="s">
        <v>134</v>
      </c>
      <c r="F2849" t="s">
        <v>28</v>
      </c>
      <c r="G2849" t="s">
        <v>12</v>
      </c>
      <c r="H2849" s="1">
        <v>45652</v>
      </c>
    </row>
    <row r="2850" spans="1:8">
      <c r="A2850" t="s">
        <v>5724</v>
      </c>
      <c r="B2850" t="s">
        <v>5725</v>
      </c>
      <c r="C2850" t="s">
        <v>10</v>
      </c>
      <c r="D2850">
        <v>30</v>
      </c>
      <c r="E2850" t="s">
        <v>27</v>
      </c>
      <c r="F2850" t="s">
        <v>28</v>
      </c>
      <c r="G2850" t="s">
        <v>12</v>
      </c>
      <c r="H2850" s="1">
        <v>45288</v>
      </c>
    </row>
    <row r="2851" spans="1:8">
      <c r="A2851" t="s">
        <v>5726</v>
      </c>
      <c r="B2851" t="s">
        <v>5727</v>
      </c>
      <c r="C2851" t="s">
        <v>10</v>
      </c>
      <c r="D2851">
        <v>24</v>
      </c>
      <c r="E2851" t="s">
        <v>63</v>
      </c>
      <c r="F2851" t="s">
        <v>64</v>
      </c>
      <c r="G2851" t="s">
        <v>12</v>
      </c>
      <c r="H2851" s="1">
        <v>45193</v>
      </c>
    </row>
    <row r="2852" spans="1:8">
      <c r="A2852" t="s">
        <v>5728</v>
      </c>
      <c r="B2852" t="s">
        <v>5729</v>
      </c>
      <c r="C2852" t="s">
        <v>10</v>
      </c>
      <c r="D2852">
        <v>52</v>
      </c>
      <c r="E2852" t="s">
        <v>218</v>
      </c>
      <c r="F2852" t="s">
        <v>219</v>
      </c>
      <c r="G2852" t="s">
        <v>17</v>
      </c>
      <c r="H2852" s="1">
        <v>44642</v>
      </c>
    </row>
    <row r="2853" spans="1:8">
      <c r="A2853" t="s">
        <v>5730</v>
      </c>
      <c r="B2853" t="s">
        <v>5731</v>
      </c>
      <c r="C2853" t="s">
        <v>31</v>
      </c>
      <c r="D2853">
        <v>32</v>
      </c>
      <c r="E2853" t="s">
        <v>20</v>
      </c>
      <c r="F2853" t="s">
        <v>21</v>
      </c>
      <c r="G2853" t="s">
        <v>22</v>
      </c>
      <c r="H2853" s="1">
        <v>45232</v>
      </c>
    </row>
    <row r="2854" spans="1:8">
      <c r="A2854" t="s">
        <v>5732</v>
      </c>
      <c r="B2854" t="s">
        <v>5733</v>
      </c>
      <c r="C2854" t="s">
        <v>10</v>
      </c>
      <c r="D2854">
        <v>45</v>
      </c>
      <c r="E2854" t="s">
        <v>63</v>
      </c>
      <c r="F2854" t="s">
        <v>64</v>
      </c>
      <c r="G2854" t="s">
        <v>12</v>
      </c>
      <c r="H2854" s="1">
        <v>45182</v>
      </c>
    </row>
    <row r="2855" spans="1:8">
      <c r="A2855" t="s">
        <v>5734</v>
      </c>
      <c r="B2855" t="s">
        <v>5735</v>
      </c>
      <c r="C2855" t="s">
        <v>31</v>
      </c>
      <c r="D2855">
        <v>19</v>
      </c>
      <c r="E2855" t="s">
        <v>76</v>
      </c>
      <c r="F2855" t="s">
        <v>77</v>
      </c>
      <c r="G2855" t="s">
        <v>78</v>
      </c>
      <c r="H2855" s="1">
        <v>45006</v>
      </c>
    </row>
    <row r="2856" spans="1:8">
      <c r="A2856" t="s">
        <v>5736</v>
      </c>
      <c r="B2856" t="s">
        <v>5737</v>
      </c>
      <c r="C2856" t="s">
        <v>31</v>
      </c>
      <c r="D2856">
        <v>19</v>
      </c>
      <c r="E2856" t="s">
        <v>41</v>
      </c>
      <c r="F2856" t="s">
        <v>42</v>
      </c>
      <c r="G2856" t="s">
        <v>17</v>
      </c>
      <c r="H2856" s="1">
        <v>44814</v>
      </c>
    </row>
    <row r="2857" spans="1:8">
      <c r="A2857" t="s">
        <v>5738</v>
      </c>
      <c r="B2857" t="s">
        <v>5739</v>
      </c>
      <c r="C2857" t="s">
        <v>10</v>
      </c>
      <c r="D2857">
        <v>46</v>
      </c>
      <c r="E2857" t="s">
        <v>101</v>
      </c>
      <c r="F2857" t="s">
        <v>21</v>
      </c>
      <c r="G2857" t="s">
        <v>22</v>
      </c>
      <c r="H2857" s="1">
        <v>45341</v>
      </c>
    </row>
    <row r="2858" spans="1:8">
      <c r="A2858" t="s">
        <v>5740</v>
      </c>
      <c r="B2858" t="s">
        <v>5741</v>
      </c>
      <c r="C2858" t="s">
        <v>31</v>
      </c>
      <c r="D2858">
        <v>55</v>
      </c>
      <c r="E2858" t="s">
        <v>101</v>
      </c>
      <c r="F2858" t="s">
        <v>21</v>
      </c>
      <c r="G2858" t="s">
        <v>22</v>
      </c>
      <c r="H2858" s="1">
        <v>44983</v>
      </c>
    </row>
    <row r="2859" spans="1:8">
      <c r="A2859" t="s">
        <v>5742</v>
      </c>
      <c r="B2859" t="s">
        <v>5743</v>
      </c>
      <c r="C2859" t="s">
        <v>10</v>
      </c>
      <c r="D2859">
        <v>28</v>
      </c>
      <c r="E2859" t="s">
        <v>11</v>
      </c>
      <c r="F2859" t="s">
        <v>11</v>
      </c>
      <c r="G2859" t="s">
        <v>12</v>
      </c>
      <c r="H2859" s="1">
        <v>44920</v>
      </c>
    </row>
    <row r="2860" spans="1:8">
      <c r="A2860" t="s">
        <v>5744</v>
      </c>
      <c r="B2860" t="s">
        <v>5745</v>
      </c>
      <c r="C2860" t="s">
        <v>31</v>
      </c>
      <c r="D2860">
        <v>65</v>
      </c>
      <c r="E2860" t="s">
        <v>11</v>
      </c>
      <c r="F2860" t="s">
        <v>11</v>
      </c>
      <c r="G2860" t="s">
        <v>12</v>
      </c>
      <c r="H2860" s="1">
        <v>45563</v>
      </c>
    </row>
    <row r="2861" spans="1:8">
      <c r="A2861" t="s">
        <v>5746</v>
      </c>
      <c r="B2861" t="s">
        <v>5747</v>
      </c>
      <c r="C2861" t="s">
        <v>10</v>
      </c>
      <c r="D2861">
        <v>23</v>
      </c>
      <c r="E2861" t="s">
        <v>112</v>
      </c>
      <c r="F2861" t="s">
        <v>113</v>
      </c>
      <c r="G2861" t="s">
        <v>78</v>
      </c>
      <c r="H2861" s="1">
        <v>44953</v>
      </c>
    </row>
    <row r="2862" spans="1:8">
      <c r="A2862" t="s">
        <v>5748</v>
      </c>
      <c r="B2862" t="s">
        <v>5749</v>
      </c>
      <c r="C2862" t="s">
        <v>31</v>
      </c>
      <c r="D2862">
        <v>50</v>
      </c>
      <c r="E2862" t="s">
        <v>134</v>
      </c>
      <c r="F2862" t="s">
        <v>28</v>
      </c>
      <c r="G2862" t="s">
        <v>12</v>
      </c>
      <c r="H2862" s="1">
        <v>45540</v>
      </c>
    </row>
    <row r="2863" spans="1:8">
      <c r="A2863" t="s">
        <v>5750</v>
      </c>
      <c r="B2863" t="s">
        <v>5751</v>
      </c>
      <c r="C2863" t="s">
        <v>10</v>
      </c>
      <c r="D2863">
        <v>42</v>
      </c>
      <c r="E2863" t="s">
        <v>41</v>
      </c>
      <c r="F2863" t="s">
        <v>42</v>
      </c>
      <c r="G2863" t="s">
        <v>17</v>
      </c>
      <c r="H2863" s="1">
        <v>44595</v>
      </c>
    </row>
    <row r="2864" spans="1:8">
      <c r="A2864" t="s">
        <v>5752</v>
      </c>
      <c r="B2864" t="s">
        <v>5753</v>
      </c>
      <c r="C2864" t="s">
        <v>31</v>
      </c>
      <c r="D2864">
        <v>41</v>
      </c>
      <c r="E2864" t="s">
        <v>69</v>
      </c>
      <c r="F2864" t="s">
        <v>69</v>
      </c>
      <c r="G2864" t="s">
        <v>12</v>
      </c>
      <c r="H2864" s="1">
        <v>44766</v>
      </c>
    </row>
    <row r="2865" spans="1:8">
      <c r="A2865" t="s">
        <v>5754</v>
      </c>
      <c r="B2865" t="s">
        <v>5755</v>
      </c>
      <c r="C2865" t="s">
        <v>31</v>
      </c>
      <c r="D2865">
        <v>32</v>
      </c>
      <c r="E2865" t="s">
        <v>87</v>
      </c>
      <c r="F2865" t="s">
        <v>88</v>
      </c>
      <c r="G2865" t="s">
        <v>78</v>
      </c>
      <c r="H2865" s="1">
        <v>45451</v>
      </c>
    </row>
    <row r="2866" spans="1:8">
      <c r="A2866" t="s">
        <v>5756</v>
      </c>
      <c r="B2866" t="s">
        <v>5757</v>
      </c>
      <c r="C2866" t="s">
        <v>31</v>
      </c>
      <c r="D2866">
        <v>48</v>
      </c>
      <c r="E2866" t="s">
        <v>87</v>
      </c>
      <c r="F2866" t="s">
        <v>88</v>
      </c>
      <c r="G2866" t="s">
        <v>78</v>
      </c>
      <c r="H2866" s="1">
        <v>45894</v>
      </c>
    </row>
    <row r="2867" spans="1:8">
      <c r="A2867" t="s">
        <v>5758</v>
      </c>
      <c r="B2867" t="s">
        <v>5759</v>
      </c>
      <c r="C2867" t="s">
        <v>31</v>
      </c>
      <c r="D2867">
        <v>20</v>
      </c>
      <c r="E2867" t="s">
        <v>45</v>
      </c>
      <c r="F2867" t="s">
        <v>46</v>
      </c>
      <c r="G2867" t="s">
        <v>17</v>
      </c>
      <c r="H2867" s="1">
        <v>45887</v>
      </c>
    </row>
    <row r="2868" spans="1:8">
      <c r="A2868" t="s">
        <v>5760</v>
      </c>
      <c r="B2868" t="s">
        <v>5761</v>
      </c>
      <c r="C2868" t="s">
        <v>10</v>
      </c>
      <c r="D2868">
        <v>26</v>
      </c>
      <c r="E2868" t="s">
        <v>34</v>
      </c>
      <c r="F2868" t="s">
        <v>16</v>
      </c>
      <c r="G2868" t="s">
        <v>17</v>
      </c>
      <c r="H2868" s="1">
        <v>44925</v>
      </c>
    </row>
    <row r="2869" spans="1:8">
      <c r="A2869" t="s">
        <v>5762</v>
      </c>
      <c r="B2869" t="s">
        <v>5763</v>
      </c>
      <c r="C2869" t="s">
        <v>31</v>
      </c>
      <c r="D2869">
        <v>66</v>
      </c>
      <c r="E2869" t="s">
        <v>101</v>
      </c>
      <c r="F2869" t="s">
        <v>21</v>
      </c>
      <c r="G2869" t="s">
        <v>22</v>
      </c>
      <c r="H2869" s="1">
        <v>45985</v>
      </c>
    </row>
    <row r="2870" spans="1:8">
      <c r="A2870" t="s">
        <v>5764</v>
      </c>
      <c r="B2870" t="s">
        <v>5765</v>
      </c>
      <c r="C2870" t="s">
        <v>31</v>
      </c>
      <c r="D2870">
        <v>41</v>
      </c>
      <c r="E2870" t="s">
        <v>218</v>
      </c>
      <c r="F2870" t="s">
        <v>219</v>
      </c>
      <c r="G2870" t="s">
        <v>17</v>
      </c>
      <c r="H2870" s="1">
        <v>44991</v>
      </c>
    </row>
    <row r="2871" spans="1:8">
      <c r="A2871" t="s">
        <v>5766</v>
      </c>
      <c r="B2871" t="s">
        <v>5767</v>
      </c>
      <c r="C2871" t="s">
        <v>10</v>
      </c>
      <c r="D2871">
        <v>29</v>
      </c>
      <c r="E2871" t="s">
        <v>63</v>
      </c>
      <c r="F2871" t="s">
        <v>64</v>
      </c>
      <c r="G2871" t="s">
        <v>12</v>
      </c>
      <c r="H2871" s="1">
        <v>45420</v>
      </c>
    </row>
    <row r="2872" spans="1:8">
      <c r="A2872" t="s">
        <v>5768</v>
      </c>
      <c r="B2872" t="s">
        <v>5769</v>
      </c>
      <c r="C2872" t="s">
        <v>10</v>
      </c>
      <c r="D2872">
        <v>41</v>
      </c>
      <c r="E2872" t="s">
        <v>76</v>
      </c>
      <c r="F2872" t="s">
        <v>77</v>
      </c>
      <c r="G2872" t="s">
        <v>78</v>
      </c>
      <c r="H2872" s="1">
        <v>45931</v>
      </c>
    </row>
    <row r="2873" spans="1:8">
      <c r="A2873" t="s">
        <v>5770</v>
      </c>
      <c r="B2873" t="s">
        <v>2418</v>
      </c>
      <c r="C2873" t="s">
        <v>10</v>
      </c>
      <c r="D2873">
        <v>49</v>
      </c>
      <c r="E2873" t="s">
        <v>87</v>
      </c>
      <c r="F2873" t="s">
        <v>88</v>
      </c>
      <c r="G2873" t="s">
        <v>78</v>
      </c>
      <c r="H2873" s="1">
        <v>44894</v>
      </c>
    </row>
    <row r="2874" spans="1:8">
      <c r="A2874" t="s">
        <v>5771</v>
      </c>
      <c r="B2874" t="s">
        <v>5772</v>
      </c>
      <c r="C2874" t="s">
        <v>31</v>
      </c>
      <c r="D2874">
        <v>34</v>
      </c>
      <c r="E2874" t="s">
        <v>41</v>
      </c>
      <c r="F2874" t="s">
        <v>42</v>
      </c>
      <c r="G2874" t="s">
        <v>17</v>
      </c>
      <c r="H2874" s="1">
        <v>45842</v>
      </c>
    </row>
    <row r="2875" spans="1:8">
      <c r="A2875" t="s">
        <v>5773</v>
      </c>
      <c r="B2875" t="s">
        <v>5774</v>
      </c>
      <c r="C2875" t="s">
        <v>31</v>
      </c>
      <c r="D2875">
        <v>19</v>
      </c>
      <c r="E2875" t="s">
        <v>11</v>
      </c>
      <c r="F2875" t="s">
        <v>11</v>
      </c>
      <c r="G2875" t="s">
        <v>12</v>
      </c>
      <c r="H2875" s="1">
        <v>44614</v>
      </c>
    </row>
    <row r="2876" spans="1:8">
      <c r="A2876" t="s">
        <v>5775</v>
      </c>
      <c r="B2876" t="s">
        <v>5776</v>
      </c>
      <c r="C2876" t="s">
        <v>31</v>
      </c>
      <c r="D2876">
        <v>20</v>
      </c>
      <c r="E2876" t="s">
        <v>87</v>
      </c>
      <c r="F2876" t="s">
        <v>88</v>
      </c>
      <c r="G2876" t="s">
        <v>78</v>
      </c>
      <c r="H2876" s="1">
        <v>44857</v>
      </c>
    </row>
    <row r="2877" spans="1:8">
      <c r="A2877" t="s">
        <v>5777</v>
      </c>
      <c r="B2877" t="s">
        <v>5778</v>
      </c>
      <c r="C2877" t="s">
        <v>10</v>
      </c>
      <c r="D2877">
        <v>28</v>
      </c>
      <c r="E2877" t="s">
        <v>60</v>
      </c>
      <c r="F2877" t="s">
        <v>21</v>
      </c>
      <c r="G2877" t="s">
        <v>22</v>
      </c>
      <c r="H2877" s="1">
        <v>45637</v>
      </c>
    </row>
    <row r="2878" spans="1:8">
      <c r="A2878" t="s">
        <v>5779</v>
      </c>
      <c r="B2878" t="s">
        <v>5780</v>
      </c>
      <c r="C2878" t="s">
        <v>10</v>
      </c>
      <c r="D2878">
        <v>44</v>
      </c>
      <c r="E2878" t="s">
        <v>45</v>
      </c>
      <c r="F2878" t="s">
        <v>46</v>
      </c>
      <c r="G2878" t="s">
        <v>17</v>
      </c>
      <c r="H2878" s="1">
        <v>45018</v>
      </c>
    </row>
    <row r="2879" spans="1:8">
      <c r="A2879" t="s">
        <v>5781</v>
      </c>
      <c r="B2879" t="s">
        <v>5782</v>
      </c>
      <c r="C2879" t="s">
        <v>31</v>
      </c>
      <c r="D2879">
        <v>44</v>
      </c>
      <c r="E2879" t="s">
        <v>87</v>
      </c>
      <c r="F2879" t="s">
        <v>88</v>
      </c>
      <c r="G2879" t="s">
        <v>78</v>
      </c>
      <c r="H2879" s="1">
        <v>45536</v>
      </c>
    </row>
    <row r="2880" spans="1:8">
      <c r="A2880" t="s">
        <v>5783</v>
      </c>
      <c r="B2880" t="s">
        <v>5784</v>
      </c>
      <c r="C2880" t="s">
        <v>10</v>
      </c>
      <c r="D2880">
        <v>56</v>
      </c>
      <c r="E2880" t="s">
        <v>128</v>
      </c>
      <c r="F2880" t="s">
        <v>129</v>
      </c>
      <c r="G2880" t="s">
        <v>78</v>
      </c>
      <c r="H2880" s="1">
        <v>45463</v>
      </c>
    </row>
    <row r="2881" spans="1:8">
      <c r="A2881" t="s">
        <v>5785</v>
      </c>
      <c r="B2881" t="s">
        <v>5786</v>
      </c>
      <c r="C2881" t="s">
        <v>31</v>
      </c>
      <c r="D2881">
        <v>48</v>
      </c>
      <c r="E2881" t="s">
        <v>11</v>
      </c>
      <c r="F2881" t="s">
        <v>11</v>
      </c>
      <c r="G2881" t="s">
        <v>12</v>
      </c>
      <c r="H2881" s="1">
        <v>45199</v>
      </c>
    </row>
    <row r="2882" spans="1:8">
      <c r="A2882" t="s">
        <v>5787</v>
      </c>
      <c r="B2882" t="s">
        <v>5788</v>
      </c>
      <c r="C2882" t="s">
        <v>31</v>
      </c>
      <c r="D2882">
        <v>60</v>
      </c>
      <c r="E2882" t="s">
        <v>91</v>
      </c>
      <c r="F2882" t="s">
        <v>92</v>
      </c>
      <c r="G2882" t="s">
        <v>78</v>
      </c>
      <c r="H2882" s="1">
        <v>44824</v>
      </c>
    </row>
    <row r="2883" spans="1:8">
      <c r="A2883" t="s">
        <v>5789</v>
      </c>
      <c r="B2883" t="s">
        <v>5790</v>
      </c>
      <c r="C2883" t="s">
        <v>10</v>
      </c>
      <c r="D2883">
        <v>48</v>
      </c>
      <c r="E2883" t="s">
        <v>60</v>
      </c>
      <c r="F2883" t="s">
        <v>21</v>
      </c>
      <c r="G2883" t="s">
        <v>22</v>
      </c>
      <c r="H2883" s="1">
        <v>45930</v>
      </c>
    </row>
    <row r="2884" spans="1:8">
      <c r="A2884" t="s">
        <v>5791</v>
      </c>
      <c r="B2884" t="s">
        <v>5792</v>
      </c>
      <c r="C2884" t="s">
        <v>10</v>
      </c>
      <c r="D2884">
        <v>32</v>
      </c>
      <c r="E2884" t="s">
        <v>60</v>
      </c>
      <c r="F2884" t="s">
        <v>21</v>
      </c>
      <c r="G2884" t="s">
        <v>22</v>
      </c>
      <c r="H2884" s="1">
        <v>44963</v>
      </c>
    </row>
    <row r="2885" spans="1:8">
      <c r="A2885" t="s">
        <v>5793</v>
      </c>
      <c r="B2885" t="s">
        <v>5794</v>
      </c>
      <c r="C2885" t="s">
        <v>10</v>
      </c>
      <c r="D2885">
        <v>65</v>
      </c>
      <c r="E2885" t="s">
        <v>101</v>
      </c>
      <c r="F2885" t="s">
        <v>21</v>
      </c>
      <c r="G2885" t="s">
        <v>22</v>
      </c>
      <c r="H2885" s="1">
        <v>45023</v>
      </c>
    </row>
    <row r="2886" spans="1:8">
      <c r="A2886" t="s">
        <v>5795</v>
      </c>
      <c r="B2886" t="s">
        <v>5796</v>
      </c>
      <c r="C2886" t="s">
        <v>10</v>
      </c>
      <c r="D2886">
        <v>33</v>
      </c>
      <c r="E2886" t="s">
        <v>41</v>
      </c>
      <c r="F2886" t="s">
        <v>42</v>
      </c>
      <c r="G2886" t="s">
        <v>17</v>
      </c>
      <c r="H2886" s="1">
        <v>45140</v>
      </c>
    </row>
    <row r="2887" spans="1:8">
      <c r="A2887" t="s">
        <v>5797</v>
      </c>
      <c r="B2887" t="s">
        <v>5798</v>
      </c>
      <c r="C2887" t="s">
        <v>31</v>
      </c>
      <c r="D2887">
        <v>39</v>
      </c>
      <c r="E2887" t="s">
        <v>34</v>
      </c>
      <c r="F2887" t="s">
        <v>16</v>
      </c>
      <c r="G2887" t="s">
        <v>17</v>
      </c>
      <c r="H2887" s="1">
        <v>45912</v>
      </c>
    </row>
    <row r="2888" spans="1:8">
      <c r="A2888" t="s">
        <v>5799</v>
      </c>
      <c r="B2888" t="s">
        <v>5800</v>
      </c>
      <c r="C2888" t="s">
        <v>31</v>
      </c>
      <c r="D2888">
        <v>66</v>
      </c>
      <c r="E2888" t="s">
        <v>69</v>
      </c>
      <c r="F2888" t="s">
        <v>69</v>
      </c>
      <c r="G2888" t="s">
        <v>12</v>
      </c>
      <c r="H2888" s="1">
        <v>45930</v>
      </c>
    </row>
    <row r="2889" spans="1:8">
      <c r="A2889" t="s">
        <v>5801</v>
      </c>
      <c r="B2889" t="s">
        <v>5802</v>
      </c>
      <c r="C2889" t="s">
        <v>31</v>
      </c>
      <c r="D2889">
        <v>60</v>
      </c>
      <c r="E2889" t="s">
        <v>91</v>
      </c>
      <c r="F2889" t="s">
        <v>92</v>
      </c>
      <c r="G2889" t="s">
        <v>78</v>
      </c>
      <c r="H2889" s="1">
        <v>45426</v>
      </c>
    </row>
    <row r="2890" spans="1:8">
      <c r="A2890" t="s">
        <v>5803</v>
      </c>
      <c r="B2890" t="s">
        <v>5804</v>
      </c>
      <c r="C2890" t="s">
        <v>10</v>
      </c>
      <c r="D2890">
        <v>68</v>
      </c>
      <c r="E2890" t="s">
        <v>15</v>
      </c>
      <c r="F2890" t="s">
        <v>16</v>
      </c>
      <c r="G2890" t="s">
        <v>17</v>
      </c>
      <c r="H2890" s="1">
        <v>45350</v>
      </c>
    </row>
    <row r="2891" spans="1:8">
      <c r="A2891" t="s">
        <v>5805</v>
      </c>
      <c r="B2891" t="s">
        <v>5806</v>
      </c>
      <c r="C2891" t="s">
        <v>10</v>
      </c>
      <c r="D2891">
        <v>58</v>
      </c>
      <c r="E2891" t="s">
        <v>34</v>
      </c>
      <c r="F2891" t="s">
        <v>16</v>
      </c>
      <c r="G2891" t="s">
        <v>17</v>
      </c>
      <c r="H2891" s="1">
        <v>44591</v>
      </c>
    </row>
    <row r="2892" spans="1:8">
      <c r="A2892" t="s">
        <v>5807</v>
      </c>
      <c r="B2892" t="s">
        <v>5808</v>
      </c>
      <c r="C2892" t="s">
        <v>31</v>
      </c>
      <c r="D2892">
        <v>38</v>
      </c>
      <c r="E2892" t="s">
        <v>34</v>
      </c>
      <c r="F2892" t="s">
        <v>16</v>
      </c>
      <c r="G2892" t="s">
        <v>17</v>
      </c>
      <c r="H2892" s="1">
        <v>44893</v>
      </c>
    </row>
    <row r="2893" spans="1:8">
      <c r="A2893" t="s">
        <v>5809</v>
      </c>
      <c r="B2893" t="s">
        <v>5810</v>
      </c>
      <c r="C2893" t="s">
        <v>31</v>
      </c>
      <c r="D2893">
        <v>30</v>
      </c>
      <c r="E2893" t="s">
        <v>41</v>
      </c>
      <c r="F2893" t="s">
        <v>42</v>
      </c>
      <c r="G2893" t="s">
        <v>17</v>
      </c>
      <c r="H2893" s="1">
        <v>45552</v>
      </c>
    </row>
    <row r="2894" spans="1:8">
      <c r="A2894" t="s">
        <v>5811</v>
      </c>
      <c r="B2894" t="s">
        <v>5812</v>
      </c>
      <c r="C2894" t="s">
        <v>31</v>
      </c>
      <c r="D2894">
        <v>31</v>
      </c>
      <c r="E2894" t="s">
        <v>27</v>
      </c>
      <c r="F2894" t="s">
        <v>28</v>
      </c>
      <c r="G2894" t="s">
        <v>12</v>
      </c>
      <c r="H2894" s="1">
        <v>45392</v>
      </c>
    </row>
    <row r="2895" spans="1:8">
      <c r="A2895" t="s">
        <v>5813</v>
      </c>
      <c r="B2895" t="s">
        <v>5814</v>
      </c>
      <c r="C2895" t="s">
        <v>31</v>
      </c>
      <c r="D2895">
        <v>25</v>
      </c>
      <c r="E2895" t="s">
        <v>37</v>
      </c>
      <c r="F2895" t="s">
        <v>38</v>
      </c>
      <c r="G2895" t="s">
        <v>22</v>
      </c>
      <c r="H2895" s="1">
        <v>45679</v>
      </c>
    </row>
    <row r="2896" spans="1:8">
      <c r="A2896" t="s">
        <v>5815</v>
      </c>
      <c r="B2896" t="s">
        <v>5816</v>
      </c>
      <c r="C2896" t="s">
        <v>31</v>
      </c>
      <c r="D2896">
        <v>29</v>
      </c>
      <c r="E2896" t="s">
        <v>27</v>
      </c>
      <c r="F2896" t="s">
        <v>28</v>
      </c>
      <c r="G2896" t="s">
        <v>12</v>
      </c>
      <c r="H2896" s="1">
        <v>45252</v>
      </c>
    </row>
    <row r="2897" spans="1:8">
      <c r="A2897" t="s">
        <v>5817</v>
      </c>
      <c r="B2897" t="s">
        <v>5818</v>
      </c>
      <c r="C2897" t="s">
        <v>31</v>
      </c>
      <c r="D2897">
        <v>60</v>
      </c>
      <c r="E2897" t="s">
        <v>41</v>
      </c>
      <c r="F2897" t="s">
        <v>42</v>
      </c>
      <c r="G2897" t="s">
        <v>17</v>
      </c>
      <c r="H2897" s="1">
        <v>45686</v>
      </c>
    </row>
    <row r="2898" spans="1:8">
      <c r="A2898" t="s">
        <v>5819</v>
      </c>
      <c r="B2898" t="s">
        <v>5820</v>
      </c>
      <c r="C2898" t="s">
        <v>31</v>
      </c>
      <c r="D2898">
        <v>22</v>
      </c>
      <c r="E2898" t="s">
        <v>45</v>
      </c>
      <c r="F2898" t="s">
        <v>46</v>
      </c>
      <c r="G2898" t="s">
        <v>17</v>
      </c>
      <c r="H2898" s="1">
        <v>45625</v>
      </c>
    </row>
    <row r="2899" spans="1:8">
      <c r="A2899" t="s">
        <v>5821</v>
      </c>
      <c r="B2899" t="s">
        <v>5822</v>
      </c>
      <c r="C2899" t="s">
        <v>10</v>
      </c>
      <c r="D2899">
        <v>52</v>
      </c>
      <c r="E2899" t="s">
        <v>69</v>
      </c>
      <c r="F2899" t="s">
        <v>69</v>
      </c>
      <c r="G2899" t="s">
        <v>12</v>
      </c>
      <c r="H2899" s="1">
        <v>45877</v>
      </c>
    </row>
    <row r="2900" spans="1:8">
      <c r="A2900" t="s">
        <v>5823</v>
      </c>
      <c r="B2900" t="s">
        <v>5824</v>
      </c>
      <c r="C2900" t="s">
        <v>10</v>
      </c>
      <c r="D2900">
        <v>25</v>
      </c>
      <c r="E2900" t="s">
        <v>34</v>
      </c>
      <c r="F2900" t="s">
        <v>16</v>
      </c>
      <c r="G2900" t="s">
        <v>17</v>
      </c>
      <c r="H2900" s="1">
        <v>45498</v>
      </c>
    </row>
    <row r="2901" spans="1:8">
      <c r="A2901" t="s">
        <v>5825</v>
      </c>
      <c r="B2901" t="s">
        <v>5826</v>
      </c>
      <c r="C2901" t="s">
        <v>31</v>
      </c>
      <c r="D2901">
        <v>37</v>
      </c>
      <c r="E2901" t="s">
        <v>37</v>
      </c>
      <c r="F2901" t="s">
        <v>38</v>
      </c>
      <c r="G2901" t="s">
        <v>22</v>
      </c>
      <c r="H2901" s="1">
        <v>44820</v>
      </c>
    </row>
    <row r="2902" spans="1:8">
      <c r="A2902" t="s">
        <v>5827</v>
      </c>
      <c r="B2902" t="s">
        <v>5828</v>
      </c>
      <c r="C2902" t="s">
        <v>10</v>
      </c>
      <c r="D2902">
        <v>43</v>
      </c>
      <c r="E2902" t="s">
        <v>60</v>
      </c>
      <c r="F2902" t="s">
        <v>21</v>
      </c>
      <c r="G2902" t="s">
        <v>22</v>
      </c>
      <c r="H2902" s="1">
        <v>44731</v>
      </c>
    </row>
    <row r="2903" spans="1:8">
      <c r="A2903" t="s">
        <v>5829</v>
      </c>
      <c r="B2903" t="s">
        <v>5830</v>
      </c>
      <c r="C2903" t="s">
        <v>10</v>
      </c>
      <c r="D2903">
        <v>61</v>
      </c>
      <c r="E2903" t="s">
        <v>128</v>
      </c>
      <c r="F2903" t="s">
        <v>129</v>
      </c>
      <c r="G2903" t="s">
        <v>78</v>
      </c>
      <c r="H2903" s="1">
        <v>44961</v>
      </c>
    </row>
    <row r="2904" spans="1:8">
      <c r="A2904" t="s">
        <v>5831</v>
      </c>
      <c r="B2904" t="s">
        <v>5832</v>
      </c>
      <c r="C2904" t="s">
        <v>31</v>
      </c>
      <c r="D2904">
        <v>51</v>
      </c>
      <c r="E2904" t="s">
        <v>15</v>
      </c>
      <c r="F2904" t="s">
        <v>16</v>
      </c>
      <c r="G2904" t="s">
        <v>17</v>
      </c>
      <c r="H2904" s="1">
        <v>44968</v>
      </c>
    </row>
    <row r="2905" spans="1:8">
      <c r="A2905" t="s">
        <v>5833</v>
      </c>
      <c r="B2905" t="s">
        <v>5834</v>
      </c>
      <c r="C2905" t="s">
        <v>10</v>
      </c>
      <c r="D2905">
        <v>69</v>
      </c>
      <c r="E2905" t="s">
        <v>63</v>
      </c>
      <c r="F2905" t="s">
        <v>64</v>
      </c>
      <c r="G2905" t="s">
        <v>12</v>
      </c>
      <c r="H2905" s="1">
        <v>45714</v>
      </c>
    </row>
    <row r="2906" spans="1:8">
      <c r="A2906" t="s">
        <v>5835</v>
      </c>
      <c r="B2906" t="s">
        <v>5836</v>
      </c>
      <c r="C2906" t="s">
        <v>10</v>
      </c>
      <c r="D2906">
        <v>41</v>
      </c>
      <c r="E2906" t="s">
        <v>60</v>
      </c>
      <c r="F2906" t="s">
        <v>21</v>
      </c>
      <c r="G2906" t="s">
        <v>22</v>
      </c>
      <c r="H2906" s="1">
        <v>45033</v>
      </c>
    </row>
    <row r="2907" spans="1:8">
      <c r="A2907" t="s">
        <v>5837</v>
      </c>
      <c r="B2907" t="s">
        <v>5838</v>
      </c>
      <c r="C2907" t="s">
        <v>10</v>
      </c>
      <c r="D2907">
        <v>66</v>
      </c>
      <c r="E2907" t="s">
        <v>34</v>
      </c>
      <c r="F2907" t="s">
        <v>16</v>
      </c>
      <c r="G2907" t="s">
        <v>17</v>
      </c>
      <c r="H2907" s="1">
        <v>45862</v>
      </c>
    </row>
    <row r="2908" spans="1:8">
      <c r="A2908" t="s">
        <v>5839</v>
      </c>
      <c r="B2908" t="s">
        <v>5840</v>
      </c>
      <c r="C2908" t="s">
        <v>31</v>
      </c>
      <c r="D2908">
        <v>30</v>
      </c>
      <c r="E2908" t="s">
        <v>27</v>
      </c>
      <c r="F2908" t="s">
        <v>28</v>
      </c>
      <c r="G2908" t="s">
        <v>12</v>
      </c>
      <c r="H2908" s="1">
        <v>45810</v>
      </c>
    </row>
    <row r="2909" spans="1:8">
      <c r="A2909" t="s">
        <v>5841</v>
      </c>
      <c r="B2909" t="s">
        <v>5842</v>
      </c>
      <c r="C2909" t="s">
        <v>31</v>
      </c>
      <c r="D2909">
        <v>51</v>
      </c>
      <c r="E2909" t="s">
        <v>41</v>
      </c>
      <c r="F2909" t="s">
        <v>42</v>
      </c>
      <c r="G2909" t="s">
        <v>17</v>
      </c>
      <c r="H2909" s="1">
        <v>45169</v>
      </c>
    </row>
    <row r="2910" spans="1:8">
      <c r="A2910" t="s">
        <v>5843</v>
      </c>
      <c r="B2910" t="s">
        <v>5844</v>
      </c>
      <c r="C2910" t="s">
        <v>31</v>
      </c>
      <c r="D2910">
        <v>26</v>
      </c>
      <c r="E2910" t="s">
        <v>112</v>
      </c>
      <c r="F2910" t="s">
        <v>113</v>
      </c>
      <c r="G2910" t="s">
        <v>78</v>
      </c>
      <c r="H2910" s="1">
        <v>45520</v>
      </c>
    </row>
    <row r="2911" spans="1:8">
      <c r="A2911" t="s">
        <v>5845</v>
      </c>
      <c r="B2911" t="s">
        <v>5846</v>
      </c>
      <c r="C2911" t="s">
        <v>10</v>
      </c>
      <c r="D2911">
        <v>34</v>
      </c>
      <c r="E2911" t="s">
        <v>134</v>
      </c>
      <c r="F2911" t="s">
        <v>28</v>
      </c>
      <c r="G2911" t="s">
        <v>12</v>
      </c>
      <c r="H2911" s="1">
        <v>44562</v>
      </c>
    </row>
    <row r="2912" spans="1:8">
      <c r="A2912" t="s">
        <v>5847</v>
      </c>
      <c r="B2912" t="s">
        <v>5848</v>
      </c>
      <c r="C2912" t="s">
        <v>10</v>
      </c>
      <c r="D2912">
        <v>21</v>
      </c>
      <c r="E2912" t="s">
        <v>134</v>
      </c>
      <c r="F2912" t="s">
        <v>28</v>
      </c>
      <c r="G2912" t="s">
        <v>12</v>
      </c>
      <c r="H2912" s="1">
        <v>44989</v>
      </c>
    </row>
    <row r="2913" spans="1:8">
      <c r="A2913" t="s">
        <v>5849</v>
      </c>
      <c r="B2913" t="s">
        <v>5850</v>
      </c>
      <c r="C2913" t="s">
        <v>31</v>
      </c>
      <c r="D2913">
        <v>70</v>
      </c>
      <c r="E2913" t="s">
        <v>63</v>
      </c>
      <c r="F2913" t="s">
        <v>64</v>
      </c>
      <c r="G2913" t="s">
        <v>12</v>
      </c>
      <c r="H2913" s="1">
        <v>44856</v>
      </c>
    </row>
    <row r="2914" spans="1:8">
      <c r="A2914" t="s">
        <v>5851</v>
      </c>
      <c r="B2914" t="s">
        <v>5852</v>
      </c>
      <c r="C2914" t="s">
        <v>10</v>
      </c>
      <c r="D2914">
        <v>59</v>
      </c>
      <c r="E2914" t="s">
        <v>34</v>
      </c>
      <c r="F2914" t="s">
        <v>16</v>
      </c>
      <c r="G2914" t="s">
        <v>17</v>
      </c>
      <c r="H2914" s="1">
        <v>45363</v>
      </c>
    </row>
    <row r="2915" spans="1:8">
      <c r="A2915" t="s">
        <v>5853</v>
      </c>
      <c r="B2915" t="s">
        <v>5854</v>
      </c>
      <c r="C2915" t="s">
        <v>10</v>
      </c>
      <c r="D2915">
        <v>40</v>
      </c>
      <c r="E2915" t="s">
        <v>60</v>
      </c>
      <c r="F2915" t="s">
        <v>21</v>
      </c>
      <c r="G2915" t="s">
        <v>22</v>
      </c>
      <c r="H2915" s="1">
        <v>44958</v>
      </c>
    </row>
    <row r="2916" spans="1:8">
      <c r="A2916" t="s">
        <v>5855</v>
      </c>
      <c r="B2916" t="s">
        <v>5856</v>
      </c>
      <c r="C2916" t="s">
        <v>31</v>
      </c>
      <c r="D2916">
        <v>25</v>
      </c>
      <c r="E2916" t="s">
        <v>45</v>
      </c>
      <c r="F2916" t="s">
        <v>46</v>
      </c>
      <c r="G2916" t="s">
        <v>17</v>
      </c>
      <c r="H2916" s="1">
        <v>44849</v>
      </c>
    </row>
    <row r="2917" spans="1:8">
      <c r="A2917" t="s">
        <v>5857</v>
      </c>
      <c r="B2917" t="s">
        <v>5858</v>
      </c>
      <c r="C2917" t="s">
        <v>10</v>
      </c>
      <c r="D2917">
        <v>31</v>
      </c>
      <c r="E2917" t="s">
        <v>27</v>
      </c>
      <c r="F2917" t="s">
        <v>28</v>
      </c>
      <c r="G2917" t="s">
        <v>12</v>
      </c>
      <c r="H2917" s="1">
        <v>45938</v>
      </c>
    </row>
    <row r="2918" spans="1:8">
      <c r="A2918" t="s">
        <v>5859</v>
      </c>
      <c r="B2918" t="s">
        <v>5860</v>
      </c>
      <c r="C2918" t="s">
        <v>10</v>
      </c>
      <c r="D2918">
        <v>58</v>
      </c>
      <c r="E2918" t="s">
        <v>37</v>
      </c>
      <c r="F2918" t="s">
        <v>38</v>
      </c>
      <c r="G2918" t="s">
        <v>22</v>
      </c>
      <c r="H2918" s="1">
        <v>45232</v>
      </c>
    </row>
    <row r="2919" spans="1:8">
      <c r="A2919" t="s">
        <v>5861</v>
      </c>
      <c r="B2919" t="s">
        <v>5862</v>
      </c>
      <c r="C2919" t="s">
        <v>10</v>
      </c>
      <c r="D2919">
        <v>67</v>
      </c>
      <c r="E2919" t="s">
        <v>45</v>
      </c>
      <c r="F2919" t="s">
        <v>46</v>
      </c>
      <c r="G2919" t="s">
        <v>17</v>
      </c>
      <c r="H2919" s="1">
        <v>45635</v>
      </c>
    </row>
    <row r="2920" spans="1:8">
      <c r="A2920" t="s">
        <v>5863</v>
      </c>
      <c r="B2920" t="s">
        <v>5864</v>
      </c>
      <c r="C2920" t="s">
        <v>31</v>
      </c>
      <c r="D2920">
        <v>37</v>
      </c>
      <c r="E2920" t="s">
        <v>69</v>
      </c>
      <c r="F2920" t="s">
        <v>69</v>
      </c>
      <c r="G2920" t="s">
        <v>12</v>
      </c>
      <c r="H2920" s="1">
        <v>45037</v>
      </c>
    </row>
    <row r="2921" spans="1:8">
      <c r="A2921" t="s">
        <v>5865</v>
      </c>
      <c r="B2921" t="s">
        <v>5866</v>
      </c>
      <c r="C2921" t="s">
        <v>31</v>
      </c>
      <c r="D2921">
        <v>27</v>
      </c>
      <c r="E2921" t="s">
        <v>128</v>
      </c>
      <c r="F2921" t="s">
        <v>129</v>
      </c>
      <c r="G2921" t="s">
        <v>78</v>
      </c>
      <c r="H2921" s="1">
        <v>45811</v>
      </c>
    </row>
    <row r="2922" spans="1:8">
      <c r="A2922" t="s">
        <v>5867</v>
      </c>
      <c r="B2922" t="s">
        <v>5868</v>
      </c>
      <c r="C2922" t="s">
        <v>10</v>
      </c>
      <c r="D2922">
        <v>42</v>
      </c>
      <c r="E2922" t="s">
        <v>45</v>
      </c>
      <c r="F2922" t="s">
        <v>46</v>
      </c>
      <c r="G2922" t="s">
        <v>17</v>
      </c>
      <c r="H2922" s="1">
        <v>45119</v>
      </c>
    </row>
    <row r="2923" spans="1:8">
      <c r="A2923" t="s">
        <v>5869</v>
      </c>
      <c r="B2923" t="s">
        <v>5870</v>
      </c>
      <c r="C2923" t="s">
        <v>31</v>
      </c>
      <c r="D2923">
        <v>45</v>
      </c>
      <c r="E2923" t="s">
        <v>91</v>
      </c>
      <c r="F2923" t="s">
        <v>92</v>
      </c>
      <c r="G2923" t="s">
        <v>78</v>
      </c>
      <c r="H2923" s="1">
        <v>44793</v>
      </c>
    </row>
    <row r="2924" spans="1:8">
      <c r="A2924" t="s">
        <v>5871</v>
      </c>
      <c r="B2924" t="s">
        <v>5872</v>
      </c>
      <c r="C2924" t="s">
        <v>10</v>
      </c>
      <c r="D2924">
        <v>51</v>
      </c>
      <c r="E2924" t="s">
        <v>69</v>
      </c>
      <c r="F2924" t="s">
        <v>69</v>
      </c>
      <c r="G2924" t="s">
        <v>12</v>
      </c>
      <c r="H2924" s="1">
        <v>45158</v>
      </c>
    </row>
    <row r="2925" spans="1:8">
      <c r="A2925" t="s">
        <v>5873</v>
      </c>
      <c r="B2925" t="s">
        <v>5874</v>
      </c>
      <c r="C2925" t="s">
        <v>31</v>
      </c>
      <c r="D2925">
        <v>33</v>
      </c>
      <c r="E2925" t="s">
        <v>218</v>
      </c>
      <c r="F2925" t="s">
        <v>219</v>
      </c>
      <c r="G2925" t="s">
        <v>17</v>
      </c>
      <c r="H2925" s="1">
        <v>45788</v>
      </c>
    </row>
    <row r="2926" spans="1:8">
      <c r="A2926" t="s">
        <v>5875</v>
      </c>
      <c r="B2926" t="s">
        <v>5876</v>
      </c>
      <c r="C2926" t="s">
        <v>31</v>
      </c>
      <c r="D2926">
        <v>44</v>
      </c>
      <c r="E2926" t="s">
        <v>112</v>
      </c>
      <c r="F2926" t="s">
        <v>113</v>
      </c>
      <c r="G2926" t="s">
        <v>78</v>
      </c>
      <c r="H2926" s="1">
        <v>45998</v>
      </c>
    </row>
    <row r="2927" spans="1:8">
      <c r="A2927" t="s">
        <v>5877</v>
      </c>
      <c r="B2927" t="s">
        <v>5878</v>
      </c>
      <c r="C2927" t="s">
        <v>31</v>
      </c>
      <c r="D2927">
        <v>34</v>
      </c>
      <c r="E2927" t="s">
        <v>15</v>
      </c>
      <c r="F2927" t="s">
        <v>16</v>
      </c>
      <c r="G2927" t="s">
        <v>17</v>
      </c>
      <c r="H2927" s="1">
        <v>45135</v>
      </c>
    </row>
    <row r="2928" spans="1:8">
      <c r="A2928" t="s">
        <v>5879</v>
      </c>
      <c r="B2928" t="s">
        <v>5880</v>
      </c>
      <c r="C2928" t="s">
        <v>31</v>
      </c>
      <c r="D2928">
        <v>40</v>
      </c>
      <c r="E2928" t="s">
        <v>134</v>
      </c>
      <c r="F2928" t="s">
        <v>28</v>
      </c>
      <c r="G2928" t="s">
        <v>12</v>
      </c>
      <c r="H2928" s="1">
        <v>45421</v>
      </c>
    </row>
    <row r="2929" spans="1:8">
      <c r="A2929" t="s">
        <v>5881</v>
      </c>
      <c r="B2929" t="s">
        <v>5882</v>
      </c>
      <c r="C2929" t="s">
        <v>31</v>
      </c>
      <c r="D2929">
        <v>33</v>
      </c>
      <c r="E2929" t="s">
        <v>15</v>
      </c>
      <c r="F2929" t="s">
        <v>16</v>
      </c>
      <c r="G2929" t="s">
        <v>17</v>
      </c>
      <c r="H2929" s="1">
        <v>46022</v>
      </c>
    </row>
    <row r="2930" spans="1:8">
      <c r="A2930" t="s">
        <v>5883</v>
      </c>
      <c r="B2930" t="s">
        <v>5884</v>
      </c>
      <c r="C2930" t="s">
        <v>31</v>
      </c>
      <c r="D2930">
        <v>60</v>
      </c>
      <c r="E2930" t="s">
        <v>63</v>
      </c>
      <c r="F2930" t="s">
        <v>64</v>
      </c>
      <c r="G2930" t="s">
        <v>12</v>
      </c>
      <c r="H2930" s="1">
        <v>45772</v>
      </c>
    </row>
    <row r="2931" spans="1:8">
      <c r="A2931" t="s">
        <v>5885</v>
      </c>
      <c r="B2931" t="s">
        <v>5886</v>
      </c>
      <c r="C2931" t="s">
        <v>31</v>
      </c>
      <c r="D2931">
        <v>56</v>
      </c>
      <c r="E2931" t="s">
        <v>41</v>
      </c>
      <c r="F2931" t="s">
        <v>42</v>
      </c>
      <c r="G2931" t="s">
        <v>17</v>
      </c>
      <c r="H2931" s="1">
        <v>45710</v>
      </c>
    </row>
    <row r="2932" spans="1:8">
      <c r="A2932" t="s">
        <v>5887</v>
      </c>
      <c r="B2932" t="s">
        <v>5888</v>
      </c>
      <c r="C2932" t="s">
        <v>10</v>
      </c>
      <c r="D2932">
        <v>55</v>
      </c>
      <c r="E2932" t="s">
        <v>149</v>
      </c>
      <c r="F2932" t="s">
        <v>38</v>
      </c>
      <c r="G2932" t="s">
        <v>22</v>
      </c>
      <c r="H2932" s="1">
        <v>44648</v>
      </c>
    </row>
    <row r="2933" spans="1:8">
      <c r="A2933" t="s">
        <v>5889</v>
      </c>
      <c r="B2933" t="s">
        <v>5890</v>
      </c>
      <c r="C2933" t="s">
        <v>10</v>
      </c>
      <c r="D2933">
        <v>25</v>
      </c>
      <c r="E2933" t="s">
        <v>87</v>
      </c>
      <c r="F2933" t="s">
        <v>88</v>
      </c>
      <c r="G2933" t="s">
        <v>78</v>
      </c>
      <c r="H2933" s="1">
        <v>45740</v>
      </c>
    </row>
    <row r="2934" spans="1:8">
      <c r="A2934" t="s">
        <v>5891</v>
      </c>
      <c r="B2934" t="s">
        <v>5892</v>
      </c>
      <c r="C2934" t="s">
        <v>31</v>
      </c>
      <c r="D2934">
        <v>70</v>
      </c>
      <c r="E2934" t="s">
        <v>76</v>
      </c>
      <c r="F2934" t="s">
        <v>77</v>
      </c>
      <c r="G2934" t="s">
        <v>78</v>
      </c>
      <c r="H2934" s="1">
        <v>45300</v>
      </c>
    </row>
    <row r="2935" spans="1:8">
      <c r="A2935" t="s">
        <v>5893</v>
      </c>
      <c r="B2935" t="s">
        <v>5894</v>
      </c>
      <c r="C2935" t="s">
        <v>31</v>
      </c>
      <c r="D2935">
        <v>47</v>
      </c>
      <c r="E2935" t="s">
        <v>20</v>
      </c>
      <c r="F2935" t="s">
        <v>21</v>
      </c>
      <c r="G2935" t="s">
        <v>22</v>
      </c>
      <c r="H2935" s="1">
        <v>45273</v>
      </c>
    </row>
    <row r="2936" spans="1:8">
      <c r="A2936" t="s">
        <v>5895</v>
      </c>
      <c r="B2936" t="s">
        <v>5896</v>
      </c>
      <c r="C2936" t="s">
        <v>31</v>
      </c>
      <c r="D2936">
        <v>70</v>
      </c>
      <c r="E2936" t="s">
        <v>60</v>
      </c>
      <c r="F2936" t="s">
        <v>21</v>
      </c>
      <c r="G2936" t="s">
        <v>22</v>
      </c>
      <c r="H2936" s="1">
        <v>44638</v>
      </c>
    </row>
    <row r="2937" spans="1:8">
      <c r="A2937" t="s">
        <v>5897</v>
      </c>
      <c r="B2937" t="s">
        <v>5898</v>
      </c>
      <c r="C2937" t="s">
        <v>10</v>
      </c>
      <c r="D2937">
        <v>31</v>
      </c>
      <c r="E2937" t="s">
        <v>69</v>
      </c>
      <c r="F2937" t="s">
        <v>69</v>
      </c>
      <c r="G2937" t="s">
        <v>12</v>
      </c>
      <c r="H2937" s="1">
        <v>45932</v>
      </c>
    </row>
    <row r="2938" spans="1:8">
      <c r="A2938" t="s">
        <v>5899</v>
      </c>
      <c r="B2938" t="s">
        <v>5900</v>
      </c>
      <c r="C2938" t="s">
        <v>31</v>
      </c>
      <c r="D2938">
        <v>24</v>
      </c>
      <c r="E2938" t="s">
        <v>20</v>
      </c>
      <c r="F2938" t="s">
        <v>21</v>
      </c>
      <c r="G2938" t="s">
        <v>22</v>
      </c>
      <c r="H2938" s="1">
        <v>45853</v>
      </c>
    </row>
    <row r="2939" spans="1:8">
      <c r="A2939" t="s">
        <v>5901</v>
      </c>
      <c r="B2939" t="s">
        <v>5902</v>
      </c>
      <c r="C2939" t="s">
        <v>31</v>
      </c>
      <c r="D2939">
        <v>34</v>
      </c>
      <c r="E2939" t="s">
        <v>41</v>
      </c>
      <c r="F2939" t="s">
        <v>42</v>
      </c>
      <c r="G2939" t="s">
        <v>17</v>
      </c>
      <c r="H2939" s="1">
        <v>44620</v>
      </c>
    </row>
    <row r="2940" spans="1:8">
      <c r="A2940" t="s">
        <v>5903</v>
      </c>
      <c r="B2940" t="s">
        <v>5904</v>
      </c>
      <c r="C2940" t="s">
        <v>10</v>
      </c>
      <c r="D2940">
        <v>35</v>
      </c>
      <c r="E2940" t="s">
        <v>37</v>
      </c>
      <c r="F2940" t="s">
        <v>38</v>
      </c>
      <c r="G2940" t="s">
        <v>22</v>
      </c>
      <c r="H2940" s="1">
        <v>45283</v>
      </c>
    </row>
    <row r="2941" spans="1:8">
      <c r="A2941" t="s">
        <v>5905</v>
      </c>
      <c r="B2941" t="s">
        <v>5906</v>
      </c>
      <c r="C2941" t="s">
        <v>31</v>
      </c>
      <c r="D2941">
        <v>62</v>
      </c>
      <c r="E2941" t="s">
        <v>20</v>
      </c>
      <c r="F2941" t="s">
        <v>21</v>
      </c>
      <c r="G2941" t="s">
        <v>22</v>
      </c>
      <c r="H2941" s="1">
        <v>45226</v>
      </c>
    </row>
    <row r="2942" spans="1:8">
      <c r="A2942" t="s">
        <v>5907</v>
      </c>
      <c r="B2942" t="s">
        <v>5908</v>
      </c>
      <c r="C2942" t="s">
        <v>10</v>
      </c>
      <c r="D2942">
        <v>53</v>
      </c>
      <c r="E2942" t="s">
        <v>91</v>
      </c>
      <c r="F2942" t="s">
        <v>92</v>
      </c>
      <c r="G2942" t="s">
        <v>78</v>
      </c>
      <c r="H2942" s="1">
        <v>44890</v>
      </c>
    </row>
    <row r="2943" spans="1:8">
      <c r="A2943" t="s">
        <v>5909</v>
      </c>
      <c r="B2943" t="s">
        <v>5910</v>
      </c>
      <c r="C2943" t="s">
        <v>31</v>
      </c>
      <c r="D2943">
        <v>65</v>
      </c>
      <c r="E2943" t="s">
        <v>27</v>
      </c>
      <c r="F2943" t="s">
        <v>28</v>
      </c>
      <c r="G2943" t="s">
        <v>12</v>
      </c>
      <c r="H2943" s="1">
        <v>45889</v>
      </c>
    </row>
    <row r="2944" spans="1:8">
      <c r="A2944" t="s">
        <v>5911</v>
      </c>
      <c r="B2944" t="s">
        <v>5912</v>
      </c>
      <c r="C2944" t="s">
        <v>31</v>
      </c>
      <c r="D2944">
        <v>23</v>
      </c>
      <c r="E2944" t="s">
        <v>37</v>
      </c>
      <c r="F2944" t="s">
        <v>38</v>
      </c>
      <c r="G2944" t="s">
        <v>22</v>
      </c>
      <c r="H2944" s="1">
        <v>44914</v>
      </c>
    </row>
    <row r="2945" spans="1:8">
      <c r="A2945" t="s">
        <v>5913</v>
      </c>
      <c r="B2945" t="s">
        <v>5914</v>
      </c>
      <c r="C2945" t="s">
        <v>10</v>
      </c>
      <c r="D2945">
        <v>38</v>
      </c>
      <c r="E2945" t="s">
        <v>60</v>
      </c>
      <c r="F2945" t="s">
        <v>21</v>
      </c>
      <c r="G2945" t="s">
        <v>22</v>
      </c>
      <c r="H2945" s="1">
        <v>45664</v>
      </c>
    </row>
    <row r="2946" spans="1:8">
      <c r="A2946" t="s">
        <v>5915</v>
      </c>
      <c r="B2946" t="s">
        <v>5916</v>
      </c>
      <c r="C2946" t="s">
        <v>31</v>
      </c>
      <c r="D2946">
        <v>38</v>
      </c>
      <c r="E2946" t="s">
        <v>87</v>
      </c>
      <c r="F2946" t="s">
        <v>88</v>
      </c>
      <c r="G2946" t="s">
        <v>78</v>
      </c>
      <c r="H2946" s="1">
        <v>44747</v>
      </c>
    </row>
    <row r="2947" spans="1:8">
      <c r="A2947" t="s">
        <v>5917</v>
      </c>
      <c r="B2947" t="s">
        <v>5918</v>
      </c>
      <c r="C2947" t="s">
        <v>10</v>
      </c>
      <c r="D2947">
        <v>34</v>
      </c>
      <c r="E2947" t="s">
        <v>63</v>
      </c>
      <c r="F2947" t="s">
        <v>64</v>
      </c>
      <c r="G2947" t="s">
        <v>12</v>
      </c>
      <c r="H2947" s="1">
        <v>45345</v>
      </c>
    </row>
    <row r="2948" spans="1:8">
      <c r="A2948" t="s">
        <v>5919</v>
      </c>
      <c r="B2948" t="s">
        <v>5920</v>
      </c>
      <c r="C2948" t="s">
        <v>31</v>
      </c>
      <c r="D2948">
        <v>69</v>
      </c>
      <c r="E2948" t="s">
        <v>112</v>
      </c>
      <c r="F2948" t="s">
        <v>113</v>
      </c>
      <c r="G2948" t="s">
        <v>78</v>
      </c>
      <c r="H2948" s="1">
        <v>45280</v>
      </c>
    </row>
    <row r="2949" spans="1:8">
      <c r="A2949" t="s">
        <v>5921</v>
      </c>
      <c r="B2949" t="s">
        <v>5922</v>
      </c>
      <c r="C2949" t="s">
        <v>10</v>
      </c>
      <c r="D2949">
        <v>38</v>
      </c>
      <c r="E2949" t="s">
        <v>37</v>
      </c>
      <c r="F2949" t="s">
        <v>38</v>
      </c>
      <c r="G2949" t="s">
        <v>22</v>
      </c>
      <c r="H2949" s="1">
        <v>44888</v>
      </c>
    </row>
    <row r="2950" spans="1:8">
      <c r="A2950" t="s">
        <v>5923</v>
      </c>
      <c r="B2950" t="s">
        <v>5924</v>
      </c>
      <c r="C2950" t="s">
        <v>31</v>
      </c>
      <c r="D2950">
        <v>50</v>
      </c>
      <c r="E2950" t="s">
        <v>34</v>
      </c>
      <c r="F2950" t="s">
        <v>16</v>
      </c>
      <c r="G2950" t="s">
        <v>17</v>
      </c>
      <c r="H2950" s="1">
        <v>45753</v>
      </c>
    </row>
    <row r="2951" spans="1:8">
      <c r="A2951" t="s">
        <v>5925</v>
      </c>
      <c r="B2951" t="s">
        <v>5926</v>
      </c>
      <c r="C2951" t="s">
        <v>10</v>
      </c>
      <c r="D2951">
        <v>43</v>
      </c>
      <c r="E2951" t="s">
        <v>27</v>
      </c>
      <c r="F2951" t="s">
        <v>28</v>
      </c>
      <c r="G2951" t="s">
        <v>12</v>
      </c>
      <c r="H2951" s="1">
        <v>45168</v>
      </c>
    </row>
    <row r="2952" spans="1:8">
      <c r="A2952" t="s">
        <v>5927</v>
      </c>
      <c r="B2952" t="s">
        <v>5928</v>
      </c>
      <c r="C2952" t="s">
        <v>10</v>
      </c>
      <c r="D2952">
        <v>23</v>
      </c>
      <c r="E2952" t="s">
        <v>11</v>
      </c>
      <c r="F2952" t="s">
        <v>11</v>
      </c>
      <c r="G2952" t="s">
        <v>12</v>
      </c>
      <c r="H2952" s="1">
        <v>44968</v>
      </c>
    </row>
    <row r="2953" spans="1:8">
      <c r="A2953" t="s">
        <v>5929</v>
      </c>
      <c r="B2953" t="s">
        <v>5930</v>
      </c>
      <c r="C2953" t="s">
        <v>10</v>
      </c>
      <c r="D2953">
        <v>63</v>
      </c>
      <c r="E2953" t="s">
        <v>69</v>
      </c>
      <c r="F2953" t="s">
        <v>69</v>
      </c>
      <c r="G2953" t="s">
        <v>12</v>
      </c>
      <c r="H2953" s="1">
        <v>45101</v>
      </c>
    </row>
    <row r="2954" spans="1:8">
      <c r="A2954" t="s">
        <v>5931</v>
      </c>
      <c r="B2954" t="s">
        <v>5932</v>
      </c>
      <c r="C2954" t="s">
        <v>10</v>
      </c>
      <c r="D2954">
        <v>42</v>
      </c>
      <c r="E2954" t="s">
        <v>37</v>
      </c>
      <c r="F2954" t="s">
        <v>38</v>
      </c>
      <c r="G2954" t="s">
        <v>22</v>
      </c>
      <c r="H2954" s="1">
        <v>45374</v>
      </c>
    </row>
    <row r="2955" spans="1:8">
      <c r="A2955" t="s">
        <v>5933</v>
      </c>
      <c r="B2955" t="s">
        <v>5934</v>
      </c>
      <c r="C2955" t="s">
        <v>10</v>
      </c>
      <c r="D2955">
        <v>38</v>
      </c>
      <c r="E2955" t="s">
        <v>45</v>
      </c>
      <c r="F2955" t="s">
        <v>46</v>
      </c>
      <c r="G2955" t="s">
        <v>17</v>
      </c>
      <c r="H2955" s="1">
        <v>45818</v>
      </c>
    </row>
    <row r="2956" spans="1:8">
      <c r="A2956" t="s">
        <v>5935</v>
      </c>
      <c r="B2956" t="s">
        <v>5936</v>
      </c>
      <c r="C2956" t="s">
        <v>10</v>
      </c>
      <c r="D2956">
        <v>53</v>
      </c>
      <c r="E2956" t="s">
        <v>112</v>
      </c>
      <c r="F2956" t="s">
        <v>113</v>
      </c>
      <c r="G2956" t="s">
        <v>78</v>
      </c>
      <c r="H2956" s="1">
        <v>44645</v>
      </c>
    </row>
    <row r="2957" spans="1:8">
      <c r="A2957" t="s">
        <v>5937</v>
      </c>
      <c r="B2957" t="s">
        <v>5938</v>
      </c>
      <c r="C2957" t="s">
        <v>31</v>
      </c>
      <c r="D2957">
        <v>32</v>
      </c>
      <c r="E2957" t="s">
        <v>45</v>
      </c>
      <c r="F2957" t="s">
        <v>46</v>
      </c>
      <c r="G2957" t="s">
        <v>17</v>
      </c>
      <c r="H2957" s="1">
        <v>44615</v>
      </c>
    </row>
    <row r="2958" spans="1:8">
      <c r="A2958" t="s">
        <v>5939</v>
      </c>
      <c r="B2958" t="s">
        <v>5036</v>
      </c>
      <c r="C2958" t="s">
        <v>10</v>
      </c>
      <c r="D2958">
        <v>46</v>
      </c>
      <c r="E2958" t="s">
        <v>76</v>
      </c>
      <c r="F2958" t="s">
        <v>77</v>
      </c>
      <c r="G2958" t="s">
        <v>78</v>
      </c>
      <c r="H2958" s="1">
        <v>45064</v>
      </c>
    </row>
    <row r="2959" spans="1:8">
      <c r="A2959" t="s">
        <v>5940</v>
      </c>
      <c r="B2959" t="s">
        <v>5941</v>
      </c>
      <c r="C2959" t="s">
        <v>10</v>
      </c>
      <c r="D2959">
        <v>36</v>
      </c>
      <c r="E2959" t="s">
        <v>63</v>
      </c>
      <c r="F2959" t="s">
        <v>64</v>
      </c>
      <c r="G2959" t="s">
        <v>12</v>
      </c>
      <c r="H2959" s="1">
        <v>44859</v>
      </c>
    </row>
    <row r="2960" spans="1:8">
      <c r="A2960" t="s">
        <v>5942</v>
      </c>
      <c r="B2960" t="s">
        <v>5943</v>
      </c>
      <c r="C2960" t="s">
        <v>31</v>
      </c>
      <c r="D2960">
        <v>46</v>
      </c>
      <c r="E2960" t="s">
        <v>15</v>
      </c>
      <c r="F2960" t="s">
        <v>16</v>
      </c>
      <c r="G2960" t="s">
        <v>17</v>
      </c>
      <c r="H2960" s="1">
        <v>45815</v>
      </c>
    </row>
    <row r="2961" spans="1:8">
      <c r="A2961" t="s">
        <v>5944</v>
      </c>
      <c r="B2961" t="s">
        <v>5945</v>
      </c>
      <c r="C2961" t="s">
        <v>10</v>
      </c>
      <c r="D2961">
        <v>44</v>
      </c>
      <c r="E2961" t="s">
        <v>60</v>
      </c>
      <c r="F2961" t="s">
        <v>21</v>
      </c>
      <c r="G2961" t="s">
        <v>22</v>
      </c>
      <c r="H2961" s="1">
        <v>45725</v>
      </c>
    </row>
    <row r="2962" spans="1:8">
      <c r="A2962" t="s">
        <v>5946</v>
      </c>
      <c r="B2962" t="s">
        <v>5947</v>
      </c>
      <c r="C2962" t="s">
        <v>31</v>
      </c>
      <c r="D2962">
        <v>58</v>
      </c>
      <c r="E2962" t="s">
        <v>218</v>
      </c>
      <c r="F2962" t="s">
        <v>219</v>
      </c>
      <c r="G2962" t="s">
        <v>17</v>
      </c>
      <c r="H2962" s="1">
        <v>45751</v>
      </c>
    </row>
    <row r="2963" spans="1:8">
      <c r="A2963" t="s">
        <v>5948</v>
      </c>
      <c r="B2963" t="s">
        <v>5949</v>
      </c>
      <c r="C2963" t="s">
        <v>31</v>
      </c>
      <c r="D2963">
        <v>69</v>
      </c>
      <c r="E2963" t="s">
        <v>149</v>
      </c>
      <c r="F2963" t="s">
        <v>38</v>
      </c>
      <c r="G2963" t="s">
        <v>22</v>
      </c>
      <c r="H2963" s="1">
        <v>45097</v>
      </c>
    </row>
    <row r="2964" spans="1:8">
      <c r="A2964" t="s">
        <v>5950</v>
      </c>
      <c r="B2964" t="s">
        <v>5951</v>
      </c>
      <c r="C2964" t="s">
        <v>31</v>
      </c>
      <c r="D2964">
        <v>33</v>
      </c>
      <c r="E2964" t="s">
        <v>69</v>
      </c>
      <c r="F2964" t="s">
        <v>69</v>
      </c>
      <c r="G2964" t="s">
        <v>12</v>
      </c>
      <c r="H2964" s="1">
        <v>45320</v>
      </c>
    </row>
    <row r="2965" spans="1:8">
      <c r="A2965" t="s">
        <v>5952</v>
      </c>
      <c r="B2965" t="s">
        <v>5953</v>
      </c>
      <c r="C2965" t="s">
        <v>10</v>
      </c>
      <c r="D2965">
        <v>38</v>
      </c>
      <c r="E2965" t="s">
        <v>37</v>
      </c>
      <c r="F2965" t="s">
        <v>38</v>
      </c>
      <c r="G2965" t="s">
        <v>22</v>
      </c>
      <c r="H2965" s="1">
        <v>44719</v>
      </c>
    </row>
    <row r="2966" spans="1:8">
      <c r="A2966" t="s">
        <v>5954</v>
      </c>
      <c r="B2966" t="s">
        <v>5955</v>
      </c>
      <c r="C2966" t="s">
        <v>10</v>
      </c>
      <c r="D2966">
        <v>24</v>
      </c>
      <c r="E2966" t="s">
        <v>76</v>
      </c>
      <c r="F2966" t="s">
        <v>77</v>
      </c>
      <c r="G2966" t="s">
        <v>78</v>
      </c>
      <c r="H2966" s="1">
        <v>45664</v>
      </c>
    </row>
    <row r="2967" spans="1:8">
      <c r="A2967" t="s">
        <v>5956</v>
      </c>
      <c r="B2967" t="s">
        <v>5957</v>
      </c>
      <c r="C2967" t="s">
        <v>31</v>
      </c>
      <c r="D2967">
        <v>52</v>
      </c>
      <c r="E2967" t="s">
        <v>128</v>
      </c>
      <c r="F2967" t="s">
        <v>129</v>
      </c>
      <c r="G2967" t="s">
        <v>78</v>
      </c>
      <c r="H2967" s="1">
        <v>46012</v>
      </c>
    </row>
    <row r="2968" spans="1:8">
      <c r="A2968" t="s">
        <v>5958</v>
      </c>
      <c r="B2968" t="s">
        <v>5959</v>
      </c>
      <c r="C2968" t="s">
        <v>31</v>
      </c>
      <c r="D2968">
        <v>63</v>
      </c>
      <c r="E2968" t="s">
        <v>60</v>
      </c>
      <c r="F2968" t="s">
        <v>21</v>
      </c>
      <c r="G2968" t="s">
        <v>22</v>
      </c>
      <c r="H2968" s="1">
        <v>45028</v>
      </c>
    </row>
    <row r="2969" spans="1:8">
      <c r="A2969" t="s">
        <v>5960</v>
      </c>
      <c r="B2969" t="s">
        <v>5961</v>
      </c>
      <c r="C2969" t="s">
        <v>31</v>
      </c>
      <c r="D2969">
        <v>35</v>
      </c>
      <c r="E2969" t="s">
        <v>27</v>
      </c>
      <c r="F2969" t="s">
        <v>28</v>
      </c>
      <c r="G2969" t="s">
        <v>12</v>
      </c>
      <c r="H2969" s="1">
        <v>45020</v>
      </c>
    </row>
    <row r="2970" spans="1:8">
      <c r="A2970" t="s">
        <v>5962</v>
      </c>
      <c r="B2970" t="s">
        <v>5963</v>
      </c>
      <c r="C2970" t="s">
        <v>31</v>
      </c>
      <c r="D2970">
        <v>49</v>
      </c>
      <c r="E2970" t="s">
        <v>20</v>
      </c>
      <c r="F2970" t="s">
        <v>21</v>
      </c>
      <c r="G2970" t="s">
        <v>22</v>
      </c>
      <c r="H2970" s="1">
        <v>45504</v>
      </c>
    </row>
    <row r="2971" spans="1:8">
      <c r="A2971" t="s">
        <v>5964</v>
      </c>
      <c r="B2971" t="s">
        <v>5965</v>
      </c>
      <c r="C2971" t="s">
        <v>10</v>
      </c>
      <c r="D2971">
        <v>53</v>
      </c>
      <c r="E2971" t="s">
        <v>11</v>
      </c>
      <c r="F2971" t="s">
        <v>11</v>
      </c>
      <c r="G2971" t="s">
        <v>12</v>
      </c>
      <c r="H2971" s="1">
        <v>44912</v>
      </c>
    </row>
    <row r="2972" spans="1:8">
      <c r="A2972" t="s">
        <v>5966</v>
      </c>
      <c r="B2972" t="s">
        <v>5967</v>
      </c>
      <c r="C2972" t="s">
        <v>31</v>
      </c>
      <c r="D2972">
        <v>63</v>
      </c>
      <c r="E2972" t="s">
        <v>20</v>
      </c>
      <c r="F2972" t="s">
        <v>21</v>
      </c>
      <c r="G2972" t="s">
        <v>22</v>
      </c>
      <c r="H2972" s="1">
        <v>45273</v>
      </c>
    </row>
    <row r="2973" spans="1:8">
      <c r="A2973" t="s">
        <v>5968</v>
      </c>
      <c r="B2973" t="s">
        <v>5969</v>
      </c>
      <c r="C2973" t="s">
        <v>31</v>
      </c>
      <c r="D2973">
        <v>54</v>
      </c>
      <c r="E2973" t="s">
        <v>45</v>
      </c>
      <c r="F2973" t="s">
        <v>46</v>
      </c>
      <c r="G2973" t="s">
        <v>17</v>
      </c>
      <c r="H2973" s="1">
        <v>44695</v>
      </c>
    </row>
    <row r="2974" spans="1:8">
      <c r="A2974" t="s">
        <v>5970</v>
      </c>
      <c r="B2974" t="s">
        <v>5971</v>
      </c>
      <c r="C2974" t="s">
        <v>31</v>
      </c>
      <c r="D2974">
        <v>45</v>
      </c>
      <c r="E2974" t="s">
        <v>15</v>
      </c>
      <c r="F2974" t="s">
        <v>16</v>
      </c>
      <c r="G2974" t="s">
        <v>17</v>
      </c>
      <c r="H2974" s="1">
        <v>45786</v>
      </c>
    </row>
    <row r="2975" spans="1:8">
      <c r="A2975" t="s">
        <v>5972</v>
      </c>
      <c r="B2975" t="s">
        <v>5973</v>
      </c>
      <c r="C2975" t="s">
        <v>10</v>
      </c>
      <c r="D2975">
        <v>60</v>
      </c>
      <c r="E2975" t="s">
        <v>63</v>
      </c>
      <c r="F2975" t="s">
        <v>64</v>
      </c>
      <c r="G2975" t="s">
        <v>12</v>
      </c>
      <c r="H2975" s="1">
        <v>45373</v>
      </c>
    </row>
    <row r="2976" spans="1:8">
      <c r="A2976" t="s">
        <v>5974</v>
      </c>
      <c r="B2976" t="s">
        <v>5975</v>
      </c>
      <c r="C2976" t="s">
        <v>31</v>
      </c>
      <c r="D2976">
        <v>39</v>
      </c>
      <c r="E2976" t="s">
        <v>60</v>
      </c>
      <c r="F2976" t="s">
        <v>21</v>
      </c>
      <c r="G2976" t="s">
        <v>22</v>
      </c>
      <c r="H2976" s="1">
        <v>45989</v>
      </c>
    </row>
    <row r="2977" spans="1:8">
      <c r="A2977" t="s">
        <v>5976</v>
      </c>
      <c r="B2977" t="s">
        <v>5977</v>
      </c>
      <c r="C2977" t="s">
        <v>10</v>
      </c>
      <c r="D2977">
        <v>67</v>
      </c>
      <c r="E2977" t="s">
        <v>218</v>
      </c>
      <c r="F2977" t="s">
        <v>219</v>
      </c>
      <c r="G2977" t="s">
        <v>17</v>
      </c>
      <c r="H2977" s="1">
        <v>45395</v>
      </c>
    </row>
    <row r="2978" spans="1:8">
      <c r="A2978" t="s">
        <v>5978</v>
      </c>
      <c r="B2978" t="s">
        <v>5979</v>
      </c>
      <c r="C2978" t="s">
        <v>10</v>
      </c>
      <c r="D2978">
        <v>57</v>
      </c>
      <c r="E2978" t="s">
        <v>60</v>
      </c>
      <c r="F2978" t="s">
        <v>21</v>
      </c>
      <c r="G2978" t="s">
        <v>22</v>
      </c>
      <c r="H2978" s="1">
        <v>45206</v>
      </c>
    </row>
    <row r="2979" spans="1:8">
      <c r="A2979" t="s">
        <v>5980</v>
      </c>
      <c r="B2979" t="s">
        <v>5981</v>
      </c>
      <c r="C2979" t="s">
        <v>10</v>
      </c>
      <c r="D2979">
        <v>67</v>
      </c>
      <c r="E2979" t="s">
        <v>45</v>
      </c>
      <c r="F2979" t="s">
        <v>46</v>
      </c>
      <c r="G2979" t="s">
        <v>17</v>
      </c>
      <c r="H2979" s="1">
        <v>45765</v>
      </c>
    </row>
    <row r="2980" spans="1:8">
      <c r="A2980" t="s">
        <v>5982</v>
      </c>
      <c r="B2980" t="s">
        <v>5983</v>
      </c>
      <c r="C2980" t="s">
        <v>31</v>
      </c>
      <c r="D2980">
        <v>64</v>
      </c>
      <c r="E2980" t="s">
        <v>128</v>
      </c>
      <c r="F2980" t="s">
        <v>129</v>
      </c>
      <c r="G2980" t="s">
        <v>78</v>
      </c>
      <c r="H2980" s="1">
        <v>44692</v>
      </c>
    </row>
    <row r="2981" spans="1:8">
      <c r="A2981" t="s">
        <v>5984</v>
      </c>
      <c r="B2981" t="s">
        <v>5985</v>
      </c>
      <c r="C2981" t="s">
        <v>10</v>
      </c>
      <c r="D2981">
        <v>29</v>
      </c>
      <c r="E2981" t="s">
        <v>34</v>
      </c>
      <c r="F2981" t="s">
        <v>16</v>
      </c>
      <c r="G2981" t="s">
        <v>17</v>
      </c>
      <c r="H2981" s="1">
        <v>45071</v>
      </c>
    </row>
    <row r="2982" spans="1:8">
      <c r="A2982" t="s">
        <v>5986</v>
      </c>
      <c r="B2982" t="s">
        <v>5987</v>
      </c>
      <c r="C2982" t="s">
        <v>31</v>
      </c>
      <c r="D2982">
        <v>23</v>
      </c>
      <c r="E2982" t="s">
        <v>41</v>
      </c>
      <c r="F2982" t="s">
        <v>42</v>
      </c>
      <c r="G2982" t="s">
        <v>17</v>
      </c>
      <c r="H2982" s="1">
        <v>44806</v>
      </c>
    </row>
    <row r="2983" spans="1:8">
      <c r="A2983" t="s">
        <v>5988</v>
      </c>
      <c r="B2983" t="s">
        <v>5989</v>
      </c>
      <c r="C2983" t="s">
        <v>31</v>
      </c>
      <c r="D2983">
        <v>69</v>
      </c>
      <c r="E2983" t="s">
        <v>41</v>
      </c>
      <c r="F2983" t="s">
        <v>42</v>
      </c>
      <c r="G2983" t="s">
        <v>17</v>
      </c>
      <c r="H2983" s="1">
        <v>45737</v>
      </c>
    </row>
    <row r="2984" spans="1:8">
      <c r="A2984" t="s">
        <v>5990</v>
      </c>
      <c r="B2984" t="s">
        <v>5991</v>
      </c>
      <c r="C2984" t="s">
        <v>31</v>
      </c>
      <c r="D2984">
        <v>29</v>
      </c>
      <c r="E2984" t="s">
        <v>149</v>
      </c>
      <c r="F2984" t="s">
        <v>38</v>
      </c>
      <c r="G2984" t="s">
        <v>22</v>
      </c>
      <c r="H2984" s="1">
        <v>44845</v>
      </c>
    </row>
    <row r="2985" spans="1:8">
      <c r="A2985" t="s">
        <v>5992</v>
      </c>
      <c r="B2985" t="s">
        <v>5993</v>
      </c>
      <c r="C2985" t="s">
        <v>31</v>
      </c>
      <c r="D2985">
        <v>34</v>
      </c>
      <c r="E2985" t="s">
        <v>45</v>
      </c>
      <c r="F2985" t="s">
        <v>46</v>
      </c>
      <c r="G2985" t="s">
        <v>17</v>
      </c>
      <c r="H2985" s="1">
        <v>44925</v>
      </c>
    </row>
    <row r="2986" spans="1:8">
      <c r="A2986" t="s">
        <v>5994</v>
      </c>
      <c r="B2986" t="s">
        <v>5995</v>
      </c>
      <c r="C2986" t="s">
        <v>31</v>
      </c>
      <c r="D2986">
        <v>30</v>
      </c>
      <c r="E2986" t="s">
        <v>101</v>
      </c>
      <c r="F2986" t="s">
        <v>21</v>
      </c>
      <c r="G2986" t="s">
        <v>22</v>
      </c>
      <c r="H2986" s="1">
        <v>45095</v>
      </c>
    </row>
    <row r="2987" spans="1:8">
      <c r="A2987" t="s">
        <v>5996</v>
      </c>
      <c r="B2987" t="s">
        <v>5997</v>
      </c>
      <c r="C2987" t="s">
        <v>31</v>
      </c>
      <c r="D2987">
        <v>66</v>
      </c>
      <c r="E2987" t="s">
        <v>15</v>
      </c>
      <c r="F2987" t="s">
        <v>16</v>
      </c>
      <c r="G2987" t="s">
        <v>17</v>
      </c>
      <c r="H2987" s="1">
        <v>45257</v>
      </c>
    </row>
    <row r="2988" spans="1:8">
      <c r="A2988" t="s">
        <v>5998</v>
      </c>
      <c r="B2988" t="s">
        <v>5999</v>
      </c>
      <c r="C2988" t="s">
        <v>10</v>
      </c>
      <c r="D2988">
        <v>53</v>
      </c>
      <c r="E2988" t="s">
        <v>45</v>
      </c>
      <c r="F2988" t="s">
        <v>46</v>
      </c>
      <c r="G2988" t="s">
        <v>17</v>
      </c>
      <c r="H2988" s="1">
        <v>44603</v>
      </c>
    </row>
    <row r="2989" spans="1:8">
      <c r="A2989" t="s">
        <v>6000</v>
      </c>
      <c r="B2989" t="s">
        <v>6001</v>
      </c>
      <c r="C2989" t="s">
        <v>10</v>
      </c>
      <c r="D2989">
        <v>18</v>
      </c>
      <c r="E2989" t="s">
        <v>45</v>
      </c>
      <c r="F2989" t="s">
        <v>46</v>
      </c>
      <c r="G2989" t="s">
        <v>17</v>
      </c>
      <c r="H2989" s="1">
        <v>44757</v>
      </c>
    </row>
    <row r="2990" spans="1:8">
      <c r="A2990" t="s">
        <v>6002</v>
      </c>
      <c r="B2990" t="s">
        <v>6003</v>
      </c>
      <c r="C2990" t="s">
        <v>10</v>
      </c>
      <c r="D2990">
        <v>38</v>
      </c>
      <c r="E2990" t="s">
        <v>128</v>
      </c>
      <c r="F2990" t="s">
        <v>129</v>
      </c>
      <c r="G2990" t="s">
        <v>78</v>
      </c>
      <c r="H2990" s="1">
        <v>44587</v>
      </c>
    </row>
    <row r="2991" spans="1:8">
      <c r="A2991" t="s">
        <v>6004</v>
      </c>
      <c r="B2991" t="s">
        <v>6005</v>
      </c>
      <c r="C2991" t="s">
        <v>31</v>
      </c>
      <c r="D2991">
        <v>22</v>
      </c>
      <c r="E2991" t="s">
        <v>20</v>
      </c>
      <c r="F2991" t="s">
        <v>21</v>
      </c>
      <c r="G2991" t="s">
        <v>22</v>
      </c>
      <c r="H2991" s="1">
        <v>45725</v>
      </c>
    </row>
    <row r="2992" spans="1:8">
      <c r="A2992" t="s">
        <v>6006</v>
      </c>
      <c r="B2992" t="s">
        <v>6007</v>
      </c>
      <c r="C2992" t="s">
        <v>31</v>
      </c>
      <c r="D2992">
        <v>29</v>
      </c>
      <c r="E2992" t="s">
        <v>76</v>
      </c>
      <c r="F2992" t="s">
        <v>77</v>
      </c>
      <c r="G2992" t="s">
        <v>78</v>
      </c>
      <c r="H2992" s="1">
        <v>45865</v>
      </c>
    </row>
    <row r="2993" spans="1:8">
      <c r="A2993" t="s">
        <v>6008</v>
      </c>
      <c r="B2993" t="s">
        <v>6009</v>
      </c>
      <c r="C2993" t="s">
        <v>10</v>
      </c>
      <c r="D2993">
        <v>56</v>
      </c>
      <c r="E2993" t="s">
        <v>37</v>
      </c>
      <c r="F2993" t="s">
        <v>38</v>
      </c>
      <c r="G2993" t="s">
        <v>22</v>
      </c>
      <c r="H2993" s="1">
        <v>44760</v>
      </c>
    </row>
    <row r="2994" spans="1:8">
      <c r="A2994" t="s">
        <v>6010</v>
      </c>
      <c r="B2994" t="s">
        <v>6011</v>
      </c>
      <c r="C2994" t="s">
        <v>10</v>
      </c>
      <c r="D2994">
        <v>50</v>
      </c>
      <c r="E2994" t="s">
        <v>101</v>
      </c>
      <c r="F2994" t="s">
        <v>21</v>
      </c>
      <c r="G2994" t="s">
        <v>22</v>
      </c>
      <c r="H2994" s="1">
        <v>45464</v>
      </c>
    </row>
    <row r="2995" spans="1:8">
      <c r="A2995" t="s">
        <v>6012</v>
      </c>
      <c r="B2995" t="s">
        <v>6013</v>
      </c>
      <c r="C2995" t="s">
        <v>10</v>
      </c>
      <c r="D2995">
        <v>52</v>
      </c>
      <c r="E2995" t="s">
        <v>41</v>
      </c>
      <c r="F2995" t="s">
        <v>42</v>
      </c>
      <c r="G2995" t="s">
        <v>17</v>
      </c>
      <c r="H2995" s="1">
        <v>44624</v>
      </c>
    </row>
    <row r="2996" spans="1:8">
      <c r="A2996" t="s">
        <v>6014</v>
      </c>
      <c r="B2996" t="s">
        <v>6015</v>
      </c>
      <c r="C2996" t="s">
        <v>31</v>
      </c>
      <c r="D2996">
        <v>24</v>
      </c>
      <c r="E2996" t="s">
        <v>87</v>
      </c>
      <c r="F2996" t="s">
        <v>88</v>
      </c>
      <c r="G2996" t="s">
        <v>78</v>
      </c>
      <c r="H2996" s="1">
        <v>45200</v>
      </c>
    </row>
    <row r="2997" spans="1:8">
      <c r="A2997" t="s">
        <v>6016</v>
      </c>
      <c r="B2997" t="s">
        <v>6017</v>
      </c>
      <c r="C2997" t="s">
        <v>10</v>
      </c>
      <c r="D2997">
        <v>24</v>
      </c>
      <c r="E2997" t="s">
        <v>101</v>
      </c>
      <c r="F2997" t="s">
        <v>21</v>
      </c>
      <c r="G2997" t="s">
        <v>22</v>
      </c>
      <c r="H2997" s="1">
        <v>45770</v>
      </c>
    </row>
    <row r="2998" spans="1:8">
      <c r="A2998" t="s">
        <v>6018</v>
      </c>
      <c r="B2998" t="s">
        <v>6019</v>
      </c>
      <c r="C2998" t="s">
        <v>31</v>
      </c>
      <c r="D2998">
        <v>47</v>
      </c>
      <c r="E2998" t="s">
        <v>60</v>
      </c>
      <c r="F2998" t="s">
        <v>21</v>
      </c>
      <c r="G2998" t="s">
        <v>22</v>
      </c>
      <c r="H2998" s="1">
        <v>44879</v>
      </c>
    </row>
    <row r="2999" spans="1:8">
      <c r="A2999" t="s">
        <v>6020</v>
      </c>
      <c r="B2999" t="s">
        <v>6021</v>
      </c>
      <c r="C2999" t="s">
        <v>31</v>
      </c>
      <c r="D2999">
        <v>25</v>
      </c>
      <c r="E2999" t="s">
        <v>128</v>
      </c>
      <c r="F2999" t="s">
        <v>129</v>
      </c>
      <c r="G2999" t="s">
        <v>78</v>
      </c>
      <c r="H2999" s="1">
        <v>45358</v>
      </c>
    </row>
    <row r="3000" spans="1:8">
      <c r="A3000" t="s">
        <v>6022</v>
      </c>
      <c r="B3000" t="s">
        <v>6023</v>
      </c>
      <c r="C3000" t="s">
        <v>10</v>
      </c>
      <c r="D3000">
        <v>41</v>
      </c>
      <c r="E3000" t="s">
        <v>11</v>
      </c>
      <c r="F3000" t="s">
        <v>11</v>
      </c>
      <c r="G3000" t="s">
        <v>12</v>
      </c>
      <c r="H3000" s="1">
        <v>45254</v>
      </c>
    </row>
    <row r="3001" spans="1:8">
      <c r="A3001" t="s">
        <v>6024</v>
      </c>
      <c r="B3001" t="s">
        <v>6025</v>
      </c>
      <c r="C3001" t="s">
        <v>31</v>
      </c>
      <c r="D3001">
        <v>20</v>
      </c>
      <c r="E3001" t="s">
        <v>41</v>
      </c>
      <c r="F3001" t="s">
        <v>42</v>
      </c>
      <c r="G3001" t="s">
        <v>17</v>
      </c>
      <c r="H3001" s="1">
        <v>44947</v>
      </c>
    </row>
    <row r="3002" spans="1:8">
      <c r="A3002" t="s">
        <v>6026</v>
      </c>
      <c r="B3002" t="s">
        <v>6027</v>
      </c>
      <c r="C3002" t="s">
        <v>10</v>
      </c>
      <c r="D3002">
        <v>51</v>
      </c>
      <c r="E3002" t="s">
        <v>149</v>
      </c>
      <c r="F3002" t="s">
        <v>38</v>
      </c>
      <c r="G3002" t="s">
        <v>22</v>
      </c>
      <c r="H3002" s="1">
        <v>45912</v>
      </c>
    </row>
    <row r="3003" spans="1:8">
      <c r="A3003" t="s">
        <v>6028</v>
      </c>
      <c r="B3003" t="s">
        <v>6029</v>
      </c>
      <c r="C3003" t="s">
        <v>31</v>
      </c>
      <c r="D3003">
        <v>66</v>
      </c>
      <c r="E3003" t="s">
        <v>45</v>
      </c>
      <c r="F3003" t="s">
        <v>46</v>
      </c>
      <c r="G3003" t="s">
        <v>17</v>
      </c>
      <c r="H3003" s="1">
        <v>45641</v>
      </c>
    </row>
    <row r="3004" spans="1:8">
      <c r="A3004" t="s">
        <v>6030</v>
      </c>
      <c r="B3004" t="s">
        <v>6031</v>
      </c>
      <c r="C3004" t="s">
        <v>31</v>
      </c>
      <c r="D3004">
        <v>26</v>
      </c>
      <c r="E3004" t="s">
        <v>101</v>
      </c>
      <c r="F3004" t="s">
        <v>21</v>
      </c>
      <c r="G3004" t="s">
        <v>22</v>
      </c>
      <c r="H3004" s="1">
        <v>45140</v>
      </c>
    </row>
    <row r="3005" spans="1:8">
      <c r="A3005" t="s">
        <v>6032</v>
      </c>
      <c r="B3005" t="s">
        <v>6033</v>
      </c>
      <c r="C3005" t="s">
        <v>31</v>
      </c>
      <c r="D3005">
        <v>43</v>
      </c>
      <c r="E3005" t="s">
        <v>101</v>
      </c>
      <c r="F3005" t="s">
        <v>21</v>
      </c>
      <c r="G3005" t="s">
        <v>22</v>
      </c>
      <c r="H3005" s="1">
        <v>45161</v>
      </c>
    </row>
    <row r="3006" spans="1:8">
      <c r="A3006" t="s">
        <v>6034</v>
      </c>
      <c r="B3006" t="s">
        <v>6035</v>
      </c>
      <c r="C3006" t="s">
        <v>10</v>
      </c>
      <c r="D3006">
        <v>49</v>
      </c>
      <c r="E3006" t="s">
        <v>20</v>
      </c>
      <c r="F3006" t="s">
        <v>21</v>
      </c>
      <c r="G3006" t="s">
        <v>22</v>
      </c>
      <c r="H3006" s="1">
        <v>45566</v>
      </c>
    </row>
    <row r="3007" spans="1:8">
      <c r="A3007" t="s">
        <v>6036</v>
      </c>
      <c r="B3007" t="s">
        <v>6037</v>
      </c>
      <c r="C3007" t="s">
        <v>31</v>
      </c>
      <c r="D3007">
        <v>37</v>
      </c>
      <c r="E3007" t="s">
        <v>218</v>
      </c>
      <c r="F3007" t="s">
        <v>219</v>
      </c>
      <c r="G3007" t="s">
        <v>17</v>
      </c>
      <c r="H3007" s="1">
        <v>45553</v>
      </c>
    </row>
    <row r="3008" spans="1:8">
      <c r="A3008" t="s">
        <v>6038</v>
      </c>
      <c r="B3008" t="s">
        <v>6039</v>
      </c>
      <c r="C3008" t="s">
        <v>10</v>
      </c>
      <c r="D3008">
        <v>51</v>
      </c>
      <c r="E3008" t="s">
        <v>37</v>
      </c>
      <c r="F3008" t="s">
        <v>38</v>
      </c>
      <c r="G3008" t="s">
        <v>22</v>
      </c>
      <c r="H3008" s="1">
        <v>45962</v>
      </c>
    </row>
    <row r="3009" spans="1:8">
      <c r="A3009" t="s">
        <v>6040</v>
      </c>
      <c r="B3009" t="s">
        <v>6041</v>
      </c>
      <c r="C3009" t="s">
        <v>31</v>
      </c>
      <c r="D3009">
        <v>55</v>
      </c>
      <c r="E3009" t="s">
        <v>76</v>
      </c>
      <c r="F3009" t="s">
        <v>77</v>
      </c>
      <c r="G3009" t="s">
        <v>78</v>
      </c>
      <c r="H3009" s="1">
        <v>44744</v>
      </c>
    </row>
    <row r="3010" spans="1:8">
      <c r="A3010" t="s">
        <v>6042</v>
      </c>
      <c r="B3010" t="s">
        <v>4931</v>
      </c>
      <c r="C3010" t="s">
        <v>10</v>
      </c>
      <c r="D3010">
        <v>59</v>
      </c>
      <c r="E3010" t="s">
        <v>27</v>
      </c>
      <c r="F3010" t="s">
        <v>28</v>
      </c>
      <c r="G3010" t="s">
        <v>12</v>
      </c>
      <c r="H3010" s="1">
        <v>45673</v>
      </c>
    </row>
    <row r="3011" spans="1:8">
      <c r="A3011" t="s">
        <v>6043</v>
      </c>
      <c r="B3011" t="s">
        <v>6044</v>
      </c>
      <c r="C3011" t="s">
        <v>10</v>
      </c>
      <c r="D3011">
        <v>21</v>
      </c>
      <c r="E3011" t="s">
        <v>20</v>
      </c>
      <c r="F3011" t="s">
        <v>21</v>
      </c>
      <c r="G3011" t="s">
        <v>22</v>
      </c>
      <c r="H3011" s="1">
        <v>45656</v>
      </c>
    </row>
    <row r="3012" spans="1:8">
      <c r="A3012" t="s">
        <v>6045</v>
      </c>
      <c r="B3012" t="s">
        <v>6046</v>
      </c>
      <c r="C3012" t="s">
        <v>31</v>
      </c>
      <c r="D3012">
        <v>52</v>
      </c>
      <c r="E3012" t="s">
        <v>112</v>
      </c>
      <c r="F3012" t="s">
        <v>113</v>
      </c>
      <c r="G3012" t="s">
        <v>78</v>
      </c>
      <c r="H3012" s="1">
        <v>44947</v>
      </c>
    </row>
    <row r="3013" spans="1:8">
      <c r="A3013" t="s">
        <v>6047</v>
      </c>
      <c r="B3013" t="s">
        <v>6048</v>
      </c>
      <c r="C3013" t="s">
        <v>10</v>
      </c>
      <c r="D3013">
        <v>50</v>
      </c>
      <c r="E3013" t="s">
        <v>41</v>
      </c>
      <c r="F3013" t="s">
        <v>42</v>
      </c>
      <c r="G3013" t="s">
        <v>17</v>
      </c>
      <c r="H3013" s="1">
        <v>45603</v>
      </c>
    </row>
    <row r="3014" spans="1:8">
      <c r="A3014" t="s">
        <v>6049</v>
      </c>
      <c r="B3014" t="s">
        <v>6050</v>
      </c>
      <c r="C3014" t="s">
        <v>10</v>
      </c>
      <c r="D3014">
        <v>47</v>
      </c>
      <c r="E3014" t="s">
        <v>20</v>
      </c>
      <c r="F3014" t="s">
        <v>21</v>
      </c>
      <c r="G3014" t="s">
        <v>22</v>
      </c>
      <c r="H3014" s="1">
        <v>45001</v>
      </c>
    </row>
    <row r="3015" spans="1:8">
      <c r="A3015" t="s">
        <v>6051</v>
      </c>
      <c r="B3015" t="s">
        <v>6052</v>
      </c>
      <c r="C3015" t="s">
        <v>31</v>
      </c>
      <c r="D3015">
        <v>22</v>
      </c>
      <c r="E3015" t="s">
        <v>76</v>
      </c>
      <c r="F3015" t="s">
        <v>77</v>
      </c>
      <c r="G3015" t="s">
        <v>78</v>
      </c>
      <c r="H3015" s="1">
        <v>46021</v>
      </c>
    </row>
    <row r="3016" spans="1:8">
      <c r="A3016" t="s">
        <v>6053</v>
      </c>
      <c r="B3016" t="s">
        <v>6054</v>
      </c>
      <c r="C3016" t="s">
        <v>10</v>
      </c>
      <c r="D3016">
        <v>20</v>
      </c>
      <c r="E3016" t="s">
        <v>69</v>
      </c>
      <c r="F3016" t="s">
        <v>69</v>
      </c>
      <c r="G3016" t="s">
        <v>12</v>
      </c>
      <c r="H3016" s="1">
        <v>44985</v>
      </c>
    </row>
    <row r="3017" spans="1:8">
      <c r="A3017" t="s">
        <v>6055</v>
      </c>
      <c r="B3017" t="s">
        <v>6056</v>
      </c>
      <c r="C3017" t="s">
        <v>10</v>
      </c>
      <c r="D3017">
        <v>36</v>
      </c>
      <c r="E3017" t="s">
        <v>76</v>
      </c>
      <c r="F3017" t="s">
        <v>77</v>
      </c>
      <c r="G3017" t="s">
        <v>78</v>
      </c>
      <c r="H3017" s="1">
        <v>45973</v>
      </c>
    </row>
    <row r="3018" spans="1:8">
      <c r="A3018" t="s">
        <v>6057</v>
      </c>
      <c r="B3018" t="s">
        <v>6058</v>
      </c>
      <c r="C3018" t="s">
        <v>31</v>
      </c>
      <c r="D3018">
        <v>29</v>
      </c>
      <c r="E3018" t="s">
        <v>34</v>
      </c>
      <c r="F3018" t="s">
        <v>16</v>
      </c>
      <c r="G3018" t="s">
        <v>17</v>
      </c>
      <c r="H3018" s="1">
        <v>45912</v>
      </c>
    </row>
    <row r="3019" spans="1:8">
      <c r="A3019" t="s">
        <v>6059</v>
      </c>
      <c r="B3019" t="s">
        <v>6060</v>
      </c>
      <c r="C3019" t="s">
        <v>31</v>
      </c>
      <c r="D3019">
        <v>20</v>
      </c>
      <c r="E3019" t="s">
        <v>76</v>
      </c>
      <c r="F3019" t="s">
        <v>77</v>
      </c>
      <c r="G3019" t="s">
        <v>78</v>
      </c>
      <c r="H3019" s="1">
        <v>45323</v>
      </c>
    </row>
    <row r="3020" spans="1:8">
      <c r="A3020" t="s">
        <v>6061</v>
      </c>
      <c r="B3020" t="s">
        <v>6062</v>
      </c>
      <c r="C3020" t="s">
        <v>31</v>
      </c>
      <c r="D3020">
        <v>45</v>
      </c>
      <c r="E3020" t="s">
        <v>218</v>
      </c>
      <c r="F3020" t="s">
        <v>219</v>
      </c>
      <c r="G3020" t="s">
        <v>17</v>
      </c>
      <c r="H3020" s="1">
        <v>45066</v>
      </c>
    </row>
    <row r="3021" spans="1:8">
      <c r="A3021" t="s">
        <v>6063</v>
      </c>
      <c r="B3021" t="s">
        <v>6064</v>
      </c>
      <c r="C3021" t="s">
        <v>31</v>
      </c>
      <c r="D3021">
        <v>44</v>
      </c>
      <c r="E3021" t="s">
        <v>134</v>
      </c>
      <c r="F3021" t="s">
        <v>28</v>
      </c>
      <c r="G3021" t="s">
        <v>12</v>
      </c>
      <c r="H3021" s="1">
        <v>44981</v>
      </c>
    </row>
    <row r="3022" spans="1:8">
      <c r="A3022" t="s">
        <v>6065</v>
      </c>
      <c r="B3022" t="s">
        <v>6066</v>
      </c>
      <c r="C3022" t="s">
        <v>31</v>
      </c>
      <c r="D3022">
        <v>35</v>
      </c>
      <c r="E3022" t="s">
        <v>69</v>
      </c>
      <c r="F3022" t="s">
        <v>69</v>
      </c>
      <c r="G3022" t="s">
        <v>12</v>
      </c>
      <c r="H3022" s="1">
        <v>45409</v>
      </c>
    </row>
    <row r="3023" spans="1:8">
      <c r="A3023" t="s">
        <v>6067</v>
      </c>
      <c r="B3023" t="s">
        <v>6068</v>
      </c>
      <c r="C3023" t="s">
        <v>31</v>
      </c>
      <c r="D3023">
        <v>56</v>
      </c>
      <c r="E3023" t="s">
        <v>76</v>
      </c>
      <c r="F3023" t="s">
        <v>77</v>
      </c>
      <c r="G3023" t="s">
        <v>78</v>
      </c>
      <c r="H3023" s="1">
        <v>45561</v>
      </c>
    </row>
    <row r="3024" spans="1:8">
      <c r="A3024" t="s">
        <v>6069</v>
      </c>
      <c r="B3024" t="s">
        <v>6070</v>
      </c>
      <c r="C3024" t="s">
        <v>31</v>
      </c>
      <c r="D3024">
        <v>26</v>
      </c>
      <c r="E3024" t="s">
        <v>41</v>
      </c>
      <c r="F3024" t="s">
        <v>42</v>
      </c>
      <c r="G3024" t="s">
        <v>17</v>
      </c>
      <c r="H3024" s="1">
        <v>44647</v>
      </c>
    </row>
    <row r="3025" spans="1:8">
      <c r="A3025" t="s">
        <v>6071</v>
      </c>
      <c r="B3025" t="s">
        <v>6072</v>
      </c>
      <c r="C3025" t="s">
        <v>10</v>
      </c>
      <c r="D3025">
        <v>25</v>
      </c>
      <c r="E3025" t="s">
        <v>63</v>
      </c>
      <c r="F3025" t="s">
        <v>64</v>
      </c>
      <c r="G3025" t="s">
        <v>12</v>
      </c>
      <c r="H3025" s="1">
        <v>44706</v>
      </c>
    </row>
    <row r="3026" spans="1:8">
      <c r="A3026" t="s">
        <v>6073</v>
      </c>
      <c r="B3026" t="s">
        <v>6074</v>
      </c>
      <c r="C3026" t="s">
        <v>10</v>
      </c>
      <c r="D3026">
        <v>52</v>
      </c>
      <c r="E3026" t="s">
        <v>41</v>
      </c>
      <c r="F3026" t="s">
        <v>42</v>
      </c>
      <c r="G3026" t="s">
        <v>17</v>
      </c>
      <c r="H3026" s="1">
        <v>44698</v>
      </c>
    </row>
    <row r="3027" spans="1:8">
      <c r="A3027" t="s">
        <v>6075</v>
      </c>
      <c r="B3027" t="s">
        <v>6076</v>
      </c>
      <c r="C3027" t="s">
        <v>31</v>
      </c>
      <c r="D3027">
        <v>36</v>
      </c>
      <c r="E3027" t="s">
        <v>37</v>
      </c>
      <c r="F3027" t="s">
        <v>38</v>
      </c>
      <c r="G3027" t="s">
        <v>22</v>
      </c>
      <c r="H3027" s="1">
        <v>45956</v>
      </c>
    </row>
    <row r="3028" spans="1:8">
      <c r="A3028" t="s">
        <v>6077</v>
      </c>
      <c r="B3028" t="s">
        <v>6078</v>
      </c>
      <c r="C3028" t="s">
        <v>31</v>
      </c>
      <c r="D3028">
        <v>24</v>
      </c>
      <c r="E3028" t="s">
        <v>37</v>
      </c>
      <c r="F3028" t="s">
        <v>38</v>
      </c>
      <c r="G3028" t="s">
        <v>22</v>
      </c>
      <c r="H3028" s="1">
        <v>45729</v>
      </c>
    </row>
    <row r="3029" spans="1:8">
      <c r="A3029" t="s">
        <v>6079</v>
      </c>
      <c r="B3029" t="s">
        <v>6080</v>
      </c>
      <c r="C3029" t="s">
        <v>10</v>
      </c>
      <c r="D3029">
        <v>53</v>
      </c>
      <c r="E3029" t="s">
        <v>69</v>
      </c>
      <c r="F3029" t="s">
        <v>69</v>
      </c>
      <c r="G3029" t="s">
        <v>12</v>
      </c>
      <c r="H3029" s="1">
        <v>44975</v>
      </c>
    </row>
    <row r="3030" spans="1:8">
      <c r="A3030" t="s">
        <v>6081</v>
      </c>
      <c r="B3030" t="s">
        <v>6082</v>
      </c>
      <c r="C3030" t="s">
        <v>10</v>
      </c>
      <c r="D3030">
        <v>48</v>
      </c>
      <c r="E3030" t="s">
        <v>76</v>
      </c>
      <c r="F3030" t="s">
        <v>77</v>
      </c>
      <c r="G3030" t="s">
        <v>78</v>
      </c>
      <c r="H3030" s="1">
        <v>44822</v>
      </c>
    </row>
    <row r="3031" spans="1:8">
      <c r="A3031" t="s">
        <v>6083</v>
      </c>
      <c r="B3031" t="s">
        <v>6084</v>
      </c>
      <c r="C3031" t="s">
        <v>10</v>
      </c>
      <c r="D3031">
        <v>42</v>
      </c>
      <c r="E3031" t="s">
        <v>20</v>
      </c>
      <c r="F3031" t="s">
        <v>21</v>
      </c>
      <c r="G3031" t="s">
        <v>22</v>
      </c>
      <c r="H3031" s="1">
        <v>45030</v>
      </c>
    </row>
    <row r="3032" spans="1:8">
      <c r="A3032" t="s">
        <v>6085</v>
      </c>
      <c r="B3032" t="s">
        <v>6086</v>
      </c>
      <c r="C3032" t="s">
        <v>31</v>
      </c>
      <c r="D3032">
        <v>57</v>
      </c>
      <c r="E3032" t="s">
        <v>15</v>
      </c>
      <c r="F3032" t="s">
        <v>16</v>
      </c>
      <c r="G3032" t="s">
        <v>17</v>
      </c>
      <c r="H3032" s="1">
        <v>45057</v>
      </c>
    </row>
    <row r="3033" spans="1:8">
      <c r="A3033" t="s">
        <v>6087</v>
      </c>
      <c r="B3033" t="s">
        <v>6088</v>
      </c>
      <c r="C3033" t="s">
        <v>10</v>
      </c>
      <c r="D3033">
        <v>60</v>
      </c>
      <c r="E3033" t="s">
        <v>101</v>
      </c>
      <c r="F3033" t="s">
        <v>21</v>
      </c>
      <c r="G3033" t="s">
        <v>22</v>
      </c>
      <c r="H3033" s="1">
        <v>45467</v>
      </c>
    </row>
    <row r="3034" spans="1:8">
      <c r="A3034" t="s">
        <v>6089</v>
      </c>
      <c r="B3034" t="s">
        <v>6090</v>
      </c>
      <c r="C3034" t="s">
        <v>31</v>
      </c>
      <c r="D3034">
        <v>20</v>
      </c>
      <c r="E3034" t="s">
        <v>76</v>
      </c>
      <c r="F3034" t="s">
        <v>77</v>
      </c>
      <c r="G3034" t="s">
        <v>78</v>
      </c>
      <c r="H3034" s="1">
        <v>44992</v>
      </c>
    </row>
    <row r="3035" spans="1:8">
      <c r="A3035" t="s">
        <v>6091</v>
      </c>
      <c r="B3035" t="s">
        <v>6092</v>
      </c>
      <c r="C3035" t="s">
        <v>31</v>
      </c>
      <c r="D3035">
        <v>29</v>
      </c>
      <c r="E3035" t="s">
        <v>101</v>
      </c>
      <c r="F3035" t="s">
        <v>21</v>
      </c>
      <c r="G3035" t="s">
        <v>22</v>
      </c>
      <c r="H3035" s="1">
        <v>45261</v>
      </c>
    </row>
    <row r="3036" spans="1:8">
      <c r="A3036" t="s">
        <v>6093</v>
      </c>
      <c r="B3036" t="s">
        <v>6094</v>
      </c>
      <c r="C3036" t="s">
        <v>10</v>
      </c>
      <c r="D3036">
        <v>43</v>
      </c>
      <c r="E3036" t="s">
        <v>101</v>
      </c>
      <c r="F3036" t="s">
        <v>21</v>
      </c>
      <c r="G3036" t="s">
        <v>22</v>
      </c>
      <c r="H3036" s="1">
        <v>45881</v>
      </c>
    </row>
    <row r="3037" spans="1:8">
      <c r="A3037" t="s">
        <v>6095</v>
      </c>
      <c r="B3037" t="s">
        <v>6096</v>
      </c>
      <c r="C3037" t="s">
        <v>10</v>
      </c>
      <c r="D3037">
        <v>32</v>
      </c>
      <c r="E3037" t="s">
        <v>37</v>
      </c>
      <c r="F3037" t="s">
        <v>38</v>
      </c>
      <c r="G3037" t="s">
        <v>22</v>
      </c>
      <c r="H3037" s="1">
        <v>45597</v>
      </c>
    </row>
    <row r="3038" spans="1:8">
      <c r="A3038" t="s">
        <v>6097</v>
      </c>
      <c r="B3038" t="s">
        <v>6098</v>
      </c>
      <c r="C3038" t="s">
        <v>31</v>
      </c>
      <c r="D3038">
        <v>19</v>
      </c>
      <c r="E3038" t="s">
        <v>34</v>
      </c>
      <c r="F3038" t="s">
        <v>16</v>
      </c>
      <c r="G3038" t="s">
        <v>17</v>
      </c>
      <c r="H3038" s="1">
        <v>45249</v>
      </c>
    </row>
    <row r="3039" spans="1:8">
      <c r="A3039" t="s">
        <v>6099</v>
      </c>
      <c r="B3039" t="s">
        <v>6100</v>
      </c>
      <c r="C3039" t="s">
        <v>31</v>
      </c>
      <c r="D3039">
        <v>53</v>
      </c>
      <c r="E3039" t="s">
        <v>87</v>
      </c>
      <c r="F3039" t="s">
        <v>88</v>
      </c>
      <c r="G3039" t="s">
        <v>78</v>
      </c>
      <c r="H3039" s="1">
        <v>45065</v>
      </c>
    </row>
    <row r="3040" spans="1:8">
      <c r="A3040" t="s">
        <v>6101</v>
      </c>
      <c r="B3040" t="s">
        <v>6102</v>
      </c>
      <c r="C3040" t="s">
        <v>10</v>
      </c>
      <c r="D3040">
        <v>25</v>
      </c>
      <c r="E3040" t="s">
        <v>218</v>
      </c>
      <c r="F3040" t="s">
        <v>219</v>
      </c>
      <c r="G3040" t="s">
        <v>17</v>
      </c>
      <c r="H3040" s="1">
        <v>45212</v>
      </c>
    </row>
    <row r="3041" spans="1:8">
      <c r="A3041" t="s">
        <v>6103</v>
      </c>
      <c r="B3041" t="s">
        <v>6104</v>
      </c>
      <c r="C3041" t="s">
        <v>10</v>
      </c>
      <c r="D3041">
        <v>57</v>
      </c>
      <c r="E3041" t="s">
        <v>69</v>
      </c>
      <c r="F3041" t="s">
        <v>69</v>
      </c>
      <c r="G3041" t="s">
        <v>12</v>
      </c>
      <c r="H3041" s="1">
        <v>45622</v>
      </c>
    </row>
    <row r="3042" spans="1:8">
      <c r="A3042" t="s">
        <v>6105</v>
      </c>
      <c r="B3042" t="s">
        <v>6106</v>
      </c>
      <c r="C3042" t="s">
        <v>10</v>
      </c>
      <c r="D3042">
        <v>27</v>
      </c>
      <c r="E3042" t="s">
        <v>134</v>
      </c>
      <c r="F3042" t="s">
        <v>28</v>
      </c>
      <c r="G3042" t="s">
        <v>12</v>
      </c>
      <c r="H3042" s="1">
        <v>45320</v>
      </c>
    </row>
    <row r="3043" spans="1:8">
      <c r="A3043" t="s">
        <v>6107</v>
      </c>
      <c r="B3043" t="s">
        <v>6108</v>
      </c>
      <c r="C3043" t="s">
        <v>31</v>
      </c>
      <c r="D3043">
        <v>18</v>
      </c>
      <c r="E3043" t="s">
        <v>76</v>
      </c>
      <c r="F3043" t="s">
        <v>77</v>
      </c>
      <c r="G3043" t="s">
        <v>78</v>
      </c>
      <c r="H3043" s="1">
        <v>44574</v>
      </c>
    </row>
    <row r="3044" spans="1:8">
      <c r="A3044" t="s">
        <v>6109</v>
      </c>
      <c r="B3044" t="s">
        <v>6110</v>
      </c>
      <c r="C3044" t="s">
        <v>10</v>
      </c>
      <c r="D3044">
        <v>32</v>
      </c>
      <c r="E3044" t="s">
        <v>149</v>
      </c>
      <c r="F3044" t="s">
        <v>38</v>
      </c>
      <c r="G3044" t="s">
        <v>22</v>
      </c>
      <c r="H3044" s="1">
        <v>45723</v>
      </c>
    </row>
    <row r="3045" spans="1:8">
      <c r="A3045" t="s">
        <v>6111</v>
      </c>
      <c r="B3045" t="s">
        <v>6112</v>
      </c>
      <c r="C3045" t="s">
        <v>10</v>
      </c>
      <c r="D3045">
        <v>19</v>
      </c>
      <c r="E3045" t="s">
        <v>11</v>
      </c>
      <c r="F3045" t="s">
        <v>11</v>
      </c>
      <c r="G3045" t="s">
        <v>12</v>
      </c>
      <c r="H3045" s="1">
        <v>45716</v>
      </c>
    </row>
    <row r="3046" spans="1:8">
      <c r="A3046" t="s">
        <v>6113</v>
      </c>
      <c r="B3046" t="s">
        <v>6114</v>
      </c>
      <c r="C3046" t="s">
        <v>31</v>
      </c>
      <c r="D3046">
        <v>36</v>
      </c>
      <c r="E3046" t="s">
        <v>69</v>
      </c>
      <c r="F3046" t="s">
        <v>69</v>
      </c>
      <c r="G3046" t="s">
        <v>12</v>
      </c>
      <c r="H3046" s="1">
        <v>45732</v>
      </c>
    </row>
    <row r="3047" spans="1:8">
      <c r="A3047" t="s">
        <v>6115</v>
      </c>
      <c r="B3047" t="s">
        <v>6116</v>
      </c>
      <c r="C3047" t="s">
        <v>10</v>
      </c>
      <c r="D3047">
        <v>61</v>
      </c>
      <c r="E3047" t="s">
        <v>69</v>
      </c>
      <c r="F3047" t="s">
        <v>69</v>
      </c>
      <c r="G3047" t="s">
        <v>12</v>
      </c>
      <c r="H3047" s="1">
        <v>45482</v>
      </c>
    </row>
    <row r="3048" spans="1:8">
      <c r="A3048" t="s">
        <v>6117</v>
      </c>
      <c r="B3048" t="s">
        <v>6118</v>
      </c>
      <c r="C3048" t="s">
        <v>31</v>
      </c>
      <c r="D3048">
        <v>48</v>
      </c>
      <c r="E3048" t="s">
        <v>37</v>
      </c>
      <c r="F3048" t="s">
        <v>38</v>
      </c>
      <c r="G3048" t="s">
        <v>22</v>
      </c>
      <c r="H3048" s="1">
        <v>45268</v>
      </c>
    </row>
    <row r="3049" spans="1:8">
      <c r="A3049" t="s">
        <v>6119</v>
      </c>
      <c r="B3049" t="s">
        <v>6120</v>
      </c>
      <c r="C3049" t="s">
        <v>31</v>
      </c>
      <c r="D3049">
        <v>32</v>
      </c>
      <c r="E3049" t="s">
        <v>76</v>
      </c>
      <c r="F3049" t="s">
        <v>77</v>
      </c>
      <c r="G3049" t="s">
        <v>78</v>
      </c>
      <c r="H3049" s="1">
        <v>45492</v>
      </c>
    </row>
    <row r="3050" spans="1:8">
      <c r="A3050" t="s">
        <v>6121</v>
      </c>
      <c r="B3050" t="s">
        <v>6122</v>
      </c>
      <c r="C3050" t="s">
        <v>31</v>
      </c>
      <c r="D3050">
        <v>28</v>
      </c>
      <c r="E3050" t="s">
        <v>34</v>
      </c>
      <c r="F3050" t="s">
        <v>16</v>
      </c>
      <c r="G3050" t="s">
        <v>17</v>
      </c>
      <c r="H3050" s="1">
        <v>45357</v>
      </c>
    </row>
    <row r="3051" spans="1:8">
      <c r="A3051" t="s">
        <v>6123</v>
      </c>
      <c r="B3051" t="s">
        <v>6124</v>
      </c>
      <c r="C3051" t="s">
        <v>31</v>
      </c>
      <c r="D3051">
        <v>27</v>
      </c>
      <c r="E3051" t="s">
        <v>20</v>
      </c>
      <c r="F3051" t="s">
        <v>21</v>
      </c>
      <c r="G3051" t="s">
        <v>22</v>
      </c>
      <c r="H3051" s="1">
        <v>45446</v>
      </c>
    </row>
    <row r="3052" spans="1:8">
      <c r="A3052" t="s">
        <v>6125</v>
      </c>
      <c r="B3052" t="s">
        <v>6126</v>
      </c>
      <c r="C3052" t="s">
        <v>10</v>
      </c>
      <c r="D3052">
        <v>43</v>
      </c>
      <c r="E3052" t="s">
        <v>41</v>
      </c>
      <c r="F3052" t="s">
        <v>42</v>
      </c>
      <c r="G3052" t="s">
        <v>17</v>
      </c>
      <c r="H3052" s="1">
        <v>46017</v>
      </c>
    </row>
    <row r="3053" spans="1:8">
      <c r="A3053" t="s">
        <v>6127</v>
      </c>
      <c r="B3053" t="s">
        <v>6128</v>
      </c>
      <c r="C3053" t="s">
        <v>31</v>
      </c>
      <c r="D3053">
        <v>44</v>
      </c>
      <c r="E3053" t="s">
        <v>45</v>
      </c>
      <c r="F3053" t="s">
        <v>46</v>
      </c>
      <c r="G3053" t="s">
        <v>17</v>
      </c>
      <c r="H3053" s="1">
        <v>44988</v>
      </c>
    </row>
    <row r="3054" spans="1:8">
      <c r="A3054" t="s">
        <v>6129</v>
      </c>
      <c r="B3054" t="s">
        <v>6130</v>
      </c>
      <c r="C3054" t="s">
        <v>31</v>
      </c>
      <c r="D3054">
        <v>42</v>
      </c>
      <c r="E3054" t="s">
        <v>112</v>
      </c>
      <c r="F3054" t="s">
        <v>113</v>
      </c>
      <c r="G3054" t="s">
        <v>78</v>
      </c>
      <c r="H3054" s="1">
        <v>45488</v>
      </c>
    </row>
    <row r="3055" spans="1:8">
      <c r="A3055" t="s">
        <v>6131</v>
      </c>
      <c r="B3055" t="s">
        <v>6132</v>
      </c>
      <c r="C3055" t="s">
        <v>31</v>
      </c>
      <c r="D3055">
        <v>26</v>
      </c>
      <c r="E3055" t="s">
        <v>37</v>
      </c>
      <c r="F3055" t="s">
        <v>38</v>
      </c>
      <c r="G3055" t="s">
        <v>22</v>
      </c>
      <c r="H3055" s="1">
        <v>45229</v>
      </c>
    </row>
    <row r="3056" spans="1:8">
      <c r="A3056" t="s">
        <v>6133</v>
      </c>
      <c r="B3056" t="s">
        <v>6134</v>
      </c>
      <c r="C3056" t="s">
        <v>10</v>
      </c>
      <c r="D3056">
        <v>63</v>
      </c>
      <c r="E3056" t="s">
        <v>63</v>
      </c>
      <c r="F3056" t="s">
        <v>64</v>
      </c>
      <c r="G3056" t="s">
        <v>12</v>
      </c>
      <c r="H3056" s="1">
        <v>45065</v>
      </c>
    </row>
    <row r="3057" spans="1:8">
      <c r="A3057" t="s">
        <v>6135</v>
      </c>
      <c r="B3057" t="s">
        <v>6136</v>
      </c>
      <c r="C3057" t="s">
        <v>31</v>
      </c>
      <c r="D3057">
        <v>47</v>
      </c>
      <c r="E3057" t="s">
        <v>49</v>
      </c>
      <c r="F3057" t="s">
        <v>16</v>
      </c>
      <c r="G3057" t="s">
        <v>17</v>
      </c>
      <c r="H3057" s="1">
        <v>45912</v>
      </c>
    </row>
    <row r="3058" spans="1:8">
      <c r="A3058" t="s">
        <v>6137</v>
      </c>
      <c r="B3058" t="s">
        <v>6138</v>
      </c>
      <c r="C3058" t="s">
        <v>31</v>
      </c>
      <c r="D3058">
        <v>31</v>
      </c>
      <c r="E3058" t="s">
        <v>149</v>
      </c>
      <c r="F3058" t="s">
        <v>38</v>
      </c>
      <c r="G3058" t="s">
        <v>22</v>
      </c>
      <c r="H3058" s="1">
        <v>45329</v>
      </c>
    </row>
    <row r="3059" spans="1:8">
      <c r="A3059" t="s">
        <v>6139</v>
      </c>
      <c r="B3059" t="s">
        <v>6140</v>
      </c>
      <c r="C3059" t="s">
        <v>31</v>
      </c>
      <c r="D3059">
        <v>37</v>
      </c>
      <c r="E3059" t="s">
        <v>149</v>
      </c>
      <c r="F3059" t="s">
        <v>38</v>
      </c>
      <c r="G3059" t="s">
        <v>22</v>
      </c>
      <c r="H3059" s="1">
        <v>44784</v>
      </c>
    </row>
    <row r="3060" spans="1:8">
      <c r="A3060" t="s">
        <v>6141</v>
      </c>
      <c r="B3060" t="s">
        <v>6142</v>
      </c>
      <c r="C3060" t="s">
        <v>10</v>
      </c>
      <c r="D3060">
        <v>30</v>
      </c>
      <c r="E3060" t="s">
        <v>128</v>
      </c>
      <c r="F3060" t="s">
        <v>129</v>
      </c>
      <c r="G3060" t="s">
        <v>78</v>
      </c>
      <c r="H3060" s="1">
        <v>45406</v>
      </c>
    </row>
    <row r="3061" spans="1:8">
      <c r="A3061" t="s">
        <v>6143</v>
      </c>
      <c r="B3061" t="s">
        <v>6144</v>
      </c>
      <c r="C3061" t="s">
        <v>31</v>
      </c>
      <c r="D3061">
        <v>51</v>
      </c>
      <c r="E3061" t="s">
        <v>218</v>
      </c>
      <c r="F3061" t="s">
        <v>219</v>
      </c>
      <c r="G3061" t="s">
        <v>17</v>
      </c>
      <c r="H3061" s="1">
        <v>44882</v>
      </c>
    </row>
    <row r="3062" spans="1:8">
      <c r="A3062" t="s">
        <v>6145</v>
      </c>
      <c r="B3062" t="s">
        <v>6146</v>
      </c>
      <c r="C3062" t="s">
        <v>10</v>
      </c>
      <c r="D3062">
        <v>42</v>
      </c>
      <c r="E3062" t="s">
        <v>149</v>
      </c>
      <c r="F3062" t="s">
        <v>38</v>
      </c>
      <c r="G3062" t="s">
        <v>22</v>
      </c>
      <c r="H3062" s="1">
        <v>44610</v>
      </c>
    </row>
    <row r="3063" spans="1:8">
      <c r="A3063" t="s">
        <v>6147</v>
      </c>
      <c r="B3063" t="s">
        <v>6148</v>
      </c>
      <c r="C3063" t="s">
        <v>10</v>
      </c>
      <c r="D3063">
        <v>59</v>
      </c>
      <c r="E3063" t="s">
        <v>101</v>
      </c>
      <c r="F3063" t="s">
        <v>21</v>
      </c>
      <c r="G3063" t="s">
        <v>22</v>
      </c>
      <c r="H3063" s="1">
        <v>45121</v>
      </c>
    </row>
    <row r="3064" spans="1:8">
      <c r="A3064" t="s">
        <v>6149</v>
      </c>
      <c r="B3064" t="s">
        <v>6150</v>
      </c>
      <c r="C3064" t="s">
        <v>31</v>
      </c>
      <c r="D3064">
        <v>38</v>
      </c>
      <c r="E3064" t="s">
        <v>101</v>
      </c>
      <c r="F3064" t="s">
        <v>21</v>
      </c>
      <c r="G3064" t="s">
        <v>22</v>
      </c>
      <c r="H3064" s="1">
        <v>44870</v>
      </c>
    </row>
    <row r="3065" spans="1:8">
      <c r="A3065" t="s">
        <v>6151</v>
      </c>
      <c r="B3065" t="s">
        <v>6152</v>
      </c>
      <c r="C3065" t="s">
        <v>31</v>
      </c>
      <c r="D3065">
        <v>57</v>
      </c>
      <c r="E3065" t="s">
        <v>101</v>
      </c>
      <c r="F3065" t="s">
        <v>21</v>
      </c>
      <c r="G3065" t="s">
        <v>22</v>
      </c>
      <c r="H3065" s="1">
        <v>45558</v>
      </c>
    </row>
    <row r="3066" spans="1:8">
      <c r="A3066" t="s">
        <v>6153</v>
      </c>
      <c r="B3066" t="s">
        <v>6154</v>
      </c>
      <c r="C3066" t="s">
        <v>10</v>
      </c>
      <c r="D3066">
        <v>61</v>
      </c>
      <c r="E3066" t="s">
        <v>128</v>
      </c>
      <c r="F3066" t="s">
        <v>129</v>
      </c>
      <c r="G3066" t="s">
        <v>78</v>
      </c>
      <c r="H3066" s="1">
        <v>45648</v>
      </c>
    </row>
    <row r="3067" spans="1:8">
      <c r="A3067" t="s">
        <v>6155</v>
      </c>
      <c r="B3067" t="s">
        <v>6156</v>
      </c>
      <c r="C3067" t="s">
        <v>10</v>
      </c>
      <c r="D3067">
        <v>18</v>
      </c>
      <c r="E3067" t="s">
        <v>15</v>
      </c>
      <c r="F3067" t="s">
        <v>16</v>
      </c>
      <c r="G3067" t="s">
        <v>17</v>
      </c>
      <c r="H3067" s="1">
        <v>44737</v>
      </c>
    </row>
    <row r="3068" spans="1:8">
      <c r="A3068" t="s">
        <v>6157</v>
      </c>
      <c r="B3068" t="s">
        <v>6158</v>
      </c>
      <c r="C3068" t="s">
        <v>10</v>
      </c>
      <c r="D3068">
        <v>38</v>
      </c>
      <c r="E3068" t="s">
        <v>87</v>
      </c>
      <c r="F3068" t="s">
        <v>88</v>
      </c>
      <c r="G3068" t="s">
        <v>78</v>
      </c>
      <c r="H3068" s="1">
        <v>45240</v>
      </c>
    </row>
    <row r="3069" spans="1:8">
      <c r="A3069" t="s">
        <v>6159</v>
      </c>
      <c r="B3069" t="s">
        <v>6160</v>
      </c>
      <c r="C3069" t="s">
        <v>10</v>
      </c>
      <c r="D3069">
        <v>31</v>
      </c>
      <c r="E3069" t="s">
        <v>91</v>
      </c>
      <c r="F3069" t="s">
        <v>92</v>
      </c>
      <c r="G3069" t="s">
        <v>78</v>
      </c>
      <c r="H3069" s="1">
        <v>44977</v>
      </c>
    </row>
    <row r="3070" spans="1:8">
      <c r="A3070" t="s">
        <v>6161</v>
      </c>
      <c r="B3070" t="s">
        <v>6162</v>
      </c>
      <c r="C3070" t="s">
        <v>31</v>
      </c>
      <c r="D3070">
        <v>55</v>
      </c>
      <c r="E3070" t="s">
        <v>20</v>
      </c>
      <c r="F3070" t="s">
        <v>21</v>
      </c>
      <c r="G3070" t="s">
        <v>22</v>
      </c>
      <c r="H3070" s="1">
        <v>45305</v>
      </c>
    </row>
    <row r="3071" spans="1:8">
      <c r="A3071" t="s">
        <v>6163</v>
      </c>
      <c r="B3071" t="s">
        <v>6164</v>
      </c>
      <c r="C3071" t="s">
        <v>31</v>
      </c>
      <c r="D3071">
        <v>63</v>
      </c>
      <c r="E3071" t="s">
        <v>112</v>
      </c>
      <c r="F3071" t="s">
        <v>113</v>
      </c>
      <c r="G3071" t="s">
        <v>78</v>
      </c>
      <c r="H3071" s="1">
        <v>45534</v>
      </c>
    </row>
    <row r="3072" spans="1:8">
      <c r="A3072" t="s">
        <v>6165</v>
      </c>
      <c r="B3072" t="s">
        <v>6166</v>
      </c>
      <c r="C3072" t="s">
        <v>10</v>
      </c>
      <c r="D3072">
        <v>27</v>
      </c>
      <c r="E3072" t="s">
        <v>45</v>
      </c>
      <c r="F3072" t="s">
        <v>46</v>
      </c>
      <c r="G3072" t="s">
        <v>17</v>
      </c>
      <c r="H3072" s="1">
        <v>44769</v>
      </c>
    </row>
    <row r="3073" spans="1:8">
      <c r="A3073" t="s">
        <v>6167</v>
      </c>
      <c r="B3073" t="s">
        <v>6168</v>
      </c>
      <c r="C3073" t="s">
        <v>31</v>
      </c>
      <c r="D3073">
        <v>28</v>
      </c>
      <c r="E3073" t="s">
        <v>15</v>
      </c>
      <c r="F3073" t="s">
        <v>16</v>
      </c>
      <c r="G3073" t="s">
        <v>17</v>
      </c>
      <c r="H3073" s="1">
        <v>45652</v>
      </c>
    </row>
    <row r="3074" spans="1:8">
      <c r="A3074" t="s">
        <v>6169</v>
      </c>
      <c r="B3074" t="s">
        <v>6170</v>
      </c>
      <c r="C3074" t="s">
        <v>31</v>
      </c>
      <c r="D3074">
        <v>62</v>
      </c>
      <c r="E3074" t="s">
        <v>149</v>
      </c>
      <c r="F3074" t="s">
        <v>38</v>
      </c>
      <c r="G3074" t="s">
        <v>22</v>
      </c>
      <c r="H3074" s="1">
        <v>45995</v>
      </c>
    </row>
    <row r="3075" spans="1:8">
      <c r="A3075" t="s">
        <v>6171</v>
      </c>
      <c r="B3075" t="s">
        <v>6172</v>
      </c>
      <c r="C3075" t="s">
        <v>10</v>
      </c>
      <c r="D3075">
        <v>46</v>
      </c>
      <c r="E3075" t="s">
        <v>76</v>
      </c>
      <c r="F3075" t="s">
        <v>77</v>
      </c>
      <c r="G3075" t="s">
        <v>78</v>
      </c>
      <c r="H3075" s="1">
        <v>44794</v>
      </c>
    </row>
    <row r="3076" spans="1:8">
      <c r="A3076" t="s">
        <v>6173</v>
      </c>
      <c r="B3076" t="s">
        <v>6174</v>
      </c>
      <c r="C3076" t="s">
        <v>31</v>
      </c>
      <c r="D3076">
        <v>48</v>
      </c>
      <c r="E3076" t="s">
        <v>15</v>
      </c>
      <c r="F3076" t="s">
        <v>16</v>
      </c>
      <c r="G3076" t="s">
        <v>17</v>
      </c>
      <c r="H3076" s="1">
        <v>44839</v>
      </c>
    </row>
    <row r="3077" spans="1:8">
      <c r="A3077" t="s">
        <v>6175</v>
      </c>
      <c r="B3077" t="s">
        <v>6176</v>
      </c>
      <c r="C3077" t="s">
        <v>31</v>
      </c>
      <c r="D3077">
        <v>46</v>
      </c>
      <c r="E3077" t="s">
        <v>101</v>
      </c>
      <c r="F3077" t="s">
        <v>21</v>
      </c>
      <c r="G3077" t="s">
        <v>22</v>
      </c>
      <c r="H3077" s="1">
        <v>44602</v>
      </c>
    </row>
    <row r="3078" spans="1:8">
      <c r="A3078" t="s">
        <v>6177</v>
      </c>
      <c r="B3078" t="s">
        <v>6178</v>
      </c>
      <c r="C3078" t="s">
        <v>10</v>
      </c>
      <c r="D3078">
        <v>49</v>
      </c>
      <c r="E3078" t="s">
        <v>63</v>
      </c>
      <c r="F3078" t="s">
        <v>64</v>
      </c>
      <c r="G3078" t="s">
        <v>12</v>
      </c>
      <c r="H3078" s="1">
        <v>45478</v>
      </c>
    </row>
    <row r="3079" spans="1:8">
      <c r="A3079" t="s">
        <v>6179</v>
      </c>
      <c r="B3079" t="s">
        <v>6180</v>
      </c>
      <c r="C3079" t="s">
        <v>31</v>
      </c>
      <c r="D3079">
        <v>23</v>
      </c>
      <c r="E3079" t="s">
        <v>128</v>
      </c>
      <c r="F3079" t="s">
        <v>129</v>
      </c>
      <c r="G3079" t="s">
        <v>78</v>
      </c>
      <c r="H3079" s="1">
        <v>45266</v>
      </c>
    </row>
    <row r="3080" spans="1:8">
      <c r="A3080" t="s">
        <v>6181</v>
      </c>
      <c r="B3080" t="s">
        <v>6182</v>
      </c>
      <c r="C3080" t="s">
        <v>10</v>
      </c>
      <c r="D3080">
        <v>57</v>
      </c>
      <c r="E3080" t="s">
        <v>87</v>
      </c>
      <c r="F3080" t="s">
        <v>88</v>
      </c>
      <c r="G3080" t="s">
        <v>78</v>
      </c>
      <c r="H3080" s="1">
        <v>44924</v>
      </c>
    </row>
    <row r="3081" spans="1:8">
      <c r="A3081" t="s">
        <v>6183</v>
      </c>
      <c r="B3081" t="s">
        <v>6184</v>
      </c>
      <c r="C3081" t="s">
        <v>10</v>
      </c>
      <c r="D3081">
        <v>68</v>
      </c>
      <c r="E3081" t="s">
        <v>149</v>
      </c>
      <c r="F3081" t="s">
        <v>38</v>
      </c>
      <c r="G3081" t="s">
        <v>22</v>
      </c>
      <c r="H3081" s="1">
        <v>44868</v>
      </c>
    </row>
    <row r="3082" spans="1:8">
      <c r="A3082" t="s">
        <v>6185</v>
      </c>
      <c r="B3082" t="s">
        <v>6186</v>
      </c>
      <c r="C3082" t="s">
        <v>31</v>
      </c>
      <c r="D3082">
        <v>36</v>
      </c>
      <c r="E3082" t="s">
        <v>76</v>
      </c>
      <c r="F3082" t="s">
        <v>77</v>
      </c>
      <c r="G3082" t="s">
        <v>78</v>
      </c>
      <c r="H3082" s="1">
        <v>45860</v>
      </c>
    </row>
    <row r="3083" spans="1:8">
      <c r="A3083" t="s">
        <v>6187</v>
      </c>
      <c r="B3083" t="s">
        <v>6188</v>
      </c>
      <c r="C3083" t="s">
        <v>31</v>
      </c>
      <c r="D3083">
        <v>19</v>
      </c>
      <c r="E3083" t="s">
        <v>11</v>
      </c>
      <c r="F3083" t="s">
        <v>11</v>
      </c>
      <c r="G3083" t="s">
        <v>12</v>
      </c>
      <c r="H3083" s="1">
        <v>45288</v>
      </c>
    </row>
    <row r="3084" spans="1:8">
      <c r="A3084" t="s">
        <v>6189</v>
      </c>
      <c r="B3084" t="s">
        <v>6190</v>
      </c>
      <c r="C3084" t="s">
        <v>10</v>
      </c>
      <c r="D3084">
        <v>41</v>
      </c>
      <c r="E3084" t="s">
        <v>27</v>
      </c>
      <c r="F3084" t="s">
        <v>28</v>
      </c>
      <c r="G3084" t="s">
        <v>12</v>
      </c>
      <c r="H3084" s="1">
        <v>45417</v>
      </c>
    </row>
    <row r="3085" spans="1:8">
      <c r="A3085" t="s">
        <v>6191</v>
      </c>
      <c r="B3085" t="s">
        <v>6192</v>
      </c>
      <c r="C3085" t="s">
        <v>31</v>
      </c>
      <c r="D3085">
        <v>51</v>
      </c>
      <c r="E3085" t="s">
        <v>76</v>
      </c>
      <c r="F3085" t="s">
        <v>77</v>
      </c>
      <c r="G3085" t="s">
        <v>78</v>
      </c>
      <c r="H3085" s="1">
        <v>45613</v>
      </c>
    </row>
    <row r="3086" spans="1:8">
      <c r="A3086" t="s">
        <v>6193</v>
      </c>
      <c r="B3086" t="s">
        <v>6194</v>
      </c>
      <c r="C3086" t="s">
        <v>31</v>
      </c>
      <c r="D3086">
        <v>28</v>
      </c>
      <c r="E3086" t="s">
        <v>87</v>
      </c>
      <c r="F3086" t="s">
        <v>88</v>
      </c>
      <c r="G3086" t="s">
        <v>78</v>
      </c>
      <c r="H3086" s="1">
        <v>45564</v>
      </c>
    </row>
    <row r="3087" spans="1:8">
      <c r="A3087" t="s">
        <v>6195</v>
      </c>
      <c r="B3087" t="s">
        <v>6196</v>
      </c>
      <c r="C3087" t="s">
        <v>31</v>
      </c>
      <c r="D3087">
        <v>34</v>
      </c>
      <c r="E3087" t="s">
        <v>34</v>
      </c>
      <c r="F3087" t="s">
        <v>16</v>
      </c>
      <c r="G3087" t="s">
        <v>17</v>
      </c>
      <c r="H3087" s="1">
        <v>45996</v>
      </c>
    </row>
    <row r="3088" spans="1:8">
      <c r="A3088" t="s">
        <v>6197</v>
      </c>
      <c r="B3088" t="s">
        <v>6198</v>
      </c>
      <c r="C3088" t="s">
        <v>10</v>
      </c>
      <c r="D3088">
        <v>35</v>
      </c>
      <c r="E3088" t="s">
        <v>149</v>
      </c>
      <c r="F3088" t="s">
        <v>38</v>
      </c>
      <c r="G3088" t="s">
        <v>22</v>
      </c>
      <c r="H3088" s="1">
        <v>45253</v>
      </c>
    </row>
    <row r="3089" spans="1:8">
      <c r="A3089" t="s">
        <v>6199</v>
      </c>
      <c r="B3089" t="s">
        <v>2042</v>
      </c>
      <c r="C3089" t="s">
        <v>10</v>
      </c>
      <c r="D3089">
        <v>39</v>
      </c>
      <c r="E3089" t="s">
        <v>69</v>
      </c>
      <c r="F3089" t="s">
        <v>69</v>
      </c>
      <c r="G3089" t="s">
        <v>12</v>
      </c>
      <c r="H3089" s="1">
        <v>45912</v>
      </c>
    </row>
    <row r="3090" spans="1:8">
      <c r="A3090" t="s">
        <v>6200</v>
      </c>
      <c r="B3090" t="s">
        <v>6201</v>
      </c>
      <c r="C3090" t="s">
        <v>10</v>
      </c>
      <c r="D3090">
        <v>65</v>
      </c>
      <c r="E3090" t="s">
        <v>101</v>
      </c>
      <c r="F3090" t="s">
        <v>21</v>
      </c>
      <c r="G3090" t="s">
        <v>22</v>
      </c>
      <c r="H3090" s="1">
        <v>45840</v>
      </c>
    </row>
    <row r="3091" spans="1:8">
      <c r="A3091" t="s">
        <v>6202</v>
      </c>
      <c r="B3091" t="s">
        <v>6203</v>
      </c>
      <c r="C3091" t="s">
        <v>10</v>
      </c>
      <c r="D3091">
        <v>48</v>
      </c>
      <c r="E3091" t="s">
        <v>37</v>
      </c>
      <c r="F3091" t="s">
        <v>38</v>
      </c>
      <c r="G3091" t="s">
        <v>22</v>
      </c>
      <c r="H3091" s="1">
        <v>45341</v>
      </c>
    </row>
    <row r="3092" spans="1:8">
      <c r="A3092" t="s">
        <v>6204</v>
      </c>
      <c r="B3092" t="s">
        <v>6205</v>
      </c>
      <c r="C3092" t="s">
        <v>31</v>
      </c>
      <c r="D3092">
        <v>62</v>
      </c>
      <c r="E3092" t="s">
        <v>20</v>
      </c>
      <c r="F3092" t="s">
        <v>21</v>
      </c>
      <c r="G3092" t="s">
        <v>22</v>
      </c>
      <c r="H3092" s="1">
        <v>45985</v>
      </c>
    </row>
    <row r="3093" spans="1:8">
      <c r="A3093" t="s">
        <v>6206</v>
      </c>
      <c r="B3093" t="s">
        <v>6207</v>
      </c>
      <c r="C3093" t="s">
        <v>31</v>
      </c>
      <c r="D3093">
        <v>44</v>
      </c>
      <c r="E3093" t="s">
        <v>37</v>
      </c>
      <c r="F3093" t="s">
        <v>38</v>
      </c>
      <c r="G3093" t="s">
        <v>22</v>
      </c>
      <c r="H3093" s="1">
        <v>45611</v>
      </c>
    </row>
    <row r="3094" spans="1:8">
      <c r="A3094" t="s">
        <v>6208</v>
      </c>
      <c r="B3094" t="s">
        <v>6209</v>
      </c>
      <c r="C3094" t="s">
        <v>31</v>
      </c>
      <c r="D3094">
        <v>53</v>
      </c>
      <c r="E3094" t="s">
        <v>63</v>
      </c>
      <c r="F3094" t="s">
        <v>64</v>
      </c>
      <c r="G3094" t="s">
        <v>12</v>
      </c>
      <c r="H3094" s="1">
        <v>45271</v>
      </c>
    </row>
    <row r="3095" spans="1:8">
      <c r="A3095" t="s">
        <v>6210</v>
      </c>
      <c r="B3095" t="s">
        <v>6211</v>
      </c>
      <c r="C3095" t="s">
        <v>10</v>
      </c>
      <c r="D3095">
        <v>46</v>
      </c>
      <c r="E3095" t="s">
        <v>45</v>
      </c>
      <c r="F3095" t="s">
        <v>46</v>
      </c>
      <c r="G3095" t="s">
        <v>17</v>
      </c>
      <c r="H3095" s="1">
        <v>45108</v>
      </c>
    </row>
    <row r="3096" spans="1:8">
      <c r="A3096" t="s">
        <v>6212</v>
      </c>
      <c r="B3096" t="s">
        <v>6213</v>
      </c>
      <c r="C3096" t="s">
        <v>31</v>
      </c>
      <c r="D3096">
        <v>50</v>
      </c>
      <c r="E3096" t="s">
        <v>87</v>
      </c>
      <c r="F3096" t="s">
        <v>88</v>
      </c>
      <c r="G3096" t="s">
        <v>78</v>
      </c>
      <c r="H3096" s="1">
        <v>45926</v>
      </c>
    </row>
    <row r="3097" spans="1:8">
      <c r="A3097" t="s">
        <v>6214</v>
      </c>
      <c r="B3097" t="s">
        <v>6215</v>
      </c>
      <c r="C3097" t="s">
        <v>10</v>
      </c>
      <c r="D3097">
        <v>33</v>
      </c>
      <c r="E3097" t="s">
        <v>87</v>
      </c>
      <c r="F3097" t="s">
        <v>88</v>
      </c>
      <c r="G3097" t="s">
        <v>78</v>
      </c>
      <c r="H3097" s="1">
        <v>44825</v>
      </c>
    </row>
    <row r="3098" spans="1:8">
      <c r="A3098" t="s">
        <v>6216</v>
      </c>
      <c r="B3098" t="s">
        <v>6217</v>
      </c>
      <c r="C3098" t="s">
        <v>10</v>
      </c>
      <c r="D3098">
        <v>54</v>
      </c>
      <c r="E3098" t="s">
        <v>45</v>
      </c>
      <c r="F3098" t="s">
        <v>46</v>
      </c>
      <c r="G3098" t="s">
        <v>17</v>
      </c>
      <c r="H3098" s="1">
        <v>44695</v>
      </c>
    </row>
    <row r="3099" spans="1:8">
      <c r="A3099" t="s">
        <v>6218</v>
      </c>
      <c r="B3099" t="s">
        <v>6219</v>
      </c>
      <c r="C3099" t="s">
        <v>10</v>
      </c>
      <c r="D3099">
        <v>64</v>
      </c>
      <c r="E3099" t="s">
        <v>11</v>
      </c>
      <c r="F3099" t="s">
        <v>11</v>
      </c>
      <c r="G3099" t="s">
        <v>12</v>
      </c>
      <c r="H3099" s="1">
        <v>44716</v>
      </c>
    </row>
    <row r="3100" spans="1:8">
      <c r="A3100" t="s">
        <v>6220</v>
      </c>
      <c r="B3100" t="s">
        <v>6221</v>
      </c>
      <c r="C3100" t="s">
        <v>10</v>
      </c>
      <c r="D3100">
        <v>27</v>
      </c>
      <c r="E3100" t="s">
        <v>45</v>
      </c>
      <c r="F3100" t="s">
        <v>46</v>
      </c>
      <c r="G3100" t="s">
        <v>17</v>
      </c>
      <c r="H3100" s="1">
        <v>45826</v>
      </c>
    </row>
    <row r="3101" spans="1:8">
      <c r="A3101" t="s">
        <v>6222</v>
      </c>
      <c r="B3101" t="s">
        <v>6223</v>
      </c>
      <c r="C3101" t="s">
        <v>31</v>
      </c>
      <c r="D3101">
        <v>68</v>
      </c>
      <c r="E3101" t="s">
        <v>69</v>
      </c>
      <c r="F3101" t="s">
        <v>69</v>
      </c>
      <c r="G3101" t="s">
        <v>12</v>
      </c>
      <c r="H3101" s="1">
        <v>45854</v>
      </c>
    </row>
    <row r="3102" spans="1:8">
      <c r="A3102" t="s">
        <v>6224</v>
      </c>
      <c r="B3102" t="s">
        <v>6225</v>
      </c>
      <c r="C3102" t="s">
        <v>10</v>
      </c>
      <c r="D3102">
        <v>63</v>
      </c>
      <c r="E3102" t="s">
        <v>27</v>
      </c>
      <c r="F3102" t="s">
        <v>28</v>
      </c>
      <c r="G3102" t="s">
        <v>12</v>
      </c>
      <c r="H3102" s="1">
        <v>44811</v>
      </c>
    </row>
    <row r="3103" spans="1:8">
      <c r="A3103" t="s">
        <v>6226</v>
      </c>
      <c r="B3103" t="s">
        <v>6227</v>
      </c>
      <c r="C3103" t="s">
        <v>10</v>
      </c>
      <c r="D3103">
        <v>63</v>
      </c>
      <c r="E3103" t="s">
        <v>15</v>
      </c>
      <c r="F3103" t="s">
        <v>16</v>
      </c>
      <c r="G3103" t="s">
        <v>17</v>
      </c>
      <c r="H3103" s="1">
        <v>44942</v>
      </c>
    </row>
    <row r="3104" spans="1:8">
      <c r="A3104" t="s">
        <v>6228</v>
      </c>
      <c r="B3104" t="s">
        <v>6229</v>
      </c>
      <c r="C3104" t="s">
        <v>10</v>
      </c>
      <c r="D3104">
        <v>31</v>
      </c>
      <c r="E3104" t="s">
        <v>87</v>
      </c>
      <c r="F3104" t="s">
        <v>88</v>
      </c>
      <c r="G3104" t="s">
        <v>78</v>
      </c>
      <c r="H3104" s="1">
        <v>45448</v>
      </c>
    </row>
    <row r="3105" spans="1:8">
      <c r="A3105" t="s">
        <v>6230</v>
      </c>
      <c r="B3105" t="s">
        <v>6231</v>
      </c>
      <c r="C3105" t="s">
        <v>31</v>
      </c>
      <c r="D3105">
        <v>58</v>
      </c>
      <c r="E3105" t="s">
        <v>15</v>
      </c>
      <c r="F3105" t="s">
        <v>16</v>
      </c>
      <c r="G3105" t="s">
        <v>17</v>
      </c>
      <c r="H3105" s="1">
        <v>45354</v>
      </c>
    </row>
    <row r="3106" spans="1:8">
      <c r="A3106" t="s">
        <v>6232</v>
      </c>
      <c r="B3106" t="s">
        <v>6233</v>
      </c>
      <c r="C3106" t="s">
        <v>31</v>
      </c>
      <c r="D3106">
        <v>56</v>
      </c>
      <c r="E3106" t="s">
        <v>149</v>
      </c>
      <c r="F3106" t="s">
        <v>38</v>
      </c>
      <c r="G3106" t="s">
        <v>22</v>
      </c>
      <c r="H3106" s="1">
        <v>44966</v>
      </c>
    </row>
    <row r="3107" spans="1:8">
      <c r="A3107" t="s">
        <v>6234</v>
      </c>
      <c r="B3107" t="s">
        <v>6235</v>
      </c>
      <c r="C3107" t="s">
        <v>10</v>
      </c>
      <c r="D3107">
        <v>46</v>
      </c>
      <c r="E3107" t="s">
        <v>69</v>
      </c>
      <c r="F3107" t="s">
        <v>69</v>
      </c>
      <c r="G3107" t="s">
        <v>12</v>
      </c>
      <c r="H3107" s="1">
        <v>45151</v>
      </c>
    </row>
    <row r="3108" spans="1:8">
      <c r="A3108" t="s">
        <v>6236</v>
      </c>
      <c r="B3108" t="s">
        <v>6237</v>
      </c>
      <c r="C3108" t="s">
        <v>10</v>
      </c>
      <c r="D3108">
        <v>30</v>
      </c>
      <c r="E3108" t="s">
        <v>15</v>
      </c>
      <c r="F3108" t="s">
        <v>16</v>
      </c>
      <c r="G3108" t="s">
        <v>17</v>
      </c>
      <c r="H3108" s="1">
        <v>44724</v>
      </c>
    </row>
    <row r="3109" spans="1:8">
      <c r="A3109" t="s">
        <v>6238</v>
      </c>
      <c r="B3109" t="s">
        <v>6239</v>
      </c>
      <c r="C3109" t="s">
        <v>10</v>
      </c>
      <c r="D3109">
        <v>62</v>
      </c>
      <c r="E3109" t="s">
        <v>218</v>
      </c>
      <c r="F3109" t="s">
        <v>219</v>
      </c>
      <c r="G3109" t="s">
        <v>17</v>
      </c>
      <c r="H3109" s="1">
        <v>45740</v>
      </c>
    </row>
    <row r="3110" spans="1:8">
      <c r="A3110" t="s">
        <v>6240</v>
      </c>
      <c r="B3110" t="s">
        <v>6241</v>
      </c>
      <c r="C3110" t="s">
        <v>10</v>
      </c>
      <c r="D3110">
        <v>38</v>
      </c>
      <c r="E3110" t="s">
        <v>15</v>
      </c>
      <c r="F3110" t="s">
        <v>16</v>
      </c>
      <c r="G3110" t="s">
        <v>17</v>
      </c>
      <c r="H3110" s="1">
        <v>44947</v>
      </c>
    </row>
    <row r="3111" spans="1:8">
      <c r="A3111" t="s">
        <v>6242</v>
      </c>
      <c r="B3111" t="s">
        <v>6243</v>
      </c>
      <c r="C3111" t="s">
        <v>31</v>
      </c>
      <c r="D3111">
        <v>58</v>
      </c>
      <c r="E3111" t="s">
        <v>63</v>
      </c>
      <c r="F3111" t="s">
        <v>64</v>
      </c>
      <c r="G3111" t="s">
        <v>12</v>
      </c>
      <c r="H3111" s="1">
        <v>44894</v>
      </c>
    </row>
    <row r="3112" spans="1:8">
      <c r="A3112" t="s">
        <v>6244</v>
      </c>
      <c r="B3112" t="s">
        <v>6245</v>
      </c>
      <c r="C3112" t="s">
        <v>31</v>
      </c>
      <c r="D3112">
        <v>50</v>
      </c>
      <c r="E3112" t="s">
        <v>91</v>
      </c>
      <c r="F3112" t="s">
        <v>92</v>
      </c>
      <c r="G3112" t="s">
        <v>78</v>
      </c>
      <c r="H3112" s="1">
        <v>45793</v>
      </c>
    </row>
    <row r="3113" spans="1:8">
      <c r="A3113" t="s">
        <v>6246</v>
      </c>
      <c r="B3113" t="s">
        <v>6247</v>
      </c>
      <c r="C3113" t="s">
        <v>31</v>
      </c>
      <c r="D3113">
        <v>70</v>
      </c>
      <c r="E3113" t="s">
        <v>63</v>
      </c>
      <c r="F3113" t="s">
        <v>64</v>
      </c>
      <c r="G3113" t="s">
        <v>12</v>
      </c>
      <c r="H3113" s="1">
        <v>45435</v>
      </c>
    </row>
    <row r="3114" spans="1:8">
      <c r="A3114" t="s">
        <v>6248</v>
      </c>
      <c r="B3114" t="s">
        <v>6249</v>
      </c>
      <c r="C3114" t="s">
        <v>10</v>
      </c>
      <c r="D3114">
        <v>59</v>
      </c>
      <c r="E3114" t="s">
        <v>101</v>
      </c>
      <c r="F3114" t="s">
        <v>21</v>
      </c>
      <c r="G3114" t="s">
        <v>22</v>
      </c>
      <c r="H3114" s="1">
        <v>45648</v>
      </c>
    </row>
    <row r="3115" spans="1:8">
      <c r="A3115" t="s">
        <v>6250</v>
      </c>
      <c r="B3115" t="s">
        <v>6251</v>
      </c>
      <c r="C3115" t="s">
        <v>10</v>
      </c>
      <c r="D3115">
        <v>22</v>
      </c>
      <c r="E3115" t="s">
        <v>91</v>
      </c>
      <c r="F3115" t="s">
        <v>92</v>
      </c>
      <c r="G3115" t="s">
        <v>78</v>
      </c>
      <c r="H3115" s="1">
        <v>45138</v>
      </c>
    </row>
    <row r="3116" spans="1:8">
      <c r="A3116" t="s">
        <v>6252</v>
      </c>
      <c r="B3116" t="s">
        <v>3374</v>
      </c>
      <c r="C3116" t="s">
        <v>10</v>
      </c>
      <c r="D3116">
        <v>57</v>
      </c>
      <c r="E3116" t="s">
        <v>41</v>
      </c>
      <c r="F3116" t="s">
        <v>42</v>
      </c>
      <c r="G3116" t="s">
        <v>17</v>
      </c>
      <c r="H3116" s="1">
        <v>45266</v>
      </c>
    </row>
    <row r="3117" spans="1:8">
      <c r="A3117" t="s">
        <v>6253</v>
      </c>
      <c r="B3117" t="s">
        <v>6254</v>
      </c>
      <c r="C3117" t="s">
        <v>31</v>
      </c>
      <c r="D3117">
        <v>18</v>
      </c>
      <c r="E3117" t="s">
        <v>69</v>
      </c>
      <c r="F3117" t="s">
        <v>69</v>
      </c>
      <c r="G3117" t="s">
        <v>12</v>
      </c>
      <c r="H3117" s="1">
        <v>44725</v>
      </c>
    </row>
    <row r="3118" spans="1:8">
      <c r="A3118" t="s">
        <v>6255</v>
      </c>
      <c r="B3118" t="s">
        <v>6256</v>
      </c>
      <c r="C3118" t="s">
        <v>31</v>
      </c>
      <c r="D3118">
        <v>62</v>
      </c>
      <c r="E3118" t="s">
        <v>87</v>
      </c>
      <c r="F3118" t="s">
        <v>88</v>
      </c>
      <c r="G3118" t="s">
        <v>78</v>
      </c>
      <c r="H3118" s="1">
        <v>45214</v>
      </c>
    </row>
    <row r="3119" spans="1:8">
      <c r="A3119" t="s">
        <v>6257</v>
      </c>
      <c r="B3119" t="s">
        <v>6258</v>
      </c>
      <c r="C3119" t="s">
        <v>31</v>
      </c>
      <c r="D3119">
        <v>64</v>
      </c>
      <c r="E3119" t="s">
        <v>11</v>
      </c>
      <c r="F3119" t="s">
        <v>11</v>
      </c>
      <c r="G3119" t="s">
        <v>12</v>
      </c>
      <c r="H3119" s="1">
        <v>45727</v>
      </c>
    </row>
    <row r="3120" spans="1:8">
      <c r="A3120" t="s">
        <v>6259</v>
      </c>
      <c r="B3120" t="s">
        <v>4586</v>
      </c>
      <c r="C3120" t="s">
        <v>31</v>
      </c>
      <c r="D3120">
        <v>41</v>
      </c>
      <c r="E3120" t="s">
        <v>112</v>
      </c>
      <c r="F3120" t="s">
        <v>113</v>
      </c>
      <c r="G3120" t="s">
        <v>78</v>
      </c>
      <c r="H3120" s="1">
        <v>45295</v>
      </c>
    </row>
    <row r="3121" spans="1:8">
      <c r="A3121" t="s">
        <v>6260</v>
      </c>
      <c r="B3121" t="s">
        <v>6261</v>
      </c>
      <c r="C3121" t="s">
        <v>10</v>
      </c>
      <c r="D3121">
        <v>32</v>
      </c>
      <c r="E3121" t="s">
        <v>149</v>
      </c>
      <c r="F3121" t="s">
        <v>38</v>
      </c>
      <c r="G3121" t="s">
        <v>22</v>
      </c>
      <c r="H3121" s="1">
        <v>45203</v>
      </c>
    </row>
    <row r="3122" spans="1:8">
      <c r="A3122" t="s">
        <v>6262</v>
      </c>
      <c r="B3122" t="s">
        <v>6263</v>
      </c>
      <c r="C3122" t="s">
        <v>31</v>
      </c>
      <c r="D3122">
        <v>44</v>
      </c>
      <c r="E3122" t="s">
        <v>11</v>
      </c>
      <c r="F3122" t="s">
        <v>11</v>
      </c>
      <c r="G3122" t="s">
        <v>12</v>
      </c>
      <c r="H3122" s="1">
        <v>45976</v>
      </c>
    </row>
    <row r="3123" spans="1:8">
      <c r="A3123" t="s">
        <v>6264</v>
      </c>
      <c r="B3123" t="s">
        <v>6265</v>
      </c>
      <c r="C3123" t="s">
        <v>31</v>
      </c>
      <c r="D3123">
        <v>47</v>
      </c>
      <c r="E3123" t="s">
        <v>149</v>
      </c>
      <c r="F3123" t="s">
        <v>38</v>
      </c>
      <c r="G3123" t="s">
        <v>22</v>
      </c>
      <c r="H3123" s="1">
        <v>45226</v>
      </c>
    </row>
    <row r="3124" spans="1:8">
      <c r="A3124" t="s">
        <v>6266</v>
      </c>
      <c r="B3124" t="s">
        <v>6267</v>
      </c>
      <c r="C3124" t="s">
        <v>10</v>
      </c>
      <c r="D3124">
        <v>27</v>
      </c>
      <c r="E3124" t="s">
        <v>112</v>
      </c>
      <c r="F3124" t="s">
        <v>113</v>
      </c>
      <c r="G3124" t="s">
        <v>78</v>
      </c>
      <c r="H3124" s="1">
        <v>45488</v>
      </c>
    </row>
    <row r="3125" spans="1:8">
      <c r="A3125" t="s">
        <v>6268</v>
      </c>
      <c r="B3125" t="s">
        <v>6269</v>
      </c>
      <c r="C3125" t="s">
        <v>10</v>
      </c>
      <c r="D3125">
        <v>26</v>
      </c>
      <c r="E3125" t="s">
        <v>69</v>
      </c>
      <c r="F3125" t="s">
        <v>69</v>
      </c>
      <c r="G3125" t="s">
        <v>12</v>
      </c>
      <c r="H3125" s="1">
        <v>45421</v>
      </c>
    </row>
    <row r="3126" spans="1:8">
      <c r="A3126" t="s">
        <v>6270</v>
      </c>
      <c r="B3126" t="s">
        <v>6271</v>
      </c>
      <c r="C3126" t="s">
        <v>10</v>
      </c>
      <c r="D3126">
        <v>43</v>
      </c>
      <c r="E3126" t="s">
        <v>69</v>
      </c>
      <c r="F3126" t="s">
        <v>69</v>
      </c>
      <c r="G3126" t="s">
        <v>12</v>
      </c>
      <c r="H3126" s="1">
        <v>45856</v>
      </c>
    </row>
    <row r="3127" spans="1:8">
      <c r="A3127" t="s">
        <v>6272</v>
      </c>
      <c r="B3127" t="s">
        <v>6273</v>
      </c>
      <c r="C3127" t="s">
        <v>10</v>
      </c>
      <c r="D3127">
        <v>27</v>
      </c>
      <c r="E3127" t="s">
        <v>149</v>
      </c>
      <c r="F3127" t="s">
        <v>38</v>
      </c>
      <c r="G3127" t="s">
        <v>22</v>
      </c>
      <c r="H3127" s="1">
        <v>45917</v>
      </c>
    </row>
    <row r="3128" spans="1:8">
      <c r="A3128" t="s">
        <v>6274</v>
      </c>
      <c r="B3128" t="s">
        <v>6275</v>
      </c>
      <c r="C3128" t="s">
        <v>10</v>
      </c>
      <c r="D3128">
        <v>19</v>
      </c>
      <c r="E3128" t="s">
        <v>63</v>
      </c>
      <c r="F3128" t="s">
        <v>64</v>
      </c>
      <c r="G3128" t="s">
        <v>12</v>
      </c>
      <c r="H3128" s="1">
        <v>45006</v>
      </c>
    </row>
    <row r="3129" spans="1:8">
      <c r="A3129" t="s">
        <v>6276</v>
      </c>
      <c r="B3129" t="s">
        <v>6277</v>
      </c>
      <c r="C3129" t="s">
        <v>31</v>
      </c>
      <c r="D3129">
        <v>30</v>
      </c>
      <c r="E3129" t="s">
        <v>101</v>
      </c>
      <c r="F3129" t="s">
        <v>21</v>
      </c>
      <c r="G3129" t="s">
        <v>22</v>
      </c>
      <c r="H3129" s="1">
        <v>45116</v>
      </c>
    </row>
    <row r="3130" spans="1:8">
      <c r="A3130" t="s">
        <v>6278</v>
      </c>
      <c r="B3130" t="s">
        <v>6279</v>
      </c>
      <c r="C3130" t="s">
        <v>31</v>
      </c>
      <c r="D3130">
        <v>53</v>
      </c>
      <c r="E3130" t="s">
        <v>41</v>
      </c>
      <c r="F3130" t="s">
        <v>42</v>
      </c>
      <c r="G3130" t="s">
        <v>17</v>
      </c>
      <c r="H3130" s="1">
        <v>44886</v>
      </c>
    </row>
    <row r="3131" spans="1:8">
      <c r="A3131" t="s">
        <v>6280</v>
      </c>
      <c r="B3131" t="s">
        <v>6281</v>
      </c>
      <c r="C3131" t="s">
        <v>31</v>
      </c>
      <c r="D3131">
        <v>45</v>
      </c>
      <c r="E3131" t="s">
        <v>34</v>
      </c>
      <c r="F3131" t="s">
        <v>16</v>
      </c>
      <c r="G3131" t="s">
        <v>17</v>
      </c>
      <c r="H3131" s="1">
        <v>45558</v>
      </c>
    </row>
    <row r="3132" spans="1:8">
      <c r="A3132" t="s">
        <v>6282</v>
      </c>
      <c r="B3132" t="s">
        <v>6283</v>
      </c>
      <c r="C3132" t="s">
        <v>10</v>
      </c>
      <c r="D3132">
        <v>40</v>
      </c>
      <c r="E3132" t="s">
        <v>101</v>
      </c>
      <c r="F3132" t="s">
        <v>21</v>
      </c>
      <c r="G3132" t="s">
        <v>22</v>
      </c>
      <c r="H3132" s="1">
        <v>45560</v>
      </c>
    </row>
    <row r="3133" spans="1:8">
      <c r="A3133" t="s">
        <v>6284</v>
      </c>
      <c r="B3133" t="s">
        <v>6285</v>
      </c>
      <c r="C3133" t="s">
        <v>31</v>
      </c>
      <c r="D3133">
        <v>56</v>
      </c>
      <c r="E3133" t="s">
        <v>87</v>
      </c>
      <c r="F3133" t="s">
        <v>88</v>
      </c>
      <c r="G3133" t="s">
        <v>78</v>
      </c>
      <c r="H3133" s="1">
        <v>45224</v>
      </c>
    </row>
    <row r="3134" spans="1:8">
      <c r="A3134" t="s">
        <v>6286</v>
      </c>
      <c r="B3134" t="s">
        <v>6287</v>
      </c>
      <c r="C3134" t="s">
        <v>31</v>
      </c>
      <c r="D3134">
        <v>69</v>
      </c>
      <c r="E3134" t="s">
        <v>34</v>
      </c>
      <c r="F3134" t="s">
        <v>16</v>
      </c>
      <c r="G3134" t="s">
        <v>17</v>
      </c>
      <c r="H3134" s="1">
        <v>45624</v>
      </c>
    </row>
    <row r="3135" spans="1:8">
      <c r="A3135" t="s">
        <v>6288</v>
      </c>
      <c r="B3135" t="s">
        <v>6289</v>
      </c>
      <c r="C3135" t="s">
        <v>31</v>
      </c>
      <c r="D3135">
        <v>58</v>
      </c>
      <c r="E3135" t="s">
        <v>41</v>
      </c>
      <c r="F3135" t="s">
        <v>42</v>
      </c>
      <c r="G3135" t="s">
        <v>17</v>
      </c>
      <c r="H3135" s="1">
        <v>44588</v>
      </c>
    </row>
    <row r="3136" spans="1:8">
      <c r="A3136" t="s">
        <v>6290</v>
      </c>
      <c r="B3136" t="s">
        <v>6291</v>
      </c>
      <c r="C3136" t="s">
        <v>31</v>
      </c>
      <c r="D3136">
        <v>57</v>
      </c>
      <c r="E3136" t="s">
        <v>45</v>
      </c>
      <c r="F3136" t="s">
        <v>46</v>
      </c>
      <c r="G3136" t="s">
        <v>17</v>
      </c>
      <c r="H3136" s="1">
        <v>45962</v>
      </c>
    </row>
    <row r="3137" spans="1:8">
      <c r="A3137" t="s">
        <v>6292</v>
      </c>
      <c r="B3137" t="s">
        <v>6293</v>
      </c>
      <c r="C3137" t="s">
        <v>31</v>
      </c>
      <c r="D3137">
        <v>39</v>
      </c>
      <c r="E3137" t="s">
        <v>34</v>
      </c>
      <c r="F3137" t="s">
        <v>16</v>
      </c>
      <c r="G3137" t="s">
        <v>17</v>
      </c>
      <c r="H3137" s="1">
        <v>45646</v>
      </c>
    </row>
    <row r="3138" spans="1:8">
      <c r="A3138" t="s">
        <v>6294</v>
      </c>
      <c r="B3138" t="s">
        <v>6295</v>
      </c>
      <c r="C3138" t="s">
        <v>31</v>
      </c>
      <c r="D3138">
        <v>22</v>
      </c>
      <c r="E3138" t="s">
        <v>63</v>
      </c>
      <c r="F3138" t="s">
        <v>64</v>
      </c>
      <c r="G3138" t="s">
        <v>12</v>
      </c>
      <c r="H3138" s="1">
        <v>45318</v>
      </c>
    </row>
    <row r="3139" spans="1:8">
      <c r="A3139" t="s">
        <v>6296</v>
      </c>
      <c r="B3139" t="s">
        <v>6297</v>
      </c>
      <c r="C3139" t="s">
        <v>10</v>
      </c>
      <c r="D3139">
        <v>31</v>
      </c>
      <c r="E3139" t="s">
        <v>45</v>
      </c>
      <c r="F3139" t="s">
        <v>46</v>
      </c>
      <c r="G3139" t="s">
        <v>17</v>
      </c>
      <c r="H3139" s="1">
        <v>45416</v>
      </c>
    </row>
    <row r="3140" spans="1:8">
      <c r="A3140" t="s">
        <v>6298</v>
      </c>
      <c r="B3140" t="s">
        <v>6299</v>
      </c>
      <c r="C3140" t="s">
        <v>31</v>
      </c>
      <c r="D3140">
        <v>68</v>
      </c>
      <c r="E3140" t="s">
        <v>76</v>
      </c>
      <c r="F3140" t="s">
        <v>77</v>
      </c>
      <c r="G3140" t="s">
        <v>78</v>
      </c>
      <c r="H3140" s="1">
        <v>45202</v>
      </c>
    </row>
    <row r="3141" spans="1:8">
      <c r="A3141" t="s">
        <v>6300</v>
      </c>
      <c r="B3141" t="s">
        <v>6301</v>
      </c>
      <c r="C3141" t="s">
        <v>31</v>
      </c>
      <c r="D3141">
        <v>62</v>
      </c>
      <c r="E3141" t="s">
        <v>45</v>
      </c>
      <c r="F3141" t="s">
        <v>46</v>
      </c>
      <c r="G3141" t="s">
        <v>17</v>
      </c>
      <c r="H3141" s="1">
        <v>45744</v>
      </c>
    </row>
    <row r="3142" spans="1:8">
      <c r="A3142" t="s">
        <v>6302</v>
      </c>
      <c r="B3142" t="s">
        <v>6303</v>
      </c>
      <c r="C3142" t="s">
        <v>10</v>
      </c>
      <c r="D3142">
        <v>63</v>
      </c>
      <c r="E3142" t="s">
        <v>34</v>
      </c>
      <c r="F3142" t="s">
        <v>16</v>
      </c>
      <c r="G3142" t="s">
        <v>17</v>
      </c>
      <c r="H3142" s="1">
        <v>45221</v>
      </c>
    </row>
    <row r="3143" spans="1:8">
      <c r="A3143" t="s">
        <v>6304</v>
      </c>
      <c r="B3143" t="s">
        <v>6305</v>
      </c>
      <c r="C3143" t="s">
        <v>31</v>
      </c>
      <c r="D3143">
        <v>54</v>
      </c>
      <c r="E3143" t="s">
        <v>63</v>
      </c>
      <c r="F3143" t="s">
        <v>64</v>
      </c>
      <c r="G3143" t="s">
        <v>12</v>
      </c>
      <c r="H3143" s="1">
        <v>45072</v>
      </c>
    </row>
    <row r="3144" spans="1:8">
      <c r="A3144" t="s">
        <v>6306</v>
      </c>
      <c r="B3144" t="s">
        <v>815</v>
      </c>
      <c r="C3144" t="s">
        <v>10</v>
      </c>
      <c r="D3144">
        <v>42</v>
      </c>
      <c r="E3144" t="s">
        <v>20</v>
      </c>
      <c r="F3144" t="s">
        <v>21</v>
      </c>
      <c r="G3144" t="s">
        <v>22</v>
      </c>
      <c r="H3144" s="1">
        <v>45203</v>
      </c>
    </row>
    <row r="3145" spans="1:8">
      <c r="A3145" t="s">
        <v>6307</v>
      </c>
      <c r="B3145" t="s">
        <v>6308</v>
      </c>
      <c r="C3145" t="s">
        <v>10</v>
      </c>
      <c r="D3145">
        <v>51</v>
      </c>
      <c r="E3145" t="s">
        <v>27</v>
      </c>
      <c r="F3145" t="s">
        <v>28</v>
      </c>
      <c r="G3145" t="s">
        <v>12</v>
      </c>
      <c r="H3145" s="1">
        <v>45220</v>
      </c>
    </row>
    <row r="3146" spans="1:8">
      <c r="A3146" t="s">
        <v>6309</v>
      </c>
      <c r="B3146" t="s">
        <v>6310</v>
      </c>
      <c r="C3146" t="s">
        <v>10</v>
      </c>
      <c r="D3146">
        <v>46</v>
      </c>
      <c r="E3146" t="s">
        <v>49</v>
      </c>
      <c r="F3146" t="s">
        <v>21</v>
      </c>
      <c r="G3146" t="s">
        <v>22</v>
      </c>
      <c r="H3146" s="1">
        <v>45106</v>
      </c>
    </row>
    <row r="3147" spans="1:8">
      <c r="A3147" t="s">
        <v>6311</v>
      </c>
      <c r="B3147" t="s">
        <v>6312</v>
      </c>
      <c r="C3147" t="s">
        <v>10</v>
      </c>
      <c r="D3147">
        <v>41</v>
      </c>
      <c r="E3147" t="s">
        <v>101</v>
      </c>
      <c r="F3147" t="s">
        <v>21</v>
      </c>
      <c r="G3147" t="s">
        <v>22</v>
      </c>
      <c r="H3147" s="1">
        <v>45127</v>
      </c>
    </row>
    <row r="3148" spans="1:8">
      <c r="A3148" t="s">
        <v>6313</v>
      </c>
      <c r="B3148" t="s">
        <v>6314</v>
      </c>
      <c r="C3148" t="s">
        <v>10</v>
      </c>
      <c r="D3148">
        <v>32</v>
      </c>
      <c r="E3148" t="s">
        <v>87</v>
      </c>
      <c r="F3148" t="s">
        <v>88</v>
      </c>
      <c r="G3148" t="s">
        <v>78</v>
      </c>
      <c r="H3148" s="1">
        <v>45532</v>
      </c>
    </row>
    <row r="3149" spans="1:8">
      <c r="A3149" t="s">
        <v>6315</v>
      </c>
      <c r="B3149" t="s">
        <v>6316</v>
      </c>
      <c r="C3149" t="s">
        <v>31</v>
      </c>
      <c r="D3149">
        <v>53</v>
      </c>
      <c r="E3149" t="s">
        <v>134</v>
      </c>
      <c r="F3149" t="s">
        <v>28</v>
      </c>
      <c r="G3149" t="s">
        <v>12</v>
      </c>
      <c r="H3149" s="1">
        <v>45291</v>
      </c>
    </row>
    <row r="3150" spans="1:8">
      <c r="A3150" t="s">
        <v>6317</v>
      </c>
      <c r="B3150" t="s">
        <v>6318</v>
      </c>
      <c r="C3150" t="s">
        <v>31</v>
      </c>
      <c r="D3150">
        <v>38</v>
      </c>
      <c r="E3150" t="s">
        <v>45</v>
      </c>
      <c r="F3150" t="s">
        <v>46</v>
      </c>
      <c r="G3150" t="s">
        <v>17</v>
      </c>
      <c r="H3150" s="1">
        <v>45217</v>
      </c>
    </row>
    <row r="3151" spans="1:8">
      <c r="A3151" t="s">
        <v>6319</v>
      </c>
      <c r="B3151" t="s">
        <v>6320</v>
      </c>
      <c r="C3151" t="s">
        <v>10</v>
      </c>
      <c r="D3151">
        <v>56</v>
      </c>
      <c r="E3151" t="s">
        <v>27</v>
      </c>
      <c r="F3151" t="s">
        <v>28</v>
      </c>
      <c r="G3151" t="s">
        <v>12</v>
      </c>
      <c r="H3151" s="1">
        <v>44971</v>
      </c>
    </row>
    <row r="3152" spans="1:8">
      <c r="A3152" t="s">
        <v>6321</v>
      </c>
      <c r="B3152" t="s">
        <v>6322</v>
      </c>
      <c r="C3152" t="s">
        <v>10</v>
      </c>
      <c r="D3152">
        <v>51</v>
      </c>
      <c r="E3152" t="s">
        <v>134</v>
      </c>
      <c r="F3152" t="s">
        <v>28</v>
      </c>
      <c r="G3152" t="s">
        <v>12</v>
      </c>
      <c r="H3152" s="1">
        <v>44686</v>
      </c>
    </row>
    <row r="3153" spans="1:8">
      <c r="A3153" t="s">
        <v>6323</v>
      </c>
      <c r="B3153" t="s">
        <v>6324</v>
      </c>
      <c r="C3153" t="s">
        <v>31</v>
      </c>
      <c r="D3153">
        <v>45</v>
      </c>
      <c r="E3153" t="s">
        <v>134</v>
      </c>
      <c r="F3153" t="s">
        <v>28</v>
      </c>
      <c r="G3153" t="s">
        <v>12</v>
      </c>
      <c r="H3153" s="1">
        <v>45070</v>
      </c>
    </row>
    <row r="3154" spans="1:8">
      <c r="A3154" t="s">
        <v>6325</v>
      </c>
      <c r="B3154" t="s">
        <v>6326</v>
      </c>
      <c r="C3154" t="s">
        <v>31</v>
      </c>
      <c r="D3154">
        <v>31</v>
      </c>
      <c r="E3154" t="s">
        <v>11</v>
      </c>
      <c r="F3154" t="s">
        <v>11</v>
      </c>
      <c r="G3154" t="s">
        <v>12</v>
      </c>
      <c r="H3154" s="1">
        <v>45172</v>
      </c>
    </row>
    <row r="3155" spans="1:8">
      <c r="A3155" t="s">
        <v>6327</v>
      </c>
      <c r="B3155" t="s">
        <v>6328</v>
      </c>
      <c r="C3155" t="s">
        <v>31</v>
      </c>
      <c r="D3155">
        <v>23</v>
      </c>
      <c r="E3155" t="s">
        <v>15</v>
      </c>
      <c r="F3155" t="s">
        <v>16</v>
      </c>
      <c r="G3155" t="s">
        <v>17</v>
      </c>
      <c r="H3155" s="1">
        <v>44621</v>
      </c>
    </row>
    <row r="3156" spans="1:8">
      <c r="A3156" t="s">
        <v>6329</v>
      </c>
      <c r="B3156" t="s">
        <v>6330</v>
      </c>
      <c r="C3156" t="s">
        <v>31</v>
      </c>
      <c r="D3156">
        <v>53</v>
      </c>
      <c r="E3156" t="s">
        <v>101</v>
      </c>
      <c r="F3156" t="s">
        <v>21</v>
      </c>
      <c r="G3156" t="s">
        <v>22</v>
      </c>
      <c r="H3156" s="1">
        <v>45476</v>
      </c>
    </row>
    <row r="3157" spans="1:8">
      <c r="A3157" t="s">
        <v>6331</v>
      </c>
      <c r="B3157" t="s">
        <v>6332</v>
      </c>
      <c r="C3157" t="s">
        <v>10</v>
      </c>
      <c r="D3157">
        <v>35</v>
      </c>
      <c r="E3157" t="s">
        <v>41</v>
      </c>
      <c r="F3157" t="s">
        <v>42</v>
      </c>
      <c r="G3157" t="s">
        <v>17</v>
      </c>
      <c r="H3157" s="1">
        <v>45205</v>
      </c>
    </row>
    <row r="3158" spans="1:8">
      <c r="A3158" t="s">
        <v>6333</v>
      </c>
      <c r="B3158" t="s">
        <v>6334</v>
      </c>
      <c r="C3158" t="s">
        <v>31</v>
      </c>
      <c r="D3158">
        <v>36</v>
      </c>
      <c r="E3158" t="s">
        <v>101</v>
      </c>
      <c r="F3158" t="s">
        <v>21</v>
      </c>
      <c r="G3158" t="s">
        <v>22</v>
      </c>
      <c r="H3158" s="1">
        <v>46008</v>
      </c>
    </row>
    <row r="3159" spans="1:8">
      <c r="A3159" t="s">
        <v>6335</v>
      </c>
      <c r="B3159" t="s">
        <v>6336</v>
      </c>
      <c r="C3159" t="s">
        <v>10</v>
      </c>
      <c r="D3159">
        <v>25</v>
      </c>
      <c r="E3159" t="s">
        <v>34</v>
      </c>
      <c r="F3159" t="s">
        <v>16</v>
      </c>
      <c r="G3159" t="s">
        <v>17</v>
      </c>
      <c r="H3159" s="1">
        <v>45223</v>
      </c>
    </row>
    <row r="3160" spans="1:8">
      <c r="A3160" t="s">
        <v>6337</v>
      </c>
      <c r="B3160" t="s">
        <v>6338</v>
      </c>
      <c r="C3160" t="s">
        <v>31</v>
      </c>
      <c r="D3160">
        <v>41</v>
      </c>
      <c r="E3160" t="s">
        <v>45</v>
      </c>
      <c r="F3160" t="s">
        <v>46</v>
      </c>
      <c r="G3160" t="s">
        <v>17</v>
      </c>
      <c r="H3160" s="1">
        <v>45693</v>
      </c>
    </row>
    <row r="3161" spans="1:8">
      <c r="A3161" t="s">
        <v>6339</v>
      </c>
      <c r="B3161" t="s">
        <v>6340</v>
      </c>
      <c r="C3161" t="s">
        <v>10</v>
      </c>
      <c r="D3161">
        <v>58</v>
      </c>
      <c r="E3161" t="s">
        <v>41</v>
      </c>
      <c r="F3161" t="s">
        <v>42</v>
      </c>
      <c r="G3161" t="s">
        <v>17</v>
      </c>
      <c r="H3161" s="1">
        <v>45688</v>
      </c>
    </row>
    <row r="3162" spans="1:8">
      <c r="A3162" t="s">
        <v>6341</v>
      </c>
      <c r="B3162" t="s">
        <v>6342</v>
      </c>
      <c r="C3162" t="s">
        <v>10</v>
      </c>
      <c r="D3162">
        <v>38</v>
      </c>
      <c r="E3162" t="s">
        <v>37</v>
      </c>
      <c r="F3162" t="s">
        <v>38</v>
      </c>
      <c r="G3162" t="s">
        <v>22</v>
      </c>
      <c r="H3162" s="1">
        <v>45372</v>
      </c>
    </row>
    <row r="3163" spans="1:8">
      <c r="A3163" t="s">
        <v>6343</v>
      </c>
      <c r="B3163" t="s">
        <v>6344</v>
      </c>
      <c r="C3163" t="s">
        <v>31</v>
      </c>
      <c r="D3163">
        <v>38</v>
      </c>
      <c r="E3163" t="s">
        <v>11</v>
      </c>
      <c r="F3163" t="s">
        <v>11</v>
      </c>
      <c r="G3163" t="s">
        <v>12</v>
      </c>
      <c r="H3163" s="1">
        <v>45880</v>
      </c>
    </row>
    <row r="3164" spans="1:8">
      <c r="A3164" t="s">
        <v>6345</v>
      </c>
      <c r="B3164" t="s">
        <v>6346</v>
      </c>
      <c r="C3164" t="s">
        <v>10</v>
      </c>
      <c r="D3164">
        <v>64</v>
      </c>
      <c r="E3164" t="s">
        <v>60</v>
      </c>
      <c r="F3164" t="s">
        <v>21</v>
      </c>
      <c r="G3164" t="s">
        <v>22</v>
      </c>
      <c r="H3164" s="1">
        <v>44642</v>
      </c>
    </row>
    <row r="3165" spans="1:8">
      <c r="A3165" t="s">
        <v>6347</v>
      </c>
      <c r="B3165" t="s">
        <v>6348</v>
      </c>
      <c r="C3165" t="s">
        <v>10</v>
      </c>
      <c r="D3165">
        <v>22</v>
      </c>
      <c r="E3165" t="s">
        <v>63</v>
      </c>
      <c r="F3165" t="s">
        <v>64</v>
      </c>
      <c r="G3165" t="s">
        <v>12</v>
      </c>
      <c r="H3165" s="1">
        <v>45579</v>
      </c>
    </row>
    <row r="3166" spans="1:8">
      <c r="A3166" t="s">
        <v>6349</v>
      </c>
      <c r="B3166" t="s">
        <v>6350</v>
      </c>
      <c r="C3166" t="s">
        <v>10</v>
      </c>
      <c r="D3166">
        <v>63</v>
      </c>
      <c r="E3166" t="s">
        <v>15</v>
      </c>
      <c r="F3166" t="s">
        <v>16</v>
      </c>
      <c r="G3166" t="s">
        <v>17</v>
      </c>
      <c r="H3166" s="1">
        <v>45632</v>
      </c>
    </row>
    <row r="3167" spans="1:8">
      <c r="A3167" t="s">
        <v>6351</v>
      </c>
      <c r="B3167" t="s">
        <v>6352</v>
      </c>
      <c r="C3167" t="s">
        <v>31</v>
      </c>
      <c r="D3167">
        <v>23</v>
      </c>
      <c r="E3167" t="s">
        <v>45</v>
      </c>
      <c r="F3167" t="s">
        <v>46</v>
      </c>
      <c r="G3167" t="s">
        <v>17</v>
      </c>
      <c r="H3167" s="1">
        <v>45293</v>
      </c>
    </row>
    <row r="3168" spans="1:8">
      <c r="A3168" t="s">
        <v>6353</v>
      </c>
      <c r="B3168" t="s">
        <v>6354</v>
      </c>
      <c r="C3168" t="s">
        <v>31</v>
      </c>
      <c r="D3168">
        <v>52</v>
      </c>
      <c r="E3168" t="s">
        <v>20</v>
      </c>
      <c r="F3168" t="s">
        <v>21</v>
      </c>
      <c r="G3168" t="s">
        <v>22</v>
      </c>
      <c r="H3168" s="1">
        <v>45570</v>
      </c>
    </row>
    <row r="3169" spans="1:8">
      <c r="A3169" t="s">
        <v>6355</v>
      </c>
      <c r="B3169" t="s">
        <v>6356</v>
      </c>
      <c r="C3169" t="s">
        <v>31</v>
      </c>
      <c r="D3169">
        <v>62</v>
      </c>
      <c r="E3169" t="s">
        <v>41</v>
      </c>
      <c r="F3169" t="s">
        <v>42</v>
      </c>
      <c r="G3169" t="s">
        <v>17</v>
      </c>
      <c r="H3169" s="1">
        <v>45876</v>
      </c>
    </row>
    <row r="3170" spans="1:8">
      <c r="A3170" t="s">
        <v>6357</v>
      </c>
      <c r="B3170" t="s">
        <v>6358</v>
      </c>
      <c r="C3170" t="s">
        <v>31</v>
      </c>
      <c r="D3170">
        <v>28</v>
      </c>
      <c r="E3170" t="s">
        <v>15</v>
      </c>
      <c r="F3170" t="s">
        <v>16</v>
      </c>
      <c r="G3170" t="s">
        <v>17</v>
      </c>
      <c r="H3170" s="1">
        <v>44986</v>
      </c>
    </row>
    <row r="3171" spans="1:8">
      <c r="A3171" t="s">
        <v>6359</v>
      </c>
      <c r="B3171" t="s">
        <v>6360</v>
      </c>
      <c r="C3171" t="s">
        <v>10</v>
      </c>
      <c r="D3171">
        <v>21</v>
      </c>
      <c r="E3171" t="s">
        <v>45</v>
      </c>
      <c r="F3171" t="s">
        <v>46</v>
      </c>
      <c r="G3171" t="s">
        <v>17</v>
      </c>
      <c r="H3171" s="1">
        <v>45027</v>
      </c>
    </row>
    <row r="3172" spans="1:8">
      <c r="A3172" t="s">
        <v>6361</v>
      </c>
      <c r="B3172" t="s">
        <v>6362</v>
      </c>
      <c r="C3172" t="s">
        <v>10</v>
      </c>
      <c r="D3172">
        <v>59</v>
      </c>
      <c r="E3172" t="s">
        <v>27</v>
      </c>
      <c r="F3172" t="s">
        <v>28</v>
      </c>
      <c r="G3172" t="s">
        <v>12</v>
      </c>
      <c r="H3172" s="1">
        <v>44611</v>
      </c>
    </row>
    <row r="3173" spans="1:8">
      <c r="A3173" t="s">
        <v>6363</v>
      </c>
      <c r="B3173" t="s">
        <v>6364</v>
      </c>
      <c r="C3173" t="s">
        <v>10</v>
      </c>
      <c r="D3173">
        <v>20</v>
      </c>
      <c r="E3173" t="s">
        <v>76</v>
      </c>
      <c r="F3173" t="s">
        <v>77</v>
      </c>
      <c r="G3173" t="s">
        <v>78</v>
      </c>
      <c r="H3173" s="1">
        <v>45542</v>
      </c>
    </row>
    <row r="3174" spans="1:8">
      <c r="A3174" t="s">
        <v>6365</v>
      </c>
      <c r="B3174" t="s">
        <v>6366</v>
      </c>
      <c r="C3174" t="s">
        <v>10</v>
      </c>
      <c r="D3174">
        <v>50</v>
      </c>
      <c r="E3174" t="s">
        <v>34</v>
      </c>
      <c r="F3174" t="s">
        <v>16</v>
      </c>
      <c r="G3174" t="s">
        <v>17</v>
      </c>
      <c r="H3174" s="1">
        <v>44874</v>
      </c>
    </row>
    <row r="3175" spans="1:8">
      <c r="A3175" t="s">
        <v>6367</v>
      </c>
      <c r="B3175" t="s">
        <v>6368</v>
      </c>
      <c r="C3175" t="s">
        <v>31</v>
      </c>
      <c r="D3175">
        <v>19</v>
      </c>
      <c r="E3175" t="s">
        <v>149</v>
      </c>
      <c r="F3175" t="s">
        <v>38</v>
      </c>
      <c r="G3175" t="s">
        <v>22</v>
      </c>
      <c r="H3175" s="1">
        <v>45861</v>
      </c>
    </row>
    <row r="3176" spans="1:8">
      <c r="A3176" t="s">
        <v>6369</v>
      </c>
      <c r="B3176" t="s">
        <v>6370</v>
      </c>
      <c r="C3176" t="s">
        <v>10</v>
      </c>
      <c r="D3176">
        <v>60</v>
      </c>
      <c r="E3176" t="s">
        <v>37</v>
      </c>
      <c r="F3176" t="s">
        <v>38</v>
      </c>
      <c r="G3176" t="s">
        <v>22</v>
      </c>
      <c r="H3176" s="1">
        <v>45570</v>
      </c>
    </row>
    <row r="3177" spans="1:8">
      <c r="A3177" t="s">
        <v>6371</v>
      </c>
      <c r="B3177" t="s">
        <v>6372</v>
      </c>
      <c r="C3177" t="s">
        <v>10</v>
      </c>
      <c r="D3177">
        <v>20</v>
      </c>
      <c r="E3177" t="s">
        <v>69</v>
      </c>
      <c r="F3177" t="s">
        <v>69</v>
      </c>
      <c r="G3177" t="s">
        <v>12</v>
      </c>
      <c r="H3177" s="1">
        <v>45688</v>
      </c>
    </row>
    <row r="3178" spans="1:8">
      <c r="A3178" t="s">
        <v>6373</v>
      </c>
      <c r="B3178" t="s">
        <v>6374</v>
      </c>
      <c r="C3178" t="s">
        <v>10</v>
      </c>
      <c r="D3178">
        <v>55</v>
      </c>
      <c r="E3178" t="s">
        <v>15</v>
      </c>
      <c r="F3178" t="s">
        <v>16</v>
      </c>
      <c r="G3178" t="s">
        <v>17</v>
      </c>
      <c r="H3178" s="1">
        <v>44989</v>
      </c>
    </row>
    <row r="3179" spans="1:8">
      <c r="A3179" t="s">
        <v>6375</v>
      </c>
      <c r="B3179" t="s">
        <v>6376</v>
      </c>
      <c r="C3179" t="s">
        <v>10</v>
      </c>
      <c r="D3179">
        <v>55</v>
      </c>
      <c r="E3179" t="s">
        <v>37</v>
      </c>
      <c r="F3179" t="s">
        <v>38</v>
      </c>
      <c r="G3179" t="s">
        <v>22</v>
      </c>
      <c r="H3179" s="1">
        <v>45999</v>
      </c>
    </row>
    <row r="3180" spans="1:8">
      <c r="A3180" t="s">
        <v>6377</v>
      </c>
      <c r="B3180" t="s">
        <v>6378</v>
      </c>
      <c r="C3180" t="s">
        <v>31</v>
      </c>
      <c r="D3180">
        <v>31</v>
      </c>
      <c r="E3180" t="s">
        <v>128</v>
      </c>
      <c r="F3180" t="s">
        <v>129</v>
      </c>
      <c r="G3180" t="s">
        <v>78</v>
      </c>
      <c r="H3180" s="1">
        <v>44898</v>
      </c>
    </row>
    <row r="3181" spans="1:8">
      <c r="A3181" t="s">
        <v>6379</v>
      </c>
      <c r="B3181" t="s">
        <v>6380</v>
      </c>
      <c r="C3181" t="s">
        <v>31</v>
      </c>
      <c r="D3181">
        <v>35</v>
      </c>
      <c r="E3181" t="s">
        <v>15</v>
      </c>
      <c r="F3181" t="s">
        <v>16</v>
      </c>
      <c r="G3181" t="s">
        <v>17</v>
      </c>
      <c r="H3181" s="1">
        <v>45847</v>
      </c>
    </row>
    <row r="3182" spans="1:8">
      <c r="A3182" t="s">
        <v>6381</v>
      </c>
      <c r="B3182" t="s">
        <v>6382</v>
      </c>
      <c r="C3182" t="s">
        <v>10</v>
      </c>
      <c r="D3182">
        <v>30</v>
      </c>
      <c r="E3182" t="s">
        <v>60</v>
      </c>
      <c r="F3182" t="s">
        <v>21</v>
      </c>
      <c r="G3182" t="s">
        <v>22</v>
      </c>
      <c r="H3182" s="1">
        <v>45357</v>
      </c>
    </row>
    <row r="3183" spans="1:8">
      <c r="A3183" t="s">
        <v>6383</v>
      </c>
      <c r="B3183" t="s">
        <v>6384</v>
      </c>
      <c r="C3183" t="s">
        <v>10</v>
      </c>
      <c r="D3183">
        <v>38</v>
      </c>
      <c r="E3183" t="s">
        <v>134</v>
      </c>
      <c r="F3183" t="s">
        <v>28</v>
      </c>
      <c r="G3183" t="s">
        <v>12</v>
      </c>
      <c r="H3183" s="1">
        <v>45247</v>
      </c>
    </row>
    <row r="3184" spans="1:8">
      <c r="A3184" t="s">
        <v>6385</v>
      </c>
      <c r="B3184" t="s">
        <v>6386</v>
      </c>
      <c r="C3184" t="s">
        <v>31</v>
      </c>
      <c r="D3184">
        <v>46</v>
      </c>
      <c r="E3184" t="s">
        <v>112</v>
      </c>
      <c r="F3184" t="s">
        <v>113</v>
      </c>
      <c r="G3184" t="s">
        <v>78</v>
      </c>
      <c r="H3184" s="1">
        <v>44806</v>
      </c>
    </row>
    <row r="3185" spans="1:8">
      <c r="A3185" t="s">
        <v>6387</v>
      </c>
      <c r="B3185" t="s">
        <v>2472</v>
      </c>
      <c r="C3185" t="s">
        <v>31</v>
      </c>
      <c r="D3185">
        <v>31</v>
      </c>
      <c r="E3185" t="s">
        <v>218</v>
      </c>
      <c r="F3185" t="s">
        <v>219</v>
      </c>
      <c r="G3185" t="s">
        <v>17</v>
      </c>
      <c r="H3185" s="1">
        <v>45896</v>
      </c>
    </row>
    <row r="3186" spans="1:8">
      <c r="A3186" t="s">
        <v>6388</v>
      </c>
      <c r="B3186" t="s">
        <v>6389</v>
      </c>
      <c r="C3186" t="s">
        <v>10</v>
      </c>
      <c r="D3186">
        <v>65</v>
      </c>
      <c r="E3186" t="s">
        <v>15</v>
      </c>
      <c r="F3186" t="s">
        <v>16</v>
      </c>
      <c r="G3186" t="s">
        <v>17</v>
      </c>
      <c r="H3186" s="1">
        <v>45355</v>
      </c>
    </row>
    <row r="3187" spans="1:8">
      <c r="A3187" t="s">
        <v>6390</v>
      </c>
      <c r="B3187" t="s">
        <v>6391</v>
      </c>
      <c r="C3187" t="s">
        <v>31</v>
      </c>
      <c r="D3187">
        <v>62</v>
      </c>
      <c r="E3187" t="s">
        <v>76</v>
      </c>
      <c r="F3187" t="s">
        <v>77</v>
      </c>
      <c r="G3187" t="s">
        <v>78</v>
      </c>
      <c r="H3187" s="1">
        <v>44971</v>
      </c>
    </row>
    <row r="3188" spans="1:8">
      <c r="A3188" t="s">
        <v>6392</v>
      </c>
      <c r="B3188" t="s">
        <v>6393</v>
      </c>
      <c r="C3188" t="s">
        <v>31</v>
      </c>
      <c r="D3188">
        <v>47</v>
      </c>
      <c r="E3188" t="s">
        <v>27</v>
      </c>
      <c r="F3188" t="s">
        <v>28</v>
      </c>
      <c r="G3188" t="s">
        <v>12</v>
      </c>
      <c r="H3188" s="1">
        <v>45183</v>
      </c>
    </row>
    <row r="3189" spans="1:8">
      <c r="A3189" t="s">
        <v>6394</v>
      </c>
      <c r="B3189" t="s">
        <v>6395</v>
      </c>
      <c r="C3189" t="s">
        <v>31</v>
      </c>
      <c r="D3189">
        <v>31</v>
      </c>
      <c r="E3189" t="s">
        <v>34</v>
      </c>
      <c r="F3189" t="s">
        <v>16</v>
      </c>
      <c r="G3189" t="s">
        <v>17</v>
      </c>
      <c r="H3189" s="1">
        <v>45722</v>
      </c>
    </row>
    <row r="3190" spans="1:8">
      <c r="A3190" t="s">
        <v>6396</v>
      </c>
      <c r="B3190" t="s">
        <v>6397</v>
      </c>
      <c r="C3190" t="s">
        <v>10</v>
      </c>
      <c r="D3190">
        <v>29</v>
      </c>
      <c r="E3190" t="s">
        <v>37</v>
      </c>
      <c r="F3190" t="s">
        <v>38</v>
      </c>
      <c r="G3190" t="s">
        <v>22</v>
      </c>
      <c r="H3190" s="1">
        <v>44587</v>
      </c>
    </row>
    <row r="3191" spans="1:8">
      <c r="A3191" t="s">
        <v>6398</v>
      </c>
      <c r="B3191" t="s">
        <v>6399</v>
      </c>
      <c r="C3191" t="s">
        <v>31</v>
      </c>
      <c r="D3191">
        <v>64</v>
      </c>
      <c r="E3191" t="s">
        <v>76</v>
      </c>
      <c r="F3191" t="s">
        <v>77</v>
      </c>
      <c r="G3191" t="s">
        <v>78</v>
      </c>
      <c r="H3191" s="1">
        <v>45585</v>
      </c>
    </row>
    <row r="3192" spans="1:8">
      <c r="A3192" t="s">
        <v>6400</v>
      </c>
      <c r="B3192" t="s">
        <v>6401</v>
      </c>
      <c r="C3192" t="s">
        <v>10</v>
      </c>
      <c r="D3192">
        <v>49</v>
      </c>
      <c r="E3192" t="s">
        <v>149</v>
      </c>
      <c r="F3192" t="s">
        <v>38</v>
      </c>
      <c r="G3192" t="s">
        <v>22</v>
      </c>
      <c r="H3192" s="1">
        <v>45794</v>
      </c>
    </row>
    <row r="3193" spans="1:8">
      <c r="A3193" t="s">
        <v>6402</v>
      </c>
      <c r="B3193" t="s">
        <v>6403</v>
      </c>
      <c r="C3193" t="s">
        <v>10</v>
      </c>
      <c r="D3193">
        <v>22</v>
      </c>
      <c r="E3193" t="s">
        <v>60</v>
      </c>
      <c r="F3193" t="s">
        <v>21</v>
      </c>
      <c r="G3193" t="s">
        <v>22</v>
      </c>
      <c r="H3193" s="1">
        <v>45146</v>
      </c>
    </row>
    <row r="3194" spans="1:8">
      <c r="A3194" t="s">
        <v>6404</v>
      </c>
      <c r="B3194" t="s">
        <v>6405</v>
      </c>
      <c r="C3194" t="s">
        <v>10</v>
      </c>
      <c r="D3194">
        <v>18</v>
      </c>
      <c r="E3194" t="s">
        <v>11</v>
      </c>
      <c r="F3194" t="s">
        <v>11</v>
      </c>
      <c r="G3194" t="s">
        <v>12</v>
      </c>
      <c r="H3194" s="1">
        <v>44625</v>
      </c>
    </row>
    <row r="3195" spans="1:8">
      <c r="A3195" t="s">
        <v>6406</v>
      </c>
      <c r="B3195" t="s">
        <v>6407</v>
      </c>
      <c r="C3195" t="s">
        <v>31</v>
      </c>
      <c r="D3195">
        <v>42</v>
      </c>
      <c r="E3195" t="s">
        <v>87</v>
      </c>
      <c r="F3195" t="s">
        <v>88</v>
      </c>
      <c r="G3195" t="s">
        <v>78</v>
      </c>
      <c r="H3195" s="1">
        <v>45183</v>
      </c>
    </row>
    <row r="3196" spans="1:8">
      <c r="A3196" t="s">
        <v>6408</v>
      </c>
      <c r="B3196" t="s">
        <v>6409</v>
      </c>
      <c r="C3196" t="s">
        <v>10</v>
      </c>
      <c r="D3196">
        <v>41</v>
      </c>
      <c r="E3196" t="s">
        <v>63</v>
      </c>
      <c r="F3196" t="s">
        <v>64</v>
      </c>
      <c r="G3196" t="s">
        <v>12</v>
      </c>
      <c r="H3196" s="1">
        <v>44761</v>
      </c>
    </row>
    <row r="3197" spans="1:8">
      <c r="A3197" t="s">
        <v>6410</v>
      </c>
      <c r="B3197" t="s">
        <v>6411</v>
      </c>
      <c r="C3197" t="s">
        <v>31</v>
      </c>
      <c r="D3197">
        <v>22</v>
      </c>
      <c r="E3197" t="s">
        <v>34</v>
      </c>
      <c r="F3197" t="s">
        <v>16</v>
      </c>
      <c r="G3197" t="s">
        <v>17</v>
      </c>
      <c r="H3197" s="1">
        <v>45428</v>
      </c>
    </row>
    <row r="3198" spans="1:8">
      <c r="A3198" t="s">
        <v>6412</v>
      </c>
      <c r="B3198" t="s">
        <v>6413</v>
      </c>
      <c r="C3198" t="s">
        <v>10</v>
      </c>
      <c r="D3198">
        <v>25</v>
      </c>
      <c r="E3198" t="s">
        <v>15</v>
      </c>
      <c r="F3198" t="s">
        <v>16</v>
      </c>
      <c r="G3198" t="s">
        <v>17</v>
      </c>
      <c r="H3198" s="1">
        <v>45171</v>
      </c>
    </row>
    <row r="3199" spans="1:8">
      <c r="A3199" t="s">
        <v>6414</v>
      </c>
      <c r="B3199" t="s">
        <v>6415</v>
      </c>
      <c r="C3199" t="s">
        <v>10</v>
      </c>
      <c r="D3199">
        <v>25</v>
      </c>
      <c r="E3199" t="s">
        <v>37</v>
      </c>
      <c r="F3199" t="s">
        <v>38</v>
      </c>
      <c r="G3199" t="s">
        <v>22</v>
      </c>
      <c r="H3199" s="1">
        <v>45497</v>
      </c>
    </row>
    <row r="3200" spans="1:8">
      <c r="A3200" t="s">
        <v>6416</v>
      </c>
      <c r="B3200" t="s">
        <v>6417</v>
      </c>
      <c r="C3200" t="s">
        <v>10</v>
      </c>
      <c r="D3200">
        <v>18</v>
      </c>
      <c r="E3200" t="s">
        <v>87</v>
      </c>
      <c r="F3200" t="s">
        <v>88</v>
      </c>
      <c r="G3200" t="s">
        <v>78</v>
      </c>
      <c r="H3200" s="1">
        <v>45537</v>
      </c>
    </row>
    <row r="3201" spans="1:8">
      <c r="A3201" t="s">
        <v>6418</v>
      </c>
      <c r="B3201" t="s">
        <v>6419</v>
      </c>
      <c r="C3201" t="s">
        <v>31</v>
      </c>
      <c r="D3201">
        <v>35</v>
      </c>
      <c r="E3201" t="s">
        <v>34</v>
      </c>
      <c r="F3201" t="s">
        <v>16</v>
      </c>
      <c r="G3201" t="s">
        <v>17</v>
      </c>
      <c r="H3201" s="1">
        <v>45494</v>
      </c>
    </row>
    <row r="3202" spans="1:8">
      <c r="A3202" t="s">
        <v>6420</v>
      </c>
      <c r="B3202" t="s">
        <v>6421</v>
      </c>
      <c r="C3202" t="s">
        <v>10</v>
      </c>
      <c r="D3202">
        <v>64</v>
      </c>
      <c r="E3202" t="s">
        <v>218</v>
      </c>
      <c r="F3202" t="s">
        <v>219</v>
      </c>
      <c r="G3202" t="s">
        <v>17</v>
      </c>
      <c r="H3202" s="1">
        <v>45544</v>
      </c>
    </row>
    <row r="3203" spans="1:8">
      <c r="A3203" t="s">
        <v>6422</v>
      </c>
      <c r="B3203" t="s">
        <v>6423</v>
      </c>
      <c r="C3203" t="s">
        <v>31</v>
      </c>
      <c r="D3203">
        <v>61</v>
      </c>
      <c r="E3203" t="s">
        <v>63</v>
      </c>
      <c r="F3203" t="s">
        <v>64</v>
      </c>
      <c r="G3203" t="s">
        <v>12</v>
      </c>
      <c r="H3203" s="1">
        <v>44695</v>
      </c>
    </row>
    <row r="3204" spans="1:8">
      <c r="A3204" t="s">
        <v>6424</v>
      </c>
      <c r="B3204" t="s">
        <v>6425</v>
      </c>
      <c r="C3204" t="s">
        <v>31</v>
      </c>
      <c r="D3204">
        <v>47</v>
      </c>
      <c r="E3204" t="s">
        <v>20</v>
      </c>
      <c r="F3204" t="s">
        <v>21</v>
      </c>
      <c r="G3204" t="s">
        <v>22</v>
      </c>
      <c r="H3204" s="1">
        <v>45580</v>
      </c>
    </row>
    <row r="3205" spans="1:8">
      <c r="A3205" t="s">
        <v>6426</v>
      </c>
      <c r="B3205" t="s">
        <v>6427</v>
      </c>
      <c r="C3205" t="s">
        <v>10</v>
      </c>
      <c r="D3205">
        <v>60</v>
      </c>
      <c r="E3205" t="s">
        <v>20</v>
      </c>
      <c r="F3205" t="s">
        <v>21</v>
      </c>
      <c r="G3205" t="s">
        <v>22</v>
      </c>
      <c r="H3205" s="1">
        <v>45743</v>
      </c>
    </row>
    <row r="3206" spans="1:8">
      <c r="A3206" t="s">
        <v>6428</v>
      </c>
      <c r="B3206" t="s">
        <v>653</v>
      </c>
      <c r="C3206" t="s">
        <v>31</v>
      </c>
      <c r="D3206">
        <v>64</v>
      </c>
      <c r="E3206" t="s">
        <v>45</v>
      </c>
      <c r="F3206" t="s">
        <v>46</v>
      </c>
      <c r="G3206" t="s">
        <v>17</v>
      </c>
      <c r="H3206" s="1">
        <v>46015</v>
      </c>
    </row>
    <row r="3207" spans="1:8">
      <c r="A3207" t="s">
        <v>6429</v>
      </c>
      <c r="B3207" t="s">
        <v>6430</v>
      </c>
      <c r="C3207" t="s">
        <v>31</v>
      </c>
      <c r="D3207">
        <v>30</v>
      </c>
      <c r="E3207" t="s">
        <v>37</v>
      </c>
      <c r="F3207" t="s">
        <v>38</v>
      </c>
      <c r="G3207" t="s">
        <v>22</v>
      </c>
      <c r="H3207" s="1">
        <v>44611</v>
      </c>
    </row>
    <row r="3208" spans="1:8">
      <c r="A3208" t="s">
        <v>6431</v>
      </c>
      <c r="B3208" t="s">
        <v>6432</v>
      </c>
      <c r="C3208" t="s">
        <v>10</v>
      </c>
      <c r="D3208">
        <v>54</v>
      </c>
      <c r="E3208" t="s">
        <v>41</v>
      </c>
      <c r="F3208" t="s">
        <v>42</v>
      </c>
      <c r="G3208" t="s">
        <v>17</v>
      </c>
      <c r="H3208" s="1">
        <v>44565</v>
      </c>
    </row>
    <row r="3209" spans="1:8">
      <c r="A3209" t="s">
        <v>6433</v>
      </c>
      <c r="B3209" t="s">
        <v>6434</v>
      </c>
      <c r="C3209" t="s">
        <v>31</v>
      </c>
      <c r="D3209">
        <v>68</v>
      </c>
      <c r="E3209" t="s">
        <v>112</v>
      </c>
      <c r="F3209" t="s">
        <v>113</v>
      </c>
      <c r="G3209" t="s">
        <v>78</v>
      </c>
      <c r="H3209" s="1">
        <v>45706</v>
      </c>
    </row>
    <row r="3210" spans="1:8">
      <c r="A3210" t="s">
        <v>6435</v>
      </c>
      <c r="B3210" t="s">
        <v>6436</v>
      </c>
      <c r="C3210" t="s">
        <v>31</v>
      </c>
      <c r="D3210">
        <v>23</v>
      </c>
      <c r="E3210" t="s">
        <v>15</v>
      </c>
      <c r="F3210" t="s">
        <v>16</v>
      </c>
      <c r="G3210" t="s">
        <v>17</v>
      </c>
      <c r="H3210" s="1">
        <v>45148</v>
      </c>
    </row>
    <row r="3211" spans="1:8">
      <c r="A3211" t="s">
        <v>6437</v>
      </c>
      <c r="B3211" t="s">
        <v>6438</v>
      </c>
      <c r="C3211" t="s">
        <v>10</v>
      </c>
      <c r="D3211">
        <v>41</v>
      </c>
      <c r="E3211" t="s">
        <v>69</v>
      </c>
      <c r="F3211" t="s">
        <v>69</v>
      </c>
      <c r="G3211" t="s">
        <v>12</v>
      </c>
      <c r="H3211" s="1">
        <v>45529</v>
      </c>
    </row>
    <row r="3212" spans="1:8">
      <c r="A3212" t="s">
        <v>6439</v>
      </c>
      <c r="B3212" t="s">
        <v>6440</v>
      </c>
      <c r="C3212" t="s">
        <v>10</v>
      </c>
      <c r="D3212">
        <v>38</v>
      </c>
      <c r="E3212" t="s">
        <v>134</v>
      </c>
      <c r="F3212" t="s">
        <v>28</v>
      </c>
      <c r="G3212" t="s">
        <v>12</v>
      </c>
      <c r="H3212" s="1">
        <v>45690</v>
      </c>
    </row>
    <row r="3213" spans="1:8">
      <c r="A3213" t="s">
        <v>6441</v>
      </c>
      <c r="B3213" t="s">
        <v>6442</v>
      </c>
      <c r="C3213" t="s">
        <v>10</v>
      </c>
      <c r="D3213">
        <v>55</v>
      </c>
      <c r="E3213" t="s">
        <v>134</v>
      </c>
      <c r="F3213" t="s">
        <v>28</v>
      </c>
      <c r="G3213" t="s">
        <v>12</v>
      </c>
      <c r="H3213" s="1">
        <v>45395</v>
      </c>
    </row>
    <row r="3214" spans="1:8">
      <c r="A3214" t="s">
        <v>6443</v>
      </c>
      <c r="B3214" t="s">
        <v>6444</v>
      </c>
      <c r="C3214" t="s">
        <v>31</v>
      </c>
      <c r="D3214">
        <v>27</v>
      </c>
      <c r="E3214" t="s">
        <v>149</v>
      </c>
      <c r="F3214" t="s">
        <v>38</v>
      </c>
      <c r="G3214" t="s">
        <v>22</v>
      </c>
      <c r="H3214" s="1">
        <v>45273</v>
      </c>
    </row>
    <row r="3215" spans="1:8">
      <c r="A3215" t="s">
        <v>6445</v>
      </c>
      <c r="B3215" t="s">
        <v>6446</v>
      </c>
      <c r="C3215" t="s">
        <v>31</v>
      </c>
      <c r="D3215">
        <v>41</v>
      </c>
      <c r="E3215" t="s">
        <v>69</v>
      </c>
      <c r="F3215" t="s">
        <v>69</v>
      </c>
      <c r="G3215" t="s">
        <v>12</v>
      </c>
      <c r="H3215" s="1">
        <v>45945</v>
      </c>
    </row>
    <row r="3216" spans="1:8">
      <c r="A3216" t="s">
        <v>6447</v>
      </c>
      <c r="B3216" t="s">
        <v>6448</v>
      </c>
      <c r="C3216" t="s">
        <v>31</v>
      </c>
      <c r="D3216">
        <v>26</v>
      </c>
      <c r="E3216" t="s">
        <v>87</v>
      </c>
      <c r="F3216" t="s">
        <v>88</v>
      </c>
      <c r="G3216" t="s">
        <v>78</v>
      </c>
      <c r="H3216" s="1">
        <v>45795</v>
      </c>
    </row>
    <row r="3217" spans="1:8">
      <c r="A3217" t="s">
        <v>6449</v>
      </c>
      <c r="B3217" t="s">
        <v>6450</v>
      </c>
      <c r="C3217" t="s">
        <v>31</v>
      </c>
      <c r="D3217">
        <v>46</v>
      </c>
      <c r="E3217" t="s">
        <v>37</v>
      </c>
      <c r="F3217" t="s">
        <v>38</v>
      </c>
      <c r="G3217" t="s">
        <v>22</v>
      </c>
      <c r="H3217" s="1">
        <v>45883</v>
      </c>
    </row>
    <row r="3218" spans="1:8">
      <c r="A3218" t="s">
        <v>6451</v>
      </c>
      <c r="B3218" t="s">
        <v>6452</v>
      </c>
      <c r="C3218" t="s">
        <v>31</v>
      </c>
      <c r="D3218">
        <v>50</v>
      </c>
      <c r="E3218" t="s">
        <v>63</v>
      </c>
      <c r="F3218" t="s">
        <v>64</v>
      </c>
      <c r="G3218" t="s">
        <v>12</v>
      </c>
      <c r="H3218" s="1">
        <v>44649</v>
      </c>
    </row>
    <row r="3219" spans="1:8">
      <c r="A3219" t="s">
        <v>6453</v>
      </c>
      <c r="B3219" t="s">
        <v>6454</v>
      </c>
      <c r="C3219" t="s">
        <v>31</v>
      </c>
      <c r="D3219">
        <v>52</v>
      </c>
      <c r="E3219" t="s">
        <v>76</v>
      </c>
      <c r="F3219" t="s">
        <v>77</v>
      </c>
      <c r="G3219" t="s">
        <v>78</v>
      </c>
      <c r="H3219" s="1">
        <v>45788</v>
      </c>
    </row>
    <row r="3220" spans="1:8">
      <c r="A3220" t="s">
        <v>6455</v>
      </c>
      <c r="B3220" t="s">
        <v>6456</v>
      </c>
      <c r="C3220" t="s">
        <v>10</v>
      </c>
      <c r="D3220">
        <v>70</v>
      </c>
      <c r="E3220" t="s">
        <v>63</v>
      </c>
      <c r="F3220" t="s">
        <v>64</v>
      </c>
      <c r="G3220" t="s">
        <v>12</v>
      </c>
      <c r="H3220" s="1">
        <v>45736</v>
      </c>
    </row>
    <row r="3221" spans="1:8">
      <c r="A3221" t="s">
        <v>6457</v>
      </c>
      <c r="B3221" t="s">
        <v>6458</v>
      </c>
      <c r="C3221" t="s">
        <v>31</v>
      </c>
      <c r="D3221">
        <v>25</v>
      </c>
      <c r="E3221" t="s">
        <v>69</v>
      </c>
      <c r="F3221" t="s">
        <v>69</v>
      </c>
      <c r="G3221" t="s">
        <v>12</v>
      </c>
      <c r="H3221" s="1">
        <v>44729</v>
      </c>
    </row>
    <row r="3222" spans="1:8">
      <c r="A3222" t="s">
        <v>6459</v>
      </c>
      <c r="B3222" t="s">
        <v>6460</v>
      </c>
      <c r="C3222" t="s">
        <v>10</v>
      </c>
      <c r="D3222">
        <v>54</v>
      </c>
      <c r="E3222" t="s">
        <v>128</v>
      </c>
      <c r="F3222" t="s">
        <v>129</v>
      </c>
      <c r="G3222" t="s">
        <v>78</v>
      </c>
      <c r="H3222" s="1">
        <v>44647</v>
      </c>
    </row>
    <row r="3223" spans="1:8">
      <c r="A3223" t="s">
        <v>6461</v>
      </c>
      <c r="B3223" t="s">
        <v>6462</v>
      </c>
      <c r="C3223" t="s">
        <v>10</v>
      </c>
      <c r="D3223">
        <v>65</v>
      </c>
      <c r="E3223" t="s">
        <v>218</v>
      </c>
      <c r="F3223" t="s">
        <v>219</v>
      </c>
      <c r="G3223" t="s">
        <v>17</v>
      </c>
      <c r="H3223" s="1">
        <v>45923</v>
      </c>
    </row>
    <row r="3224" spans="1:8">
      <c r="A3224" t="s">
        <v>6463</v>
      </c>
      <c r="B3224" t="s">
        <v>6464</v>
      </c>
      <c r="C3224" t="s">
        <v>10</v>
      </c>
      <c r="D3224">
        <v>38</v>
      </c>
      <c r="E3224" t="s">
        <v>45</v>
      </c>
      <c r="F3224" t="s">
        <v>46</v>
      </c>
      <c r="G3224" t="s">
        <v>17</v>
      </c>
      <c r="H3224" s="1">
        <v>45563</v>
      </c>
    </row>
    <row r="3225" spans="1:8">
      <c r="A3225" t="s">
        <v>6465</v>
      </c>
      <c r="B3225" t="s">
        <v>6466</v>
      </c>
      <c r="C3225" t="s">
        <v>31</v>
      </c>
      <c r="D3225">
        <v>51</v>
      </c>
      <c r="E3225" t="s">
        <v>134</v>
      </c>
      <c r="F3225" t="s">
        <v>28</v>
      </c>
      <c r="G3225" t="s">
        <v>12</v>
      </c>
      <c r="H3225" s="1">
        <v>45685</v>
      </c>
    </row>
    <row r="3226" spans="1:8">
      <c r="A3226" t="s">
        <v>6467</v>
      </c>
      <c r="B3226" t="s">
        <v>6468</v>
      </c>
      <c r="C3226" t="s">
        <v>31</v>
      </c>
      <c r="D3226">
        <v>65</v>
      </c>
      <c r="E3226" t="s">
        <v>69</v>
      </c>
      <c r="F3226" t="s">
        <v>69</v>
      </c>
      <c r="G3226" t="s">
        <v>12</v>
      </c>
      <c r="H3226" s="1">
        <v>45010</v>
      </c>
    </row>
    <row r="3227" spans="1:8">
      <c r="A3227" t="s">
        <v>6469</v>
      </c>
      <c r="B3227" t="s">
        <v>6470</v>
      </c>
      <c r="C3227" t="s">
        <v>31</v>
      </c>
      <c r="D3227">
        <v>27</v>
      </c>
      <c r="E3227" t="s">
        <v>20</v>
      </c>
      <c r="F3227" t="s">
        <v>21</v>
      </c>
      <c r="G3227" t="s">
        <v>22</v>
      </c>
      <c r="H3227" s="1">
        <v>45024</v>
      </c>
    </row>
    <row r="3228" spans="1:8">
      <c r="A3228" t="s">
        <v>6471</v>
      </c>
      <c r="B3228" t="s">
        <v>6472</v>
      </c>
      <c r="C3228" t="s">
        <v>10</v>
      </c>
      <c r="D3228">
        <v>49</v>
      </c>
      <c r="E3228" t="s">
        <v>76</v>
      </c>
      <c r="F3228" t="s">
        <v>77</v>
      </c>
      <c r="G3228" t="s">
        <v>78</v>
      </c>
      <c r="H3228" s="1">
        <v>44563</v>
      </c>
    </row>
    <row r="3229" spans="1:8">
      <c r="A3229" t="s">
        <v>6473</v>
      </c>
      <c r="B3229" t="s">
        <v>6474</v>
      </c>
      <c r="C3229" t="s">
        <v>31</v>
      </c>
      <c r="D3229">
        <v>33</v>
      </c>
      <c r="E3229" t="s">
        <v>15</v>
      </c>
      <c r="F3229" t="s">
        <v>16</v>
      </c>
      <c r="G3229" t="s">
        <v>17</v>
      </c>
      <c r="H3229" s="1">
        <v>45985</v>
      </c>
    </row>
    <row r="3230" spans="1:8">
      <c r="A3230" t="s">
        <v>6475</v>
      </c>
      <c r="B3230" t="s">
        <v>6476</v>
      </c>
      <c r="C3230" t="s">
        <v>10</v>
      </c>
      <c r="D3230">
        <v>70</v>
      </c>
      <c r="E3230" t="s">
        <v>134</v>
      </c>
      <c r="F3230" t="s">
        <v>28</v>
      </c>
      <c r="G3230" t="s">
        <v>12</v>
      </c>
      <c r="H3230" s="1">
        <v>44990</v>
      </c>
    </row>
    <row r="3231" spans="1:8">
      <c r="A3231" t="s">
        <v>6477</v>
      </c>
      <c r="B3231" t="s">
        <v>6478</v>
      </c>
      <c r="C3231" t="s">
        <v>31</v>
      </c>
      <c r="D3231">
        <v>25</v>
      </c>
      <c r="E3231" t="s">
        <v>15</v>
      </c>
      <c r="F3231" t="s">
        <v>16</v>
      </c>
      <c r="G3231" t="s">
        <v>17</v>
      </c>
      <c r="H3231" s="1">
        <v>44625</v>
      </c>
    </row>
    <row r="3232" spans="1:8">
      <c r="A3232" t="s">
        <v>6479</v>
      </c>
      <c r="B3232" t="s">
        <v>6480</v>
      </c>
      <c r="C3232" t="s">
        <v>31</v>
      </c>
      <c r="D3232">
        <v>46</v>
      </c>
      <c r="E3232" t="s">
        <v>15</v>
      </c>
      <c r="F3232" t="s">
        <v>16</v>
      </c>
      <c r="G3232" t="s">
        <v>17</v>
      </c>
      <c r="H3232" s="1">
        <v>44699</v>
      </c>
    </row>
    <row r="3233" spans="1:8">
      <c r="A3233" t="s">
        <v>6481</v>
      </c>
      <c r="B3233" t="s">
        <v>6482</v>
      </c>
      <c r="C3233" t="s">
        <v>31</v>
      </c>
      <c r="D3233">
        <v>18</v>
      </c>
      <c r="E3233" t="s">
        <v>112</v>
      </c>
      <c r="F3233" t="s">
        <v>113</v>
      </c>
      <c r="G3233" t="s">
        <v>78</v>
      </c>
      <c r="H3233" s="1">
        <v>45294</v>
      </c>
    </row>
    <row r="3234" spans="1:8">
      <c r="A3234" t="s">
        <v>6483</v>
      </c>
      <c r="B3234" t="s">
        <v>6484</v>
      </c>
      <c r="C3234" t="s">
        <v>31</v>
      </c>
      <c r="D3234">
        <v>41</v>
      </c>
      <c r="E3234" t="s">
        <v>134</v>
      </c>
      <c r="F3234" t="s">
        <v>28</v>
      </c>
      <c r="G3234" t="s">
        <v>12</v>
      </c>
      <c r="H3234" s="1">
        <v>45264</v>
      </c>
    </row>
    <row r="3235" spans="1:8">
      <c r="A3235" t="s">
        <v>6485</v>
      </c>
      <c r="B3235" t="s">
        <v>6486</v>
      </c>
      <c r="C3235" t="s">
        <v>31</v>
      </c>
      <c r="D3235">
        <v>58</v>
      </c>
      <c r="E3235" t="s">
        <v>41</v>
      </c>
      <c r="F3235" t="s">
        <v>42</v>
      </c>
      <c r="G3235" t="s">
        <v>17</v>
      </c>
      <c r="H3235" s="1">
        <v>45830</v>
      </c>
    </row>
    <row r="3236" spans="1:8">
      <c r="A3236" t="s">
        <v>6487</v>
      </c>
      <c r="B3236" t="s">
        <v>6488</v>
      </c>
      <c r="C3236" t="s">
        <v>31</v>
      </c>
      <c r="D3236">
        <v>20</v>
      </c>
      <c r="E3236" t="s">
        <v>11</v>
      </c>
      <c r="F3236" t="s">
        <v>11</v>
      </c>
      <c r="G3236" t="s">
        <v>12</v>
      </c>
      <c r="H3236" s="1">
        <v>45952</v>
      </c>
    </row>
    <row r="3237" spans="1:8">
      <c r="A3237" t="s">
        <v>6489</v>
      </c>
      <c r="B3237" t="s">
        <v>6490</v>
      </c>
      <c r="C3237" t="s">
        <v>31</v>
      </c>
      <c r="D3237">
        <v>62</v>
      </c>
      <c r="E3237" t="s">
        <v>37</v>
      </c>
      <c r="F3237" t="s">
        <v>38</v>
      </c>
      <c r="G3237" t="s">
        <v>22</v>
      </c>
      <c r="H3237" s="1">
        <v>44625</v>
      </c>
    </row>
    <row r="3238" spans="1:8">
      <c r="A3238" t="s">
        <v>6491</v>
      </c>
      <c r="B3238" t="s">
        <v>6492</v>
      </c>
      <c r="C3238" t="s">
        <v>10</v>
      </c>
      <c r="D3238">
        <v>45</v>
      </c>
      <c r="E3238" t="s">
        <v>149</v>
      </c>
      <c r="F3238" t="s">
        <v>38</v>
      </c>
      <c r="G3238" t="s">
        <v>22</v>
      </c>
      <c r="H3238" s="1">
        <v>45665</v>
      </c>
    </row>
    <row r="3239" spans="1:8">
      <c r="A3239" t="s">
        <v>6493</v>
      </c>
      <c r="B3239" t="s">
        <v>6494</v>
      </c>
      <c r="C3239" t="s">
        <v>31</v>
      </c>
      <c r="D3239">
        <v>19</v>
      </c>
      <c r="E3239" t="s">
        <v>27</v>
      </c>
      <c r="F3239" t="s">
        <v>28</v>
      </c>
      <c r="G3239" t="s">
        <v>12</v>
      </c>
      <c r="H3239" s="1">
        <v>45280</v>
      </c>
    </row>
    <row r="3240" spans="1:8">
      <c r="A3240" t="s">
        <v>6495</v>
      </c>
      <c r="B3240" t="s">
        <v>6496</v>
      </c>
      <c r="C3240" t="s">
        <v>31</v>
      </c>
      <c r="D3240">
        <v>34</v>
      </c>
      <c r="E3240" t="s">
        <v>149</v>
      </c>
      <c r="F3240" t="s">
        <v>38</v>
      </c>
      <c r="G3240" t="s">
        <v>22</v>
      </c>
      <c r="H3240" s="1">
        <v>44739</v>
      </c>
    </row>
    <row r="3241" spans="1:8">
      <c r="A3241" t="s">
        <v>6497</v>
      </c>
      <c r="B3241" t="s">
        <v>6498</v>
      </c>
      <c r="C3241" t="s">
        <v>10</v>
      </c>
      <c r="D3241">
        <v>47</v>
      </c>
      <c r="E3241" t="s">
        <v>20</v>
      </c>
      <c r="F3241" t="s">
        <v>21</v>
      </c>
      <c r="G3241" t="s">
        <v>22</v>
      </c>
      <c r="H3241" s="1">
        <v>45064</v>
      </c>
    </row>
    <row r="3242" spans="1:8">
      <c r="A3242" t="s">
        <v>6499</v>
      </c>
      <c r="B3242" t="s">
        <v>6500</v>
      </c>
      <c r="C3242" t="s">
        <v>31</v>
      </c>
      <c r="D3242">
        <v>20</v>
      </c>
      <c r="E3242" t="s">
        <v>37</v>
      </c>
      <c r="F3242" t="s">
        <v>38</v>
      </c>
      <c r="G3242" t="s">
        <v>22</v>
      </c>
      <c r="H3242" s="1">
        <v>45056</v>
      </c>
    </row>
    <row r="3243" spans="1:8">
      <c r="A3243" t="s">
        <v>6501</v>
      </c>
      <c r="B3243" t="s">
        <v>6502</v>
      </c>
      <c r="C3243" t="s">
        <v>31</v>
      </c>
      <c r="D3243">
        <v>31</v>
      </c>
      <c r="E3243" t="s">
        <v>60</v>
      </c>
      <c r="F3243" t="s">
        <v>21</v>
      </c>
      <c r="G3243" t="s">
        <v>22</v>
      </c>
      <c r="H3243" s="1">
        <v>46003</v>
      </c>
    </row>
    <row r="3244" spans="1:8">
      <c r="A3244" t="s">
        <v>6503</v>
      </c>
      <c r="B3244" t="s">
        <v>6504</v>
      </c>
      <c r="C3244" t="s">
        <v>10</v>
      </c>
      <c r="D3244">
        <v>55</v>
      </c>
      <c r="E3244" t="s">
        <v>11</v>
      </c>
      <c r="F3244" t="s">
        <v>11</v>
      </c>
      <c r="G3244" t="s">
        <v>12</v>
      </c>
      <c r="H3244" s="1">
        <v>44583</v>
      </c>
    </row>
    <row r="3245" spans="1:8">
      <c r="A3245" t="s">
        <v>6505</v>
      </c>
      <c r="B3245" t="s">
        <v>6506</v>
      </c>
      <c r="C3245" t="s">
        <v>31</v>
      </c>
      <c r="D3245">
        <v>22</v>
      </c>
      <c r="E3245" t="s">
        <v>87</v>
      </c>
      <c r="F3245" t="s">
        <v>88</v>
      </c>
      <c r="G3245" t="s">
        <v>78</v>
      </c>
      <c r="H3245" s="1">
        <v>45598</v>
      </c>
    </row>
    <row r="3246" spans="1:8">
      <c r="A3246" t="s">
        <v>6507</v>
      </c>
      <c r="B3246" t="s">
        <v>6508</v>
      </c>
      <c r="C3246" t="s">
        <v>31</v>
      </c>
      <c r="D3246">
        <v>69</v>
      </c>
      <c r="E3246" t="s">
        <v>149</v>
      </c>
      <c r="F3246" t="s">
        <v>38</v>
      </c>
      <c r="G3246" t="s">
        <v>22</v>
      </c>
      <c r="H3246" s="1">
        <v>45124</v>
      </c>
    </row>
    <row r="3247" spans="1:8">
      <c r="A3247" t="s">
        <v>6509</v>
      </c>
      <c r="B3247" t="s">
        <v>6510</v>
      </c>
      <c r="C3247" t="s">
        <v>10</v>
      </c>
      <c r="D3247">
        <v>62</v>
      </c>
      <c r="E3247" t="s">
        <v>87</v>
      </c>
      <c r="F3247" t="s">
        <v>88</v>
      </c>
      <c r="G3247" t="s">
        <v>78</v>
      </c>
      <c r="H3247" s="1">
        <v>45080</v>
      </c>
    </row>
    <row r="3248" spans="1:8">
      <c r="A3248" t="s">
        <v>6511</v>
      </c>
      <c r="B3248" t="s">
        <v>6512</v>
      </c>
      <c r="C3248" t="s">
        <v>31</v>
      </c>
      <c r="D3248">
        <v>28</v>
      </c>
      <c r="E3248" t="s">
        <v>101</v>
      </c>
      <c r="F3248" t="s">
        <v>21</v>
      </c>
      <c r="G3248" t="s">
        <v>22</v>
      </c>
      <c r="H3248" s="1">
        <v>45487</v>
      </c>
    </row>
    <row r="3249" spans="1:8">
      <c r="A3249" t="s">
        <v>6513</v>
      </c>
      <c r="B3249" t="s">
        <v>6514</v>
      </c>
      <c r="C3249" t="s">
        <v>31</v>
      </c>
      <c r="D3249">
        <v>25</v>
      </c>
      <c r="E3249" t="s">
        <v>218</v>
      </c>
      <c r="F3249" t="s">
        <v>219</v>
      </c>
      <c r="G3249" t="s">
        <v>17</v>
      </c>
      <c r="H3249" s="1">
        <v>45240</v>
      </c>
    </row>
    <row r="3250" spans="1:8">
      <c r="A3250" t="s">
        <v>6515</v>
      </c>
      <c r="B3250" t="s">
        <v>6516</v>
      </c>
      <c r="C3250" t="s">
        <v>31</v>
      </c>
      <c r="D3250">
        <v>49</v>
      </c>
      <c r="E3250" t="s">
        <v>11</v>
      </c>
      <c r="F3250" t="s">
        <v>11</v>
      </c>
      <c r="G3250" t="s">
        <v>12</v>
      </c>
      <c r="H3250" s="1">
        <v>44969</v>
      </c>
    </row>
    <row r="3251" spans="1:8">
      <c r="A3251" t="s">
        <v>6517</v>
      </c>
      <c r="B3251" t="s">
        <v>6518</v>
      </c>
      <c r="C3251" t="s">
        <v>10</v>
      </c>
      <c r="D3251">
        <v>67</v>
      </c>
      <c r="E3251" t="s">
        <v>41</v>
      </c>
      <c r="F3251" t="s">
        <v>42</v>
      </c>
      <c r="G3251" t="s">
        <v>17</v>
      </c>
      <c r="H3251" s="1">
        <v>45901</v>
      </c>
    </row>
    <row r="3252" spans="1:8">
      <c r="A3252" t="s">
        <v>6519</v>
      </c>
      <c r="B3252" t="s">
        <v>6520</v>
      </c>
      <c r="C3252" t="s">
        <v>10</v>
      </c>
      <c r="D3252">
        <v>39</v>
      </c>
      <c r="E3252" t="s">
        <v>37</v>
      </c>
      <c r="F3252" t="s">
        <v>38</v>
      </c>
      <c r="G3252" t="s">
        <v>22</v>
      </c>
      <c r="H3252" s="1">
        <v>44936</v>
      </c>
    </row>
    <row r="3253" spans="1:8">
      <c r="A3253" t="s">
        <v>6521</v>
      </c>
      <c r="B3253" t="s">
        <v>6522</v>
      </c>
      <c r="C3253" t="s">
        <v>10</v>
      </c>
      <c r="D3253">
        <v>63</v>
      </c>
      <c r="E3253" t="s">
        <v>128</v>
      </c>
      <c r="F3253" t="s">
        <v>129</v>
      </c>
      <c r="G3253" t="s">
        <v>78</v>
      </c>
      <c r="H3253" s="1">
        <v>45572</v>
      </c>
    </row>
    <row r="3254" spans="1:8">
      <c r="A3254" t="s">
        <v>6523</v>
      </c>
      <c r="B3254" t="s">
        <v>6524</v>
      </c>
      <c r="C3254" t="s">
        <v>10</v>
      </c>
      <c r="D3254">
        <v>26</v>
      </c>
      <c r="E3254" t="s">
        <v>20</v>
      </c>
      <c r="F3254" t="s">
        <v>21</v>
      </c>
      <c r="G3254" t="s">
        <v>22</v>
      </c>
      <c r="H3254" s="1">
        <v>44769</v>
      </c>
    </row>
    <row r="3255" spans="1:8">
      <c r="A3255" t="s">
        <v>6525</v>
      </c>
      <c r="B3255" t="s">
        <v>6526</v>
      </c>
      <c r="C3255" t="s">
        <v>10</v>
      </c>
      <c r="D3255">
        <v>46</v>
      </c>
      <c r="E3255" t="s">
        <v>218</v>
      </c>
      <c r="F3255" t="s">
        <v>219</v>
      </c>
      <c r="G3255" t="s">
        <v>17</v>
      </c>
      <c r="H3255" s="1">
        <v>45714</v>
      </c>
    </row>
    <row r="3256" spans="1:8">
      <c r="A3256" t="s">
        <v>6527</v>
      </c>
      <c r="B3256" t="s">
        <v>6528</v>
      </c>
      <c r="C3256" t="s">
        <v>31</v>
      </c>
      <c r="D3256">
        <v>58</v>
      </c>
      <c r="E3256" t="s">
        <v>149</v>
      </c>
      <c r="F3256" t="s">
        <v>38</v>
      </c>
      <c r="G3256" t="s">
        <v>22</v>
      </c>
      <c r="H3256" s="1">
        <v>44604</v>
      </c>
    </row>
    <row r="3257" spans="1:8">
      <c r="A3257" t="s">
        <v>6529</v>
      </c>
      <c r="B3257" t="s">
        <v>6530</v>
      </c>
      <c r="C3257" t="s">
        <v>10</v>
      </c>
      <c r="D3257">
        <v>35</v>
      </c>
      <c r="E3257" t="s">
        <v>149</v>
      </c>
      <c r="F3257" t="s">
        <v>38</v>
      </c>
      <c r="G3257" t="s">
        <v>22</v>
      </c>
      <c r="H3257" s="1">
        <v>45532</v>
      </c>
    </row>
    <row r="3258" spans="1:8">
      <c r="A3258" t="s">
        <v>6531</v>
      </c>
      <c r="B3258" t="s">
        <v>6532</v>
      </c>
      <c r="C3258" t="s">
        <v>10</v>
      </c>
      <c r="D3258">
        <v>23</v>
      </c>
      <c r="E3258" t="s">
        <v>149</v>
      </c>
      <c r="F3258" t="s">
        <v>38</v>
      </c>
      <c r="G3258" t="s">
        <v>22</v>
      </c>
      <c r="H3258" s="1">
        <v>44699</v>
      </c>
    </row>
    <row r="3259" spans="1:8">
      <c r="A3259" t="s">
        <v>6533</v>
      </c>
      <c r="B3259" t="s">
        <v>6534</v>
      </c>
      <c r="C3259" t="s">
        <v>31</v>
      </c>
      <c r="D3259">
        <v>50</v>
      </c>
      <c r="E3259" t="s">
        <v>45</v>
      </c>
      <c r="F3259" t="s">
        <v>46</v>
      </c>
      <c r="G3259" t="s">
        <v>17</v>
      </c>
      <c r="H3259" s="1">
        <v>45534</v>
      </c>
    </row>
    <row r="3260" spans="1:8">
      <c r="A3260" t="s">
        <v>6535</v>
      </c>
      <c r="B3260" t="s">
        <v>6536</v>
      </c>
      <c r="C3260" t="s">
        <v>10</v>
      </c>
      <c r="D3260">
        <v>28</v>
      </c>
      <c r="E3260" t="s">
        <v>76</v>
      </c>
      <c r="F3260" t="s">
        <v>77</v>
      </c>
      <c r="G3260" t="s">
        <v>78</v>
      </c>
      <c r="H3260" s="1">
        <v>44809</v>
      </c>
    </row>
    <row r="3261" spans="1:8">
      <c r="A3261" t="s">
        <v>6537</v>
      </c>
      <c r="B3261" t="s">
        <v>5298</v>
      </c>
      <c r="C3261" t="s">
        <v>10</v>
      </c>
      <c r="D3261">
        <v>46</v>
      </c>
      <c r="E3261" t="s">
        <v>34</v>
      </c>
      <c r="F3261" t="s">
        <v>16</v>
      </c>
      <c r="G3261" t="s">
        <v>17</v>
      </c>
      <c r="H3261" s="1">
        <v>45923</v>
      </c>
    </row>
    <row r="3262" spans="1:8">
      <c r="A3262" t="s">
        <v>6538</v>
      </c>
      <c r="B3262" t="s">
        <v>6539</v>
      </c>
      <c r="C3262" t="s">
        <v>31</v>
      </c>
      <c r="D3262">
        <v>48</v>
      </c>
      <c r="E3262" t="s">
        <v>27</v>
      </c>
      <c r="F3262" t="s">
        <v>28</v>
      </c>
      <c r="G3262" t="s">
        <v>12</v>
      </c>
      <c r="H3262" s="1">
        <v>45326</v>
      </c>
    </row>
    <row r="3263" spans="1:8">
      <c r="A3263" t="s">
        <v>6540</v>
      </c>
      <c r="B3263" t="s">
        <v>6541</v>
      </c>
      <c r="C3263" t="s">
        <v>31</v>
      </c>
      <c r="D3263">
        <v>25</v>
      </c>
      <c r="E3263" t="s">
        <v>34</v>
      </c>
      <c r="F3263" t="s">
        <v>16</v>
      </c>
      <c r="G3263" t="s">
        <v>17</v>
      </c>
      <c r="H3263" s="1">
        <v>45754</v>
      </c>
    </row>
    <row r="3264" spans="1:8">
      <c r="A3264" t="s">
        <v>6542</v>
      </c>
      <c r="B3264" t="s">
        <v>6543</v>
      </c>
      <c r="C3264" t="s">
        <v>10</v>
      </c>
      <c r="D3264">
        <v>37</v>
      </c>
      <c r="E3264" t="s">
        <v>101</v>
      </c>
      <c r="F3264" t="s">
        <v>21</v>
      </c>
      <c r="G3264" t="s">
        <v>22</v>
      </c>
      <c r="H3264" s="1">
        <v>44976</v>
      </c>
    </row>
    <row r="3265" spans="1:8">
      <c r="A3265" t="s">
        <v>6544</v>
      </c>
      <c r="B3265" t="s">
        <v>6545</v>
      </c>
      <c r="C3265" t="s">
        <v>31</v>
      </c>
      <c r="D3265">
        <v>21</v>
      </c>
      <c r="E3265" t="s">
        <v>41</v>
      </c>
      <c r="F3265" t="s">
        <v>42</v>
      </c>
      <c r="G3265" t="s">
        <v>17</v>
      </c>
      <c r="H3265" s="1">
        <v>44584</v>
      </c>
    </row>
    <row r="3266" spans="1:8">
      <c r="A3266" t="s">
        <v>6546</v>
      </c>
      <c r="B3266" t="s">
        <v>6547</v>
      </c>
      <c r="C3266" t="s">
        <v>31</v>
      </c>
      <c r="D3266">
        <v>55</v>
      </c>
      <c r="E3266" t="s">
        <v>20</v>
      </c>
      <c r="F3266" t="s">
        <v>21</v>
      </c>
      <c r="G3266" t="s">
        <v>22</v>
      </c>
      <c r="H3266" s="1">
        <v>44792</v>
      </c>
    </row>
    <row r="3267" spans="1:8">
      <c r="A3267" t="s">
        <v>6548</v>
      </c>
      <c r="B3267" t="s">
        <v>6549</v>
      </c>
      <c r="C3267" t="s">
        <v>31</v>
      </c>
      <c r="D3267">
        <v>33</v>
      </c>
      <c r="E3267" t="s">
        <v>37</v>
      </c>
      <c r="F3267" t="s">
        <v>38</v>
      </c>
      <c r="G3267" t="s">
        <v>22</v>
      </c>
      <c r="H3267" s="1">
        <v>44842</v>
      </c>
    </row>
    <row r="3268" spans="1:8">
      <c r="A3268" t="s">
        <v>6550</v>
      </c>
      <c r="B3268" t="s">
        <v>6551</v>
      </c>
      <c r="C3268" t="s">
        <v>31</v>
      </c>
      <c r="D3268">
        <v>48</v>
      </c>
      <c r="E3268" t="s">
        <v>76</v>
      </c>
      <c r="F3268" t="s">
        <v>77</v>
      </c>
      <c r="G3268" t="s">
        <v>78</v>
      </c>
      <c r="H3268" s="1">
        <v>44948</v>
      </c>
    </row>
    <row r="3269" spans="1:8">
      <c r="A3269" t="s">
        <v>6552</v>
      </c>
      <c r="B3269" t="s">
        <v>6553</v>
      </c>
      <c r="C3269" t="s">
        <v>31</v>
      </c>
      <c r="D3269">
        <v>53</v>
      </c>
      <c r="E3269" t="s">
        <v>20</v>
      </c>
      <c r="F3269" t="s">
        <v>21</v>
      </c>
      <c r="G3269" t="s">
        <v>22</v>
      </c>
      <c r="H3269" s="1">
        <v>44915</v>
      </c>
    </row>
    <row r="3270" spans="1:8">
      <c r="A3270" t="s">
        <v>6554</v>
      </c>
      <c r="B3270" t="s">
        <v>6555</v>
      </c>
      <c r="C3270" t="s">
        <v>10</v>
      </c>
      <c r="D3270">
        <v>60</v>
      </c>
      <c r="E3270" t="s">
        <v>27</v>
      </c>
      <c r="F3270" t="s">
        <v>28</v>
      </c>
      <c r="G3270" t="s">
        <v>12</v>
      </c>
      <c r="H3270" s="1">
        <v>44707</v>
      </c>
    </row>
    <row r="3271" spans="1:8">
      <c r="A3271" t="s">
        <v>6556</v>
      </c>
      <c r="B3271" t="s">
        <v>6557</v>
      </c>
      <c r="C3271" t="s">
        <v>10</v>
      </c>
      <c r="D3271">
        <v>48</v>
      </c>
      <c r="E3271" t="s">
        <v>218</v>
      </c>
      <c r="F3271" t="s">
        <v>219</v>
      </c>
      <c r="G3271" t="s">
        <v>17</v>
      </c>
      <c r="H3271" s="1">
        <v>44859</v>
      </c>
    </row>
    <row r="3272" spans="1:8">
      <c r="A3272" t="s">
        <v>6558</v>
      </c>
      <c r="B3272" t="s">
        <v>6559</v>
      </c>
      <c r="C3272" t="s">
        <v>10</v>
      </c>
      <c r="D3272">
        <v>33</v>
      </c>
      <c r="E3272" t="s">
        <v>20</v>
      </c>
      <c r="F3272" t="s">
        <v>21</v>
      </c>
      <c r="G3272" t="s">
        <v>22</v>
      </c>
      <c r="H3272" s="1">
        <v>45721</v>
      </c>
    </row>
    <row r="3273" spans="1:8">
      <c r="A3273" t="s">
        <v>6560</v>
      </c>
      <c r="B3273" t="s">
        <v>6561</v>
      </c>
      <c r="C3273" t="s">
        <v>31</v>
      </c>
      <c r="D3273">
        <v>32</v>
      </c>
      <c r="E3273" t="s">
        <v>69</v>
      </c>
      <c r="F3273" t="s">
        <v>69</v>
      </c>
      <c r="G3273" t="s">
        <v>12</v>
      </c>
      <c r="H3273" s="1">
        <v>45843</v>
      </c>
    </row>
    <row r="3274" spans="1:8">
      <c r="A3274" t="s">
        <v>6562</v>
      </c>
      <c r="B3274" t="s">
        <v>6563</v>
      </c>
      <c r="C3274" t="s">
        <v>31</v>
      </c>
      <c r="D3274">
        <v>20</v>
      </c>
      <c r="E3274" t="s">
        <v>112</v>
      </c>
      <c r="F3274" t="s">
        <v>113</v>
      </c>
      <c r="G3274" t="s">
        <v>78</v>
      </c>
      <c r="H3274" s="1">
        <v>44684</v>
      </c>
    </row>
    <row r="3275" spans="1:8">
      <c r="A3275" t="s">
        <v>6564</v>
      </c>
      <c r="B3275" t="s">
        <v>6565</v>
      </c>
      <c r="C3275" t="s">
        <v>10</v>
      </c>
      <c r="D3275">
        <v>60</v>
      </c>
      <c r="E3275" t="s">
        <v>112</v>
      </c>
      <c r="F3275" t="s">
        <v>113</v>
      </c>
      <c r="G3275" t="s">
        <v>78</v>
      </c>
      <c r="H3275" s="1">
        <v>44618</v>
      </c>
    </row>
    <row r="3276" spans="1:8">
      <c r="A3276" t="s">
        <v>6566</v>
      </c>
      <c r="B3276" t="s">
        <v>6567</v>
      </c>
      <c r="C3276" t="s">
        <v>31</v>
      </c>
      <c r="D3276">
        <v>56</v>
      </c>
      <c r="E3276" t="s">
        <v>134</v>
      </c>
      <c r="F3276" t="s">
        <v>28</v>
      </c>
      <c r="G3276" t="s">
        <v>12</v>
      </c>
      <c r="H3276" s="1">
        <v>45362</v>
      </c>
    </row>
    <row r="3277" spans="1:8">
      <c r="A3277" t="s">
        <v>6568</v>
      </c>
      <c r="B3277" t="s">
        <v>6569</v>
      </c>
      <c r="C3277" t="s">
        <v>31</v>
      </c>
      <c r="D3277">
        <v>57</v>
      </c>
      <c r="E3277" t="s">
        <v>76</v>
      </c>
      <c r="F3277" t="s">
        <v>77</v>
      </c>
      <c r="G3277" t="s">
        <v>78</v>
      </c>
      <c r="H3277" s="1">
        <v>44822</v>
      </c>
    </row>
    <row r="3278" spans="1:8">
      <c r="A3278" t="s">
        <v>6570</v>
      </c>
      <c r="B3278" t="s">
        <v>6571</v>
      </c>
      <c r="C3278" t="s">
        <v>10</v>
      </c>
      <c r="D3278">
        <v>33</v>
      </c>
      <c r="E3278" t="s">
        <v>128</v>
      </c>
      <c r="F3278" t="s">
        <v>129</v>
      </c>
      <c r="G3278" t="s">
        <v>78</v>
      </c>
      <c r="H3278" s="1">
        <v>45394</v>
      </c>
    </row>
    <row r="3279" spans="1:8">
      <c r="A3279" t="s">
        <v>6572</v>
      </c>
      <c r="B3279" t="s">
        <v>6573</v>
      </c>
      <c r="C3279" t="s">
        <v>10</v>
      </c>
      <c r="D3279">
        <v>45</v>
      </c>
      <c r="E3279" t="s">
        <v>134</v>
      </c>
      <c r="F3279" t="s">
        <v>28</v>
      </c>
      <c r="G3279" t="s">
        <v>12</v>
      </c>
      <c r="H3279" s="1">
        <v>45580</v>
      </c>
    </row>
    <row r="3280" spans="1:8">
      <c r="A3280" t="s">
        <v>6574</v>
      </c>
      <c r="B3280" t="s">
        <v>6575</v>
      </c>
      <c r="C3280" t="s">
        <v>10</v>
      </c>
      <c r="D3280">
        <v>63</v>
      </c>
      <c r="E3280" t="s">
        <v>69</v>
      </c>
      <c r="F3280" t="s">
        <v>69</v>
      </c>
      <c r="G3280" t="s">
        <v>12</v>
      </c>
      <c r="H3280" s="1">
        <v>44697</v>
      </c>
    </row>
    <row r="3281" spans="1:8">
      <c r="A3281" t="s">
        <v>6576</v>
      </c>
      <c r="B3281" t="s">
        <v>6577</v>
      </c>
      <c r="C3281" t="s">
        <v>10</v>
      </c>
      <c r="D3281">
        <v>41</v>
      </c>
      <c r="E3281" t="s">
        <v>76</v>
      </c>
      <c r="F3281" t="s">
        <v>77</v>
      </c>
      <c r="G3281" t="s">
        <v>78</v>
      </c>
      <c r="H3281" s="1">
        <v>45875</v>
      </c>
    </row>
    <row r="3282" spans="1:8">
      <c r="A3282" t="s">
        <v>6578</v>
      </c>
      <c r="B3282" t="s">
        <v>6579</v>
      </c>
      <c r="C3282" t="s">
        <v>31</v>
      </c>
      <c r="D3282">
        <v>37</v>
      </c>
      <c r="E3282" t="s">
        <v>45</v>
      </c>
      <c r="F3282" t="s">
        <v>46</v>
      </c>
      <c r="G3282" t="s">
        <v>17</v>
      </c>
      <c r="H3282" s="1">
        <v>45513</v>
      </c>
    </row>
    <row r="3283" spans="1:8">
      <c r="A3283" t="s">
        <v>6580</v>
      </c>
      <c r="B3283" t="s">
        <v>6581</v>
      </c>
      <c r="C3283" t="s">
        <v>31</v>
      </c>
      <c r="D3283">
        <v>48</v>
      </c>
      <c r="E3283" t="s">
        <v>128</v>
      </c>
      <c r="F3283" t="s">
        <v>129</v>
      </c>
      <c r="G3283" t="s">
        <v>78</v>
      </c>
      <c r="H3283" s="1">
        <v>45231</v>
      </c>
    </row>
    <row r="3284" spans="1:8">
      <c r="A3284" t="s">
        <v>6582</v>
      </c>
      <c r="B3284" t="s">
        <v>6583</v>
      </c>
      <c r="C3284" t="s">
        <v>10</v>
      </c>
      <c r="D3284">
        <v>48</v>
      </c>
      <c r="E3284" t="s">
        <v>149</v>
      </c>
      <c r="F3284" t="s">
        <v>38</v>
      </c>
      <c r="G3284" t="s">
        <v>22</v>
      </c>
      <c r="H3284" s="1">
        <v>45971</v>
      </c>
    </row>
    <row r="3285" spans="1:8">
      <c r="A3285" t="s">
        <v>6584</v>
      </c>
      <c r="B3285" t="s">
        <v>6585</v>
      </c>
      <c r="C3285" t="s">
        <v>10</v>
      </c>
      <c r="D3285">
        <v>34</v>
      </c>
      <c r="E3285" t="s">
        <v>149</v>
      </c>
      <c r="F3285" t="s">
        <v>38</v>
      </c>
      <c r="G3285" t="s">
        <v>22</v>
      </c>
      <c r="H3285" s="1">
        <v>45263</v>
      </c>
    </row>
    <row r="3286" spans="1:8">
      <c r="A3286" t="s">
        <v>6586</v>
      </c>
      <c r="B3286" t="s">
        <v>6587</v>
      </c>
      <c r="C3286" t="s">
        <v>10</v>
      </c>
      <c r="D3286">
        <v>38</v>
      </c>
      <c r="E3286" t="s">
        <v>134</v>
      </c>
      <c r="F3286" t="s">
        <v>28</v>
      </c>
      <c r="G3286" t="s">
        <v>12</v>
      </c>
      <c r="H3286" s="1">
        <v>45153</v>
      </c>
    </row>
    <row r="3287" spans="1:8">
      <c r="A3287" t="s">
        <v>6588</v>
      </c>
      <c r="B3287" t="s">
        <v>6589</v>
      </c>
      <c r="C3287" t="s">
        <v>10</v>
      </c>
      <c r="D3287">
        <v>40</v>
      </c>
      <c r="E3287" t="s">
        <v>91</v>
      </c>
      <c r="F3287" t="s">
        <v>92</v>
      </c>
      <c r="G3287" t="s">
        <v>78</v>
      </c>
      <c r="H3287" s="1">
        <v>45052</v>
      </c>
    </row>
    <row r="3288" spans="1:8">
      <c r="A3288" t="s">
        <v>6590</v>
      </c>
      <c r="B3288" t="s">
        <v>6591</v>
      </c>
      <c r="C3288" t="s">
        <v>31</v>
      </c>
      <c r="D3288">
        <v>35</v>
      </c>
      <c r="E3288" t="s">
        <v>76</v>
      </c>
      <c r="F3288" t="s">
        <v>77</v>
      </c>
      <c r="G3288" t="s">
        <v>78</v>
      </c>
      <c r="H3288" s="1">
        <v>45248</v>
      </c>
    </row>
    <row r="3289" spans="1:8">
      <c r="A3289" t="s">
        <v>6592</v>
      </c>
      <c r="B3289" t="s">
        <v>5451</v>
      </c>
      <c r="C3289" t="s">
        <v>10</v>
      </c>
      <c r="D3289">
        <v>67</v>
      </c>
      <c r="E3289" t="s">
        <v>41</v>
      </c>
      <c r="F3289" t="s">
        <v>42</v>
      </c>
      <c r="G3289" t="s">
        <v>17</v>
      </c>
      <c r="H3289" s="1">
        <v>45933</v>
      </c>
    </row>
    <row r="3290" spans="1:8">
      <c r="A3290" t="s">
        <v>6593</v>
      </c>
      <c r="B3290" t="s">
        <v>6594</v>
      </c>
      <c r="C3290" t="s">
        <v>31</v>
      </c>
      <c r="D3290">
        <v>30</v>
      </c>
      <c r="E3290" t="s">
        <v>63</v>
      </c>
      <c r="F3290" t="s">
        <v>64</v>
      </c>
      <c r="G3290" t="s">
        <v>12</v>
      </c>
      <c r="H3290" s="1">
        <v>45971</v>
      </c>
    </row>
    <row r="3291" spans="1:8">
      <c r="A3291" t="s">
        <v>6595</v>
      </c>
      <c r="B3291" t="s">
        <v>6596</v>
      </c>
      <c r="C3291" t="s">
        <v>31</v>
      </c>
      <c r="D3291">
        <v>31</v>
      </c>
      <c r="E3291" t="s">
        <v>134</v>
      </c>
      <c r="F3291" t="s">
        <v>28</v>
      </c>
      <c r="G3291" t="s">
        <v>12</v>
      </c>
      <c r="H3291" s="1">
        <v>46021</v>
      </c>
    </row>
    <row r="3292" spans="1:8">
      <c r="A3292" t="s">
        <v>6597</v>
      </c>
      <c r="B3292" t="s">
        <v>6598</v>
      </c>
      <c r="C3292" t="s">
        <v>10</v>
      </c>
      <c r="D3292">
        <v>25</v>
      </c>
      <c r="E3292" t="s">
        <v>27</v>
      </c>
      <c r="F3292" t="s">
        <v>28</v>
      </c>
      <c r="G3292" t="s">
        <v>12</v>
      </c>
      <c r="H3292" s="1">
        <v>45627</v>
      </c>
    </row>
    <row r="3293" spans="1:8">
      <c r="A3293" t="s">
        <v>6599</v>
      </c>
      <c r="B3293" t="s">
        <v>6600</v>
      </c>
      <c r="C3293" t="s">
        <v>10</v>
      </c>
      <c r="D3293">
        <v>31</v>
      </c>
      <c r="E3293" t="s">
        <v>134</v>
      </c>
      <c r="F3293" t="s">
        <v>28</v>
      </c>
      <c r="G3293" t="s">
        <v>12</v>
      </c>
      <c r="H3293" s="1">
        <v>45869</v>
      </c>
    </row>
    <row r="3294" spans="1:8">
      <c r="A3294" t="s">
        <v>6601</v>
      </c>
      <c r="B3294" t="s">
        <v>6602</v>
      </c>
      <c r="C3294" t="s">
        <v>31</v>
      </c>
      <c r="D3294">
        <v>41</v>
      </c>
      <c r="E3294" t="s">
        <v>134</v>
      </c>
      <c r="F3294" t="s">
        <v>28</v>
      </c>
      <c r="G3294" t="s">
        <v>12</v>
      </c>
      <c r="H3294" s="1">
        <v>44936</v>
      </c>
    </row>
    <row r="3295" spans="1:8">
      <c r="A3295" t="s">
        <v>6603</v>
      </c>
      <c r="B3295" t="s">
        <v>6604</v>
      </c>
      <c r="C3295" t="s">
        <v>31</v>
      </c>
      <c r="D3295">
        <v>52</v>
      </c>
      <c r="E3295" t="s">
        <v>41</v>
      </c>
      <c r="F3295" t="s">
        <v>42</v>
      </c>
      <c r="G3295" t="s">
        <v>17</v>
      </c>
      <c r="H3295" s="1">
        <v>45116</v>
      </c>
    </row>
    <row r="3296" spans="1:8">
      <c r="A3296" t="s">
        <v>6605</v>
      </c>
      <c r="B3296" t="s">
        <v>6606</v>
      </c>
      <c r="C3296" t="s">
        <v>10</v>
      </c>
      <c r="D3296">
        <v>34</v>
      </c>
      <c r="E3296" t="s">
        <v>37</v>
      </c>
      <c r="F3296" t="s">
        <v>38</v>
      </c>
      <c r="G3296" t="s">
        <v>22</v>
      </c>
      <c r="H3296" s="1">
        <v>45803</v>
      </c>
    </row>
    <row r="3297" spans="1:8">
      <c r="A3297" t="s">
        <v>6607</v>
      </c>
      <c r="B3297" t="s">
        <v>6608</v>
      </c>
      <c r="C3297" t="s">
        <v>31</v>
      </c>
      <c r="D3297">
        <v>18</v>
      </c>
      <c r="E3297" t="s">
        <v>41</v>
      </c>
      <c r="F3297" t="s">
        <v>42</v>
      </c>
      <c r="G3297" t="s">
        <v>17</v>
      </c>
      <c r="H3297" s="1">
        <v>45689</v>
      </c>
    </row>
    <row r="3298" spans="1:8">
      <c r="A3298" t="s">
        <v>6609</v>
      </c>
      <c r="B3298" t="s">
        <v>6610</v>
      </c>
      <c r="C3298" t="s">
        <v>31</v>
      </c>
      <c r="D3298">
        <v>53</v>
      </c>
      <c r="E3298" t="s">
        <v>45</v>
      </c>
      <c r="F3298" t="s">
        <v>46</v>
      </c>
      <c r="G3298" t="s">
        <v>17</v>
      </c>
      <c r="H3298" s="1">
        <v>45575</v>
      </c>
    </row>
    <row r="3299" spans="1:8">
      <c r="A3299" t="s">
        <v>6611</v>
      </c>
      <c r="B3299" t="s">
        <v>6612</v>
      </c>
      <c r="C3299" t="s">
        <v>31</v>
      </c>
      <c r="D3299">
        <v>30</v>
      </c>
      <c r="E3299" t="s">
        <v>134</v>
      </c>
      <c r="F3299" t="s">
        <v>28</v>
      </c>
      <c r="G3299" t="s">
        <v>12</v>
      </c>
      <c r="H3299" s="1">
        <v>45608</v>
      </c>
    </row>
    <row r="3300" spans="1:8">
      <c r="A3300" t="s">
        <v>6613</v>
      </c>
      <c r="B3300" t="s">
        <v>6614</v>
      </c>
      <c r="C3300" t="s">
        <v>31</v>
      </c>
      <c r="D3300">
        <v>56</v>
      </c>
      <c r="E3300" t="s">
        <v>41</v>
      </c>
      <c r="F3300" t="s">
        <v>42</v>
      </c>
      <c r="G3300" t="s">
        <v>17</v>
      </c>
      <c r="H3300" s="1">
        <v>45848</v>
      </c>
    </row>
    <row r="3301" spans="1:8">
      <c r="A3301" t="s">
        <v>6615</v>
      </c>
      <c r="B3301" t="s">
        <v>6616</v>
      </c>
      <c r="C3301" t="s">
        <v>31</v>
      </c>
      <c r="D3301">
        <v>25</v>
      </c>
      <c r="E3301" t="s">
        <v>41</v>
      </c>
      <c r="F3301" t="s">
        <v>42</v>
      </c>
      <c r="G3301" t="s">
        <v>17</v>
      </c>
      <c r="H3301" s="1">
        <v>45354</v>
      </c>
    </row>
    <row r="3302" spans="1:8">
      <c r="A3302" t="s">
        <v>6617</v>
      </c>
      <c r="B3302" t="s">
        <v>6618</v>
      </c>
      <c r="C3302" t="s">
        <v>10</v>
      </c>
      <c r="D3302">
        <v>20</v>
      </c>
      <c r="E3302" t="s">
        <v>15</v>
      </c>
      <c r="F3302" t="s">
        <v>16</v>
      </c>
      <c r="G3302" t="s">
        <v>17</v>
      </c>
      <c r="H3302" s="1">
        <v>45302</v>
      </c>
    </row>
    <row r="3303" spans="1:8">
      <c r="A3303" t="s">
        <v>6619</v>
      </c>
      <c r="B3303" t="s">
        <v>6620</v>
      </c>
      <c r="C3303" t="s">
        <v>31</v>
      </c>
      <c r="D3303">
        <v>26</v>
      </c>
      <c r="E3303" t="s">
        <v>91</v>
      </c>
      <c r="F3303" t="s">
        <v>92</v>
      </c>
      <c r="G3303" t="s">
        <v>78</v>
      </c>
      <c r="H3303" s="1">
        <v>44782</v>
      </c>
    </row>
    <row r="3304" spans="1:8">
      <c r="A3304" t="s">
        <v>6621</v>
      </c>
      <c r="B3304" t="s">
        <v>6622</v>
      </c>
      <c r="C3304" t="s">
        <v>10</v>
      </c>
      <c r="D3304">
        <v>60</v>
      </c>
      <c r="E3304" t="s">
        <v>69</v>
      </c>
      <c r="F3304" t="s">
        <v>69</v>
      </c>
      <c r="G3304" t="s">
        <v>12</v>
      </c>
      <c r="H3304" s="1">
        <v>44981</v>
      </c>
    </row>
    <row r="3305" spans="1:8">
      <c r="A3305" t="s">
        <v>6623</v>
      </c>
      <c r="B3305" t="s">
        <v>6624</v>
      </c>
      <c r="C3305" t="s">
        <v>31</v>
      </c>
      <c r="D3305">
        <v>57</v>
      </c>
      <c r="E3305" t="s">
        <v>20</v>
      </c>
      <c r="F3305" t="s">
        <v>21</v>
      </c>
      <c r="G3305" t="s">
        <v>22</v>
      </c>
      <c r="H3305" s="1">
        <v>44790</v>
      </c>
    </row>
    <row r="3306" spans="1:8">
      <c r="A3306" t="s">
        <v>6625</v>
      </c>
      <c r="B3306" t="s">
        <v>6626</v>
      </c>
      <c r="C3306" t="s">
        <v>10</v>
      </c>
      <c r="D3306">
        <v>32</v>
      </c>
      <c r="E3306" t="s">
        <v>134</v>
      </c>
      <c r="F3306" t="s">
        <v>28</v>
      </c>
      <c r="G3306" t="s">
        <v>12</v>
      </c>
      <c r="H3306" s="1">
        <v>45442</v>
      </c>
    </row>
    <row r="3307" spans="1:8">
      <c r="A3307" t="s">
        <v>6627</v>
      </c>
      <c r="B3307" t="s">
        <v>6628</v>
      </c>
      <c r="C3307" t="s">
        <v>31</v>
      </c>
      <c r="D3307">
        <v>53</v>
      </c>
      <c r="E3307" t="s">
        <v>218</v>
      </c>
      <c r="F3307" t="s">
        <v>219</v>
      </c>
      <c r="G3307" t="s">
        <v>17</v>
      </c>
      <c r="H3307" s="1">
        <v>45730</v>
      </c>
    </row>
    <row r="3308" spans="1:8">
      <c r="A3308" t="s">
        <v>6629</v>
      </c>
      <c r="B3308" t="s">
        <v>6630</v>
      </c>
      <c r="C3308" t="s">
        <v>10</v>
      </c>
      <c r="D3308">
        <v>53</v>
      </c>
      <c r="E3308" t="s">
        <v>101</v>
      </c>
      <c r="F3308" t="s">
        <v>21</v>
      </c>
      <c r="G3308" t="s">
        <v>22</v>
      </c>
      <c r="H3308" s="1">
        <v>44872</v>
      </c>
    </row>
    <row r="3309" spans="1:8">
      <c r="A3309" t="s">
        <v>6631</v>
      </c>
      <c r="B3309" t="s">
        <v>6632</v>
      </c>
      <c r="C3309" t="s">
        <v>31</v>
      </c>
      <c r="D3309">
        <v>31</v>
      </c>
      <c r="E3309" t="s">
        <v>63</v>
      </c>
      <c r="F3309" t="s">
        <v>64</v>
      </c>
      <c r="G3309" t="s">
        <v>12</v>
      </c>
      <c r="H3309" s="1">
        <v>44913</v>
      </c>
    </row>
    <row r="3310" spans="1:8">
      <c r="A3310" t="s">
        <v>6633</v>
      </c>
      <c r="B3310" t="s">
        <v>6634</v>
      </c>
      <c r="C3310" t="s">
        <v>10</v>
      </c>
      <c r="D3310">
        <v>54</v>
      </c>
      <c r="E3310" t="s">
        <v>20</v>
      </c>
      <c r="F3310" t="s">
        <v>21</v>
      </c>
      <c r="G3310" t="s">
        <v>22</v>
      </c>
      <c r="H3310" s="1">
        <v>44890</v>
      </c>
    </row>
    <row r="3311" spans="1:8">
      <c r="A3311" t="s">
        <v>6635</v>
      </c>
      <c r="B3311" t="s">
        <v>6636</v>
      </c>
      <c r="C3311" t="s">
        <v>10</v>
      </c>
      <c r="D3311">
        <v>24</v>
      </c>
      <c r="E3311" t="s">
        <v>134</v>
      </c>
      <c r="F3311" t="s">
        <v>28</v>
      </c>
      <c r="G3311" t="s">
        <v>12</v>
      </c>
      <c r="H3311" s="1">
        <v>45557</v>
      </c>
    </row>
    <row r="3312" spans="1:8">
      <c r="A3312" t="s">
        <v>6637</v>
      </c>
      <c r="B3312" t="s">
        <v>6638</v>
      </c>
      <c r="C3312" t="s">
        <v>10</v>
      </c>
      <c r="D3312">
        <v>47</v>
      </c>
      <c r="E3312" t="s">
        <v>41</v>
      </c>
      <c r="F3312" t="s">
        <v>42</v>
      </c>
      <c r="G3312" t="s">
        <v>17</v>
      </c>
      <c r="H3312" s="1">
        <v>45014</v>
      </c>
    </row>
    <row r="3313" spans="1:8">
      <c r="A3313" t="s">
        <v>6639</v>
      </c>
      <c r="B3313" t="s">
        <v>6640</v>
      </c>
      <c r="C3313" t="s">
        <v>31</v>
      </c>
      <c r="D3313">
        <v>24</v>
      </c>
      <c r="E3313" t="s">
        <v>63</v>
      </c>
      <c r="F3313" t="s">
        <v>64</v>
      </c>
      <c r="G3313" t="s">
        <v>12</v>
      </c>
      <c r="H3313" s="1">
        <v>45013</v>
      </c>
    </row>
    <row r="3314" spans="1:8">
      <c r="A3314" t="s">
        <v>6641</v>
      </c>
      <c r="B3314" t="s">
        <v>6642</v>
      </c>
      <c r="C3314" t="s">
        <v>31</v>
      </c>
      <c r="D3314">
        <v>46</v>
      </c>
      <c r="E3314" t="s">
        <v>45</v>
      </c>
      <c r="F3314" t="s">
        <v>46</v>
      </c>
      <c r="G3314" t="s">
        <v>17</v>
      </c>
      <c r="H3314" s="1">
        <v>45453</v>
      </c>
    </row>
    <row r="3315" spans="1:8">
      <c r="A3315" t="s">
        <v>6643</v>
      </c>
      <c r="B3315" t="s">
        <v>6644</v>
      </c>
      <c r="C3315" t="s">
        <v>31</v>
      </c>
      <c r="D3315">
        <v>63</v>
      </c>
      <c r="E3315" t="s">
        <v>15</v>
      </c>
      <c r="F3315" t="s">
        <v>16</v>
      </c>
      <c r="G3315" t="s">
        <v>17</v>
      </c>
      <c r="H3315" s="1">
        <v>44729</v>
      </c>
    </row>
    <row r="3316" spans="1:8">
      <c r="A3316" t="s">
        <v>6645</v>
      </c>
      <c r="B3316" t="s">
        <v>6646</v>
      </c>
      <c r="C3316" t="s">
        <v>31</v>
      </c>
      <c r="D3316">
        <v>19</v>
      </c>
      <c r="E3316" t="s">
        <v>101</v>
      </c>
      <c r="F3316" t="s">
        <v>21</v>
      </c>
      <c r="G3316" t="s">
        <v>22</v>
      </c>
      <c r="H3316" s="1">
        <v>45349</v>
      </c>
    </row>
    <row r="3317" spans="1:8">
      <c r="A3317" t="s">
        <v>6647</v>
      </c>
      <c r="B3317" t="s">
        <v>6648</v>
      </c>
      <c r="C3317" t="s">
        <v>31</v>
      </c>
      <c r="D3317">
        <v>45</v>
      </c>
      <c r="E3317" t="s">
        <v>37</v>
      </c>
      <c r="F3317" t="s">
        <v>38</v>
      </c>
      <c r="G3317" t="s">
        <v>22</v>
      </c>
      <c r="H3317" s="1">
        <v>44982</v>
      </c>
    </row>
    <row r="3318" spans="1:8">
      <c r="A3318" t="s">
        <v>6649</v>
      </c>
      <c r="B3318" t="s">
        <v>6650</v>
      </c>
      <c r="C3318" t="s">
        <v>31</v>
      </c>
      <c r="D3318">
        <v>19</v>
      </c>
      <c r="E3318" t="s">
        <v>27</v>
      </c>
      <c r="F3318" t="s">
        <v>28</v>
      </c>
      <c r="G3318" t="s">
        <v>12</v>
      </c>
      <c r="H3318" s="1">
        <v>45263</v>
      </c>
    </row>
    <row r="3319" spans="1:8">
      <c r="A3319" t="s">
        <v>6651</v>
      </c>
      <c r="B3319" t="s">
        <v>6652</v>
      </c>
      <c r="C3319" t="s">
        <v>31</v>
      </c>
      <c r="D3319">
        <v>56</v>
      </c>
      <c r="E3319" t="s">
        <v>60</v>
      </c>
      <c r="F3319" t="s">
        <v>21</v>
      </c>
      <c r="G3319" t="s">
        <v>22</v>
      </c>
      <c r="H3319" s="1">
        <v>45356</v>
      </c>
    </row>
    <row r="3320" spans="1:8">
      <c r="A3320" t="s">
        <v>6653</v>
      </c>
      <c r="B3320" t="s">
        <v>6654</v>
      </c>
      <c r="C3320" t="s">
        <v>10</v>
      </c>
      <c r="D3320">
        <v>56</v>
      </c>
      <c r="E3320" t="s">
        <v>34</v>
      </c>
      <c r="F3320" t="s">
        <v>16</v>
      </c>
      <c r="G3320" t="s">
        <v>17</v>
      </c>
      <c r="H3320" s="1">
        <v>46002</v>
      </c>
    </row>
    <row r="3321" spans="1:8">
      <c r="A3321" t="s">
        <v>6655</v>
      </c>
      <c r="B3321" t="s">
        <v>6656</v>
      </c>
      <c r="C3321" t="s">
        <v>31</v>
      </c>
      <c r="D3321">
        <v>31</v>
      </c>
      <c r="E3321" t="s">
        <v>112</v>
      </c>
      <c r="F3321" t="s">
        <v>113</v>
      </c>
      <c r="G3321" t="s">
        <v>78</v>
      </c>
      <c r="H3321" s="1">
        <v>44906</v>
      </c>
    </row>
    <row r="3322" spans="1:8">
      <c r="A3322" t="s">
        <v>6657</v>
      </c>
      <c r="B3322" t="s">
        <v>6658</v>
      </c>
      <c r="C3322" t="s">
        <v>31</v>
      </c>
      <c r="D3322">
        <v>33</v>
      </c>
      <c r="E3322" t="s">
        <v>45</v>
      </c>
      <c r="F3322" t="s">
        <v>46</v>
      </c>
      <c r="G3322" t="s">
        <v>17</v>
      </c>
      <c r="H3322" s="1">
        <v>45391</v>
      </c>
    </row>
    <row r="3323" spans="1:8">
      <c r="A3323" t="s">
        <v>6659</v>
      </c>
      <c r="B3323" t="s">
        <v>6660</v>
      </c>
      <c r="C3323" t="s">
        <v>31</v>
      </c>
      <c r="D3323">
        <v>19</v>
      </c>
      <c r="E3323" t="s">
        <v>63</v>
      </c>
      <c r="F3323" t="s">
        <v>64</v>
      </c>
      <c r="G3323" t="s">
        <v>12</v>
      </c>
      <c r="H3323" s="1">
        <v>45339</v>
      </c>
    </row>
    <row r="3324" spans="1:8">
      <c r="A3324" t="s">
        <v>6661</v>
      </c>
      <c r="B3324" t="s">
        <v>6662</v>
      </c>
      <c r="C3324" t="s">
        <v>10</v>
      </c>
      <c r="D3324">
        <v>46</v>
      </c>
      <c r="E3324" t="s">
        <v>27</v>
      </c>
      <c r="F3324" t="s">
        <v>28</v>
      </c>
      <c r="G3324" t="s">
        <v>12</v>
      </c>
      <c r="H3324" s="1">
        <v>45061</v>
      </c>
    </row>
    <row r="3325" spans="1:8">
      <c r="A3325" t="s">
        <v>6663</v>
      </c>
      <c r="B3325" t="s">
        <v>6664</v>
      </c>
      <c r="C3325" t="s">
        <v>31</v>
      </c>
      <c r="D3325">
        <v>41</v>
      </c>
      <c r="E3325" t="s">
        <v>11</v>
      </c>
      <c r="F3325" t="s">
        <v>11</v>
      </c>
      <c r="G3325" t="s">
        <v>12</v>
      </c>
      <c r="H3325" s="1">
        <v>45358</v>
      </c>
    </row>
    <row r="3326" spans="1:8">
      <c r="A3326" t="s">
        <v>6665</v>
      </c>
      <c r="B3326" t="s">
        <v>6666</v>
      </c>
      <c r="C3326" t="s">
        <v>31</v>
      </c>
      <c r="D3326">
        <v>45</v>
      </c>
      <c r="E3326" t="s">
        <v>149</v>
      </c>
      <c r="F3326" t="s">
        <v>38</v>
      </c>
      <c r="G3326" t="s">
        <v>22</v>
      </c>
      <c r="H3326" s="1">
        <v>45455</v>
      </c>
    </row>
    <row r="3327" spans="1:8">
      <c r="A3327" t="s">
        <v>6667</v>
      </c>
      <c r="B3327" t="s">
        <v>6668</v>
      </c>
      <c r="C3327" t="s">
        <v>10</v>
      </c>
      <c r="D3327">
        <v>35</v>
      </c>
      <c r="E3327" t="s">
        <v>45</v>
      </c>
      <c r="F3327" t="s">
        <v>46</v>
      </c>
      <c r="G3327" t="s">
        <v>17</v>
      </c>
      <c r="H3327" s="1">
        <v>45275</v>
      </c>
    </row>
    <row r="3328" spans="1:8">
      <c r="A3328" t="s">
        <v>6669</v>
      </c>
      <c r="B3328" t="s">
        <v>6670</v>
      </c>
      <c r="C3328" t="s">
        <v>10</v>
      </c>
      <c r="D3328">
        <v>28</v>
      </c>
      <c r="E3328" t="s">
        <v>37</v>
      </c>
      <c r="F3328" t="s">
        <v>38</v>
      </c>
      <c r="G3328" t="s">
        <v>22</v>
      </c>
      <c r="H3328" s="1">
        <v>45542</v>
      </c>
    </row>
    <row r="3329" spans="1:8">
      <c r="A3329" t="s">
        <v>6671</v>
      </c>
      <c r="B3329" t="s">
        <v>6672</v>
      </c>
      <c r="C3329" t="s">
        <v>10</v>
      </c>
      <c r="D3329">
        <v>20</v>
      </c>
      <c r="E3329" t="s">
        <v>218</v>
      </c>
      <c r="F3329" t="s">
        <v>219</v>
      </c>
      <c r="G3329" t="s">
        <v>17</v>
      </c>
      <c r="H3329" s="1">
        <v>45882</v>
      </c>
    </row>
    <row r="3330" spans="1:8">
      <c r="A3330" t="s">
        <v>6673</v>
      </c>
      <c r="B3330" t="s">
        <v>6674</v>
      </c>
      <c r="C3330" t="s">
        <v>10</v>
      </c>
      <c r="D3330">
        <v>23</v>
      </c>
      <c r="E3330" t="s">
        <v>91</v>
      </c>
      <c r="F3330" t="s">
        <v>92</v>
      </c>
      <c r="G3330" t="s">
        <v>78</v>
      </c>
      <c r="H3330" s="1">
        <v>44660</v>
      </c>
    </row>
    <row r="3331" spans="1:8">
      <c r="A3331" t="s">
        <v>6675</v>
      </c>
      <c r="B3331" t="s">
        <v>6676</v>
      </c>
      <c r="C3331" t="s">
        <v>10</v>
      </c>
      <c r="D3331">
        <v>34</v>
      </c>
      <c r="E3331" t="s">
        <v>63</v>
      </c>
      <c r="F3331" t="s">
        <v>64</v>
      </c>
      <c r="G3331" t="s">
        <v>12</v>
      </c>
      <c r="H3331" s="1">
        <v>44751</v>
      </c>
    </row>
    <row r="3332" spans="1:8">
      <c r="A3332" t="s">
        <v>6677</v>
      </c>
      <c r="B3332" t="s">
        <v>6678</v>
      </c>
      <c r="C3332" t="s">
        <v>10</v>
      </c>
      <c r="D3332">
        <v>36</v>
      </c>
      <c r="E3332" t="s">
        <v>45</v>
      </c>
      <c r="F3332" t="s">
        <v>46</v>
      </c>
      <c r="G3332" t="s">
        <v>17</v>
      </c>
      <c r="H3332" s="1">
        <v>45489</v>
      </c>
    </row>
    <row r="3333" spans="1:8">
      <c r="A3333" t="s">
        <v>6679</v>
      </c>
      <c r="B3333" t="s">
        <v>6680</v>
      </c>
      <c r="C3333" t="s">
        <v>10</v>
      </c>
      <c r="D3333">
        <v>32</v>
      </c>
      <c r="E3333" t="s">
        <v>41</v>
      </c>
      <c r="F3333" t="s">
        <v>42</v>
      </c>
      <c r="G3333" t="s">
        <v>17</v>
      </c>
      <c r="H3333" s="1">
        <v>45132</v>
      </c>
    </row>
    <row r="3334" spans="1:8">
      <c r="A3334" t="s">
        <v>6681</v>
      </c>
      <c r="B3334" t="s">
        <v>6682</v>
      </c>
      <c r="C3334" t="s">
        <v>10</v>
      </c>
      <c r="D3334">
        <v>32</v>
      </c>
      <c r="E3334" t="s">
        <v>101</v>
      </c>
      <c r="F3334" t="s">
        <v>21</v>
      </c>
      <c r="G3334" t="s">
        <v>22</v>
      </c>
      <c r="H3334" s="1">
        <v>45628</v>
      </c>
    </row>
    <row r="3335" spans="1:8">
      <c r="A3335" t="s">
        <v>6683</v>
      </c>
      <c r="B3335" t="s">
        <v>6684</v>
      </c>
      <c r="C3335" t="s">
        <v>10</v>
      </c>
      <c r="D3335">
        <v>36</v>
      </c>
      <c r="E3335" t="s">
        <v>128</v>
      </c>
      <c r="F3335" t="s">
        <v>129</v>
      </c>
      <c r="G3335" t="s">
        <v>78</v>
      </c>
      <c r="H3335" s="1">
        <v>44668</v>
      </c>
    </row>
    <row r="3336" spans="1:8">
      <c r="A3336" t="s">
        <v>6685</v>
      </c>
      <c r="B3336" t="s">
        <v>6686</v>
      </c>
      <c r="C3336" t="s">
        <v>10</v>
      </c>
      <c r="D3336">
        <v>19</v>
      </c>
      <c r="E3336" t="s">
        <v>149</v>
      </c>
      <c r="F3336" t="s">
        <v>38</v>
      </c>
      <c r="G3336" t="s">
        <v>22</v>
      </c>
      <c r="H3336" s="1">
        <v>44905</v>
      </c>
    </row>
    <row r="3337" spans="1:8">
      <c r="A3337" t="s">
        <v>6687</v>
      </c>
      <c r="B3337" t="s">
        <v>6688</v>
      </c>
      <c r="C3337" t="s">
        <v>10</v>
      </c>
      <c r="D3337">
        <v>22</v>
      </c>
      <c r="E3337" t="s">
        <v>63</v>
      </c>
      <c r="F3337" t="s">
        <v>64</v>
      </c>
      <c r="G3337" t="s">
        <v>12</v>
      </c>
      <c r="H3337" s="1">
        <v>45796</v>
      </c>
    </row>
    <row r="3338" spans="1:8">
      <c r="A3338" t="s">
        <v>6689</v>
      </c>
      <c r="B3338" t="s">
        <v>6690</v>
      </c>
      <c r="C3338" t="s">
        <v>10</v>
      </c>
      <c r="D3338">
        <v>67</v>
      </c>
      <c r="E3338" t="s">
        <v>134</v>
      </c>
      <c r="F3338" t="s">
        <v>28</v>
      </c>
      <c r="G3338" t="s">
        <v>12</v>
      </c>
      <c r="H3338" s="1">
        <v>44928</v>
      </c>
    </row>
    <row r="3339" spans="1:8">
      <c r="A3339" t="s">
        <v>6691</v>
      </c>
      <c r="B3339" t="s">
        <v>6692</v>
      </c>
      <c r="C3339" t="s">
        <v>10</v>
      </c>
      <c r="D3339">
        <v>52</v>
      </c>
      <c r="E3339" t="s">
        <v>37</v>
      </c>
      <c r="F3339" t="s">
        <v>38</v>
      </c>
      <c r="G3339" t="s">
        <v>22</v>
      </c>
      <c r="H3339" s="1">
        <v>44928</v>
      </c>
    </row>
    <row r="3340" spans="1:8">
      <c r="A3340" t="s">
        <v>6693</v>
      </c>
      <c r="B3340" t="s">
        <v>6694</v>
      </c>
      <c r="C3340" t="s">
        <v>31</v>
      </c>
      <c r="D3340">
        <v>28</v>
      </c>
      <c r="E3340" t="s">
        <v>76</v>
      </c>
      <c r="F3340" t="s">
        <v>77</v>
      </c>
      <c r="G3340" t="s">
        <v>78</v>
      </c>
      <c r="H3340" s="1">
        <v>44579</v>
      </c>
    </row>
    <row r="3341" spans="1:8">
      <c r="A3341" t="s">
        <v>6695</v>
      </c>
      <c r="B3341" t="s">
        <v>6696</v>
      </c>
      <c r="C3341" t="s">
        <v>10</v>
      </c>
      <c r="D3341">
        <v>43</v>
      </c>
      <c r="E3341" t="s">
        <v>27</v>
      </c>
      <c r="F3341" t="s">
        <v>28</v>
      </c>
      <c r="G3341" t="s">
        <v>12</v>
      </c>
      <c r="H3341" s="1">
        <v>44604</v>
      </c>
    </row>
    <row r="3342" spans="1:8">
      <c r="A3342" t="s">
        <v>6697</v>
      </c>
      <c r="B3342" t="s">
        <v>6698</v>
      </c>
      <c r="C3342" t="s">
        <v>10</v>
      </c>
      <c r="D3342">
        <v>26</v>
      </c>
      <c r="E3342" t="s">
        <v>15</v>
      </c>
      <c r="F3342" t="s">
        <v>16</v>
      </c>
      <c r="G3342" t="s">
        <v>17</v>
      </c>
      <c r="H3342" s="1">
        <v>45522</v>
      </c>
    </row>
    <row r="3343" spans="1:8">
      <c r="A3343" t="s">
        <v>6699</v>
      </c>
      <c r="B3343" t="s">
        <v>6700</v>
      </c>
      <c r="C3343" t="s">
        <v>31</v>
      </c>
      <c r="D3343">
        <v>47</v>
      </c>
      <c r="E3343" t="s">
        <v>218</v>
      </c>
      <c r="F3343" t="s">
        <v>219</v>
      </c>
      <c r="G3343" t="s">
        <v>17</v>
      </c>
      <c r="H3343" s="1">
        <v>45314</v>
      </c>
    </row>
    <row r="3344" spans="1:8">
      <c r="A3344" t="s">
        <v>6701</v>
      </c>
      <c r="B3344" t="s">
        <v>6702</v>
      </c>
      <c r="C3344" t="s">
        <v>10</v>
      </c>
      <c r="D3344">
        <v>63</v>
      </c>
      <c r="E3344" t="s">
        <v>34</v>
      </c>
      <c r="F3344" t="s">
        <v>16</v>
      </c>
      <c r="G3344" t="s">
        <v>17</v>
      </c>
      <c r="H3344" s="1">
        <v>46016</v>
      </c>
    </row>
    <row r="3345" spans="1:8">
      <c r="A3345" t="s">
        <v>6703</v>
      </c>
      <c r="B3345" t="s">
        <v>6704</v>
      </c>
      <c r="C3345" t="s">
        <v>10</v>
      </c>
      <c r="D3345">
        <v>42</v>
      </c>
      <c r="E3345" t="s">
        <v>218</v>
      </c>
      <c r="F3345" t="s">
        <v>219</v>
      </c>
      <c r="G3345" t="s">
        <v>17</v>
      </c>
      <c r="H3345" s="1">
        <v>44648</v>
      </c>
    </row>
    <row r="3346" spans="1:8">
      <c r="A3346" t="s">
        <v>6705</v>
      </c>
      <c r="B3346" t="s">
        <v>6706</v>
      </c>
      <c r="C3346" t="s">
        <v>31</v>
      </c>
      <c r="D3346">
        <v>61</v>
      </c>
      <c r="E3346" t="s">
        <v>45</v>
      </c>
      <c r="F3346" t="s">
        <v>46</v>
      </c>
      <c r="G3346" t="s">
        <v>17</v>
      </c>
      <c r="H3346" s="1">
        <v>45505</v>
      </c>
    </row>
    <row r="3347" spans="1:8">
      <c r="A3347" t="s">
        <v>6707</v>
      </c>
      <c r="B3347" t="s">
        <v>6708</v>
      </c>
      <c r="C3347" t="s">
        <v>31</v>
      </c>
      <c r="D3347">
        <v>51</v>
      </c>
      <c r="E3347" t="s">
        <v>27</v>
      </c>
      <c r="F3347" t="s">
        <v>28</v>
      </c>
      <c r="G3347" t="s">
        <v>12</v>
      </c>
      <c r="H3347" s="1">
        <v>45670</v>
      </c>
    </row>
    <row r="3348" spans="1:8">
      <c r="A3348" t="s">
        <v>6709</v>
      </c>
      <c r="B3348" t="s">
        <v>6710</v>
      </c>
      <c r="C3348" t="s">
        <v>31</v>
      </c>
      <c r="D3348">
        <v>66</v>
      </c>
      <c r="E3348" t="s">
        <v>60</v>
      </c>
      <c r="F3348" t="s">
        <v>21</v>
      </c>
      <c r="G3348" t="s">
        <v>22</v>
      </c>
      <c r="H3348" s="1">
        <v>45286</v>
      </c>
    </row>
    <row r="3349" spans="1:8">
      <c r="A3349" t="s">
        <v>6711</v>
      </c>
      <c r="B3349" t="s">
        <v>6712</v>
      </c>
      <c r="C3349" t="s">
        <v>31</v>
      </c>
      <c r="D3349">
        <v>26</v>
      </c>
      <c r="E3349" t="s">
        <v>41</v>
      </c>
      <c r="F3349" t="s">
        <v>42</v>
      </c>
      <c r="G3349" t="s">
        <v>17</v>
      </c>
      <c r="H3349" s="1">
        <v>44903</v>
      </c>
    </row>
    <row r="3350" spans="1:8">
      <c r="A3350" t="s">
        <v>6713</v>
      </c>
      <c r="B3350" t="s">
        <v>6714</v>
      </c>
      <c r="C3350" t="s">
        <v>31</v>
      </c>
      <c r="D3350">
        <v>37</v>
      </c>
      <c r="E3350" t="s">
        <v>63</v>
      </c>
      <c r="F3350" t="s">
        <v>64</v>
      </c>
      <c r="G3350" t="s">
        <v>12</v>
      </c>
      <c r="H3350" s="1">
        <v>44712</v>
      </c>
    </row>
    <row r="3351" spans="1:8">
      <c r="A3351" t="s">
        <v>6715</v>
      </c>
      <c r="B3351" t="s">
        <v>6716</v>
      </c>
      <c r="C3351" t="s">
        <v>31</v>
      </c>
      <c r="D3351">
        <v>37</v>
      </c>
      <c r="E3351" t="s">
        <v>41</v>
      </c>
      <c r="F3351" t="s">
        <v>42</v>
      </c>
      <c r="G3351" t="s">
        <v>17</v>
      </c>
      <c r="H3351" s="1">
        <v>45345</v>
      </c>
    </row>
    <row r="3352" spans="1:8">
      <c r="A3352" t="s">
        <v>6717</v>
      </c>
      <c r="B3352" t="s">
        <v>6718</v>
      </c>
      <c r="C3352" t="s">
        <v>10</v>
      </c>
      <c r="D3352">
        <v>66</v>
      </c>
      <c r="E3352" t="s">
        <v>37</v>
      </c>
      <c r="F3352" t="s">
        <v>38</v>
      </c>
      <c r="G3352" t="s">
        <v>22</v>
      </c>
      <c r="H3352" s="1">
        <v>45559</v>
      </c>
    </row>
    <row r="3353" spans="1:8">
      <c r="A3353" t="s">
        <v>6719</v>
      </c>
      <c r="B3353" t="s">
        <v>6720</v>
      </c>
      <c r="C3353" t="s">
        <v>10</v>
      </c>
      <c r="D3353">
        <v>46</v>
      </c>
      <c r="E3353" t="s">
        <v>41</v>
      </c>
      <c r="F3353" t="s">
        <v>42</v>
      </c>
      <c r="G3353" t="s">
        <v>17</v>
      </c>
      <c r="H3353" s="1">
        <v>45869</v>
      </c>
    </row>
    <row r="3354" spans="1:8">
      <c r="A3354" t="s">
        <v>6721</v>
      </c>
      <c r="B3354" t="s">
        <v>6722</v>
      </c>
      <c r="C3354" t="s">
        <v>31</v>
      </c>
      <c r="D3354">
        <v>43</v>
      </c>
      <c r="E3354" t="s">
        <v>76</v>
      </c>
      <c r="F3354" t="s">
        <v>77</v>
      </c>
      <c r="G3354" t="s">
        <v>78</v>
      </c>
      <c r="H3354" s="1">
        <v>45891</v>
      </c>
    </row>
    <row r="3355" spans="1:8">
      <c r="A3355" t="s">
        <v>6723</v>
      </c>
      <c r="B3355" t="s">
        <v>6724</v>
      </c>
      <c r="C3355" t="s">
        <v>31</v>
      </c>
      <c r="D3355">
        <v>34</v>
      </c>
      <c r="E3355" t="s">
        <v>15</v>
      </c>
      <c r="F3355" t="s">
        <v>16</v>
      </c>
      <c r="G3355" t="s">
        <v>17</v>
      </c>
      <c r="H3355" s="1">
        <v>45027</v>
      </c>
    </row>
    <row r="3356" spans="1:8">
      <c r="A3356" t="s">
        <v>6725</v>
      </c>
      <c r="B3356" t="s">
        <v>6726</v>
      </c>
      <c r="C3356" t="s">
        <v>31</v>
      </c>
      <c r="D3356">
        <v>41</v>
      </c>
      <c r="E3356" t="s">
        <v>149</v>
      </c>
      <c r="F3356" t="s">
        <v>38</v>
      </c>
      <c r="G3356" t="s">
        <v>22</v>
      </c>
      <c r="H3356" s="1">
        <v>46021</v>
      </c>
    </row>
    <row r="3357" spans="1:8">
      <c r="A3357" t="s">
        <v>6727</v>
      </c>
      <c r="B3357" t="s">
        <v>6728</v>
      </c>
      <c r="C3357" t="s">
        <v>31</v>
      </c>
      <c r="D3357">
        <v>21</v>
      </c>
      <c r="E3357" t="s">
        <v>112</v>
      </c>
      <c r="F3357" t="s">
        <v>113</v>
      </c>
      <c r="G3357" t="s">
        <v>78</v>
      </c>
      <c r="H3357" s="1">
        <v>44829</v>
      </c>
    </row>
    <row r="3358" spans="1:8">
      <c r="A3358" t="s">
        <v>6729</v>
      </c>
      <c r="B3358" t="s">
        <v>6730</v>
      </c>
      <c r="C3358" t="s">
        <v>10</v>
      </c>
      <c r="D3358">
        <v>36</v>
      </c>
      <c r="E3358" t="s">
        <v>34</v>
      </c>
      <c r="F3358" t="s">
        <v>16</v>
      </c>
      <c r="G3358" t="s">
        <v>17</v>
      </c>
      <c r="H3358" s="1">
        <v>45872</v>
      </c>
    </row>
    <row r="3359" spans="1:8">
      <c r="A3359" t="s">
        <v>6731</v>
      </c>
      <c r="B3359" t="s">
        <v>6732</v>
      </c>
      <c r="C3359" t="s">
        <v>31</v>
      </c>
      <c r="D3359">
        <v>59</v>
      </c>
      <c r="E3359" t="s">
        <v>37</v>
      </c>
      <c r="F3359" t="s">
        <v>38</v>
      </c>
      <c r="G3359" t="s">
        <v>22</v>
      </c>
      <c r="H3359" s="1">
        <v>45514</v>
      </c>
    </row>
    <row r="3360" spans="1:8">
      <c r="A3360" t="s">
        <v>6733</v>
      </c>
      <c r="B3360" t="s">
        <v>6734</v>
      </c>
      <c r="C3360" t="s">
        <v>31</v>
      </c>
      <c r="D3360">
        <v>40</v>
      </c>
      <c r="E3360" t="s">
        <v>87</v>
      </c>
      <c r="F3360" t="s">
        <v>88</v>
      </c>
      <c r="G3360" t="s">
        <v>78</v>
      </c>
      <c r="H3360" s="1">
        <v>45787</v>
      </c>
    </row>
    <row r="3361" spans="1:8">
      <c r="A3361" t="s">
        <v>6735</v>
      </c>
      <c r="B3361" t="s">
        <v>6736</v>
      </c>
      <c r="C3361" t="s">
        <v>10</v>
      </c>
      <c r="D3361">
        <v>48</v>
      </c>
      <c r="E3361" t="s">
        <v>128</v>
      </c>
      <c r="F3361" t="s">
        <v>129</v>
      </c>
      <c r="G3361" t="s">
        <v>78</v>
      </c>
      <c r="H3361" s="1">
        <v>45539</v>
      </c>
    </row>
    <row r="3362" spans="1:8">
      <c r="A3362" t="s">
        <v>6737</v>
      </c>
      <c r="B3362" t="s">
        <v>6738</v>
      </c>
      <c r="C3362" t="s">
        <v>31</v>
      </c>
      <c r="D3362">
        <v>50</v>
      </c>
      <c r="E3362" t="s">
        <v>45</v>
      </c>
      <c r="F3362" t="s">
        <v>46</v>
      </c>
      <c r="G3362" t="s">
        <v>17</v>
      </c>
      <c r="H3362" s="1">
        <v>44958</v>
      </c>
    </row>
    <row r="3363" spans="1:8">
      <c r="A3363" t="s">
        <v>6739</v>
      </c>
      <c r="B3363" t="s">
        <v>6740</v>
      </c>
      <c r="C3363" t="s">
        <v>31</v>
      </c>
      <c r="D3363">
        <v>21</v>
      </c>
      <c r="E3363" t="s">
        <v>15</v>
      </c>
      <c r="F3363" t="s">
        <v>16</v>
      </c>
      <c r="G3363" t="s">
        <v>17</v>
      </c>
      <c r="H3363" s="1">
        <v>44860</v>
      </c>
    </row>
    <row r="3364" spans="1:8">
      <c r="A3364" t="s">
        <v>6741</v>
      </c>
      <c r="B3364" t="s">
        <v>6742</v>
      </c>
      <c r="C3364" t="s">
        <v>31</v>
      </c>
      <c r="D3364">
        <v>19</v>
      </c>
      <c r="E3364" t="s">
        <v>34</v>
      </c>
      <c r="F3364" t="s">
        <v>16</v>
      </c>
      <c r="G3364" t="s">
        <v>17</v>
      </c>
      <c r="H3364" s="1">
        <v>45853</v>
      </c>
    </row>
    <row r="3365" spans="1:8">
      <c r="A3365" t="s">
        <v>6743</v>
      </c>
      <c r="B3365" t="s">
        <v>6744</v>
      </c>
      <c r="C3365" t="s">
        <v>31</v>
      </c>
      <c r="D3365">
        <v>40</v>
      </c>
      <c r="E3365" t="s">
        <v>37</v>
      </c>
      <c r="F3365" t="s">
        <v>38</v>
      </c>
      <c r="G3365" t="s">
        <v>22</v>
      </c>
      <c r="H3365" s="1">
        <v>45817</v>
      </c>
    </row>
    <row r="3366" spans="1:8">
      <c r="A3366" t="s">
        <v>6745</v>
      </c>
      <c r="B3366" t="s">
        <v>6746</v>
      </c>
      <c r="C3366" t="s">
        <v>10</v>
      </c>
      <c r="D3366">
        <v>69</v>
      </c>
      <c r="E3366" t="s">
        <v>134</v>
      </c>
      <c r="F3366" t="s">
        <v>28</v>
      </c>
      <c r="G3366" t="s">
        <v>12</v>
      </c>
      <c r="H3366" s="1">
        <v>45315</v>
      </c>
    </row>
    <row r="3367" spans="1:8">
      <c r="A3367" t="s">
        <v>6747</v>
      </c>
      <c r="B3367" t="s">
        <v>6748</v>
      </c>
      <c r="C3367" t="s">
        <v>31</v>
      </c>
      <c r="D3367">
        <v>45</v>
      </c>
      <c r="E3367" t="s">
        <v>20</v>
      </c>
      <c r="F3367" t="s">
        <v>21</v>
      </c>
      <c r="G3367" t="s">
        <v>22</v>
      </c>
      <c r="H3367" s="1">
        <v>45459</v>
      </c>
    </row>
    <row r="3368" spans="1:8">
      <c r="A3368" t="s">
        <v>6749</v>
      </c>
      <c r="B3368" t="s">
        <v>6750</v>
      </c>
      <c r="C3368" t="s">
        <v>10</v>
      </c>
      <c r="D3368">
        <v>27</v>
      </c>
      <c r="E3368" t="s">
        <v>11</v>
      </c>
      <c r="F3368" t="s">
        <v>11</v>
      </c>
      <c r="G3368" t="s">
        <v>12</v>
      </c>
      <c r="H3368" s="1">
        <v>45926</v>
      </c>
    </row>
    <row r="3369" spans="1:8">
      <c r="A3369" t="s">
        <v>6751</v>
      </c>
      <c r="B3369" t="s">
        <v>6752</v>
      </c>
      <c r="C3369" t="s">
        <v>31</v>
      </c>
      <c r="D3369">
        <v>64</v>
      </c>
      <c r="E3369" t="s">
        <v>112</v>
      </c>
      <c r="F3369" t="s">
        <v>113</v>
      </c>
      <c r="G3369" t="s">
        <v>78</v>
      </c>
      <c r="H3369" s="1">
        <v>45238</v>
      </c>
    </row>
    <row r="3370" spans="1:8">
      <c r="A3370" t="s">
        <v>6753</v>
      </c>
      <c r="B3370" t="s">
        <v>6754</v>
      </c>
      <c r="C3370" t="s">
        <v>10</v>
      </c>
      <c r="D3370">
        <v>66</v>
      </c>
      <c r="E3370" t="s">
        <v>134</v>
      </c>
      <c r="F3370" t="s">
        <v>28</v>
      </c>
      <c r="G3370" t="s">
        <v>12</v>
      </c>
      <c r="H3370" s="1">
        <v>44856</v>
      </c>
    </row>
    <row r="3371" spans="1:8">
      <c r="A3371" t="s">
        <v>6755</v>
      </c>
      <c r="B3371" t="s">
        <v>6756</v>
      </c>
      <c r="C3371" t="s">
        <v>31</v>
      </c>
      <c r="D3371">
        <v>35</v>
      </c>
      <c r="E3371" t="s">
        <v>87</v>
      </c>
      <c r="F3371" t="s">
        <v>88</v>
      </c>
      <c r="G3371" t="s">
        <v>78</v>
      </c>
      <c r="H3371" s="1">
        <v>45825</v>
      </c>
    </row>
    <row r="3372" spans="1:8">
      <c r="A3372" t="s">
        <v>6757</v>
      </c>
      <c r="B3372" t="s">
        <v>6758</v>
      </c>
      <c r="C3372" t="s">
        <v>31</v>
      </c>
      <c r="D3372">
        <v>18</v>
      </c>
      <c r="E3372" t="s">
        <v>20</v>
      </c>
      <c r="F3372" t="s">
        <v>21</v>
      </c>
      <c r="G3372" t="s">
        <v>22</v>
      </c>
      <c r="H3372" s="1">
        <v>44652</v>
      </c>
    </row>
    <row r="3373" spans="1:8">
      <c r="A3373" t="s">
        <v>6759</v>
      </c>
      <c r="B3373" t="s">
        <v>6760</v>
      </c>
      <c r="C3373" t="s">
        <v>10</v>
      </c>
      <c r="D3373">
        <v>44</v>
      </c>
      <c r="E3373" t="s">
        <v>76</v>
      </c>
      <c r="F3373" t="s">
        <v>77</v>
      </c>
      <c r="G3373" t="s">
        <v>78</v>
      </c>
      <c r="H3373" s="1">
        <v>45418</v>
      </c>
    </row>
    <row r="3374" spans="1:8">
      <c r="A3374" t="s">
        <v>6761</v>
      </c>
      <c r="B3374" t="s">
        <v>6762</v>
      </c>
      <c r="C3374" t="s">
        <v>31</v>
      </c>
      <c r="D3374">
        <v>31</v>
      </c>
      <c r="E3374" t="s">
        <v>63</v>
      </c>
      <c r="F3374" t="s">
        <v>64</v>
      </c>
      <c r="G3374" t="s">
        <v>12</v>
      </c>
      <c r="H3374" s="1">
        <v>45436</v>
      </c>
    </row>
    <row r="3375" spans="1:8">
      <c r="A3375" t="s">
        <v>6763</v>
      </c>
      <c r="B3375" t="s">
        <v>6764</v>
      </c>
      <c r="C3375" t="s">
        <v>10</v>
      </c>
      <c r="D3375">
        <v>34</v>
      </c>
      <c r="E3375" t="s">
        <v>15</v>
      </c>
      <c r="F3375" t="s">
        <v>16</v>
      </c>
      <c r="G3375" t="s">
        <v>17</v>
      </c>
      <c r="H3375" s="1">
        <v>44896</v>
      </c>
    </row>
    <row r="3376" spans="1:8">
      <c r="A3376" t="s">
        <v>6765</v>
      </c>
      <c r="B3376" t="s">
        <v>6766</v>
      </c>
      <c r="C3376" t="s">
        <v>31</v>
      </c>
      <c r="D3376">
        <v>28</v>
      </c>
      <c r="E3376" t="s">
        <v>11</v>
      </c>
      <c r="F3376" t="s">
        <v>11</v>
      </c>
      <c r="G3376" t="s">
        <v>12</v>
      </c>
      <c r="H3376" s="1">
        <v>45010</v>
      </c>
    </row>
    <row r="3377" spans="1:8">
      <c r="A3377" t="s">
        <v>6767</v>
      </c>
      <c r="B3377" t="s">
        <v>6768</v>
      </c>
      <c r="C3377" t="s">
        <v>10</v>
      </c>
      <c r="D3377">
        <v>60</v>
      </c>
      <c r="E3377" t="s">
        <v>112</v>
      </c>
      <c r="F3377" t="s">
        <v>113</v>
      </c>
      <c r="G3377" t="s">
        <v>78</v>
      </c>
      <c r="H3377" s="1">
        <v>44795</v>
      </c>
    </row>
    <row r="3378" spans="1:8">
      <c r="A3378" t="s">
        <v>6769</v>
      </c>
      <c r="B3378" t="s">
        <v>6770</v>
      </c>
      <c r="C3378" t="s">
        <v>31</v>
      </c>
      <c r="D3378">
        <v>48</v>
      </c>
      <c r="E3378" t="s">
        <v>37</v>
      </c>
      <c r="F3378" t="s">
        <v>38</v>
      </c>
      <c r="G3378" t="s">
        <v>22</v>
      </c>
      <c r="H3378" s="1">
        <v>45825</v>
      </c>
    </row>
    <row r="3379" spans="1:8">
      <c r="A3379" t="s">
        <v>6771</v>
      </c>
      <c r="B3379" t="s">
        <v>6772</v>
      </c>
      <c r="C3379" t="s">
        <v>31</v>
      </c>
      <c r="D3379">
        <v>58</v>
      </c>
      <c r="E3379" t="s">
        <v>91</v>
      </c>
      <c r="F3379" t="s">
        <v>92</v>
      </c>
      <c r="G3379" t="s">
        <v>78</v>
      </c>
      <c r="H3379" s="1">
        <v>45743</v>
      </c>
    </row>
    <row r="3380" spans="1:8">
      <c r="A3380" t="s">
        <v>6773</v>
      </c>
      <c r="B3380" t="s">
        <v>6774</v>
      </c>
      <c r="C3380" t="s">
        <v>31</v>
      </c>
      <c r="D3380">
        <v>69</v>
      </c>
      <c r="E3380" t="s">
        <v>27</v>
      </c>
      <c r="F3380" t="s">
        <v>28</v>
      </c>
      <c r="G3380" t="s">
        <v>12</v>
      </c>
      <c r="H3380" s="1">
        <v>44880</v>
      </c>
    </row>
    <row r="3381" spans="1:8">
      <c r="A3381" t="s">
        <v>6775</v>
      </c>
      <c r="B3381" t="s">
        <v>6776</v>
      </c>
      <c r="C3381" t="s">
        <v>10</v>
      </c>
      <c r="D3381">
        <v>45</v>
      </c>
      <c r="E3381" t="s">
        <v>63</v>
      </c>
      <c r="F3381" t="s">
        <v>64</v>
      </c>
      <c r="G3381" t="s">
        <v>12</v>
      </c>
      <c r="H3381" s="1">
        <v>45025</v>
      </c>
    </row>
    <row r="3382" spans="1:8">
      <c r="A3382" t="s">
        <v>6777</v>
      </c>
      <c r="B3382" t="s">
        <v>6778</v>
      </c>
      <c r="C3382" t="s">
        <v>31</v>
      </c>
      <c r="D3382">
        <v>49</v>
      </c>
      <c r="E3382" t="s">
        <v>37</v>
      </c>
      <c r="F3382" t="s">
        <v>38</v>
      </c>
      <c r="G3382" t="s">
        <v>22</v>
      </c>
      <c r="H3382" s="1">
        <v>45604</v>
      </c>
    </row>
    <row r="3383" spans="1:8">
      <c r="A3383" t="s">
        <v>6779</v>
      </c>
      <c r="B3383" t="s">
        <v>6780</v>
      </c>
      <c r="C3383" t="s">
        <v>31</v>
      </c>
      <c r="D3383">
        <v>69</v>
      </c>
      <c r="E3383" t="s">
        <v>112</v>
      </c>
      <c r="F3383" t="s">
        <v>113</v>
      </c>
      <c r="G3383" t="s">
        <v>78</v>
      </c>
      <c r="H3383" s="1">
        <v>44667</v>
      </c>
    </row>
    <row r="3384" spans="1:8">
      <c r="A3384" t="s">
        <v>6781</v>
      </c>
      <c r="B3384" t="s">
        <v>6782</v>
      </c>
      <c r="C3384" t="s">
        <v>10</v>
      </c>
      <c r="D3384">
        <v>68</v>
      </c>
      <c r="E3384" t="s">
        <v>87</v>
      </c>
      <c r="F3384" t="s">
        <v>88</v>
      </c>
      <c r="G3384" t="s">
        <v>78</v>
      </c>
      <c r="H3384" s="1">
        <v>44865</v>
      </c>
    </row>
    <row r="3385" spans="1:8">
      <c r="A3385" t="s">
        <v>6783</v>
      </c>
      <c r="B3385" t="s">
        <v>6784</v>
      </c>
      <c r="C3385" t="s">
        <v>10</v>
      </c>
      <c r="D3385">
        <v>24</v>
      </c>
      <c r="E3385" t="s">
        <v>34</v>
      </c>
      <c r="F3385" t="s">
        <v>16</v>
      </c>
      <c r="G3385" t="s">
        <v>17</v>
      </c>
      <c r="H3385" s="1">
        <v>45512</v>
      </c>
    </row>
    <row r="3386" spans="1:8">
      <c r="A3386" t="s">
        <v>6785</v>
      </c>
      <c r="B3386" t="s">
        <v>6786</v>
      </c>
      <c r="C3386" t="s">
        <v>31</v>
      </c>
      <c r="D3386">
        <v>65</v>
      </c>
      <c r="E3386" t="s">
        <v>27</v>
      </c>
      <c r="F3386" t="s">
        <v>28</v>
      </c>
      <c r="G3386" t="s">
        <v>12</v>
      </c>
      <c r="H3386" s="1">
        <v>45305</v>
      </c>
    </row>
    <row r="3387" spans="1:8">
      <c r="A3387" t="s">
        <v>6787</v>
      </c>
      <c r="B3387" t="s">
        <v>6788</v>
      </c>
      <c r="C3387" t="s">
        <v>31</v>
      </c>
      <c r="D3387">
        <v>23</v>
      </c>
      <c r="E3387" t="s">
        <v>60</v>
      </c>
      <c r="F3387" t="s">
        <v>21</v>
      </c>
      <c r="G3387" t="s">
        <v>22</v>
      </c>
      <c r="H3387" s="1">
        <v>45240</v>
      </c>
    </row>
    <row r="3388" spans="1:8">
      <c r="A3388" t="s">
        <v>6789</v>
      </c>
      <c r="B3388" t="s">
        <v>6790</v>
      </c>
      <c r="C3388" t="s">
        <v>10</v>
      </c>
      <c r="D3388">
        <v>67</v>
      </c>
      <c r="E3388" t="s">
        <v>218</v>
      </c>
      <c r="F3388" t="s">
        <v>219</v>
      </c>
      <c r="G3388" t="s">
        <v>17</v>
      </c>
      <c r="H3388" s="1">
        <v>45547</v>
      </c>
    </row>
    <row r="3389" spans="1:8">
      <c r="A3389" t="s">
        <v>6791</v>
      </c>
      <c r="B3389" t="s">
        <v>6792</v>
      </c>
      <c r="C3389" t="s">
        <v>31</v>
      </c>
      <c r="D3389">
        <v>70</v>
      </c>
      <c r="E3389" t="s">
        <v>20</v>
      </c>
      <c r="F3389" t="s">
        <v>21</v>
      </c>
      <c r="G3389" t="s">
        <v>22</v>
      </c>
      <c r="H3389" s="1">
        <v>45454</v>
      </c>
    </row>
    <row r="3390" spans="1:8">
      <c r="A3390" t="s">
        <v>6793</v>
      </c>
      <c r="B3390" t="s">
        <v>6794</v>
      </c>
      <c r="C3390" t="s">
        <v>10</v>
      </c>
      <c r="D3390">
        <v>39</v>
      </c>
      <c r="E3390" t="s">
        <v>149</v>
      </c>
      <c r="F3390" t="s">
        <v>38</v>
      </c>
      <c r="G3390" t="s">
        <v>22</v>
      </c>
      <c r="H3390" s="1">
        <v>45531</v>
      </c>
    </row>
    <row r="3391" spans="1:8">
      <c r="A3391" t="s">
        <v>6795</v>
      </c>
      <c r="B3391" t="s">
        <v>6796</v>
      </c>
      <c r="C3391" t="s">
        <v>10</v>
      </c>
      <c r="D3391">
        <v>49</v>
      </c>
      <c r="E3391" t="s">
        <v>87</v>
      </c>
      <c r="F3391" t="s">
        <v>88</v>
      </c>
      <c r="G3391" t="s">
        <v>78</v>
      </c>
      <c r="H3391" s="1">
        <v>45192</v>
      </c>
    </row>
    <row r="3392" spans="1:8">
      <c r="A3392" t="s">
        <v>6797</v>
      </c>
      <c r="B3392" t="s">
        <v>6798</v>
      </c>
      <c r="C3392" t="s">
        <v>10</v>
      </c>
      <c r="D3392">
        <v>43</v>
      </c>
      <c r="E3392" t="s">
        <v>112</v>
      </c>
      <c r="F3392" t="s">
        <v>113</v>
      </c>
      <c r="G3392" t="s">
        <v>78</v>
      </c>
      <c r="H3392" s="1">
        <v>45373</v>
      </c>
    </row>
    <row r="3393" spans="1:8">
      <c r="A3393" t="s">
        <v>6799</v>
      </c>
      <c r="B3393" t="s">
        <v>6800</v>
      </c>
      <c r="C3393" t="s">
        <v>10</v>
      </c>
      <c r="D3393">
        <v>57</v>
      </c>
      <c r="E3393" t="s">
        <v>101</v>
      </c>
      <c r="F3393" t="s">
        <v>21</v>
      </c>
      <c r="G3393" t="s">
        <v>22</v>
      </c>
      <c r="H3393" s="1">
        <v>45148</v>
      </c>
    </row>
    <row r="3394" spans="1:8">
      <c r="A3394" t="s">
        <v>6801</v>
      </c>
      <c r="B3394" t="s">
        <v>6802</v>
      </c>
      <c r="C3394" t="s">
        <v>31</v>
      </c>
      <c r="D3394">
        <v>55</v>
      </c>
      <c r="E3394" t="s">
        <v>49</v>
      </c>
      <c r="F3394" t="s">
        <v>28</v>
      </c>
      <c r="G3394" t="s">
        <v>12</v>
      </c>
      <c r="H3394" s="1">
        <v>44888</v>
      </c>
    </row>
    <row r="3395" spans="1:8">
      <c r="A3395" t="s">
        <v>6803</v>
      </c>
      <c r="B3395" t="s">
        <v>6804</v>
      </c>
      <c r="C3395" t="s">
        <v>10</v>
      </c>
      <c r="D3395">
        <v>23</v>
      </c>
      <c r="E3395" t="s">
        <v>20</v>
      </c>
      <c r="F3395" t="s">
        <v>21</v>
      </c>
      <c r="G3395" t="s">
        <v>22</v>
      </c>
      <c r="H3395" s="1">
        <v>44768</v>
      </c>
    </row>
    <row r="3396" spans="1:8">
      <c r="A3396" t="s">
        <v>6805</v>
      </c>
      <c r="B3396" t="s">
        <v>6806</v>
      </c>
      <c r="C3396" t="s">
        <v>31</v>
      </c>
      <c r="D3396">
        <v>49</v>
      </c>
      <c r="E3396" t="s">
        <v>11</v>
      </c>
      <c r="F3396" t="s">
        <v>11</v>
      </c>
      <c r="G3396" t="s">
        <v>12</v>
      </c>
      <c r="H3396" s="1">
        <v>44869</v>
      </c>
    </row>
    <row r="3397" spans="1:8">
      <c r="A3397" t="s">
        <v>6807</v>
      </c>
      <c r="B3397" t="s">
        <v>6808</v>
      </c>
      <c r="C3397" t="s">
        <v>10</v>
      </c>
      <c r="D3397">
        <v>48</v>
      </c>
      <c r="E3397" t="s">
        <v>76</v>
      </c>
      <c r="F3397" t="s">
        <v>77</v>
      </c>
      <c r="G3397" t="s">
        <v>78</v>
      </c>
      <c r="H3397" s="1">
        <v>44667</v>
      </c>
    </row>
    <row r="3398" spans="1:8">
      <c r="A3398" t="s">
        <v>6809</v>
      </c>
      <c r="B3398" t="s">
        <v>6810</v>
      </c>
      <c r="C3398" t="s">
        <v>31</v>
      </c>
      <c r="D3398">
        <v>61</v>
      </c>
      <c r="E3398" t="s">
        <v>34</v>
      </c>
      <c r="F3398" t="s">
        <v>16</v>
      </c>
      <c r="G3398" t="s">
        <v>17</v>
      </c>
      <c r="H3398" s="1">
        <v>45158</v>
      </c>
    </row>
    <row r="3399" spans="1:8">
      <c r="A3399" t="s">
        <v>6811</v>
      </c>
      <c r="B3399" t="s">
        <v>6812</v>
      </c>
      <c r="C3399" t="s">
        <v>10</v>
      </c>
      <c r="D3399">
        <v>20</v>
      </c>
      <c r="E3399" t="s">
        <v>134</v>
      </c>
      <c r="F3399" t="s">
        <v>28</v>
      </c>
      <c r="G3399" t="s">
        <v>12</v>
      </c>
      <c r="H3399" s="1">
        <v>45926</v>
      </c>
    </row>
    <row r="3400" spans="1:8">
      <c r="A3400" t="s">
        <v>6813</v>
      </c>
      <c r="B3400" t="s">
        <v>6814</v>
      </c>
      <c r="C3400" t="s">
        <v>10</v>
      </c>
      <c r="D3400">
        <v>20</v>
      </c>
      <c r="E3400" t="s">
        <v>45</v>
      </c>
      <c r="F3400" t="s">
        <v>46</v>
      </c>
      <c r="G3400" t="s">
        <v>17</v>
      </c>
      <c r="H3400" s="1">
        <v>45238</v>
      </c>
    </row>
    <row r="3401" spans="1:8">
      <c r="A3401" t="s">
        <v>6815</v>
      </c>
      <c r="B3401" t="s">
        <v>6816</v>
      </c>
      <c r="C3401" t="s">
        <v>10</v>
      </c>
      <c r="D3401">
        <v>70</v>
      </c>
      <c r="E3401" t="s">
        <v>87</v>
      </c>
      <c r="F3401" t="s">
        <v>88</v>
      </c>
      <c r="G3401" t="s">
        <v>78</v>
      </c>
      <c r="H3401" s="1">
        <v>44642</v>
      </c>
    </row>
    <row r="3402" spans="1:8">
      <c r="A3402" t="s">
        <v>6817</v>
      </c>
      <c r="B3402" t="s">
        <v>6818</v>
      </c>
      <c r="C3402" t="s">
        <v>31</v>
      </c>
      <c r="D3402">
        <v>24</v>
      </c>
      <c r="E3402" t="s">
        <v>76</v>
      </c>
      <c r="F3402" t="s">
        <v>77</v>
      </c>
      <c r="G3402" t="s">
        <v>78</v>
      </c>
      <c r="H3402" s="1">
        <v>45362</v>
      </c>
    </row>
    <row r="3403" spans="1:8">
      <c r="A3403" t="s">
        <v>6819</v>
      </c>
      <c r="B3403" t="s">
        <v>6820</v>
      </c>
      <c r="C3403" t="s">
        <v>10</v>
      </c>
      <c r="D3403">
        <v>57</v>
      </c>
      <c r="E3403" t="s">
        <v>45</v>
      </c>
      <c r="F3403" t="s">
        <v>46</v>
      </c>
      <c r="G3403" t="s">
        <v>17</v>
      </c>
      <c r="H3403" s="1">
        <v>45822</v>
      </c>
    </row>
    <row r="3404" spans="1:8">
      <c r="A3404" t="s">
        <v>6821</v>
      </c>
      <c r="B3404" t="s">
        <v>6822</v>
      </c>
      <c r="C3404" t="s">
        <v>31</v>
      </c>
      <c r="D3404">
        <v>28</v>
      </c>
      <c r="E3404" t="s">
        <v>15</v>
      </c>
      <c r="F3404" t="s">
        <v>16</v>
      </c>
      <c r="G3404" t="s">
        <v>17</v>
      </c>
      <c r="H3404" s="1">
        <v>45508</v>
      </c>
    </row>
    <row r="3405" spans="1:8">
      <c r="A3405" t="s">
        <v>6823</v>
      </c>
      <c r="B3405" t="s">
        <v>6824</v>
      </c>
      <c r="C3405" t="s">
        <v>31</v>
      </c>
      <c r="D3405">
        <v>56</v>
      </c>
      <c r="E3405" t="s">
        <v>27</v>
      </c>
      <c r="F3405" t="s">
        <v>28</v>
      </c>
      <c r="G3405" t="s">
        <v>12</v>
      </c>
      <c r="H3405" s="1">
        <v>44758</v>
      </c>
    </row>
    <row r="3406" spans="1:8">
      <c r="A3406" t="s">
        <v>6825</v>
      </c>
      <c r="B3406" t="s">
        <v>6826</v>
      </c>
      <c r="C3406" t="s">
        <v>31</v>
      </c>
      <c r="D3406">
        <v>39</v>
      </c>
      <c r="E3406" t="s">
        <v>45</v>
      </c>
      <c r="F3406" t="s">
        <v>46</v>
      </c>
      <c r="G3406" t="s">
        <v>17</v>
      </c>
      <c r="H3406" s="1">
        <v>44627</v>
      </c>
    </row>
    <row r="3407" spans="1:8">
      <c r="A3407" t="s">
        <v>6827</v>
      </c>
      <c r="B3407" t="s">
        <v>6828</v>
      </c>
      <c r="C3407" t="s">
        <v>31</v>
      </c>
      <c r="D3407">
        <v>50</v>
      </c>
      <c r="E3407" t="s">
        <v>69</v>
      </c>
      <c r="F3407" t="s">
        <v>69</v>
      </c>
      <c r="G3407" t="s">
        <v>12</v>
      </c>
      <c r="H3407" s="1">
        <v>45488</v>
      </c>
    </row>
    <row r="3408" spans="1:8">
      <c r="A3408" t="s">
        <v>6829</v>
      </c>
      <c r="B3408" t="s">
        <v>6830</v>
      </c>
      <c r="C3408" t="s">
        <v>10</v>
      </c>
      <c r="D3408">
        <v>68</v>
      </c>
      <c r="E3408" t="s">
        <v>149</v>
      </c>
      <c r="F3408" t="s">
        <v>38</v>
      </c>
      <c r="G3408" t="s">
        <v>22</v>
      </c>
      <c r="H3408" s="1">
        <v>45418</v>
      </c>
    </row>
    <row r="3409" spans="1:8">
      <c r="A3409" t="s">
        <v>6831</v>
      </c>
      <c r="B3409" t="s">
        <v>6832</v>
      </c>
      <c r="C3409" t="s">
        <v>31</v>
      </c>
      <c r="D3409">
        <v>31</v>
      </c>
      <c r="E3409" t="s">
        <v>91</v>
      </c>
      <c r="F3409" t="s">
        <v>92</v>
      </c>
      <c r="G3409" t="s">
        <v>78</v>
      </c>
      <c r="H3409" s="1">
        <v>45926</v>
      </c>
    </row>
    <row r="3410" spans="1:8">
      <c r="A3410" t="s">
        <v>6833</v>
      </c>
      <c r="B3410" t="s">
        <v>6834</v>
      </c>
      <c r="C3410" t="s">
        <v>10</v>
      </c>
      <c r="D3410">
        <v>20</v>
      </c>
      <c r="E3410" t="s">
        <v>34</v>
      </c>
      <c r="F3410" t="s">
        <v>16</v>
      </c>
      <c r="G3410" t="s">
        <v>17</v>
      </c>
      <c r="H3410" s="1">
        <v>46002</v>
      </c>
    </row>
    <row r="3411" spans="1:8">
      <c r="A3411" t="s">
        <v>6835</v>
      </c>
      <c r="B3411" t="s">
        <v>6836</v>
      </c>
      <c r="C3411" t="s">
        <v>10</v>
      </c>
      <c r="D3411">
        <v>24</v>
      </c>
      <c r="E3411" t="s">
        <v>218</v>
      </c>
      <c r="F3411" t="s">
        <v>219</v>
      </c>
      <c r="G3411" t="s">
        <v>17</v>
      </c>
      <c r="H3411" s="1">
        <v>44803</v>
      </c>
    </row>
    <row r="3412" spans="1:8">
      <c r="A3412" t="s">
        <v>6837</v>
      </c>
      <c r="B3412" t="s">
        <v>6838</v>
      </c>
      <c r="C3412" t="s">
        <v>10</v>
      </c>
      <c r="D3412">
        <v>36</v>
      </c>
      <c r="E3412" t="s">
        <v>76</v>
      </c>
      <c r="F3412" t="s">
        <v>77</v>
      </c>
      <c r="G3412" t="s">
        <v>78</v>
      </c>
      <c r="H3412" s="1">
        <v>44867</v>
      </c>
    </row>
    <row r="3413" spans="1:8">
      <c r="A3413" t="s">
        <v>6839</v>
      </c>
      <c r="B3413" t="s">
        <v>6840</v>
      </c>
      <c r="C3413" t="s">
        <v>10</v>
      </c>
      <c r="D3413">
        <v>63</v>
      </c>
      <c r="E3413" t="s">
        <v>134</v>
      </c>
      <c r="F3413" t="s">
        <v>28</v>
      </c>
      <c r="G3413" t="s">
        <v>12</v>
      </c>
      <c r="H3413" s="1">
        <v>45748</v>
      </c>
    </row>
    <row r="3414" spans="1:8">
      <c r="A3414" t="s">
        <v>6841</v>
      </c>
      <c r="B3414" t="s">
        <v>6842</v>
      </c>
      <c r="C3414" t="s">
        <v>31</v>
      </c>
      <c r="D3414">
        <v>63</v>
      </c>
      <c r="E3414" t="s">
        <v>149</v>
      </c>
      <c r="F3414" t="s">
        <v>38</v>
      </c>
      <c r="G3414" t="s">
        <v>22</v>
      </c>
      <c r="H3414" s="1">
        <v>44813</v>
      </c>
    </row>
    <row r="3415" spans="1:8">
      <c r="A3415" t="s">
        <v>6843</v>
      </c>
      <c r="B3415" t="s">
        <v>6844</v>
      </c>
      <c r="C3415" t="s">
        <v>10</v>
      </c>
      <c r="D3415">
        <v>41</v>
      </c>
      <c r="E3415" t="s">
        <v>41</v>
      </c>
      <c r="F3415" t="s">
        <v>42</v>
      </c>
      <c r="G3415" t="s">
        <v>17</v>
      </c>
      <c r="H3415" s="1">
        <v>45905</v>
      </c>
    </row>
    <row r="3416" spans="1:8">
      <c r="A3416" t="s">
        <v>6845</v>
      </c>
      <c r="B3416" t="s">
        <v>6846</v>
      </c>
      <c r="C3416" t="s">
        <v>10</v>
      </c>
      <c r="D3416">
        <v>21</v>
      </c>
      <c r="E3416" t="s">
        <v>34</v>
      </c>
      <c r="F3416" t="s">
        <v>16</v>
      </c>
      <c r="G3416" t="s">
        <v>17</v>
      </c>
      <c r="H3416" s="1">
        <v>45268</v>
      </c>
    </row>
    <row r="3417" spans="1:8">
      <c r="A3417" t="s">
        <v>6847</v>
      </c>
      <c r="B3417" t="s">
        <v>6848</v>
      </c>
      <c r="C3417" t="s">
        <v>10</v>
      </c>
      <c r="D3417">
        <v>70</v>
      </c>
      <c r="E3417" t="s">
        <v>45</v>
      </c>
      <c r="F3417" t="s">
        <v>46</v>
      </c>
      <c r="G3417" t="s">
        <v>17</v>
      </c>
      <c r="H3417" s="1">
        <v>45359</v>
      </c>
    </row>
    <row r="3418" spans="1:8">
      <c r="A3418" t="s">
        <v>6849</v>
      </c>
      <c r="B3418" t="s">
        <v>6850</v>
      </c>
      <c r="C3418" t="s">
        <v>31</v>
      </c>
      <c r="D3418">
        <v>46</v>
      </c>
      <c r="E3418" t="s">
        <v>149</v>
      </c>
      <c r="F3418" t="s">
        <v>38</v>
      </c>
      <c r="G3418" t="s">
        <v>22</v>
      </c>
      <c r="H3418" s="1">
        <v>46014</v>
      </c>
    </row>
    <row r="3419" spans="1:8">
      <c r="A3419" t="s">
        <v>6851</v>
      </c>
      <c r="B3419" t="s">
        <v>6852</v>
      </c>
      <c r="C3419" t="s">
        <v>31</v>
      </c>
      <c r="D3419">
        <v>60</v>
      </c>
      <c r="E3419" t="s">
        <v>45</v>
      </c>
      <c r="F3419" t="s">
        <v>46</v>
      </c>
      <c r="G3419" t="s">
        <v>17</v>
      </c>
      <c r="H3419" s="1">
        <v>46010</v>
      </c>
    </row>
    <row r="3420" spans="1:8">
      <c r="A3420" t="s">
        <v>6853</v>
      </c>
      <c r="B3420" t="s">
        <v>6854</v>
      </c>
      <c r="C3420" t="s">
        <v>10</v>
      </c>
      <c r="D3420">
        <v>18</v>
      </c>
      <c r="E3420" t="s">
        <v>60</v>
      </c>
      <c r="F3420" t="s">
        <v>21</v>
      </c>
      <c r="G3420" t="s">
        <v>22</v>
      </c>
      <c r="H3420" s="1">
        <v>45995</v>
      </c>
    </row>
    <row r="3421" spans="1:8">
      <c r="A3421" t="s">
        <v>6855</v>
      </c>
      <c r="B3421" t="s">
        <v>6856</v>
      </c>
      <c r="C3421" t="s">
        <v>31</v>
      </c>
      <c r="D3421">
        <v>23</v>
      </c>
      <c r="E3421" t="s">
        <v>76</v>
      </c>
      <c r="F3421" t="s">
        <v>77</v>
      </c>
      <c r="G3421" t="s">
        <v>78</v>
      </c>
      <c r="H3421" s="1">
        <v>45075</v>
      </c>
    </row>
    <row r="3422" spans="1:8">
      <c r="A3422" t="s">
        <v>6857</v>
      </c>
      <c r="B3422" t="s">
        <v>6858</v>
      </c>
      <c r="C3422" t="s">
        <v>10</v>
      </c>
      <c r="D3422">
        <v>26</v>
      </c>
      <c r="E3422" t="s">
        <v>37</v>
      </c>
      <c r="F3422" t="s">
        <v>38</v>
      </c>
      <c r="G3422" t="s">
        <v>22</v>
      </c>
      <c r="H3422" s="1">
        <v>44865</v>
      </c>
    </row>
    <row r="3423" spans="1:8">
      <c r="A3423" t="s">
        <v>6859</v>
      </c>
      <c r="B3423" t="s">
        <v>6860</v>
      </c>
      <c r="C3423" t="s">
        <v>31</v>
      </c>
      <c r="D3423">
        <v>30</v>
      </c>
      <c r="E3423" t="s">
        <v>218</v>
      </c>
      <c r="F3423" t="s">
        <v>219</v>
      </c>
      <c r="G3423" t="s">
        <v>17</v>
      </c>
      <c r="H3423" s="1">
        <v>45576</v>
      </c>
    </row>
    <row r="3424" spans="1:8">
      <c r="A3424" t="s">
        <v>6861</v>
      </c>
      <c r="B3424" t="s">
        <v>6862</v>
      </c>
      <c r="C3424" t="s">
        <v>10</v>
      </c>
      <c r="D3424">
        <v>58</v>
      </c>
      <c r="E3424" t="s">
        <v>69</v>
      </c>
      <c r="F3424" t="s">
        <v>69</v>
      </c>
      <c r="G3424" t="s">
        <v>12</v>
      </c>
      <c r="H3424" s="1">
        <v>44640</v>
      </c>
    </row>
    <row r="3425" spans="1:8">
      <c r="A3425" t="s">
        <v>6863</v>
      </c>
      <c r="B3425" t="s">
        <v>6864</v>
      </c>
      <c r="C3425" t="s">
        <v>31</v>
      </c>
      <c r="D3425">
        <v>39</v>
      </c>
      <c r="E3425" t="s">
        <v>37</v>
      </c>
      <c r="F3425" t="s">
        <v>38</v>
      </c>
      <c r="G3425" t="s">
        <v>22</v>
      </c>
      <c r="H3425" s="1">
        <v>45821</v>
      </c>
    </row>
    <row r="3426" spans="1:8">
      <c r="A3426" t="s">
        <v>6865</v>
      </c>
      <c r="B3426" t="s">
        <v>6866</v>
      </c>
      <c r="C3426" t="s">
        <v>10</v>
      </c>
      <c r="D3426">
        <v>31</v>
      </c>
      <c r="E3426" t="s">
        <v>41</v>
      </c>
      <c r="F3426" t="s">
        <v>42</v>
      </c>
      <c r="G3426" t="s">
        <v>17</v>
      </c>
      <c r="H3426" s="1">
        <v>45588</v>
      </c>
    </row>
    <row r="3427" spans="1:8">
      <c r="A3427" t="s">
        <v>6867</v>
      </c>
      <c r="B3427" t="s">
        <v>6868</v>
      </c>
      <c r="C3427" t="s">
        <v>31</v>
      </c>
      <c r="D3427">
        <v>51</v>
      </c>
      <c r="E3427" t="s">
        <v>218</v>
      </c>
      <c r="F3427" t="s">
        <v>219</v>
      </c>
      <c r="G3427" t="s">
        <v>17</v>
      </c>
      <c r="H3427" s="1">
        <v>45122</v>
      </c>
    </row>
    <row r="3428" spans="1:8">
      <c r="A3428" t="s">
        <v>6869</v>
      </c>
      <c r="B3428" t="s">
        <v>6870</v>
      </c>
      <c r="C3428" t="s">
        <v>10</v>
      </c>
      <c r="D3428">
        <v>45</v>
      </c>
      <c r="E3428" t="s">
        <v>128</v>
      </c>
      <c r="F3428" t="s">
        <v>129</v>
      </c>
      <c r="G3428" t="s">
        <v>78</v>
      </c>
      <c r="H3428" s="1">
        <v>45815</v>
      </c>
    </row>
    <row r="3429" spans="1:8">
      <c r="A3429" t="s">
        <v>6871</v>
      </c>
      <c r="B3429" t="s">
        <v>6872</v>
      </c>
      <c r="C3429" t="s">
        <v>31</v>
      </c>
      <c r="D3429">
        <v>52</v>
      </c>
      <c r="E3429" t="s">
        <v>11</v>
      </c>
      <c r="F3429" t="s">
        <v>11</v>
      </c>
      <c r="G3429" t="s">
        <v>12</v>
      </c>
      <c r="H3429" s="1">
        <v>45493</v>
      </c>
    </row>
    <row r="3430" spans="1:8">
      <c r="A3430" t="s">
        <v>6873</v>
      </c>
      <c r="B3430" t="s">
        <v>6874</v>
      </c>
      <c r="C3430" t="s">
        <v>31</v>
      </c>
      <c r="D3430">
        <v>39</v>
      </c>
      <c r="E3430" t="s">
        <v>112</v>
      </c>
      <c r="F3430" t="s">
        <v>113</v>
      </c>
      <c r="G3430" t="s">
        <v>78</v>
      </c>
      <c r="H3430" s="1">
        <v>44653</v>
      </c>
    </row>
    <row r="3431" spans="1:8">
      <c r="A3431" t="s">
        <v>6875</v>
      </c>
      <c r="B3431" t="s">
        <v>6876</v>
      </c>
      <c r="C3431" t="s">
        <v>10</v>
      </c>
      <c r="D3431">
        <v>48</v>
      </c>
      <c r="E3431" t="s">
        <v>218</v>
      </c>
      <c r="F3431" t="s">
        <v>219</v>
      </c>
      <c r="G3431" t="s">
        <v>17</v>
      </c>
      <c r="H3431" s="1">
        <v>45846</v>
      </c>
    </row>
    <row r="3432" spans="1:8">
      <c r="A3432" t="s">
        <v>6877</v>
      </c>
      <c r="B3432" t="s">
        <v>6878</v>
      </c>
      <c r="C3432" t="s">
        <v>10</v>
      </c>
      <c r="D3432">
        <v>38</v>
      </c>
      <c r="E3432" t="s">
        <v>112</v>
      </c>
      <c r="F3432" t="s">
        <v>113</v>
      </c>
      <c r="G3432" t="s">
        <v>78</v>
      </c>
      <c r="H3432" s="1">
        <v>45511</v>
      </c>
    </row>
    <row r="3433" spans="1:8">
      <c r="A3433" t="s">
        <v>6879</v>
      </c>
      <c r="B3433" t="s">
        <v>6880</v>
      </c>
      <c r="C3433" t="s">
        <v>31</v>
      </c>
      <c r="D3433">
        <v>37</v>
      </c>
      <c r="E3433" t="s">
        <v>76</v>
      </c>
      <c r="F3433" t="s">
        <v>77</v>
      </c>
      <c r="G3433" t="s">
        <v>78</v>
      </c>
      <c r="H3433" s="1">
        <v>45482</v>
      </c>
    </row>
    <row r="3434" spans="1:8">
      <c r="A3434" t="s">
        <v>6881</v>
      </c>
      <c r="B3434" t="s">
        <v>6882</v>
      </c>
      <c r="C3434" t="s">
        <v>31</v>
      </c>
      <c r="D3434">
        <v>43</v>
      </c>
      <c r="E3434" t="s">
        <v>87</v>
      </c>
      <c r="F3434" t="s">
        <v>88</v>
      </c>
      <c r="G3434" t="s">
        <v>78</v>
      </c>
      <c r="H3434" s="1">
        <v>45031</v>
      </c>
    </row>
    <row r="3435" spans="1:8">
      <c r="A3435" t="s">
        <v>6883</v>
      </c>
      <c r="B3435" t="s">
        <v>6884</v>
      </c>
      <c r="C3435" t="s">
        <v>10</v>
      </c>
      <c r="D3435">
        <v>32</v>
      </c>
      <c r="E3435" t="s">
        <v>218</v>
      </c>
      <c r="F3435" t="s">
        <v>219</v>
      </c>
      <c r="G3435" t="s">
        <v>17</v>
      </c>
      <c r="H3435" s="1">
        <v>45031</v>
      </c>
    </row>
    <row r="3436" spans="1:8">
      <c r="A3436" t="s">
        <v>6885</v>
      </c>
      <c r="B3436" t="s">
        <v>6886</v>
      </c>
      <c r="C3436" t="s">
        <v>31</v>
      </c>
      <c r="D3436">
        <v>18</v>
      </c>
      <c r="E3436" t="s">
        <v>112</v>
      </c>
      <c r="F3436" t="s">
        <v>113</v>
      </c>
      <c r="G3436" t="s">
        <v>78</v>
      </c>
      <c r="H3436" s="1">
        <v>45051</v>
      </c>
    </row>
    <row r="3437" spans="1:8">
      <c r="A3437" t="s">
        <v>6887</v>
      </c>
      <c r="B3437" t="s">
        <v>6888</v>
      </c>
      <c r="C3437" t="s">
        <v>31</v>
      </c>
      <c r="D3437">
        <v>19</v>
      </c>
      <c r="E3437" t="s">
        <v>20</v>
      </c>
      <c r="F3437" t="s">
        <v>21</v>
      </c>
      <c r="G3437" t="s">
        <v>22</v>
      </c>
      <c r="H3437" s="1">
        <v>45122</v>
      </c>
    </row>
    <row r="3438" spans="1:8">
      <c r="A3438" t="s">
        <v>6889</v>
      </c>
      <c r="B3438" t="s">
        <v>6890</v>
      </c>
      <c r="C3438" t="s">
        <v>10</v>
      </c>
      <c r="D3438">
        <v>49</v>
      </c>
      <c r="E3438" t="s">
        <v>37</v>
      </c>
      <c r="F3438" t="s">
        <v>38</v>
      </c>
      <c r="G3438" t="s">
        <v>22</v>
      </c>
      <c r="H3438" s="1">
        <v>45791</v>
      </c>
    </row>
    <row r="3439" spans="1:8">
      <c r="A3439" t="s">
        <v>6891</v>
      </c>
      <c r="B3439" t="s">
        <v>6892</v>
      </c>
      <c r="C3439" t="s">
        <v>31</v>
      </c>
      <c r="D3439">
        <v>67</v>
      </c>
      <c r="E3439" t="s">
        <v>76</v>
      </c>
      <c r="F3439" t="s">
        <v>77</v>
      </c>
      <c r="G3439" t="s">
        <v>78</v>
      </c>
      <c r="H3439" s="1">
        <v>45655</v>
      </c>
    </row>
    <row r="3440" spans="1:8">
      <c r="A3440" t="s">
        <v>6893</v>
      </c>
      <c r="B3440" t="s">
        <v>6894</v>
      </c>
      <c r="C3440" t="s">
        <v>31</v>
      </c>
      <c r="D3440">
        <v>29</v>
      </c>
      <c r="E3440" t="s">
        <v>34</v>
      </c>
      <c r="F3440" t="s">
        <v>16</v>
      </c>
      <c r="G3440" t="s">
        <v>17</v>
      </c>
      <c r="H3440" s="1">
        <v>45358</v>
      </c>
    </row>
    <row r="3441" spans="1:8">
      <c r="A3441" t="s">
        <v>6895</v>
      </c>
      <c r="B3441" t="s">
        <v>6896</v>
      </c>
      <c r="C3441" t="s">
        <v>31</v>
      </c>
      <c r="D3441">
        <v>23</v>
      </c>
      <c r="E3441" t="s">
        <v>101</v>
      </c>
      <c r="F3441" t="s">
        <v>21</v>
      </c>
      <c r="G3441" t="s">
        <v>22</v>
      </c>
      <c r="H3441" s="1">
        <v>44591</v>
      </c>
    </row>
    <row r="3442" spans="1:8">
      <c r="A3442" t="s">
        <v>6897</v>
      </c>
      <c r="B3442" t="s">
        <v>6898</v>
      </c>
      <c r="C3442" t="s">
        <v>10</v>
      </c>
      <c r="D3442">
        <v>24</v>
      </c>
      <c r="E3442" t="s">
        <v>101</v>
      </c>
      <c r="F3442" t="s">
        <v>21</v>
      </c>
      <c r="G3442" t="s">
        <v>22</v>
      </c>
      <c r="H3442" s="1">
        <v>45544</v>
      </c>
    </row>
    <row r="3443" spans="1:8">
      <c r="A3443" t="s">
        <v>6899</v>
      </c>
      <c r="B3443" t="s">
        <v>6900</v>
      </c>
      <c r="C3443" t="s">
        <v>31</v>
      </c>
      <c r="D3443">
        <v>60</v>
      </c>
      <c r="E3443" t="s">
        <v>45</v>
      </c>
      <c r="F3443" t="s">
        <v>46</v>
      </c>
      <c r="G3443" t="s">
        <v>17</v>
      </c>
      <c r="H3443" s="1">
        <v>44908</v>
      </c>
    </row>
    <row r="3444" spans="1:8">
      <c r="A3444" t="s">
        <v>6901</v>
      </c>
      <c r="B3444" t="s">
        <v>6902</v>
      </c>
      <c r="C3444" t="s">
        <v>10</v>
      </c>
      <c r="D3444">
        <v>64</v>
      </c>
      <c r="E3444" t="s">
        <v>34</v>
      </c>
      <c r="F3444" t="s">
        <v>16</v>
      </c>
      <c r="G3444" t="s">
        <v>17</v>
      </c>
      <c r="H3444" s="1">
        <v>45435</v>
      </c>
    </row>
    <row r="3445" spans="1:8">
      <c r="A3445" t="s">
        <v>6903</v>
      </c>
      <c r="B3445" t="s">
        <v>6904</v>
      </c>
      <c r="C3445" t="s">
        <v>31</v>
      </c>
      <c r="D3445">
        <v>52</v>
      </c>
      <c r="E3445" t="s">
        <v>15</v>
      </c>
      <c r="F3445" t="s">
        <v>16</v>
      </c>
      <c r="G3445" t="s">
        <v>17</v>
      </c>
      <c r="H3445" s="1">
        <v>45153</v>
      </c>
    </row>
    <row r="3446" spans="1:8">
      <c r="A3446" t="s">
        <v>6905</v>
      </c>
      <c r="B3446" t="s">
        <v>6906</v>
      </c>
      <c r="C3446" t="s">
        <v>10</v>
      </c>
      <c r="D3446">
        <v>25</v>
      </c>
      <c r="E3446" t="s">
        <v>11</v>
      </c>
      <c r="F3446" t="s">
        <v>11</v>
      </c>
      <c r="G3446" t="s">
        <v>12</v>
      </c>
      <c r="H3446" s="1">
        <v>44718</v>
      </c>
    </row>
    <row r="3447" spans="1:8">
      <c r="A3447" t="s">
        <v>6907</v>
      </c>
      <c r="B3447" t="s">
        <v>6908</v>
      </c>
      <c r="C3447" t="s">
        <v>10</v>
      </c>
      <c r="D3447">
        <v>67</v>
      </c>
      <c r="E3447" t="s">
        <v>87</v>
      </c>
      <c r="F3447" t="s">
        <v>88</v>
      </c>
      <c r="G3447" t="s">
        <v>78</v>
      </c>
      <c r="H3447" s="1">
        <v>45052</v>
      </c>
    </row>
    <row r="3448" spans="1:8">
      <c r="A3448" t="s">
        <v>6909</v>
      </c>
      <c r="B3448" t="s">
        <v>6910</v>
      </c>
      <c r="C3448" t="s">
        <v>10</v>
      </c>
      <c r="D3448">
        <v>66</v>
      </c>
      <c r="E3448" t="s">
        <v>134</v>
      </c>
      <c r="F3448" t="s">
        <v>28</v>
      </c>
      <c r="G3448" t="s">
        <v>12</v>
      </c>
      <c r="H3448" s="1">
        <v>44928</v>
      </c>
    </row>
    <row r="3449" spans="1:8">
      <c r="A3449" t="s">
        <v>6911</v>
      </c>
      <c r="B3449" t="s">
        <v>6912</v>
      </c>
      <c r="C3449" t="s">
        <v>31</v>
      </c>
      <c r="D3449">
        <v>50</v>
      </c>
      <c r="E3449" t="s">
        <v>20</v>
      </c>
      <c r="F3449" t="s">
        <v>21</v>
      </c>
      <c r="G3449" t="s">
        <v>22</v>
      </c>
      <c r="H3449" s="1">
        <v>45586</v>
      </c>
    </row>
    <row r="3450" spans="1:8">
      <c r="A3450" t="s">
        <v>6913</v>
      </c>
      <c r="B3450" t="s">
        <v>6914</v>
      </c>
      <c r="C3450" t="s">
        <v>10</v>
      </c>
      <c r="D3450">
        <v>40</v>
      </c>
      <c r="E3450" t="s">
        <v>218</v>
      </c>
      <c r="F3450" t="s">
        <v>219</v>
      </c>
      <c r="G3450" t="s">
        <v>17</v>
      </c>
      <c r="H3450" s="1">
        <v>45131</v>
      </c>
    </row>
    <row r="3451" spans="1:8">
      <c r="A3451" t="s">
        <v>6915</v>
      </c>
      <c r="B3451" t="s">
        <v>6916</v>
      </c>
      <c r="C3451" t="s">
        <v>31</v>
      </c>
      <c r="D3451">
        <v>69</v>
      </c>
      <c r="E3451" t="s">
        <v>134</v>
      </c>
      <c r="F3451" t="s">
        <v>28</v>
      </c>
      <c r="G3451" t="s">
        <v>12</v>
      </c>
      <c r="H3451" s="1">
        <v>44923</v>
      </c>
    </row>
    <row r="3452" spans="1:8">
      <c r="A3452" t="s">
        <v>6917</v>
      </c>
      <c r="B3452" t="s">
        <v>6918</v>
      </c>
      <c r="C3452" t="s">
        <v>10</v>
      </c>
      <c r="D3452">
        <v>22</v>
      </c>
      <c r="E3452" t="s">
        <v>45</v>
      </c>
      <c r="F3452" t="s">
        <v>46</v>
      </c>
      <c r="G3452" t="s">
        <v>17</v>
      </c>
      <c r="H3452" s="1">
        <v>44599</v>
      </c>
    </row>
    <row r="3453" spans="1:8">
      <c r="A3453" t="s">
        <v>6919</v>
      </c>
      <c r="B3453" t="s">
        <v>6920</v>
      </c>
      <c r="C3453" t="s">
        <v>10</v>
      </c>
      <c r="D3453">
        <v>48</v>
      </c>
      <c r="E3453" t="s">
        <v>45</v>
      </c>
      <c r="F3453" t="s">
        <v>46</v>
      </c>
      <c r="G3453" t="s">
        <v>17</v>
      </c>
      <c r="H3453" s="1">
        <v>44890</v>
      </c>
    </row>
    <row r="3454" spans="1:8">
      <c r="A3454" t="s">
        <v>6921</v>
      </c>
      <c r="B3454" t="s">
        <v>6922</v>
      </c>
      <c r="C3454" t="s">
        <v>31</v>
      </c>
      <c r="D3454">
        <v>42</v>
      </c>
      <c r="E3454" t="s">
        <v>91</v>
      </c>
      <c r="F3454" t="s">
        <v>92</v>
      </c>
      <c r="G3454" t="s">
        <v>78</v>
      </c>
      <c r="H3454" s="1">
        <v>44623</v>
      </c>
    </row>
    <row r="3455" spans="1:8">
      <c r="A3455" t="s">
        <v>6923</v>
      </c>
      <c r="B3455" t="s">
        <v>6924</v>
      </c>
      <c r="C3455" t="s">
        <v>31</v>
      </c>
      <c r="D3455">
        <v>31</v>
      </c>
      <c r="E3455" t="s">
        <v>69</v>
      </c>
      <c r="F3455" t="s">
        <v>69</v>
      </c>
      <c r="G3455" t="s">
        <v>12</v>
      </c>
      <c r="H3455" s="1">
        <v>44774</v>
      </c>
    </row>
    <row r="3456" spans="1:8">
      <c r="A3456" t="s">
        <v>6925</v>
      </c>
      <c r="B3456" t="s">
        <v>6926</v>
      </c>
      <c r="C3456" t="s">
        <v>31</v>
      </c>
      <c r="D3456">
        <v>67</v>
      </c>
      <c r="E3456" t="s">
        <v>218</v>
      </c>
      <c r="F3456" t="s">
        <v>219</v>
      </c>
      <c r="G3456" t="s">
        <v>17</v>
      </c>
      <c r="H3456" s="1">
        <v>45867</v>
      </c>
    </row>
    <row r="3457" spans="1:8">
      <c r="A3457" t="s">
        <v>6927</v>
      </c>
      <c r="B3457" t="s">
        <v>6928</v>
      </c>
      <c r="C3457" t="s">
        <v>31</v>
      </c>
      <c r="D3457">
        <v>53</v>
      </c>
      <c r="E3457" t="s">
        <v>11</v>
      </c>
      <c r="F3457" t="s">
        <v>11</v>
      </c>
      <c r="G3457" t="s">
        <v>12</v>
      </c>
      <c r="H3457" s="1">
        <v>45026</v>
      </c>
    </row>
    <row r="3458" spans="1:8">
      <c r="A3458" t="s">
        <v>6929</v>
      </c>
      <c r="B3458" t="s">
        <v>6930</v>
      </c>
      <c r="C3458" t="s">
        <v>31</v>
      </c>
      <c r="D3458">
        <v>30</v>
      </c>
      <c r="E3458" t="s">
        <v>69</v>
      </c>
      <c r="F3458" t="s">
        <v>69</v>
      </c>
      <c r="G3458" t="s">
        <v>12</v>
      </c>
      <c r="H3458" s="1">
        <v>45221</v>
      </c>
    </row>
    <row r="3459" spans="1:8">
      <c r="A3459" t="s">
        <v>6931</v>
      </c>
      <c r="B3459" t="s">
        <v>6932</v>
      </c>
      <c r="C3459" t="s">
        <v>10</v>
      </c>
      <c r="D3459">
        <v>18</v>
      </c>
      <c r="E3459" t="s">
        <v>87</v>
      </c>
      <c r="F3459" t="s">
        <v>88</v>
      </c>
      <c r="G3459" t="s">
        <v>78</v>
      </c>
      <c r="H3459" s="1">
        <v>45489</v>
      </c>
    </row>
    <row r="3460" spans="1:8">
      <c r="A3460" t="s">
        <v>6933</v>
      </c>
      <c r="B3460" t="s">
        <v>6934</v>
      </c>
      <c r="C3460" t="s">
        <v>31</v>
      </c>
      <c r="D3460">
        <v>59</v>
      </c>
      <c r="E3460" t="s">
        <v>20</v>
      </c>
      <c r="F3460" t="s">
        <v>21</v>
      </c>
      <c r="G3460" t="s">
        <v>22</v>
      </c>
      <c r="H3460" s="1">
        <v>45923</v>
      </c>
    </row>
    <row r="3461" spans="1:8">
      <c r="A3461" t="s">
        <v>6935</v>
      </c>
      <c r="B3461" t="s">
        <v>6936</v>
      </c>
      <c r="C3461" t="s">
        <v>31</v>
      </c>
      <c r="D3461">
        <v>23</v>
      </c>
      <c r="E3461" t="s">
        <v>20</v>
      </c>
      <c r="F3461" t="s">
        <v>21</v>
      </c>
      <c r="G3461" t="s">
        <v>22</v>
      </c>
      <c r="H3461" s="1">
        <v>45207</v>
      </c>
    </row>
    <row r="3462" spans="1:8">
      <c r="A3462" t="s">
        <v>6937</v>
      </c>
      <c r="B3462" t="s">
        <v>6938</v>
      </c>
      <c r="C3462" t="s">
        <v>10</v>
      </c>
      <c r="D3462">
        <v>55</v>
      </c>
      <c r="E3462" t="s">
        <v>15</v>
      </c>
      <c r="F3462" t="s">
        <v>16</v>
      </c>
      <c r="G3462" t="s">
        <v>17</v>
      </c>
      <c r="H3462" s="1">
        <v>45779</v>
      </c>
    </row>
    <row r="3463" spans="1:8">
      <c r="A3463" t="s">
        <v>6939</v>
      </c>
      <c r="B3463" t="s">
        <v>6940</v>
      </c>
      <c r="C3463" t="s">
        <v>31</v>
      </c>
      <c r="D3463">
        <v>25</v>
      </c>
      <c r="E3463" t="s">
        <v>41</v>
      </c>
      <c r="F3463" t="s">
        <v>42</v>
      </c>
      <c r="G3463" t="s">
        <v>17</v>
      </c>
      <c r="H3463" s="1">
        <v>45695</v>
      </c>
    </row>
    <row r="3464" spans="1:8">
      <c r="A3464" t="s">
        <v>6941</v>
      </c>
      <c r="B3464" t="s">
        <v>6942</v>
      </c>
      <c r="C3464" t="s">
        <v>31</v>
      </c>
      <c r="D3464">
        <v>33</v>
      </c>
      <c r="E3464" t="s">
        <v>11</v>
      </c>
      <c r="F3464" t="s">
        <v>11</v>
      </c>
      <c r="G3464" t="s">
        <v>12</v>
      </c>
      <c r="H3464" s="1">
        <v>45868</v>
      </c>
    </row>
    <row r="3465" spans="1:8">
      <c r="A3465" t="s">
        <v>6943</v>
      </c>
      <c r="B3465" t="s">
        <v>6944</v>
      </c>
      <c r="C3465" t="s">
        <v>10</v>
      </c>
      <c r="D3465">
        <v>24</v>
      </c>
      <c r="E3465" t="s">
        <v>149</v>
      </c>
      <c r="F3465" t="s">
        <v>38</v>
      </c>
      <c r="G3465" t="s">
        <v>22</v>
      </c>
      <c r="H3465" s="1">
        <v>45162</v>
      </c>
    </row>
    <row r="3466" spans="1:8">
      <c r="A3466" t="s">
        <v>6945</v>
      </c>
      <c r="B3466" t="s">
        <v>6946</v>
      </c>
      <c r="C3466" t="s">
        <v>10</v>
      </c>
      <c r="D3466">
        <v>62</v>
      </c>
      <c r="E3466" t="s">
        <v>45</v>
      </c>
      <c r="F3466" t="s">
        <v>46</v>
      </c>
      <c r="G3466" t="s">
        <v>17</v>
      </c>
      <c r="H3466" s="1">
        <v>45923</v>
      </c>
    </row>
    <row r="3467" spans="1:8">
      <c r="A3467" t="s">
        <v>6947</v>
      </c>
      <c r="B3467" t="s">
        <v>6948</v>
      </c>
      <c r="C3467" t="s">
        <v>31</v>
      </c>
      <c r="D3467">
        <v>39</v>
      </c>
      <c r="E3467" t="s">
        <v>41</v>
      </c>
      <c r="F3467" t="s">
        <v>42</v>
      </c>
      <c r="G3467" t="s">
        <v>17</v>
      </c>
      <c r="H3467" s="1">
        <v>44875</v>
      </c>
    </row>
    <row r="3468" spans="1:8">
      <c r="A3468" t="s">
        <v>6949</v>
      </c>
      <c r="B3468" t="s">
        <v>6950</v>
      </c>
      <c r="C3468" t="s">
        <v>31</v>
      </c>
      <c r="D3468">
        <v>22</v>
      </c>
      <c r="E3468" t="s">
        <v>87</v>
      </c>
      <c r="F3468" t="s">
        <v>88</v>
      </c>
      <c r="G3468" t="s">
        <v>78</v>
      </c>
      <c r="H3468" s="1">
        <v>45649</v>
      </c>
    </row>
    <row r="3469" spans="1:8">
      <c r="A3469" t="s">
        <v>6951</v>
      </c>
      <c r="B3469" t="s">
        <v>6952</v>
      </c>
      <c r="C3469" t="s">
        <v>10</v>
      </c>
      <c r="D3469">
        <v>19</v>
      </c>
      <c r="E3469" t="s">
        <v>37</v>
      </c>
      <c r="F3469" t="s">
        <v>38</v>
      </c>
      <c r="G3469" t="s">
        <v>22</v>
      </c>
      <c r="H3469" s="1">
        <v>45395</v>
      </c>
    </row>
    <row r="3470" spans="1:8">
      <c r="A3470" t="s">
        <v>6953</v>
      </c>
      <c r="B3470" t="s">
        <v>6954</v>
      </c>
      <c r="C3470" t="s">
        <v>10</v>
      </c>
      <c r="D3470">
        <v>26</v>
      </c>
      <c r="E3470" t="s">
        <v>91</v>
      </c>
      <c r="F3470" t="s">
        <v>92</v>
      </c>
      <c r="G3470" t="s">
        <v>78</v>
      </c>
      <c r="H3470" s="1">
        <v>44940</v>
      </c>
    </row>
    <row r="3471" spans="1:8">
      <c r="A3471" t="s">
        <v>6955</v>
      </c>
      <c r="B3471" t="s">
        <v>6956</v>
      </c>
      <c r="C3471" t="s">
        <v>10</v>
      </c>
      <c r="D3471">
        <v>41</v>
      </c>
      <c r="E3471" t="s">
        <v>128</v>
      </c>
      <c r="F3471" t="s">
        <v>129</v>
      </c>
      <c r="G3471" t="s">
        <v>78</v>
      </c>
      <c r="H3471" s="1">
        <v>45789</v>
      </c>
    </row>
    <row r="3472" spans="1:8">
      <c r="A3472" t="s">
        <v>6957</v>
      </c>
      <c r="B3472" t="s">
        <v>6958</v>
      </c>
      <c r="C3472" t="s">
        <v>31</v>
      </c>
      <c r="D3472">
        <v>25</v>
      </c>
      <c r="E3472" t="s">
        <v>45</v>
      </c>
      <c r="F3472" t="s">
        <v>46</v>
      </c>
      <c r="G3472" t="s">
        <v>17</v>
      </c>
      <c r="H3472" s="1">
        <v>45245</v>
      </c>
    </row>
    <row r="3473" spans="1:8">
      <c r="A3473" t="s">
        <v>6959</v>
      </c>
      <c r="B3473" t="s">
        <v>6960</v>
      </c>
      <c r="C3473" t="s">
        <v>10</v>
      </c>
      <c r="D3473">
        <v>32</v>
      </c>
      <c r="E3473" t="s">
        <v>34</v>
      </c>
      <c r="F3473" t="s">
        <v>16</v>
      </c>
      <c r="G3473" t="s">
        <v>17</v>
      </c>
      <c r="H3473" s="1">
        <v>45754</v>
      </c>
    </row>
    <row r="3474" spans="1:8">
      <c r="A3474" t="s">
        <v>6961</v>
      </c>
      <c r="B3474" t="s">
        <v>6962</v>
      </c>
      <c r="C3474" t="s">
        <v>10</v>
      </c>
      <c r="D3474">
        <v>69</v>
      </c>
      <c r="E3474" t="s">
        <v>45</v>
      </c>
      <c r="F3474" t="s">
        <v>46</v>
      </c>
      <c r="G3474" t="s">
        <v>17</v>
      </c>
      <c r="H3474" s="1">
        <v>45688</v>
      </c>
    </row>
    <row r="3475" spans="1:8">
      <c r="A3475" t="s">
        <v>6963</v>
      </c>
      <c r="B3475" t="s">
        <v>6964</v>
      </c>
      <c r="C3475" t="s">
        <v>31</v>
      </c>
      <c r="D3475">
        <v>53</v>
      </c>
      <c r="E3475" t="s">
        <v>27</v>
      </c>
      <c r="F3475" t="s">
        <v>28</v>
      </c>
      <c r="G3475" t="s">
        <v>12</v>
      </c>
      <c r="H3475" s="1">
        <v>45976</v>
      </c>
    </row>
    <row r="3476" spans="1:8">
      <c r="A3476" t="s">
        <v>6965</v>
      </c>
      <c r="B3476" t="s">
        <v>6966</v>
      </c>
      <c r="C3476" t="s">
        <v>10</v>
      </c>
      <c r="D3476">
        <v>37</v>
      </c>
      <c r="E3476" t="s">
        <v>11</v>
      </c>
      <c r="F3476" t="s">
        <v>11</v>
      </c>
      <c r="G3476" t="s">
        <v>12</v>
      </c>
      <c r="H3476" s="1">
        <v>45388</v>
      </c>
    </row>
    <row r="3477" spans="1:8">
      <c r="A3477" t="s">
        <v>6967</v>
      </c>
      <c r="B3477" t="s">
        <v>6968</v>
      </c>
      <c r="C3477" t="s">
        <v>31</v>
      </c>
      <c r="D3477">
        <v>35</v>
      </c>
      <c r="E3477" t="s">
        <v>112</v>
      </c>
      <c r="F3477" t="s">
        <v>113</v>
      </c>
      <c r="G3477" t="s">
        <v>78</v>
      </c>
      <c r="H3477" s="1">
        <v>44752</v>
      </c>
    </row>
    <row r="3478" spans="1:8">
      <c r="A3478" t="s">
        <v>6969</v>
      </c>
      <c r="B3478" t="s">
        <v>6970</v>
      </c>
      <c r="C3478" t="s">
        <v>10</v>
      </c>
      <c r="D3478">
        <v>55</v>
      </c>
      <c r="E3478" t="s">
        <v>63</v>
      </c>
      <c r="F3478" t="s">
        <v>64</v>
      </c>
      <c r="G3478" t="s">
        <v>12</v>
      </c>
      <c r="H3478" s="1">
        <v>44702</v>
      </c>
    </row>
    <row r="3479" spans="1:8">
      <c r="A3479" t="s">
        <v>6971</v>
      </c>
      <c r="B3479" t="s">
        <v>6972</v>
      </c>
      <c r="C3479" t="s">
        <v>31</v>
      </c>
      <c r="D3479">
        <v>69</v>
      </c>
      <c r="E3479" t="s">
        <v>41</v>
      </c>
      <c r="F3479" t="s">
        <v>42</v>
      </c>
      <c r="G3479" t="s">
        <v>17</v>
      </c>
      <c r="H3479" s="1">
        <v>44649</v>
      </c>
    </row>
    <row r="3480" spans="1:8">
      <c r="A3480" t="s">
        <v>6973</v>
      </c>
      <c r="B3480" t="s">
        <v>6974</v>
      </c>
      <c r="C3480" t="s">
        <v>31</v>
      </c>
      <c r="D3480">
        <v>28</v>
      </c>
      <c r="E3480" t="s">
        <v>60</v>
      </c>
      <c r="F3480" t="s">
        <v>21</v>
      </c>
      <c r="G3480" t="s">
        <v>22</v>
      </c>
      <c r="H3480" s="1">
        <v>44780</v>
      </c>
    </row>
    <row r="3481" spans="1:8">
      <c r="A3481" t="s">
        <v>6975</v>
      </c>
      <c r="B3481" t="s">
        <v>6976</v>
      </c>
      <c r="C3481" t="s">
        <v>10</v>
      </c>
      <c r="D3481">
        <v>39</v>
      </c>
      <c r="E3481" t="s">
        <v>27</v>
      </c>
      <c r="F3481" t="s">
        <v>28</v>
      </c>
      <c r="G3481" t="s">
        <v>12</v>
      </c>
      <c r="H3481" s="1">
        <v>45069</v>
      </c>
    </row>
    <row r="3482" spans="1:8">
      <c r="A3482" t="s">
        <v>6977</v>
      </c>
      <c r="B3482" t="s">
        <v>6978</v>
      </c>
      <c r="C3482" t="s">
        <v>10</v>
      </c>
      <c r="D3482">
        <v>58</v>
      </c>
      <c r="E3482" t="s">
        <v>218</v>
      </c>
      <c r="F3482" t="s">
        <v>219</v>
      </c>
      <c r="G3482" t="s">
        <v>17</v>
      </c>
      <c r="H3482" s="1">
        <v>45997</v>
      </c>
    </row>
    <row r="3483" spans="1:8">
      <c r="A3483" t="s">
        <v>6979</v>
      </c>
      <c r="B3483" t="s">
        <v>6980</v>
      </c>
      <c r="C3483" t="s">
        <v>10</v>
      </c>
      <c r="D3483">
        <v>28</v>
      </c>
      <c r="E3483" t="s">
        <v>69</v>
      </c>
      <c r="F3483" t="s">
        <v>69</v>
      </c>
      <c r="G3483" t="s">
        <v>12</v>
      </c>
      <c r="H3483" s="1">
        <v>45009</v>
      </c>
    </row>
    <row r="3484" spans="1:8">
      <c r="A3484" t="s">
        <v>6981</v>
      </c>
      <c r="B3484" t="s">
        <v>6982</v>
      </c>
      <c r="C3484" t="s">
        <v>31</v>
      </c>
      <c r="D3484">
        <v>18</v>
      </c>
      <c r="E3484" t="s">
        <v>27</v>
      </c>
      <c r="F3484" t="s">
        <v>28</v>
      </c>
      <c r="G3484" t="s">
        <v>12</v>
      </c>
      <c r="H3484" s="1">
        <v>45050</v>
      </c>
    </row>
    <row r="3485" spans="1:8">
      <c r="A3485" t="s">
        <v>6983</v>
      </c>
      <c r="B3485" t="s">
        <v>6984</v>
      </c>
      <c r="C3485" t="s">
        <v>10</v>
      </c>
      <c r="D3485">
        <v>49</v>
      </c>
      <c r="E3485" t="s">
        <v>134</v>
      </c>
      <c r="F3485" t="s">
        <v>28</v>
      </c>
      <c r="G3485" t="s">
        <v>12</v>
      </c>
      <c r="H3485" s="1">
        <v>45743</v>
      </c>
    </row>
    <row r="3486" spans="1:8">
      <c r="A3486" t="s">
        <v>6985</v>
      </c>
      <c r="B3486" t="s">
        <v>6986</v>
      </c>
      <c r="C3486" t="s">
        <v>10</v>
      </c>
      <c r="D3486">
        <v>57</v>
      </c>
      <c r="E3486" t="s">
        <v>20</v>
      </c>
      <c r="F3486" t="s">
        <v>21</v>
      </c>
      <c r="G3486" t="s">
        <v>22</v>
      </c>
      <c r="H3486" s="1">
        <v>45442</v>
      </c>
    </row>
    <row r="3487" spans="1:8">
      <c r="A3487" t="s">
        <v>6987</v>
      </c>
      <c r="B3487" t="s">
        <v>6988</v>
      </c>
      <c r="C3487" t="s">
        <v>31</v>
      </c>
      <c r="D3487">
        <v>40</v>
      </c>
      <c r="E3487" t="s">
        <v>63</v>
      </c>
      <c r="F3487" t="s">
        <v>64</v>
      </c>
      <c r="G3487" t="s">
        <v>12</v>
      </c>
      <c r="H3487" s="1">
        <v>45642</v>
      </c>
    </row>
    <row r="3488" spans="1:8">
      <c r="A3488" t="s">
        <v>6989</v>
      </c>
      <c r="B3488" t="s">
        <v>6990</v>
      </c>
      <c r="C3488" t="s">
        <v>31</v>
      </c>
      <c r="D3488">
        <v>35</v>
      </c>
      <c r="E3488" t="s">
        <v>218</v>
      </c>
      <c r="F3488" t="s">
        <v>219</v>
      </c>
      <c r="G3488" t="s">
        <v>17</v>
      </c>
      <c r="H3488" s="1">
        <v>45404</v>
      </c>
    </row>
    <row r="3489" spans="1:8">
      <c r="A3489" t="s">
        <v>6991</v>
      </c>
      <c r="B3489" t="s">
        <v>6992</v>
      </c>
      <c r="C3489" t="s">
        <v>31</v>
      </c>
      <c r="D3489">
        <v>34</v>
      </c>
      <c r="E3489" t="s">
        <v>15</v>
      </c>
      <c r="F3489" t="s">
        <v>16</v>
      </c>
      <c r="G3489" t="s">
        <v>17</v>
      </c>
      <c r="H3489" s="1">
        <v>46009</v>
      </c>
    </row>
    <row r="3490" spans="1:8">
      <c r="A3490" t="s">
        <v>6993</v>
      </c>
      <c r="B3490" t="s">
        <v>6994</v>
      </c>
      <c r="C3490" t="s">
        <v>10</v>
      </c>
      <c r="D3490">
        <v>43</v>
      </c>
      <c r="E3490" t="s">
        <v>69</v>
      </c>
      <c r="F3490" t="s">
        <v>69</v>
      </c>
      <c r="G3490" t="s">
        <v>12</v>
      </c>
      <c r="H3490" s="1">
        <v>44564</v>
      </c>
    </row>
    <row r="3491" spans="1:8">
      <c r="A3491" t="s">
        <v>6995</v>
      </c>
      <c r="B3491" t="s">
        <v>6996</v>
      </c>
      <c r="C3491" t="s">
        <v>10</v>
      </c>
      <c r="D3491">
        <v>54</v>
      </c>
      <c r="E3491" t="s">
        <v>134</v>
      </c>
      <c r="F3491" t="s">
        <v>28</v>
      </c>
      <c r="G3491" t="s">
        <v>12</v>
      </c>
      <c r="H3491" s="1">
        <v>45977</v>
      </c>
    </row>
    <row r="3492" spans="1:8">
      <c r="A3492" t="s">
        <v>6997</v>
      </c>
      <c r="B3492" t="s">
        <v>6998</v>
      </c>
      <c r="C3492" t="s">
        <v>10</v>
      </c>
      <c r="D3492">
        <v>26</v>
      </c>
      <c r="E3492" t="s">
        <v>218</v>
      </c>
      <c r="F3492" t="s">
        <v>219</v>
      </c>
      <c r="G3492" t="s">
        <v>17</v>
      </c>
      <c r="H3492" s="1">
        <v>44807</v>
      </c>
    </row>
    <row r="3493" spans="1:8">
      <c r="A3493" t="s">
        <v>6999</v>
      </c>
      <c r="B3493" t="s">
        <v>7000</v>
      </c>
      <c r="C3493" t="s">
        <v>10</v>
      </c>
      <c r="D3493">
        <v>64</v>
      </c>
      <c r="E3493" t="s">
        <v>63</v>
      </c>
      <c r="F3493" t="s">
        <v>64</v>
      </c>
      <c r="G3493" t="s">
        <v>12</v>
      </c>
      <c r="H3493" s="1">
        <v>45073</v>
      </c>
    </row>
    <row r="3494" spans="1:8">
      <c r="A3494" t="s">
        <v>7001</v>
      </c>
      <c r="B3494" t="s">
        <v>7002</v>
      </c>
      <c r="C3494" t="s">
        <v>10</v>
      </c>
      <c r="D3494">
        <v>35</v>
      </c>
      <c r="E3494" t="s">
        <v>41</v>
      </c>
      <c r="F3494" t="s">
        <v>42</v>
      </c>
      <c r="G3494" t="s">
        <v>17</v>
      </c>
      <c r="H3494" s="1">
        <v>44834</v>
      </c>
    </row>
    <row r="3495" spans="1:8">
      <c r="A3495" t="s">
        <v>7003</v>
      </c>
      <c r="B3495" t="s">
        <v>7004</v>
      </c>
      <c r="C3495" t="s">
        <v>10</v>
      </c>
      <c r="D3495">
        <v>63</v>
      </c>
      <c r="E3495" t="s">
        <v>128</v>
      </c>
      <c r="F3495" t="s">
        <v>129</v>
      </c>
      <c r="G3495" t="s">
        <v>78</v>
      </c>
      <c r="H3495" s="1">
        <v>44567</v>
      </c>
    </row>
    <row r="3496" spans="1:8">
      <c r="A3496" t="s">
        <v>7005</v>
      </c>
      <c r="B3496" t="s">
        <v>7006</v>
      </c>
      <c r="C3496" t="s">
        <v>10</v>
      </c>
      <c r="D3496">
        <v>39</v>
      </c>
      <c r="E3496" t="s">
        <v>15</v>
      </c>
      <c r="F3496" t="s">
        <v>16</v>
      </c>
      <c r="G3496" t="s">
        <v>17</v>
      </c>
      <c r="H3496" s="1">
        <v>45408</v>
      </c>
    </row>
    <row r="3497" spans="1:8">
      <c r="A3497" t="s">
        <v>7007</v>
      </c>
      <c r="B3497" t="s">
        <v>7008</v>
      </c>
      <c r="C3497" t="s">
        <v>10</v>
      </c>
      <c r="D3497">
        <v>41</v>
      </c>
      <c r="E3497" t="s">
        <v>34</v>
      </c>
      <c r="F3497" t="s">
        <v>16</v>
      </c>
      <c r="G3497" t="s">
        <v>17</v>
      </c>
      <c r="H3497" s="1">
        <v>44863</v>
      </c>
    </row>
    <row r="3498" spans="1:8">
      <c r="A3498" t="s">
        <v>7009</v>
      </c>
      <c r="B3498" t="s">
        <v>7010</v>
      </c>
      <c r="C3498" t="s">
        <v>31</v>
      </c>
      <c r="D3498">
        <v>46</v>
      </c>
      <c r="E3498" t="s">
        <v>149</v>
      </c>
      <c r="F3498" t="s">
        <v>38</v>
      </c>
      <c r="G3498" t="s">
        <v>22</v>
      </c>
      <c r="H3498" s="1">
        <v>45337</v>
      </c>
    </row>
    <row r="3499" spans="1:8">
      <c r="A3499" t="s">
        <v>7011</v>
      </c>
      <c r="B3499" t="s">
        <v>7012</v>
      </c>
      <c r="C3499" t="s">
        <v>31</v>
      </c>
      <c r="D3499">
        <v>40</v>
      </c>
      <c r="E3499" t="s">
        <v>63</v>
      </c>
      <c r="F3499" t="s">
        <v>64</v>
      </c>
      <c r="G3499" t="s">
        <v>12</v>
      </c>
      <c r="H3499" s="1">
        <v>44985</v>
      </c>
    </row>
    <row r="3500" spans="1:8">
      <c r="A3500" t="s">
        <v>7013</v>
      </c>
      <c r="B3500" t="s">
        <v>7014</v>
      </c>
      <c r="C3500" t="s">
        <v>31</v>
      </c>
      <c r="D3500">
        <v>35</v>
      </c>
      <c r="E3500" t="s">
        <v>34</v>
      </c>
      <c r="F3500" t="s">
        <v>16</v>
      </c>
      <c r="G3500" t="s">
        <v>17</v>
      </c>
      <c r="H3500" s="1">
        <v>45565</v>
      </c>
    </row>
    <row r="3501" spans="1:8">
      <c r="A3501" t="s">
        <v>7015</v>
      </c>
      <c r="B3501" t="s">
        <v>7016</v>
      </c>
      <c r="C3501" t="s">
        <v>31</v>
      </c>
      <c r="D3501">
        <v>47</v>
      </c>
      <c r="E3501" t="s">
        <v>37</v>
      </c>
      <c r="F3501" t="s">
        <v>38</v>
      </c>
      <c r="G3501" t="s">
        <v>22</v>
      </c>
      <c r="H3501" s="1">
        <v>44568</v>
      </c>
    </row>
    <row r="3502" spans="1:8">
      <c r="A3502" t="s">
        <v>7017</v>
      </c>
      <c r="B3502" t="s">
        <v>7018</v>
      </c>
      <c r="C3502" t="s">
        <v>31</v>
      </c>
      <c r="D3502">
        <v>31</v>
      </c>
      <c r="E3502" t="s">
        <v>15</v>
      </c>
      <c r="F3502" t="s">
        <v>16</v>
      </c>
      <c r="G3502" t="s">
        <v>17</v>
      </c>
      <c r="H3502" s="1">
        <v>45501</v>
      </c>
    </row>
    <row r="3503" spans="1:8">
      <c r="A3503" t="s">
        <v>7019</v>
      </c>
      <c r="B3503" t="s">
        <v>7020</v>
      </c>
      <c r="C3503" t="s">
        <v>31</v>
      </c>
      <c r="D3503">
        <v>35</v>
      </c>
      <c r="E3503" t="s">
        <v>37</v>
      </c>
      <c r="F3503" t="s">
        <v>38</v>
      </c>
      <c r="G3503" t="s">
        <v>22</v>
      </c>
      <c r="H3503" s="1">
        <v>44850</v>
      </c>
    </row>
    <row r="3504" spans="1:8">
      <c r="A3504" t="s">
        <v>7021</v>
      </c>
      <c r="B3504" t="s">
        <v>7022</v>
      </c>
      <c r="C3504" t="s">
        <v>10</v>
      </c>
      <c r="D3504">
        <v>55</v>
      </c>
      <c r="E3504" t="s">
        <v>15</v>
      </c>
      <c r="F3504" t="s">
        <v>16</v>
      </c>
      <c r="G3504" t="s">
        <v>17</v>
      </c>
      <c r="H3504" s="1">
        <v>45531</v>
      </c>
    </row>
    <row r="3505" spans="1:8">
      <c r="A3505" t="s">
        <v>7023</v>
      </c>
      <c r="B3505" t="s">
        <v>7024</v>
      </c>
      <c r="C3505" t="s">
        <v>10</v>
      </c>
      <c r="D3505">
        <v>46</v>
      </c>
      <c r="E3505" t="s">
        <v>37</v>
      </c>
      <c r="F3505" t="s">
        <v>38</v>
      </c>
      <c r="G3505" t="s">
        <v>22</v>
      </c>
      <c r="H3505" s="1">
        <v>45881</v>
      </c>
    </row>
    <row r="3506" spans="1:8">
      <c r="A3506" t="s">
        <v>7025</v>
      </c>
      <c r="B3506" t="s">
        <v>7026</v>
      </c>
      <c r="C3506" t="s">
        <v>31</v>
      </c>
      <c r="D3506">
        <v>35</v>
      </c>
      <c r="E3506" t="s">
        <v>45</v>
      </c>
      <c r="F3506" t="s">
        <v>46</v>
      </c>
      <c r="G3506" t="s">
        <v>17</v>
      </c>
      <c r="H3506" s="1">
        <v>45538</v>
      </c>
    </row>
    <row r="3507" spans="1:8">
      <c r="A3507" t="s">
        <v>7027</v>
      </c>
      <c r="B3507" t="s">
        <v>7028</v>
      </c>
      <c r="C3507" t="s">
        <v>10</v>
      </c>
      <c r="D3507">
        <v>19</v>
      </c>
      <c r="E3507" t="s">
        <v>34</v>
      </c>
      <c r="F3507" t="s">
        <v>16</v>
      </c>
      <c r="G3507" t="s">
        <v>17</v>
      </c>
      <c r="H3507" s="1">
        <v>45459</v>
      </c>
    </row>
    <row r="3508" spans="1:8">
      <c r="A3508" t="s">
        <v>7029</v>
      </c>
      <c r="B3508" t="s">
        <v>7030</v>
      </c>
      <c r="C3508" t="s">
        <v>10</v>
      </c>
      <c r="D3508">
        <v>53</v>
      </c>
      <c r="E3508" t="s">
        <v>69</v>
      </c>
      <c r="F3508" t="s">
        <v>69</v>
      </c>
      <c r="G3508" t="s">
        <v>12</v>
      </c>
      <c r="H3508" s="1">
        <v>45349</v>
      </c>
    </row>
    <row r="3509" spans="1:8">
      <c r="A3509" t="s">
        <v>7031</v>
      </c>
      <c r="B3509" t="s">
        <v>7032</v>
      </c>
      <c r="C3509" t="s">
        <v>31</v>
      </c>
      <c r="D3509">
        <v>64</v>
      </c>
      <c r="E3509" t="s">
        <v>101</v>
      </c>
      <c r="F3509" t="s">
        <v>21</v>
      </c>
      <c r="G3509" t="s">
        <v>22</v>
      </c>
      <c r="H3509" s="1">
        <v>44786</v>
      </c>
    </row>
    <row r="3510" spans="1:8">
      <c r="A3510" t="s">
        <v>7033</v>
      </c>
      <c r="B3510" t="s">
        <v>7034</v>
      </c>
      <c r="C3510" t="s">
        <v>10</v>
      </c>
      <c r="D3510">
        <v>35</v>
      </c>
      <c r="E3510" t="s">
        <v>37</v>
      </c>
      <c r="F3510" t="s">
        <v>38</v>
      </c>
      <c r="G3510" t="s">
        <v>22</v>
      </c>
      <c r="H3510" s="1">
        <v>45974</v>
      </c>
    </row>
    <row r="3511" spans="1:8">
      <c r="A3511" t="s">
        <v>7035</v>
      </c>
      <c r="B3511" t="s">
        <v>7036</v>
      </c>
      <c r="C3511" t="s">
        <v>31</v>
      </c>
      <c r="D3511">
        <v>19</v>
      </c>
      <c r="E3511" t="s">
        <v>128</v>
      </c>
      <c r="F3511" t="s">
        <v>129</v>
      </c>
      <c r="G3511" t="s">
        <v>78</v>
      </c>
      <c r="H3511" s="1">
        <v>45197</v>
      </c>
    </row>
    <row r="3512" spans="1:8">
      <c r="A3512" t="s">
        <v>7037</v>
      </c>
      <c r="B3512" t="s">
        <v>7038</v>
      </c>
      <c r="C3512" t="s">
        <v>31</v>
      </c>
      <c r="D3512">
        <v>34</v>
      </c>
      <c r="E3512" t="s">
        <v>15</v>
      </c>
      <c r="F3512" t="s">
        <v>16</v>
      </c>
      <c r="G3512" t="s">
        <v>17</v>
      </c>
      <c r="H3512" s="1">
        <v>45056</v>
      </c>
    </row>
    <row r="3513" spans="1:8">
      <c r="A3513" t="s">
        <v>7039</v>
      </c>
      <c r="B3513" t="s">
        <v>7040</v>
      </c>
      <c r="C3513" t="s">
        <v>10</v>
      </c>
      <c r="D3513">
        <v>58</v>
      </c>
      <c r="E3513" t="s">
        <v>27</v>
      </c>
      <c r="F3513" t="s">
        <v>28</v>
      </c>
      <c r="G3513" t="s">
        <v>12</v>
      </c>
      <c r="H3513" s="1">
        <v>45818</v>
      </c>
    </row>
    <row r="3514" spans="1:8">
      <c r="A3514" t="s">
        <v>7041</v>
      </c>
      <c r="B3514" t="s">
        <v>7042</v>
      </c>
      <c r="C3514" t="s">
        <v>10</v>
      </c>
      <c r="D3514">
        <v>19</v>
      </c>
      <c r="E3514" t="s">
        <v>60</v>
      </c>
      <c r="F3514" t="s">
        <v>21</v>
      </c>
      <c r="G3514" t="s">
        <v>22</v>
      </c>
      <c r="H3514" s="1">
        <v>44568</v>
      </c>
    </row>
    <row r="3515" spans="1:8">
      <c r="A3515" t="s">
        <v>7043</v>
      </c>
      <c r="B3515" t="s">
        <v>7044</v>
      </c>
      <c r="C3515" t="s">
        <v>31</v>
      </c>
      <c r="D3515">
        <v>18</v>
      </c>
      <c r="E3515" t="s">
        <v>60</v>
      </c>
      <c r="F3515" t="s">
        <v>21</v>
      </c>
      <c r="G3515" t="s">
        <v>22</v>
      </c>
      <c r="H3515" s="1">
        <v>45421</v>
      </c>
    </row>
    <row r="3516" spans="1:8">
      <c r="A3516" t="s">
        <v>7045</v>
      </c>
      <c r="B3516" t="s">
        <v>7046</v>
      </c>
      <c r="C3516" t="s">
        <v>31</v>
      </c>
      <c r="D3516">
        <v>64</v>
      </c>
      <c r="E3516" t="s">
        <v>101</v>
      </c>
      <c r="F3516" t="s">
        <v>21</v>
      </c>
      <c r="G3516" t="s">
        <v>22</v>
      </c>
      <c r="H3516" s="1">
        <v>44784</v>
      </c>
    </row>
    <row r="3517" spans="1:8">
      <c r="A3517" t="s">
        <v>7047</v>
      </c>
      <c r="B3517" t="s">
        <v>7048</v>
      </c>
      <c r="C3517" t="s">
        <v>31</v>
      </c>
      <c r="D3517">
        <v>55</v>
      </c>
      <c r="E3517" t="s">
        <v>134</v>
      </c>
      <c r="F3517" t="s">
        <v>28</v>
      </c>
      <c r="G3517" t="s">
        <v>12</v>
      </c>
      <c r="H3517" s="1">
        <v>45987</v>
      </c>
    </row>
    <row r="3518" spans="1:8">
      <c r="A3518" t="s">
        <v>7049</v>
      </c>
      <c r="B3518" t="s">
        <v>7050</v>
      </c>
      <c r="C3518" t="s">
        <v>31</v>
      </c>
      <c r="D3518">
        <v>24</v>
      </c>
      <c r="E3518" t="s">
        <v>41</v>
      </c>
      <c r="F3518" t="s">
        <v>42</v>
      </c>
      <c r="G3518" t="s">
        <v>17</v>
      </c>
      <c r="H3518" s="1">
        <v>45933</v>
      </c>
    </row>
    <row r="3519" spans="1:8">
      <c r="A3519" t="s">
        <v>7051</v>
      </c>
      <c r="B3519" t="s">
        <v>7052</v>
      </c>
      <c r="C3519" t="s">
        <v>10</v>
      </c>
      <c r="D3519">
        <v>38</v>
      </c>
      <c r="E3519" t="s">
        <v>60</v>
      </c>
      <c r="F3519" t="s">
        <v>21</v>
      </c>
      <c r="G3519" t="s">
        <v>22</v>
      </c>
      <c r="H3519" s="1">
        <v>44963</v>
      </c>
    </row>
    <row r="3520" spans="1:8">
      <c r="A3520" t="s">
        <v>7053</v>
      </c>
      <c r="B3520" t="s">
        <v>7054</v>
      </c>
      <c r="C3520" t="s">
        <v>31</v>
      </c>
      <c r="D3520">
        <v>66</v>
      </c>
      <c r="E3520" t="s">
        <v>45</v>
      </c>
      <c r="F3520" t="s">
        <v>46</v>
      </c>
      <c r="G3520" t="s">
        <v>17</v>
      </c>
      <c r="H3520" s="1">
        <v>45292</v>
      </c>
    </row>
    <row r="3521" spans="1:8">
      <c r="A3521" t="s">
        <v>7055</v>
      </c>
      <c r="B3521" t="s">
        <v>7056</v>
      </c>
      <c r="C3521" t="s">
        <v>10</v>
      </c>
      <c r="D3521">
        <v>45</v>
      </c>
      <c r="E3521" t="s">
        <v>45</v>
      </c>
      <c r="F3521" t="s">
        <v>46</v>
      </c>
      <c r="G3521" t="s">
        <v>17</v>
      </c>
      <c r="H3521" s="1">
        <v>45571</v>
      </c>
    </row>
    <row r="3522" spans="1:8">
      <c r="A3522" t="s">
        <v>7057</v>
      </c>
      <c r="B3522" t="s">
        <v>7058</v>
      </c>
      <c r="C3522" t="s">
        <v>10</v>
      </c>
      <c r="D3522">
        <v>24</v>
      </c>
      <c r="E3522" t="s">
        <v>87</v>
      </c>
      <c r="F3522" t="s">
        <v>88</v>
      </c>
      <c r="G3522" t="s">
        <v>78</v>
      </c>
      <c r="H3522" s="1">
        <v>45974</v>
      </c>
    </row>
    <row r="3523" spans="1:8">
      <c r="A3523" t="s">
        <v>7059</v>
      </c>
      <c r="B3523" t="s">
        <v>7060</v>
      </c>
      <c r="C3523" t="s">
        <v>31</v>
      </c>
      <c r="D3523">
        <v>20</v>
      </c>
      <c r="E3523" t="s">
        <v>101</v>
      </c>
      <c r="F3523" t="s">
        <v>21</v>
      </c>
      <c r="G3523" t="s">
        <v>22</v>
      </c>
      <c r="H3523" s="1">
        <v>45035</v>
      </c>
    </row>
    <row r="3524" spans="1:8">
      <c r="A3524" t="s">
        <v>7061</v>
      </c>
      <c r="B3524" t="s">
        <v>7062</v>
      </c>
      <c r="C3524" t="s">
        <v>10</v>
      </c>
      <c r="D3524">
        <v>24</v>
      </c>
      <c r="E3524" t="s">
        <v>41</v>
      </c>
      <c r="F3524" t="s">
        <v>42</v>
      </c>
      <c r="G3524" t="s">
        <v>17</v>
      </c>
      <c r="H3524" s="1">
        <v>45657</v>
      </c>
    </row>
    <row r="3525" spans="1:8">
      <c r="A3525" t="s">
        <v>7063</v>
      </c>
      <c r="B3525" t="s">
        <v>7064</v>
      </c>
      <c r="C3525" t="s">
        <v>10</v>
      </c>
      <c r="D3525">
        <v>32</v>
      </c>
      <c r="E3525" t="s">
        <v>27</v>
      </c>
      <c r="F3525" t="s">
        <v>28</v>
      </c>
      <c r="G3525" t="s">
        <v>12</v>
      </c>
      <c r="H3525" s="1">
        <v>45465</v>
      </c>
    </row>
    <row r="3526" spans="1:8">
      <c r="A3526" t="s">
        <v>7065</v>
      </c>
      <c r="B3526" t="s">
        <v>7066</v>
      </c>
      <c r="C3526" t="s">
        <v>10</v>
      </c>
      <c r="D3526">
        <v>20</v>
      </c>
      <c r="E3526" t="s">
        <v>63</v>
      </c>
      <c r="F3526" t="s">
        <v>64</v>
      </c>
      <c r="G3526" t="s">
        <v>12</v>
      </c>
      <c r="H3526" s="1">
        <v>45321</v>
      </c>
    </row>
    <row r="3527" spans="1:8">
      <c r="A3527" t="s">
        <v>7067</v>
      </c>
      <c r="B3527" t="s">
        <v>7068</v>
      </c>
      <c r="C3527" t="s">
        <v>10</v>
      </c>
      <c r="D3527">
        <v>35</v>
      </c>
      <c r="E3527" t="s">
        <v>218</v>
      </c>
      <c r="F3527" t="s">
        <v>219</v>
      </c>
      <c r="G3527" t="s">
        <v>17</v>
      </c>
      <c r="H3527" s="1">
        <v>45399</v>
      </c>
    </row>
    <row r="3528" spans="1:8">
      <c r="A3528" t="s">
        <v>7069</v>
      </c>
      <c r="B3528" t="s">
        <v>7070</v>
      </c>
      <c r="C3528" t="s">
        <v>10</v>
      </c>
      <c r="D3528">
        <v>39</v>
      </c>
      <c r="E3528" t="s">
        <v>69</v>
      </c>
      <c r="F3528" t="s">
        <v>69</v>
      </c>
      <c r="G3528" t="s">
        <v>12</v>
      </c>
      <c r="H3528" s="1">
        <v>44990</v>
      </c>
    </row>
    <row r="3529" spans="1:8">
      <c r="A3529" t="s">
        <v>7071</v>
      </c>
      <c r="B3529" t="s">
        <v>7072</v>
      </c>
      <c r="C3529" t="s">
        <v>10</v>
      </c>
      <c r="D3529">
        <v>69</v>
      </c>
      <c r="E3529" t="s">
        <v>128</v>
      </c>
      <c r="F3529" t="s">
        <v>129</v>
      </c>
      <c r="G3529" t="s">
        <v>78</v>
      </c>
      <c r="H3529" s="1">
        <v>44805</v>
      </c>
    </row>
    <row r="3530" spans="1:8">
      <c r="A3530" t="s">
        <v>7073</v>
      </c>
      <c r="B3530" t="s">
        <v>7074</v>
      </c>
      <c r="C3530" t="s">
        <v>10</v>
      </c>
      <c r="D3530">
        <v>20</v>
      </c>
      <c r="E3530" t="s">
        <v>218</v>
      </c>
      <c r="F3530" t="s">
        <v>219</v>
      </c>
      <c r="G3530" t="s">
        <v>17</v>
      </c>
      <c r="H3530" s="1">
        <v>45661</v>
      </c>
    </row>
    <row r="3531" spans="1:8">
      <c r="A3531" t="s">
        <v>7075</v>
      </c>
      <c r="B3531" t="s">
        <v>7076</v>
      </c>
      <c r="C3531" t="s">
        <v>10</v>
      </c>
      <c r="D3531">
        <v>60</v>
      </c>
      <c r="E3531" t="s">
        <v>37</v>
      </c>
      <c r="F3531" t="s">
        <v>38</v>
      </c>
      <c r="G3531" t="s">
        <v>22</v>
      </c>
      <c r="H3531" s="1">
        <v>45670</v>
      </c>
    </row>
    <row r="3532" spans="1:8">
      <c r="A3532" t="s">
        <v>7077</v>
      </c>
      <c r="B3532" t="s">
        <v>7078</v>
      </c>
      <c r="C3532" t="s">
        <v>10</v>
      </c>
      <c r="D3532">
        <v>68</v>
      </c>
      <c r="E3532" t="s">
        <v>11</v>
      </c>
      <c r="F3532" t="s">
        <v>11</v>
      </c>
      <c r="G3532" t="s">
        <v>12</v>
      </c>
      <c r="H3532" s="1">
        <v>45564</v>
      </c>
    </row>
    <row r="3533" spans="1:8">
      <c r="A3533" t="s">
        <v>7079</v>
      </c>
      <c r="B3533" t="s">
        <v>7080</v>
      </c>
      <c r="C3533" t="s">
        <v>10</v>
      </c>
      <c r="D3533">
        <v>50</v>
      </c>
      <c r="E3533" t="s">
        <v>37</v>
      </c>
      <c r="F3533" t="s">
        <v>38</v>
      </c>
      <c r="G3533" t="s">
        <v>22</v>
      </c>
      <c r="H3533" s="1">
        <v>44766</v>
      </c>
    </row>
    <row r="3534" spans="1:8">
      <c r="A3534" t="s">
        <v>7081</v>
      </c>
      <c r="B3534" t="s">
        <v>7082</v>
      </c>
      <c r="C3534" t="s">
        <v>10</v>
      </c>
      <c r="D3534">
        <v>45</v>
      </c>
      <c r="E3534" t="s">
        <v>27</v>
      </c>
      <c r="F3534" t="s">
        <v>28</v>
      </c>
      <c r="G3534" t="s">
        <v>12</v>
      </c>
      <c r="H3534" s="1">
        <v>45130</v>
      </c>
    </row>
    <row r="3535" spans="1:8">
      <c r="A3535" t="s">
        <v>7083</v>
      </c>
      <c r="B3535" t="s">
        <v>7084</v>
      </c>
      <c r="C3535" t="s">
        <v>10</v>
      </c>
      <c r="D3535">
        <v>19</v>
      </c>
      <c r="E3535" t="s">
        <v>134</v>
      </c>
      <c r="F3535" t="s">
        <v>28</v>
      </c>
      <c r="G3535" t="s">
        <v>12</v>
      </c>
      <c r="H3535" s="1">
        <v>45488</v>
      </c>
    </row>
    <row r="3536" spans="1:8">
      <c r="A3536" t="s">
        <v>7085</v>
      </c>
      <c r="B3536" t="s">
        <v>7086</v>
      </c>
      <c r="C3536" t="s">
        <v>31</v>
      </c>
      <c r="D3536">
        <v>30</v>
      </c>
      <c r="E3536" t="s">
        <v>27</v>
      </c>
      <c r="F3536" t="s">
        <v>28</v>
      </c>
      <c r="G3536" t="s">
        <v>12</v>
      </c>
      <c r="H3536" s="1">
        <v>44605</v>
      </c>
    </row>
    <row r="3537" spans="1:8">
      <c r="A3537" t="s">
        <v>7087</v>
      </c>
      <c r="B3537" t="s">
        <v>7088</v>
      </c>
      <c r="C3537" t="s">
        <v>10</v>
      </c>
      <c r="D3537">
        <v>64</v>
      </c>
      <c r="E3537" t="s">
        <v>34</v>
      </c>
      <c r="F3537" t="s">
        <v>16</v>
      </c>
      <c r="G3537" t="s">
        <v>17</v>
      </c>
      <c r="H3537" s="1">
        <v>45041</v>
      </c>
    </row>
    <row r="3538" spans="1:8">
      <c r="A3538" t="s">
        <v>7089</v>
      </c>
      <c r="B3538" t="s">
        <v>7090</v>
      </c>
      <c r="C3538" t="s">
        <v>10</v>
      </c>
      <c r="D3538">
        <v>36</v>
      </c>
      <c r="E3538" t="s">
        <v>34</v>
      </c>
      <c r="F3538" t="s">
        <v>16</v>
      </c>
      <c r="G3538" t="s">
        <v>17</v>
      </c>
      <c r="H3538" s="1">
        <v>44966</v>
      </c>
    </row>
    <row r="3539" spans="1:8">
      <c r="A3539" t="s">
        <v>7091</v>
      </c>
      <c r="B3539" t="s">
        <v>7092</v>
      </c>
      <c r="C3539" t="s">
        <v>10</v>
      </c>
      <c r="D3539">
        <v>20</v>
      </c>
      <c r="E3539" t="s">
        <v>149</v>
      </c>
      <c r="F3539" t="s">
        <v>38</v>
      </c>
      <c r="G3539" t="s">
        <v>22</v>
      </c>
      <c r="H3539" s="1">
        <v>45024</v>
      </c>
    </row>
    <row r="3540" spans="1:8">
      <c r="A3540" t="s">
        <v>7093</v>
      </c>
      <c r="B3540" t="s">
        <v>7094</v>
      </c>
      <c r="C3540" t="s">
        <v>31</v>
      </c>
      <c r="D3540">
        <v>61</v>
      </c>
      <c r="E3540" t="s">
        <v>34</v>
      </c>
      <c r="F3540" t="s">
        <v>16</v>
      </c>
      <c r="G3540" t="s">
        <v>17</v>
      </c>
      <c r="H3540" s="1">
        <v>45312</v>
      </c>
    </row>
    <row r="3541" spans="1:8">
      <c r="A3541" t="s">
        <v>7095</v>
      </c>
      <c r="B3541" t="s">
        <v>7096</v>
      </c>
      <c r="C3541" t="s">
        <v>31</v>
      </c>
      <c r="D3541">
        <v>42</v>
      </c>
      <c r="E3541" t="s">
        <v>20</v>
      </c>
      <c r="F3541" t="s">
        <v>21</v>
      </c>
      <c r="G3541" t="s">
        <v>22</v>
      </c>
      <c r="H3541" s="1">
        <v>44887</v>
      </c>
    </row>
    <row r="3542" spans="1:8">
      <c r="A3542" t="s">
        <v>7097</v>
      </c>
      <c r="B3542" t="s">
        <v>7098</v>
      </c>
      <c r="C3542" t="s">
        <v>10</v>
      </c>
      <c r="D3542">
        <v>61</v>
      </c>
      <c r="E3542" t="s">
        <v>45</v>
      </c>
      <c r="F3542" t="s">
        <v>46</v>
      </c>
      <c r="G3542" t="s">
        <v>17</v>
      </c>
      <c r="H3542" s="1">
        <v>44633</v>
      </c>
    </row>
    <row r="3543" spans="1:8">
      <c r="A3543" t="s">
        <v>7099</v>
      </c>
      <c r="B3543" t="s">
        <v>7100</v>
      </c>
      <c r="C3543" t="s">
        <v>10</v>
      </c>
      <c r="D3543">
        <v>66</v>
      </c>
      <c r="E3543" t="s">
        <v>112</v>
      </c>
      <c r="F3543" t="s">
        <v>113</v>
      </c>
      <c r="G3543" t="s">
        <v>78</v>
      </c>
      <c r="H3543" s="1">
        <v>44784</v>
      </c>
    </row>
    <row r="3544" spans="1:8">
      <c r="A3544" t="s">
        <v>7101</v>
      </c>
      <c r="B3544" t="s">
        <v>7102</v>
      </c>
      <c r="C3544" t="s">
        <v>31</v>
      </c>
      <c r="D3544">
        <v>24</v>
      </c>
      <c r="E3544" t="s">
        <v>15</v>
      </c>
      <c r="F3544" t="s">
        <v>16</v>
      </c>
      <c r="G3544" t="s">
        <v>17</v>
      </c>
      <c r="H3544" s="1">
        <v>44876</v>
      </c>
    </row>
    <row r="3545" spans="1:8">
      <c r="A3545" t="s">
        <v>7103</v>
      </c>
      <c r="B3545" t="s">
        <v>7104</v>
      </c>
      <c r="C3545" t="s">
        <v>31</v>
      </c>
      <c r="D3545">
        <v>46</v>
      </c>
      <c r="E3545" t="s">
        <v>101</v>
      </c>
      <c r="F3545" t="s">
        <v>21</v>
      </c>
      <c r="G3545" t="s">
        <v>22</v>
      </c>
      <c r="H3545" s="1">
        <v>45107</v>
      </c>
    </row>
    <row r="3546" spans="1:8">
      <c r="A3546" t="s">
        <v>7105</v>
      </c>
      <c r="B3546" t="s">
        <v>7106</v>
      </c>
      <c r="C3546" t="s">
        <v>10</v>
      </c>
      <c r="D3546">
        <v>46</v>
      </c>
      <c r="E3546" t="s">
        <v>218</v>
      </c>
      <c r="F3546" t="s">
        <v>219</v>
      </c>
      <c r="G3546" t="s">
        <v>17</v>
      </c>
      <c r="H3546" s="1">
        <v>45653</v>
      </c>
    </row>
    <row r="3547" spans="1:8">
      <c r="A3547" t="s">
        <v>7107</v>
      </c>
      <c r="B3547" t="s">
        <v>7108</v>
      </c>
      <c r="C3547" t="s">
        <v>31</v>
      </c>
      <c r="D3547">
        <v>38</v>
      </c>
      <c r="E3547" t="s">
        <v>60</v>
      </c>
      <c r="F3547" t="s">
        <v>21</v>
      </c>
      <c r="G3547" t="s">
        <v>22</v>
      </c>
      <c r="H3547" s="1">
        <v>45473</v>
      </c>
    </row>
    <row r="3548" spans="1:8">
      <c r="A3548" t="s">
        <v>7109</v>
      </c>
      <c r="B3548" t="s">
        <v>7110</v>
      </c>
      <c r="C3548" t="s">
        <v>10</v>
      </c>
      <c r="D3548">
        <v>43</v>
      </c>
      <c r="E3548" t="s">
        <v>34</v>
      </c>
      <c r="F3548" t="s">
        <v>16</v>
      </c>
      <c r="G3548" t="s">
        <v>17</v>
      </c>
      <c r="H3548" s="1">
        <v>44603</v>
      </c>
    </row>
    <row r="3549" spans="1:8">
      <c r="A3549" t="s">
        <v>7111</v>
      </c>
      <c r="B3549" t="s">
        <v>7112</v>
      </c>
      <c r="C3549" t="s">
        <v>10</v>
      </c>
      <c r="D3549">
        <v>55</v>
      </c>
      <c r="E3549" t="s">
        <v>218</v>
      </c>
      <c r="F3549" t="s">
        <v>219</v>
      </c>
      <c r="G3549" t="s">
        <v>17</v>
      </c>
      <c r="H3549" s="1">
        <v>45514</v>
      </c>
    </row>
    <row r="3550" spans="1:8">
      <c r="A3550" t="s">
        <v>7113</v>
      </c>
      <c r="B3550" t="s">
        <v>7114</v>
      </c>
      <c r="C3550" t="s">
        <v>10</v>
      </c>
      <c r="D3550">
        <v>65</v>
      </c>
      <c r="E3550" t="s">
        <v>34</v>
      </c>
      <c r="F3550" t="s">
        <v>16</v>
      </c>
      <c r="G3550" t="s">
        <v>17</v>
      </c>
      <c r="H3550" s="1">
        <v>44672</v>
      </c>
    </row>
    <row r="3551" spans="1:8">
      <c r="A3551" t="s">
        <v>7115</v>
      </c>
      <c r="B3551" t="s">
        <v>7116</v>
      </c>
      <c r="C3551" t="s">
        <v>31</v>
      </c>
      <c r="D3551">
        <v>43</v>
      </c>
      <c r="E3551" t="s">
        <v>11</v>
      </c>
      <c r="F3551" t="s">
        <v>11</v>
      </c>
      <c r="G3551" t="s">
        <v>12</v>
      </c>
      <c r="H3551" s="1">
        <v>45709</v>
      </c>
    </row>
    <row r="3552" spans="1:8">
      <c r="A3552" t="s">
        <v>7117</v>
      </c>
      <c r="B3552" t="s">
        <v>7118</v>
      </c>
      <c r="C3552" t="s">
        <v>10</v>
      </c>
      <c r="D3552">
        <v>21</v>
      </c>
      <c r="E3552" t="s">
        <v>128</v>
      </c>
      <c r="F3552" t="s">
        <v>129</v>
      </c>
      <c r="G3552" t="s">
        <v>78</v>
      </c>
      <c r="H3552" s="1">
        <v>46021</v>
      </c>
    </row>
    <row r="3553" spans="1:8">
      <c r="A3553" t="s">
        <v>7119</v>
      </c>
      <c r="B3553" t="s">
        <v>7120</v>
      </c>
      <c r="C3553" t="s">
        <v>10</v>
      </c>
      <c r="D3553">
        <v>33</v>
      </c>
      <c r="E3553" t="s">
        <v>60</v>
      </c>
      <c r="F3553" t="s">
        <v>21</v>
      </c>
      <c r="G3553" t="s">
        <v>22</v>
      </c>
      <c r="H3553" s="1">
        <v>45036</v>
      </c>
    </row>
    <row r="3554" spans="1:8">
      <c r="A3554" t="s">
        <v>7121</v>
      </c>
      <c r="B3554" t="s">
        <v>7122</v>
      </c>
      <c r="C3554" t="s">
        <v>10</v>
      </c>
      <c r="D3554">
        <v>33</v>
      </c>
      <c r="E3554" t="s">
        <v>128</v>
      </c>
      <c r="F3554" t="s">
        <v>129</v>
      </c>
      <c r="G3554" t="s">
        <v>78</v>
      </c>
      <c r="H3554" s="1">
        <v>45804</v>
      </c>
    </row>
    <row r="3555" spans="1:8">
      <c r="A3555" t="s">
        <v>7123</v>
      </c>
      <c r="B3555" t="s">
        <v>7124</v>
      </c>
      <c r="C3555" t="s">
        <v>10</v>
      </c>
      <c r="D3555">
        <v>34</v>
      </c>
      <c r="E3555" t="s">
        <v>20</v>
      </c>
      <c r="F3555" t="s">
        <v>21</v>
      </c>
      <c r="G3555" t="s">
        <v>22</v>
      </c>
      <c r="H3555" s="1">
        <v>45256</v>
      </c>
    </row>
    <row r="3556" spans="1:8">
      <c r="A3556" t="s">
        <v>7125</v>
      </c>
      <c r="B3556" t="s">
        <v>7126</v>
      </c>
      <c r="C3556" t="s">
        <v>10</v>
      </c>
      <c r="D3556">
        <v>20</v>
      </c>
      <c r="E3556" t="s">
        <v>218</v>
      </c>
      <c r="F3556" t="s">
        <v>219</v>
      </c>
      <c r="G3556" t="s">
        <v>17</v>
      </c>
      <c r="H3556" s="1">
        <v>44840</v>
      </c>
    </row>
    <row r="3557" spans="1:8">
      <c r="A3557" t="s">
        <v>7127</v>
      </c>
      <c r="B3557" t="s">
        <v>7128</v>
      </c>
      <c r="C3557" t="s">
        <v>10</v>
      </c>
      <c r="D3557">
        <v>62</v>
      </c>
      <c r="E3557" t="s">
        <v>101</v>
      </c>
      <c r="F3557" t="s">
        <v>21</v>
      </c>
      <c r="G3557" t="s">
        <v>22</v>
      </c>
      <c r="H3557" s="1">
        <v>44848</v>
      </c>
    </row>
    <row r="3558" spans="1:8">
      <c r="A3558" t="s">
        <v>7129</v>
      </c>
      <c r="B3558" t="s">
        <v>7130</v>
      </c>
      <c r="C3558" t="s">
        <v>31</v>
      </c>
      <c r="D3558">
        <v>22</v>
      </c>
      <c r="E3558" t="s">
        <v>27</v>
      </c>
      <c r="F3558" t="s">
        <v>28</v>
      </c>
      <c r="G3558" t="s">
        <v>12</v>
      </c>
      <c r="H3558" s="1">
        <v>44864</v>
      </c>
    </row>
    <row r="3559" spans="1:8">
      <c r="A3559" t="s">
        <v>7131</v>
      </c>
      <c r="B3559" t="s">
        <v>7132</v>
      </c>
      <c r="C3559" t="s">
        <v>31</v>
      </c>
      <c r="D3559">
        <v>47</v>
      </c>
      <c r="E3559" t="s">
        <v>60</v>
      </c>
      <c r="F3559" t="s">
        <v>21</v>
      </c>
      <c r="G3559" t="s">
        <v>22</v>
      </c>
      <c r="H3559" s="1">
        <v>44726</v>
      </c>
    </row>
    <row r="3560" spans="1:8">
      <c r="A3560" t="s">
        <v>7133</v>
      </c>
      <c r="B3560" t="s">
        <v>7134</v>
      </c>
      <c r="C3560" t="s">
        <v>10</v>
      </c>
      <c r="D3560">
        <v>20</v>
      </c>
      <c r="E3560" t="s">
        <v>45</v>
      </c>
      <c r="F3560" t="s">
        <v>46</v>
      </c>
      <c r="G3560" t="s">
        <v>17</v>
      </c>
      <c r="H3560" s="1">
        <v>45253</v>
      </c>
    </row>
    <row r="3561" spans="1:8">
      <c r="A3561" t="s">
        <v>7135</v>
      </c>
      <c r="B3561" t="s">
        <v>7136</v>
      </c>
      <c r="C3561" t="s">
        <v>10</v>
      </c>
      <c r="D3561">
        <v>69</v>
      </c>
      <c r="E3561" t="s">
        <v>11</v>
      </c>
      <c r="F3561" t="s">
        <v>11</v>
      </c>
      <c r="G3561" t="s">
        <v>12</v>
      </c>
      <c r="H3561" s="1">
        <v>45923</v>
      </c>
    </row>
    <row r="3562" spans="1:8">
      <c r="A3562" t="s">
        <v>7137</v>
      </c>
      <c r="B3562" t="s">
        <v>7138</v>
      </c>
      <c r="C3562" t="s">
        <v>10</v>
      </c>
      <c r="D3562">
        <v>66</v>
      </c>
      <c r="E3562" t="s">
        <v>11</v>
      </c>
      <c r="F3562" t="s">
        <v>11</v>
      </c>
      <c r="G3562" t="s">
        <v>12</v>
      </c>
      <c r="H3562" s="1">
        <v>45222</v>
      </c>
    </row>
    <row r="3563" spans="1:8">
      <c r="A3563" t="s">
        <v>7139</v>
      </c>
      <c r="B3563" t="s">
        <v>7140</v>
      </c>
      <c r="C3563" t="s">
        <v>10</v>
      </c>
      <c r="D3563">
        <v>62</v>
      </c>
      <c r="E3563" t="s">
        <v>27</v>
      </c>
      <c r="F3563" t="s">
        <v>28</v>
      </c>
      <c r="G3563" t="s">
        <v>12</v>
      </c>
      <c r="H3563" s="1">
        <v>44728</v>
      </c>
    </row>
    <row r="3564" spans="1:8">
      <c r="A3564" t="s">
        <v>7141</v>
      </c>
      <c r="B3564" t="s">
        <v>7142</v>
      </c>
      <c r="C3564" t="s">
        <v>31</v>
      </c>
      <c r="D3564">
        <v>21</v>
      </c>
      <c r="E3564" t="s">
        <v>15</v>
      </c>
      <c r="F3564" t="s">
        <v>16</v>
      </c>
      <c r="G3564" t="s">
        <v>17</v>
      </c>
      <c r="H3564" s="1">
        <v>45461</v>
      </c>
    </row>
    <row r="3565" spans="1:8">
      <c r="A3565" t="s">
        <v>7143</v>
      </c>
      <c r="B3565" t="s">
        <v>7144</v>
      </c>
      <c r="C3565" t="s">
        <v>10</v>
      </c>
      <c r="D3565">
        <v>40</v>
      </c>
      <c r="E3565" t="s">
        <v>27</v>
      </c>
      <c r="F3565" t="s">
        <v>28</v>
      </c>
      <c r="G3565" t="s">
        <v>12</v>
      </c>
      <c r="H3565" s="1">
        <v>44614</v>
      </c>
    </row>
    <row r="3566" spans="1:8">
      <c r="A3566" t="s">
        <v>7145</v>
      </c>
      <c r="B3566" t="s">
        <v>7146</v>
      </c>
      <c r="C3566" t="s">
        <v>31</v>
      </c>
      <c r="D3566">
        <v>66</v>
      </c>
      <c r="E3566" t="s">
        <v>20</v>
      </c>
      <c r="F3566" t="s">
        <v>21</v>
      </c>
      <c r="G3566" t="s">
        <v>22</v>
      </c>
      <c r="H3566" s="1">
        <v>45594</v>
      </c>
    </row>
    <row r="3567" spans="1:8">
      <c r="A3567" t="s">
        <v>7147</v>
      </c>
      <c r="B3567" t="s">
        <v>7148</v>
      </c>
      <c r="C3567" t="s">
        <v>10</v>
      </c>
      <c r="D3567">
        <v>56</v>
      </c>
      <c r="E3567" t="s">
        <v>34</v>
      </c>
      <c r="F3567" t="s">
        <v>16</v>
      </c>
      <c r="G3567" t="s">
        <v>17</v>
      </c>
      <c r="H3567" s="1">
        <v>44736</v>
      </c>
    </row>
    <row r="3568" spans="1:8">
      <c r="A3568" t="s">
        <v>7149</v>
      </c>
      <c r="B3568" t="s">
        <v>7150</v>
      </c>
      <c r="C3568" t="s">
        <v>31</v>
      </c>
      <c r="D3568">
        <v>49</v>
      </c>
      <c r="E3568" t="s">
        <v>27</v>
      </c>
      <c r="F3568" t="s">
        <v>28</v>
      </c>
      <c r="G3568" t="s">
        <v>12</v>
      </c>
      <c r="H3568" s="1">
        <v>45538</v>
      </c>
    </row>
    <row r="3569" spans="1:8">
      <c r="A3569" t="s">
        <v>7151</v>
      </c>
      <c r="B3569" t="s">
        <v>7152</v>
      </c>
      <c r="C3569" t="s">
        <v>10</v>
      </c>
      <c r="D3569">
        <v>70</v>
      </c>
      <c r="E3569" t="s">
        <v>20</v>
      </c>
      <c r="F3569" t="s">
        <v>21</v>
      </c>
      <c r="G3569" t="s">
        <v>22</v>
      </c>
      <c r="H3569" s="1">
        <v>44870</v>
      </c>
    </row>
    <row r="3570" spans="1:8">
      <c r="A3570" t="s">
        <v>7153</v>
      </c>
      <c r="B3570" t="s">
        <v>7154</v>
      </c>
      <c r="C3570" t="s">
        <v>10</v>
      </c>
      <c r="D3570">
        <v>38</v>
      </c>
      <c r="E3570" t="s">
        <v>27</v>
      </c>
      <c r="F3570" t="s">
        <v>28</v>
      </c>
      <c r="G3570" t="s">
        <v>12</v>
      </c>
      <c r="H3570" s="1">
        <v>45835</v>
      </c>
    </row>
    <row r="3571" spans="1:8">
      <c r="A3571" t="s">
        <v>7155</v>
      </c>
      <c r="B3571" t="s">
        <v>7156</v>
      </c>
      <c r="C3571" t="s">
        <v>31</v>
      </c>
      <c r="D3571">
        <v>47</v>
      </c>
      <c r="E3571" t="s">
        <v>20</v>
      </c>
      <c r="F3571" t="s">
        <v>21</v>
      </c>
      <c r="G3571" t="s">
        <v>22</v>
      </c>
      <c r="H3571" s="1">
        <v>45600</v>
      </c>
    </row>
    <row r="3572" spans="1:8">
      <c r="A3572" t="s">
        <v>7157</v>
      </c>
      <c r="B3572" t="s">
        <v>7158</v>
      </c>
      <c r="C3572" t="s">
        <v>10</v>
      </c>
      <c r="D3572">
        <v>60</v>
      </c>
      <c r="E3572" t="s">
        <v>218</v>
      </c>
      <c r="F3572" t="s">
        <v>219</v>
      </c>
      <c r="G3572" t="s">
        <v>17</v>
      </c>
      <c r="H3572" s="1">
        <v>44662</v>
      </c>
    </row>
    <row r="3573" spans="1:8">
      <c r="A3573" t="s">
        <v>7159</v>
      </c>
      <c r="B3573" t="s">
        <v>7160</v>
      </c>
      <c r="C3573" t="s">
        <v>31</v>
      </c>
      <c r="D3573">
        <v>58</v>
      </c>
      <c r="E3573" t="s">
        <v>34</v>
      </c>
      <c r="F3573" t="s">
        <v>16</v>
      </c>
      <c r="G3573" t="s">
        <v>17</v>
      </c>
      <c r="H3573" s="1">
        <v>45335</v>
      </c>
    </row>
    <row r="3574" spans="1:8">
      <c r="A3574" t="s">
        <v>7161</v>
      </c>
      <c r="B3574" t="s">
        <v>7162</v>
      </c>
      <c r="C3574" t="s">
        <v>31</v>
      </c>
      <c r="D3574">
        <v>51</v>
      </c>
      <c r="E3574" t="s">
        <v>37</v>
      </c>
      <c r="F3574" t="s">
        <v>38</v>
      </c>
      <c r="G3574" t="s">
        <v>22</v>
      </c>
      <c r="H3574" s="1">
        <v>45618</v>
      </c>
    </row>
    <row r="3575" spans="1:8">
      <c r="A3575" t="s">
        <v>7163</v>
      </c>
      <c r="B3575" t="s">
        <v>7164</v>
      </c>
      <c r="C3575" t="s">
        <v>10</v>
      </c>
      <c r="D3575">
        <v>33</v>
      </c>
      <c r="E3575" t="s">
        <v>41</v>
      </c>
      <c r="F3575" t="s">
        <v>42</v>
      </c>
      <c r="G3575" t="s">
        <v>17</v>
      </c>
      <c r="H3575" s="1">
        <v>45715</v>
      </c>
    </row>
    <row r="3576" spans="1:8">
      <c r="A3576" t="s">
        <v>7165</v>
      </c>
      <c r="B3576" t="s">
        <v>7166</v>
      </c>
      <c r="C3576" t="s">
        <v>10</v>
      </c>
      <c r="D3576">
        <v>38</v>
      </c>
      <c r="E3576" t="s">
        <v>37</v>
      </c>
      <c r="F3576" t="s">
        <v>38</v>
      </c>
      <c r="G3576" t="s">
        <v>22</v>
      </c>
      <c r="H3576" s="1">
        <v>45609</v>
      </c>
    </row>
    <row r="3577" spans="1:8">
      <c r="A3577" t="s">
        <v>7167</v>
      </c>
      <c r="B3577" t="s">
        <v>7168</v>
      </c>
      <c r="C3577" t="s">
        <v>31</v>
      </c>
      <c r="D3577">
        <v>70</v>
      </c>
      <c r="E3577" t="s">
        <v>20</v>
      </c>
      <c r="F3577" t="s">
        <v>21</v>
      </c>
      <c r="G3577" t="s">
        <v>22</v>
      </c>
      <c r="H3577" s="1">
        <v>45311</v>
      </c>
    </row>
    <row r="3578" spans="1:8">
      <c r="A3578" t="s">
        <v>7169</v>
      </c>
      <c r="B3578" t="s">
        <v>7170</v>
      </c>
      <c r="C3578" t="s">
        <v>10</v>
      </c>
      <c r="D3578">
        <v>53</v>
      </c>
      <c r="E3578" t="s">
        <v>218</v>
      </c>
      <c r="F3578" t="s">
        <v>219</v>
      </c>
      <c r="G3578" t="s">
        <v>17</v>
      </c>
      <c r="H3578" s="1">
        <v>45330</v>
      </c>
    </row>
    <row r="3579" spans="1:8">
      <c r="A3579" t="s">
        <v>7171</v>
      </c>
      <c r="B3579" t="s">
        <v>7172</v>
      </c>
      <c r="C3579" t="s">
        <v>31</v>
      </c>
      <c r="D3579">
        <v>31</v>
      </c>
      <c r="E3579" t="s">
        <v>69</v>
      </c>
      <c r="F3579" t="s">
        <v>69</v>
      </c>
      <c r="G3579" t="s">
        <v>12</v>
      </c>
      <c r="H3579" s="1">
        <v>44670</v>
      </c>
    </row>
    <row r="3580" spans="1:8">
      <c r="A3580" t="s">
        <v>7173</v>
      </c>
      <c r="B3580" t="s">
        <v>7174</v>
      </c>
      <c r="C3580" t="s">
        <v>31</v>
      </c>
      <c r="D3580">
        <v>57</v>
      </c>
      <c r="E3580" t="s">
        <v>218</v>
      </c>
      <c r="F3580" t="s">
        <v>219</v>
      </c>
      <c r="G3580" t="s">
        <v>17</v>
      </c>
      <c r="H3580" s="1">
        <v>45819</v>
      </c>
    </row>
    <row r="3581" spans="1:8">
      <c r="A3581" t="s">
        <v>7175</v>
      </c>
      <c r="B3581" t="s">
        <v>7176</v>
      </c>
      <c r="C3581" t="s">
        <v>10</v>
      </c>
      <c r="D3581">
        <v>26</v>
      </c>
      <c r="E3581" t="s">
        <v>20</v>
      </c>
      <c r="F3581" t="s">
        <v>21</v>
      </c>
      <c r="G3581" t="s">
        <v>22</v>
      </c>
      <c r="H3581" s="1">
        <v>45840</v>
      </c>
    </row>
    <row r="3582" spans="1:8">
      <c r="A3582" t="s">
        <v>7177</v>
      </c>
      <c r="B3582" t="s">
        <v>7178</v>
      </c>
      <c r="C3582" t="s">
        <v>10</v>
      </c>
      <c r="D3582">
        <v>43</v>
      </c>
      <c r="E3582" t="s">
        <v>45</v>
      </c>
      <c r="F3582" t="s">
        <v>46</v>
      </c>
      <c r="G3582" t="s">
        <v>17</v>
      </c>
      <c r="H3582" s="1">
        <v>44658</v>
      </c>
    </row>
    <row r="3583" spans="1:8">
      <c r="A3583" t="s">
        <v>7179</v>
      </c>
      <c r="B3583" t="s">
        <v>7180</v>
      </c>
      <c r="C3583" t="s">
        <v>10</v>
      </c>
      <c r="D3583">
        <v>34</v>
      </c>
      <c r="E3583" t="s">
        <v>218</v>
      </c>
      <c r="F3583" t="s">
        <v>219</v>
      </c>
      <c r="G3583" t="s">
        <v>17</v>
      </c>
      <c r="H3583" s="1">
        <v>44816</v>
      </c>
    </row>
    <row r="3584" spans="1:8">
      <c r="A3584" t="s">
        <v>7181</v>
      </c>
      <c r="B3584" t="s">
        <v>7182</v>
      </c>
      <c r="C3584" t="s">
        <v>10</v>
      </c>
      <c r="D3584">
        <v>53</v>
      </c>
      <c r="E3584" t="s">
        <v>134</v>
      </c>
      <c r="F3584" t="s">
        <v>28</v>
      </c>
      <c r="G3584" t="s">
        <v>12</v>
      </c>
      <c r="H3584" s="1">
        <v>45880</v>
      </c>
    </row>
    <row r="3585" spans="1:8">
      <c r="A3585" t="s">
        <v>7183</v>
      </c>
      <c r="B3585" t="s">
        <v>7184</v>
      </c>
      <c r="C3585" t="s">
        <v>10</v>
      </c>
      <c r="D3585">
        <v>42</v>
      </c>
      <c r="E3585" t="s">
        <v>112</v>
      </c>
      <c r="F3585" t="s">
        <v>113</v>
      </c>
      <c r="G3585" t="s">
        <v>78</v>
      </c>
      <c r="H3585" s="1">
        <v>45071</v>
      </c>
    </row>
    <row r="3586" spans="1:8">
      <c r="A3586" t="s">
        <v>7185</v>
      </c>
      <c r="B3586" t="s">
        <v>7186</v>
      </c>
      <c r="C3586" t="s">
        <v>10</v>
      </c>
      <c r="D3586">
        <v>43</v>
      </c>
      <c r="E3586" t="s">
        <v>63</v>
      </c>
      <c r="F3586" t="s">
        <v>64</v>
      </c>
      <c r="G3586" t="s">
        <v>12</v>
      </c>
      <c r="H3586" s="1">
        <v>45644</v>
      </c>
    </row>
    <row r="3587" spans="1:8">
      <c r="A3587" t="s">
        <v>7187</v>
      </c>
      <c r="B3587" t="s">
        <v>7188</v>
      </c>
      <c r="C3587" t="s">
        <v>10</v>
      </c>
      <c r="D3587">
        <v>27</v>
      </c>
      <c r="E3587" t="s">
        <v>34</v>
      </c>
      <c r="F3587" t="s">
        <v>16</v>
      </c>
      <c r="G3587" t="s">
        <v>17</v>
      </c>
      <c r="H3587" s="1">
        <v>45940</v>
      </c>
    </row>
    <row r="3588" spans="1:8">
      <c r="A3588" t="s">
        <v>7189</v>
      </c>
      <c r="B3588" t="s">
        <v>7190</v>
      </c>
      <c r="C3588" t="s">
        <v>31</v>
      </c>
      <c r="D3588">
        <v>64</v>
      </c>
      <c r="E3588" t="s">
        <v>27</v>
      </c>
      <c r="F3588" t="s">
        <v>28</v>
      </c>
      <c r="G3588" t="s">
        <v>12</v>
      </c>
      <c r="H3588" s="1">
        <v>45950</v>
      </c>
    </row>
    <row r="3589" spans="1:8">
      <c r="A3589" t="s">
        <v>7191</v>
      </c>
      <c r="B3589" t="s">
        <v>7192</v>
      </c>
      <c r="C3589" t="s">
        <v>31</v>
      </c>
      <c r="D3589">
        <v>44</v>
      </c>
      <c r="E3589" t="s">
        <v>218</v>
      </c>
      <c r="F3589" t="s">
        <v>219</v>
      </c>
      <c r="G3589" t="s">
        <v>17</v>
      </c>
      <c r="H3589" s="1">
        <v>45883</v>
      </c>
    </row>
    <row r="3590" spans="1:8">
      <c r="A3590" t="s">
        <v>7193</v>
      </c>
      <c r="B3590" t="s">
        <v>7194</v>
      </c>
      <c r="C3590" t="s">
        <v>31</v>
      </c>
      <c r="D3590">
        <v>66</v>
      </c>
      <c r="E3590" t="s">
        <v>15</v>
      </c>
      <c r="F3590" t="s">
        <v>16</v>
      </c>
      <c r="G3590" t="s">
        <v>17</v>
      </c>
      <c r="H3590" s="1">
        <v>45059</v>
      </c>
    </row>
    <row r="3591" spans="1:8">
      <c r="A3591" t="s">
        <v>7195</v>
      </c>
      <c r="B3591" t="s">
        <v>7196</v>
      </c>
      <c r="C3591" t="s">
        <v>31</v>
      </c>
      <c r="D3591">
        <v>31</v>
      </c>
      <c r="E3591" t="s">
        <v>134</v>
      </c>
      <c r="F3591" t="s">
        <v>28</v>
      </c>
      <c r="G3591" t="s">
        <v>12</v>
      </c>
      <c r="H3591" s="1">
        <v>45644</v>
      </c>
    </row>
    <row r="3592" spans="1:8">
      <c r="A3592" t="s">
        <v>7197</v>
      </c>
      <c r="B3592" t="s">
        <v>7198</v>
      </c>
      <c r="C3592" t="s">
        <v>31</v>
      </c>
      <c r="D3592">
        <v>20</v>
      </c>
      <c r="E3592" t="s">
        <v>45</v>
      </c>
      <c r="F3592" t="s">
        <v>46</v>
      </c>
      <c r="G3592" t="s">
        <v>17</v>
      </c>
      <c r="H3592" s="1">
        <v>44730</v>
      </c>
    </row>
    <row r="3593" spans="1:8">
      <c r="A3593" t="s">
        <v>7199</v>
      </c>
      <c r="B3593" t="s">
        <v>7200</v>
      </c>
      <c r="C3593" t="s">
        <v>31</v>
      </c>
      <c r="D3593">
        <v>28</v>
      </c>
      <c r="E3593" t="s">
        <v>91</v>
      </c>
      <c r="F3593" t="s">
        <v>92</v>
      </c>
      <c r="G3593" t="s">
        <v>78</v>
      </c>
      <c r="H3593" s="1">
        <v>45855</v>
      </c>
    </row>
    <row r="3594" spans="1:8">
      <c r="A3594" t="s">
        <v>7201</v>
      </c>
      <c r="B3594" t="s">
        <v>7202</v>
      </c>
      <c r="C3594" t="s">
        <v>10</v>
      </c>
      <c r="D3594">
        <v>29</v>
      </c>
      <c r="E3594" t="s">
        <v>37</v>
      </c>
      <c r="F3594" t="s">
        <v>38</v>
      </c>
      <c r="G3594" t="s">
        <v>22</v>
      </c>
      <c r="H3594" s="1">
        <v>45157</v>
      </c>
    </row>
    <row r="3595" spans="1:8">
      <c r="A3595" t="s">
        <v>7203</v>
      </c>
      <c r="B3595" t="s">
        <v>7204</v>
      </c>
      <c r="C3595" t="s">
        <v>31</v>
      </c>
      <c r="D3595">
        <v>39</v>
      </c>
      <c r="E3595" t="s">
        <v>101</v>
      </c>
      <c r="F3595" t="s">
        <v>21</v>
      </c>
      <c r="G3595" t="s">
        <v>22</v>
      </c>
      <c r="H3595" s="1">
        <v>45945</v>
      </c>
    </row>
    <row r="3596" spans="1:8">
      <c r="A3596" t="s">
        <v>7205</v>
      </c>
      <c r="B3596" t="s">
        <v>7206</v>
      </c>
      <c r="C3596" t="s">
        <v>10</v>
      </c>
      <c r="D3596">
        <v>64</v>
      </c>
      <c r="E3596" t="s">
        <v>101</v>
      </c>
      <c r="F3596" t="s">
        <v>21</v>
      </c>
      <c r="G3596" t="s">
        <v>22</v>
      </c>
      <c r="H3596" s="1">
        <v>45163</v>
      </c>
    </row>
    <row r="3597" spans="1:8">
      <c r="A3597" t="s">
        <v>7207</v>
      </c>
      <c r="B3597" t="s">
        <v>7208</v>
      </c>
      <c r="C3597" t="s">
        <v>31</v>
      </c>
      <c r="D3597">
        <v>37</v>
      </c>
      <c r="E3597" t="s">
        <v>15</v>
      </c>
      <c r="F3597" t="s">
        <v>16</v>
      </c>
      <c r="G3597" t="s">
        <v>17</v>
      </c>
      <c r="H3597" s="1">
        <v>45524</v>
      </c>
    </row>
    <row r="3598" spans="1:8">
      <c r="A3598" t="s">
        <v>7209</v>
      </c>
      <c r="B3598" t="s">
        <v>7210</v>
      </c>
      <c r="C3598" t="s">
        <v>10</v>
      </c>
      <c r="D3598">
        <v>67</v>
      </c>
      <c r="E3598" t="s">
        <v>37</v>
      </c>
      <c r="F3598" t="s">
        <v>38</v>
      </c>
      <c r="G3598" t="s">
        <v>22</v>
      </c>
      <c r="H3598" s="1">
        <v>45157</v>
      </c>
    </row>
    <row r="3599" spans="1:8">
      <c r="A3599" t="s">
        <v>7211</v>
      </c>
      <c r="B3599" t="s">
        <v>7212</v>
      </c>
      <c r="C3599" t="s">
        <v>10</v>
      </c>
      <c r="D3599">
        <v>53</v>
      </c>
      <c r="E3599" t="s">
        <v>15</v>
      </c>
      <c r="F3599" t="s">
        <v>16</v>
      </c>
      <c r="G3599" t="s">
        <v>17</v>
      </c>
      <c r="H3599" s="1">
        <v>45316</v>
      </c>
    </row>
    <row r="3600" spans="1:8">
      <c r="A3600" t="s">
        <v>7213</v>
      </c>
      <c r="B3600" t="s">
        <v>7214</v>
      </c>
      <c r="C3600" t="s">
        <v>31</v>
      </c>
      <c r="D3600">
        <v>39</v>
      </c>
      <c r="E3600" t="s">
        <v>27</v>
      </c>
      <c r="F3600" t="s">
        <v>28</v>
      </c>
      <c r="G3600" t="s">
        <v>12</v>
      </c>
      <c r="H3600" s="1">
        <v>44927</v>
      </c>
    </row>
    <row r="3601" spans="1:8">
      <c r="A3601" t="s">
        <v>7215</v>
      </c>
      <c r="B3601" t="s">
        <v>7216</v>
      </c>
      <c r="C3601" t="s">
        <v>10</v>
      </c>
      <c r="D3601">
        <v>61</v>
      </c>
      <c r="E3601" t="s">
        <v>63</v>
      </c>
      <c r="F3601" t="s">
        <v>64</v>
      </c>
      <c r="G3601" t="s">
        <v>12</v>
      </c>
      <c r="H3601" s="1">
        <v>45515</v>
      </c>
    </row>
    <row r="3602" spans="1:8">
      <c r="A3602" t="s">
        <v>7217</v>
      </c>
      <c r="B3602" t="s">
        <v>7218</v>
      </c>
      <c r="C3602" t="s">
        <v>10</v>
      </c>
      <c r="D3602">
        <v>36</v>
      </c>
      <c r="E3602" t="s">
        <v>11</v>
      </c>
      <c r="F3602" t="s">
        <v>11</v>
      </c>
      <c r="G3602" t="s">
        <v>12</v>
      </c>
      <c r="H3602" s="1">
        <v>45155</v>
      </c>
    </row>
    <row r="3603" spans="1:8">
      <c r="A3603" t="s">
        <v>7219</v>
      </c>
      <c r="B3603" t="s">
        <v>7220</v>
      </c>
      <c r="C3603" t="s">
        <v>31</v>
      </c>
      <c r="D3603">
        <v>30</v>
      </c>
      <c r="E3603" t="s">
        <v>34</v>
      </c>
      <c r="F3603" t="s">
        <v>16</v>
      </c>
      <c r="G3603" t="s">
        <v>17</v>
      </c>
      <c r="H3603" s="1">
        <v>44989</v>
      </c>
    </row>
    <row r="3604" spans="1:8">
      <c r="A3604" t="s">
        <v>7221</v>
      </c>
      <c r="B3604" t="s">
        <v>7222</v>
      </c>
      <c r="C3604" t="s">
        <v>31</v>
      </c>
      <c r="D3604">
        <v>63</v>
      </c>
      <c r="E3604" t="s">
        <v>91</v>
      </c>
      <c r="F3604" t="s">
        <v>92</v>
      </c>
      <c r="G3604" t="s">
        <v>78</v>
      </c>
      <c r="H3604" s="1">
        <v>45764</v>
      </c>
    </row>
    <row r="3605" spans="1:8">
      <c r="A3605" t="s">
        <v>7223</v>
      </c>
      <c r="B3605" t="s">
        <v>7224</v>
      </c>
      <c r="C3605" t="s">
        <v>10</v>
      </c>
      <c r="D3605">
        <v>23</v>
      </c>
      <c r="E3605" t="s">
        <v>34</v>
      </c>
      <c r="F3605" t="s">
        <v>16</v>
      </c>
      <c r="G3605" t="s">
        <v>17</v>
      </c>
      <c r="H3605" s="1">
        <v>44851</v>
      </c>
    </row>
    <row r="3606" spans="1:8">
      <c r="A3606" t="s">
        <v>7225</v>
      </c>
      <c r="B3606" t="s">
        <v>7226</v>
      </c>
      <c r="C3606" t="s">
        <v>31</v>
      </c>
      <c r="D3606">
        <v>64</v>
      </c>
      <c r="E3606" t="s">
        <v>218</v>
      </c>
      <c r="F3606" t="s">
        <v>219</v>
      </c>
      <c r="G3606" t="s">
        <v>17</v>
      </c>
      <c r="H3606" s="1">
        <v>45493</v>
      </c>
    </row>
    <row r="3607" spans="1:8">
      <c r="A3607" t="s">
        <v>7227</v>
      </c>
      <c r="B3607" t="s">
        <v>7228</v>
      </c>
      <c r="C3607" t="s">
        <v>10</v>
      </c>
      <c r="D3607">
        <v>56</v>
      </c>
      <c r="E3607" t="s">
        <v>87</v>
      </c>
      <c r="F3607" t="s">
        <v>88</v>
      </c>
      <c r="G3607" t="s">
        <v>78</v>
      </c>
      <c r="H3607" s="1">
        <v>45676</v>
      </c>
    </row>
    <row r="3608" spans="1:8">
      <c r="A3608" t="s">
        <v>7229</v>
      </c>
      <c r="B3608" t="s">
        <v>7230</v>
      </c>
      <c r="C3608" t="s">
        <v>10</v>
      </c>
      <c r="D3608">
        <v>58</v>
      </c>
      <c r="E3608" t="s">
        <v>76</v>
      </c>
      <c r="F3608" t="s">
        <v>77</v>
      </c>
      <c r="G3608" t="s">
        <v>78</v>
      </c>
      <c r="H3608" s="1">
        <v>45777</v>
      </c>
    </row>
    <row r="3609" spans="1:8">
      <c r="A3609" t="s">
        <v>7231</v>
      </c>
      <c r="B3609" t="s">
        <v>7232</v>
      </c>
      <c r="C3609" t="s">
        <v>10</v>
      </c>
      <c r="D3609">
        <v>43</v>
      </c>
      <c r="E3609" t="s">
        <v>69</v>
      </c>
      <c r="F3609" t="s">
        <v>69</v>
      </c>
      <c r="G3609" t="s">
        <v>12</v>
      </c>
      <c r="H3609" s="1">
        <v>45005</v>
      </c>
    </row>
    <row r="3610" spans="1:8">
      <c r="A3610" t="s">
        <v>7233</v>
      </c>
      <c r="B3610" t="s">
        <v>7234</v>
      </c>
      <c r="C3610" t="s">
        <v>31</v>
      </c>
      <c r="D3610">
        <v>20</v>
      </c>
      <c r="E3610" t="s">
        <v>63</v>
      </c>
      <c r="F3610" t="s">
        <v>64</v>
      </c>
      <c r="G3610" t="s">
        <v>12</v>
      </c>
      <c r="H3610" s="1">
        <v>44642</v>
      </c>
    </row>
    <row r="3611" spans="1:8">
      <c r="A3611" t="s">
        <v>7235</v>
      </c>
      <c r="B3611" t="s">
        <v>7236</v>
      </c>
      <c r="C3611" t="s">
        <v>31</v>
      </c>
      <c r="D3611">
        <v>66</v>
      </c>
      <c r="E3611" t="s">
        <v>11</v>
      </c>
      <c r="F3611" t="s">
        <v>11</v>
      </c>
      <c r="G3611" t="s">
        <v>12</v>
      </c>
      <c r="H3611" s="1">
        <v>45815</v>
      </c>
    </row>
    <row r="3612" spans="1:8">
      <c r="A3612" t="s">
        <v>7237</v>
      </c>
      <c r="B3612" t="s">
        <v>7238</v>
      </c>
      <c r="C3612" t="s">
        <v>31</v>
      </c>
      <c r="D3612">
        <v>50</v>
      </c>
      <c r="E3612" t="s">
        <v>112</v>
      </c>
      <c r="F3612" t="s">
        <v>113</v>
      </c>
      <c r="G3612" t="s">
        <v>78</v>
      </c>
      <c r="H3612" s="1">
        <v>44757</v>
      </c>
    </row>
    <row r="3613" spans="1:8">
      <c r="A3613" t="s">
        <v>7239</v>
      </c>
      <c r="B3613" t="s">
        <v>7240</v>
      </c>
      <c r="C3613" t="s">
        <v>10</v>
      </c>
      <c r="D3613">
        <v>18</v>
      </c>
      <c r="E3613" t="s">
        <v>128</v>
      </c>
      <c r="F3613" t="s">
        <v>129</v>
      </c>
      <c r="G3613" t="s">
        <v>78</v>
      </c>
      <c r="H3613" s="1">
        <v>45636</v>
      </c>
    </row>
    <row r="3614" spans="1:8">
      <c r="A3614" t="s">
        <v>7241</v>
      </c>
      <c r="B3614" t="s">
        <v>7242</v>
      </c>
      <c r="C3614" t="s">
        <v>10</v>
      </c>
      <c r="D3614">
        <v>55</v>
      </c>
      <c r="E3614" t="s">
        <v>76</v>
      </c>
      <c r="F3614" t="s">
        <v>77</v>
      </c>
      <c r="G3614" t="s">
        <v>78</v>
      </c>
      <c r="H3614" s="1">
        <v>44616</v>
      </c>
    </row>
    <row r="3615" spans="1:8">
      <c r="A3615" t="s">
        <v>7243</v>
      </c>
      <c r="B3615" t="s">
        <v>7244</v>
      </c>
      <c r="C3615" t="s">
        <v>10</v>
      </c>
      <c r="D3615">
        <v>56</v>
      </c>
      <c r="E3615" t="s">
        <v>41</v>
      </c>
      <c r="F3615" t="s">
        <v>42</v>
      </c>
      <c r="G3615" t="s">
        <v>17</v>
      </c>
      <c r="H3615" s="1">
        <v>44791</v>
      </c>
    </row>
    <row r="3616" spans="1:8">
      <c r="A3616" t="s">
        <v>7245</v>
      </c>
      <c r="B3616" t="s">
        <v>7246</v>
      </c>
      <c r="C3616" t="s">
        <v>31</v>
      </c>
      <c r="D3616">
        <v>39</v>
      </c>
      <c r="E3616" t="s">
        <v>20</v>
      </c>
      <c r="F3616" t="s">
        <v>21</v>
      </c>
      <c r="G3616" t="s">
        <v>22</v>
      </c>
      <c r="H3616" s="1">
        <v>45062</v>
      </c>
    </row>
    <row r="3617" spans="1:8">
      <c r="A3617" t="s">
        <v>7247</v>
      </c>
      <c r="B3617" t="s">
        <v>7248</v>
      </c>
      <c r="C3617" t="s">
        <v>31</v>
      </c>
      <c r="D3617">
        <v>70</v>
      </c>
      <c r="E3617" t="s">
        <v>149</v>
      </c>
      <c r="F3617" t="s">
        <v>38</v>
      </c>
      <c r="G3617" t="s">
        <v>22</v>
      </c>
      <c r="H3617" s="1">
        <v>45102</v>
      </c>
    </row>
    <row r="3618" spans="1:8">
      <c r="A3618" t="s">
        <v>7249</v>
      </c>
      <c r="B3618" t="s">
        <v>7250</v>
      </c>
      <c r="C3618" t="s">
        <v>10</v>
      </c>
      <c r="D3618">
        <v>57</v>
      </c>
      <c r="E3618" t="s">
        <v>87</v>
      </c>
      <c r="F3618" t="s">
        <v>88</v>
      </c>
      <c r="G3618" t="s">
        <v>78</v>
      </c>
      <c r="H3618" s="1">
        <v>45412</v>
      </c>
    </row>
    <row r="3619" spans="1:8">
      <c r="A3619" t="s">
        <v>7251</v>
      </c>
      <c r="B3619" t="s">
        <v>7252</v>
      </c>
      <c r="C3619" t="s">
        <v>31</v>
      </c>
      <c r="D3619">
        <v>26</v>
      </c>
      <c r="E3619" t="s">
        <v>69</v>
      </c>
      <c r="F3619" t="s">
        <v>69</v>
      </c>
      <c r="G3619" t="s">
        <v>12</v>
      </c>
      <c r="H3619" s="1">
        <v>45315</v>
      </c>
    </row>
    <row r="3620" spans="1:8">
      <c r="A3620" t="s">
        <v>7253</v>
      </c>
      <c r="B3620" t="s">
        <v>7254</v>
      </c>
      <c r="C3620" t="s">
        <v>10</v>
      </c>
      <c r="D3620">
        <v>69</v>
      </c>
      <c r="E3620" t="s">
        <v>87</v>
      </c>
      <c r="F3620" t="s">
        <v>88</v>
      </c>
      <c r="G3620" t="s">
        <v>78</v>
      </c>
      <c r="H3620" s="1">
        <v>45199</v>
      </c>
    </row>
    <row r="3621" spans="1:8">
      <c r="A3621" t="s">
        <v>7255</v>
      </c>
      <c r="B3621" t="s">
        <v>7256</v>
      </c>
      <c r="C3621" t="s">
        <v>31</v>
      </c>
      <c r="D3621">
        <v>24</v>
      </c>
      <c r="E3621" t="s">
        <v>218</v>
      </c>
      <c r="F3621" t="s">
        <v>219</v>
      </c>
      <c r="G3621" t="s">
        <v>17</v>
      </c>
      <c r="H3621" s="1">
        <v>45871</v>
      </c>
    </row>
    <row r="3622" spans="1:8">
      <c r="A3622" t="s">
        <v>7257</v>
      </c>
      <c r="B3622" t="s">
        <v>7258</v>
      </c>
      <c r="C3622" t="s">
        <v>31</v>
      </c>
      <c r="D3622">
        <v>51</v>
      </c>
      <c r="E3622" t="s">
        <v>101</v>
      </c>
      <c r="F3622" t="s">
        <v>21</v>
      </c>
      <c r="G3622" t="s">
        <v>22</v>
      </c>
      <c r="H3622" s="1">
        <v>45035</v>
      </c>
    </row>
    <row r="3623" spans="1:8">
      <c r="A3623" t="s">
        <v>7259</v>
      </c>
      <c r="B3623" t="s">
        <v>7086</v>
      </c>
      <c r="C3623" t="s">
        <v>10</v>
      </c>
      <c r="D3623">
        <v>66</v>
      </c>
      <c r="E3623" t="s">
        <v>20</v>
      </c>
      <c r="F3623" t="s">
        <v>21</v>
      </c>
      <c r="G3623" t="s">
        <v>22</v>
      </c>
      <c r="H3623" s="1">
        <v>45763</v>
      </c>
    </row>
    <row r="3624" spans="1:8">
      <c r="A3624" t="s">
        <v>7260</v>
      </c>
      <c r="B3624" t="s">
        <v>7261</v>
      </c>
      <c r="C3624" t="s">
        <v>10</v>
      </c>
      <c r="D3624">
        <v>31</v>
      </c>
      <c r="E3624" t="s">
        <v>76</v>
      </c>
      <c r="F3624" t="s">
        <v>77</v>
      </c>
      <c r="G3624" t="s">
        <v>78</v>
      </c>
      <c r="H3624" s="1">
        <v>44911</v>
      </c>
    </row>
    <row r="3625" spans="1:8">
      <c r="A3625" t="s">
        <v>7262</v>
      </c>
      <c r="B3625" t="s">
        <v>7263</v>
      </c>
      <c r="C3625" t="s">
        <v>10</v>
      </c>
      <c r="D3625">
        <v>33</v>
      </c>
      <c r="E3625" t="s">
        <v>27</v>
      </c>
      <c r="F3625" t="s">
        <v>28</v>
      </c>
      <c r="G3625" t="s">
        <v>12</v>
      </c>
      <c r="H3625" s="1">
        <v>44864</v>
      </c>
    </row>
    <row r="3626" spans="1:8">
      <c r="A3626" t="s">
        <v>7264</v>
      </c>
      <c r="B3626" t="s">
        <v>7265</v>
      </c>
      <c r="C3626" t="s">
        <v>31</v>
      </c>
      <c r="D3626">
        <v>22</v>
      </c>
      <c r="E3626" t="s">
        <v>37</v>
      </c>
      <c r="F3626" t="s">
        <v>38</v>
      </c>
      <c r="G3626" t="s">
        <v>22</v>
      </c>
      <c r="H3626" s="1">
        <v>45253</v>
      </c>
    </row>
    <row r="3627" spans="1:8">
      <c r="A3627" t="s">
        <v>7266</v>
      </c>
      <c r="B3627" t="s">
        <v>7267</v>
      </c>
      <c r="C3627" t="s">
        <v>31</v>
      </c>
      <c r="D3627">
        <v>26</v>
      </c>
      <c r="E3627" t="s">
        <v>15</v>
      </c>
      <c r="F3627" t="s">
        <v>16</v>
      </c>
      <c r="G3627" t="s">
        <v>17</v>
      </c>
      <c r="H3627" s="1">
        <v>45986</v>
      </c>
    </row>
    <row r="3628" spans="1:8">
      <c r="A3628" t="s">
        <v>7268</v>
      </c>
      <c r="B3628" t="s">
        <v>7269</v>
      </c>
      <c r="C3628" t="s">
        <v>31</v>
      </c>
      <c r="D3628">
        <v>58</v>
      </c>
      <c r="E3628" t="s">
        <v>149</v>
      </c>
      <c r="F3628" t="s">
        <v>38</v>
      </c>
      <c r="G3628" t="s">
        <v>22</v>
      </c>
      <c r="H3628" s="1">
        <v>44649</v>
      </c>
    </row>
    <row r="3629" spans="1:8">
      <c r="A3629" t="s">
        <v>7270</v>
      </c>
      <c r="B3629" t="s">
        <v>7271</v>
      </c>
      <c r="C3629" t="s">
        <v>31</v>
      </c>
      <c r="D3629">
        <v>43</v>
      </c>
      <c r="E3629" t="s">
        <v>45</v>
      </c>
      <c r="F3629" t="s">
        <v>46</v>
      </c>
      <c r="G3629" t="s">
        <v>17</v>
      </c>
      <c r="H3629" s="1">
        <v>45048</v>
      </c>
    </row>
    <row r="3630" spans="1:8">
      <c r="A3630" t="s">
        <v>7272</v>
      </c>
      <c r="B3630" t="s">
        <v>7273</v>
      </c>
      <c r="C3630" t="s">
        <v>10</v>
      </c>
      <c r="D3630">
        <v>25</v>
      </c>
      <c r="E3630" t="s">
        <v>20</v>
      </c>
      <c r="F3630" t="s">
        <v>21</v>
      </c>
      <c r="G3630" t="s">
        <v>22</v>
      </c>
      <c r="H3630" s="1">
        <v>45625</v>
      </c>
    </row>
    <row r="3631" spans="1:8">
      <c r="A3631" t="s">
        <v>7274</v>
      </c>
      <c r="B3631" t="s">
        <v>7275</v>
      </c>
      <c r="C3631" t="s">
        <v>10</v>
      </c>
      <c r="D3631">
        <v>30</v>
      </c>
      <c r="E3631" t="s">
        <v>69</v>
      </c>
      <c r="F3631" t="s">
        <v>69</v>
      </c>
      <c r="G3631" t="s">
        <v>12</v>
      </c>
      <c r="H3631" s="1">
        <v>44598</v>
      </c>
    </row>
    <row r="3632" spans="1:8">
      <c r="A3632" t="s">
        <v>7276</v>
      </c>
      <c r="B3632" t="s">
        <v>7277</v>
      </c>
      <c r="C3632" t="s">
        <v>10</v>
      </c>
      <c r="D3632">
        <v>41</v>
      </c>
      <c r="E3632" t="s">
        <v>87</v>
      </c>
      <c r="F3632" t="s">
        <v>88</v>
      </c>
      <c r="G3632" t="s">
        <v>78</v>
      </c>
      <c r="H3632" s="1">
        <v>45627</v>
      </c>
    </row>
    <row r="3633" spans="1:8">
      <c r="A3633" t="s">
        <v>7278</v>
      </c>
      <c r="B3633" t="s">
        <v>7279</v>
      </c>
      <c r="C3633" t="s">
        <v>10</v>
      </c>
      <c r="D3633">
        <v>42</v>
      </c>
      <c r="E3633" t="s">
        <v>60</v>
      </c>
      <c r="F3633" t="s">
        <v>21</v>
      </c>
      <c r="G3633" t="s">
        <v>22</v>
      </c>
      <c r="H3633" s="1">
        <v>44743</v>
      </c>
    </row>
    <row r="3634" spans="1:8">
      <c r="A3634" t="s">
        <v>7280</v>
      </c>
      <c r="B3634" t="s">
        <v>7281</v>
      </c>
      <c r="C3634" t="s">
        <v>31</v>
      </c>
      <c r="D3634">
        <v>65</v>
      </c>
      <c r="E3634" t="s">
        <v>41</v>
      </c>
      <c r="F3634" t="s">
        <v>42</v>
      </c>
      <c r="G3634" t="s">
        <v>17</v>
      </c>
      <c r="H3634" s="1">
        <v>44710</v>
      </c>
    </row>
    <row r="3635" spans="1:8">
      <c r="A3635" t="s">
        <v>7282</v>
      </c>
      <c r="B3635" t="s">
        <v>7283</v>
      </c>
      <c r="C3635" t="s">
        <v>31</v>
      </c>
      <c r="D3635">
        <v>39</v>
      </c>
      <c r="E3635" t="s">
        <v>34</v>
      </c>
      <c r="F3635" t="s">
        <v>16</v>
      </c>
      <c r="G3635" t="s">
        <v>17</v>
      </c>
      <c r="H3635" s="1">
        <v>45009</v>
      </c>
    </row>
    <row r="3636" spans="1:8">
      <c r="A3636" t="s">
        <v>7284</v>
      </c>
      <c r="B3636" t="s">
        <v>7285</v>
      </c>
      <c r="C3636" t="s">
        <v>10</v>
      </c>
      <c r="D3636">
        <v>45</v>
      </c>
      <c r="E3636" t="s">
        <v>149</v>
      </c>
      <c r="F3636" t="s">
        <v>38</v>
      </c>
      <c r="G3636" t="s">
        <v>22</v>
      </c>
      <c r="H3636" s="1">
        <v>45604</v>
      </c>
    </row>
    <row r="3637" spans="1:8">
      <c r="A3637" t="s">
        <v>7286</v>
      </c>
      <c r="B3637" t="s">
        <v>7287</v>
      </c>
      <c r="C3637" t="s">
        <v>31</v>
      </c>
      <c r="D3637">
        <v>45</v>
      </c>
      <c r="E3637" t="s">
        <v>149</v>
      </c>
      <c r="F3637" t="s">
        <v>38</v>
      </c>
      <c r="G3637" t="s">
        <v>22</v>
      </c>
      <c r="H3637" s="1">
        <v>45844</v>
      </c>
    </row>
    <row r="3638" spans="1:8">
      <c r="A3638" t="s">
        <v>7288</v>
      </c>
      <c r="B3638" t="s">
        <v>7289</v>
      </c>
      <c r="C3638" t="s">
        <v>10</v>
      </c>
      <c r="D3638">
        <v>51</v>
      </c>
      <c r="E3638" t="s">
        <v>63</v>
      </c>
      <c r="F3638" t="s">
        <v>64</v>
      </c>
      <c r="G3638" t="s">
        <v>12</v>
      </c>
      <c r="H3638" s="1">
        <v>45834</v>
      </c>
    </row>
    <row r="3639" spans="1:8">
      <c r="A3639" t="s">
        <v>7290</v>
      </c>
      <c r="B3639" t="s">
        <v>7291</v>
      </c>
      <c r="C3639" t="s">
        <v>10</v>
      </c>
      <c r="D3639">
        <v>33</v>
      </c>
      <c r="E3639" t="s">
        <v>91</v>
      </c>
      <c r="F3639" t="s">
        <v>92</v>
      </c>
      <c r="G3639" t="s">
        <v>78</v>
      </c>
      <c r="H3639" s="1">
        <v>44644</v>
      </c>
    </row>
    <row r="3640" spans="1:8">
      <c r="A3640" t="s">
        <v>7292</v>
      </c>
      <c r="B3640" t="s">
        <v>7293</v>
      </c>
      <c r="C3640" t="s">
        <v>31</v>
      </c>
      <c r="D3640">
        <v>67</v>
      </c>
      <c r="E3640" t="s">
        <v>60</v>
      </c>
      <c r="F3640" t="s">
        <v>21</v>
      </c>
      <c r="G3640" t="s">
        <v>22</v>
      </c>
      <c r="H3640" s="1">
        <v>44572</v>
      </c>
    </row>
    <row r="3641" spans="1:8">
      <c r="A3641" t="s">
        <v>7294</v>
      </c>
      <c r="B3641" t="s">
        <v>7295</v>
      </c>
      <c r="C3641" t="s">
        <v>31</v>
      </c>
      <c r="D3641">
        <v>60</v>
      </c>
      <c r="E3641" t="s">
        <v>45</v>
      </c>
      <c r="F3641" t="s">
        <v>46</v>
      </c>
      <c r="G3641" t="s">
        <v>17</v>
      </c>
      <c r="H3641" s="1">
        <v>45048</v>
      </c>
    </row>
    <row r="3642" spans="1:8">
      <c r="A3642" t="s">
        <v>7296</v>
      </c>
      <c r="B3642" t="s">
        <v>7297</v>
      </c>
      <c r="C3642" t="s">
        <v>31</v>
      </c>
      <c r="D3642">
        <v>20</v>
      </c>
      <c r="E3642" t="s">
        <v>128</v>
      </c>
      <c r="F3642" t="s">
        <v>129</v>
      </c>
      <c r="G3642" t="s">
        <v>78</v>
      </c>
      <c r="H3642" s="1">
        <v>44841</v>
      </c>
    </row>
    <row r="3643" spans="1:8">
      <c r="A3643" t="s">
        <v>7298</v>
      </c>
      <c r="B3643" t="s">
        <v>7299</v>
      </c>
      <c r="C3643" t="s">
        <v>10</v>
      </c>
      <c r="D3643">
        <v>21</v>
      </c>
      <c r="E3643" t="s">
        <v>45</v>
      </c>
      <c r="F3643" t="s">
        <v>46</v>
      </c>
      <c r="G3643" t="s">
        <v>17</v>
      </c>
      <c r="H3643" s="1">
        <v>45820</v>
      </c>
    </row>
    <row r="3644" spans="1:8">
      <c r="A3644" t="s">
        <v>7300</v>
      </c>
      <c r="B3644" t="s">
        <v>7301</v>
      </c>
      <c r="C3644" t="s">
        <v>10</v>
      </c>
      <c r="D3644">
        <v>56</v>
      </c>
      <c r="E3644" t="s">
        <v>45</v>
      </c>
      <c r="F3644" t="s">
        <v>46</v>
      </c>
      <c r="G3644" t="s">
        <v>17</v>
      </c>
      <c r="H3644" s="1">
        <v>45486</v>
      </c>
    </row>
    <row r="3645" spans="1:8">
      <c r="A3645" t="s">
        <v>7302</v>
      </c>
      <c r="B3645" t="s">
        <v>7303</v>
      </c>
      <c r="C3645" t="s">
        <v>10</v>
      </c>
      <c r="D3645">
        <v>69</v>
      </c>
      <c r="E3645" t="s">
        <v>128</v>
      </c>
      <c r="F3645" t="s">
        <v>129</v>
      </c>
      <c r="G3645" t="s">
        <v>78</v>
      </c>
      <c r="H3645" s="1">
        <v>45316</v>
      </c>
    </row>
    <row r="3646" spans="1:8">
      <c r="A3646" t="s">
        <v>7304</v>
      </c>
      <c r="B3646" t="s">
        <v>7305</v>
      </c>
      <c r="C3646" t="s">
        <v>10</v>
      </c>
      <c r="D3646">
        <v>63</v>
      </c>
      <c r="E3646" t="s">
        <v>218</v>
      </c>
      <c r="F3646" t="s">
        <v>219</v>
      </c>
      <c r="G3646" t="s">
        <v>17</v>
      </c>
      <c r="H3646" s="1">
        <v>44934</v>
      </c>
    </row>
    <row r="3647" spans="1:8">
      <c r="A3647" t="s">
        <v>7306</v>
      </c>
      <c r="B3647" t="s">
        <v>7307</v>
      </c>
      <c r="C3647" t="s">
        <v>10</v>
      </c>
      <c r="D3647">
        <v>43</v>
      </c>
      <c r="E3647" t="s">
        <v>91</v>
      </c>
      <c r="F3647" t="s">
        <v>92</v>
      </c>
      <c r="G3647" t="s">
        <v>78</v>
      </c>
      <c r="H3647" s="1">
        <v>45755</v>
      </c>
    </row>
    <row r="3648" spans="1:8">
      <c r="A3648" t="s">
        <v>7308</v>
      </c>
      <c r="B3648" t="s">
        <v>7309</v>
      </c>
      <c r="C3648" t="s">
        <v>31</v>
      </c>
      <c r="D3648">
        <v>67</v>
      </c>
      <c r="E3648" t="s">
        <v>27</v>
      </c>
      <c r="F3648" t="s">
        <v>28</v>
      </c>
      <c r="G3648" t="s">
        <v>12</v>
      </c>
      <c r="H3648" s="1">
        <v>45839</v>
      </c>
    </row>
    <row r="3649" spans="1:8">
      <c r="A3649" t="s">
        <v>7310</v>
      </c>
      <c r="B3649" t="s">
        <v>7311</v>
      </c>
      <c r="C3649" t="s">
        <v>31</v>
      </c>
      <c r="D3649">
        <v>53</v>
      </c>
      <c r="E3649" t="s">
        <v>69</v>
      </c>
      <c r="F3649" t="s">
        <v>69</v>
      </c>
      <c r="G3649" t="s">
        <v>12</v>
      </c>
      <c r="H3649" s="1">
        <v>45907</v>
      </c>
    </row>
    <row r="3650" spans="1:8">
      <c r="A3650" t="s">
        <v>7312</v>
      </c>
      <c r="B3650" t="s">
        <v>7313</v>
      </c>
      <c r="C3650" t="s">
        <v>31</v>
      </c>
      <c r="D3650">
        <v>23</v>
      </c>
      <c r="E3650" t="s">
        <v>27</v>
      </c>
      <c r="F3650" t="s">
        <v>28</v>
      </c>
      <c r="G3650" t="s">
        <v>12</v>
      </c>
      <c r="H3650" s="1">
        <v>45946</v>
      </c>
    </row>
    <row r="3651" spans="1:8">
      <c r="A3651" t="s">
        <v>7314</v>
      </c>
      <c r="B3651" t="s">
        <v>7315</v>
      </c>
      <c r="C3651" t="s">
        <v>31</v>
      </c>
      <c r="D3651">
        <v>55</v>
      </c>
      <c r="E3651" t="s">
        <v>91</v>
      </c>
      <c r="F3651" t="s">
        <v>92</v>
      </c>
      <c r="G3651" t="s">
        <v>78</v>
      </c>
      <c r="H3651" s="1">
        <v>44859</v>
      </c>
    </row>
    <row r="3652" spans="1:8">
      <c r="A3652" t="s">
        <v>7316</v>
      </c>
      <c r="B3652" t="s">
        <v>7317</v>
      </c>
      <c r="C3652" t="s">
        <v>10</v>
      </c>
      <c r="D3652">
        <v>39</v>
      </c>
      <c r="E3652" t="s">
        <v>60</v>
      </c>
      <c r="F3652" t="s">
        <v>21</v>
      </c>
      <c r="G3652" t="s">
        <v>22</v>
      </c>
      <c r="H3652" s="1">
        <v>45070</v>
      </c>
    </row>
    <row r="3653" spans="1:8">
      <c r="A3653" t="s">
        <v>7318</v>
      </c>
      <c r="B3653" t="s">
        <v>7319</v>
      </c>
      <c r="C3653" t="s">
        <v>31</v>
      </c>
      <c r="D3653">
        <v>54</v>
      </c>
      <c r="E3653" t="s">
        <v>37</v>
      </c>
      <c r="F3653" t="s">
        <v>38</v>
      </c>
      <c r="G3653" t="s">
        <v>22</v>
      </c>
      <c r="H3653" s="1">
        <v>44605</v>
      </c>
    </row>
    <row r="3654" spans="1:8">
      <c r="A3654" t="s">
        <v>7320</v>
      </c>
      <c r="B3654" t="s">
        <v>7321</v>
      </c>
      <c r="C3654" t="s">
        <v>10</v>
      </c>
      <c r="D3654">
        <v>24</v>
      </c>
      <c r="E3654" t="s">
        <v>63</v>
      </c>
      <c r="F3654" t="s">
        <v>64</v>
      </c>
      <c r="G3654" t="s">
        <v>12</v>
      </c>
      <c r="H3654" s="1">
        <v>44920</v>
      </c>
    </row>
    <row r="3655" spans="1:8">
      <c r="A3655" t="s">
        <v>7322</v>
      </c>
      <c r="B3655" t="s">
        <v>7323</v>
      </c>
      <c r="C3655" t="s">
        <v>10</v>
      </c>
      <c r="D3655">
        <v>67</v>
      </c>
      <c r="E3655" t="s">
        <v>34</v>
      </c>
      <c r="F3655" t="s">
        <v>16</v>
      </c>
      <c r="G3655" t="s">
        <v>17</v>
      </c>
      <c r="H3655" s="1">
        <v>45164</v>
      </c>
    </row>
    <row r="3656" spans="1:8">
      <c r="A3656" t="s">
        <v>7324</v>
      </c>
      <c r="B3656" t="s">
        <v>7325</v>
      </c>
      <c r="C3656" t="s">
        <v>10</v>
      </c>
      <c r="D3656">
        <v>44</v>
      </c>
      <c r="E3656" t="s">
        <v>112</v>
      </c>
      <c r="F3656" t="s">
        <v>113</v>
      </c>
      <c r="G3656" t="s">
        <v>78</v>
      </c>
      <c r="H3656" s="1">
        <v>45716</v>
      </c>
    </row>
    <row r="3657" spans="1:8">
      <c r="A3657" t="s">
        <v>7326</v>
      </c>
      <c r="B3657" t="s">
        <v>7327</v>
      </c>
      <c r="C3657" t="s">
        <v>31</v>
      </c>
      <c r="D3657">
        <v>27</v>
      </c>
      <c r="E3657" t="s">
        <v>11</v>
      </c>
      <c r="F3657" t="s">
        <v>11</v>
      </c>
      <c r="G3657" t="s">
        <v>12</v>
      </c>
      <c r="H3657" s="1">
        <v>45704</v>
      </c>
    </row>
    <row r="3658" spans="1:8">
      <c r="A3658" t="s">
        <v>7328</v>
      </c>
      <c r="B3658" t="s">
        <v>7329</v>
      </c>
      <c r="C3658" t="s">
        <v>31</v>
      </c>
      <c r="D3658">
        <v>19</v>
      </c>
      <c r="E3658" t="s">
        <v>20</v>
      </c>
      <c r="F3658" t="s">
        <v>21</v>
      </c>
      <c r="G3658" t="s">
        <v>22</v>
      </c>
      <c r="H3658" s="1">
        <v>45498</v>
      </c>
    </row>
    <row r="3659" spans="1:8">
      <c r="A3659" t="s">
        <v>7330</v>
      </c>
      <c r="B3659" t="s">
        <v>7331</v>
      </c>
      <c r="C3659" t="s">
        <v>31</v>
      </c>
      <c r="D3659">
        <v>53</v>
      </c>
      <c r="E3659" t="s">
        <v>63</v>
      </c>
      <c r="F3659" t="s">
        <v>64</v>
      </c>
      <c r="G3659" t="s">
        <v>12</v>
      </c>
      <c r="H3659" s="1">
        <v>45004</v>
      </c>
    </row>
    <row r="3660" spans="1:8">
      <c r="A3660" t="s">
        <v>7332</v>
      </c>
      <c r="B3660" t="s">
        <v>7333</v>
      </c>
      <c r="C3660" t="s">
        <v>10</v>
      </c>
      <c r="D3660">
        <v>38</v>
      </c>
      <c r="E3660" t="s">
        <v>76</v>
      </c>
      <c r="F3660" t="s">
        <v>77</v>
      </c>
      <c r="G3660" t="s">
        <v>78</v>
      </c>
      <c r="H3660" s="1">
        <v>45626</v>
      </c>
    </row>
    <row r="3661" spans="1:8">
      <c r="A3661" t="s">
        <v>7334</v>
      </c>
      <c r="B3661" t="s">
        <v>7335</v>
      </c>
      <c r="C3661" t="s">
        <v>10</v>
      </c>
      <c r="D3661">
        <v>51</v>
      </c>
      <c r="E3661" t="s">
        <v>27</v>
      </c>
      <c r="F3661" t="s">
        <v>28</v>
      </c>
      <c r="G3661" t="s">
        <v>12</v>
      </c>
      <c r="H3661" s="1">
        <v>45302</v>
      </c>
    </row>
    <row r="3662" spans="1:8">
      <c r="A3662" t="s">
        <v>7336</v>
      </c>
      <c r="B3662" t="s">
        <v>7337</v>
      </c>
      <c r="C3662" t="s">
        <v>31</v>
      </c>
      <c r="D3662">
        <v>70</v>
      </c>
      <c r="E3662" t="s">
        <v>218</v>
      </c>
      <c r="F3662" t="s">
        <v>219</v>
      </c>
      <c r="G3662" t="s">
        <v>17</v>
      </c>
      <c r="H3662" s="1">
        <v>44597</v>
      </c>
    </row>
    <row r="3663" spans="1:8">
      <c r="A3663" t="s">
        <v>7338</v>
      </c>
      <c r="B3663" t="s">
        <v>7339</v>
      </c>
      <c r="C3663" t="s">
        <v>10</v>
      </c>
      <c r="D3663">
        <v>27</v>
      </c>
      <c r="E3663" t="s">
        <v>45</v>
      </c>
      <c r="F3663" t="s">
        <v>46</v>
      </c>
      <c r="G3663" t="s">
        <v>17</v>
      </c>
      <c r="H3663" s="1">
        <v>45396</v>
      </c>
    </row>
    <row r="3664" spans="1:8">
      <c r="A3664" t="s">
        <v>7340</v>
      </c>
      <c r="B3664" t="s">
        <v>7341</v>
      </c>
      <c r="C3664" t="s">
        <v>31</v>
      </c>
      <c r="D3664">
        <v>39</v>
      </c>
      <c r="E3664" t="s">
        <v>128</v>
      </c>
      <c r="F3664" t="s">
        <v>129</v>
      </c>
      <c r="G3664" t="s">
        <v>78</v>
      </c>
      <c r="H3664" s="1">
        <v>45811</v>
      </c>
    </row>
    <row r="3665" spans="1:8">
      <c r="A3665" t="s">
        <v>7342</v>
      </c>
      <c r="B3665" t="s">
        <v>7343</v>
      </c>
      <c r="C3665" t="s">
        <v>31</v>
      </c>
      <c r="D3665">
        <v>52</v>
      </c>
      <c r="E3665" t="s">
        <v>34</v>
      </c>
      <c r="F3665" t="s">
        <v>16</v>
      </c>
      <c r="G3665" t="s">
        <v>17</v>
      </c>
      <c r="H3665" s="1">
        <v>45393</v>
      </c>
    </row>
    <row r="3666" spans="1:8">
      <c r="A3666" t="s">
        <v>7344</v>
      </c>
      <c r="B3666" t="s">
        <v>7345</v>
      </c>
      <c r="C3666" t="s">
        <v>31</v>
      </c>
      <c r="D3666">
        <v>23</v>
      </c>
      <c r="E3666" t="s">
        <v>69</v>
      </c>
      <c r="F3666" t="s">
        <v>69</v>
      </c>
      <c r="G3666" t="s">
        <v>12</v>
      </c>
      <c r="H3666" s="1">
        <v>45915</v>
      </c>
    </row>
    <row r="3667" spans="1:8">
      <c r="A3667" t="s">
        <v>7346</v>
      </c>
      <c r="B3667" t="s">
        <v>7347</v>
      </c>
      <c r="C3667" t="s">
        <v>31</v>
      </c>
      <c r="D3667">
        <v>40</v>
      </c>
      <c r="E3667" t="s">
        <v>69</v>
      </c>
      <c r="F3667" t="s">
        <v>69</v>
      </c>
      <c r="G3667" t="s">
        <v>12</v>
      </c>
      <c r="H3667" s="1">
        <v>45735</v>
      </c>
    </row>
    <row r="3668" spans="1:8">
      <c r="A3668" t="s">
        <v>7348</v>
      </c>
      <c r="B3668" t="s">
        <v>7349</v>
      </c>
      <c r="C3668" t="s">
        <v>10</v>
      </c>
      <c r="D3668">
        <v>53</v>
      </c>
      <c r="E3668" t="s">
        <v>20</v>
      </c>
      <c r="F3668" t="s">
        <v>21</v>
      </c>
      <c r="G3668" t="s">
        <v>22</v>
      </c>
      <c r="H3668" s="1">
        <v>45005</v>
      </c>
    </row>
    <row r="3669" spans="1:8">
      <c r="A3669" t="s">
        <v>7350</v>
      </c>
      <c r="B3669" t="s">
        <v>7351</v>
      </c>
      <c r="C3669" t="s">
        <v>10</v>
      </c>
      <c r="D3669">
        <v>67</v>
      </c>
      <c r="E3669" t="s">
        <v>149</v>
      </c>
      <c r="F3669" t="s">
        <v>38</v>
      </c>
      <c r="G3669" t="s">
        <v>22</v>
      </c>
      <c r="H3669" s="1">
        <v>44763</v>
      </c>
    </row>
    <row r="3670" spans="1:8">
      <c r="A3670" t="s">
        <v>7352</v>
      </c>
      <c r="B3670" t="s">
        <v>7353</v>
      </c>
      <c r="C3670" t="s">
        <v>31</v>
      </c>
      <c r="D3670">
        <v>66</v>
      </c>
      <c r="E3670" t="s">
        <v>218</v>
      </c>
      <c r="F3670" t="s">
        <v>219</v>
      </c>
      <c r="G3670" t="s">
        <v>17</v>
      </c>
      <c r="H3670" s="1">
        <v>45204</v>
      </c>
    </row>
    <row r="3671" spans="1:8">
      <c r="A3671" t="s">
        <v>7354</v>
      </c>
      <c r="B3671" t="s">
        <v>7355</v>
      </c>
      <c r="C3671" t="s">
        <v>31</v>
      </c>
      <c r="D3671">
        <v>52</v>
      </c>
      <c r="E3671" t="s">
        <v>34</v>
      </c>
      <c r="F3671" t="s">
        <v>16</v>
      </c>
      <c r="G3671" t="s">
        <v>17</v>
      </c>
      <c r="H3671" s="1">
        <v>45108</v>
      </c>
    </row>
    <row r="3672" spans="1:8">
      <c r="A3672" t="s">
        <v>7356</v>
      </c>
      <c r="B3672" t="s">
        <v>7357</v>
      </c>
      <c r="C3672" t="s">
        <v>31</v>
      </c>
      <c r="D3672">
        <v>58</v>
      </c>
      <c r="E3672" t="s">
        <v>218</v>
      </c>
      <c r="F3672" t="s">
        <v>219</v>
      </c>
      <c r="G3672" t="s">
        <v>17</v>
      </c>
      <c r="H3672" s="1">
        <v>45198</v>
      </c>
    </row>
    <row r="3673" spans="1:8">
      <c r="A3673" t="s">
        <v>7358</v>
      </c>
      <c r="B3673" t="s">
        <v>7359</v>
      </c>
      <c r="C3673" t="s">
        <v>31</v>
      </c>
      <c r="D3673">
        <v>66</v>
      </c>
      <c r="E3673" t="s">
        <v>87</v>
      </c>
      <c r="F3673" t="s">
        <v>88</v>
      </c>
      <c r="G3673" t="s">
        <v>78</v>
      </c>
      <c r="H3673" s="1">
        <v>44898</v>
      </c>
    </row>
    <row r="3674" spans="1:8">
      <c r="A3674" t="s">
        <v>7360</v>
      </c>
      <c r="B3674" t="s">
        <v>7361</v>
      </c>
      <c r="C3674" t="s">
        <v>31</v>
      </c>
      <c r="D3674">
        <v>56</v>
      </c>
      <c r="E3674" t="s">
        <v>15</v>
      </c>
      <c r="F3674" t="s">
        <v>16</v>
      </c>
      <c r="G3674" t="s">
        <v>17</v>
      </c>
      <c r="H3674" s="1">
        <v>45929</v>
      </c>
    </row>
    <row r="3675" spans="1:8">
      <c r="A3675" t="s">
        <v>7362</v>
      </c>
      <c r="B3675" t="s">
        <v>7363</v>
      </c>
      <c r="C3675" t="s">
        <v>10</v>
      </c>
      <c r="D3675">
        <v>25</v>
      </c>
      <c r="E3675" t="s">
        <v>149</v>
      </c>
      <c r="F3675" t="s">
        <v>38</v>
      </c>
      <c r="G3675" t="s">
        <v>22</v>
      </c>
      <c r="H3675" s="1">
        <v>44690</v>
      </c>
    </row>
    <row r="3676" spans="1:8">
      <c r="A3676" t="s">
        <v>7364</v>
      </c>
      <c r="B3676" t="s">
        <v>7365</v>
      </c>
      <c r="C3676" t="s">
        <v>10</v>
      </c>
      <c r="D3676">
        <v>22</v>
      </c>
      <c r="E3676" t="s">
        <v>112</v>
      </c>
      <c r="F3676" t="s">
        <v>113</v>
      </c>
      <c r="G3676" t="s">
        <v>78</v>
      </c>
      <c r="H3676" s="1">
        <v>45593</v>
      </c>
    </row>
    <row r="3677" spans="1:8">
      <c r="A3677" t="s">
        <v>7366</v>
      </c>
      <c r="B3677" t="s">
        <v>7367</v>
      </c>
      <c r="C3677" t="s">
        <v>31</v>
      </c>
      <c r="D3677">
        <v>70</v>
      </c>
      <c r="E3677" t="s">
        <v>34</v>
      </c>
      <c r="F3677" t="s">
        <v>16</v>
      </c>
      <c r="G3677" t="s">
        <v>17</v>
      </c>
      <c r="H3677" s="1">
        <v>45815</v>
      </c>
    </row>
    <row r="3678" spans="1:8">
      <c r="A3678" t="s">
        <v>7368</v>
      </c>
      <c r="B3678" t="s">
        <v>7369</v>
      </c>
      <c r="C3678" t="s">
        <v>10</v>
      </c>
      <c r="D3678">
        <v>42</v>
      </c>
      <c r="E3678" t="s">
        <v>87</v>
      </c>
      <c r="F3678" t="s">
        <v>88</v>
      </c>
      <c r="G3678" t="s">
        <v>78</v>
      </c>
      <c r="H3678" s="1">
        <v>44660</v>
      </c>
    </row>
    <row r="3679" spans="1:8">
      <c r="A3679" t="s">
        <v>7370</v>
      </c>
      <c r="B3679" t="s">
        <v>7371</v>
      </c>
      <c r="C3679" t="s">
        <v>31</v>
      </c>
      <c r="D3679">
        <v>23</v>
      </c>
      <c r="E3679" t="s">
        <v>60</v>
      </c>
      <c r="F3679" t="s">
        <v>21</v>
      </c>
      <c r="G3679" t="s">
        <v>22</v>
      </c>
      <c r="H3679" s="1">
        <v>45889</v>
      </c>
    </row>
    <row r="3680" spans="1:8">
      <c r="A3680" t="s">
        <v>7372</v>
      </c>
      <c r="B3680" t="s">
        <v>7373</v>
      </c>
      <c r="C3680" t="s">
        <v>31</v>
      </c>
      <c r="D3680">
        <v>21</v>
      </c>
      <c r="E3680" t="s">
        <v>218</v>
      </c>
      <c r="F3680" t="s">
        <v>219</v>
      </c>
      <c r="G3680" t="s">
        <v>17</v>
      </c>
      <c r="H3680" s="1">
        <v>44711</v>
      </c>
    </row>
    <row r="3681" spans="1:8">
      <c r="A3681" t="s">
        <v>7374</v>
      </c>
      <c r="B3681" t="s">
        <v>7375</v>
      </c>
      <c r="C3681" t="s">
        <v>10</v>
      </c>
      <c r="D3681">
        <v>55</v>
      </c>
      <c r="E3681" t="s">
        <v>101</v>
      </c>
      <c r="F3681" t="s">
        <v>21</v>
      </c>
      <c r="G3681" t="s">
        <v>22</v>
      </c>
      <c r="H3681" s="1">
        <v>45851</v>
      </c>
    </row>
    <row r="3682" spans="1:8">
      <c r="A3682" t="s">
        <v>7376</v>
      </c>
      <c r="B3682" t="s">
        <v>7377</v>
      </c>
      <c r="C3682" t="s">
        <v>10</v>
      </c>
      <c r="D3682">
        <v>21</v>
      </c>
      <c r="E3682" t="s">
        <v>112</v>
      </c>
      <c r="F3682" t="s">
        <v>113</v>
      </c>
      <c r="G3682" t="s">
        <v>78</v>
      </c>
      <c r="H3682" s="1">
        <v>45846</v>
      </c>
    </row>
    <row r="3683" spans="1:8">
      <c r="A3683" t="s">
        <v>7378</v>
      </c>
      <c r="B3683" t="s">
        <v>7379</v>
      </c>
      <c r="C3683" t="s">
        <v>31</v>
      </c>
      <c r="D3683">
        <v>35</v>
      </c>
      <c r="E3683" t="s">
        <v>63</v>
      </c>
      <c r="F3683" t="s">
        <v>64</v>
      </c>
      <c r="G3683" t="s">
        <v>12</v>
      </c>
      <c r="H3683" s="1">
        <v>45867</v>
      </c>
    </row>
    <row r="3684" spans="1:8">
      <c r="A3684" t="s">
        <v>7380</v>
      </c>
      <c r="B3684" t="s">
        <v>7381</v>
      </c>
      <c r="C3684" t="s">
        <v>31</v>
      </c>
      <c r="D3684">
        <v>56</v>
      </c>
      <c r="E3684" t="s">
        <v>41</v>
      </c>
      <c r="F3684" t="s">
        <v>42</v>
      </c>
      <c r="G3684" t="s">
        <v>17</v>
      </c>
      <c r="H3684" s="1">
        <v>45464</v>
      </c>
    </row>
    <row r="3685" spans="1:8">
      <c r="A3685" t="s">
        <v>7382</v>
      </c>
      <c r="B3685" t="s">
        <v>7383</v>
      </c>
      <c r="C3685" t="s">
        <v>31</v>
      </c>
      <c r="D3685">
        <v>26</v>
      </c>
      <c r="E3685" t="s">
        <v>34</v>
      </c>
      <c r="F3685" t="s">
        <v>16</v>
      </c>
      <c r="G3685" t="s">
        <v>17</v>
      </c>
      <c r="H3685" s="1">
        <v>44681</v>
      </c>
    </row>
    <row r="3686" spans="1:8">
      <c r="A3686" t="s">
        <v>7384</v>
      </c>
      <c r="B3686" t="s">
        <v>7385</v>
      </c>
      <c r="C3686" t="s">
        <v>10</v>
      </c>
      <c r="D3686">
        <v>56</v>
      </c>
      <c r="E3686" t="s">
        <v>69</v>
      </c>
      <c r="F3686" t="s">
        <v>69</v>
      </c>
      <c r="G3686" t="s">
        <v>12</v>
      </c>
      <c r="H3686" s="1">
        <v>45937</v>
      </c>
    </row>
    <row r="3687" spans="1:8">
      <c r="A3687" t="s">
        <v>7386</v>
      </c>
      <c r="B3687" t="s">
        <v>7387</v>
      </c>
      <c r="C3687" t="s">
        <v>10</v>
      </c>
      <c r="D3687">
        <v>65</v>
      </c>
      <c r="E3687" t="s">
        <v>15</v>
      </c>
      <c r="F3687" t="s">
        <v>16</v>
      </c>
      <c r="G3687" t="s">
        <v>17</v>
      </c>
      <c r="H3687" s="1">
        <v>45699</v>
      </c>
    </row>
    <row r="3688" spans="1:8">
      <c r="A3688" t="s">
        <v>7388</v>
      </c>
      <c r="B3688" t="s">
        <v>7389</v>
      </c>
      <c r="C3688" t="s">
        <v>10</v>
      </c>
      <c r="D3688">
        <v>28</v>
      </c>
      <c r="E3688" t="s">
        <v>112</v>
      </c>
      <c r="F3688" t="s">
        <v>113</v>
      </c>
      <c r="G3688" t="s">
        <v>78</v>
      </c>
      <c r="H3688" s="1">
        <v>45349</v>
      </c>
    </row>
    <row r="3689" spans="1:8">
      <c r="A3689" t="s">
        <v>7390</v>
      </c>
      <c r="B3689" t="s">
        <v>7391</v>
      </c>
      <c r="C3689" t="s">
        <v>31</v>
      </c>
      <c r="D3689">
        <v>19</v>
      </c>
      <c r="E3689" t="s">
        <v>60</v>
      </c>
      <c r="F3689" t="s">
        <v>21</v>
      </c>
      <c r="G3689" t="s">
        <v>22</v>
      </c>
      <c r="H3689" s="1">
        <v>44698</v>
      </c>
    </row>
    <row r="3690" spans="1:8">
      <c r="A3690" t="s">
        <v>7392</v>
      </c>
      <c r="B3690" t="s">
        <v>7393</v>
      </c>
      <c r="C3690" t="s">
        <v>31</v>
      </c>
      <c r="D3690">
        <v>22</v>
      </c>
      <c r="E3690" t="s">
        <v>60</v>
      </c>
      <c r="F3690" t="s">
        <v>21</v>
      </c>
      <c r="G3690" t="s">
        <v>22</v>
      </c>
      <c r="H3690" s="1">
        <v>45943</v>
      </c>
    </row>
    <row r="3691" spans="1:8">
      <c r="A3691" t="s">
        <v>7394</v>
      </c>
      <c r="B3691" t="s">
        <v>7395</v>
      </c>
      <c r="C3691" t="s">
        <v>31</v>
      </c>
      <c r="D3691">
        <v>32</v>
      </c>
      <c r="E3691" t="s">
        <v>76</v>
      </c>
      <c r="F3691" t="s">
        <v>77</v>
      </c>
      <c r="G3691" t="s">
        <v>78</v>
      </c>
      <c r="H3691" s="1">
        <v>44977</v>
      </c>
    </row>
    <row r="3692" spans="1:8">
      <c r="A3692" t="s">
        <v>7396</v>
      </c>
      <c r="B3692" t="s">
        <v>7397</v>
      </c>
      <c r="C3692" t="s">
        <v>31</v>
      </c>
      <c r="D3692">
        <v>63</v>
      </c>
      <c r="E3692" t="s">
        <v>34</v>
      </c>
      <c r="F3692" t="s">
        <v>16</v>
      </c>
      <c r="G3692" t="s">
        <v>17</v>
      </c>
      <c r="H3692" s="1">
        <v>45205</v>
      </c>
    </row>
    <row r="3693" spans="1:8">
      <c r="A3693" t="s">
        <v>7398</v>
      </c>
      <c r="B3693" t="s">
        <v>7399</v>
      </c>
      <c r="C3693" t="s">
        <v>31</v>
      </c>
      <c r="D3693">
        <v>24</v>
      </c>
      <c r="E3693" t="s">
        <v>76</v>
      </c>
      <c r="F3693" t="s">
        <v>77</v>
      </c>
      <c r="G3693" t="s">
        <v>78</v>
      </c>
      <c r="H3693" s="1">
        <v>45268</v>
      </c>
    </row>
    <row r="3694" spans="1:8">
      <c r="A3694" t="s">
        <v>7400</v>
      </c>
      <c r="B3694" t="s">
        <v>7401</v>
      </c>
      <c r="C3694" t="s">
        <v>10</v>
      </c>
      <c r="D3694">
        <v>31</v>
      </c>
      <c r="E3694" t="s">
        <v>20</v>
      </c>
      <c r="F3694" t="s">
        <v>21</v>
      </c>
      <c r="G3694" t="s">
        <v>22</v>
      </c>
      <c r="H3694" s="1">
        <v>45512</v>
      </c>
    </row>
    <row r="3695" spans="1:8">
      <c r="A3695" t="s">
        <v>7402</v>
      </c>
      <c r="B3695" t="s">
        <v>7403</v>
      </c>
      <c r="C3695" t="s">
        <v>10</v>
      </c>
      <c r="D3695">
        <v>23</v>
      </c>
      <c r="E3695" t="s">
        <v>76</v>
      </c>
      <c r="F3695" t="s">
        <v>77</v>
      </c>
      <c r="G3695" t="s">
        <v>78</v>
      </c>
      <c r="H3695" s="1">
        <v>45950</v>
      </c>
    </row>
    <row r="3696" spans="1:8">
      <c r="A3696" t="s">
        <v>7404</v>
      </c>
      <c r="B3696" t="s">
        <v>7405</v>
      </c>
      <c r="C3696" t="s">
        <v>10</v>
      </c>
      <c r="D3696">
        <v>32</v>
      </c>
      <c r="E3696" t="s">
        <v>11</v>
      </c>
      <c r="F3696" t="s">
        <v>11</v>
      </c>
      <c r="G3696" t="s">
        <v>12</v>
      </c>
      <c r="H3696" s="1">
        <v>45339</v>
      </c>
    </row>
    <row r="3697" spans="1:8">
      <c r="A3697" t="s">
        <v>7406</v>
      </c>
      <c r="B3697" t="s">
        <v>7407</v>
      </c>
      <c r="C3697" t="s">
        <v>31</v>
      </c>
      <c r="D3697">
        <v>26</v>
      </c>
      <c r="E3697" t="s">
        <v>63</v>
      </c>
      <c r="F3697" t="s">
        <v>64</v>
      </c>
      <c r="G3697" t="s">
        <v>12</v>
      </c>
      <c r="H3697" s="1">
        <v>45613</v>
      </c>
    </row>
    <row r="3698" spans="1:8">
      <c r="A3698" t="s">
        <v>7408</v>
      </c>
      <c r="B3698" t="s">
        <v>7409</v>
      </c>
      <c r="C3698" t="s">
        <v>31</v>
      </c>
      <c r="D3698">
        <v>42</v>
      </c>
      <c r="E3698" t="s">
        <v>60</v>
      </c>
      <c r="F3698" t="s">
        <v>21</v>
      </c>
      <c r="G3698" t="s">
        <v>22</v>
      </c>
      <c r="H3698" s="1">
        <v>45736</v>
      </c>
    </row>
    <row r="3699" spans="1:8">
      <c r="A3699" t="s">
        <v>7410</v>
      </c>
      <c r="B3699" t="s">
        <v>7411</v>
      </c>
      <c r="C3699" t="s">
        <v>10</v>
      </c>
      <c r="D3699">
        <v>60</v>
      </c>
      <c r="E3699" t="s">
        <v>34</v>
      </c>
      <c r="F3699" t="s">
        <v>16</v>
      </c>
      <c r="G3699" t="s">
        <v>17</v>
      </c>
      <c r="H3699" s="1">
        <v>45478</v>
      </c>
    </row>
    <row r="3700" spans="1:8">
      <c r="A3700" t="s">
        <v>7412</v>
      </c>
      <c r="B3700" t="s">
        <v>7413</v>
      </c>
      <c r="C3700" t="s">
        <v>10</v>
      </c>
      <c r="D3700">
        <v>64</v>
      </c>
      <c r="E3700" t="s">
        <v>37</v>
      </c>
      <c r="F3700" t="s">
        <v>38</v>
      </c>
      <c r="G3700" t="s">
        <v>22</v>
      </c>
      <c r="H3700" s="1">
        <v>45103</v>
      </c>
    </row>
    <row r="3701" spans="1:8">
      <c r="A3701" t="s">
        <v>7414</v>
      </c>
      <c r="B3701" t="s">
        <v>7415</v>
      </c>
      <c r="C3701" t="s">
        <v>10</v>
      </c>
      <c r="D3701">
        <v>27</v>
      </c>
      <c r="E3701" t="s">
        <v>128</v>
      </c>
      <c r="F3701" t="s">
        <v>129</v>
      </c>
      <c r="G3701" t="s">
        <v>78</v>
      </c>
      <c r="H3701" s="1">
        <v>45223</v>
      </c>
    </row>
    <row r="3702" spans="1:8">
      <c r="A3702" t="s">
        <v>7416</v>
      </c>
      <c r="B3702" t="s">
        <v>7417</v>
      </c>
      <c r="C3702" t="s">
        <v>10</v>
      </c>
      <c r="D3702">
        <v>70</v>
      </c>
      <c r="E3702" t="s">
        <v>91</v>
      </c>
      <c r="F3702" t="s">
        <v>92</v>
      </c>
      <c r="G3702" t="s">
        <v>78</v>
      </c>
      <c r="H3702" s="1">
        <v>45607</v>
      </c>
    </row>
    <row r="3703" spans="1:8">
      <c r="A3703" t="s">
        <v>7418</v>
      </c>
      <c r="B3703" t="s">
        <v>7419</v>
      </c>
      <c r="C3703" t="s">
        <v>10</v>
      </c>
      <c r="D3703">
        <v>33</v>
      </c>
      <c r="E3703" t="s">
        <v>45</v>
      </c>
      <c r="F3703" t="s">
        <v>46</v>
      </c>
      <c r="G3703" t="s">
        <v>17</v>
      </c>
      <c r="H3703" s="1">
        <v>45145</v>
      </c>
    </row>
    <row r="3704" spans="1:8">
      <c r="A3704" t="s">
        <v>7420</v>
      </c>
      <c r="B3704" t="s">
        <v>7421</v>
      </c>
      <c r="C3704" t="s">
        <v>31</v>
      </c>
      <c r="D3704">
        <v>48</v>
      </c>
      <c r="E3704" t="s">
        <v>37</v>
      </c>
      <c r="F3704" t="s">
        <v>38</v>
      </c>
      <c r="G3704" t="s">
        <v>22</v>
      </c>
      <c r="H3704" s="1">
        <v>44770</v>
      </c>
    </row>
    <row r="3705" spans="1:8">
      <c r="A3705" t="s">
        <v>7422</v>
      </c>
      <c r="B3705" t="s">
        <v>7423</v>
      </c>
      <c r="C3705" t="s">
        <v>31</v>
      </c>
      <c r="D3705">
        <v>60</v>
      </c>
      <c r="E3705" t="s">
        <v>101</v>
      </c>
      <c r="F3705" t="s">
        <v>21</v>
      </c>
      <c r="G3705" t="s">
        <v>22</v>
      </c>
      <c r="H3705" s="1">
        <v>45510</v>
      </c>
    </row>
    <row r="3706" spans="1:8">
      <c r="A3706" t="s">
        <v>7424</v>
      </c>
      <c r="B3706" t="s">
        <v>7425</v>
      </c>
      <c r="C3706" t="s">
        <v>10</v>
      </c>
      <c r="D3706">
        <v>28</v>
      </c>
      <c r="E3706" t="s">
        <v>101</v>
      </c>
      <c r="F3706" t="s">
        <v>21</v>
      </c>
      <c r="G3706" t="s">
        <v>22</v>
      </c>
      <c r="H3706" s="1">
        <v>44715</v>
      </c>
    </row>
    <row r="3707" spans="1:8">
      <c r="A3707" t="s">
        <v>7426</v>
      </c>
      <c r="B3707" t="s">
        <v>7427</v>
      </c>
      <c r="C3707" t="s">
        <v>10</v>
      </c>
      <c r="D3707">
        <v>24</v>
      </c>
      <c r="E3707" t="s">
        <v>69</v>
      </c>
      <c r="F3707" t="s">
        <v>69</v>
      </c>
      <c r="G3707" t="s">
        <v>12</v>
      </c>
      <c r="H3707" s="1">
        <v>45768</v>
      </c>
    </row>
    <row r="3708" spans="1:8">
      <c r="A3708" t="s">
        <v>7428</v>
      </c>
      <c r="B3708" t="s">
        <v>7429</v>
      </c>
      <c r="C3708" t="s">
        <v>31</v>
      </c>
      <c r="D3708">
        <v>28</v>
      </c>
      <c r="E3708" t="s">
        <v>134</v>
      </c>
      <c r="F3708" t="s">
        <v>28</v>
      </c>
      <c r="G3708" t="s">
        <v>12</v>
      </c>
      <c r="H3708" s="1">
        <v>45625</v>
      </c>
    </row>
    <row r="3709" spans="1:8">
      <c r="A3709" t="s">
        <v>7430</v>
      </c>
      <c r="B3709" t="s">
        <v>7431</v>
      </c>
      <c r="C3709" t="s">
        <v>31</v>
      </c>
      <c r="D3709">
        <v>32</v>
      </c>
      <c r="E3709" t="s">
        <v>37</v>
      </c>
      <c r="F3709" t="s">
        <v>38</v>
      </c>
      <c r="G3709" t="s">
        <v>22</v>
      </c>
      <c r="H3709" s="1">
        <v>45568</v>
      </c>
    </row>
    <row r="3710" spans="1:8">
      <c r="A3710" t="s">
        <v>7432</v>
      </c>
      <c r="B3710" t="s">
        <v>7433</v>
      </c>
      <c r="C3710" t="s">
        <v>10</v>
      </c>
      <c r="D3710">
        <v>25</v>
      </c>
      <c r="E3710" t="s">
        <v>63</v>
      </c>
      <c r="F3710" t="s">
        <v>64</v>
      </c>
      <c r="G3710" t="s">
        <v>12</v>
      </c>
      <c r="H3710" s="1">
        <v>45666</v>
      </c>
    </row>
    <row r="3711" spans="1:8">
      <c r="A3711" t="s">
        <v>7434</v>
      </c>
      <c r="B3711" t="s">
        <v>7435</v>
      </c>
      <c r="C3711" t="s">
        <v>31</v>
      </c>
      <c r="D3711">
        <v>44</v>
      </c>
      <c r="E3711" t="s">
        <v>76</v>
      </c>
      <c r="F3711" t="s">
        <v>77</v>
      </c>
      <c r="G3711" t="s">
        <v>78</v>
      </c>
      <c r="H3711" s="1">
        <v>45675</v>
      </c>
    </row>
    <row r="3712" spans="1:8">
      <c r="A3712" t="s">
        <v>7436</v>
      </c>
      <c r="B3712" t="s">
        <v>7437</v>
      </c>
      <c r="C3712" t="s">
        <v>31</v>
      </c>
      <c r="D3712">
        <v>65</v>
      </c>
      <c r="E3712" t="s">
        <v>34</v>
      </c>
      <c r="F3712" t="s">
        <v>16</v>
      </c>
      <c r="G3712" t="s">
        <v>17</v>
      </c>
      <c r="H3712" s="1">
        <v>45734</v>
      </c>
    </row>
    <row r="3713" spans="1:8">
      <c r="A3713" t="s">
        <v>7438</v>
      </c>
      <c r="B3713" t="s">
        <v>7439</v>
      </c>
      <c r="C3713" t="s">
        <v>31</v>
      </c>
      <c r="D3713">
        <v>43</v>
      </c>
      <c r="E3713" t="s">
        <v>218</v>
      </c>
      <c r="F3713" t="s">
        <v>219</v>
      </c>
      <c r="G3713" t="s">
        <v>17</v>
      </c>
      <c r="H3713" s="1">
        <v>45677</v>
      </c>
    </row>
    <row r="3714" spans="1:8">
      <c r="A3714" t="s">
        <v>7440</v>
      </c>
      <c r="B3714" t="s">
        <v>7441</v>
      </c>
      <c r="C3714" t="s">
        <v>31</v>
      </c>
      <c r="D3714">
        <v>62</v>
      </c>
      <c r="E3714" t="s">
        <v>11</v>
      </c>
      <c r="F3714" t="s">
        <v>11</v>
      </c>
      <c r="G3714" t="s">
        <v>12</v>
      </c>
      <c r="H3714" s="1">
        <v>45490</v>
      </c>
    </row>
    <row r="3715" spans="1:8">
      <c r="A3715" t="s">
        <v>7442</v>
      </c>
      <c r="B3715" t="s">
        <v>7443</v>
      </c>
      <c r="C3715" t="s">
        <v>31</v>
      </c>
      <c r="D3715">
        <v>51</v>
      </c>
      <c r="E3715" t="s">
        <v>41</v>
      </c>
      <c r="F3715" t="s">
        <v>42</v>
      </c>
      <c r="G3715" t="s">
        <v>17</v>
      </c>
      <c r="H3715" s="1">
        <v>45045</v>
      </c>
    </row>
    <row r="3716" spans="1:8">
      <c r="A3716" t="s">
        <v>7444</v>
      </c>
      <c r="B3716" t="s">
        <v>7445</v>
      </c>
      <c r="C3716" t="s">
        <v>31</v>
      </c>
      <c r="D3716">
        <v>66</v>
      </c>
      <c r="E3716" t="s">
        <v>63</v>
      </c>
      <c r="F3716" t="s">
        <v>64</v>
      </c>
      <c r="G3716" t="s">
        <v>12</v>
      </c>
      <c r="H3716" s="1">
        <v>44593</v>
      </c>
    </row>
    <row r="3717" spans="1:8">
      <c r="A3717" t="s">
        <v>7446</v>
      </c>
      <c r="B3717" t="s">
        <v>7447</v>
      </c>
      <c r="C3717" t="s">
        <v>10</v>
      </c>
      <c r="D3717">
        <v>60</v>
      </c>
      <c r="E3717" t="s">
        <v>218</v>
      </c>
      <c r="F3717" t="s">
        <v>219</v>
      </c>
      <c r="G3717" t="s">
        <v>17</v>
      </c>
      <c r="H3717" s="1">
        <v>44856</v>
      </c>
    </row>
    <row r="3718" spans="1:8">
      <c r="A3718" t="s">
        <v>7448</v>
      </c>
      <c r="B3718" t="s">
        <v>7449</v>
      </c>
      <c r="C3718" t="s">
        <v>31</v>
      </c>
      <c r="D3718">
        <v>38</v>
      </c>
      <c r="E3718" t="s">
        <v>76</v>
      </c>
      <c r="F3718" t="s">
        <v>77</v>
      </c>
      <c r="G3718" t="s">
        <v>78</v>
      </c>
      <c r="H3718" s="1">
        <v>45020</v>
      </c>
    </row>
    <row r="3719" spans="1:8">
      <c r="A3719" t="s">
        <v>7450</v>
      </c>
      <c r="B3719" t="s">
        <v>7451</v>
      </c>
      <c r="C3719" t="s">
        <v>31</v>
      </c>
      <c r="D3719">
        <v>18</v>
      </c>
      <c r="E3719" t="s">
        <v>11</v>
      </c>
      <c r="F3719" t="s">
        <v>11</v>
      </c>
      <c r="G3719" t="s">
        <v>12</v>
      </c>
      <c r="H3719" s="1">
        <v>45367</v>
      </c>
    </row>
    <row r="3720" spans="1:8">
      <c r="A3720" t="s">
        <v>7452</v>
      </c>
      <c r="B3720" t="s">
        <v>7453</v>
      </c>
      <c r="C3720" t="s">
        <v>10</v>
      </c>
      <c r="D3720">
        <v>61</v>
      </c>
      <c r="E3720" t="s">
        <v>27</v>
      </c>
      <c r="F3720" t="s">
        <v>28</v>
      </c>
      <c r="G3720" t="s">
        <v>12</v>
      </c>
      <c r="H3720" s="1">
        <v>45478</v>
      </c>
    </row>
    <row r="3721" spans="1:8">
      <c r="A3721" t="s">
        <v>7454</v>
      </c>
      <c r="B3721" t="s">
        <v>7455</v>
      </c>
      <c r="C3721" t="s">
        <v>10</v>
      </c>
      <c r="D3721">
        <v>51</v>
      </c>
      <c r="E3721" t="s">
        <v>218</v>
      </c>
      <c r="F3721" t="s">
        <v>219</v>
      </c>
      <c r="G3721" t="s">
        <v>17</v>
      </c>
      <c r="H3721" s="1">
        <v>44869</v>
      </c>
    </row>
    <row r="3722" spans="1:8">
      <c r="A3722" t="s">
        <v>7456</v>
      </c>
      <c r="B3722" t="s">
        <v>7457</v>
      </c>
      <c r="C3722" t="s">
        <v>10</v>
      </c>
      <c r="D3722">
        <v>38</v>
      </c>
      <c r="E3722" t="s">
        <v>63</v>
      </c>
      <c r="F3722" t="s">
        <v>64</v>
      </c>
      <c r="G3722" t="s">
        <v>12</v>
      </c>
      <c r="H3722" s="1">
        <v>44710</v>
      </c>
    </row>
    <row r="3723" spans="1:8">
      <c r="A3723" t="s">
        <v>7458</v>
      </c>
      <c r="B3723" t="s">
        <v>7459</v>
      </c>
      <c r="C3723" t="s">
        <v>10</v>
      </c>
      <c r="D3723">
        <v>53</v>
      </c>
      <c r="E3723" t="s">
        <v>149</v>
      </c>
      <c r="F3723" t="s">
        <v>38</v>
      </c>
      <c r="G3723" t="s">
        <v>22</v>
      </c>
      <c r="H3723" s="1">
        <v>45778</v>
      </c>
    </row>
    <row r="3724" spans="1:8">
      <c r="A3724" t="s">
        <v>7460</v>
      </c>
      <c r="B3724" t="s">
        <v>7461</v>
      </c>
      <c r="C3724" t="s">
        <v>31</v>
      </c>
      <c r="D3724">
        <v>57</v>
      </c>
      <c r="E3724" t="s">
        <v>134</v>
      </c>
      <c r="F3724" t="s">
        <v>28</v>
      </c>
      <c r="G3724" t="s">
        <v>12</v>
      </c>
      <c r="H3724" s="1">
        <v>45043</v>
      </c>
    </row>
    <row r="3725" spans="1:8">
      <c r="A3725" t="s">
        <v>7462</v>
      </c>
      <c r="B3725" t="s">
        <v>7463</v>
      </c>
      <c r="C3725" t="s">
        <v>10</v>
      </c>
      <c r="D3725">
        <v>28</v>
      </c>
      <c r="E3725" t="s">
        <v>134</v>
      </c>
      <c r="F3725" t="s">
        <v>28</v>
      </c>
      <c r="G3725" t="s">
        <v>12</v>
      </c>
      <c r="H3725" s="1">
        <v>45681</v>
      </c>
    </row>
    <row r="3726" spans="1:8">
      <c r="A3726" t="s">
        <v>7464</v>
      </c>
      <c r="B3726" t="s">
        <v>7465</v>
      </c>
      <c r="C3726" t="s">
        <v>10</v>
      </c>
      <c r="D3726">
        <v>56</v>
      </c>
      <c r="E3726" t="s">
        <v>15</v>
      </c>
      <c r="F3726" t="s">
        <v>16</v>
      </c>
      <c r="G3726" t="s">
        <v>17</v>
      </c>
      <c r="H3726" s="1">
        <v>45239</v>
      </c>
    </row>
    <row r="3727" spans="1:8">
      <c r="A3727" t="s">
        <v>7466</v>
      </c>
      <c r="B3727" t="s">
        <v>7467</v>
      </c>
      <c r="C3727" t="s">
        <v>31</v>
      </c>
      <c r="D3727">
        <v>64</v>
      </c>
      <c r="E3727" t="s">
        <v>63</v>
      </c>
      <c r="F3727" t="s">
        <v>64</v>
      </c>
      <c r="G3727" t="s">
        <v>12</v>
      </c>
      <c r="H3727" s="1">
        <v>45918</v>
      </c>
    </row>
    <row r="3728" spans="1:8">
      <c r="A3728" t="s">
        <v>7468</v>
      </c>
      <c r="B3728" t="s">
        <v>7469</v>
      </c>
      <c r="C3728" t="s">
        <v>31</v>
      </c>
      <c r="D3728">
        <v>59</v>
      </c>
      <c r="E3728" t="s">
        <v>134</v>
      </c>
      <c r="F3728" t="s">
        <v>28</v>
      </c>
      <c r="G3728" t="s">
        <v>12</v>
      </c>
      <c r="H3728" s="1">
        <v>45601</v>
      </c>
    </row>
    <row r="3729" spans="1:8">
      <c r="A3729" t="s">
        <v>7470</v>
      </c>
      <c r="B3729" t="s">
        <v>7471</v>
      </c>
      <c r="C3729" t="s">
        <v>10</v>
      </c>
      <c r="D3729">
        <v>59</v>
      </c>
      <c r="E3729" t="s">
        <v>218</v>
      </c>
      <c r="F3729" t="s">
        <v>219</v>
      </c>
      <c r="G3729" t="s">
        <v>17</v>
      </c>
      <c r="H3729" s="1">
        <v>45253</v>
      </c>
    </row>
    <row r="3730" spans="1:8">
      <c r="A3730" t="s">
        <v>7472</v>
      </c>
      <c r="B3730" t="s">
        <v>7473</v>
      </c>
      <c r="C3730" t="s">
        <v>31</v>
      </c>
      <c r="D3730">
        <v>69</v>
      </c>
      <c r="E3730" t="s">
        <v>45</v>
      </c>
      <c r="F3730" t="s">
        <v>46</v>
      </c>
      <c r="G3730" t="s">
        <v>17</v>
      </c>
      <c r="H3730" s="1">
        <v>45487</v>
      </c>
    </row>
    <row r="3731" spans="1:8">
      <c r="A3731" t="s">
        <v>7474</v>
      </c>
      <c r="B3731" t="s">
        <v>7475</v>
      </c>
      <c r="C3731" t="s">
        <v>31</v>
      </c>
      <c r="D3731">
        <v>23</v>
      </c>
      <c r="E3731" t="s">
        <v>11</v>
      </c>
      <c r="F3731" t="s">
        <v>11</v>
      </c>
      <c r="G3731" t="s">
        <v>12</v>
      </c>
      <c r="H3731" s="1">
        <v>45985</v>
      </c>
    </row>
    <row r="3732" spans="1:8">
      <c r="A3732" t="s">
        <v>7476</v>
      </c>
      <c r="B3732" t="s">
        <v>7477</v>
      </c>
      <c r="C3732" t="s">
        <v>31</v>
      </c>
      <c r="D3732">
        <v>46</v>
      </c>
      <c r="E3732" t="s">
        <v>101</v>
      </c>
      <c r="F3732" t="s">
        <v>21</v>
      </c>
      <c r="G3732" t="s">
        <v>22</v>
      </c>
      <c r="H3732" s="1">
        <v>45043</v>
      </c>
    </row>
    <row r="3733" spans="1:8">
      <c r="A3733" t="s">
        <v>7478</v>
      </c>
      <c r="B3733" t="s">
        <v>7479</v>
      </c>
      <c r="C3733" t="s">
        <v>10</v>
      </c>
      <c r="D3733">
        <v>19</v>
      </c>
      <c r="E3733" t="s">
        <v>101</v>
      </c>
      <c r="F3733" t="s">
        <v>21</v>
      </c>
      <c r="G3733" t="s">
        <v>22</v>
      </c>
      <c r="H3733" s="1">
        <v>45666</v>
      </c>
    </row>
    <row r="3734" spans="1:8">
      <c r="A3734" t="s">
        <v>7480</v>
      </c>
      <c r="B3734" t="s">
        <v>7481</v>
      </c>
      <c r="C3734" t="s">
        <v>31</v>
      </c>
      <c r="D3734">
        <v>67</v>
      </c>
      <c r="E3734" t="s">
        <v>112</v>
      </c>
      <c r="F3734" t="s">
        <v>113</v>
      </c>
      <c r="G3734" t="s">
        <v>78</v>
      </c>
      <c r="H3734" s="1">
        <v>45124</v>
      </c>
    </row>
    <row r="3735" spans="1:8">
      <c r="A3735" t="s">
        <v>7482</v>
      </c>
      <c r="B3735" t="s">
        <v>7483</v>
      </c>
      <c r="C3735" t="s">
        <v>31</v>
      </c>
      <c r="D3735">
        <v>49</v>
      </c>
      <c r="E3735" t="s">
        <v>218</v>
      </c>
      <c r="F3735" t="s">
        <v>219</v>
      </c>
      <c r="G3735" t="s">
        <v>17</v>
      </c>
      <c r="H3735" s="1">
        <v>44692</v>
      </c>
    </row>
    <row r="3736" spans="1:8">
      <c r="A3736" t="s">
        <v>7484</v>
      </c>
      <c r="B3736" t="s">
        <v>7485</v>
      </c>
      <c r="C3736" t="s">
        <v>10</v>
      </c>
      <c r="D3736">
        <v>57</v>
      </c>
      <c r="E3736" t="s">
        <v>69</v>
      </c>
      <c r="F3736" t="s">
        <v>69</v>
      </c>
      <c r="G3736" t="s">
        <v>12</v>
      </c>
      <c r="H3736" s="1">
        <v>45349</v>
      </c>
    </row>
    <row r="3737" spans="1:8">
      <c r="A3737" t="s">
        <v>7486</v>
      </c>
      <c r="B3737" t="s">
        <v>7487</v>
      </c>
      <c r="C3737" t="s">
        <v>31</v>
      </c>
      <c r="D3737">
        <v>63</v>
      </c>
      <c r="E3737" t="s">
        <v>149</v>
      </c>
      <c r="F3737" t="s">
        <v>38</v>
      </c>
      <c r="G3737" t="s">
        <v>22</v>
      </c>
      <c r="H3737" s="1">
        <v>45597</v>
      </c>
    </row>
    <row r="3738" spans="1:8">
      <c r="A3738" t="s">
        <v>7488</v>
      </c>
      <c r="B3738" t="s">
        <v>7489</v>
      </c>
      <c r="C3738" t="s">
        <v>10</v>
      </c>
      <c r="D3738">
        <v>49</v>
      </c>
      <c r="E3738" t="s">
        <v>76</v>
      </c>
      <c r="F3738" t="s">
        <v>77</v>
      </c>
      <c r="G3738" t="s">
        <v>78</v>
      </c>
      <c r="H3738" s="1">
        <v>45217</v>
      </c>
    </row>
    <row r="3739" spans="1:8">
      <c r="A3739" t="s">
        <v>7490</v>
      </c>
      <c r="B3739" t="s">
        <v>7491</v>
      </c>
      <c r="C3739" t="s">
        <v>31</v>
      </c>
      <c r="D3739">
        <v>61</v>
      </c>
      <c r="E3739" t="s">
        <v>87</v>
      </c>
      <c r="F3739" t="s">
        <v>88</v>
      </c>
      <c r="G3739" t="s">
        <v>78</v>
      </c>
      <c r="H3739" s="1">
        <v>45879</v>
      </c>
    </row>
    <row r="3740" spans="1:8">
      <c r="A3740" t="s">
        <v>7492</v>
      </c>
      <c r="B3740" t="s">
        <v>7493</v>
      </c>
      <c r="C3740" t="s">
        <v>10</v>
      </c>
      <c r="D3740">
        <v>61</v>
      </c>
      <c r="E3740" t="s">
        <v>149</v>
      </c>
      <c r="F3740" t="s">
        <v>38</v>
      </c>
      <c r="G3740" t="s">
        <v>22</v>
      </c>
      <c r="H3740" s="1">
        <v>45879</v>
      </c>
    </row>
    <row r="3741" spans="1:8">
      <c r="A3741" t="s">
        <v>7494</v>
      </c>
      <c r="B3741" t="s">
        <v>7495</v>
      </c>
      <c r="C3741" t="s">
        <v>10</v>
      </c>
      <c r="D3741">
        <v>62</v>
      </c>
      <c r="E3741" t="s">
        <v>63</v>
      </c>
      <c r="F3741" t="s">
        <v>64</v>
      </c>
      <c r="G3741" t="s">
        <v>12</v>
      </c>
      <c r="H3741" s="1">
        <v>45317</v>
      </c>
    </row>
    <row r="3742" spans="1:8">
      <c r="A3742" t="s">
        <v>7496</v>
      </c>
      <c r="B3742" t="s">
        <v>7497</v>
      </c>
      <c r="C3742" t="s">
        <v>31</v>
      </c>
      <c r="D3742">
        <v>66</v>
      </c>
      <c r="E3742" t="s">
        <v>15</v>
      </c>
      <c r="F3742" t="s">
        <v>16</v>
      </c>
      <c r="G3742" t="s">
        <v>17</v>
      </c>
      <c r="H3742" s="1">
        <v>45920</v>
      </c>
    </row>
    <row r="3743" spans="1:8">
      <c r="A3743" t="s">
        <v>7498</v>
      </c>
      <c r="B3743" t="s">
        <v>7499</v>
      </c>
      <c r="C3743" t="s">
        <v>31</v>
      </c>
      <c r="D3743">
        <v>61</v>
      </c>
      <c r="E3743" t="s">
        <v>112</v>
      </c>
      <c r="F3743" t="s">
        <v>113</v>
      </c>
      <c r="G3743" t="s">
        <v>78</v>
      </c>
      <c r="H3743" s="1">
        <v>45830</v>
      </c>
    </row>
    <row r="3744" spans="1:8">
      <c r="A3744" t="s">
        <v>7500</v>
      </c>
      <c r="B3744" t="s">
        <v>7501</v>
      </c>
      <c r="C3744" t="s">
        <v>10</v>
      </c>
      <c r="D3744">
        <v>28</v>
      </c>
      <c r="E3744" t="s">
        <v>20</v>
      </c>
      <c r="F3744" t="s">
        <v>21</v>
      </c>
      <c r="G3744" t="s">
        <v>22</v>
      </c>
      <c r="H3744" s="1">
        <v>44624</v>
      </c>
    </row>
    <row r="3745" spans="1:8">
      <c r="A3745" t="s">
        <v>7502</v>
      </c>
      <c r="B3745" t="s">
        <v>7503</v>
      </c>
      <c r="C3745" t="s">
        <v>31</v>
      </c>
      <c r="D3745">
        <v>41</v>
      </c>
      <c r="E3745" t="s">
        <v>218</v>
      </c>
      <c r="F3745" t="s">
        <v>219</v>
      </c>
      <c r="G3745" t="s">
        <v>17</v>
      </c>
      <c r="H3745" s="1">
        <v>44922</v>
      </c>
    </row>
    <row r="3746" spans="1:8">
      <c r="A3746" t="s">
        <v>7504</v>
      </c>
      <c r="B3746" t="s">
        <v>7505</v>
      </c>
      <c r="C3746" t="s">
        <v>31</v>
      </c>
      <c r="D3746">
        <v>47</v>
      </c>
      <c r="E3746" t="s">
        <v>34</v>
      </c>
      <c r="F3746" t="s">
        <v>16</v>
      </c>
      <c r="G3746" t="s">
        <v>17</v>
      </c>
      <c r="H3746" s="1">
        <v>45634</v>
      </c>
    </row>
    <row r="3747" spans="1:8">
      <c r="A3747" t="s">
        <v>7506</v>
      </c>
      <c r="B3747" t="s">
        <v>7507</v>
      </c>
      <c r="C3747" t="s">
        <v>31</v>
      </c>
      <c r="D3747">
        <v>70</v>
      </c>
      <c r="E3747" t="s">
        <v>63</v>
      </c>
      <c r="F3747" t="s">
        <v>64</v>
      </c>
      <c r="G3747" t="s">
        <v>12</v>
      </c>
      <c r="H3747" s="1">
        <v>44849</v>
      </c>
    </row>
    <row r="3748" spans="1:8">
      <c r="A3748" t="s">
        <v>7508</v>
      </c>
      <c r="B3748" t="s">
        <v>7509</v>
      </c>
      <c r="C3748" t="s">
        <v>10</v>
      </c>
      <c r="D3748">
        <v>58</v>
      </c>
      <c r="E3748" t="s">
        <v>134</v>
      </c>
      <c r="F3748" t="s">
        <v>28</v>
      </c>
      <c r="G3748" t="s">
        <v>12</v>
      </c>
      <c r="H3748" s="1">
        <v>44942</v>
      </c>
    </row>
    <row r="3749" spans="1:8">
      <c r="A3749" t="s">
        <v>7510</v>
      </c>
      <c r="B3749" t="s">
        <v>7511</v>
      </c>
      <c r="C3749" t="s">
        <v>31</v>
      </c>
      <c r="D3749">
        <v>68</v>
      </c>
      <c r="E3749" t="s">
        <v>128</v>
      </c>
      <c r="F3749" t="s">
        <v>129</v>
      </c>
      <c r="G3749" t="s">
        <v>78</v>
      </c>
      <c r="H3749" s="1">
        <v>45741</v>
      </c>
    </row>
    <row r="3750" spans="1:8">
      <c r="A3750" t="s">
        <v>7512</v>
      </c>
      <c r="B3750" t="s">
        <v>7513</v>
      </c>
      <c r="C3750" t="s">
        <v>10</v>
      </c>
      <c r="D3750">
        <v>39</v>
      </c>
      <c r="E3750" t="s">
        <v>101</v>
      </c>
      <c r="F3750" t="s">
        <v>21</v>
      </c>
      <c r="G3750" t="s">
        <v>22</v>
      </c>
      <c r="H3750" s="1">
        <v>44960</v>
      </c>
    </row>
    <row r="3751" spans="1:8">
      <c r="A3751" t="s">
        <v>7514</v>
      </c>
      <c r="B3751" t="s">
        <v>7515</v>
      </c>
      <c r="C3751" t="s">
        <v>31</v>
      </c>
      <c r="D3751">
        <v>29</v>
      </c>
      <c r="E3751" t="s">
        <v>37</v>
      </c>
      <c r="F3751" t="s">
        <v>38</v>
      </c>
      <c r="G3751" t="s">
        <v>22</v>
      </c>
      <c r="H3751" s="1">
        <v>44725</v>
      </c>
    </row>
    <row r="3752" spans="1:8">
      <c r="A3752" t="s">
        <v>7516</v>
      </c>
      <c r="B3752" t="s">
        <v>7517</v>
      </c>
      <c r="C3752" t="s">
        <v>10</v>
      </c>
      <c r="D3752">
        <v>39</v>
      </c>
      <c r="E3752" t="s">
        <v>37</v>
      </c>
      <c r="F3752" t="s">
        <v>38</v>
      </c>
      <c r="G3752" t="s">
        <v>22</v>
      </c>
      <c r="H3752" s="1">
        <v>45551</v>
      </c>
    </row>
    <row r="3753" spans="1:8">
      <c r="A3753" t="s">
        <v>7518</v>
      </c>
      <c r="B3753" t="s">
        <v>7519</v>
      </c>
      <c r="C3753" t="s">
        <v>31</v>
      </c>
      <c r="D3753">
        <v>55</v>
      </c>
      <c r="E3753" t="s">
        <v>60</v>
      </c>
      <c r="F3753" t="s">
        <v>21</v>
      </c>
      <c r="G3753" t="s">
        <v>22</v>
      </c>
      <c r="H3753" s="1">
        <v>44913</v>
      </c>
    </row>
    <row r="3754" spans="1:8">
      <c r="A3754" t="s">
        <v>7520</v>
      </c>
      <c r="B3754" t="s">
        <v>7521</v>
      </c>
      <c r="C3754" t="s">
        <v>31</v>
      </c>
      <c r="D3754">
        <v>24</v>
      </c>
      <c r="E3754" t="s">
        <v>34</v>
      </c>
      <c r="F3754" t="s">
        <v>16</v>
      </c>
      <c r="G3754" t="s">
        <v>17</v>
      </c>
      <c r="H3754" s="1">
        <v>45265</v>
      </c>
    </row>
    <row r="3755" spans="1:8">
      <c r="A3755" t="s">
        <v>7522</v>
      </c>
      <c r="B3755" t="s">
        <v>7523</v>
      </c>
      <c r="C3755" t="s">
        <v>31</v>
      </c>
      <c r="D3755">
        <v>41</v>
      </c>
      <c r="E3755" t="s">
        <v>218</v>
      </c>
      <c r="F3755" t="s">
        <v>219</v>
      </c>
      <c r="G3755" t="s">
        <v>17</v>
      </c>
      <c r="H3755" s="1">
        <v>44779</v>
      </c>
    </row>
    <row r="3756" spans="1:8">
      <c r="A3756" t="s">
        <v>7524</v>
      </c>
      <c r="B3756" t="s">
        <v>7525</v>
      </c>
      <c r="C3756" t="s">
        <v>31</v>
      </c>
      <c r="D3756">
        <v>42</v>
      </c>
      <c r="E3756" t="s">
        <v>149</v>
      </c>
      <c r="F3756" t="s">
        <v>38</v>
      </c>
      <c r="G3756" t="s">
        <v>22</v>
      </c>
      <c r="H3756" s="1">
        <v>45624</v>
      </c>
    </row>
    <row r="3757" spans="1:8">
      <c r="A3757" t="s">
        <v>7526</v>
      </c>
      <c r="B3757" t="s">
        <v>7527</v>
      </c>
      <c r="C3757" t="s">
        <v>10</v>
      </c>
      <c r="D3757">
        <v>57</v>
      </c>
      <c r="E3757" t="s">
        <v>128</v>
      </c>
      <c r="F3757" t="s">
        <v>129</v>
      </c>
      <c r="G3757" t="s">
        <v>78</v>
      </c>
      <c r="H3757" s="1">
        <v>45226</v>
      </c>
    </row>
    <row r="3758" spans="1:8">
      <c r="A3758" t="s">
        <v>7528</v>
      </c>
      <c r="B3758" t="s">
        <v>7529</v>
      </c>
      <c r="C3758" t="s">
        <v>31</v>
      </c>
      <c r="D3758">
        <v>70</v>
      </c>
      <c r="E3758" t="s">
        <v>149</v>
      </c>
      <c r="F3758" t="s">
        <v>38</v>
      </c>
      <c r="G3758" t="s">
        <v>22</v>
      </c>
      <c r="H3758" s="1">
        <v>45954</v>
      </c>
    </row>
    <row r="3759" spans="1:8">
      <c r="A3759" t="s">
        <v>7530</v>
      </c>
      <c r="B3759" t="s">
        <v>7531</v>
      </c>
      <c r="C3759" t="s">
        <v>31</v>
      </c>
      <c r="D3759">
        <v>58</v>
      </c>
      <c r="E3759" t="s">
        <v>15</v>
      </c>
      <c r="F3759" t="s">
        <v>16</v>
      </c>
      <c r="G3759" t="s">
        <v>17</v>
      </c>
      <c r="H3759" s="1">
        <v>44959</v>
      </c>
    </row>
    <row r="3760" spans="1:8">
      <c r="A3760" t="s">
        <v>7532</v>
      </c>
      <c r="B3760" t="s">
        <v>7533</v>
      </c>
      <c r="C3760" t="s">
        <v>10</v>
      </c>
      <c r="D3760">
        <v>25</v>
      </c>
      <c r="E3760" t="s">
        <v>27</v>
      </c>
      <c r="F3760" t="s">
        <v>28</v>
      </c>
      <c r="G3760" t="s">
        <v>12</v>
      </c>
      <c r="H3760" s="1">
        <v>45743</v>
      </c>
    </row>
    <row r="3761" spans="1:8">
      <c r="A3761" t="s">
        <v>7534</v>
      </c>
      <c r="B3761" t="s">
        <v>7535</v>
      </c>
      <c r="C3761" t="s">
        <v>10</v>
      </c>
      <c r="D3761">
        <v>21</v>
      </c>
      <c r="E3761" t="s">
        <v>128</v>
      </c>
      <c r="F3761" t="s">
        <v>129</v>
      </c>
      <c r="G3761" t="s">
        <v>78</v>
      </c>
      <c r="H3761" s="1">
        <v>45553</v>
      </c>
    </row>
    <row r="3762" spans="1:8">
      <c r="A3762" t="s">
        <v>7536</v>
      </c>
      <c r="B3762" t="s">
        <v>7537</v>
      </c>
      <c r="C3762" t="s">
        <v>10</v>
      </c>
      <c r="D3762">
        <v>35</v>
      </c>
      <c r="E3762" t="s">
        <v>45</v>
      </c>
      <c r="F3762" t="s">
        <v>46</v>
      </c>
      <c r="G3762" t="s">
        <v>17</v>
      </c>
      <c r="H3762" s="1">
        <v>45753</v>
      </c>
    </row>
    <row r="3763" spans="1:8">
      <c r="A3763" t="s">
        <v>7538</v>
      </c>
      <c r="B3763" t="s">
        <v>7539</v>
      </c>
      <c r="C3763" t="s">
        <v>10</v>
      </c>
      <c r="D3763">
        <v>43</v>
      </c>
      <c r="E3763" t="s">
        <v>11</v>
      </c>
      <c r="F3763" t="s">
        <v>11</v>
      </c>
      <c r="G3763" t="s">
        <v>12</v>
      </c>
      <c r="H3763" s="1">
        <v>45307</v>
      </c>
    </row>
    <row r="3764" spans="1:8">
      <c r="A3764" t="s">
        <v>7540</v>
      </c>
      <c r="B3764" t="s">
        <v>7541</v>
      </c>
      <c r="C3764" t="s">
        <v>31</v>
      </c>
      <c r="D3764">
        <v>24</v>
      </c>
      <c r="E3764" t="s">
        <v>37</v>
      </c>
      <c r="F3764" t="s">
        <v>38</v>
      </c>
      <c r="G3764" t="s">
        <v>22</v>
      </c>
      <c r="H3764" s="1">
        <v>45163</v>
      </c>
    </row>
    <row r="3765" spans="1:8">
      <c r="A3765" t="s">
        <v>7542</v>
      </c>
      <c r="B3765" t="s">
        <v>7543</v>
      </c>
      <c r="C3765" t="s">
        <v>10</v>
      </c>
      <c r="D3765">
        <v>31</v>
      </c>
      <c r="E3765" t="s">
        <v>37</v>
      </c>
      <c r="F3765" t="s">
        <v>38</v>
      </c>
      <c r="G3765" t="s">
        <v>22</v>
      </c>
      <c r="H3765" s="1">
        <v>44976</v>
      </c>
    </row>
    <row r="3766" spans="1:8">
      <c r="A3766" t="s">
        <v>7544</v>
      </c>
      <c r="B3766" t="s">
        <v>7545</v>
      </c>
      <c r="C3766" t="s">
        <v>10</v>
      </c>
      <c r="D3766">
        <v>70</v>
      </c>
      <c r="E3766" t="s">
        <v>134</v>
      </c>
      <c r="F3766" t="s">
        <v>28</v>
      </c>
      <c r="G3766" t="s">
        <v>12</v>
      </c>
      <c r="H3766" s="1">
        <v>45830</v>
      </c>
    </row>
    <row r="3767" spans="1:8">
      <c r="A3767" t="s">
        <v>7546</v>
      </c>
      <c r="B3767" t="s">
        <v>7547</v>
      </c>
      <c r="C3767" t="s">
        <v>10</v>
      </c>
      <c r="D3767">
        <v>69</v>
      </c>
      <c r="E3767" t="s">
        <v>60</v>
      </c>
      <c r="F3767" t="s">
        <v>21</v>
      </c>
      <c r="G3767" t="s">
        <v>22</v>
      </c>
      <c r="H3767" s="1">
        <v>44761</v>
      </c>
    </row>
    <row r="3768" spans="1:8">
      <c r="A3768" t="s">
        <v>7548</v>
      </c>
      <c r="B3768" t="s">
        <v>7549</v>
      </c>
      <c r="C3768" t="s">
        <v>10</v>
      </c>
      <c r="D3768">
        <v>57</v>
      </c>
      <c r="E3768" t="s">
        <v>37</v>
      </c>
      <c r="F3768" t="s">
        <v>38</v>
      </c>
      <c r="G3768" t="s">
        <v>22</v>
      </c>
      <c r="H3768" s="1">
        <v>44655</v>
      </c>
    </row>
    <row r="3769" spans="1:8">
      <c r="A3769" t="s">
        <v>7550</v>
      </c>
      <c r="B3769" t="s">
        <v>7551</v>
      </c>
      <c r="C3769" t="s">
        <v>10</v>
      </c>
      <c r="D3769">
        <v>36</v>
      </c>
      <c r="E3769" t="s">
        <v>34</v>
      </c>
      <c r="F3769" t="s">
        <v>16</v>
      </c>
      <c r="G3769" t="s">
        <v>17</v>
      </c>
      <c r="H3769" s="1">
        <v>45989</v>
      </c>
    </row>
    <row r="3770" spans="1:8">
      <c r="A3770" t="s">
        <v>7552</v>
      </c>
      <c r="B3770" t="s">
        <v>7553</v>
      </c>
      <c r="C3770" t="s">
        <v>31</v>
      </c>
      <c r="D3770">
        <v>29</v>
      </c>
      <c r="E3770" t="s">
        <v>87</v>
      </c>
      <c r="F3770" t="s">
        <v>88</v>
      </c>
      <c r="G3770" t="s">
        <v>78</v>
      </c>
      <c r="H3770" s="1">
        <v>44634</v>
      </c>
    </row>
    <row r="3771" spans="1:8">
      <c r="A3771" t="s">
        <v>7554</v>
      </c>
      <c r="B3771" t="s">
        <v>7555</v>
      </c>
      <c r="C3771" t="s">
        <v>10</v>
      </c>
      <c r="D3771">
        <v>62</v>
      </c>
      <c r="E3771" t="s">
        <v>60</v>
      </c>
      <c r="F3771" t="s">
        <v>21</v>
      </c>
      <c r="G3771" t="s">
        <v>22</v>
      </c>
      <c r="H3771" s="1">
        <v>45645</v>
      </c>
    </row>
    <row r="3772" spans="1:8">
      <c r="A3772" t="s">
        <v>7556</v>
      </c>
      <c r="B3772" t="s">
        <v>7557</v>
      </c>
      <c r="C3772" t="s">
        <v>10</v>
      </c>
      <c r="D3772">
        <v>56</v>
      </c>
      <c r="E3772" t="s">
        <v>69</v>
      </c>
      <c r="F3772" t="s">
        <v>69</v>
      </c>
      <c r="G3772" t="s">
        <v>12</v>
      </c>
      <c r="H3772" s="1">
        <v>45711</v>
      </c>
    </row>
    <row r="3773" spans="1:8">
      <c r="A3773" t="s">
        <v>7558</v>
      </c>
      <c r="B3773" t="s">
        <v>2282</v>
      </c>
      <c r="C3773" t="s">
        <v>10</v>
      </c>
      <c r="D3773">
        <v>35</v>
      </c>
      <c r="E3773" t="s">
        <v>63</v>
      </c>
      <c r="F3773" t="s">
        <v>64</v>
      </c>
      <c r="G3773" t="s">
        <v>12</v>
      </c>
      <c r="H3773" s="1">
        <v>45540</v>
      </c>
    </row>
    <row r="3774" spans="1:8">
      <c r="A3774" t="s">
        <v>7559</v>
      </c>
      <c r="B3774" t="s">
        <v>7560</v>
      </c>
      <c r="C3774" t="s">
        <v>31</v>
      </c>
      <c r="D3774">
        <v>43</v>
      </c>
      <c r="E3774" t="s">
        <v>101</v>
      </c>
      <c r="F3774" t="s">
        <v>21</v>
      </c>
      <c r="G3774" t="s">
        <v>22</v>
      </c>
      <c r="H3774" s="1">
        <v>45615</v>
      </c>
    </row>
    <row r="3775" spans="1:8">
      <c r="A3775" t="s">
        <v>7561</v>
      </c>
      <c r="B3775" t="s">
        <v>7562</v>
      </c>
      <c r="C3775" t="s">
        <v>31</v>
      </c>
      <c r="D3775">
        <v>44</v>
      </c>
      <c r="E3775" t="s">
        <v>34</v>
      </c>
      <c r="F3775" t="s">
        <v>16</v>
      </c>
      <c r="G3775" t="s">
        <v>17</v>
      </c>
      <c r="H3775" s="1">
        <v>45239</v>
      </c>
    </row>
    <row r="3776" spans="1:8">
      <c r="A3776" t="s">
        <v>7563</v>
      </c>
      <c r="B3776" t="s">
        <v>7564</v>
      </c>
      <c r="C3776" t="s">
        <v>31</v>
      </c>
      <c r="D3776">
        <v>68</v>
      </c>
      <c r="E3776" t="s">
        <v>45</v>
      </c>
      <c r="F3776" t="s">
        <v>46</v>
      </c>
      <c r="G3776" t="s">
        <v>17</v>
      </c>
      <c r="H3776" s="1">
        <v>45757</v>
      </c>
    </row>
    <row r="3777" spans="1:8">
      <c r="A3777" t="s">
        <v>7565</v>
      </c>
      <c r="B3777" t="s">
        <v>7566</v>
      </c>
      <c r="C3777" t="s">
        <v>31</v>
      </c>
      <c r="D3777">
        <v>37</v>
      </c>
      <c r="E3777" t="s">
        <v>27</v>
      </c>
      <c r="F3777" t="s">
        <v>28</v>
      </c>
      <c r="G3777" t="s">
        <v>12</v>
      </c>
      <c r="H3777" s="1">
        <v>45467</v>
      </c>
    </row>
    <row r="3778" spans="1:8">
      <c r="A3778" t="s">
        <v>7567</v>
      </c>
      <c r="B3778" t="s">
        <v>7568</v>
      </c>
      <c r="C3778" t="s">
        <v>31</v>
      </c>
      <c r="D3778">
        <v>50</v>
      </c>
      <c r="E3778" t="s">
        <v>76</v>
      </c>
      <c r="F3778" t="s">
        <v>77</v>
      </c>
      <c r="G3778" t="s">
        <v>78</v>
      </c>
      <c r="H3778" s="1">
        <v>45571</v>
      </c>
    </row>
    <row r="3779" spans="1:8">
      <c r="A3779" t="s">
        <v>7569</v>
      </c>
      <c r="B3779" t="s">
        <v>7570</v>
      </c>
      <c r="C3779" t="s">
        <v>31</v>
      </c>
      <c r="D3779">
        <v>64</v>
      </c>
      <c r="E3779" t="s">
        <v>37</v>
      </c>
      <c r="F3779" t="s">
        <v>38</v>
      </c>
      <c r="G3779" t="s">
        <v>22</v>
      </c>
      <c r="H3779" s="1">
        <v>45670</v>
      </c>
    </row>
    <row r="3780" spans="1:8">
      <c r="A3780" t="s">
        <v>7571</v>
      </c>
      <c r="B3780" t="s">
        <v>7572</v>
      </c>
      <c r="C3780" t="s">
        <v>31</v>
      </c>
      <c r="D3780">
        <v>29</v>
      </c>
      <c r="E3780" t="s">
        <v>134</v>
      </c>
      <c r="F3780" t="s">
        <v>28</v>
      </c>
      <c r="G3780" t="s">
        <v>12</v>
      </c>
      <c r="H3780" s="1">
        <v>45211</v>
      </c>
    </row>
    <row r="3781" spans="1:8">
      <c r="A3781" t="s">
        <v>7573</v>
      </c>
      <c r="B3781" t="s">
        <v>7574</v>
      </c>
      <c r="C3781" t="s">
        <v>10</v>
      </c>
      <c r="D3781">
        <v>23</v>
      </c>
      <c r="E3781" t="s">
        <v>37</v>
      </c>
      <c r="F3781" t="s">
        <v>38</v>
      </c>
      <c r="G3781" t="s">
        <v>22</v>
      </c>
      <c r="H3781" s="1">
        <v>45820</v>
      </c>
    </row>
    <row r="3782" spans="1:8">
      <c r="A3782" t="s">
        <v>7575</v>
      </c>
      <c r="B3782" t="s">
        <v>7576</v>
      </c>
      <c r="C3782" t="s">
        <v>10</v>
      </c>
      <c r="D3782">
        <v>26</v>
      </c>
      <c r="E3782" t="s">
        <v>69</v>
      </c>
      <c r="F3782" t="s">
        <v>69</v>
      </c>
      <c r="G3782" t="s">
        <v>12</v>
      </c>
      <c r="H3782" s="1">
        <v>45242</v>
      </c>
    </row>
    <row r="3783" spans="1:8">
      <c r="A3783" t="s">
        <v>7577</v>
      </c>
      <c r="B3783" t="s">
        <v>7578</v>
      </c>
      <c r="C3783" t="s">
        <v>10</v>
      </c>
      <c r="D3783">
        <v>27</v>
      </c>
      <c r="E3783" t="s">
        <v>87</v>
      </c>
      <c r="F3783" t="s">
        <v>88</v>
      </c>
      <c r="G3783" t="s">
        <v>78</v>
      </c>
      <c r="H3783" s="1">
        <v>44642</v>
      </c>
    </row>
    <row r="3784" spans="1:8">
      <c r="A3784" t="s">
        <v>7579</v>
      </c>
      <c r="B3784" t="s">
        <v>7580</v>
      </c>
      <c r="C3784" t="s">
        <v>10</v>
      </c>
      <c r="D3784">
        <v>55</v>
      </c>
      <c r="E3784" t="s">
        <v>134</v>
      </c>
      <c r="F3784" t="s">
        <v>28</v>
      </c>
      <c r="G3784" t="s">
        <v>12</v>
      </c>
      <c r="H3784" s="1">
        <v>45871</v>
      </c>
    </row>
    <row r="3785" spans="1:8">
      <c r="A3785" t="s">
        <v>7581</v>
      </c>
      <c r="B3785" t="s">
        <v>7582</v>
      </c>
      <c r="C3785" t="s">
        <v>10</v>
      </c>
      <c r="D3785">
        <v>26</v>
      </c>
      <c r="E3785" t="s">
        <v>63</v>
      </c>
      <c r="F3785" t="s">
        <v>64</v>
      </c>
      <c r="G3785" t="s">
        <v>12</v>
      </c>
      <c r="H3785" s="1">
        <v>44710</v>
      </c>
    </row>
    <row r="3786" spans="1:8">
      <c r="A3786" t="s">
        <v>7583</v>
      </c>
      <c r="B3786" t="s">
        <v>7584</v>
      </c>
      <c r="C3786" t="s">
        <v>31</v>
      </c>
      <c r="D3786">
        <v>22</v>
      </c>
      <c r="E3786" t="s">
        <v>11</v>
      </c>
      <c r="F3786" t="s">
        <v>11</v>
      </c>
      <c r="G3786" t="s">
        <v>12</v>
      </c>
      <c r="H3786" s="1">
        <v>45229</v>
      </c>
    </row>
    <row r="3787" spans="1:8">
      <c r="A3787" t="s">
        <v>7585</v>
      </c>
      <c r="B3787" t="s">
        <v>7586</v>
      </c>
      <c r="C3787" t="s">
        <v>31</v>
      </c>
      <c r="D3787">
        <v>20</v>
      </c>
      <c r="E3787" t="s">
        <v>45</v>
      </c>
      <c r="F3787" t="s">
        <v>46</v>
      </c>
      <c r="G3787" t="s">
        <v>17</v>
      </c>
      <c r="H3787" s="1">
        <v>45258</v>
      </c>
    </row>
    <row r="3788" spans="1:8">
      <c r="A3788" t="s">
        <v>7587</v>
      </c>
      <c r="B3788" t="s">
        <v>7588</v>
      </c>
      <c r="C3788" t="s">
        <v>10</v>
      </c>
      <c r="D3788">
        <v>61</v>
      </c>
      <c r="E3788" t="s">
        <v>149</v>
      </c>
      <c r="F3788" t="s">
        <v>38</v>
      </c>
      <c r="G3788" t="s">
        <v>22</v>
      </c>
      <c r="H3788" s="1">
        <v>45699</v>
      </c>
    </row>
    <row r="3789" spans="1:8">
      <c r="A3789" t="s">
        <v>7589</v>
      </c>
      <c r="B3789" t="s">
        <v>7590</v>
      </c>
      <c r="C3789" t="s">
        <v>31</v>
      </c>
      <c r="D3789">
        <v>42</v>
      </c>
      <c r="E3789" t="s">
        <v>45</v>
      </c>
      <c r="F3789" t="s">
        <v>46</v>
      </c>
      <c r="G3789" t="s">
        <v>17</v>
      </c>
      <c r="H3789" s="1">
        <v>45144</v>
      </c>
    </row>
    <row r="3790" spans="1:8">
      <c r="A3790" t="s">
        <v>7591</v>
      </c>
      <c r="B3790" t="s">
        <v>7592</v>
      </c>
      <c r="C3790" t="s">
        <v>31</v>
      </c>
      <c r="D3790">
        <v>62</v>
      </c>
      <c r="E3790" t="s">
        <v>69</v>
      </c>
      <c r="F3790" t="s">
        <v>69</v>
      </c>
      <c r="G3790" t="s">
        <v>12</v>
      </c>
      <c r="H3790" s="1">
        <v>44857</v>
      </c>
    </row>
    <row r="3791" spans="1:8">
      <c r="A3791" t="s">
        <v>7593</v>
      </c>
      <c r="B3791" t="s">
        <v>7594</v>
      </c>
      <c r="C3791" t="s">
        <v>31</v>
      </c>
      <c r="D3791">
        <v>58</v>
      </c>
      <c r="E3791" t="s">
        <v>76</v>
      </c>
      <c r="F3791" t="s">
        <v>77</v>
      </c>
      <c r="G3791" t="s">
        <v>78</v>
      </c>
      <c r="H3791" s="1">
        <v>45428</v>
      </c>
    </row>
    <row r="3792" spans="1:8">
      <c r="A3792" t="s">
        <v>7595</v>
      </c>
      <c r="B3792" t="s">
        <v>7596</v>
      </c>
      <c r="C3792" t="s">
        <v>31</v>
      </c>
      <c r="D3792">
        <v>27</v>
      </c>
      <c r="E3792" t="s">
        <v>134</v>
      </c>
      <c r="F3792" t="s">
        <v>28</v>
      </c>
      <c r="G3792" t="s">
        <v>12</v>
      </c>
      <c r="H3792" s="1">
        <v>45879</v>
      </c>
    </row>
    <row r="3793" spans="1:8">
      <c r="A3793" t="s">
        <v>7597</v>
      </c>
      <c r="B3793" t="s">
        <v>7598</v>
      </c>
      <c r="C3793" t="s">
        <v>10</v>
      </c>
      <c r="D3793">
        <v>41</v>
      </c>
      <c r="E3793" t="s">
        <v>63</v>
      </c>
      <c r="F3793" t="s">
        <v>64</v>
      </c>
      <c r="G3793" t="s">
        <v>12</v>
      </c>
      <c r="H3793" s="1">
        <v>45312</v>
      </c>
    </row>
    <row r="3794" spans="1:8">
      <c r="A3794" t="s">
        <v>7599</v>
      </c>
      <c r="B3794" t="s">
        <v>7600</v>
      </c>
      <c r="C3794" t="s">
        <v>10</v>
      </c>
      <c r="D3794">
        <v>69</v>
      </c>
      <c r="E3794" t="s">
        <v>15</v>
      </c>
      <c r="F3794" t="s">
        <v>16</v>
      </c>
      <c r="G3794" t="s">
        <v>17</v>
      </c>
      <c r="H3794" s="1">
        <v>45638</v>
      </c>
    </row>
    <row r="3795" spans="1:8">
      <c r="A3795" t="s">
        <v>7601</v>
      </c>
      <c r="B3795" t="s">
        <v>7602</v>
      </c>
      <c r="C3795" t="s">
        <v>10</v>
      </c>
      <c r="D3795">
        <v>30</v>
      </c>
      <c r="E3795" t="s">
        <v>27</v>
      </c>
      <c r="F3795" t="s">
        <v>28</v>
      </c>
      <c r="G3795" t="s">
        <v>12</v>
      </c>
      <c r="H3795" s="1">
        <v>44778</v>
      </c>
    </row>
    <row r="3796" spans="1:8">
      <c r="A3796" t="s">
        <v>7603</v>
      </c>
      <c r="B3796" t="s">
        <v>7604</v>
      </c>
      <c r="C3796" t="s">
        <v>10</v>
      </c>
      <c r="D3796">
        <v>59</v>
      </c>
      <c r="E3796" t="s">
        <v>76</v>
      </c>
      <c r="F3796" t="s">
        <v>77</v>
      </c>
      <c r="G3796" t="s">
        <v>78</v>
      </c>
      <c r="H3796" s="1">
        <v>44971</v>
      </c>
    </row>
    <row r="3797" spans="1:8">
      <c r="A3797" t="s">
        <v>7605</v>
      </c>
      <c r="B3797" t="s">
        <v>7606</v>
      </c>
      <c r="C3797" t="s">
        <v>10</v>
      </c>
      <c r="D3797">
        <v>21</v>
      </c>
      <c r="E3797" t="s">
        <v>45</v>
      </c>
      <c r="F3797" t="s">
        <v>46</v>
      </c>
      <c r="G3797" t="s">
        <v>17</v>
      </c>
      <c r="H3797" s="1">
        <v>45840</v>
      </c>
    </row>
    <row r="3798" spans="1:8">
      <c r="A3798" t="s">
        <v>7607</v>
      </c>
      <c r="B3798" t="s">
        <v>7608</v>
      </c>
      <c r="C3798" t="s">
        <v>10</v>
      </c>
      <c r="D3798">
        <v>44</v>
      </c>
      <c r="E3798" t="s">
        <v>20</v>
      </c>
      <c r="F3798" t="s">
        <v>21</v>
      </c>
      <c r="G3798" t="s">
        <v>22</v>
      </c>
      <c r="H3798" s="1">
        <v>44746</v>
      </c>
    </row>
    <row r="3799" spans="1:8">
      <c r="A3799" t="s">
        <v>7609</v>
      </c>
      <c r="B3799" t="s">
        <v>7610</v>
      </c>
      <c r="C3799" t="s">
        <v>31</v>
      </c>
      <c r="D3799">
        <v>40</v>
      </c>
      <c r="E3799" t="s">
        <v>34</v>
      </c>
      <c r="F3799" t="s">
        <v>16</v>
      </c>
      <c r="G3799" t="s">
        <v>17</v>
      </c>
      <c r="H3799" s="1">
        <v>44979</v>
      </c>
    </row>
    <row r="3800" spans="1:8">
      <c r="A3800" t="s">
        <v>7611</v>
      </c>
      <c r="B3800" t="s">
        <v>7612</v>
      </c>
      <c r="C3800" t="s">
        <v>31</v>
      </c>
      <c r="D3800">
        <v>51</v>
      </c>
      <c r="E3800" t="s">
        <v>34</v>
      </c>
      <c r="F3800" t="s">
        <v>16</v>
      </c>
      <c r="G3800" t="s">
        <v>17</v>
      </c>
      <c r="H3800" s="1">
        <v>45527</v>
      </c>
    </row>
    <row r="3801" spans="1:8">
      <c r="A3801" t="s">
        <v>7613</v>
      </c>
      <c r="B3801" t="s">
        <v>7614</v>
      </c>
      <c r="C3801" t="s">
        <v>10</v>
      </c>
      <c r="D3801">
        <v>40</v>
      </c>
      <c r="E3801" t="s">
        <v>69</v>
      </c>
      <c r="F3801" t="s">
        <v>69</v>
      </c>
      <c r="G3801" t="s">
        <v>12</v>
      </c>
      <c r="H3801" s="1">
        <v>44924</v>
      </c>
    </row>
    <row r="3802" spans="1:8">
      <c r="A3802" t="s">
        <v>7615</v>
      </c>
      <c r="B3802" t="s">
        <v>7616</v>
      </c>
      <c r="C3802" t="s">
        <v>31</v>
      </c>
      <c r="D3802">
        <v>53</v>
      </c>
      <c r="E3802" t="s">
        <v>37</v>
      </c>
      <c r="F3802" t="s">
        <v>38</v>
      </c>
      <c r="G3802" t="s">
        <v>22</v>
      </c>
      <c r="H3802" s="1">
        <v>45095</v>
      </c>
    </row>
    <row r="3803" spans="1:8">
      <c r="A3803" t="s">
        <v>7617</v>
      </c>
      <c r="B3803" t="s">
        <v>7618</v>
      </c>
      <c r="C3803" t="s">
        <v>31</v>
      </c>
      <c r="D3803">
        <v>27</v>
      </c>
      <c r="E3803" t="s">
        <v>69</v>
      </c>
      <c r="F3803" t="s">
        <v>69</v>
      </c>
      <c r="G3803" t="s">
        <v>12</v>
      </c>
      <c r="H3803" s="1">
        <v>44839</v>
      </c>
    </row>
    <row r="3804" spans="1:8">
      <c r="A3804" t="s">
        <v>7619</v>
      </c>
      <c r="B3804" t="s">
        <v>7620</v>
      </c>
      <c r="C3804" t="s">
        <v>10</v>
      </c>
      <c r="D3804">
        <v>57</v>
      </c>
      <c r="E3804" t="s">
        <v>87</v>
      </c>
      <c r="F3804" t="s">
        <v>88</v>
      </c>
      <c r="G3804" t="s">
        <v>78</v>
      </c>
      <c r="H3804" s="1">
        <v>45228</v>
      </c>
    </row>
    <row r="3805" spans="1:8">
      <c r="A3805" t="s">
        <v>7621</v>
      </c>
      <c r="B3805" t="s">
        <v>7622</v>
      </c>
      <c r="C3805" t="s">
        <v>10</v>
      </c>
      <c r="D3805">
        <v>64</v>
      </c>
      <c r="E3805" t="s">
        <v>41</v>
      </c>
      <c r="F3805" t="s">
        <v>42</v>
      </c>
      <c r="G3805" t="s">
        <v>17</v>
      </c>
      <c r="H3805" s="1">
        <v>45345</v>
      </c>
    </row>
    <row r="3806" spans="1:8">
      <c r="A3806" t="s">
        <v>7623</v>
      </c>
      <c r="B3806" t="s">
        <v>7624</v>
      </c>
      <c r="C3806" t="s">
        <v>10</v>
      </c>
      <c r="D3806">
        <v>63</v>
      </c>
      <c r="E3806" t="s">
        <v>15</v>
      </c>
      <c r="F3806" t="s">
        <v>16</v>
      </c>
      <c r="G3806" t="s">
        <v>17</v>
      </c>
      <c r="H3806" s="1">
        <v>45687</v>
      </c>
    </row>
    <row r="3807" spans="1:8">
      <c r="A3807" t="s">
        <v>7625</v>
      </c>
      <c r="B3807" t="s">
        <v>7626</v>
      </c>
      <c r="C3807" t="s">
        <v>31</v>
      </c>
      <c r="D3807">
        <v>29</v>
      </c>
      <c r="E3807" t="s">
        <v>20</v>
      </c>
      <c r="F3807" t="s">
        <v>21</v>
      </c>
      <c r="G3807" t="s">
        <v>22</v>
      </c>
      <c r="H3807" s="1">
        <v>45883</v>
      </c>
    </row>
    <row r="3808" spans="1:8">
      <c r="A3808" t="s">
        <v>7627</v>
      </c>
      <c r="B3808" t="s">
        <v>7628</v>
      </c>
      <c r="C3808" t="s">
        <v>31</v>
      </c>
      <c r="D3808">
        <v>68</v>
      </c>
      <c r="E3808" t="s">
        <v>34</v>
      </c>
      <c r="F3808" t="s">
        <v>16</v>
      </c>
      <c r="G3808" t="s">
        <v>17</v>
      </c>
      <c r="H3808" s="1">
        <v>44968</v>
      </c>
    </row>
    <row r="3809" spans="1:8">
      <c r="A3809" t="s">
        <v>7629</v>
      </c>
      <c r="B3809" t="s">
        <v>7630</v>
      </c>
      <c r="C3809" t="s">
        <v>10</v>
      </c>
      <c r="D3809">
        <v>19</v>
      </c>
      <c r="E3809" t="s">
        <v>63</v>
      </c>
      <c r="F3809" t="s">
        <v>64</v>
      </c>
      <c r="G3809" t="s">
        <v>12</v>
      </c>
      <c r="H3809" s="1">
        <v>45718</v>
      </c>
    </row>
    <row r="3810" spans="1:8">
      <c r="A3810" t="s">
        <v>7631</v>
      </c>
      <c r="B3810" t="s">
        <v>7632</v>
      </c>
      <c r="C3810" t="s">
        <v>10</v>
      </c>
      <c r="D3810">
        <v>65</v>
      </c>
      <c r="E3810" t="s">
        <v>101</v>
      </c>
      <c r="F3810" t="s">
        <v>21</v>
      </c>
      <c r="G3810" t="s">
        <v>22</v>
      </c>
      <c r="H3810" s="1">
        <v>44879</v>
      </c>
    </row>
    <row r="3811" spans="1:8">
      <c r="A3811" t="s">
        <v>7633</v>
      </c>
      <c r="B3811" t="s">
        <v>7634</v>
      </c>
      <c r="C3811" t="s">
        <v>31</v>
      </c>
      <c r="D3811">
        <v>69</v>
      </c>
      <c r="E3811" t="s">
        <v>101</v>
      </c>
      <c r="F3811" t="s">
        <v>21</v>
      </c>
      <c r="G3811" t="s">
        <v>22</v>
      </c>
      <c r="H3811" s="1">
        <v>44768</v>
      </c>
    </row>
    <row r="3812" spans="1:8">
      <c r="A3812" t="s">
        <v>7635</v>
      </c>
      <c r="B3812" t="s">
        <v>7636</v>
      </c>
      <c r="C3812" t="s">
        <v>31</v>
      </c>
      <c r="D3812">
        <v>33</v>
      </c>
      <c r="E3812" t="s">
        <v>60</v>
      </c>
      <c r="F3812" t="s">
        <v>21</v>
      </c>
      <c r="G3812" t="s">
        <v>22</v>
      </c>
      <c r="H3812" s="1">
        <v>44716</v>
      </c>
    </row>
    <row r="3813" spans="1:8">
      <c r="A3813" t="s">
        <v>7637</v>
      </c>
      <c r="B3813" t="s">
        <v>7638</v>
      </c>
      <c r="C3813" t="s">
        <v>10</v>
      </c>
      <c r="D3813">
        <v>38</v>
      </c>
      <c r="E3813" t="s">
        <v>101</v>
      </c>
      <c r="F3813" t="s">
        <v>21</v>
      </c>
      <c r="G3813" t="s">
        <v>22</v>
      </c>
      <c r="H3813" s="1">
        <v>45046</v>
      </c>
    </row>
    <row r="3814" spans="1:8">
      <c r="A3814" t="s">
        <v>7639</v>
      </c>
      <c r="B3814" t="s">
        <v>7640</v>
      </c>
      <c r="C3814" t="s">
        <v>10</v>
      </c>
      <c r="D3814">
        <v>38</v>
      </c>
      <c r="E3814" t="s">
        <v>63</v>
      </c>
      <c r="F3814" t="s">
        <v>64</v>
      </c>
      <c r="G3814" t="s">
        <v>12</v>
      </c>
      <c r="H3814" s="1">
        <v>45744</v>
      </c>
    </row>
    <row r="3815" spans="1:8">
      <c r="A3815" t="s">
        <v>7641</v>
      </c>
      <c r="B3815" t="s">
        <v>7642</v>
      </c>
      <c r="C3815" t="s">
        <v>31</v>
      </c>
      <c r="D3815">
        <v>25</v>
      </c>
      <c r="E3815" t="s">
        <v>37</v>
      </c>
      <c r="F3815" t="s">
        <v>38</v>
      </c>
      <c r="G3815" t="s">
        <v>22</v>
      </c>
      <c r="H3815" s="1">
        <v>45108</v>
      </c>
    </row>
    <row r="3816" spans="1:8">
      <c r="A3816" t="s">
        <v>7643</v>
      </c>
      <c r="B3816" t="s">
        <v>7644</v>
      </c>
      <c r="C3816" t="s">
        <v>10</v>
      </c>
      <c r="D3816">
        <v>28</v>
      </c>
      <c r="E3816" t="s">
        <v>149</v>
      </c>
      <c r="F3816" t="s">
        <v>38</v>
      </c>
      <c r="G3816" t="s">
        <v>22</v>
      </c>
      <c r="H3816" s="1">
        <v>45571</v>
      </c>
    </row>
    <row r="3817" spans="1:8">
      <c r="A3817" t="s">
        <v>7645</v>
      </c>
      <c r="B3817" t="s">
        <v>7646</v>
      </c>
      <c r="C3817" t="s">
        <v>10</v>
      </c>
      <c r="D3817">
        <v>54</v>
      </c>
      <c r="E3817" t="s">
        <v>134</v>
      </c>
      <c r="F3817" t="s">
        <v>28</v>
      </c>
      <c r="G3817" t="s">
        <v>12</v>
      </c>
      <c r="H3817" s="1">
        <v>45068</v>
      </c>
    </row>
    <row r="3818" spans="1:8">
      <c r="A3818" t="s">
        <v>7647</v>
      </c>
      <c r="B3818" t="s">
        <v>7648</v>
      </c>
      <c r="C3818" t="s">
        <v>31</v>
      </c>
      <c r="D3818">
        <v>57</v>
      </c>
      <c r="E3818" t="s">
        <v>37</v>
      </c>
      <c r="F3818" t="s">
        <v>38</v>
      </c>
      <c r="G3818" t="s">
        <v>22</v>
      </c>
      <c r="H3818" s="1">
        <v>45744</v>
      </c>
    </row>
    <row r="3819" spans="1:8">
      <c r="A3819" t="s">
        <v>7649</v>
      </c>
      <c r="B3819" t="s">
        <v>7650</v>
      </c>
      <c r="C3819" t="s">
        <v>31</v>
      </c>
      <c r="D3819">
        <v>56</v>
      </c>
      <c r="E3819" t="s">
        <v>11</v>
      </c>
      <c r="F3819" t="s">
        <v>11</v>
      </c>
      <c r="G3819" t="s">
        <v>12</v>
      </c>
      <c r="H3819" s="1">
        <v>44931</v>
      </c>
    </row>
    <row r="3820" spans="1:8">
      <c r="A3820" t="s">
        <v>7651</v>
      </c>
      <c r="B3820" t="s">
        <v>7652</v>
      </c>
      <c r="C3820" t="s">
        <v>10</v>
      </c>
      <c r="D3820">
        <v>29</v>
      </c>
      <c r="E3820" t="s">
        <v>128</v>
      </c>
      <c r="F3820" t="s">
        <v>129</v>
      </c>
      <c r="G3820" t="s">
        <v>78</v>
      </c>
      <c r="H3820" s="1">
        <v>45460</v>
      </c>
    </row>
    <row r="3821" spans="1:8">
      <c r="A3821" t="s">
        <v>7653</v>
      </c>
      <c r="B3821" t="s">
        <v>7654</v>
      </c>
      <c r="C3821" t="s">
        <v>10</v>
      </c>
      <c r="D3821">
        <v>21</v>
      </c>
      <c r="E3821" t="s">
        <v>149</v>
      </c>
      <c r="F3821" t="s">
        <v>38</v>
      </c>
      <c r="G3821" t="s">
        <v>22</v>
      </c>
      <c r="H3821" s="1">
        <v>44705</v>
      </c>
    </row>
    <row r="3822" spans="1:8">
      <c r="A3822" t="s">
        <v>7655</v>
      </c>
      <c r="B3822" t="s">
        <v>7656</v>
      </c>
      <c r="C3822" t="s">
        <v>31</v>
      </c>
      <c r="D3822">
        <v>64</v>
      </c>
      <c r="E3822" t="s">
        <v>60</v>
      </c>
      <c r="F3822" t="s">
        <v>21</v>
      </c>
      <c r="G3822" t="s">
        <v>22</v>
      </c>
      <c r="H3822" s="1">
        <v>45521</v>
      </c>
    </row>
    <row r="3823" spans="1:8">
      <c r="A3823" t="s">
        <v>7657</v>
      </c>
      <c r="B3823" t="s">
        <v>7658</v>
      </c>
      <c r="C3823" t="s">
        <v>31</v>
      </c>
      <c r="D3823">
        <v>26</v>
      </c>
      <c r="E3823" t="s">
        <v>41</v>
      </c>
      <c r="F3823" t="s">
        <v>42</v>
      </c>
      <c r="G3823" t="s">
        <v>17</v>
      </c>
      <c r="H3823" s="1">
        <v>46011</v>
      </c>
    </row>
    <row r="3824" spans="1:8">
      <c r="A3824" t="s">
        <v>7659</v>
      </c>
      <c r="B3824" t="s">
        <v>7660</v>
      </c>
      <c r="C3824" t="s">
        <v>10</v>
      </c>
      <c r="D3824">
        <v>26</v>
      </c>
      <c r="E3824" t="s">
        <v>60</v>
      </c>
      <c r="F3824" t="s">
        <v>21</v>
      </c>
      <c r="G3824" t="s">
        <v>22</v>
      </c>
      <c r="H3824" s="1">
        <v>45624</v>
      </c>
    </row>
    <row r="3825" spans="1:8">
      <c r="A3825" t="s">
        <v>7661</v>
      </c>
      <c r="B3825" t="s">
        <v>7662</v>
      </c>
      <c r="C3825" t="s">
        <v>31</v>
      </c>
      <c r="D3825">
        <v>43</v>
      </c>
      <c r="E3825" t="s">
        <v>15</v>
      </c>
      <c r="F3825" t="s">
        <v>16</v>
      </c>
      <c r="G3825" t="s">
        <v>17</v>
      </c>
      <c r="H3825" s="1">
        <v>44837</v>
      </c>
    </row>
    <row r="3826" spans="1:8">
      <c r="A3826" t="s">
        <v>7663</v>
      </c>
      <c r="B3826" t="s">
        <v>7664</v>
      </c>
      <c r="C3826" t="s">
        <v>10</v>
      </c>
      <c r="D3826">
        <v>29</v>
      </c>
      <c r="E3826" t="s">
        <v>11</v>
      </c>
      <c r="F3826" t="s">
        <v>11</v>
      </c>
      <c r="G3826" t="s">
        <v>12</v>
      </c>
      <c r="H3826" s="1">
        <v>45684</v>
      </c>
    </row>
    <row r="3827" spans="1:8">
      <c r="A3827" t="s">
        <v>7665</v>
      </c>
      <c r="B3827" t="s">
        <v>7666</v>
      </c>
      <c r="C3827" t="s">
        <v>31</v>
      </c>
      <c r="D3827">
        <v>56</v>
      </c>
      <c r="E3827" t="s">
        <v>15</v>
      </c>
      <c r="F3827" t="s">
        <v>16</v>
      </c>
      <c r="G3827" t="s">
        <v>17</v>
      </c>
      <c r="H3827" s="1">
        <v>45105</v>
      </c>
    </row>
    <row r="3828" spans="1:8">
      <c r="A3828" t="s">
        <v>7667</v>
      </c>
      <c r="B3828" t="s">
        <v>7668</v>
      </c>
      <c r="C3828" t="s">
        <v>31</v>
      </c>
      <c r="D3828">
        <v>40</v>
      </c>
      <c r="E3828" t="s">
        <v>69</v>
      </c>
      <c r="F3828" t="s">
        <v>69</v>
      </c>
      <c r="G3828" t="s">
        <v>12</v>
      </c>
      <c r="H3828" s="1">
        <v>45624</v>
      </c>
    </row>
    <row r="3829" spans="1:8">
      <c r="A3829" t="s">
        <v>7669</v>
      </c>
      <c r="B3829" t="s">
        <v>7670</v>
      </c>
      <c r="C3829" t="s">
        <v>31</v>
      </c>
      <c r="D3829">
        <v>29</v>
      </c>
      <c r="E3829" t="s">
        <v>134</v>
      </c>
      <c r="F3829" t="s">
        <v>28</v>
      </c>
      <c r="G3829" t="s">
        <v>12</v>
      </c>
      <c r="H3829" s="1">
        <v>45928</v>
      </c>
    </row>
    <row r="3830" spans="1:8">
      <c r="A3830" t="s">
        <v>7671</v>
      </c>
      <c r="B3830" t="s">
        <v>7672</v>
      </c>
      <c r="C3830" t="s">
        <v>10</v>
      </c>
      <c r="D3830">
        <v>69</v>
      </c>
      <c r="E3830" t="s">
        <v>218</v>
      </c>
      <c r="F3830" t="s">
        <v>219</v>
      </c>
      <c r="G3830" t="s">
        <v>17</v>
      </c>
      <c r="H3830" s="1">
        <v>45369</v>
      </c>
    </row>
    <row r="3831" spans="1:8">
      <c r="A3831" t="s">
        <v>7673</v>
      </c>
      <c r="B3831" t="s">
        <v>7674</v>
      </c>
      <c r="C3831" t="s">
        <v>10</v>
      </c>
      <c r="D3831">
        <v>35</v>
      </c>
      <c r="E3831" t="s">
        <v>87</v>
      </c>
      <c r="F3831" t="s">
        <v>88</v>
      </c>
      <c r="G3831" t="s">
        <v>78</v>
      </c>
      <c r="H3831" s="1">
        <v>44975</v>
      </c>
    </row>
    <row r="3832" spans="1:8">
      <c r="A3832" t="s">
        <v>7675</v>
      </c>
      <c r="B3832" t="s">
        <v>7676</v>
      </c>
      <c r="C3832" t="s">
        <v>10</v>
      </c>
      <c r="D3832">
        <v>70</v>
      </c>
      <c r="E3832" t="s">
        <v>76</v>
      </c>
      <c r="F3832" t="s">
        <v>77</v>
      </c>
      <c r="G3832" t="s">
        <v>78</v>
      </c>
      <c r="H3832" s="1">
        <v>45356</v>
      </c>
    </row>
    <row r="3833" spans="1:8">
      <c r="A3833" t="s">
        <v>7677</v>
      </c>
      <c r="B3833" t="s">
        <v>913</v>
      </c>
      <c r="C3833" t="s">
        <v>10</v>
      </c>
      <c r="D3833">
        <v>47</v>
      </c>
      <c r="E3833" t="s">
        <v>60</v>
      </c>
      <c r="F3833" t="s">
        <v>21</v>
      </c>
      <c r="G3833" t="s">
        <v>22</v>
      </c>
      <c r="H3833" s="1">
        <v>45218</v>
      </c>
    </row>
    <row r="3834" spans="1:8">
      <c r="A3834" t="s">
        <v>7678</v>
      </c>
      <c r="B3834" t="s">
        <v>7679</v>
      </c>
      <c r="C3834" t="s">
        <v>10</v>
      </c>
      <c r="D3834">
        <v>19</v>
      </c>
      <c r="E3834" t="s">
        <v>34</v>
      </c>
      <c r="F3834" t="s">
        <v>16</v>
      </c>
      <c r="G3834" t="s">
        <v>17</v>
      </c>
      <c r="H3834" s="1">
        <v>44992</v>
      </c>
    </row>
    <row r="3835" spans="1:8">
      <c r="A3835" t="s">
        <v>7680</v>
      </c>
      <c r="B3835" t="s">
        <v>7681</v>
      </c>
      <c r="C3835" t="s">
        <v>31</v>
      </c>
      <c r="D3835">
        <v>60</v>
      </c>
      <c r="E3835" t="s">
        <v>27</v>
      </c>
      <c r="F3835" t="s">
        <v>28</v>
      </c>
      <c r="G3835" t="s">
        <v>12</v>
      </c>
      <c r="H3835" s="1">
        <v>44904</v>
      </c>
    </row>
    <row r="3836" spans="1:8">
      <c r="A3836" t="s">
        <v>7682</v>
      </c>
      <c r="B3836" t="s">
        <v>7683</v>
      </c>
      <c r="C3836" t="s">
        <v>31</v>
      </c>
      <c r="D3836">
        <v>35</v>
      </c>
      <c r="E3836" t="s">
        <v>45</v>
      </c>
      <c r="F3836" t="s">
        <v>46</v>
      </c>
      <c r="G3836" t="s">
        <v>17</v>
      </c>
      <c r="H3836" s="1">
        <v>44969</v>
      </c>
    </row>
    <row r="3837" spans="1:8">
      <c r="A3837" t="s">
        <v>7684</v>
      </c>
      <c r="B3837" t="s">
        <v>7685</v>
      </c>
      <c r="C3837" t="s">
        <v>10</v>
      </c>
      <c r="D3837">
        <v>57</v>
      </c>
      <c r="E3837" t="s">
        <v>27</v>
      </c>
      <c r="F3837" t="s">
        <v>28</v>
      </c>
      <c r="G3837" t="s">
        <v>12</v>
      </c>
      <c r="H3837" s="1">
        <v>44956</v>
      </c>
    </row>
    <row r="3838" spans="1:8">
      <c r="A3838" t="s">
        <v>7686</v>
      </c>
      <c r="B3838" t="s">
        <v>7687</v>
      </c>
      <c r="C3838" t="s">
        <v>31</v>
      </c>
      <c r="D3838">
        <v>48</v>
      </c>
      <c r="E3838" t="s">
        <v>87</v>
      </c>
      <c r="F3838" t="s">
        <v>88</v>
      </c>
      <c r="G3838" t="s">
        <v>78</v>
      </c>
      <c r="H3838" s="1">
        <v>45742</v>
      </c>
    </row>
    <row r="3839" spans="1:8">
      <c r="A3839" t="s">
        <v>7688</v>
      </c>
      <c r="B3839" t="s">
        <v>7689</v>
      </c>
      <c r="C3839" t="s">
        <v>10</v>
      </c>
      <c r="D3839">
        <v>56</v>
      </c>
      <c r="E3839" t="s">
        <v>218</v>
      </c>
      <c r="F3839" t="s">
        <v>219</v>
      </c>
      <c r="G3839" t="s">
        <v>17</v>
      </c>
      <c r="H3839" s="1">
        <v>45585</v>
      </c>
    </row>
    <row r="3840" spans="1:8">
      <c r="A3840" t="s">
        <v>7690</v>
      </c>
      <c r="B3840" t="s">
        <v>7691</v>
      </c>
      <c r="C3840" t="s">
        <v>10</v>
      </c>
      <c r="D3840">
        <v>58</v>
      </c>
      <c r="E3840" t="s">
        <v>76</v>
      </c>
      <c r="F3840" t="s">
        <v>77</v>
      </c>
      <c r="G3840" t="s">
        <v>78</v>
      </c>
      <c r="H3840" s="1">
        <v>45376</v>
      </c>
    </row>
    <row r="3841" spans="1:8">
      <c r="A3841" t="s">
        <v>7692</v>
      </c>
      <c r="B3841" t="s">
        <v>7693</v>
      </c>
      <c r="C3841" t="s">
        <v>10</v>
      </c>
      <c r="D3841">
        <v>28</v>
      </c>
      <c r="E3841" t="s">
        <v>34</v>
      </c>
      <c r="F3841" t="s">
        <v>16</v>
      </c>
      <c r="G3841" t="s">
        <v>17</v>
      </c>
      <c r="H3841" s="1">
        <v>44798</v>
      </c>
    </row>
    <row r="3842" spans="1:8">
      <c r="A3842" t="s">
        <v>7694</v>
      </c>
      <c r="B3842" t="s">
        <v>7695</v>
      </c>
      <c r="C3842" t="s">
        <v>31</v>
      </c>
      <c r="D3842">
        <v>66</v>
      </c>
      <c r="E3842" t="s">
        <v>41</v>
      </c>
      <c r="F3842" t="s">
        <v>42</v>
      </c>
      <c r="G3842" t="s">
        <v>17</v>
      </c>
      <c r="H3842" s="1">
        <v>45401</v>
      </c>
    </row>
    <row r="3843" spans="1:8">
      <c r="A3843" t="s">
        <v>7696</v>
      </c>
      <c r="B3843" t="s">
        <v>7697</v>
      </c>
      <c r="C3843" t="s">
        <v>10</v>
      </c>
      <c r="D3843">
        <v>25</v>
      </c>
      <c r="E3843" t="s">
        <v>11</v>
      </c>
      <c r="F3843" t="s">
        <v>11</v>
      </c>
      <c r="G3843" t="s">
        <v>12</v>
      </c>
      <c r="H3843" s="1">
        <v>44797</v>
      </c>
    </row>
    <row r="3844" spans="1:8">
      <c r="A3844" t="s">
        <v>7698</v>
      </c>
      <c r="B3844" t="s">
        <v>7699</v>
      </c>
      <c r="C3844" t="s">
        <v>10</v>
      </c>
      <c r="D3844">
        <v>29</v>
      </c>
      <c r="E3844" t="s">
        <v>41</v>
      </c>
      <c r="F3844" t="s">
        <v>42</v>
      </c>
      <c r="G3844" t="s">
        <v>17</v>
      </c>
      <c r="H3844" s="1">
        <v>44776</v>
      </c>
    </row>
    <row r="3845" spans="1:8">
      <c r="A3845" t="s">
        <v>7700</v>
      </c>
      <c r="B3845" t="s">
        <v>7701</v>
      </c>
      <c r="C3845" t="s">
        <v>31</v>
      </c>
      <c r="D3845">
        <v>26</v>
      </c>
      <c r="E3845" t="s">
        <v>218</v>
      </c>
      <c r="F3845" t="s">
        <v>219</v>
      </c>
      <c r="G3845" t="s">
        <v>17</v>
      </c>
      <c r="H3845" s="1">
        <v>44627</v>
      </c>
    </row>
    <row r="3846" spans="1:8">
      <c r="A3846" t="s">
        <v>7702</v>
      </c>
      <c r="B3846" t="s">
        <v>7703</v>
      </c>
      <c r="C3846" t="s">
        <v>10</v>
      </c>
      <c r="D3846">
        <v>30</v>
      </c>
      <c r="E3846" t="s">
        <v>27</v>
      </c>
      <c r="F3846" t="s">
        <v>28</v>
      </c>
      <c r="G3846" t="s">
        <v>12</v>
      </c>
      <c r="H3846" s="1">
        <v>45458</v>
      </c>
    </row>
    <row r="3847" spans="1:8">
      <c r="A3847" t="s">
        <v>7704</v>
      </c>
      <c r="B3847" t="s">
        <v>7705</v>
      </c>
      <c r="C3847" t="s">
        <v>31</v>
      </c>
      <c r="D3847">
        <v>54</v>
      </c>
      <c r="E3847" t="s">
        <v>76</v>
      </c>
      <c r="F3847" t="s">
        <v>77</v>
      </c>
      <c r="G3847" t="s">
        <v>78</v>
      </c>
      <c r="H3847" s="1">
        <v>44637</v>
      </c>
    </row>
    <row r="3848" spans="1:8">
      <c r="A3848" t="s">
        <v>7706</v>
      </c>
      <c r="B3848" t="s">
        <v>7707</v>
      </c>
      <c r="C3848" t="s">
        <v>10</v>
      </c>
      <c r="D3848">
        <v>52</v>
      </c>
      <c r="E3848" t="s">
        <v>41</v>
      </c>
      <c r="F3848" t="s">
        <v>42</v>
      </c>
      <c r="G3848" t="s">
        <v>17</v>
      </c>
      <c r="H3848" s="1">
        <v>45252</v>
      </c>
    </row>
    <row r="3849" spans="1:8">
      <c r="A3849" t="s">
        <v>7708</v>
      </c>
      <c r="B3849" t="s">
        <v>7709</v>
      </c>
      <c r="C3849" t="s">
        <v>31</v>
      </c>
      <c r="D3849">
        <v>67</v>
      </c>
      <c r="E3849" t="s">
        <v>34</v>
      </c>
      <c r="F3849" t="s">
        <v>16</v>
      </c>
      <c r="G3849" t="s">
        <v>17</v>
      </c>
      <c r="H3849" s="1">
        <v>45494</v>
      </c>
    </row>
    <row r="3850" spans="1:8">
      <c r="A3850" t="s">
        <v>7710</v>
      </c>
      <c r="B3850" t="s">
        <v>7711</v>
      </c>
      <c r="C3850" t="s">
        <v>10</v>
      </c>
      <c r="D3850">
        <v>24</v>
      </c>
      <c r="E3850" t="s">
        <v>101</v>
      </c>
      <c r="F3850" t="s">
        <v>21</v>
      </c>
      <c r="G3850" t="s">
        <v>22</v>
      </c>
      <c r="H3850" s="1">
        <v>45139</v>
      </c>
    </row>
    <row r="3851" spans="1:8">
      <c r="A3851" t="s">
        <v>7712</v>
      </c>
      <c r="B3851" t="s">
        <v>7713</v>
      </c>
      <c r="C3851" t="s">
        <v>31</v>
      </c>
      <c r="D3851">
        <v>58</v>
      </c>
      <c r="E3851" t="s">
        <v>15</v>
      </c>
      <c r="F3851" t="s">
        <v>16</v>
      </c>
      <c r="G3851" t="s">
        <v>17</v>
      </c>
      <c r="H3851" s="1">
        <v>45705</v>
      </c>
    </row>
    <row r="3852" spans="1:8">
      <c r="A3852" t="s">
        <v>7714</v>
      </c>
      <c r="B3852" t="s">
        <v>7715</v>
      </c>
      <c r="C3852" t="s">
        <v>31</v>
      </c>
      <c r="D3852">
        <v>26</v>
      </c>
      <c r="E3852" t="s">
        <v>37</v>
      </c>
      <c r="F3852" t="s">
        <v>38</v>
      </c>
      <c r="G3852" t="s">
        <v>22</v>
      </c>
      <c r="H3852" s="1">
        <v>44579</v>
      </c>
    </row>
    <row r="3853" spans="1:8">
      <c r="A3853" t="s">
        <v>7716</v>
      </c>
      <c r="B3853" t="s">
        <v>7717</v>
      </c>
      <c r="C3853" t="s">
        <v>10</v>
      </c>
      <c r="D3853">
        <v>19</v>
      </c>
      <c r="E3853" t="s">
        <v>45</v>
      </c>
      <c r="F3853" t="s">
        <v>46</v>
      </c>
      <c r="G3853" t="s">
        <v>17</v>
      </c>
      <c r="H3853" s="1">
        <v>45331</v>
      </c>
    </row>
    <row r="3854" spans="1:8">
      <c r="A3854" t="s">
        <v>7718</v>
      </c>
      <c r="B3854" t="s">
        <v>7719</v>
      </c>
      <c r="C3854" t="s">
        <v>31</v>
      </c>
      <c r="D3854">
        <v>40</v>
      </c>
      <c r="E3854" t="s">
        <v>49</v>
      </c>
      <c r="F3854" t="s">
        <v>129</v>
      </c>
      <c r="G3854" t="s">
        <v>78</v>
      </c>
      <c r="H3854" s="1">
        <v>44958</v>
      </c>
    </row>
    <row r="3855" spans="1:8">
      <c r="A3855" t="s">
        <v>7720</v>
      </c>
      <c r="B3855" t="s">
        <v>7721</v>
      </c>
      <c r="C3855" t="s">
        <v>10</v>
      </c>
      <c r="D3855">
        <v>69</v>
      </c>
      <c r="E3855" t="s">
        <v>11</v>
      </c>
      <c r="F3855" t="s">
        <v>11</v>
      </c>
      <c r="G3855" t="s">
        <v>12</v>
      </c>
      <c r="H3855" s="1">
        <v>45903</v>
      </c>
    </row>
    <row r="3856" spans="1:8">
      <c r="A3856" t="s">
        <v>7722</v>
      </c>
      <c r="B3856" t="s">
        <v>7723</v>
      </c>
      <c r="C3856" t="s">
        <v>31</v>
      </c>
      <c r="D3856">
        <v>26</v>
      </c>
      <c r="E3856" t="s">
        <v>128</v>
      </c>
      <c r="F3856" t="s">
        <v>129</v>
      </c>
      <c r="G3856" t="s">
        <v>78</v>
      </c>
      <c r="H3856" s="1">
        <v>45783</v>
      </c>
    </row>
    <row r="3857" spans="1:8">
      <c r="A3857" t="s">
        <v>7724</v>
      </c>
      <c r="B3857" t="s">
        <v>7725</v>
      </c>
      <c r="C3857" t="s">
        <v>10</v>
      </c>
      <c r="D3857">
        <v>67</v>
      </c>
      <c r="E3857" t="s">
        <v>27</v>
      </c>
      <c r="F3857" t="s">
        <v>28</v>
      </c>
      <c r="G3857" t="s">
        <v>12</v>
      </c>
      <c r="H3857" s="1">
        <v>45578</v>
      </c>
    </row>
    <row r="3858" spans="1:8">
      <c r="A3858" t="s">
        <v>7726</v>
      </c>
      <c r="B3858" t="s">
        <v>7727</v>
      </c>
      <c r="C3858" t="s">
        <v>10</v>
      </c>
      <c r="D3858">
        <v>35</v>
      </c>
      <c r="E3858" t="s">
        <v>41</v>
      </c>
      <c r="F3858" t="s">
        <v>42</v>
      </c>
      <c r="G3858" t="s">
        <v>17</v>
      </c>
      <c r="H3858" s="1">
        <v>44804</v>
      </c>
    </row>
    <row r="3859" spans="1:8">
      <c r="A3859" t="s">
        <v>7728</v>
      </c>
      <c r="B3859" t="s">
        <v>7729</v>
      </c>
      <c r="C3859" t="s">
        <v>31</v>
      </c>
      <c r="D3859">
        <v>52</v>
      </c>
      <c r="E3859" t="s">
        <v>45</v>
      </c>
      <c r="F3859" t="s">
        <v>46</v>
      </c>
      <c r="G3859" t="s">
        <v>17</v>
      </c>
      <c r="H3859" s="1">
        <v>45687</v>
      </c>
    </row>
    <row r="3860" spans="1:8">
      <c r="A3860" t="s">
        <v>7730</v>
      </c>
      <c r="B3860" t="s">
        <v>7731</v>
      </c>
      <c r="C3860" t="s">
        <v>10</v>
      </c>
      <c r="D3860">
        <v>19</v>
      </c>
      <c r="E3860" t="s">
        <v>37</v>
      </c>
      <c r="F3860" t="s">
        <v>38</v>
      </c>
      <c r="G3860" t="s">
        <v>22</v>
      </c>
      <c r="H3860" s="1">
        <v>44828</v>
      </c>
    </row>
    <row r="3861" spans="1:8">
      <c r="A3861" t="s">
        <v>7732</v>
      </c>
      <c r="B3861" t="s">
        <v>7733</v>
      </c>
      <c r="C3861" t="s">
        <v>10</v>
      </c>
      <c r="D3861">
        <v>27</v>
      </c>
      <c r="E3861" t="s">
        <v>15</v>
      </c>
      <c r="F3861" t="s">
        <v>16</v>
      </c>
      <c r="G3861" t="s">
        <v>17</v>
      </c>
      <c r="H3861" s="1">
        <v>44881</v>
      </c>
    </row>
    <row r="3862" spans="1:8">
      <c r="A3862" t="s">
        <v>7734</v>
      </c>
      <c r="B3862" t="s">
        <v>7735</v>
      </c>
      <c r="C3862" t="s">
        <v>10</v>
      </c>
      <c r="D3862">
        <v>41</v>
      </c>
      <c r="E3862" t="s">
        <v>87</v>
      </c>
      <c r="F3862" t="s">
        <v>88</v>
      </c>
      <c r="G3862" t="s">
        <v>78</v>
      </c>
      <c r="H3862" s="1">
        <v>45427</v>
      </c>
    </row>
    <row r="3863" spans="1:8">
      <c r="A3863" t="s">
        <v>7736</v>
      </c>
      <c r="B3863" t="s">
        <v>7737</v>
      </c>
      <c r="C3863" t="s">
        <v>31</v>
      </c>
      <c r="D3863">
        <v>35</v>
      </c>
      <c r="E3863" t="s">
        <v>69</v>
      </c>
      <c r="F3863" t="s">
        <v>69</v>
      </c>
      <c r="G3863" t="s">
        <v>12</v>
      </c>
      <c r="H3863" s="1">
        <v>45034</v>
      </c>
    </row>
    <row r="3864" spans="1:8">
      <c r="A3864" t="s">
        <v>7738</v>
      </c>
      <c r="B3864" t="s">
        <v>7739</v>
      </c>
      <c r="C3864" t="s">
        <v>10</v>
      </c>
      <c r="D3864">
        <v>46</v>
      </c>
      <c r="E3864" t="s">
        <v>218</v>
      </c>
      <c r="F3864" t="s">
        <v>219</v>
      </c>
      <c r="G3864" t="s">
        <v>17</v>
      </c>
      <c r="H3864" s="1">
        <v>45830</v>
      </c>
    </row>
    <row r="3865" spans="1:8">
      <c r="A3865" t="s">
        <v>7740</v>
      </c>
      <c r="B3865" t="s">
        <v>7741</v>
      </c>
      <c r="C3865" t="s">
        <v>31</v>
      </c>
      <c r="D3865">
        <v>55</v>
      </c>
      <c r="E3865" t="s">
        <v>11</v>
      </c>
      <c r="F3865" t="s">
        <v>11</v>
      </c>
      <c r="G3865" t="s">
        <v>12</v>
      </c>
      <c r="H3865" s="1">
        <v>45445</v>
      </c>
    </row>
    <row r="3866" spans="1:8">
      <c r="A3866" t="s">
        <v>7742</v>
      </c>
      <c r="B3866" t="s">
        <v>7743</v>
      </c>
      <c r="C3866" t="s">
        <v>10</v>
      </c>
      <c r="D3866">
        <v>36</v>
      </c>
      <c r="E3866" t="s">
        <v>34</v>
      </c>
      <c r="F3866" t="s">
        <v>16</v>
      </c>
      <c r="G3866" t="s">
        <v>17</v>
      </c>
      <c r="H3866" s="1">
        <v>44828</v>
      </c>
    </row>
    <row r="3867" spans="1:8">
      <c r="A3867" t="s">
        <v>7744</v>
      </c>
      <c r="B3867" t="s">
        <v>7745</v>
      </c>
      <c r="C3867" t="s">
        <v>31</v>
      </c>
      <c r="D3867">
        <v>34</v>
      </c>
      <c r="E3867" t="s">
        <v>20</v>
      </c>
      <c r="F3867" t="s">
        <v>21</v>
      </c>
      <c r="G3867" t="s">
        <v>22</v>
      </c>
      <c r="H3867" s="1">
        <v>45263</v>
      </c>
    </row>
    <row r="3868" spans="1:8">
      <c r="A3868" t="s">
        <v>7746</v>
      </c>
      <c r="B3868" t="s">
        <v>7747</v>
      </c>
      <c r="C3868" t="s">
        <v>10</v>
      </c>
      <c r="D3868">
        <v>32</v>
      </c>
      <c r="E3868" t="s">
        <v>76</v>
      </c>
      <c r="F3868" t="s">
        <v>77</v>
      </c>
      <c r="G3868" t="s">
        <v>78</v>
      </c>
      <c r="H3868" s="1">
        <v>45963</v>
      </c>
    </row>
    <row r="3869" spans="1:8">
      <c r="A3869" t="s">
        <v>7748</v>
      </c>
      <c r="B3869" t="s">
        <v>7749</v>
      </c>
      <c r="C3869" t="s">
        <v>10</v>
      </c>
      <c r="D3869">
        <v>21</v>
      </c>
      <c r="E3869" t="s">
        <v>134</v>
      </c>
      <c r="F3869" t="s">
        <v>28</v>
      </c>
      <c r="G3869" t="s">
        <v>12</v>
      </c>
      <c r="H3869" s="1">
        <v>44628</v>
      </c>
    </row>
    <row r="3870" spans="1:8">
      <c r="A3870" t="s">
        <v>7750</v>
      </c>
      <c r="B3870" t="s">
        <v>7751</v>
      </c>
      <c r="C3870" t="s">
        <v>31</v>
      </c>
      <c r="D3870">
        <v>49</v>
      </c>
      <c r="E3870" t="s">
        <v>218</v>
      </c>
      <c r="F3870" t="s">
        <v>219</v>
      </c>
      <c r="G3870" t="s">
        <v>17</v>
      </c>
      <c r="H3870" s="1">
        <v>45305</v>
      </c>
    </row>
    <row r="3871" spans="1:8">
      <c r="A3871" t="s">
        <v>7752</v>
      </c>
      <c r="B3871" t="s">
        <v>7753</v>
      </c>
      <c r="C3871" t="s">
        <v>31</v>
      </c>
      <c r="D3871">
        <v>68</v>
      </c>
      <c r="E3871" t="s">
        <v>149</v>
      </c>
      <c r="F3871" t="s">
        <v>38</v>
      </c>
      <c r="G3871" t="s">
        <v>22</v>
      </c>
      <c r="H3871" s="1">
        <v>45316</v>
      </c>
    </row>
    <row r="3872" spans="1:8">
      <c r="A3872" t="s">
        <v>7754</v>
      </c>
      <c r="B3872" t="s">
        <v>7755</v>
      </c>
      <c r="C3872" t="s">
        <v>31</v>
      </c>
      <c r="D3872">
        <v>55</v>
      </c>
      <c r="E3872" t="s">
        <v>20</v>
      </c>
      <c r="F3872" t="s">
        <v>21</v>
      </c>
      <c r="G3872" t="s">
        <v>22</v>
      </c>
      <c r="H3872" s="1">
        <v>45321</v>
      </c>
    </row>
    <row r="3873" spans="1:8">
      <c r="A3873" t="s">
        <v>7756</v>
      </c>
      <c r="B3873" t="s">
        <v>7757</v>
      </c>
      <c r="C3873" t="s">
        <v>31</v>
      </c>
      <c r="D3873">
        <v>45</v>
      </c>
      <c r="E3873" t="s">
        <v>134</v>
      </c>
      <c r="F3873" t="s">
        <v>28</v>
      </c>
      <c r="G3873" t="s">
        <v>12</v>
      </c>
      <c r="H3873" s="1">
        <v>45323</v>
      </c>
    </row>
    <row r="3874" spans="1:8">
      <c r="A3874" t="s">
        <v>7758</v>
      </c>
      <c r="B3874" t="s">
        <v>7759</v>
      </c>
      <c r="C3874" t="s">
        <v>31</v>
      </c>
      <c r="D3874">
        <v>24</v>
      </c>
      <c r="E3874" t="s">
        <v>76</v>
      </c>
      <c r="F3874" t="s">
        <v>77</v>
      </c>
      <c r="G3874" t="s">
        <v>78</v>
      </c>
      <c r="H3874" s="1">
        <v>45076</v>
      </c>
    </row>
    <row r="3875" spans="1:8">
      <c r="A3875" t="s">
        <v>7760</v>
      </c>
      <c r="B3875" t="s">
        <v>7761</v>
      </c>
      <c r="C3875" t="s">
        <v>31</v>
      </c>
      <c r="D3875">
        <v>18</v>
      </c>
      <c r="E3875" t="s">
        <v>45</v>
      </c>
      <c r="F3875" t="s">
        <v>46</v>
      </c>
      <c r="G3875" t="s">
        <v>17</v>
      </c>
      <c r="H3875" s="1">
        <v>45507</v>
      </c>
    </row>
    <row r="3876" spans="1:8">
      <c r="A3876" t="s">
        <v>7762</v>
      </c>
      <c r="B3876" t="s">
        <v>7763</v>
      </c>
      <c r="C3876" t="s">
        <v>10</v>
      </c>
      <c r="D3876">
        <v>69</v>
      </c>
      <c r="E3876" t="s">
        <v>218</v>
      </c>
      <c r="F3876" t="s">
        <v>219</v>
      </c>
      <c r="G3876" t="s">
        <v>17</v>
      </c>
      <c r="H3876" s="1">
        <v>44683</v>
      </c>
    </row>
    <row r="3877" spans="1:8">
      <c r="A3877" t="s">
        <v>7764</v>
      </c>
      <c r="B3877" t="s">
        <v>7765</v>
      </c>
      <c r="C3877" t="s">
        <v>10</v>
      </c>
      <c r="D3877">
        <v>19</v>
      </c>
      <c r="E3877" t="s">
        <v>11</v>
      </c>
      <c r="F3877" t="s">
        <v>11</v>
      </c>
      <c r="G3877" t="s">
        <v>12</v>
      </c>
      <c r="H3877" s="1">
        <v>44641</v>
      </c>
    </row>
    <row r="3878" spans="1:8">
      <c r="A3878" t="s">
        <v>7766</v>
      </c>
      <c r="B3878" t="s">
        <v>7767</v>
      </c>
      <c r="C3878" t="s">
        <v>10</v>
      </c>
      <c r="D3878">
        <v>24</v>
      </c>
      <c r="E3878" t="s">
        <v>69</v>
      </c>
      <c r="F3878" t="s">
        <v>69</v>
      </c>
      <c r="G3878" t="s">
        <v>12</v>
      </c>
      <c r="H3878" s="1">
        <v>45696</v>
      </c>
    </row>
    <row r="3879" spans="1:8">
      <c r="A3879" t="s">
        <v>7768</v>
      </c>
      <c r="B3879" t="s">
        <v>7769</v>
      </c>
      <c r="C3879" t="s">
        <v>31</v>
      </c>
      <c r="D3879">
        <v>28</v>
      </c>
      <c r="E3879" t="s">
        <v>37</v>
      </c>
      <c r="F3879" t="s">
        <v>38</v>
      </c>
      <c r="G3879" t="s">
        <v>22</v>
      </c>
      <c r="H3879" s="1">
        <v>44746</v>
      </c>
    </row>
    <row r="3880" spans="1:8">
      <c r="A3880" t="s">
        <v>7770</v>
      </c>
      <c r="B3880" t="s">
        <v>7771</v>
      </c>
      <c r="C3880" t="s">
        <v>10</v>
      </c>
      <c r="D3880">
        <v>51</v>
      </c>
      <c r="E3880" t="s">
        <v>20</v>
      </c>
      <c r="F3880" t="s">
        <v>21</v>
      </c>
      <c r="G3880" t="s">
        <v>22</v>
      </c>
      <c r="H3880" s="1">
        <v>45676</v>
      </c>
    </row>
    <row r="3881" spans="1:8">
      <c r="A3881" t="s">
        <v>7772</v>
      </c>
      <c r="B3881" t="s">
        <v>7773</v>
      </c>
      <c r="C3881" t="s">
        <v>10</v>
      </c>
      <c r="D3881">
        <v>27</v>
      </c>
      <c r="E3881" t="s">
        <v>45</v>
      </c>
      <c r="F3881" t="s">
        <v>46</v>
      </c>
      <c r="G3881" t="s">
        <v>17</v>
      </c>
      <c r="H3881" s="1">
        <v>45479</v>
      </c>
    </row>
    <row r="3882" spans="1:8">
      <c r="A3882" t="s">
        <v>7774</v>
      </c>
      <c r="B3882" t="s">
        <v>7775</v>
      </c>
      <c r="C3882" t="s">
        <v>10</v>
      </c>
      <c r="D3882">
        <v>47</v>
      </c>
      <c r="E3882" t="s">
        <v>11</v>
      </c>
      <c r="F3882" t="s">
        <v>11</v>
      </c>
      <c r="G3882" t="s">
        <v>12</v>
      </c>
      <c r="H3882" s="1">
        <v>45263</v>
      </c>
    </row>
    <row r="3883" spans="1:8">
      <c r="A3883" t="s">
        <v>7776</v>
      </c>
      <c r="B3883" t="s">
        <v>7777</v>
      </c>
      <c r="C3883" t="s">
        <v>31</v>
      </c>
      <c r="D3883">
        <v>46</v>
      </c>
      <c r="E3883" t="s">
        <v>218</v>
      </c>
      <c r="F3883" t="s">
        <v>219</v>
      </c>
      <c r="G3883" t="s">
        <v>17</v>
      </c>
      <c r="H3883" s="1">
        <v>44648</v>
      </c>
    </row>
    <row r="3884" spans="1:8">
      <c r="A3884" t="s">
        <v>7778</v>
      </c>
      <c r="B3884" t="s">
        <v>7779</v>
      </c>
      <c r="C3884" t="s">
        <v>10</v>
      </c>
      <c r="D3884">
        <v>39</v>
      </c>
      <c r="E3884" t="s">
        <v>15</v>
      </c>
      <c r="F3884" t="s">
        <v>16</v>
      </c>
      <c r="G3884" t="s">
        <v>17</v>
      </c>
      <c r="H3884" s="1">
        <v>45508</v>
      </c>
    </row>
    <row r="3885" spans="1:8">
      <c r="A3885" t="s">
        <v>7780</v>
      </c>
      <c r="B3885" t="s">
        <v>7781</v>
      </c>
      <c r="C3885" t="s">
        <v>31</v>
      </c>
      <c r="D3885">
        <v>51</v>
      </c>
      <c r="E3885" t="s">
        <v>15</v>
      </c>
      <c r="F3885" t="s">
        <v>16</v>
      </c>
      <c r="G3885" t="s">
        <v>17</v>
      </c>
      <c r="H3885" s="1">
        <v>45151</v>
      </c>
    </row>
    <row r="3886" spans="1:8">
      <c r="A3886" t="s">
        <v>7782</v>
      </c>
      <c r="B3886" t="s">
        <v>7783</v>
      </c>
      <c r="C3886" t="s">
        <v>10</v>
      </c>
      <c r="D3886">
        <v>69</v>
      </c>
      <c r="E3886" t="s">
        <v>112</v>
      </c>
      <c r="F3886" t="s">
        <v>113</v>
      </c>
      <c r="G3886" t="s">
        <v>78</v>
      </c>
      <c r="H3886" s="1">
        <v>45176</v>
      </c>
    </row>
    <row r="3887" spans="1:8">
      <c r="A3887" t="s">
        <v>7784</v>
      </c>
      <c r="B3887" t="s">
        <v>7785</v>
      </c>
      <c r="C3887" t="s">
        <v>10</v>
      </c>
      <c r="D3887">
        <v>19</v>
      </c>
      <c r="E3887" t="s">
        <v>20</v>
      </c>
      <c r="F3887" t="s">
        <v>21</v>
      </c>
      <c r="G3887" t="s">
        <v>22</v>
      </c>
      <c r="H3887" s="1">
        <v>46003</v>
      </c>
    </row>
    <row r="3888" spans="1:8">
      <c r="A3888" t="s">
        <v>7786</v>
      </c>
      <c r="B3888" t="s">
        <v>7787</v>
      </c>
      <c r="C3888" t="s">
        <v>31</v>
      </c>
      <c r="D3888">
        <v>52</v>
      </c>
      <c r="E3888" t="s">
        <v>41</v>
      </c>
      <c r="F3888" t="s">
        <v>42</v>
      </c>
      <c r="G3888" t="s">
        <v>17</v>
      </c>
      <c r="H3888" s="1">
        <v>44934</v>
      </c>
    </row>
    <row r="3889" spans="1:8">
      <c r="A3889" t="s">
        <v>7788</v>
      </c>
      <c r="B3889" t="s">
        <v>7789</v>
      </c>
      <c r="C3889" t="s">
        <v>31</v>
      </c>
      <c r="D3889">
        <v>63</v>
      </c>
      <c r="E3889" t="s">
        <v>91</v>
      </c>
      <c r="F3889" t="s">
        <v>92</v>
      </c>
      <c r="G3889" t="s">
        <v>78</v>
      </c>
      <c r="H3889" s="1">
        <v>45477</v>
      </c>
    </row>
    <row r="3890" spans="1:8">
      <c r="A3890" t="s">
        <v>7790</v>
      </c>
      <c r="B3890" t="s">
        <v>7791</v>
      </c>
      <c r="C3890" t="s">
        <v>10</v>
      </c>
      <c r="D3890">
        <v>31</v>
      </c>
      <c r="E3890" t="s">
        <v>37</v>
      </c>
      <c r="F3890" t="s">
        <v>38</v>
      </c>
      <c r="G3890" t="s">
        <v>22</v>
      </c>
      <c r="H3890" s="1">
        <v>45578</v>
      </c>
    </row>
    <row r="3891" spans="1:8">
      <c r="A3891" t="s">
        <v>7792</v>
      </c>
      <c r="B3891" t="s">
        <v>7793</v>
      </c>
      <c r="C3891" t="s">
        <v>10</v>
      </c>
      <c r="D3891">
        <v>60</v>
      </c>
      <c r="E3891" t="s">
        <v>15</v>
      </c>
      <c r="F3891" t="s">
        <v>16</v>
      </c>
      <c r="G3891" t="s">
        <v>17</v>
      </c>
      <c r="H3891" s="1">
        <v>45245</v>
      </c>
    </row>
    <row r="3892" spans="1:8">
      <c r="A3892" t="s">
        <v>7794</v>
      </c>
      <c r="B3892" t="s">
        <v>7795</v>
      </c>
      <c r="C3892" t="s">
        <v>31</v>
      </c>
      <c r="D3892">
        <v>28</v>
      </c>
      <c r="E3892" t="s">
        <v>63</v>
      </c>
      <c r="F3892" t="s">
        <v>64</v>
      </c>
      <c r="G3892" t="s">
        <v>12</v>
      </c>
      <c r="H3892" s="1">
        <v>45805</v>
      </c>
    </row>
    <row r="3893" spans="1:8">
      <c r="A3893" t="s">
        <v>7796</v>
      </c>
      <c r="B3893" t="s">
        <v>7797</v>
      </c>
      <c r="C3893" t="s">
        <v>31</v>
      </c>
      <c r="D3893">
        <v>43</v>
      </c>
      <c r="E3893" t="s">
        <v>112</v>
      </c>
      <c r="F3893" t="s">
        <v>113</v>
      </c>
      <c r="G3893" t="s">
        <v>78</v>
      </c>
      <c r="H3893" s="1">
        <v>45082</v>
      </c>
    </row>
    <row r="3894" spans="1:8">
      <c r="A3894" t="s">
        <v>7798</v>
      </c>
      <c r="B3894" t="s">
        <v>7799</v>
      </c>
      <c r="C3894" t="s">
        <v>31</v>
      </c>
      <c r="D3894">
        <v>55</v>
      </c>
      <c r="E3894" t="s">
        <v>101</v>
      </c>
      <c r="F3894" t="s">
        <v>21</v>
      </c>
      <c r="G3894" t="s">
        <v>22</v>
      </c>
      <c r="H3894" s="1">
        <v>44723</v>
      </c>
    </row>
    <row r="3895" spans="1:8">
      <c r="A3895" t="s">
        <v>7800</v>
      </c>
      <c r="B3895" t="s">
        <v>7801</v>
      </c>
      <c r="C3895" t="s">
        <v>31</v>
      </c>
      <c r="D3895">
        <v>19</v>
      </c>
      <c r="E3895" t="s">
        <v>34</v>
      </c>
      <c r="F3895" t="s">
        <v>16</v>
      </c>
      <c r="G3895" t="s">
        <v>17</v>
      </c>
      <c r="H3895" s="1">
        <v>44845</v>
      </c>
    </row>
    <row r="3896" spans="1:8">
      <c r="A3896" t="s">
        <v>7802</v>
      </c>
      <c r="B3896" t="s">
        <v>7803</v>
      </c>
      <c r="C3896" t="s">
        <v>31</v>
      </c>
      <c r="D3896">
        <v>45</v>
      </c>
      <c r="E3896" t="s">
        <v>45</v>
      </c>
      <c r="F3896" t="s">
        <v>46</v>
      </c>
      <c r="G3896" t="s">
        <v>17</v>
      </c>
      <c r="H3896" s="1">
        <v>45387</v>
      </c>
    </row>
    <row r="3897" spans="1:8">
      <c r="A3897" t="s">
        <v>7804</v>
      </c>
      <c r="B3897" t="s">
        <v>7805</v>
      </c>
      <c r="C3897" t="s">
        <v>10</v>
      </c>
      <c r="D3897">
        <v>66</v>
      </c>
      <c r="E3897" t="s">
        <v>45</v>
      </c>
      <c r="F3897" t="s">
        <v>46</v>
      </c>
      <c r="G3897" t="s">
        <v>17</v>
      </c>
      <c r="H3897" s="1">
        <v>45845</v>
      </c>
    </row>
    <row r="3898" spans="1:8">
      <c r="A3898" t="s">
        <v>7806</v>
      </c>
      <c r="B3898" t="s">
        <v>7807</v>
      </c>
      <c r="C3898" t="s">
        <v>31</v>
      </c>
      <c r="D3898">
        <v>55</v>
      </c>
      <c r="E3898" t="s">
        <v>15</v>
      </c>
      <c r="F3898" t="s">
        <v>16</v>
      </c>
      <c r="G3898" t="s">
        <v>17</v>
      </c>
      <c r="H3898" s="1">
        <v>44665</v>
      </c>
    </row>
    <row r="3899" spans="1:8">
      <c r="A3899" t="s">
        <v>7808</v>
      </c>
      <c r="B3899" t="s">
        <v>7809</v>
      </c>
      <c r="C3899" t="s">
        <v>31</v>
      </c>
      <c r="D3899">
        <v>20</v>
      </c>
      <c r="E3899" t="s">
        <v>149</v>
      </c>
      <c r="F3899" t="s">
        <v>38</v>
      </c>
      <c r="G3899" t="s">
        <v>22</v>
      </c>
      <c r="H3899" s="1">
        <v>44816</v>
      </c>
    </row>
    <row r="3900" spans="1:8">
      <c r="A3900" t="s">
        <v>7810</v>
      </c>
      <c r="B3900" t="s">
        <v>7811</v>
      </c>
      <c r="C3900" t="s">
        <v>10</v>
      </c>
      <c r="D3900">
        <v>52</v>
      </c>
      <c r="E3900" t="s">
        <v>45</v>
      </c>
      <c r="F3900" t="s">
        <v>46</v>
      </c>
      <c r="G3900" t="s">
        <v>17</v>
      </c>
      <c r="H3900" s="1">
        <v>45761</v>
      </c>
    </row>
    <row r="3901" spans="1:8">
      <c r="A3901" t="s">
        <v>7812</v>
      </c>
      <c r="B3901" t="s">
        <v>7813</v>
      </c>
      <c r="C3901" t="s">
        <v>31</v>
      </c>
      <c r="D3901">
        <v>54</v>
      </c>
      <c r="E3901" t="s">
        <v>27</v>
      </c>
      <c r="F3901" t="s">
        <v>28</v>
      </c>
      <c r="G3901" t="s">
        <v>12</v>
      </c>
      <c r="H3901" s="1">
        <v>44701</v>
      </c>
    </row>
    <row r="3902" spans="1:8">
      <c r="A3902" t="s">
        <v>7814</v>
      </c>
      <c r="B3902" t="s">
        <v>7815</v>
      </c>
      <c r="C3902" t="s">
        <v>10</v>
      </c>
      <c r="D3902">
        <v>38</v>
      </c>
      <c r="E3902" t="s">
        <v>34</v>
      </c>
      <c r="F3902" t="s">
        <v>16</v>
      </c>
      <c r="G3902" t="s">
        <v>17</v>
      </c>
      <c r="H3902" s="1">
        <v>45929</v>
      </c>
    </row>
    <row r="3903" spans="1:8">
      <c r="A3903" t="s">
        <v>7816</v>
      </c>
      <c r="B3903" t="s">
        <v>6142</v>
      </c>
      <c r="C3903" t="s">
        <v>10</v>
      </c>
      <c r="D3903">
        <v>69</v>
      </c>
      <c r="E3903" t="s">
        <v>11</v>
      </c>
      <c r="F3903" t="s">
        <v>11</v>
      </c>
      <c r="G3903" t="s">
        <v>12</v>
      </c>
      <c r="H3903" s="1">
        <v>45085</v>
      </c>
    </row>
    <row r="3904" spans="1:8">
      <c r="A3904" t="s">
        <v>7817</v>
      </c>
      <c r="B3904" t="s">
        <v>7818</v>
      </c>
      <c r="C3904" t="s">
        <v>31</v>
      </c>
      <c r="D3904">
        <v>68</v>
      </c>
      <c r="E3904" t="s">
        <v>27</v>
      </c>
      <c r="F3904" t="s">
        <v>28</v>
      </c>
      <c r="G3904" t="s">
        <v>12</v>
      </c>
      <c r="H3904" s="1">
        <v>45579</v>
      </c>
    </row>
    <row r="3905" spans="1:8">
      <c r="A3905" t="s">
        <v>7819</v>
      </c>
      <c r="B3905" t="s">
        <v>7820</v>
      </c>
      <c r="C3905" t="s">
        <v>10</v>
      </c>
      <c r="D3905">
        <v>59</v>
      </c>
      <c r="E3905" t="s">
        <v>69</v>
      </c>
      <c r="F3905" t="s">
        <v>69</v>
      </c>
      <c r="G3905" t="s">
        <v>12</v>
      </c>
      <c r="H3905" s="1">
        <v>45870</v>
      </c>
    </row>
    <row r="3906" spans="1:8">
      <c r="A3906" t="s">
        <v>7821</v>
      </c>
      <c r="B3906" t="s">
        <v>7822</v>
      </c>
      <c r="C3906" t="s">
        <v>31</v>
      </c>
      <c r="D3906">
        <v>61</v>
      </c>
      <c r="E3906" t="s">
        <v>41</v>
      </c>
      <c r="F3906" t="s">
        <v>42</v>
      </c>
      <c r="G3906" t="s">
        <v>17</v>
      </c>
      <c r="H3906" s="1">
        <v>45770</v>
      </c>
    </row>
    <row r="3907" spans="1:8">
      <c r="A3907" t="s">
        <v>7823</v>
      </c>
      <c r="B3907" t="s">
        <v>7824</v>
      </c>
      <c r="C3907" t="s">
        <v>31</v>
      </c>
      <c r="D3907">
        <v>24</v>
      </c>
      <c r="E3907" t="s">
        <v>41</v>
      </c>
      <c r="F3907" t="s">
        <v>42</v>
      </c>
      <c r="G3907" t="s">
        <v>17</v>
      </c>
      <c r="H3907" s="1">
        <v>45344</v>
      </c>
    </row>
    <row r="3908" spans="1:8">
      <c r="A3908" t="s">
        <v>7825</v>
      </c>
      <c r="B3908" t="s">
        <v>7826</v>
      </c>
      <c r="C3908" t="s">
        <v>10</v>
      </c>
      <c r="D3908">
        <v>31</v>
      </c>
      <c r="E3908" t="s">
        <v>149</v>
      </c>
      <c r="F3908" t="s">
        <v>38</v>
      </c>
      <c r="G3908" t="s">
        <v>22</v>
      </c>
      <c r="H3908" s="1">
        <v>44765</v>
      </c>
    </row>
    <row r="3909" spans="1:8">
      <c r="A3909" t="s">
        <v>7827</v>
      </c>
      <c r="B3909" t="s">
        <v>7828</v>
      </c>
      <c r="C3909" t="s">
        <v>31</v>
      </c>
      <c r="D3909">
        <v>54</v>
      </c>
      <c r="E3909" t="s">
        <v>20</v>
      </c>
      <c r="F3909" t="s">
        <v>21</v>
      </c>
      <c r="G3909" t="s">
        <v>22</v>
      </c>
      <c r="H3909" s="1">
        <v>45555</v>
      </c>
    </row>
    <row r="3910" spans="1:8">
      <c r="A3910" t="s">
        <v>7829</v>
      </c>
      <c r="B3910" t="s">
        <v>7830</v>
      </c>
      <c r="C3910" t="s">
        <v>31</v>
      </c>
      <c r="D3910">
        <v>45</v>
      </c>
      <c r="E3910" t="s">
        <v>34</v>
      </c>
      <c r="F3910" t="s">
        <v>16</v>
      </c>
      <c r="G3910" t="s">
        <v>17</v>
      </c>
      <c r="H3910" s="1">
        <v>44918</v>
      </c>
    </row>
    <row r="3911" spans="1:8">
      <c r="A3911" t="s">
        <v>7831</v>
      </c>
      <c r="B3911" t="s">
        <v>7832</v>
      </c>
      <c r="C3911" t="s">
        <v>31</v>
      </c>
      <c r="D3911">
        <v>55</v>
      </c>
      <c r="E3911" t="s">
        <v>218</v>
      </c>
      <c r="F3911" t="s">
        <v>219</v>
      </c>
      <c r="G3911" t="s">
        <v>17</v>
      </c>
      <c r="H3911" s="1">
        <v>45933</v>
      </c>
    </row>
    <row r="3912" spans="1:8">
      <c r="A3912" t="s">
        <v>7833</v>
      </c>
      <c r="B3912" t="s">
        <v>7834</v>
      </c>
      <c r="C3912" t="s">
        <v>31</v>
      </c>
      <c r="D3912">
        <v>69</v>
      </c>
      <c r="E3912" t="s">
        <v>20</v>
      </c>
      <c r="F3912" t="s">
        <v>21</v>
      </c>
      <c r="G3912" t="s">
        <v>22</v>
      </c>
      <c r="H3912" s="1">
        <v>45812</v>
      </c>
    </row>
    <row r="3913" spans="1:8">
      <c r="A3913" t="s">
        <v>7835</v>
      </c>
      <c r="B3913" t="s">
        <v>7836</v>
      </c>
      <c r="C3913" t="s">
        <v>31</v>
      </c>
      <c r="D3913">
        <v>60</v>
      </c>
      <c r="E3913" t="s">
        <v>45</v>
      </c>
      <c r="F3913" t="s">
        <v>46</v>
      </c>
      <c r="G3913" t="s">
        <v>17</v>
      </c>
      <c r="H3913" s="1">
        <v>44900</v>
      </c>
    </row>
    <row r="3914" spans="1:8">
      <c r="A3914" t="s">
        <v>7837</v>
      </c>
      <c r="B3914" t="s">
        <v>7838</v>
      </c>
      <c r="C3914" t="s">
        <v>10</v>
      </c>
      <c r="D3914">
        <v>50</v>
      </c>
      <c r="E3914" t="s">
        <v>34</v>
      </c>
      <c r="F3914" t="s">
        <v>16</v>
      </c>
      <c r="G3914" t="s">
        <v>17</v>
      </c>
      <c r="H3914" s="1">
        <v>45518</v>
      </c>
    </row>
    <row r="3915" spans="1:8">
      <c r="A3915" t="s">
        <v>7839</v>
      </c>
      <c r="B3915" t="s">
        <v>7840</v>
      </c>
      <c r="C3915" t="s">
        <v>10</v>
      </c>
      <c r="D3915">
        <v>23</v>
      </c>
      <c r="E3915" t="s">
        <v>60</v>
      </c>
      <c r="F3915" t="s">
        <v>21</v>
      </c>
      <c r="G3915" t="s">
        <v>22</v>
      </c>
      <c r="H3915" s="1">
        <v>44913</v>
      </c>
    </row>
    <row r="3916" spans="1:8">
      <c r="A3916" t="s">
        <v>7841</v>
      </c>
      <c r="B3916" t="s">
        <v>7842</v>
      </c>
      <c r="C3916" t="s">
        <v>10</v>
      </c>
      <c r="D3916">
        <v>58</v>
      </c>
      <c r="E3916" t="s">
        <v>101</v>
      </c>
      <c r="F3916" t="s">
        <v>21</v>
      </c>
      <c r="G3916" t="s">
        <v>22</v>
      </c>
      <c r="H3916" s="1">
        <v>45915</v>
      </c>
    </row>
    <row r="3917" spans="1:8">
      <c r="A3917" t="s">
        <v>7843</v>
      </c>
      <c r="B3917" t="s">
        <v>7844</v>
      </c>
      <c r="C3917" t="s">
        <v>10</v>
      </c>
      <c r="D3917">
        <v>33</v>
      </c>
      <c r="E3917" t="s">
        <v>134</v>
      </c>
      <c r="F3917" t="s">
        <v>28</v>
      </c>
      <c r="G3917" t="s">
        <v>12</v>
      </c>
      <c r="H3917" s="1">
        <v>44756</v>
      </c>
    </row>
    <row r="3918" spans="1:8">
      <c r="A3918" t="s">
        <v>7845</v>
      </c>
      <c r="B3918" t="s">
        <v>7846</v>
      </c>
      <c r="C3918" t="s">
        <v>31</v>
      </c>
      <c r="D3918">
        <v>27</v>
      </c>
      <c r="E3918" t="s">
        <v>60</v>
      </c>
      <c r="F3918" t="s">
        <v>21</v>
      </c>
      <c r="G3918" t="s">
        <v>22</v>
      </c>
      <c r="H3918" s="1">
        <v>45732</v>
      </c>
    </row>
    <row r="3919" spans="1:8">
      <c r="A3919" t="s">
        <v>7847</v>
      </c>
      <c r="B3919" t="s">
        <v>7848</v>
      </c>
      <c r="C3919" t="s">
        <v>10</v>
      </c>
      <c r="D3919">
        <v>64</v>
      </c>
      <c r="E3919" t="s">
        <v>87</v>
      </c>
      <c r="F3919" t="s">
        <v>88</v>
      </c>
      <c r="G3919" t="s">
        <v>78</v>
      </c>
      <c r="H3919" s="1">
        <v>45472</v>
      </c>
    </row>
    <row r="3920" spans="1:8">
      <c r="A3920" t="s">
        <v>7849</v>
      </c>
      <c r="B3920" t="s">
        <v>7850</v>
      </c>
      <c r="C3920" t="s">
        <v>31</v>
      </c>
      <c r="D3920">
        <v>60</v>
      </c>
      <c r="E3920" t="s">
        <v>128</v>
      </c>
      <c r="F3920" t="s">
        <v>129</v>
      </c>
      <c r="G3920" t="s">
        <v>78</v>
      </c>
      <c r="H3920" s="1">
        <v>45843</v>
      </c>
    </row>
    <row r="3921" spans="1:8">
      <c r="A3921" t="s">
        <v>7851</v>
      </c>
      <c r="B3921" t="s">
        <v>7852</v>
      </c>
      <c r="C3921" t="s">
        <v>31</v>
      </c>
      <c r="D3921">
        <v>34</v>
      </c>
      <c r="E3921" t="s">
        <v>20</v>
      </c>
      <c r="F3921" t="s">
        <v>21</v>
      </c>
      <c r="G3921" t="s">
        <v>22</v>
      </c>
      <c r="H3921" s="1">
        <v>45681</v>
      </c>
    </row>
    <row r="3922" spans="1:8">
      <c r="A3922" t="s">
        <v>7853</v>
      </c>
      <c r="B3922" t="s">
        <v>7854</v>
      </c>
      <c r="C3922" t="s">
        <v>10</v>
      </c>
      <c r="D3922">
        <v>46</v>
      </c>
      <c r="E3922" t="s">
        <v>101</v>
      </c>
      <c r="F3922" t="s">
        <v>21</v>
      </c>
      <c r="G3922" t="s">
        <v>22</v>
      </c>
      <c r="H3922" s="1">
        <v>44891</v>
      </c>
    </row>
    <row r="3923" spans="1:8">
      <c r="A3923" t="s">
        <v>7855</v>
      </c>
      <c r="B3923" t="s">
        <v>7856</v>
      </c>
      <c r="C3923" t="s">
        <v>10</v>
      </c>
      <c r="D3923">
        <v>54</v>
      </c>
      <c r="E3923" t="s">
        <v>91</v>
      </c>
      <c r="F3923" t="s">
        <v>92</v>
      </c>
      <c r="G3923" t="s">
        <v>78</v>
      </c>
      <c r="H3923" s="1">
        <v>45630</v>
      </c>
    </row>
    <row r="3924" spans="1:8">
      <c r="A3924" t="s">
        <v>7857</v>
      </c>
      <c r="B3924" t="s">
        <v>7858</v>
      </c>
      <c r="C3924" t="s">
        <v>31</v>
      </c>
      <c r="D3924">
        <v>18</v>
      </c>
      <c r="E3924" t="s">
        <v>128</v>
      </c>
      <c r="F3924" t="s">
        <v>129</v>
      </c>
      <c r="G3924" t="s">
        <v>78</v>
      </c>
      <c r="H3924" s="1">
        <v>45327</v>
      </c>
    </row>
    <row r="3925" spans="1:8">
      <c r="A3925" t="s">
        <v>7859</v>
      </c>
      <c r="B3925" t="s">
        <v>7459</v>
      </c>
      <c r="C3925" t="s">
        <v>31</v>
      </c>
      <c r="D3925">
        <v>52</v>
      </c>
      <c r="E3925" t="s">
        <v>20</v>
      </c>
      <c r="F3925" t="s">
        <v>21</v>
      </c>
      <c r="G3925" t="s">
        <v>22</v>
      </c>
      <c r="H3925" s="1">
        <v>44614</v>
      </c>
    </row>
    <row r="3926" spans="1:8">
      <c r="A3926" t="s">
        <v>7860</v>
      </c>
      <c r="B3926" t="s">
        <v>7861</v>
      </c>
      <c r="C3926" t="s">
        <v>31</v>
      </c>
      <c r="D3926">
        <v>60</v>
      </c>
      <c r="E3926" t="s">
        <v>41</v>
      </c>
      <c r="F3926" t="s">
        <v>42</v>
      </c>
      <c r="G3926" t="s">
        <v>17</v>
      </c>
      <c r="H3926" s="1">
        <v>45217</v>
      </c>
    </row>
    <row r="3927" spans="1:8">
      <c r="A3927" t="s">
        <v>7862</v>
      </c>
      <c r="B3927" t="s">
        <v>7863</v>
      </c>
      <c r="C3927" t="s">
        <v>31</v>
      </c>
      <c r="D3927">
        <v>54</v>
      </c>
      <c r="E3927" t="s">
        <v>34</v>
      </c>
      <c r="F3927" t="s">
        <v>16</v>
      </c>
      <c r="G3927" t="s">
        <v>17</v>
      </c>
      <c r="H3927" s="1">
        <v>44948</v>
      </c>
    </row>
    <row r="3928" spans="1:8">
      <c r="A3928" t="s">
        <v>7864</v>
      </c>
      <c r="B3928" t="s">
        <v>7865</v>
      </c>
      <c r="C3928" t="s">
        <v>10</v>
      </c>
      <c r="D3928">
        <v>66</v>
      </c>
      <c r="E3928" t="s">
        <v>218</v>
      </c>
      <c r="F3928" t="s">
        <v>219</v>
      </c>
      <c r="G3928" t="s">
        <v>17</v>
      </c>
      <c r="H3928" s="1">
        <v>45387</v>
      </c>
    </row>
    <row r="3929" spans="1:8">
      <c r="A3929" t="s">
        <v>7866</v>
      </c>
      <c r="B3929" t="s">
        <v>7867</v>
      </c>
      <c r="C3929" t="s">
        <v>31</v>
      </c>
      <c r="D3929">
        <v>61</v>
      </c>
      <c r="E3929" t="s">
        <v>11</v>
      </c>
      <c r="F3929" t="s">
        <v>11</v>
      </c>
      <c r="G3929" t="s">
        <v>12</v>
      </c>
      <c r="H3929" s="1">
        <v>44885</v>
      </c>
    </row>
    <row r="3930" spans="1:8">
      <c r="A3930" t="s">
        <v>7868</v>
      </c>
      <c r="B3930" t="s">
        <v>7869</v>
      </c>
      <c r="C3930" t="s">
        <v>31</v>
      </c>
      <c r="D3930">
        <v>53</v>
      </c>
      <c r="E3930" t="s">
        <v>134</v>
      </c>
      <c r="F3930" t="s">
        <v>28</v>
      </c>
      <c r="G3930" t="s">
        <v>12</v>
      </c>
      <c r="H3930" s="1">
        <v>44900</v>
      </c>
    </row>
    <row r="3931" spans="1:8">
      <c r="A3931" t="s">
        <v>7870</v>
      </c>
      <c r="B3931" t="s">
        <v>7871</v>
      </c>
      <c r="C3931" t="s">
        <v>31</v>
      </c>
      <c r="D3931">
        <v>55</v>
      </c>
      <c r="E3931" t="s">
        <v>76</v>
      </c>
      <c r="F3931" t="s">
        <v>77</v>
      </c>
      <c r="G3931" t="s">
        <v>78</v>
      </c>
      <c r="H3931" s="1">
        <v>45510</v>
      </c>
    </row>
    <row r="3932" spans="1:8">
      <c r="A3932" t="s">
        <v>7872</v>
      </c>
      <c r="B3932" t="s">
        <v>7873</v>
      </c>
      <c r="C3932" t="s">
        <v>10</v>
      </c>
      <c r="D3932">
        <v>35</v>
      </c>
      <c r="E3932" t="s">
        <v>112</v>
      </c>
      <c r="F3932" t="s">
        <v>113</v>
      </c>
      <c r="G3932" t="s">
        <v>78</v>
      </c>
      <c r="H3932" s="1">
        <v>45923</v>
      </c>
    </row>
    <row r="3933" spans="1:8">
      <c r="A3933" t="s">
        <v>7874</v>
      </c>
      <c r="B3933" t="s">
        <v>7875</v>
      </c>
      <c r="C3933" t="s">
        <v>10</v>
      </c>
      <c r="D3933">
        <v>34</v>
      </c>
      <c r="E3933" t="s">
        <v>45</v>
      </c>
      <c r="F3933" t="s">
        <v>46</v>
      </c>
      <c r="G3933" t="s">
        <v>17</v>
      </c>
      <c r="H3933" s="1">
        <v>45031</v>
      </c>
    </row>
    <row r="3934" spans="1:8">
      <c r="A3934" t="s">
        <v>7876</v>
      </c>
      <c r="B3934" t="s">
        <v>7877</v>
      </c>
      <c r="C3934" t="s">
        <v>31</v>
      </c>
      <c r="D3934">
        <v>25</v>
      </c>
      <c r="E3934" t="s">
        <v>87</v>
      </c>
      <c r="F3934" t="s">
        <v>88</v>
      </c>
      <c r="G3934" t="s">
        <v>78</v>
      </c>
      <c r="H3934" s="1">
        <v>45751</v>
      </c>
    </row>
    <row r="3935" spans="1:8">
      <c r="A3935" t="s">
        <v>7878</v>
      </c>
      <c r="B3935" t="s">
        <v>7879</v>
      </c>
      <c r="C3935" t="s">
        <v>10</v>
      </c>
      <c r="D3935">
        <v>29</v>
      </c>
      <c r="E3935" t="s">
        <v>20</v>
      </c>
      <c r="F3935" t="s">
        <v>21</v>
      </c>
      <c r="G3935" t="s">
        <v>22</v>
      </c>
      <c r="H3935" s="1">
        <v>45574</v>
      </c>
    </row>
    <row r="3936" spans="1:8">
      <c r="A3936" t="s">
        <v>7880</v>
      </c>
      <c r="B3936" t="s">
        <v>7881</v>
      </c>
      <c r="C3936" t="s">
        <v>10</v>
      </c>
      <c r="D3936">
        <v>39</v>
      </c>
      <c r="E3936" t="s">
        <v>60</v>
      </c>
      <c r="F3936" t="s">
        <v>21</v>
      </c>
      <c r="G3936" t="s">
        <v>22</v>
      </c>
      <c r="H3936" s="1">
        <v>45705</v>
      </c>
    </row>
    <row r="3937" spans="1:8">
      <c r="A3937" t="s">
        <v>7882</v>
      </c>
      <c r="B3937" t="s">
        <v>7883</v>
      </c>
      <c r="C3937" t="s">
        <v>31</v>
      </c>
      <c r="D3937">
        <v>55</v>
      </c>
      <c r="E3937" t="s">
        <v>134</v>
      </c>
      <c r="F3937" t="s">
        <v>28</v>
      </c>
      <c r="G3937" t="s">
        <v>12</v>
      </c>
      <c r="H3937" s="1">
        <v>44781</v>
      </c>
    </row>
    <row r="3938" spans="1:8">
      <c r="A3938" t="s">
        <v>7884</v>
      </c>
      <c r="B3938" t="s">
        <v>7885</v>
      </c>
      <c r="C3938" t="s">
        <v>31</v>
      </c>
      <c r="D3938">
        <v>58</v>
      </c>
      <c r="E3938" t="s">
        <v>69</v>
      </c>
      <c r="F3938" t="s">
        <v>69</v>
      </c>
      <c r="G3938" t="s">
        <v>12</v>
      </c>
      <c r="H3938" s="1">
        <v>44934</v>
      </c>
    </row>
    <row r="3939" spans="1:8">
      <c r="A3939" t="s">
        <v>7886</v>
      </c>
      <c r="B3939" t="s">
        <v>7887</v>
      </c>
      <c r="C3939" t="s">
        <v>31</v>
      </c>
      <c r="D3939">
        <v>57</v>
      </c>
      <c r="E3939" t="s">
        <v>218</v>
      </c>
      <c r="F3939" t="s">
        <v>219</v>
      </c>
      <c r="G3939" t="s">
        <v>17</v>
      </c>
      <c r="H3939" s="1">
        <v>45425</v>
      </c>
    </row>
    <row r="3940" spans="1:8">
      <c r="A3940" t="s">
        <v>7888</v>
      </c>
      <c r="B3940" t="s">
        <v>7889</v>
      </c>
      <c r="C3940" t="s">
        <v>31</v>
      </c>
      <c r="D3940">
        <v>57</v>
      </c>
      <c r="E3940" t="s">
        <v>60</v>
      </c>
      <c r="F3940" t="s">
        <v>21</v>
      </c>
      <c r="G3940" t="s">
        <v>22</v>
      </c>
      <c r="H3940" s="1">
        <v>45071</v>
      </c>
    </row>
    <row r="3941" spans="1:8">
      <c r="A3941" t="s">
        <v>7890</v>
      </c>
      <c r="B3941" t="s">
        <v>7891</v>
      </c>
      <c r="C3941" t="s">
        <v>31</v>
      </c>
      <c r="D3941">
        <v>27</v>
      </c>
      <c r="E3941" t="s">
        <v>37</v>
      </c>
      <c r="F3941" t="s">
        <v>38</v>
      </c>
      <c r="G3941" t="s">
        <v>22</v>
      </c>
      <c r="H3941" s="1">
        <v>45489</v>
      </c>
    </row>
    <row r="3942" spans="1:8">
      <c r="A3942" t="s">
        <v>7892</v>
      </c>
      <c r="B3942" t="s">
        <v>7893</v>
      </c>
      <c r="C3942" t="s">
        <v>31</v>
      </c>
      <c r="D3942">
        <v>24</v>
      </c>
      <c r="E3942" t="s">
        <v>15</v>
      </c>
      <c r="F3942" t="s">
        <v>16</v>
      </c>
      <c r="G3942" t="s">
        <v>17</v>
      </c>
      <c r="H3942" s="1">
        <v>44875</v>
      </c>
    </row>
    <row r="3943" spans="1:8">
      <c r="A3943" t="s">
        <v>7894</v>
      </c>
      <c r="B3943" t="s">
        <v>7895</v>
      </c>
      <c r="C3943" t="s">
        <v>10</v>
      </c>
      <c r="D3943">
        <v>70</v>
      </c>
      <c r="E3943" t="s">
        <v>101</v>
      </c>
      <c r="F3943" t="s">
        <v>21</v>
      </c>
      <c r="G3943" t="s">
        <v>22</v>
      </c>
      <c r="H3943" s="1">
        <v>45290</v>
      </c>
    </row>
    <row r="3944" spans="1:8">
      <c r="A3944" t="s">
        <v>7896</v>
      </c>
      <c r="B3944" t="s">
        <v>7897</v>
      </c>
      <c r="C3944" t="s">
        <v>10</v>
      </c>
      <c r="D3944">
        <v>18</v>
      </c>
      <c r="E3944" t="s">
        <v>134</v>
      </c>
      <c r="F3944" t="s">
        <v>28</v>
      </c>
      <c r="G3944" t="s">
        <v>12</v>
      </c>
      <c r="H3944" s="1">
        <v>45673</v>
      </c>
    </row>
    <row r="3945" spans="1:8">
      <c r="A3945" t="s">
        <v>7898</v>
      </c>
      <c r="B3945" t="s">
        <v>7899</v>
      </c>
      <c r="C3945" t="s">
        <v>31</v>
      </c>
      <c r="D3945">
        <v>52</v>
      </c>
      <c r="E3945" t="s">
        <v>60</v>
      </c>
      <c r="F3945" t="s">
        <v>21</v>
      </c>
      <c r="G3945" t="s">
        <v>22</v>
      </c>
      <c r="H3945" s="1">
        <v>45016</v>
      </c>
    </row>
    <row r="3946" spans="1:8">
      <c r="A3946" t="s">
        <v>7900</v>
      </c>
      <c r="B3946" t="s">
        <v>7901</v>
      </c>
      <c r="C3946" t="s">
        <v>10</v>
      </c>
      <c r="D3946">
        <v>45</v>
      </c>
      <c r="E3946" t="s">
        <v>60</v>
      </c>
      <c r="F3946" t="s">
        <v>21</v>
      </c>
      <c r="G3946" t="s">
        <v>22</v>
      </c>
      <c r="H3946" s="1">
        <v>45028</v>
      </c>
    </row>
    <row r="3947" spans="1:8">
      <c r="A3947" t="s">
        <v>7902</v>
      </c>
      <c r="B3947" t="s">
        <v>7903</v>
      </c>
      <c r="C3947" t="s">
        <v>31</v>
      </c>
      <c r="D3947">
        <v>27</v>
      </c>
      <c r="E3947" t="s">
        <v>45</v>
      </c>
      <c r="F3947" t="s">
        <v>46</v>
      </c>
      <c r="G3947" t="s">
        <v>17</v>
      </c>
      <c r="H3947" s="1">
        <v>45371</v>
      </c>
    </row>
    <row r="3948" spans="1:8">
      <c r="A3948" t="s">
        <v>7904</v>
      </c>
      <c r="B3948" t="s">
        <v>7905</v>
      </c>
      <c r="C3948" t="s">
        <v>10</v>
      </c>
      <c r="D3948">
        <v>45</v>
      </c>
      <c r="E3948" t="s">
        <v>128</v>
      </c>
      <c r="F3948" t="s">
        <v>129</v>
      </c>
      <c r="G3948" t="s">
        <v>78</v>
      </c>
      <c r="H3948" s="1">
        <v>45473</v>
      </c>
    </row>
    <row r="3949" spans="1:8">
      <c r="A3949" t="s">
        <v>7906</v>
      </c>
      <c r="B3949" t="s">
        <v>7907</v>
      </c>
      <c r="C3949" t="s">
        <v>31</v>
      </c>
      <c r="D3949">
        <v>22</v>
      </c>
      <c r="E3949" t="s">
        <v>15</v>
      </c>
      <c r="F3949" t="s">
        <v>16</v>
      </c>
      <c r="G3949" t="s">
        <v>17</v>
      </c>
      <c r="H3949" s="1">
        <v>44744</v>
      </c>
    </row>
    <row r="3950" spans="1:8">
      <c r="A3950" t="s">
        <v>7908</v>
      </c>
      <c r="B3950" t="s">
        <v>7909</v>
      </c>
      <c r="C3950" t="s">
        <v>10</v>
      </c>
      <c r="D3950">
        <v>40</v>
      </c>
      <c r="E3950" t="s">
        <v>15</v>
      </c>
      <c r="F3950" t="s">
        <v>16</v>
      </c>
      <c r="G3950" t="s">
        <v>17</v>
      </c>
      <c r="H3950" s="1">
        <v>45763</v>
      </c>
    </row>
    <row r="3951" spans="1:8">
      <c r="A3951" t="s">
        <v>7910</v>
      </c>
      <c r="B3951" t="s">
        <v>7911</v>
      </c>
      <c r="C3951" t="s">
        <v>10</v>
      </c>
      <c r="D3951">
        <v>70</v>
      </c>
      <c r="E3951" t="s">
        <v>27</v>
      </c>
      <c r="F3951" t="s">
        <v>28</v>
      </c>
      <c r="G3951" t="s">
        <v>12</v>
      </c>
      <c r="H3951" s="1">
        <v>45872</v>
      </c>
    </row>
    <row r="3952" spans="1:8">
      <c r="A3952" t="s">
        <v>7912</v>
      </c>
      <c r="B3952" t="s">
        <v>7913</v>
      </c>
      <c r="C3952" t="s">
        <v>10</v>
      </c>
      <c r="D3952">
        <v>31</v>
      </c>
      <c r="E3952" t="s">
        <v>112</v>
      </c>
      <c r="F3952" t="s">
        <v>113</v>
      </c>
      <c r="G3952" t="s">
        <v>78</v>
      </c>
      <c r="H3952" s="1">
        <v>44783</v>
      </c>
    </row>
    <row r="3953" spans="1:8">
      <c r="A3953" t="s">
        <v>7914</v>
      </c>
      <c r="B3953" t="s">
        <v>7915</v>
      </c>
      <c r="C3953" t="s">
        <v>31</v>
      </c>
      <c r="D3953">
        <v>29</v>
      </c>
      <c r="E3953" t="s">
        <v>149</v>
      </c>
      <c r="F3953" t="s">
        <v>38</v>
      </c>
      <c r="G3953" t="s">
        <v>22</v>
      </c>
      <c r="H3953" s="1">
        <v>44562</v>
      </c>
    </row>
    <row r="3954" spans="1:8">
      <c r="A3954" t="s">
        <v>7916</v>
      </c>
      <c r="B3954" t="s">
        <v>7917</v>
      </c>
      <c r="C3954" t="s">
        <v>31</v>
      </c>
      <c r="D3954">
        <v>53</v>
      </c>
      <c r="E3954" t="s">
        <v>87</v>
      </c>
      <c r="F3954" t="s">
        <v>88</v>
      </c>
      <c r="G3954" t="s">
        <v>78</v>
      </c>
      <c r="H3954" s="1">
        <v>45083</v>
      </c>
    </row>
    <row r="3955" spans="1:8">
      <c r="A3955" t="s">
        <v>7918</v>
      </c>
      <c r="B3955" t="s">
        <v>7919</v>
      </c>
      <c r="C3955" t="s">
        <v>10</v>
      </c>
      <c r="D3955">
        <v>28</v>
      </c>
      <c r="E3955" t="s">
        <v>149</v>
      </c>
      <c r="F3955" t="s">
        <v>38</v>
      </c>
      <c r="G3955" t="s">
        <v>22</v>
      </c>
      <c r="H3955" s="1">
        <v>45242</v>
      </c>
    </row>
    <row r="3956" spans="1:8">
      <c r="A3956" t="s">
        <v>7920</v>
      </c>
      <c r="B3956" t="s">
        <v>7921</v>
      </c>
      <c r="C3956" t="s">
        <v>31</v>
      </c>
      <c r="D3956">
        <v>27</v>
      </c>
      <c r="E3956" t="s">
        <v>37</v>
      </c>
      <c r="F3956" t="s">
        <v>38</v>
      </c>
      <c r="G3956" t="s">
        <v>22</v>
      </c>
      <c r="H3956" s="1">
        <v>45180</v>
      </c>
    </row>
    <row r="3957" spans="1:8">
      <c r="A3957" t="s">
        <v>7922</v>
      </c>
      <c r="B3957" t="s">
        <v>7923</v>
      </c>
      <c r="C3957" t="s">
        <v>31</v>
      </c>
      <c r="D3957">
        <v>38</v>
      </c>
      <c r="E3957" t="s">
        <v>218</v>
      </c>
      <c r="F3957" t="s">
        <v>219</v>
      </c>
      <c r="G3957" t="s">
        <v>17</v>
      </c>
      <c r="H3957" s="1">
        <v>44761</v>
      </c>
    </row>
    <row r="3958" spans="1:8">
      <c r="A3958" t="s">
        <v>7924</v>
      </c>
      <c r="B3958" t="s">
        <v>7925</v>
      </c>
      <c r="C3958" t="s">
        <v>31</v>
      </c>
      <c r="D3958">
        <v>35</v>
      </c>
      <c r="E3958" t="s">
        <v>63</v>
      </c>
      <c r="F3958" t="s">
        <v>64</v>
      </c>
      <c r="G3958" t="s">
        <v>12</v>
      </c>
      <c r="H3958" s="1">
        <v>45989</v>
      </c>
    </row>
    <row r="3959" spans="1:8">
      <c r="A3959" t="s">
        <v>7926</v>
      </c>
      <c r="B3959" t="s">
        <v>7927</v>
      </c>
      <c r="C3959" t="s">
        <v>31</v>
      </c>
      <c r="D3959">
        <v>22</v>
      </c>
      <c r="E3959" t="s">
        <v>218</v>
      </c>
      <c r="F3959" t="s">
        <v>219</v>
      </c>
      <c r="G3959" t="s">
        <v>17</v>
      </c>
      <c r="H3959" s="1">
        <v>45414</v>
      </c>
    </row>
    <row r="3960" spans="1:8">
      <c r="A3960" t="s">
        <v>7928</v>
      </c>
      <c r="B3960" t="s">
        <v>7929</v>
      </c>
      <c r="C3960" t="s">
        <v>10</v>
      </c>
      <c r="D3960">
        <v>62</v>
      </c>
      <c r="E3960" t="s">
        <v>149</v>
      </c>
      <c r="F3960" t="s">
        <v>38</v>
      </c>
      <c r="G3960" t="s">
        <v>22</v>
      </c>
      <c r="H3960" s="1">
        <v>44695</v>
      </c>
    </row>
    <row r="3961" spans="1:8">
      <c r="A3961" t="s">
        <v>7930</v>
      </c>
      <c r="B3961" t="s">
        <v>7931</v>
      </c>
      <c r="C3961" t="s">
        <v>10</v>
      </c>
      <c r="D3961">
        <v>52</v>
      </c>
      <c r="E3961" t="s">
        <v>218</v>
      </c>
      <c r="F3961" t="s">
        <v>219</v>
      </c>
      <c r="G3961" t="s">
        <v>17</v>
      </c>
      <c r="H3961" s="1">
        <v>45735</v>
      </c>
    </row>
    <row r="3962" spans="1:8">
      <c r="A3962" t="s">
        <v>7932</v>
      </c>
      <c r="B3962" t="s">
        <v>7933</v>
      </c>
      <c r="C3962" t="s">
        <v>31</v>
      </c>
      <c r="D3962">
        <v>53</v>
      </c>
      <c r="E3962" t="s">
        <v>20</v>
      </c>
      <c r="F3962" t="s">
        <v>21</v>
      </c>
      <c r="G3962" t="s">
        <v>22</v>
      </c>
      <c r="H3962" s="1">
        <v>45382</v>
      </c>
    </row>
    <row r="3963" spans="1:8">
      <c r="A3963" t="s">
        <v>7934</v>
      </c>
      <c r="B3963" t="s">
        <v>7935</v>
      </c>
      <c r="C3963" t="s">
        <v>31</v>
      </c>
      <c r="D3963">
        <v>35</v>
      </c>
      <c r="E3963" t="s">
        <v>45</v>
      </c>
      <c r="F3963" t="s">
        <v>46</v>
      </c>
      <c r="G3963" t="s">
        <v>17</v>
      </c>
      <c r="H3963" s="1">
        <v>44725</v>
      </c>
    </row>
    <row r="3964" spans="1:8">
      <c r="A3964" t="s">
        <v>7936</v>
      </c>
      <c r="B3964" t="s">
        <v>7937</v>
      </c>
      <c r="C3964" t="s">
        <v>31</v>
      </c>
      <c r="D3964">
        <v>57</v>
      </c>
      <c r="E3964" t="s">
        <v>20</v>
      </c>
      <c r="F3964" t="s">
        <v>21</v>
      </c>
      <c r="G3964" t="s">
        <v>22</v>
      </c>
      <c r="H3964" s="1">
        <v>45025</v>
      </c>
    </row>
    <row r="3965" spans="1:8">
      <c r="A3965" t="s">
        <v>7938</v>
      </c>
      <c r="B3965" t="s">
        <v>7939</v>
      </c>
      <c r="C3965" t="s">
        <v>31</v>
      </c>
      <c r="D3965">
        <v>34</v>
      </c>
      <c r="E3965" t="s">
        <v>41</v>
      </c>
      <c r="F3965" t="s">
        <v>42</v>
      </c>
      <c r="G3965" t="s">
        <v>17</v>
      </c>
      <c r="H3965" s="1">
        <v>45845</v>
      </c>
    </row>
    <row r="3966" spans="1:8">
      <c r="A3966" t="s">
        <v>7940</v>
      </c>
      <c r="B3966" t="s">
        <v>7941</v>
      </c>
      <c r="C3966" t="s">
        <v>10</v>
      </c>
      <c r="D3966">
        <v>62</v>
      </c>
      <c r="E3966" t="s">
        <v>60</v>
      </c>
      <c r="F3966" t="s">
        <v>21</v>
      </c>
      <c r="G3966" t="s">
        <v>22</v>
      </c>
      <c r="H3966" s="1">
        <v>45920</v>
      </c>
    </row>
    <row r="3967" spans="1:8">
      <c r="A3967" t="s">
        <v>7942</v>
      </c>
      <c r="B3967" t="s">
        <v>7943</v>
      </c>
      <c r="C3967" t="s">
        <v>31</v>
      </c>
      <c r="D3967">
        <v>37</v>
      </c>
      <c r="E3967" t="s">
        <v>112</v>
      </c>
      <c r="F3967" t="s">
        <v>113</v>
      </c>
      <c r="G3967" t="s">
        <v>78</v>
      </c>
      <c r="H3967" s="1">
        <v>45988</v>
      </c>
    </row>
    <row r="3968" spans="1:8">
      <c r="A3968" t="s">
        <v>7944</v>
      </c>
      <c r="B3968" t="s">
        <v>7945</v>
      </c>
      <c r="C3968" t="s">
        <v>31</v>
      </c>
      <c r="D3968">
        <v>62</v>
      </c>
      <c r="E3968" t="s">
        <v>112</v>
      </c>
      <c r="F3968" t="s">
        <v>113</v>
      </c>
      <c r="G3968" t="s">
        <v>78</v>
      </c>
      <c r="H3968" s="1">
        <v>45723</v>
      </c>
    </row>
    <row r="3969" spans="1:8">
      <c r="A3969" t="s">
        <v>7946</v>
      </c>
      <c r="B3969" t="s">
        <v>7947</v>
      </c>
      <c r="C3969" t="s">
        <v>31</v>
      </c>
      <c r="D3969">
        <v>55</v>
      </c>
      <c r="E3969" t="s">
        <v>87</v>
      </c>
      <c r="F3969" t="s">
        <v>88</v>
      </c>
      <c r="G3969" t="s">
        <v>78</v>
      </c>
      <c r="H3969" s="1">
        <v>45232</v>
      </c>
    </row>
    <row r="3970" spans="1:8">
      <c r="A3970" t="s">
        <v>7948</v>
      </c>
      <c r="B3970" t="s">
        <v>7949</v>
      </c>
      <c r="C3970" t="s">
        <v>10</v>
      </c>
      <c r="D3970">
        <v>25</v>
      </c>
      <c r="E3970" t="s">
        <v>45</v>
      </c>
      <c r="F3970" t="s">
        <v>46</v>
      </c>
      <c r="G3970" t="s">
        <v>17</v>
      </c>
      <c r="H3970" s="1">
        <v>45913</v>
      </c>
    </row>
    <row r="3971" spans="1:8">
      <c r="A3971" t="s">
        <v>7950</v>
      </c>
      <c r="B3971" t="s">
        <v>7951</v>
      </c>
      <c r="C3971" t="s">
        <v>10</v>
      </c>
      <c r="D3971">
        <v>21</v>
      </c>
      <c r="E3971" t="s">
        <v>34</v>
      </c>
      <c r="F3971" t="s">
        <v>16</v>
      </c>
      <c r="G3971" t="s">
        <v>17</v>
      </c>
      <c r="H3971" s="1">
        <v>45788</v>
      </c>
    </row>
    <row r="3972" spans="1:8">
      <c r="A3972" t="s">
        <v>7952</v>
      </c>
      <c r="B3972" t="s">
        <v>7953</v>
      </c>
      <c r="C3972" t="s">
        <v>10</v>
      </c>
      <c r="D3972">
        <v>62</v>
      </c>
      <c r="E3972" t="s">
        <v>112</v>
      </c>
      <c r="F3972" t="s">
        <v>113</v>
      </c>
      <c r="G3972" t="s">
        <v>78</v>
      </c>
      <c r="H3972" s="1">
        <v>45301</v>
      </c>
    </row>
    <row r="3973" spans="1:8">
      <c r="A3973" t="s">
        <v>7954</v>
      </c>
      <c r="B3973" t="s">
        <v>7955</v>
      </c>
      <c r="C3973" t="s">
        <v>10</v>
      </c>
      <c r="D3973">
        <v>22</v>
      </c>
      <c r="E3973" t="s">
        <v>87</v>
      </c>
      <c r="F3973" t="s">
        <v>88</v>
      </c>
      <c r="G3973" t="s">
        <v>78</v>
      </c>
      <c r="H3973" s="1">
        <v>45281</v>
      </c>
    </row>
    <row r="3974" spans="1:8">
      <c r="A3974" t="s">
        <v>7956</v>
      </c>
      <c r="B3974" t="s">
        <v>7957</v>
      </c>
      <c r="C3974" t="s">
        <v>10</v>
      </c>
      <c r="D3974">
        <v>32</v>
      </c>
      <c r="E3974" t="s">
        <v>149</v>
      </c>
      <c r="F3974" t="s">
        <v>38</v>
      </c>
      <c r="G3974" t="s">
        <v>22</v>
      </c>
      <c r="H3974" s="1">
        <v>45960</v>
      </c>
    </row>
    <row r="3975" spans="1:8">
      <c r="A3975" t="s">
        <v>7958</v>
      </c>
      <c r="B3975" t="s">
        <v>7959</v>
      </c>
      <c r="C3975" t="s">
        <v>31</v>
      </c>
      <c r="D3975">
        <v>31</v>
      </c>
      <c r="E3975" t="s">
        <v>128</v>
      </c>
      <c r="F3975" t="s">
        <v>129</v>
      </c>
      <c r="G3975" t="s">
        <v>78</v>
      </c>
      <c r="H3975" s="1">
        <v>45699</v>
      </c>
    </row>
    <row r="3976" spans="1:8">
      <c r="A3976" t="s">
        <v>7960</v>
      </c>
      <c r="B3976" t="s">
        <v>7961</v>
      </c>
      <c r="C3976" t="s">
        <v>10</v>
      </c>
      <c r="D3976">
        <v>24</v>
      </c>
      <c r="E3976" t="s">
        <v>101</v>
      </c>
      <c r="F3976" t="s">
        <v>21</v>
      </c>
      <c r="G3976" t="s">
        <v>22</v>
      </c>
      <c r="H3976" s="1">
        <v>45403</v>
      </c>
    </row>
    <row r="3977" spans="1:8">
      <c r="A3977" t="s">
        <v>7962</v>
      </c>
      <c r="B3977" t="s">
        <v>7963</v>
      </c>
      <c r="C3977" t="s">
        <v>31</v>
      </c>
      <c r="D3977">
        <v>56</v>
      </c>
      <c r="E3977" t="s">
        <v>37</v>
      </c>
      <c r="F3977" t="s">
        <v>38</v>
      </c>
      <c r="G3977" t="s">
        <v>22</v>
      </c>
      <c r="H3977" s="1">
        <v>45233</v>
      </c>
    </row>
    <row r="3978" spans="1:8">
      <c r="A3978" t="s">
        <v>7964</v>
      </c>
      <c r="B3978" t="s">
        <v>7965</v>
      </c>
      <c r="C3978" t="s">
        <v>10</v>
      </c>
      <c r="D3978">
        <v>19</v>
      </c>
      <c r="E3978" t="s">
        <v>41</v>
      </c>
      <c r="F3978" t="s">
        <v>42</v>
      </c>
      <c r="G3978" t="s">
        <v>17</v>
      </c>
      <c r="H3978" s="1">
        <v>44577</v>
      </c>
    </row>
    <row r="3979" spans="1:8">
      <c r="A3979" t="s">
        <v>7966</v>
      </c>
      <c r="B3979" t="s">
        <v>7967</v>
      </c>
      <c r="C3979" t="s">
        <v>10</v>
      </c>
      <c r="D3979">
        <v>37</v>
      </c>
      <c r="E3979" t="s">
        <v>27</v>
      </c>
      <c r="F3979" t="s">
        <v>28</v>
      </c>
      <c r="G3979" t="s">
        <v>12</v>
      </c>
      <c r="H3979" s="1">
        <v>45178</v>
      </c>
    </row>
    <row r="3980" spans="1:8">
      <c r="A3980" t="s">
        <v>7968</v>
      </c>
      <c r="B3980" t="s">
        <v>7969</v>
      </c>
      <c r="C3980" t="s">
        <v>10</v>
      </c>
      <c r="D3980">
        <v>21</v>
      </c>
      <c r="E3980" t="s">
        <v>60</v>
      </c>
      <c r="F3980" t="s">
        <v>21</v>
      </c>
      <c r="G3980" t="s">
        <v>22</v>
      </c>
      <c r="H3980" s="1">
        <v>45074</v>
      </c>
    </row>
    <row r="3981" spans="1:8">
      <c r="A3981" t="s">
        <v>7970</v>
      </c>
      <c r="B3981" t="s">
        <v>7971</v>
      </c>
      <c r="C3981" t="s">
        <v>31</v>
      </c>
      <c r="D3981">
        <v>68</v>
      </c>
      <c r="E3981" t="s">
        <v>41</v>
      </c>
      <c r="F3981" t="s">
        <v>42</v>
      </c>
      <c r="G3981" t="s">
        <v>17</v>
      </c>
      <c r="H3981" s="1">
        <v>45330</v>
      </c>
    </row>
    <row r="3982" spans="1:8">
      <c r="A3982" t="s">
        <v>7972</v>
      </c>
      <c r="B3982" t="s">
        <v>7973</v>
      </c>
      <c r="C3982" t="s">
        <v>31</v>
      </c>
      <c r="D3982">
        <v>45</v>
      </c>
      <c r="E3982" t="s">
        <v>128</v>
      </c>
      <c r="F3982" t="s">
        <v>129</v>
      </c>
      <c r="G3982" t="s">
        <v>78</v>
      </c>
      <c r="H3982" s="1">
        <v>45818</v>
      </c>
    </row>
    <row r="3983" spans="1:8">
      <c r="A3983" t="s">
        <v>7974</v>
      </c>
      <c r="B3983" t="s">
        <v>7975</v>
      </c>
      <c r="C3983" t="s">
        <v>31</v>
      </c>
      <c r="D3983">
        <v>34</v>
      </c>
      <c r="E3983" t="s">
        <v>20</v>
      </c>
      <c r="F3983" t="s">
        <v>21</v>
      </c>
      <c r="G3983" t="s">
        <v>22</v>
      </c>
      <c r="H3983" s="1">
        <v>45231</v>
      </c>
    </row>
    <row r="3984" spans="1:8">
      <c r="A3984" t="s">
        <v>7976</v>
      </c>
      <c r="B3984" t="s">
        <v>7977</v>
      </c>
      <c r="C3984" t="s">
        <v>31</v>
      </c>
      <c r="D3984">
        <v>41</v>
      </c>
      <c r="E3984" t="s">
        <v>45</v>
      </c>
      <c r="F3984" t="s">
        <v>46</v>
      </c>
      <c r="G3984" t="s">
        <v>17</v>
      </c>
      <c r="H3984" s="1">
        <v>45206</v>
      </c>
    </row>
    <row r="3985" spans="1:8">
      <c r="A3985" t="s">
        <v>7978</v>
      </c>
      <c r="B3985" t="s">
        <v>7979</v>
      </c>
      <c r="C3985" t="s">
        <v>10</v>
      </c>
      <c r="D3985">
        <v>54</v>
      </c>
      <c r="E3985" t="s">
        <v>149</v>
      </c>
      <c r="F3985" t="s">
        <v>38</v>
      </c>
      <c r="G3985" t="s">
        <v>22</v>
      </c>
      <c r="H3985" s="1">
        <v>45258</v>
      </c>
    </row>
    <row r="3986" spans="1:8">
      <c r="A3986" t="s">
        <v>7980</v>
      </c>
      <c r="B3986" t="s">
        <v>7981</v>
      </c>
      <c r="C3986" t="s">
        <v>10</v>
      </c>
      <c r="D3986">
        <v>30</v>
      </c>
      <c r="E3986" t="s">
        <v>37</v>
      </c>
      <c r="F3986" t="s">
        <v>38</v>
      </c>
      <c r="G3986" t="s">
        <v>22</v>
      </c>
      <c r="H3986" s="1">
        <v>45215</v>
      </c>
    </row>
    <row r="3987" spans="1:8">
      <c r="A3987" t="s">
        <v>7982</v>
      </c>
      <c r="B3987" t="s">
        <v>7983</v>
      </c>
      <c r="C3987" t="s">
        <v>31</v>
      </c>
      <c r="D3987">
        <v>26</v>
      </c>
      <c r="E3987" t="s">
        <v>27</v>
      </c>
      <c r="F3987" t="s">
        <v>28</v>
      </c>
      <c r="G3987" t="s">
        <v>12</v>
      </c>
      <c r="H3987" s="1">
        <v>44621</v>
      </c>
    </row>
    <row r="3988" spans="1:8">
      <c r="A3988" t="s">
        <v>7984</v>
      </c>
      <c r="B3988" t="s">
        <v>7985</v>
      </c>
      <c r="C3988" t="s">
        <v>31</v>
      </c>
      <c r="D3988">
        <v>42</v>
      </c>
      <c r="E3988" t="s">
        <v>45</v>
      </c>
      <c r="F3988" t="s">
        <v>46</v>
      </c>
      <c r="G3988" t="s">
        <v>17</v>
      </c>
      <c r="H3988" s="1">
        <v>45090</v>
      </c>
    </row>
    <row r="3989" spans="1:8">
      <c r="A3989" t="s">
        <v>7986</v>
      </c>
      <c r="B3989" t="s">
        <v>7987</v>
      </c>
      <c r="C3989" t="s">
        <v>31</v>
      </c>
      <c r="D3989">
        <v>62</v>
      </c>
      <c r="E3989" t="s">
        <v>63</v>
      </c>
      <c r="F3989" t="s">
        <v>64</v>
      </c>
      <c r="G3989" t="s">
        <v>12</v>
      </c>
      <c r="H3989" s="1">
        <v>45419</v>
      </c>
    </row>
    <row r="3990" spans="1:8">
      <c r="A3990" t="s">
        <v>7988</v>
      </c>
      <c r="B3990" t="s">
        <v>7989</v>
      </c>
      <c r="C3990" t="s">
        <v>31</v>
      </c>
      <c r="D3990">
        <v>56</v>
      </c>
      <c r="E3990" t="s">
        <v>15</v>
      </c>
      <c r="F3990" t="s">
        <v>16</v>
      </c>
      <c r="G3990" t="s">
        <v>17</v>
      </c>
      <c r="H3990" s="1">
        <v>45374</v>
      </c>
    </row>
    <row r="3991" spans="1:8">
      <c r="A3991" t="s">
        <v>7990</v>
      </c>
      <c r="B3991" t="s">
        <v>7991</v>
      </c>
      <c r="C3991" t="s">
        <v>10</v>
      </c>
      <c r="D3991">
        <v>62</v>
      </c>
      <c r="E3991" t="s">
        <v>63</v>
      </c>
      <c r="F3991" t="s">
        <v>64</v>
      </c>
      <c r="G3991" t="s">
        <v>12</v>
      </c>
      <c r="H3991" s="1">
        <v>44671</v>
      </c>
    </row>
    <row r="3992" spans="1:8">
      <c r="A3992" t="s">
        <v>7992</v>
      </c>
      <c r="B3992" t="s">
        <v>7993</v>
      </c>
      <c r="C3992" t="s">
        <v>10</v>
      </c>
      <c r="D3992">
        <v>25</v>
      </c>
      <c r="E3992" t="s">
        <v>112</v>
      </c>
      <c r="F3992" t="s">
        <v>113</v>
      </c>
      <c r="G3992" t="s">
        <v>78</v>
      </c>
      <c r="H3992" s="1">
        <v>44890</v>
      </c>
    </row>
    <row r="3993" spans="1:8">
      <c r="A3993" t="s">
        <v>7994</v>
      </c>
      <c r="B3993" t="s">
        <v>7995</v>
      </c>
      <c r="C3993" t="s">
        <v>31</v>
      </c>
      <c r="D3993">
        <v>45</v>
      </c>
      <c r="E3993" t="s">
        <v>45</v>
      </c>
      <c r="F3993" t="s">
        <v>46</v>
      </c>
      <c r="G3993" t="s">
        <v>17</v>
      </c>
      <c r="H3993" s="1">
        <v>44932</v>
      </c>
    </row>
    <row r="3994" spans="1:8">
      <c r="A3994" t="s">
        <v>7996</v>
      </c>
      <c r="B3994" t="s">
        <v>7997</v>
      </c>
      <c r="C3994" t="s">
        <v>31</v>
      </c>
      <c r="D3994">
        <v>37</v>
      </c>
      <c r="E3994" t="s">
        <v>112</v>
      </c>
      <c r="F3994" t="s">
        <v>113</v>
      </c>
      <c r="G3994" t="s">
        <v>78</v>
      </c>
      <c r="H3994" s="1">
        <v>45983</v>
      </c>
    </row>
    <row r="3995" spans="1:8">
      <c r="A3995" t="s">
        <v>7998</v>
      </c>
      <c r="B3995" t="s">
        <v>7999</v>
      </c>
      <c r="C3995" t="s">
        <v>10</v>
      </c>
      <c r="D3995">
        <v>42</v>
      </c>
      <c r="E3995" t="s">
        <v>37</v>
      </c>
      <c r="F3995" t="s">
        <v>38</v>
      </c>
      <c r="G3995" t="s">
        <v>22</v>
      </c>
      <c r="H3995" s="1">
        <v>45817</v>
      </c>
    </row>
    <row r="3996" spans="1:8">
      <c r="A3996" t="s">
        <v>8000</v>
      </c>
      <c r="B3996" t="s">
        <v>8001</v>
      </c>
      <c r="C3996" t="s">
        <v>31</v>
      </c>
      <c r="D3996">
        <v>63</v>
      </c>
      <c r="E3996" t="s">
        <v>15</v>
      </c>
      <c r="F3996" t="s">
        <v>16</v>
      </c>
      <c r="G3996" t="s">
        <v>17</v>
      </c>
      <c r="H3996" s="1">
        <v>44924</v>
      </c>
    </row>
    <row r="3997" spans="1:8">
      <c r="A3997" t="s">
        <v>8002</v>
      </c>
      <c r="B3997" t="s">
        <v>8003</v>
      </c>
      <c r="C3997" t="s">
        <v>31</v>
      </c>
      <c r="D3997">
        <v>52</v>
      </c>
      <c r="E3997" t="s">
        <v>87</v>
      </c>
      <c r="F3997" t="s">
        <v>88</v>
      </c>
      <c r="G3997" t="s">
        <v>78</v>
      </c>
      <c r="H3997" s="1">
        <v>45324</v>
      </c>
    </row>
    <row r="3998" spans="1:8">
      <c r="A3998" t="s">
        <v>8004</v>
      </c>
      <c r="B3998" t="s">
        <v>8005</v>
      </c>
      <c r="C3998" t="s">
        <v>10</v>
      </c>
      <c r="D3998">
        <v>66</v>
      </c>
      <c r="E3998" t="s">
        <v>69</v>
      </c>
      <c r="F3998" t="s">
        <v>69</v>
      </c>
      <c r="G3998" t="s">
        <v>12</v>
      </c>
      <c r="H3998" s="1">
        <v>44684</v>
      </c>
    </row>
    <row r="3999" spans="1:8">
      <c r="A3999" t="s">
        <v>8006</v>
      </c>
      <c r="B3999" t="s">
        <v>8007</v>
      </c>
      <c r="C3999" t="s">
        <v>10</v>
      </c>
      <c r="D3999">
        <v>48</v>
      </c>
      <c r="E3999" t="s">
        <v>128</v>
      </c>
      <c r="F3999" t="s">
        <v>129</v>
      </c>
      <c r="G3999" t="s">
        <v>78</v>
      </c>
      <c r="H3999" s="1">
        <v>44592</v>
      </c>
    </row>
    <row r="4000" spans="1:8">
      <c r="A4000" t="s">
        <v>8008</v>
      </c>
      <c r="B4000" t="s">
        <v>8009</v>
      </c>
      <c r="C4000" t="s">
        <v>31</v>
      </c>
      <c r="D4000">
        <v>53</v>
      </c>
      <c r="E4000" t="s">
        <v>69</v>
      </c>
      <c r="F4000" t="s">
        <v>69</v>
      </c>
      <c r="G4000" t="s">
        <v>12</v>
      </c>
      <c r="H4000" s="1">
        <v>45547</v>
      </c>
    </row>
    <row r="4001" spans="1:8">
      <c r="A4001" t="s">
        <v>8010</v>
      </c>
      <c r="B4001" t="s">
        <v>8011</v>
      </c>
      <c r="C4001" t="s">
        <v>31</v>
      </c>
      <c r="D4001">
        <v>46</v>
      </c>
      <c r="E4001" t="s">
        <v>15</v>
      </c>
      <c r="F4001" t="s">
        <v>16</v>
      </c>
      <c r="G4001" t="s">
        <v>17</v>
      </c>
      <c r="H4001" s="1">
        <v>44916</v>
      </c>
    </row>
    <row r="4002" spans="1:8">
      <c r="A4002" t="s">
        <v>8012</v>
      </c>
      <c r="B4002" t="s">
        <v>8013</v>
      </c>
      <c r="C4002" t="s">
        <v>31</v>
      </c>
      <c r="D4002">
        <v>26</v>
      </c>
      <c r="E4002" t="s">
        <v>87</v>
      </c>
      <c r="F4002" t="s">
        <v>88</v>
      </c>
      <c r="G4002" t="s">
        <v>78</v>
      </c>
      <c r="H4002" s="1">
        <v>45121</v>
      </c>
    </row>
    <row r="4003" spans="1:8">
      <c r="A4003" t="s">
        <v>8014</v>
      </c>
      <c r="B4003" t="s">
        <v>8015</v>
      </c>
      <c r="C4003" t="s">
        <v>10</v>
      </c>
      <c r="D4003">
        <v>58</v>
      </c>
      <c r="E4003" t="s">
        <v>112</v>
      </c>
      <c r="F4003" t="s">
        <v>113</v>
      </c>
      <c r="G4003" t="s">
        <v>78</v>
      </c>
      <c r="H4003" s="1">
        <v>45100</v>
      </c>
    </row>
    <row r="4004" spans="1:8">
      <c r="A4004" t="s">
        <v>8016</v>
      </c>
      <c r="B4004" t="s">
        <v>8017</v>
      </c>
      <c r="C4004" t="s">
        <v>10</v>
      </c>
      <c r="D4004">
        <v>28</v>
      </c>
      <c r="E4004" t="s">
        <v>11</v>
      </c>
      <c r="F4004" t="s">
        <v>11</v>
      </c>
      <c r="G4004" t="s">
        <v>12</v>
      </c>
      <c r="H4004" s="1">
        <v>44863</v>
      </c>
    </row>
    <row r="4005" spans="1:8">
      <c r="A4005" t="s">
        <v>8018</v>
      </c>
      <c r="B4005" t="s">
        <v>8019</v>
      </c>
      <c r="C4005" t="s">
        <v>10</v>
      </c>
      <c r="D4005">
        <v>65</v>
      </c>
      <c r="E4005" t="s">
        <v>218</v>
      </c>
      <c r="F4005" t="s">
        <v>219</v>
      </c>
      <c r="G4005" t="s">
        <v>17</v>
      </c>
      <c r="H4005" s="1">
        <v>45076</v>
      </c>
    </row>
    <row r="4006" spans="1:8">
      <c r="A4006" t="s">
        <v>8020</v>
      </c>
      <c r="B4006" t="s">
        <v>8021</v>
      </c>
      <c r="C4006" t="s">
        <v>10</v>
      </c>
      <c r="D4006">
        <v>45</v>
      </c>
      <c r="E4006" t="s">
        <v>69</v>
      </c>
      <c r="F4006" t="s">
        <v>69</v>
      </c>
      <c r="G4006" t="s">
        <v>12</v>
      </c>
      <c r="H4006" s="1">
        <v>45262</v>
      </c>
    </row>
    <row r="4007" spans="1:8">
      <c r="A4007" t="s">
        <v>8022</v>
      </c>
      <c r="B4007" t="s">
        <v>8023</v>
      </c>
      <c r="C4007" t="s">
        <v>10</v>
      </c>
      <c r="D4007">
        <v>47</v>
      </c>
      <c r="E4007" t="s">
        <v>60</v>
      </c>
      <c r="F4007" t="s">
        <v>21</v>
      </c>
      <c r="G4007" t="s">
        <v>22</v>
      </c>
      <c r="H4007" s="1">
        <v>45352</v>
      </c>
    </row>
    <row r="4008" spans="1:8">
      <c r="A4008" t="s">
        <v>8024</v>
      </c>
      <c r="B4008" t="s">
        <v>8025</v>
      </c>
      <c r="C4008" t="s">
        <v>31</v>
      </c>
      <c r="D4008">
        <v>50</v>
      </c>
      <c r="E4008" t="s">
        <v>101</v>
      </c>
      <c r="F4008" t="s">
        <v>21</v>
      </c>
      <c r="G4008" t="s">
        <v>22</v>
      </c>
      <c r="H4008" s="1">
        <v>45316</v>
      </c>
    </row>
    <row r="4009" spans="1:8">
      <c r="A4009" t="s">
        <v>8026</v>
      </c>
      <c r="B4009" t="s">
        <v>8027</v>
      </c>
      <c r="C4009" t="s">
        <v>10</v>
      </c>
      <c r="D4009">
        <v>50</v>
      </c>
      <c r="E4009" t="s">
        <v>34</v>
      </c>
      <c r="F4009" t="s">
        <v>16</v>
      </c>
      <c r="G4009" t="s">
        <v>17</v>
      </c>
      <c r="H4009" s="1">
        <v>44814</v>
      </c>
    </row>
    <row r="4010" spans="1:8">
      <c r="A4010" t="s">
        <v>8028</v>
      </c>
      <c r="B4010" t="s">
        <v>8029</v>
      </c>
      <c r="C4010" t="s">
        <v>31</v>
      </c>
      <c r="D4010">
        <v>21</v>
      </c>
      <c r="E4010" t="s">
        <v>37</v>
      </c>
      <c r="F4010" t="s">
        <v>38</v>
      </c>
      <c r="G4010" t="s">
        <v>22</v>
      </c>
      <c r="H4010" s="1">
        <v>45303</v>
      </c>
    </row>
    <row r="4011" spans="1:8">
      <c r="A4011" t="s">
        <v>8030</v>
      </c>
      <c r="B4011" t="s">
        <v>8031</v>
      </c>
      <c r="C4011" t="s">
        <v>31</v>
      </c>
      <c r="D4011">
        <v>59</v>
      </c>
      <c r="E4011" t="s">
        <v>41</v>
      </c>
      <c r="F4011" t="s">
        <v>42</v>
      </c>
      <c r="G4011" t="s">
        <v>17</v>
      </c>
      <c r="H4011" s="1">
        <v>45083</v>
      </c>
    </row>
    <row r="4012" spans="1:8">
      <c r="A4012" t="s">
        <v>8032</v>
      </c>
      <c r="B4012" t="s">
        <v>8033</v>
      </c>
      <c r="C4012" t="s">
        <v>10</v>
      </c>
      <c r="D4012">
        <v>30</v>
      </c>
      <c r="E4012" t="s">
        <v>149</v>
      </c>
      <c r="F4012" t="s">
        <v>38</v>
      </c>
      <c r="G4012" t="s">
        <v>22</v>
      </c>
      <c r="H4012" s="1">
        <v>45255</v>
      </c>
    </row>
    <row r="4013" spans="1:8">
      <c r="A4013" t="s">
        <v>8034</v>
      </c>
      <c r="B4013" t="s">
        <v>8035</v>
      </c>
      <c r="C4013" t="s">
        <v>10</v>
      </c>
      <c r="D4013">
        <v>30</v>
      </c>
      <c r="E4013" t="s">
        <v>87</v>
      </c>
      <c r="F4013" t="s">
        <v>88</v>
      </c>
      <c r="G4013" t="s">
        <v>78</v>
      </c>
      <c r="H4013" s="1">
        <v>44790</v>
      </c>
    </row>
    <row r="4014" spans="1:8">
      <c r="A4014" t="s">
        <v>8036</v>
      </c>
      <c r="B4014" t="s">
        <v>8037</v>
      </c>
      <c r="C4014" t="s">
        <v>31</v>
      </c>
      <c r="D4014">
        <v>61</v>
      </c>
      <c r="E4014" t="s">
        <v>41</v>
      </c>
      <c r="F4014" t="s">
        <v>42</v>
      </c>
      <c r="G4014" t="s">
        <v>17</v>
      </c>
      <c r="H4014" s="1">
        <v>45146</v>
      </c>
    </row>
    <row r="4015" spans="1:8">
      <c r="A4015" t="s">
        <v>8038</v>
      </c>
      <c r="B4015" t="s">
        <v>8039</v>
      </c>
      <c r="C4015" t="s">
        <v>31</v>
      </c>
      <c r="D4015">
        <v>67</v>
      </c>
      <c r="E4015" t="s">
        <v>87</v>
      </c>
      <c r="F4015" t="s">
        <v>88</v>
      </c>
      <c r="G4015" t="s">
        <v>78</v>
      </c>
      <c r="H4015" s="1">
        <v>45485</v>
      </c>
    </row>
    <row r="4016" spans="1:8">
      <c r="A4016" t="s">
        <v>8040</v>
      </c>
      <c r="B4016" t="s">
        <v>8041</v>
      </c>
      <c r="C4016" t="s">
        <v>31</v>
      </c>
      <c r="D4016">
        <v>59</v>
      </c>
      <c r="E4016" t="s">
        <v>101</v>
      </c>
      <c r="F4016" t="s">
        <v>21</v>
      </c>
      <c r="G4016" t="s">
        <v>22</v>
      </c>
      <c r="H4016" s="1">
        <v>45059</v>
      </c>
    </row>
    <row r="4017" spans="1:8">
      <c r="A4017" t="s">
        <v>8042</v>
      </c>
      <c r="B4017" t="s">
        <v>8043</v>
      </c>
      <c r="C4017" t="s">
        <v>10</v>
      </c>
      <c r="D4017">
        <v>19</v>
      </c>
      <c r="E4017" t="s">
        <v>63</v>
      </c>
      <c r="F4017" t="s">
        <v>64</v>
      </c>
      <c r="G4017" t="s">
        <v>12</v>
      </c>
      <c r="H4017" s="1">
        <v>45564</v>
      </c>
    </row>
    <row r="4018" spans="1:8">
      <c r="A4018" t="s">
        <v>8044</v>
      </c>
      <c r="B4018" t="s">
        <v>8045</v>
      </c>
      <c r="C4018" t="s">
        <v>31</v>
      </c>
      <c r="D4018">
        <v>61</v>
      </c>
      <c r="E4018" t="s">
        <v>218</v>
      </c>
      <c r="F4018" t="s">
        <v>219</v>
      </c>
      <c r="G4018" t="s">
        <v>17</v>
      </c>
      <c r="H4018" s="1">
        <v>45665</v>
      </c>
    </row>
    <row r="4019" spans="1:8">
      <c r="A4019" t="s">
        <v>8046</v>
      </c>
      <c r="B4019" t="s">
        <v>8047</v>
      </c>
      <c r="C4019" t="s">
        <v>31</v>
      </c>
      <c r="D4019">
        <v>63</v>
      </c>
      <c r="E4019" t="s">
        <v>15</v>
      </c>
      <c r="F4019" t="s">
        <v>16</v>
      </c>
      <c r="G4019" t="s">
        <v>17</v>
      </c>
      <c r="H4019" s="1">
        <v>45534</v>
      </c>
    </row>
    <row r="4020" spans="1:8">
      <c r="A4020" t="s">
        <v>8048</v>
      </c>
      <c r="B4020" t="s">
        <v>8049</v>
      </c>
      <c r="C4020" t="s">
        <v>10</v>
      </c>
      <c r="D4020">
        <v>56</v>
      </c>
      <c r="E4020" t="s">
        <v>218</v>
      </c>
      <c r="F4020" t="s">
        <v>219</v>
      </c>
      <c r="G4020" t="s">
        <v>17</v>
      </c>
      <c r="H4020" s="1">
        <v>44686</v>
      </c>
    </row>
    <row r="4021" spans="1:8">
      <c r="A4021" t="s">
        <v>8050</v>
      </c>
      <c r="B4021" t="s">
        <v>8051</v>
      </c>
      <c r="C4021" t="s">
        <v>31</v>
      </c>
      <c r="D4021">
        <v>39</v>
      </c>
      <c r="E4021" t="s">
        <v>63</v>
      </c>
      <c r="F4021" t="s">
        <v>64</v>
      </c>
      <c r="G4021" t="s">
        <v>12</v>
      </c>
      <c r="H4021" s="1">
        <v>44647</v>
      </c>
    </row>
    <row r="4022" spans="1:8">
      <c r="A4022" t="s">
        <v>8052</v>
      </c>
      <c r="B4022" t="s">
        <v>8053</v>
      </c>
      <c r="C4022" t="s">
        <v>31</v>
      </c>
      <c r="D4022">
        <v>56</v>
      </c>
      <c r="E4022" t="s">
        <v>63</v>
      </c>
      <c r="F4022" t="s">
        <v>64</v>
      </c>
      <c r="G4022" t="s">
        <v>12</v>
      </c>
      <c r="H4022" s="1">
        <v>44629</v>
      </c>
    </row>
    <row r="4023" spans="1:8">
      <c r="A4023" t="s">
        <v>8054</v>
      </c>
      <c r="B4023" t="s">
        <v>8055</v>
      </c>
      <c r="C4023" t="s">
        <v>10</v>
      </c>
      <c r="D4023">
        <v>35</v>
      </c>
      <c r="E4023" t="s">
        <v>76</v>
      </c>
      <c r="F4023" t="s">
        <v>77</v>
      </c>
      <c r="G4023" t="s">
        <v>78</v>
      </c>
      <c r="H4023" s="1">
        <v>45227</v>
      </c>
    </row>
    <row r="4024" spans="1:8">
      <c r="A4024" t="s">
        <v>8056</v>
      </c>
      <c r="B4024" t="s">
        <v>8057</v>
      </c>
      <c r="C4024" t="s">
        <v>10</v>
      </c>
      <c r="D4024">
        <v>37</v>
      </c>
      <c r="E4024" t="s">
        <v>63</v>
      </c>
      <c r="F4024" t="s">
        <v>64</v>
      </c>
      <c r="G4024" t="s">
        <v>12</v>
      </c>
      <c r="H4024" s="1">
        <v>45239</v>
      </c>
    </row>
    <row r="4025" spans="1:8">
      <c r="A4025" t="s">
        <v>8058</v>
      </c>
      <c r="B4025" t="s">
        <v>8059</v>
      </c>
      <c r="C4025" t="s">
        <v>10</v>
      </c>
      <c r="D4025">
        <v>63</v>
      </c>
      <c r="E4025" t="s">
        <v>15</v>
      </c>
      <c r="F4025" t="s">
        <v>16</v>
      </c>
      <c r="G4025" t="s">
        <v>17</v>
      </c>
      <c r="H4025" s="1">
        <v>45616</v>
      </c>
    </row>
    <row r="4026" spans="1:8">
      <c r="A4026" t="s">
        <v>8060</v>
      </c>
      <c r="B4026" t="s">
        <v>8061</v>
      </c>
      <c r="C4026" t="s">
        <v>31</v>
      </c>
      <c r="D4026">
        <v>50</v>
      </c>
      <c r="E4026" t="s">
        <v>112</v>
      </c>
      <c r="F4026" t="s">
        <v>113</v>
      </c>
      <c r="G4026" t="s">
        <v>78</v>
      </c>
      <c r="H4026" s="1">
        <v>45533</v>
      </c>
    </row>
    <row r="4027" spans="1:8">
      <c r="A4027" t="s">
        <v>8062</v>
      </c>
      <c r="B4027" t="s">
        <v>8063</v>
      </c>
      <c r="C4027" t="s">
        <v>10</v>
      </c>
      <c r="D4027">
        <v>35</v>
      </c>
      <c r="E4027" t="s">
        <v>112</v>
      </c>
      <c r="F4027" t="s">
        <v>113</v>
      </c>
      <c r="G4027" t="s">
        <v>78</v>
      </c>
      <c r="H4027" s="1">
        <v>45269</v>
      </c>
    </row>
    <row r="4028" spans="1:8">
      <c r="A4028" t="s">
        <v>8064</v>
      </c>
      <c r="B4028" t="s">
        <v>8065</v>
      </c>
      <c r="C4028" t="s">
        <v>31</v>
      </c>
      <c r="D4028">
        <v>45</v>
      </c>
      <c r="E4028" t="s">
        <v>45</v>
      </c>
      <c r="F4028" t="s">
        <v>46</v>
      </c>
      <c r="G4028" t="s">
        <v>17</v>
      </c>
      <c r="H4028" s="1">
        <v>45097</v>
      </c>
    </row>
    <row r="4029" spans="1:8">
      <c r="A4029" t="s">
        <v>8066</v>
      </c>
      <c r="B4029" t="s">
        <v>8067</v>
      </c>
      <c r="C4029" t="s">
        <v>31</v>
      </c>
      <c r="D4029">
        <v>62</v>
      </c>
      <c r="E4029" t="s">
        <v>218</v>
      </c>
      <c r="F4029" t="s">
        <v>219</v>
      </c>
      <c r="G4029" t="s">
        <v>17</v>
      </c>
      <c r="H4029" s="1">
        <v>44992</v>
      </c>
    </row>
    <row r="4030" spans="1:8">
      <c r="A4030" t="s">
        <v>8068</v>
      </c>
      <c r="B4030" t="s">
        <v>8069</v>
      </c>
      <c r="C4030" t="s">
        <v>10</v>
      </c>
      <c r="D4030">
        <v>46</v>
      </c>
      <c r="E4030" t="s">
        <v>218</v>
      </c>
      <c r="F4030" t="s">
        <v>219</v>
      </c>
      <c r="G4030" t="s">
        <v>17</v>
      </c>
      <c r="H4030" s="1">
        <v>45830</v>
      </c>
    </row>
    <row r="4031" spans="1:8">
      <c r="A4031" t="s">
        <v>8070</v>
      </c>
      <c r="B4031" t="s">
        <v>8071</v>
      </c>
      <c r="C4031" t="s">
        <v>10</v>
      </c>
      <c r="D4031">
        <v>59</v>
      </c>
      <c r="E4031" t="s">
        <v>27</v>
      </c>
      <c r="F4031" t="s">
        <v>28</v>
      </c>
      <c r="G4031" t="s">
        <v>12</v>
      </c>
      <c r="H4031" s="1">
        <v>44781</v>
      </c>
    </row>
    <row r="4032" spans="1:8">
      <c r="A4032" t="s">
        <v>8072</v>
      </c>
      <c r="B4032" t="s">
        <v>8073</v>
      </c>
      <c r="C4032" t="s">
        <v>10</v>
      </c>
      <c r="D4032">
        <v>27</v>
      </c>
      <c r="E4032" t="s">
        <v>134</v>
      </c>
      <c r="F4032" t="s">
        <v>28</v>
      </c>
      <c r="G4032" t="s">
        <v>12</v>
      </c>
      <c r="H4032" s="1">
        <v>45055</v>
      </c>
    </row>
    <row r="4033" spans="1:8">
      <c r="A4033" t="s">
        <v>8074</v>
      </c>
      <c r="B4033" t="s">
        <v>8075</v>
      </c>
      <c r="C4033" t="s">
        <v>31</v>
      </c>
      <c r="D4033">
        <v>52</v>
      </c>
      <c r="E4033" t="s">
        <v>60</v>
      </c>
      <c r="F4033" t="s">
        <v>21</v>
      </c>
      <c r="G4033" t="s">
        <v>22</v>
      </c>
      <c r="H4033" s="1">
        <v>45611</v>
      </c>
    </row>
    <row r="4034" spans="1:8">
      <c r="A4034" t="s">
        <v>8076</v>
      </c>
      <c r="B4034" t="s">
        <v>8077</v>
      </c>
      <c r="C4034" t="s">
        <v>31</v>
      </c>
      <c r="D4034">
        <v>55</v>
      </c>
      <c r="E4034" t="s">
        <v>27</v>
      </c>
      <c r="F4034" t="s">
        <v>28</v>
      </c>
      <c r="G4034" t="s">
        <v>12</v>
      </c>
      <c r="H4034" s="1">
        <v>45725</v>
      </c>
    </row>
    <row r="4035" spans="1:8">
      <c r="A4035" t="s">
        <v>8078</v>
      </c>
      <c r="B4035" t="s">
        <v>8079</v>
      </c>
      <c r="C4035" t="s">
        <v>10</v>
      </c>
      <c r="D4035">
        <v>37</v>
      </c>
      <c r="E4035" t="s">
        <v>101</v>
      </c>
      <c r="F4035" t="s">
        <v>21</v>
      </c>
      <c r="G4035" t="s">
        <v>22</v>
      </c>
      <c r="H4035" s="1">
        <v>45976</v>
      </c>
    </row>
    <row r="4036" spans="1:8">
      <c r="A4036" t="s">
        <v>8080</v>
      </c>
      <c r="B4036" t="s">
        <v>8081</v>
      </c>
      <c r="C4036" t="s">
        <v>10</v>
      </c>
      <c r="D4036">
        <v>48</v>
      </c>
      <c r="E4036" t="s">
        <v>91</v>
      </c>
      <c r="F4036" t="s">
        <v>92</v>
      </c>
      <c r="G4036" t="s">
        <v>78</v>
      </c>
      <c r="H4036" s="1">
        <v>45547</v>
      </c>
    </row>
    <row r="4037" spans="1:8">
      <c r="A4037" t="s">
        <v>8082</v>
      </c>
      <c r="B4037" t="s">
        <v>8083</v>
      </c>
      <c r="C4037" t="s">
        <v>10</v>
      </c>
      <c r="D4037">
        <v>34</v>
      </c>
      <c r="E4037" t="s">
        <v>41</v>
      </c>
      <c r="F4037" t="s">
        <v>42</v>
      </c>
      <c r="G4037" t="s">
        <v>17</v>
      </c>
      <c r="H4037" s="1">
        <v>45956</v>
      </c>
    </row>
    <row r="4038" spans="1:8">
      <c r="A4038" t="s">
        <v>8084</v>
      </c>
      <c r="B4038" t="s">
        <v>8085</v>
      </c>
      <c r="C4038" t="s">
        <v>31</v>
      </c>
      <c r="D4038">
        <v>63</v>
      </c>
      <c r="E4038" t="s">
        <v>20</v>
      </c>
      <c r="F4038" t="s">
        <v>21</v>
      </c>
      <c r="G4038" t="s">
        <v>22</v>
      </c>
      <c r="H4038" s="1">
        <v>44745</v>
      </c>
    </row>
    <row r="4039" spans="1:8">
      <c r="A4039" t="s">
        <v>8086</v>
      </c>
      <c r="B4039" t="s">
        <v>8087</v>
      </c>
      <c r="C4039" t="s">
        <v>10</v>
      </c>
      <c r="D4039">
        <v>53</v>
      </c>
      <c r="E4039" t="s">
        <v>45</v>
      </c>
      <c r="F4039" t="s">
        <v>46</v>
      </c>
      <c r="G4039" t="s">
        <v>17</v>
      </c>
      <c r="H4039" s="1">
        <v>44832</v>
      </c>
    </row>
    <row r="4040" spans="1:8">
      <c r="A4040" t="s">
        <v>8088</v>
      </c>
      <c r="B4040" t="s">
        <v>8089</v>
      </c>
      <c r="C4040" t="s">
        <v>10</v>
      </c>
      <c r="D4040">
        <v>51</v>
      </c>
      <c r="E4040" t="s">
        <v>27</v>
      </c>
      <c r="F4040" t="s">
        <v>28</v>
      </c>
      <c r="G4040" t="s">
        <v>12</v>
      </c>
      <c r="H4040" s="1">
        <v>45482</v>
      </c>
    </row>
    <row r="4041" spans="1:8">
      <c r="A4041" t="s">
        <v>8090</v>
      </c>
      <c r="B4041" t="s">
        <v>8091</v>
      </c>
      <c r="C4041" t="s">
        <v>10</v>
      </c>
      <c r="D4041">
        <v>25</v>
      </c>
      <c r="E4041" t="s">
        <v>218</v>
      </c>
      <c r="F4041" t="s">
        <v>219</v>
      </c>
      <c r="G4041" t="s">
        <v>17</v>
      </c>
      <c r="H4041" s="1">
        <v>44773</v>
      </c>
    </row>
    <row r="4042" spans="1:8">
      <c r="A4042" t="s">
        <v>8092</v>
      </c>
      <c r="B4042" t="s">
        <v>8093</v>
      </c>
      <c r="C4042" t="s">
        <v>10</v>
      </c>
      <c r="D4042">
        <v>43</v>
      </c>
      <c r="E4042" t="s">
        <v>128</v>
      </c>
      <c r="F4042" t="s">
        <v>129</v>
      </c>
      <c r="G4042" t="s">
        <v>78</v>
      </c>
      <c r="H4042" s="1">
        <v>45585</v>
      </c>
    </row>
    <row r="4043" spans="1:8">
      <c r="A4043" t="s">
        <v>8094</v>
      </c>
      <c r="B4043" t="s">
        <v>8095</v>
      </c>
      <c r="C4043" t="s">
        <v>10</v>
      </c>
      <c r="D4043">
        <v>29</v>
      </c>
      <c r="E4043" t="s">
        <v>76</v>
      </c>
      <c r="F4043" t="s">
        <v>77</v>
      </c>
      <c r="G4043" t="s">
        <v>78</v>
      </c>
      <c r="H4043" s="1">
        <v>45722</v>
      </c>
    </row>
    <row r="4044" spans="1:8">
      <c r="A4044" t="s">
        <v>8096</v>
      </c>
      <c r="B4044" t="s">
        <v>8097</v>
      </c>
      <c r="C4044" t="s">
        <v>10</v>
      </c>
      <c r="D4044">
        <v>28</v>
      </c>
      <c r="E4044" t="s">
        <v>60</v>
      </c>
      <c r="F4044" t="s">
        <v>21</v>
      </c>
      <c r="G4044" t="s">
        <v>22</v>
      </c>
      <c r="H4044" s="1">
        <v>44663</v>
      </c>
    </row>
    <row r="4045" spans="1:8">
      <c r="A4045" t="s">
        <v>8098</v>
      </c>
      <c r="B4045" t="s">
        <v>8099</v>
      </c>
      <c r="C4045" t="s">
        <v>10</v>
      </c>
      <c r="D4045">
        <v>29</v>
      </c>
      <c r="E4045" t="s">
        <v>15</v>
      </c>
      <c r="F4045" t="s">
        <v>16</v>
      </c>
      <c r="G4045" t="s">
        <v>17</v>
      </c>
      <c r="H4045" s="1">
        <v>44801</v>
      </c>
    </row>
    <row r="4046" spans="1:8">
      <c r="A4046" t="s">
        <v>8100</v>
      </c>
      <c r="B4046" t="s">
        <v>8101</v>
      </c>
      <c r="C4046" t="s">
        <v>10</v>
      </c>
      <c r="D4046">
        <v>62</v>
      </c>
      <c r="E4046" t="s">
        <v>15</v>
      </c>
      <c r="F4046" t="s">
        <v>16</v>
      </c>
      <c r="G4046" t="s">
        <v>17</v>
      </c>
      <c r="H4046" s="1">
        <v>44595</v>
      </c>
    </row>
    <row r="4047" spans="1:8">
      <c r="A4047" t="s">
        <v>8102</v>
      </c>
      <c r="B4047" t="s">
        <v>8103</v>
      </c>
      <c r="C4047" t="s">
        <v>31</v>
      </c>
      <c r="D4047">
        <v>25</v>
      </c>
      <c r="E4047" t="s">
        <v>149</v>
      </c>
      <c r="F4047" t="s">
        <v>38</v>
      </c>
      <c r="G4047" t="s">
        <v>22</v>
      </c>
      <c r="H4047" s="1">
        <v>45450</v>
      </c>
    </row>
    <row r="4048" spans="1:8">
      <c r="A4048" t="s">
        <v>8104</v>
      </c>
      <c r="B4048" t="s">
        <v>8105</v>
      </c>
      <c r="C4048" t="s">
        <v>31</v>
      </c>
      <c r="D4048">
        <v>63</v>
      </c>
      <c r="E4048" t="s">
        <v>15</v>
      </c>
      <c r="F4048" t="s">
        <v>16</v>
      </c>
      <c r="G4048" t="s">
        <v>17</v>
      </c>
      <c r="H4048" s="1">
        <v>45602</v>
      </c>
    </row>
    <row r="4049" spans="1:8">
      <c r="A4049" t="s">
        <v>8106</v>
      </c>
      <c r="B4049" t="s">
        <v>8107</v>
      </c>
      <c r="C4049" t="s">
        <v>10</v>
      </c>
      <c r="D4049">
        <v>70</v>
      </c>
      <c r="E4049" t="s">
        <v>20</v>
      </c>
      <c r="F4049" t="s">
        <v>21</v>
      </c>
      <c r="G4049" t="s">
        <v>22</v>
      </c>
      <c r="H4049" s="1">
        <v>45683</v>
      </c>
    </row>
    <row r="4050" spans="1:8">
      <c r="A4050" t="s">
        <v>8108</v>
      </c>
      <c r="B4050" t="s">
        <v>8109</v>
      </c>
      <c r="C4050" t="s">
        <v>10</v>
      </c>
      <c r="D4050">
        <v>36</v>
      </c>
      <c r="E4050" t="s">
        <v>45</v>
      </c>
      <c r="F4050" t="s">
        <v>46</v>
      </c>
      <c r="G4050" t="s">
        <v>17</v>
      </c>
      <c r="H4050" s="1">
        <v>45347</v>
      </c>
    </row>
    <row r="4051" spans="1:8">
      <c r="A4051" t="s">
        <v>8110</v>
      </c>
      <c r="B4051" t="s">
        <v>8111</v>
      </c>
      <c r="C4051" t="s">
        <v>31</v>
      </c>
      <c r="D4051">
        <v>38</v>
      </c>
      <c r="E4051" t="s">
        <v>34</v>
      </c>
      <c r="F4051" t="s">
        <v>16</v>
      </c>
      <c r="G4051" t="s">
        <v>17</v>
      </c>
      <c r="H4051" s="1">
        <v>45694</v>
      </c>
    </row>
    <row r="4052" spans="1:8">
      <c r="A4052" t="s">
        <v>8112</v>
      </c>
      <c r="B4052" t="s">
        <v>8113</v>
      </c>
      <c r="C4052" t="s">
        <v>10</v>
      </c>
      <c r="D4052">
        <v>68</v>
      </c>
      <c r="E4052" t="s">
        <v>11</v>
      </c>
      <c r="F4052" t="s">
        <v>11</v>
      </c>
      <c r="G4052" t="s">
        <v>12</v>
      </c>
      <c r="H4052" s="1">
        <v>45769</v>
      </c>
    </row>
    <row r="4053" spans="1:8">
      <c r="A4053" t="s">
        <v>8114</v>
      </c>
      <c r="B4053" t="s">
        <v>8115</v>
      </c>
      <c r="C4053" t="s">
        <v>10</v>
      </c>
      <c r="D4053">
        <v>30</v>
      </c>
      <c r="E4053" t="s">
        <v>149</v>
      </c>
      <c r="F4053" t="s">
        <v>38</v>
      </c>
      <c r="G4053" t="s">
        <v>22</v>
      </c>
      <c r="H4053" s="1">
        <v>45689</v>
      </c>
    </row>
    <row r="4054" spans="1:8">
      <c r="A4054" t="s">
        <v>8116</v>
      </c>
      <c r="B4054" t="s">
        <v>8117</v>
      </c>
      <c r="C4054" t="s">
        <v>31</v>
      </c>
      <c r="D4054">
        <v>61</v>
      </c>
      <c r="E4054" t="s">
        <v>149</v>
      </c>
      <c r="F4054" t="s">
        <v>38</v>
      </c>
      <c r="G4054" t="s">
        <v>22</v>
      </c>
      <c r="H4054" s="1">
        <v>45767</v>
      </c>
    </row>
    <row r="4055" spans="1:8">
      <c r="A4055" t="s">
        <v>8118</v>
      </c>
      <c r="B4055" t="s">
        <v>8119</v>
      </c>
      <c r="C4055" t="s">
        <v>10</v>
      </c>
      <c r="D4055">
        <v>64</v>
      </c>
      <c r="E4055" t="s">
        <v>11</v>
      </c>
      <c r="F4055" t="s">
        <v>11</v>
      </c>
      <c r="G4055" t="s">
        <v>12</v>
      </c>
      <c r="H4055" s="1">
        <v>44569</v>
      </c>
    </row>
    <row r="4056" spans="1:8">
      <c r="A4056" t="s">
        <v>8120</v>
      </c>
      <c r="B4056" t="s">
        <v>8121</v>
      </c>
      <c r="C4056" t="s">
        <v>31</v>
      </c>
      <c r="D4056">
        <v>29</v>
      </c>
      <c r="E4056" t="s">
        <v>11</v>
      </c>
      <c r="F4056" t="s">
        <v>11</v>
      </c>
      <c r="G4056" t="s">
        <v>12</v>
      </c>
      <c r="H4056" s="1">
        <v>45498</v>
      </c>
    </row>
    <row r="4057" spans="1:8">
      <c r="A4057" t="s">
        <v>8122</v>
      </c>
      <c r="B4057" t="s">
        <v>8123</v>
      </c>
      <c r="C4057" t="s">
        <v>31</v>
      </c>
      <c r="D4057">
        <v>46</v>
      </c>
      <c r="E4057" t="s">
        <v>45</v>
      </c>
      <c r="F4057" t="s">
        <v>46</v>
      </c>
      <c r="G4057" t="s">
        <v>17</v>
      </c>
      <c r="H4057" s="1">
        <v>45236</v>
      </c>
    </row>
    <row r="4058" spans="1:8">
      <c r="A4058" t="s">
        <v>8124</v>
      </c>
      <c r="B4058" t="s">
        <v>8125</v>
      </c>
      <c r="C4058" t="s">
        <v>10</v>
      </c>
      <c r="D4058">
        <v>45</v>
      </c>
      <c r="E4058" t="s">
        <v>91</v>
      </c>
      <c r="F4058" t="s">
        <v>92</v>
      </c>
      <c r="G4058" t="s">
        <v>78</v>
      </c>
      <c r="H4058" s="1">
        <v>44602</v>
      </c>
    </row>
    <row r="4059" spans="1:8">
      <c r="A4059" t="s">
        <v>8126</v>
      </c>
      <c r="B4059" t="s">
        <v>8127</v>
      </c>
      <c r="C4059" t="s">
        <v>31</v>
      </c>
      <c r="D4059">
        <v>23</v>
      </c>
      <c r="E4059" t="s">
        <v>149</v>
      </c>
      <c r="F4059" t="s">
        <v>38</v>
      </c>
      <c r="G4059" t="s">
        <v>22</v>
      </c>
      <c r="H4059" s="1">
        <v>45426</v>
      </c>
    </row>
    <row r="4060" spans="1:8">
      <c r="A4060" t="s">
        <v>8128</v>
      </c>
      <c r="B4060" t="s">
        <v>8129</v>
      </c>
      <c r="C4060" t="s">
        <v>31</v>
      </c>
      <c r="D4060">
        <v>23</v>
      </c>
      <c r="E4060" t="s">
        <v>41</v>
      </c>
      <c r="F4060" t="s">
        <v>42</v>
      </c>
      <c r="G4060" t="s">
        <v>17</v>
      </c>
      <c r="H4060" s="1">
        <v>45321</v>
      </c>
    </row>
    <row r="4061" spans="1:8">
      <c r="A4061" t="s">
        <v>8130</v>
      </c>
      <c r="B4061" t="s">
        <v>8131</v>
      </c>
      <c r="C4061" t="s">
        <v>10</v>
      </c>
      <c r="D4061">
        <v>69</v>
      </c>
      <c r="E4061" t="s">
        <v>63</v>
      </c>
      <c r="F4061" t="s">
        <v>64</v>
      </c>
      <c r="G4061" t="s">
        <v>12</v>
      </c>
      <c r="H4061" s="1">
        <v>45139</v>
      </c>
    </row>
    <row r="4062" spans="1:8">
      <c r="A4062" t="s">
        <v>8132</v>
      </c>
      <c r="B4062" t="s">
        <v>8133</v>
      </c>
      <c r="C4062" t="s">
        <v>31</v>
      </c>
      <c r="D4062">
        <v>57</v>
      </c>
      <c r="E4062" t="s">
        <v>37</v>
      </c>
      <c r="F4062" t="s">
        <v>38</v>
      </c>
      <c r="G4062" t="s">
        <v>22</v>
      </c>
      <c r="H4062" s="1">
        <v>44767</v>
      </c>
    </row>
    <row r="4063" spans="1:8">
      <c r="A4063" t="s">
        <v>8134</v>
      </c>
      <c r="B4063" t="s">
        <v>8135</v>
      </c>
      <c r="C4063" t="s">
        <v>31</v>
      </c>
      <c r="D4063">
        <v>20</v>
      </c>
      <c r="E4063" t="s">
        <v>27</v>
      </c>
      <c r="F4063" t="s">
        <v>28</v>
      </c>
      <c r="G4063" t="s">
        <v>12</v>
      </c>
      <c r="H4063" s="1">
        <v>45112</v>
      </c>
    </row>
    <row r="4064" spans="1:8">
      <c r="A4064" t="s">
        <v>8136</v>
      </c>
      <c r="B4064" t="s">
        <v>8137</v>
      </c>
      <c r="C4064" t="s">
        <v>10</v>
      </c>
      <c r="D4064">
        <v>45</v>
      </c>
      <c r="E4064" t="s">
        <v>20</v>
      </c>
      <c r="F4064" t="s">
        <v>21</v>
      </c>
      <c r="G4064" t="s">
        <v>22</v>
      </c>
      <c r="H4064" s="1">
        <v>45314</v>
      </c>
    </row>
    <row r="4065" spans="1:8">
      <c r="A4065" t="s">
        <v>8138</v>
      </c>
      <c r="B4065" t="s">
        <v>8139</v>
      </c>
      <c r="C4065" t="s">
        <v>10</v>
      </c>
      <c r="D4065">
        <v>42</v>
      </c>
      <c r="E4065" t="s">
        <v>101</v>
      </c>
      <c r="F4065" t="s">
        <v>21</v>
      </c>
      <c r="G4065" t="s">
        <v>22</v>
      </c>
      <c r="H4065" s="1">
        <v>45164</v>
      </c>
    </row>
    <row r="4066" spans="1:8">
      <c r="A4066" t="s">
        <v>8140</v>
      </c>
      <c r="B4066" t="s">
        <v>8141</v>
      </c>
      <c r="C4066" t="s">
        <v>31</v>
      </c>
      <c r="D4066">
        <v>28</v>
      </c>
      <c r="E4066" t="s">
        <v>60</v>
      </c>
      <c r="F4066" t="s">
        <v>21</v>
      </c>
      <c r="G4066" t="s">
        <v>22</v>
      </c>
      <c r="H4066" s="1">
        <v>45718</v>
      </c>
    </row>
    <row r="4067" spans="1:8">
      <c r="A4067" t="s">
        <v>8142</v>
      </c>
      <c r="B4067" t="s">
        <v>8143</v>
      </c>
      <c r="C4067" t="s">
        <v>10</v>
      </c>
      <c r="D4067">
        <v>52</v>
      </c>
      <c r="E4067" t="s">
        <v>149</v>
      </c>
      <c r="F4067" t="s">
        <v>38</v>
      </c>
      <c r="G4067" t="s">
        <v>22</v>
      </c>
      <c r="H4067" s="1">
        <v>44593</v>
      </c>
    </row>
    <row r="4068" spans="1:8">
      <c r="A4068" t="s">
        <v>8144</v>
      </c>
      <c r="B4068" t="s">
        <v>8145</v>
      </c>
      <c r="C4068" t="s">
        <v>10</v>
      </c>
      <c r="D4068">
        <v>48</v>
      </c>
      <c r="E4068" t="s">
        <v>60</v>
      </c>
      <c r="F4068" t="s">
        <v>21</v>
      </c>
      <c r="G4068" t="s">
        <v>22</v>
      </c>
      <c r="H4068" s="1">
        <v>45627</v>
      </c>
    </row>
    <row r="4069" spans="1:8">
      <c r="A4069" t="s">
        <v>8146</v>
      </c>
      <c r="B4069" t="s">
        <v>8147</v>
      </c>
      <c r="C4069" t="s">
        <v>10</v>
      </c>
      <c r="D4069">
        <v>41</v>
      </c>
      <c r="E4069" t="s">
        <v>49</v>
      </c>
      <c r="F4069" t="s">
        <v>38</v>
      </c>
      <c r="G4069" t="s">
        <v>22</v>
      </c>
      <c r="H4069" s="1">
        <v>45820</v>
      </c>
    </row>
    <row r="4070" spans="1:8">
      <c r="A4070" t="s">
        <v>8148</v>
      </c>
      <c r="B4070" t="s">
        <v>8149</v>
      </c>
      <c r="C4070" t="s">
        <v>10</v>
      </c>
      <c r="D4070">
        <v>41</v>
      </c>
      <c r="E4070" t="s">
        <v>218</v>
      </c>
      <c r="F4070" t="s">
        <v>219</v>
      </c>
      <c r="G4070" t="s">
        <v>17</v>
      </c>
      <c r="H4070" s="1">
        <v>45440</v>
      </c>
    </row>
    <row r="4071" spans="1:8">
      <c r="A4071" t="s">
        <v>8150</v>
      </c>
      <c r="B4071" t="s">
        <v>8151</v>
      </c>
      <c r="C4071" t="s">
        <v>31</v>
      </c>
      <c r="D4071">
        <v>42</v>
      </c>
      <c r="E4071" t="s">
        <v>20</v>
      </c>
      <c r="F4071" t="s">
        <v>21</v>
      </c>
      <c r="G4071" t="s">
        <v>22</v>
      </c>
      <c r="H4071" s="1">
        <v>45728</v>
      </c>
    </row>
    <row r="4072" spans="1:8">
      <c r="A4072" t="s">
        <v>8152</v>
      </c>
      <c r="B4072" t="s">
        <v>8153</v>
      </c>
      <c r="C4072" t="s">
        <v>10</v>
      </c>
      <c r="D4072">
        <v>19</v>
      </c>
      <c r="E4072" t="s">
        <v>218</v>
      </c>
      <c r="F4072" t="s">
        <v>219</v>
      </c>
      <c r="G4072" t="s">
        <v>17</v>
      </c>
      <c r="H4072" s="1">
        <v>45046</v>
      </c>
    </row>
    <row r="4073" spans="1:8">
      <c r="A4073" t="s">
        <v>8154</v>
      </c>
      <c r="B4073" t="s">
        <v>8155</v>
      </c>
      <c r="C4073" t="s">
        <v>31</v>
      </c>
      <c r="D4073">
        <v>47</v>
      </c>
      <c r="E4073" t="s">
        <v>76</v>
      </c>
      <c r="F4073" t="s">
        <v>77</v>
      </c>
      <c r="G4073" t="s">
        <v>78</v>
      </c>
      <c r="H4073" s="1">
        <v>45445</v>
      </c>
    </row>
    <row r="4074" spans="1:8">
      <c r="A4074" t="s">
        <v>8156</v>
      </c>
      <c r="B4074" t="s">
        <v>8157</v>
      </c>
      <c r="C4074" t="s">
        <v>10</v>
      </c>
      <c r="D4074">
        <v>42</v>
      </c>
      <c r="E4074" t="s">
        <v>128</v>
      </c>
      <c r="F4074" t="s">
        <v>129</v>
      </c>
      <c r="G4074" t="s">
        <v>78</v>
      </c>
      <c r="H4074" s="1">
        <v>45744</v>
      </c>
    </row>
    <row r="4075" spans="1:8">
      <c r="A4075" t="s">
        <v>8158</v>
      </c>
      <c r="B4075" t="s">
        <v>8159</v>
      </c>
      <c r="C4075" t="s">
        <v>10</v>
      </c>
      <c r="D4075">
        <v>66</v>
      </c>
      <c r="E4075" t="s">
        <v>15</v>
      </c>
      <c r="F4075" t="s">
        <v>16</v>
      </c>
      <c r="G4075" t="s">
        <v>17</v>
      </c>
      <c r="H4075" s="1">
        <v>45695</v>
      </c>
    </row>
    <row r="4076" spans="1:8">
      <c r="A4076" t="s">
        <v>8160</v>
      </c>
      <c r="B4076" t="s">
        <v>8161</v>
      </c>
      <c r="C4076" t="s">
        <v>10</v>
      </c>
      <c r="D4076">
        <v>22</v>
      </c>
      <c r="E4076" t="s">
        <v>128</v>
      </c>
      <c r="F4076" t="s">
        <v>129</v>
      </c>
      <c r="G4076" t="s">
        <v>78</v>
      </c>
      <c r="H4076" s="1">
        <v>45316</v>
      </c>
    </row>
    <row r="4077" spans="1:8">
      <c r="A4077" t="s">
        <v>8162</v>
      </c>
      <c r="B4077" t="s">
        <v>8163</v>
      </c>
      <c r="C4077" t="s">
        <v>31</v>
      </c>
      <c r="D4077">
        <v>25</v>
      </c>
      <c r="E4077" t="s">
        <v>134</v>
      </c>
      <c r="F4077" t="s">
        <v>28</v>
      </c>
      <c r="G4077" t="s">
        <v>12</v>
      </c>
      <c r="H4077" s="1">
        <v>45249</v>
      </c>
    </row>
    <row r="4078" spans="1:8">
      <c r="A4078" t="s">
        <v>8164</v>
      </c>
      <c r="B4078" t="s">
        <v>8165</v>
      </c>
      <c r="C4078" t="s">
        <v>10</v>
      </c>
      <c r="D4078">
        <v>60</v>
      </c>
      <c r="E4078" t="s">
        <v>149</v>
      </c>
      <c r="F4078" t="s">
        <v>38</v>
      </c>
      <c r="G4078" t="s">
        <v>22</v>
      </c>
      <c r="H4078" s="1">
        <v>45157</v>
      </c>
    </row>
    <row r="4079" spans="1:8">
      <c r="A4079" t="s">
        <v>8166</v>
      </c>
      <c r="B4079" t="s">
        <v>8167</v>
      </c>
      <c r="C4079" t="s">
        <v>31</v>
      </c>
      <c r="D4079">
        <v>56</v>
      </c>
      <c r="E4079" t="s">
        <v>69</v>
      </c>
      <c r="F4079" t="s">
        <v>69</v>
      </c>
      <c r="G4079" t="s">
        <v>12</v>
      </c>
      <c r="H4079" s="1">
        <v>45169</v>
      </c>
    </row>
    <row r="4080" spans="1:8">
      <c r="A4080" t="s">
        <v>8168</v>
      </c>
      <c r="B4080" t="s">
        <v>8169</v>
      </c>
      <c r="C4080" t="s">
        <v>10</v>
      </c>
      <c r="D4080">
        <v>35</v>
      </c>
      <c r="E4080" t="s">
        <v>15</v>
      </c>
      <c r="F4080" t="s">
        <v>16</v>
      </c>
      <c r="G4080" t="s">
        <v>17</v>
      </c>
      <c r="H4080" s="1">
        <v>44759</v>
      </c>
    </row>
    <row r="4081" spans="1:8">
      <c r="A4081" t="s">
        <v>8170</v>
      </c>
      <c r="B4081" t="s">
        <v>8171</v>
      </c>
      <c r="C4081" t="s">
        <v>10</v>
      </c>
      <c r="D4081">
        <v>45</v>
      </c>
      <c r="E4081" t="s">
        <v>218</v>
      </c>
      <c r="F4081" t="s">
        <v>219</v>
      </c>
      <c r="G4081" t="s">
        <v>17</v>
      </c>
      <c r="H4081" s="1">
        <v>45386</v>
      </c>
    </row>
    <row r="4082" spans="1:8">
      <c r="A4082" t="s">
        <v>8172</v>
      </c>
      <c r="B4082" t="s">
        <v>8173</v>
      </c>
      <c r="C4082" t="s">
        <v>31</v>
      </c>
      <c r="D4082">
        <v>39</v>
      </c>
      <c r="E4082" t="s">
        <v>34</v>
      </c>
      <c r="F4082" t="s">
        <v>16</v>
      </c>
      <c r="G4082" t="s">
        <v>17</v>
      </c>
      <c r="H4082" s="1">
        <v>44850</v>
      </c>
    </row>
    <row r="4083" spans="1:8">
      <c r="A4083" t="s">
        <v>8174</v>
      </c>
      <c r="B4083" t="s">
        <v>8175</v>
      </c>
      <c r="C4083" t="s">
        <v>10</v>
      </c>
      <c r="D4083">
        <v>69</v>
      </c>
      <c r="E4083" t="s">
        <v>20</v>
      </c>
      <c r="F4083" t="s">
        <v>21</v>
      </c>
      <c r="G4083" t="s">
        <v>22</v>
      </c>
      <c r="H4083" s="1">
        <v>45482</v>
      </c>
    </row>
    <row r="4084" spans="1:8">
      <c r="A4084" t="s">
        <v>8176</v>
      </c>
      <c r="B4084" t="s">
        <v>8177</v>
      </c>
      <c r="C4084" t="s">
        <v>31</v>
      </c>
      <c r="D4084">
        <v>26</v>
      </c>
      <c r="E4084" t="s">
        <v>134</v>
      </c>
      <c r="F4084" t="s">
        <v>28</v>
      </c>
      <c r="G4084" t="s">
        <v>12</v>
      </c>
      <c r="H4084" s="1">
        <v>45312</v>
      </c>
    </row>
    <row r="4085" spans="1:8">
      <c r="A4085" t="s">
        <v>8178</v>
      </c>
      <c r="B4085" t="s">
        <v>8179</v>
      </c>
      <c r="C4085" t="s">
        <v>31</v>
      </c>
      <c r="D4085">
        <v>41</v>
      </c>
      <c r="E4085" t="s">
        <v>218</v>
      </c>
      <c r="F4085" t="s">
        <v>219</v>
      </c>
      <c r="G4085" t="s">
        <v>17</v>
      </c>
      <c r="H4085" s="1">
        <v>45271</v>
      </c>
    </row>
    <row r="4086" spans="1:8">
      <c r="A4086" t="s">
        <v>8180</v>
      </c>
      <c r="B4086" t="s">
        <v>8181</v>
      </c>
      <c r="C4086" t="s">
        <v>31</v>
      </c>
      <c r="D4086">
        <v>67</v>
      </c>
      <c r="E4086" t="s">
        <v>20</v>
      </c>
      <c r="F4086" t="s">
        <v>21</v>
      </c>
      <c r="G4086" t="s">
        <v>22</v>
      </c>
      <c r="H4086" s="1">
        <v>45215</v>
      </c>
    </row>
    <row r="4087" spans="1:8">
      <c r="A4087" t="s">
        <v>8182</v>
      </c>
      <c r="B4087" t="s">
        <v>8183</v>
      </c>
      <c r="C4087" t="s">
        <v>10</v>
      </c>
      <c r="D4087">
        <v>26</v>
      </c>
      <c r="E4087" t="s">
        <v>20</v>
      </c>
      <c r="F4087" t="s">
        <v>21</v>
      </c>
      <c r="G4087" t="s">
        <v>22</v>
      </c>
      <c r="H4087" s="1">
        <v>45745</v>
      </c>
    </row>
    <row r="4088" spans="1:8">
      <c r="A4088" t="s">
        <v>8184</v>
      </c>
      <c r="B4088" t="s">
        <v>8185</v>
      </c>
      <c r="C4088" t="s">
        <v>10</v>
      </c>
      <c r="D4088">
        <v>63</v>
      </c>
      <c r="E4088" t="s">
        <v>91</v>
      </c>
      <c r="F4088" t="s">
        <v>92</v>
      </c>
      <c r="G4088" t="s">
        <v>78</v>
      </c>
      <c r="H4088" s="1">
        <v>45579</v>
      </c>
    </row>
    <row r="4089" spans="1:8">
      <c r="A4089" t="s">
        <v>8186</v>
      </c>
      <c r="B4089" t="s">
        <v>8187</v>
      </c>
      <c r="C4089" t="s">
        <v>31</v>
      </c>
      <c r="D4089">
        <v>32</v>
      </c>
      <c r="E4089" t="s">
        <v>20</v>
      </c>
      <c r="F4089" t="s">
        <v>21</v>
      </c>
      <c r="G4089" t="s">
        <v>22</v>
      </c>
      <c r="H4089" s="1">
        <v>44691</v>
      </c>
    </row>
    <row r="4090" spans="1:8">
      <c r="A4090" t="s">
        <v>8188</v>
      </c>
      <c r="B4090" t="s">
        <v>8189</v>
      </c>
      <c r="C4090" t="s">
        <v>31</v>
      </c>
      <c r="D4090">
        <v>21</v>
      </c>
      <c r="E4090" t="s">
        <v>91</v>
      </c>
      <c r="F4090" t="s">
        <v>92</v>
      </c>
      <c r="G4090" t="s">
        <v>78</v>
      </c>
      <c r="H4090" s="1">
        <v>45401</v>
      </c>
    </row>
    <row r="4091" spans="1:8">
      <c r="A4091" t="s">
        <v>8190</v>
      </c>
      <c r="B4091" t="s">
        <v>8191</v>
      </c>
      <c r="C4091" t="s">
        <v>31</v>
      </c>
      <c r="D4091">
        <v>48</v>
      </c>
      <c r="E4091" t="s">
        <v>101</v>
      </c>
      <c r="F4091" t="s">
        <v>21</v>
      </c>
      <c r="G4091" t="s">
        <v>22</v>
      </c>
      <c r="H4091" s="1">
        <v>44840</v>
      </c>
    </row>
    <row r="4092" spans="1:8">
      <c r="A4092" t="s">
        <v>8192</v>
      </c>
      <c r="B4092" t="s">
        <v>8193</v>
      </c>
      <c r="C4092" t="s">
        <v>31</v>
      </c>
      <c r="D4092">
        <v>64</v>
      </c>
      <c r="E4092" t="s">
        <v>128</v>
      </c>
      <c r="F4092" t="s">
        <v>129</v>
      </c>
      <c r="G4092" t="s">
        <v>78</v>
      </c>
      <c r="H4092" s="1">
        <v>44895</v>
      </c>
    </row>
    <row r="4093" spans="1:8">
      <c r="A4093" t="s">
        <v>8194</v>
      </c>
      <c r="B4093" t="s">
        <v>8195</v>
      </c>
      <c r="C4093" t="s">
        <v>10</v>
      </c>
      <c r="D4093">
        <v>23</v>
      </c>
      <c r="E4093" t="s">
        <v>91</v>
      </c>
      <c r="F4093" t="s">
        <v>92</v>
      </c>
      <c r="G4093" t="s">
        <v>78</v>
      </c>
      <c r="H4093" s="1">
        <v>44572</v>
      </c>
    </row>
    <row r="4094" spans="1:8">
      <c r="A4094" t="s">
        <v>8196</v>
      </c>
      <c r="B4094" t="s">
        <v>8197</v>
      </c>
      <c r="C4094" t="s">
        <v>10</v>
      </c>
      <c r="D4094">
        <v>62</v>
      </c>
      <c r="E4094" t="s">
        <v>60</v>
      </c>
      <c r="F4094" t="s">
        <v>21</v>
      </c>
      <c r="G4094" t="s">
        <v>22</v>
      </c>
      <c r="H4094" s="1">
        <v>44936</v>
      </c>
    </row>
    <row r="4095" spans="1:8">
      <c r="A4095" t="s">
        <v>8198</v>
      </c>
      <c r="B4095" t="s">
        <v>8199</v>
      </c>
      <c r="C4095" t="s">
        <v>10</v>
      </c>
      <c r="D4095">
        <v>26</v>
      </c>
      <c r="E4095" t="s">
        <v>41</v>
      </c>
      <c r="F4095" t="s">
        <v>42</v>
      </c>
      <c r="G4095" t="s">
        <v>17</v>
      </c>
      <c r="H4095" s="1">
        <v>45054</v>
      </c>
    </row>
    <row r="4096" spans="1:8">
      <c r="A4096" t="s">
        <v>8200</v>
      </c>
      <c r="B4096" t="s">
        <v>8201</v>
      </c>
      <c r="C4096" t="s">
        <v>31</v>
      </c>
      <c r="D4096">
        <v>18</v>
      </c>
      <c r="E4096" t="s">
        <v>87</v>
      </c>
      <c r="F4096" t="s">
        <v>88</v>
      </c>
      <c r="G4096" t="s">
        <v>78</v>
      </c>
      <c r="H4096" s="1">
        <v>45359</v>
      </c>
    </row>
    <row r="4097" spans="1:8">
      <c r="A4097" t="s">
        <v>8202</v>
      </c>
      <c r="B4097" t="s">
        <v>8203</v>
      </c>
      <c r="C4097" t="s">
        <v>10</v>
      </c>
      <c r="D4097">
        <v>23</v>
      </c>
      <c r="E4097" t="s">
        <v>20</v>
      </c>
      <c r="F4097" t="s">
        <v>21</v>
      </c>
      <c r="G4097" t="s">
        <v>22</v>
      </c>
      <c r="H4097" s="1">
        <v>45281</v>
      </c>
    </row>
    <row r="4098" spans="1:8">
      <c r="A4098" t="s">
        <v>8204</v>
      </c>
      <c r="B4098" t="s">
        <v>8205</v>
      </c>
      <c r="C4098" t="s">
        <v>10</v>
      </c>
      <c r="D4098">
        <v>47</v>
      </c>
      <c r="E4098" t="s">
        <v>45</v>
      </c>
      <c r="F4098" t="s">
        <v>46</v>
      </c>
      <c r="G4098" t="s">
        <v>17</v>
      </c>
      <c r="H4098" s="1">
        <v>44564</v>
      </c>
    </row>
    <row r="4099" spans="1:8">
      <c r="A4099" t="s">
        <v>8206</v>
      </c>
      <c r="B4099" t="s">
        <v>8207</v>
      </c>
      <c r="C4099" t="s">
        <v>10</v>
      </c>
      <c r="D4099">
        <v>38</v>
      </c>
      <c r="E4099" t="s">
        <v>87</v>
      </c>
      <c r="F4099" t="s">
        <v>88</v>
      </c>
      <c r="G4099" t="s">
        <v>78</v>
      </c>
      <c r="H4099" s="1">
        <v>45907</v>
      </c>
    </row>
    <row r="4100" spans="1:8">
      <c r="A4100" t="s">
        <v>8208</v>
      </c>
      <c r="B4100" t="s">
        <v>8209</v>
      </c>
      <c r="C4100" t="s">
        <v>31</v>
      </c>
      <c r="D4100">
        <v>32</v>
      </c>
      <c r="E4100" t="s">
        <v>15</v>
      </c>
      <c r="F4100" t="s">
        <v>16</v>
      </c>
      <c r="G4100" t="s">
        <v>17</v>
      </c>
      <c r="H4100" s="1">
        <v>44651</v>
      </c>
    </row>
    <row r="4101" spans="1:8">
      <c r="A4101" t="s">
        <v>8210</v>
      </c>
      <c r="B4101" t="s">
        <v>8211</v>
      </c>
      <c r="C4101" t="s">
        <v>10</v>
      </c>
      <c r="D4101">
        <v>30</v>
      </c>
      <c r="E4101" t="s">
        <v>112</v>
      </c>
      <c r="F4101" t="s">
        <v>113</v>
      </c>
      <c r="G4101" t="s">
        <v>78</v>
      </c>
      <c r="H4101" s="1">
        <v>44671</v>
      </c>
    </row>
    <row r="4102" spans="1:8">
      <c r="A4102" t="s">
        <v>8212</v>
      </c>
      <c r="B4102" t="s">
        <v>8213</v>
      </c>
      <c r="C4102" t="s">
        <v>31</v>
      </c>
      <c r="D4102">
        <v>55</v>
      </c>
      <c r="E4102" t="s">
        <v>41</v>
      </c>
      <c r="F4102" t="s">
        <v>42</v>
      </c>
      <c r="G4102" t="s">
        <v>17</v>
      </c>
      <c r="H4102" s="1">
        <v>44707</v>
      </c>
    </row>
    <row r="4103" spans="1:8">
      <c r="A4103" t="s">
        <v>8214</v>
      </c>
      <c r="B4103" t="s">
        <v>8215</v>
      </c>
      <c r="C4103" t="s">
        <v>31</v>
      </c>
      <c r="D4103">
        <v>34</v>
      </c>
      <c r="E4103" t="s">
        <v>20</v>
      </c>
      <c r="F4103" t="s">
        <v>21</v>
      </c>
      <c r="G4103" t="s">
        <v>22</v>
      </c>
      <c r="H4103" s="1">
        <v>44571</v>
      </c>
    </row>
    <row r="4104" spans="1:8">
      <c r="A4104" t="s">
        <v>8216</v>
      </c>
      <c r="B4104" t="s">
        <v>8217</v>
      </c>
      <c r="C4104" t="s">
        <v>31</v>
      </c>
      <c r="D4104">
        <v>53</v>
      </c>
      <c r="E4104" t="s">
        <v>87</v>
      </c>
      <c r="F4104" t="s">
        <v>88</v>
      </c>
      <c r="G4104" t="s">
        <v>78</v>
      </c>
      <c r="H4104" s="1">
        <v>45594</v>
      </c>
    </row>
    <row r="4105" spans="1:8">
      <c r="A4105" t="s">
        <v>8218</v>
      </c>
      <c r="B4105" t="s">
        <v>8219</v>
      </c>
      <c r="C4105" t="s">
        <v>10</v>
      </c>
      <c r="D4105">
        <v>69</v>
      </c>
      <c r="E4105" t="s">
        <v>134</v>
      </c>
      <c r="F4105" t="s">
        <v>28</v>
      </c>
      <c r="G4105" t="s">
        <v>12</v>
      </c>
      <c r="H4105" s="1">
        <v>45026</v>
      </c>
    </row>
    <row r="4106" spans="1:8">
      <c r="A4106" t="s">
        <v>8220</v>
      </c>
      <c r="B4106" t="s">
        <v>8221</v>
      </c>
      <c r="C4106" t="s">
        <v>10</v>
      </c>
      <c r="D4106">
        <v>44</v>
      </c>
      <c r="E4106" t="s">
        <v>149</v>
      </c>
      <c r="F4106" t="s">
        <v>38</v>
      </c>
      <c r="G4106" t="s">
        <v>22</v>
      </c>
      <c r="H4106" s="1">
        <v>45408</v>
      </c>
    </row>
    <row r="4107" spans="1:8">
      <c r="A4107" t="s">
        <v>8222</v>
      </c>
      <c r="B4107" t="s">
        <v>8223</v>
      </c>
      <c r="C4107" t="s">
        <v>31</v>
      </c>
      <c r="D4107">
        <v>48</v>
      </c>
      <c r="E4107" t="s">
        <v>60</v>
      </c>
      <c r="F4107" t="s">
        <v>21</v>
      </c>
      <c r="G4107" t="s">
        <v>22</v>
      </c>
      <c r="H4107" s="1">
        <v>45088</v>
      </c>
    </row>
    <row r="4108" spans="1:8">
      <c r="A4108" t="s">
        <v>8224</v>
      </c>
      <c r="B4108" t="s">
        <v>8225</v>
      </c>
      <c r="C4108" t="s">
        <v>10</v>
      </c>
      <c r="D4108">
        <v>48</v>
      </c>
      <c r="E4108" t="s">
        <v>69</v>
      </c>
      <c r="F4108" t="s">
        <v>69</v>
      </c>
      <c r="G4108" t="s">
        <v>12</v>
      </c>
      <c r="H4108" s="1">
        <v>44742</v>
      </c>
    </row>
    <row r="4109" spans="1:8">
      <c r="A4109" t="s">
        <v>8226</v>
      </c>
      <c r="B4109" t="s">
        <v>8227</v>
      </c>
      <c r="C4109" t="s">
        <v>10</v>
      </c>
      <c r="D4109">
        <v>31</v>
      </c>
      <c r="E4109" t="s">
        <v>45</v>
      </c>
      <c r="F4109" t="s">
        <v>46</v>
      </c>
      <c r="G4109" t="s">
        <v>17</v>
      </c>
      <c r="H4109" s="1">
        <v>45664</v>
      </c>
    </row>
    <row r="4110" spans="1:8">
      <c r="A4110" t="s">
        <v>8228</v>
      </c>
      <c r="B4110" t="s">
        <v>8229</v>
      </c>
      <c r="C4110" t="s">
        <v>31</v>
      </c>
      <c r="D4110">
        <v>39</v>
      </c>
      <c r="E4110" t="s">
        <v>87</v>
      </c>
      <c r="F4110" t="s">
        <v>88</v>
      </c>
      <c r="G4110" t="s">
        <v>78</v>
      </c>
      <c r="H4110" s="1">
        <v>44634</v>
      </c>
    </row>
    <row r="4111" spans="1:8">
      <c r="A4111" t="s">
        <v>8230</v>
      </c>
      <c r="B4111" t="s">
        <v>8231</v>
      </c>
      <c r="C4111" t="s">
        <v>31</v>
      </c>
      <c r="D4111">
        <v>32</v>
      </c>
      <c r="E4111" t="s">
        <v>45</v>
      </c>
      <c r="F4111" t="s">
        <v>46</v>
      </c>
      <c r="G4111" t="s">
        <v>17</v>
      </c>
      <c r="H4111" s="1">
        <v>45711</v>
      </c>
    </row>
    <row r="4112" spans="1:8">
      <c r="A4112" t="s">
        <v>8232</v>
      </c>
      <c r="B4112" t="s">
        <v>8233</v>
      </c>
      <c r="C4112" t="s">
        <v>31</v>
      </c>
      <c r="D4112">
        <v>31</v>
      </c>
      <c r="E4112" t="s">
        <v>11</v>
      </c>
      <c r="F4112" t="s">
        <v>11</v>
      </c>
      <c r="G4112" t="s">
        <v>12</v>
      </c>
      <c r="H4112" s="1">
        <v>45521</v>
      </c>
    </row>
    <row r="4113" spans="1:8">
      <c r="A4113" t="s">
        <v>8234</v>
      </c>
      <c r="B4113" t="s">
        <v>8235</v>
      </c>
      <c r="C4113" t="s">
        <v>31</v>
      </c>
      <c r="D4113">
        <v>51</v>
      </c>
      <c r="E4113" t="s">
        <v>91</v>
      </c>
      <c r="F4113" t="s">
        <v>92</v>
      </c>
      <c r="G4113" t="s">
        <v>78</v>
      </c>
      <c r="H4113" s="1">
        <v>45458</v>
      </c>
    </row>
    <row r="4114" spans="1:8">
      <c r="A4114" t="s">
        <v>8236</v>
      </c>
      <c r="B4114" t="s">
        <v>8237</v>
      </c>
      <c r="C4114" t="s">
        <v>10</v>
      </c>
      <c r="D4114">
        <v>44</v>
      </c>
      <c r="E4114" t="s">
        <v>63</v>
      </c>
      <c r="F4114" t="s">
        <v>64</v>
      </c>
      <c r="G4114" t="s">
        <v>12</v>
      </c>
      <c r="H4114" s="1">
        <v>45252</v>
      </c>
    </row>
    <row r="4115" spans="1:8">
      <c r="A4115" t="s">
        <v>8238</v>
      </c>
      <c r="B4115" t="s">
        <v>8239</v>
      </c>
      <c r="C4115" t="s">
        <v>31</v>
      </c>
      <c r="D4115">
        <v>20</v>
      </c>
      <c r="E4115" t="s">
        <v>149</v>
      </c>
      <c r="F4115" t="s">
        <v>38</v>
      </c>
      <c r="G4115" t="s">
        <v>22</v>
      </c>
      <c r="H4115" s="1">
        <v>45121</v>
      </c>
    </row>
    <row r="4116" spans="1:8">
      <c r="A4116" t="s">
        <v>8240</v>
      </c>
      <c r="B4116" t="s">
        <v>8241</v>
      </c>
      <c r="C4116" t="s">
        <v>10</v>
      </c>
      <c r="D4116">
        <v>63</v>
      </c>
      <c r="E4116" t="s">
        <v>69</v>
      </c>
      <c r="F4116" t="s">
        <v>69</v>
      </c>
      <c r="G4116" t="s">
        <v>12</v>
      </c>
      <c r="H4116" s="1">
        <v>44958</v>
      </c>
    </row>
    <row r="4117" spans="1:8">
      <c r="A4117" t="s">
        <v>8242</v>
      </c>
      <c r="B4117" t="s">
        <v>8243</v>
      </c>
      <c r="C4117" t="s">
        <v>10</v>
      </c>
      <c r="D4117">
        <v>53</v>
      </c>
      <c r="E4117" t="s">
        <v>91</v>
      </c>
      <c r="F4117" t="s">
        <v>92</v>
      </c>
      <c r="G4117" t="s">
        <v>78</v>
      </c>
      <c r="H4117" s="1">
        <v>45671</v>
      </c>
    </row>
    <row r="4118" spans="1:8">
      <c r="A4118" t="s">
        <v>8244</v>
      </c>
      <c r="B4118" t="s">
        <v>8245</v>
      </c>
      <c r="C4118" t="s">
        <v>10</v>
      </c>
      <c r="D4118">
        <v>42</v>
      </c>
      <c r="E4118" t="s">
        <v>101</v>
      </c>
      <c r="F4118" t="s">
        <v>21</v>
      </c>
      <c r="G4118" t="s">
        <v>22</v>
      </c>
      <c r="H4118" s="1">
        <v>45213</v>
      </c>
    </row>
    <row r="4119" spans="1:8">
      <c r="A4119" t="s">
        <v>8246</v>
      </c>
      <c r="B4119" t="s">
        <v>8247</v>
      </c>
      <c r="C4119" t="s">
        <v>10</v>
      </c>
      <c r="D4119">
        <v>52</v>
      </c>
      <c r="E4119" t="s">
        <v>91</v>
      </c>
      <c r="F4119" t="s">
        <v>92</v>
      </c>
      <c r="G4119" t="s">
        <v>78</v>
      </c>
      <c r="H4119" s="1">
        <v>45393</v>
      </c>
    </row>
    <row r="4120" spans="1:8">
      <c r="A4120" t="s">
        <v>8248</v>
      </c>
      <c r="B4120" t="s">
        <v>8249</v>
      </c>
      <c r="C4120" t="s">
        <v>31</v>
      </c>
      <c r="D4120">
        <v>70</v>
      </c>
      <c r="E4120" t="s">
        <v>45</v>
      </c>
      <c r="F4120" t="s">
        <v>46</v>
      </c>
      <c r="G4120" t="s">
        <v>17</v>
      </c>
      <c r="H4120" s="1">
        <v>44670</v>
      </c>
    </row>
    <row r="4121" spans="1:8">
      <c r="A4121" t="s">
        <v>8250</v>
      </c>
      <c r="B4121" t="s">
        <v>8251</v>
      </c>
      <c r="C4121" t="s">
        <v>10</v>
      </c>
      <c r="D4121">
        <v>43</v>
      </c>
      <c r="E4121" t="s">
        <v>37</v>
      </c>
      <c r="F4121" t="s">
        <v>38</v>
      </c>
      <c r="G4121" t="s">
        <v>22</v>
      </c>
      <c r="H4121" s="1">
        <v>46005</v>
      </c>
    </row>
    <row r="4122" spans="1:8">
      <c r="A4122" t="s">
        <v>8252</v>
      </c>
      <c r="B4122" t="s">
        <v>8253</v>
      </c>
      <c r="C4122" t="s">
        <v>31</v>
      </c>
      <c r="D4122">
        <v>23</v>
      </c>
      <c r="E4122" t="s">
        <v>60</v>
      </c>
      <c r="F4122" t="s">
        <v>21</v>
      </c>
      <c r="G4122" t="s">
        <v>22</v>
      </c>
      <c r="H4122" s="1">
        <v>45249</v>
      </c>
    </row>
    <row r="4123" spans="1:8">
      <c r="A4123" t="s">
        <v>8254</v>
      </c>
      <c r="B4123" t="s">
        <v>8255</v>
      </c>
      <c r="C4123" t="s">
        <v>10</v>
      </c>
      <c r="D4123">
        <v>54</v>
      </c>
      <c r="E4123" t="s">
        <v>149</v>
      </c>
      <c r="F4123" t="s">
        <v>38</v>
      </c>
      <c r="G4123" t="s">
        <v>22</v>
      </c>
      <c r="H4123" s="1">
        <v>44888</v>
      </c>
    </row>
    <row r="4124" spans="1:8">
      <c r="A4124" t="s">
        <v>8256</v>
      </c>
      <c r="B4124" t="s">
        <v>8257</v>
      </c>
      <c r="C4124" t="s">
        <v>10</v>
      </c>
      <c r="D4124">
        <v>52</v>
      </c>
      <c r="E4124" t="s">
        <v>15</v>
      </c>
      <c r="F4124" t="s">
        <v>16</v>
      </c>
      <c r="G4124" t="s">
        <v>17</v>
      </c>
      <c r="H4124" s="1">
        <v>45778</v>
      </c>
    </row>
    <row r="4125" spans="1:8">
      <c r="A4125" t="s">
        <v>8258</v>
      </c>
      <c r="B4125" t="s">
        <v>8259</v>
      </c>
      <c r="C4125" t="s">
        <v>10</v>
      </c>
      <c r="D4125">
        <v>49</v>
      </c>
      <c r="E4125" t="s">
        <v>91</v>
      </c>
      <c r="F4125" t="s">
        <v>92</v>
      </c>
      <c r="G4125" t="s">
        <v>78</v>
      </c>
      <c r="H4125" s="1">
        <v>44781</v>
      </c>
    </row>
    <row r="4126" spans="1:8">
      <c r="A4126" t="s">
        <v>8260</v>
      </c>
      <c r="B4126" t="s">
        <v>8261</v>
      </c>
      <c r="C4126" t="s">
        <v>10</v>
      </c>
      <c r="D4126">
        <v>32</v>
      </c>
      <c r="E4126" t="s">
        <v>134</v>
      </c>
      <c r="F4126" t="s">
        <v>28</v>
      </c>
      <c r="G4126" t="s">
        <v>12</v>
      </c>
      <c r="H4126" s="1">
        <v>44618</v>
      </c>
    </row>
    <row r="4127" spans="1:8">
      <c r="A4127" t="s">
        <v>8262</v>
      </c>
      <c r="B4127" t="s">
        <v>8263</v>
      </c>
      <c r="C4127" t="s">
        <v>31</v>
      </c>
      <c r="D4127">
        <v>67</v>
      </c>
      <c r="E4127" t="s">
        <v>15</v>
      </c>
      <c r="F4127" t="s">
        <v>16</v>
      </c>
      <c r="G4127" t="s">
        <v>17</v>
      </c>
      <c r="H4127" s="1">
        <v>44767</v>
      </c>
    </row>
    <row r="4128" spans="1:8">
      <c r="A4128" t="s">
        <v>8264</v>
      </c>
      <c r="B4128" t="s">
        <v>8265</v>
      </c>
      <c r="C4128" t="s">
        <v>10</v>
      </c>
      <c r="D4128">
        <v>27</v>
      </c>
      <c r="E4128" t="s">
        <v>149</v>
      </c>
      <c r="F4128" t="s">
        <v>38</v>
      </c>
      <c r="G4128" t="s">
        <v>22</v>
      </c>
      <c r="H4128" s="1">
        <v>44756</v>
      </c>
    </row>
    <row r="4129" spans="1:8">
      <c r="A4129" t="s">
        <v>8266</v>
      </c>
      <c r="B4129" t="s">
        <v>8267</v>
      </c>
      <c r="C4129" t="s">
        <v>31</v>
      </c>
      <c r="D4129">
        <v>61</v>
      </c>
      <c r="E4129" t="s">
        <v>37</v>
      </c>
      <c r="F4129" t="s">
        <v>38</v>
      </c>
      <c r="G4129" t="s">
        <v>22</v>
      </c>
      <c r="H4129" s="1">
        <v>46004</v>
      </c>
    </row>
    <row r="4130" spans="1:8">
      <c r="A4130" t="s">
        <v>8268</v>
      </c>
      <c r="B4130" t="s">
        <v>8269</v>
      </c>
      <c r="C4130" t="s">
        <v>10</v>
      </c>
      <c r="D4130">
        <v>43</v>
      </c>
      <c r="E4130" t="s">
        <v>101</v>
      </c>
      <c r="F4130" t="s">
        <v>21</v>
      </c>
      <c r="G4130" t="s">
        <v>22</v>
      </c>
      <c r="H4130" s="1">
        <v>44906</v>
      </c>
    </row>
    <row r="4131" spans="1:8">
      <c r="A4131" t="s">
        <v>8270</v>
      </c>
      <c r="B4131" t="s">
        <v>4496</v>
      </c>
      <c r="C4131" t="s">
        <v>31</v>
      </c>
      <c r="D4131">
        <v>70</v>
      </c>
      <c r="E4131" t="s">
        <v>134</v>
      </c>
      <c r="F4131" t="s">
        <v>28</v>
      </c>
      <c r="G4131" t="s">
        <v>12</v>
      </c>
      <c r="H4131" s="1">
        <v>45040</v>
      </c>
    </row>
    <row r="4132" spans="1:8">
      <c r="A4132" t="s">
        <v>8271</v>
      </c>
      <c r="B4132" t="s">
        <v>8272</v>
      </c>
      <c r="C4132" t="s">
        <v>10</v>
      </c>
      <c r="D4132">
        <v>61</v>
      </c>
      <c r="E4132" t="s">
        <v>91</v>
      </c>
      <c r="F4132" t="s">
        <v>92</v>
      </c>
      <c r="G4132" t="s">
        <v>78</v>
      </c>
      <c r="H4132" s="1">
        <v>45992</v>
      </c>
    </row>
    <row r="4133" spans="1:8">
      <c r="A4133" t="s">
        <v>8273</v>
      </c>
      <c r="B4133" t="s">
        <v>8274</v>
      </c>
      <c r="C4133" t="s">
        <v>10</v>
      </c>
      <c r="D4133">
        <v>29</v>
      </c>
      <c r="E4133" t="s">
        <v>15</v>
      </c>
      <c r="F4133" t="s">
        <v>16</v>
      </c>
      <c r="G4133" t="s">
        <v>17</v>
      </c>
      <c r="H4133" s="1">
        <v>44731</v>
      </c>
    </row>
    <row r="4134" spans="1:8">
      <c r="A4134" t="s">
        <v>8275</v>
      </c>
      <c r="B4134" t="s">
        <v>8276</v>
      </c>
      <c r="C4134" t="s">
        <v>31</v>
      </c>
      <c r="D4134">
        <v>21</v>
      </c>
      <c r="E4134" t="s">
        <v>37</v>
      </c>
      <c r="F4134" t="s">
        <v>38</v>
      </c>
      <c r="G4134" t="s">
        <v>22</v>
      </c>
      <c r="H4134" s="1">
        <v>45720</v>
      </c>
    </row>
    <row r="4135" spans="1:8">
      <c r="A4135" t="s">
        <v>8277</v>
      </c>
      <c r="B4135" t="s">
        <v>8278</v>
      </c>
      <c r="C4135" t="s">
        <v>10</v>
      </c>
      <c r="D4135">
        <v>23</v>
      </c>
      <c r="E4135" t="s">
        <v>41</v>
      </c>
      <c r="F4135" t="s">
        <v>42</v>
      </c>
      <c r="G4135" t="s">
        <v>17</v>
      </c>
      <c r="H4135" s="1">
        <v>45994</v>
      </c>
    </row>
    <row r="4136" spans="1:8">
      <c r="A4136" t="s">
        <v>8279</v>
      </c>
      <c r="B4136" t="s">
        <v>8280</v>
      </c>
      <c r="C4136" t="s">
        <v>10</v>
      </c>
      <c r="D4136">
        <v>40</v>
      </c>
      <c r="E4136" t="s">
        <v>37</v>
      </c>
      <c r="F4136" t="s">
        <v>38</v>
      </c>
      <c r="G4136" t="s">
        <v>22</v>
      </c>
      <c r="H4136" s="1">
        <v>45001</v>
      </c>
    </row>
    <row r="4137" spans="1:8">
      <c r="A4137" t="s">
        <v>8281</v>
      </c>
      <c r="B4137" t="s">
        <v>8282</v>
      </c>
      <c r="C4137" t="s">
        <v>31</v>
      </c>
      <c r="D4137">
        <v>58</v>
      </c>
      <c r="E4137" t="s">
        <v>128</v>
      </c>
      <c r="F4137" t="s">
        <v>129</v>
      </c>
      <c r="G4137" t="s">
        <v>78</v>
      </c>
      <c r="H4137" s="1">
        <v>45093</v>
      </c>
    </row>
    <row r="4138" spans="1:8">
      <c r="A4138" t="s">
        <v>8283</v>
      </c>
      <c r="B4138" t="s">
        <v>8284</v>
      </c>
      <c r="C4138" t="s">
        <v>31</v>
      </c>
      <c r="D4138">
        <v>36</v>
      </c>
      <c r="E4138" t="s">
        <v>91</v>
      </c>
      <c r="F4138" t="s">
        <v>92</v>
      </c>
      <c r="G4138" t="s">
        <v>78</v>
      </c>
      <c r="H4138" s="1">
        <v>44627</v>
      </c>
    </row>
    <row r="4139" spans="1:8">
      <c r="A4139" t="s">
        <v>8285</v>
      </c>
      <c r="B4139" t="s">
        <v>8286</v>
      </c>
      <c r="C4139" t="s">
        <v>31</v>
      </c>
      <c r="D4139">
        <v>63</v>
      </c>
      <c r="E4139" t="s">
        <v>41</v>
      </c>
      <c r="F4139" t="s">
        <v>42</v>
      </c>
      <c r="G4139" t="s">
        <v>17</v>
      </c>
      <c r="H4139" s="1">
        <v>44766</v>
      </c>
    </row>
    <row r="4140" spans="1:8">
      <c r="A4140" t="s">
        <v>8287</v>
      </c>
      <c r="B4140" t="s">
        <v>8288</v>
      </c>
      <c r="C4140" t="s">
        <v>10</v>
      </c>
      <c r="D4140">
        <v>40</v>
      </c>
      <c r="E4140" t="s">
        <v>34</v>
      </c>
      <c r="F4140" t="s">
        <v>16</v>
      </c>
      <c r="G4140" t="s">
        <v>17</v>
      </c>
      <c r="H4140" s="1">
        <v>45511</v>
      </c>
    </row>
    <row r="4141" spans="1:8">
      <c r="A4141" t="s">
        <v>8289</v>
      </c>
      <c r="B4141" t="s">
        <v>8290</v>
      </c>
      <c r="C4141" t="s">
        <v>31</v>
      </c>
      <c r="D4141">
        <v>59</v>
      </c>
      <c r="E4141" t="s">
        <v>27</v>
      </c>
      <c r="F4141" t="s">
        <v>28</v>
      </c>
      <c r="G4141" t="s">
        <v>12</v>
      </c>
      <c r="H4141" s="1">
        <v>45942</v>
      </c>
    </row>
    <row r="4142" spans="1:8">
      <c r="A4142" t="s">
        <v>8291</v>
      </c>
      <c r="B4142" t="s">
        <v>8292</v>
      </c>
      <c r="C4142" t="s">
        <v>10</v>
      </c>
      <c r="D4142">
        <v>21</v>
      </c>
      <c r="E4142" t="s">
        <v>34</v>
      </c>
      <c r="F4142" t="s">
        <v>16</v>
      </c>
      <c r="G4142" t="s">
        <v>17</v>
      </c>
      <c r="H4142" s="1">
        <v>45926</v>
      </c>
    </row>
    <row r="4143" spans="1:8">
      <c r="A4143" t="s">
        <v>8293</v>
      </c>
      <c r="B4143" t="s">
        <v>8294</v>
      </c>
      <c r="C4143" t="s">
        <v>10</v>
      </c>
      <c r="D4143">
        <v>37</v>
      </c>
      <c r="E4143" t="s">
        <v>41</v>
      </c>
      <c r="F4143" t="s">
        <v>42</v>
      </c>
      <c r="G4143" t="s">
        <v>17</v>
      </c>
      <c r="H4143" s="1">
        <v>45151</v>
      </c>
    </row>
    <row r="4144" spans="1:8">
      <c r="A4144" t="s">
        <v>8295</v>
      </c>
      <c r="B4144" t="s">
        <v>8296</v>
      </c>
      <c r="C4144" t="s">
        <v>10</v>
      </c>
      <c r="D4144">
        <v>18</v>
      </c>
      <c r="E4144" t="s">
        <v>11</v>
      </c>
      <c r="F4144" t="s">
        <v>11</v>
      </c>
      <c r="G4144" t="s">
        <v>12</v>
      </c>
      <c r="H4144" s="1">
        <v>44978</v>
      </c>
    </row>
    <row r="4145" spans="1:8">
      <c r="A4145" t="s">
        <v>8297</v>
      </c>
      <c r="B4145" t="s">
        <v>8298</v>
      </c>
      <c r="C4145" t="s">
        <v>10</v>
      </c>
      <c r="D4145">
        <v>45</v>
      </c>
      <c r="E4145" t="s">
        <v>34</v>
      </c>
      <c r="F4145" t="s">
        <v>16</v>
      </c>
      <c r="G4145" t="s">
        <v>17</v>
      </c>
      <c r="H4145" s="1">
        <v>44626</v>
      </c>
    </row>
    <row r="4146" spans="1:8">
      <c r="A4146" t="s">
        <v>8299</v>
      </c>
      <c r="B4146" t="s">
        <v>8300</v>
      </c>
      <c r="C4146" t="s">
        <v>31</v>
      </c>
      <c r="D4146">
        <v>22</v>
      </c>
      <c r="E4146" t="s">
        <v>218</v>
      </c>
      <c r="F4146" t="s">
        <v>219</v>
      </c>
      <c r="G4146" t="s">
        <v>17</v>
      </c>
      <c r="H4146" s="1">
        <v>45992</v>
      </c>
    </row>
    <row r="4147" spans="1:8">
      <c r="A4147" t="s">
        <v>8301</v>
      </c>
      <c r="B4147" t="s">
        <v>8302</v>
      </c>
      <c r="C4147" t="s">
        <v>10</v>
      </c>
      <c r="D4147">
        <v>32</v>
      </c>
      <c r="E4147" t="s">
        <v>45</v>
      </c>
      <c r="F4147" t="s">
        <v>46</v>
      </c>
      <c r="G4147" t="s">
        <v>17</v>
      </c>
      <c r="H4147" s="1">
        <v>45845</v>
      </c>
    </row>
    <row r="4148" spans="1:8">
      <c r="A4148" t="s">
        <v>8303</v>
      </c>
      <c r="B4148" t="s">
        <v>8304</v>
      </c>
      <c r="C4148" t="s">
        <v>10</v>
      </c>
      <c r="D4148">
        <v>52</v>
      </c>
      <c r="E4148" t="s">
        <v>91</v>
      </c>
      <c r="F4148" t="s">
        <v>92</v>
      </c>
      <c r="G4148" t="s">
        <v>78</v>
      </c>
      <c r="H4148" s="1">
        <v>45822</v>
      </c>
    </row>
    <row r="4149" spans="1:8">
      <c r="A4149" t="s">
        <v>8305</v>
      </c>
      <c r="B4149" t="s">
        <v>8306</v>
      </c>
      <c r="C4149" t="s">
        <v>31</v>
      </c>
      <c r="D4149">
        <v>27</v>
      </c>
      <c r="E4149" t="s">
        <v>101</v>
      </c>
      <c r="F4149" t="s">
        <v>21</v>
      </c>
      <c r="G4149" t="s">
        <v>22</v>
      </c>
      <c r="H4149" s="1">
        <v>45327</v>
      </c>
    </row>
    <row r="4150" spans="1:8">
      <c r="A4150" t="s">
        <v>8307</v>
      </c>
      <c r="B4150" t="s">
        <v>8308</v>
      </c>
      <c r="C4150" t="s">
        <v>10</v>
      </c>
      <c r="D4150">
        <v>21</v>
      </c>
      <c r="E4150" t="s">
        <v>41</v>
      </c>
      <c r="F4150" t="s">
        <v>42</v>
      </c>
      <c r="G4150" t="s">
        <v>17</v>
      </c>
      <c r="H4150" s="1">
        <v>44706</v>
      </c>
    </row>
    <row r="4151" spans="1:8">
      <c r="A4151" t="s">
        <v>8309</v>
      </c>
      <c r="B4151" t="s">
        <v>8310</v>
      </c>
      <c r="C4151" t="s">
        <v>10</v>
      </c>
      <c r="D4151">
        <v>59</v>
      </c>
      <c r="E4151" t="s">
        <v>149</v>
      </c>
      <c r="F4151" t="s">
        <v>38</v>
      </c>
      <c r="G4151" t="s">
        <v>22</v>
      </c>
      <c r="H4151" s="1">
        <v>45728</v>
      </c>
    </row>
    <row r="4152" spans="1:8">
      <c r="A4152" t="s">
        <v>8311</v>
      </c>
      <c r="B4152" t="s">
        <v>8312</v>
      </c>
      <c r="C4152" t="s">
        <v>10</v>
      </c>
      <c r="D4152">
        <v>22</v>
      </c>
      <c r="E4152" t="s">
        <v>218</v>
      </c>
      <c r="F4152" t="s">
        <v>219</v>
      </c>
      <c r="G4152" t="s">
        <v>17</v>
      </c>
      <c r="H4152" s="1">
        <v>45439</v>
      </c>
    </row>
    <row r="4153" spans="1:8">
      <c r="A4153" t="s">
        <v>8313</v>
      </c>
      <c r="B4153" t="s">
        <v>8314</v>
      </c>
      <c r="C4153" t="s">
        <v>31</v>
      </c>
      <c r="D4153">
        <v>20</v>
      </c>
      <c r="E4153" t="s">
        <v>149</v>
      </c>
      <c r="F4153" t="s">
        <v>38</v>
      </c>
      <c r="G4153" t="s">
        <v>22</v>
      </c>
      <c r="H4153" s="1">
        <v>45539</v>
      </c>
    </row>
    <row r="4154" spans="1:8">
      <c r="A4154" t="s">
        <v>8315</v>
      </c>
      <c r="B4154" t="s">
        <v>8316</v>
      </c>
      <c r="C4154" t="s">
        <v>31</v>
      </c>
      <c r="D4154">
        <v>62</v>
      </c>
      <c r="E4154" t="s">
        <v>63</v>
      </c>
      <c r="F4154" t="s">
        <v>64</v>
      </c>
      <c r="G4154" t="s">
        <v>12</v>
      </c>
      <c r="H4154" s="1">
        <v>45542</v>
      </c>
    </row>
    <row r="4155" spans="1:8">
      <c r="A4155" t="s">
        <v>8317</v>
      </c>
      <c r="B4155" t="s">
        <v>8318</v>
      </c>
      <c r="C4155" t="s">
        <v>10</v>
      </c>
      <c r="D4155">
        <v>54</v>
      </c>
      <c r="E4155" t="s">
        <v>63</v>
      </c>
      <c r="F4155" t="s">
        <v>64</v>
      </c>
      <c r="G4155" t="s">
        <v>12</v>
      </c>
      <c r="H4155" s="1">
        <v>45918</v>
      </c>
    </row>
    <row r="4156" spans="1:8">
      <c r="A4156" t="s">
        <v>8319</v>
      </c>
      <c r="B4156" t="s">
        <v>8320</v>
      </c>
      <c r="C4156" t="s">
        <v>31</v>
      </c>
      <c r="D4156">
        <v>32</v>
      </c>
      <c r="E4156" t="s">
        <v>91</v>
      </c>
      <c r="F4156" t="s">
        <v>92</v>
      </c>
      <c r="G4156" t="s">
        <v>78</v>
      </c>
      <c r="H4156" s="1">
        <v>45751</v>
      </c>
    </row>
    <row r="4157" spans="1:8">
      <c r="A4157" t="s">
        <v>8321</v>
      </c>
      <c r="B4157" t="s">
        <v>8322</v>
      </c>
      <c r="C4157" t="s">
        <v>31</v>
      </c>
      <c r="D4157">
        <v>42</v>
      </c>
      <c r="E4157" t="s">
        <v>41</v>
      </c>
      <c r="F4157" t="s">
        <v>42</v>
      </c>
      <c r="G4157" t="s">
        <v>17</v>
      </c>
      <c r="H4157" s="1">
        <v>45567</v>
      </c>
    </row>
    <row r="4158" spans="1:8">
      <c r="A4158" t="s">
        <v>8323</v>
      </c>
      <c r="B4158" t="s">
        <v>8324</v>
      </c>
      <c r="C4158" t="s">
        <v>31</v>
      </c>
      <c r="D4158">
        <v>18</v>
      </c>
      <c r="E4158" t="s">
        <v>63</v>
      </c>
      <c r="F4158" t="s">
        <v>64</v>
      </c>
      <c r="G4158" t="s">
        <v>12</v>
      </c>
      <c r="H4158" s="1">
        <v>45246</v>
      </c>
    </row>
    <row r="4159" spans="1:8">
      <c r="A4159" t="s">
        <v>8325</v>
      </c>
      <c r="B4159" t="s">
        <v>8326</v>
      </c>
      <c r="C4159" t="s">
        <v>10</v>
      </c>
      <c r="D4159">
        <v>49</v>
      </c>
      <c r="E4159" t="s">
        <v>45</v>
      </c>
      <c r="F4159" t="s">
        <v>46</v>
      </c>
      <c r="G4159" t="s">
        <v>17</v>
      </c>
      <c r="H4159" s="1">
        <v>44584</v>
      </c>
    </row>
    <row r="4160" spans="1:8">
      <c r="A4160" t="s">
        <v>8327</v>
      </c>
      <c r="B4160" t="s">
        <v>8328</v>
      </c>
      <c r="C4160" t="s">
        <v>31</v>
      </c>
      <c r="D4160">
        <v>26</v>
      </c>
      <c r="E4160" t="s">
        <v>41</v>
      </c>
      <c r="F4160" t="s">
        <v>42</v>
      </c>
      <c r="G4160" t="s">
        <v>17</v>
      </c>
      <c r="H4160" s="1">
        <v>45203</v>
      </c>
    </row>
    <row r="4161" spans="1:8">
      <c r="A4161" t="s">
        <v>8329</v>
      </c>
      <c r="B4161" t="s">
        <v>8330</v>
      </c>
      <c r="C4161" t="s">
        <v>10</v>
      </c>
      <c r="D4161">
        <v>47</v>
      </c>
      <c r="E4161" t="s">
        <v>76</v>
      </c>
      <c r="F4161" t="s">
        <v>77</v>
      </c>
      <c r="G4161" t="s">
        <v>78</v>
      </c>
      <c r="H4161" s="1">
        <v>45147</v>
      </c>
    </row>
    <row r="4162" spans="1:8">
      <c r="A4162" t="s">
        <v>8331</v>
      </c>
      <c r="B4162" t="s">
        <v>8332</v>
      </c>
      <c r="C4162" t="s">
        <v>10</v>
      </c>
      <c r="D4162">
        <v>58</v>
      </c>
      <c r="E4162" t="s">
        <v>101</v>
      </c>
      <c r="F4162" t="s">
        <v>21</v>
      </c>
      <c r="G4162" t="s">
        <v>22</v>
      </c>
      <c r="H4162" s="1">
        <v>45754</v>
      </c>
    </row>
    <row r="4163" spans="1:8">
      <c r="A4163" t="s">
        <v>8333</v>
      </c>
      <c r="B4163" t="s">
        <v>8334</v>
      </c>
      <c r="C4163" t="s">
        <v>10</v>
      </c>
      <c r="D4163">
        <v>32</v>
      </c>
      <c r="E4163" t="s">
        <v>218</v>
      </c>
      <c r="F4163" t="s">
        <v>219</v>
      </c>
      <c r="G4163" t="s">
        <v>17</v>
      </c>
      <c r="H4163" s="1">
        <v>46000</v>
      </c>
    </row>
    <row r="4164" spans="1:8">
      <c r="A4164" t="s">
        <v>8335</v>
      </c>
      <c r="B4164" t="s">
        <v>8336</v>
      </c>
      <c r="C4164" t="s">
        <v>10</v>
      </c>
      <c r="D4164">
        <v>22</v>
      </c>
      <c r="E4164" t="s">
        <v>134</v>
      </c>
      <c r="F4164" t="s">
        <v>28</v>
      </c>
      <c r="G4164" t="s">
        <v>12</v>
      </c>
      <c r="H4164" s="1">
        <v>45239</v>
      </c>
    </row>
    <row r="4165" spans="1:8">
      <c r="A4165" t="s">
        <v>8337</v>
      </c>
      <c r="B4165" t="s">
        <v>8338</v>
      </c>
      <c r="C4165" t="s">
        <v>10</v>
      </c>
      <c r="D4165">
        <v>59</v>
      </c>
      <c r="E4165" t="s">
        <v>15</v>
      </c>
      <c r="F4165" t="s">
        <v>16</v>
      </c>
      <c r="G4165" t="s">
        <v>17</v>
      </c>
      <c r="H4165" s="1">
        <v>45732</v>
      </c>
    </row>
    <row r="4166" spans="1:8">
      <c r="A4166" t="s">
        <v>8339</v>
      </c>
      <c r="B4166" t="s">
        <v>8340</v>
      </c>
      <c r="C4166" t="s">
        <v>10</v>
      </c>
      <c r="D4166">
        <v>40</v>
      </c>
      <c r="E4166" t="s">
        <v>112</v>
      </c>
      <c r="F4166" t="s">
        <v>113</v>
      </c>
      <c r="G4166" t="s">
        <v>78</v>
      </c>
      <c r="H4166" s="1">
        <v>45948</v>
      </c>
    </row>
    <row r="4167" spans="1:8">
      <c r="A4167" t="s">
        <v>8341</v>
      </c>
      <c r="B4167" t="s">
        <v>8342</v>
      </c>
      <c r="C4167" t="s">
        <v>31</v>
      </c>
      <c r="D4167">
        <v>50</v>
      </c>
      <c r="E4167" t="s">
        <v>218</v>
      </c>
      <c r="F4167" t="s">
        <v>219</v>
      </c>
      <c r="G4167" t="s">
        <v>17</v>
      </c>
      <c r="H4167" s="1">
        <v>45700</v>
      </c>
    </row>
    <row r="4168" spans="1:8">
      <c r="A4168" t="s">
        <v>8343</v>
      </c>
      <c r="B4168" t="s">
        <v>8344</v>
      </c>
      <c r="C4168" t="s">
        <v>10</v>
      </c>
      <c r="D4168">
        <v>23</v>
      </c>
      <c r="E4168" t="s">
        <v>15</v>
      </c>
      <c r="F4168" t="s">
        <v>16</v>
      </c>
      <c r="G4168" t="s">
        <v>17</v>
      </c>
      <c r="H4168" s="1">
        <v>44872</v>
      </c>
    </row>
    <row r="4169" spans="1:8">
      <c r="A4169" t="s">
        <v>8345</v>
      </c>
      <c r="B4169" t="s">
        <v>8346</v>
      </c>
      <c r="C4169" t="s">
        <v>10</v>
      </c>
      <c r="D4169">
        <v>57</v>
      </c>
      <c r="E4169" t="s">
        <v>149</v>
      </c>
      <c r="F4169" t="s">
        <v>38</v>
      </c>
      <c r="G4169" t="s">
        <v>22</v>
      </c>
      <c r="H4169" s="1">
        <v>45012</v>
      </c>
    </row>
    <row r="4170" spans="1:8">
      <c r="A4170" t="s">
        <v>8347</v>
      </c>
      <c r="B4170" t="s">
        <v>8348</v>
      </c>
      <c r="C4170" t="s">
        <v>31</v>
      </c>
      <c r="D4170">
        <v>47</v>
      </c>
      <c r="E4170" t="s">
        <v>91</v>
      </c>
      <c r="F4170" t="s">
        <v>92</v>
      </c>
      <c r="G4170" t="s">
        <v>78</v>
      </c>
      <c r="H4170" s="1">
        <v>45951</v>
      </c>
    </row>
    <row r="4171" spans="1:8">
      <c r="A4171" t="s">
        <v>8349</v>
      </c>
      <c r="B4171" t="s">
        <v>8350</v>
      </c>
      <c r="C4171" t="s">
        <v>31</v>
      </c>
      <c r="D4171">
        <v>38</v>
      </c>
      <c r="E4171" t="s">
        <v>60</v>
      </c>
      <c r="F4171" t="s">
        <v>21</v>
      </c>
      <c r="G4171" t="s">
        <v>22</v>
      </c>
      <c r="H4171" s="1">
        <v>45701</v>
      </c>
    </row>
    <row r="4172" spans="1:8">
      <c r="A4172" t="s">
        <v>8351</v>
      </c>
      <c r="B4172" t="s">
        <v>8352</v>
      </c>
      <c r="C4172" t="s">
        <v>10</v>
      </c>
      <c r="D4172">
        <v>55</v>
      </c>
      <c r="E4172" t="s">
        <v>76</v>
      </c>
      <c r="F4172" t="s">
        <v>77</v>
      </c>
      <c r="G4172" t="s">
        <v>78</v>
      </c>
      <c r="H4172" s="1">
        <v>44741</v>
      </c>
    </row>
    <row r="4173" spans="1:8">
      <c r="A4173" t="s">
        <v>8353</v>
      </c>
      <c r="B4173" t="s">
        <v>8354</v>
      </c>
      <c r="C4173" t="s">
        <v>10</v>
      </c>
      <c r="D4173">
        <v>43</v>
      </c>
      <c r="E4173" t="s">
        <v>69</v>
      </c>
      <c r="F4173" t="s">
        <v>69</v>
      </c>
      <c r="G4173" t="s">
        <v>12</v>
      </c>
      <c r="H4173" s="1">
        <v>45200</v>
      </c>
    </row>
    <row r="4174" spans="1:8">
      <c r="A4174" t="s">
        <v>8355</v>
      </c>
      <c r="B4174" t="s">
        <v>8356</v>
      </c>
      <c r="C4174" t="s">
        <v>10</v>
      </c>
      <c r="D4174">
        <v>69</v>
      </c>
      <c r="E4174" t="s">
        <v>34</v>
      </c>
      <c r="F4174" t="s">
        <v>16</v>
      </c>
      <c r="G4174" t="s">
        <v>17</v>
      </c>
      <c r="H4174" s="1">
        <v>45420</v>
      </c>
    </row>
    <row r="4175" spans="1:8">
      <c r="A4175" t="s">
        <v>8357</v>
      </c>
      <c r="B4175" t="s">
        <v>8358</v>
      </c>
      <c r="C4175" t="s">
        <v>31</v>
      </c>
      <c r="D4175">
        <v>40</v>
      </c>
      <c r="E4175" t="s">
        <v>34</v>
      </c>
      <c r="F4175" t="s">
        <v>16</v>
      </c>
      <c r="G4175" t="s">
        <v>17</v>
      </c>
      <c r="H4175" s="1">
        <v>45499</v>
      </c>
    </row>
    <row r="4176" spans="1:8">
      <c r="A4176" t="s">
        <v>8359</v>
      </c>
      <c r="B4176" t="s">
        <v>8360</v>
      </c>
      <c r="C4176" t="s">
        <v>31</v>
      </c>
      <c r="D4176">
        <v>47</v>
      </c>
      <c r="E4176" t="s">
        <v>20</v>
      </c>
      <c r="F4176" t="s">
        <v>21</v>
      </c>
      <c r="G4176" t="s">
        <v>22</v>
      </c>
      <c r="H4176" s="1">
        <v>45085</v>
      </c>
    </row>
    <row r="4177" spans="1:8">
      <c r="A4177" t="s">
        <v>8361</v>
      </c>
      <c r="B4177" t="s">
        <v>8362</v>
      </c>
      <c r="C4177" t="s">
        <v>10</v>
      </c>
      <c r="D4177">
        <v>46</v>
      </c>
      <c r="E4177" t="s">
        <v>128</v>
      </c>
      <c r="F4177" t="s">
        <v>129</v>
      </c>
      <c r="G4177" t="s">
        <v>78</v>
      </c>
      <c r="H4177" s="1">
        <v>44820</v>
      </c>
    </row>
    <row r="4178" spans="1:8">
      <c r="A4178" t="s">
        <v>8363</v>
      </c>
      <c r="B4178" t="s">
        <v>8364</v>
      </c>
      <c r="C4178" t="s">
        <v>10</v>
      </c>
      <c r="D4178">
        <v>63</v>
      </c>
      <c r="E4178" t="s">
        <v>45</v>
      </c>
      <c r="F4178" t="s">
        <v>46</v>
      </c>
      <c r="G4178" t="s">
        <v>17</v>
      </c>
      <c r="H4178" s="1">
        <v>44893</v>
      </c>
    </row>
    <row r="4179" spans="1:8">
      <c r="A4179" t="s">
        <v>8365</v>
      </c>
      <c r="B4179" t="s">
        <v>8366</v>
      </c>
      <c r="C4179" t="s">
        <v>10</v>
      </c>
      <c r="D4179">
        <v>45</v>
      </c>
      <c r="E4179" t="s">
        <v>11</v>
      </c>
      <c r="F4179" t="s">
        <v>11</v>
      </c>
      <c r="G4179" t="s">
        <v>12</v>
      </c>
      <c r="H4179" s="1">
        <v>44932</v>
      </c>
    </row>
    <row r="4180" spans="1:8">
      <c r="A4180" t="s">
        <v>8367</v>
      </c>
      <c r="B4180" t="s">
        <v>8368</v>
      </c>
      <c r="C4180" t="s">
        <v>10</v>
      </c>
      <c r="D4180">
        <v>22</v>
      </c>
      <c r="E4180" t="s">
        <v>63</v>
      </c>
      <c r="F4180" t="s">
        <v>64</v>
      </c>
      <c r="G4180" t="s">
        <v>12</v>
      </c>
      <c r="H4180" s="1">
        <v>44764</v>
      </c>
    </row>
    <row r="4181" spans="1:8">
      <c r="A4181" t="s">
        <v>8369</v>
      </c>
      <c r="B4181" t="s">
        <v>8370</v>
      </c>
      <c r="C4181" t="s">
        <v>31</v>
      </c>
      <c r="D4181">
        <v>64</v>
      </c>
      <c r="E4181" t="s">
        <v>60</v>
      </c>
      <c r="F4181" t="s">
        <v>21</v>
      </c>
      <c r="G4181" t="s">
        <v>22</v>
      </c>
      <c r="H4181" s="1">
        <v>44816</v>
      </c>
    </row>
    <row r="4182" spans="1:8">
      <c r="A4182" t="s">
        <v>8371</v>
      </c>
      <c r="B4182" t="s">
        <v>8372</v>
      </c>
      <c r="C4182" t="s">
        <v>10</v>
      </c>
      <c r="D4182">
        <v>45</v>
      </c>
      <c r="E4182" t="s">
        <v>45</v>
      </c>
      <c r="F4182" t="s">
        <v>46</v>
      </c>
      <c r="G4182" t="s">
        <v>17</v>
      </c>
      <c r="H4182" s="1">
        <v>45720</v>
      </c>
    </row>
    <row r="4183" spans="1:8">
      <c r="A4183" t="s">
        <v>8373</v>
      </c>
      <c r="B4183" t="s">
        <v>8374</v>
      </c>
      <c r="C4183" t="s">
        <v>31</v>
      </c>
      <c r="D4183">
        <v>31</v>
      </c>
      <c r="E4183" t="s">
        <v>15</v>
      </c>
      <c r="F4183" t="s">
        <v>16</v>
      </c>
      <c r="G4183" t="s">
        <v>17</v>
      </c>
      <c r="H4183" s="1">
        <v>45592</v>
      </c>
    </row>
    <row r="4184" spans="1:8">
      <c r="A4184" t="s">
        <v>8375</v>
      </c>
      <c r="B4184" t="s">
        <v>8376</v>
      </c>
      <c r="C4184" t="s">
        <v>10</v>
      </c>
      <c r="D4184">
        <v>64</v>
      </c>
      <c r="E4184" t="s">
        <v>37</v>
      </c>
      <c r="F4184" t="s">
        <v>38</v>
      </c>
      <c r="G4184" t="s">
        <v>22</v>
      </c>
      <c r="H4184" s="1">
        <v>45688</v>
      </c>
    </row>
    <row r="4185" spans="1:8">
      <c r="A4185" t="s">
        <v>8377</v>
      </c>
      <c r="B4185" t="s">
        <v>8378</v>
      </c>
      <c r="C4185" t="s">
        <v>31</v>
      </c>
      <c r="D4185">
        <v>62</v>
      </c>
      <c r="E4185" t="s">
        <v>134</v>
      </c>
      <c r="F4185" t="s">
        <v>28</v>
      </c>
      <c r="G4185" t="s">
        <v>12</v>
      </c>
      <c r="H4185" s="1">
        <v>45727</v>
      </c>
    </row>
    <row r="4186" spans="1:8">
      <c r="A4186" t="s">
        <v>8379</v>
      </c>
      <c r="B4186" t="s">
        <v>8380</v>
      </c>
      <c r="C4186" t="s">
        <v>10</v>
      </c>
      <c r="D4186">
        <v>42</v>
      </c>
      <c r="E4186" t="s">
        <v>76</v>
      </c>
      <c r="F4186" t="s">
        <v>77</v>
      </c>
      <c r="G4186" t="s">
        <v>78</v>
      </c>
      <c r="H4186" s="1">
        <v>46003</v>
      </c>
    </row>
    <row r="4187" spans="1:8">
      <c r="A4187" t="s">
        <v>8381</v>
      </c>
      <c r="B4187" t="s">
        <v>8382</v>
      </c>
      <c r="C4187" t="s">
        <v>10</v>
      </c>
      <c r="D4187">
        <v>66</v>
      </c>
      <c r="E4187" t="s">
        <v>20</v>
      </c>
      <c r="F4187" t="s">
        <v>21</v>
      </c>
      <c r="G4187" t="s">
        <v>22</v>
      </c>
      <c r="H4187" s="1">
        <v>46013</v>
      </c>
    </row>
    <row r="4188" spans="1:8">
      <c r="A4188" t="s">
        <v>8383</v>
      </c>
      <c r="B4188" t="s">
        <v>8384</v>
      </c>
      <c r="C4188" t="s">
        <v>31</v>
      </c>
      <c r="D4188">
        <v>52</v>
      </c>
      <c r="E4188" t="s">
        <v>91</v>
      </c>
      <c r="F4188" t="s">
        <v>92</v>
      </c>
      <c r="G4188" t="s">
        <v>78</v>
      </c>
      <c r="H4188" s="1">
        <v>45046</v>
      </c>
    </row>
    <row r="4189" spans="1:8">
      <c r="A4189" t="s">
        <v>8385</v>
      </c>
      <c r="B4189" t="s">
        <v>8386</v>
      </c>
      <c r="C4189" t="s">
        <v>10</v>
      </c>
      <c r="D4189">
        <v>53</v>
      </c>
      <c r="E4189" t="s">
        <v>27</v>
      </c>
      <c r="F4189" t="s">
        <v>28</v>
      </c>
      <c r="G4189" t="s">
        <v>12</v>
      </c>
      <c r="H4189" s="1">
        <v>45004</v>
      </c>
    </row>
    <row r="4190" spans="1:8">
      <c r="A4190" t="s">
        <v>8387</v>
      </c>
      <c r="B4190" t="s">
        <v>8388</v>
      </c>
      <c r="C4190" t="s">
        <v>31</v>
      </c>
      <c r="D4190">
        <v>29</v>
      </c>
      <c r="E4190" t="s">
        <v>128</v>
      </c>
      <c r="F4190" t="s">
        <v>129</v>
      </c>
      <c r="G4190" t="s">
        <v>78</v>
      </c>
      <c r="H4190" s="1">
        <v>44878</v>
      </c>
    </row>
    <row r="4191" spans="1:8">
      <c r="A4191" t="s">
        <v>8389</v>
      </c>
      <c r="B4191" t="s">
        <v>8390</v>
      </c>
      <c r="C4191" t="s">
        <v>31</v>
      </c>
      <c r="D4191">
        <v>21</v>
      </c>
      <c r="E4191" t="s">
        <v>134</v>
      </c>
      <c r="F4191" t="s">
        <v>28</v>
      </c>
      <c r="G4191" t="s">
        <v>12</v>
      </c>
      <c r="H4191" s="1">
        <v>45241</v>
      </c>
    </row>
    <row r="4192" spans="1:8">
      <c r="A4192" t="s">
        <v>8391</v>
      </c>
      <c r="B4192" t="s">
        <v>8392</v>
      </c>
      <c r="C4192" t="s">
        <v>10</v>
      </c>
      <c r="D4192">
        <v>64</v>
      </c>
      <c r="E4192" t="s">
        <v>27</v>
      </c>
      <c r="F4192" t="s">
        <v>28</v>
      </c>
      <c r="G4192" t="s">
        <v>12</v>
      </c>
      <c r="H4192" s="1">
        <v>44844</v>
      </c>
    </row>
    <row r="4193" spans="1:8">
      <c r="A4193" t="s">
        <v>8393</v>
      </c>
      <c r="B4193" t="s">
        <v>8394</v>
      </c>
      <c r="C4193" t="s">
        <v>10</v>
      </c>
      <c r="D4193">
        <v>29</v>
      </c>
      <c r="E4193" t="s">
        <v>63</v>
      </c>
      <c r="F4193" t="s">
        <v>64</v>
      </c>
      <c r="G4193" t="s">
        <v>12</v>
      </c>
      <c r="H4193" s="1">
        <v>44564</v>
      </c>
    </row>
    <row r="4194" spans="1:8">
      <c r="A4194" t="s">
        <v>8395</v>
      </c>
      <c r="B4194" t="s">
        <v>8396</v>
      </c>
      <c r="C4194" t="s">
        <v>10</v>
      </c>
      <c r="D4194">
        <v>58</v>
      </c>
      <c r="E4194" t="s">
        <v>60</v>
      </c>
      <c r="F4194" t="s">
        <v>21</v>
      </c>
      <c r="G4194" t="s">
        <v>22</v>
      </c>
      <c r="H4194" s="1">
        <v>45165</v>
      </c>
    </row>
    <row r="4195" spans="1:8">
      <c r="A4195" t="s">
        <v>8397</v>
      </c>
      <c r="B4195" t="s">
        <v>8398</v>
      </c>
      <c r="C4195" t="s">
        <v>10</v>
      </c>
      <c r="D4195">
        <v>21</v>
      </c>
      <c r="E4195" t="s">
        <v>76</v>
      </c>
      <c r="F4195" t="s">
        <v>77</v>
      </c>
      <c r="G4195" t="s">
        <v>78</v>
      </c>
      <c r="H4195" s="1">
        <v>44839</v>
      </c>
    </row>
    <row r="4196" spans="1:8">
      <c r="A4196" t="s">
        <v>8399</v>
      </c>
      <c r="B4196" t="s">
        <v>8400</v>
      </c>
      <c r="C4196" t="s">
        <v>31</v>
      </c>
      <c r="D4196">
        <v>35</v>
      </c>
      <c r="E4196" t="s">
        <v>45</v>
      </c>
      <c r="F4196" t="s">
        <v>46</v>
      </c>
      <c r="G4196" t="s">
        <v>17</v>
      </c>
      <c r="H4196" s="1">
        <v>45132</v>
      </c>
    </row>
    <row r="4197" spans="1:8">
      <c r="A4197" t="s">
        <v>8401</v>
      </c>
      <c r="B4197" t="s">
        <v>8402</v>
      </c>
      <c r="C4197" t="s">
        <v>10</v>
      </c>
      <c r="D4197">
        <v>22</v>
      </c>
      <c r="E4197" t="s">
        <v>63</v>
      </c>
      <c r="F4197" t="s">
        <v>64</v>
      </c>
      <c r="G4197" t="s">
        <v>12</v>
      </c>
      <c r="H4197" s="1">
        <v>45636</v>
      </c>
    </row>
    <row r="4198" spans="1:8">
      <c r="A4198" t="s">
        <v>8403</v>
      </c>
      <c r="B4198" t="s">
        <v>8404</v>
      </c>
      <c r="C4198" t="s">
        <v>10</v>
      </c>
      <c r="D4198">
        <v>62</v>
      </c>
      <c r="E4198" t="s">
        <v>37</v>
      </c>
      <c r="F4198" t="s">
        <v>38</v>
      </c>
      <c r="G4198" t="s">
        <v>22</v>
      </c>
      <c r="H4198" s="1">
        <v>45744</v>
      </c>
    </row>
    <row r="4199" spans="1:8">
      <c r="A4199" t="s">
        <v>8405</v>
      </c>
      <c r="B4199" t="s">
        <v>8406</v>
      </c>
      <c r="C4199" t="s">
        <v>10</v>
      </c>
      <c r="D4199">
        <v>26</v>
      </c>
      <c r="E4199" t="s">
        <v>34</v>
      </c>
      <c r="F4199" t="s">
        <v>16</v>
      </c>
      <c r="G4199" t="s">
        <v>17</v>
      </c>
      <c r="H4199" s="1">
        <v>45846</v>
      </c>
    </row>
    <row r="4200" spans="1:8">
      <c r="A4200" t="s">
        <v>8407</v>
      </c>
      <c r="B4200" t="s">
        <v>8408</v>
      </c>
      <c r="C4200" t="s">
        <v>31</v>
      </c>
      <c r="D4200">
        <v>63</v>
      </c>
      <c r="E4200" t="s">
        <v>34</v>
      </c>
      <c r="F4200" t="s">
        <v>16</v>
      </c>
      <c r="G4200" t="s">
        <v>17</v>
      </c>
      <c r="H4200" s="1">
        <v>44665</v>
      </c>
    </row>
    <row r="4201" spans="1:8">
      <c r="A4201" t="s">
        <v>8409</v>
      </c>
      <c r="B4201" t="s">
        <v>8410</v>
      </c>
      <c r="C4201" t="s">
        <v>10</v>
      </c>
      <c r="D4201">
        <v>63</v>
      </c>
      <c r="E4201" t="s">
        <v>63</v>
      </c>
      <c r="F4201" t="s">
        <v>64</v>
      </c>
      <c r="G4201" t="s">
        <v>12</v>
      </c>
      <c r="H4201" s="1">
        <v>44830</v>
      </c>
    </row>
    <row r="4202" spans="1:8">
      <c r="A4202" t="s">
        <v>8411</v>
      </c>
      <c r="B4202" t="s">
        <v>8412</v>
      </c>
      <c r="C4202" t="s">
        <v>10</v>
      </c>
      <c r="D4202">
        <v>33</v>
      </c>
      <c r="E4202" t="s">
        <v>37</v>
      </c>
      <c r="F4202" t="s">
        <v>38</v>
      </c>
      <c r="G4202" t="s">
        <v>22</v>
      </c>
      <c r="H4202" s="1">
        <v>44822</v>
      </c>
    </row>
    <row r="4203" spans="1:8">
      <c r="A4203" t="s">
        <v>8413</v>
      </c>
      <c r="B4203" t="s">
        <v>8414</v>
      </c>
      <c r="C4203" t="s">
        <v>10</v>
      </c>
      <c r="D4203">
        <v>50</v>
      </c>
      <c r="E4203" t="s">
        <v>101</v>
      </c>
      <c r="F4203" t="s">
        <v>21</v>
      </c>
      <c r="G4203" t="s">
        <v>22</v>
      </c>
      <c r="H4203" s="1">
        <v>44646</v>
      </c>
    </row>
    <row r="4204" spans="1:8">
      <c r="A4204" t="s">
        <v>8415</v>
      </c>
      <c r="B4204" t="s">
        <v>8416</v>
      </c>
      <c r="C4204" t="s">
        <v>31</v>
      </c>
      <c r="D4204">
        <v>34</v>
      </c>
      <c r="E4204" t="s">
        <v>45</v>
      </c>
      <c r="F4204" t="s">
        <v>46</v>
      </c>
      <c r="G4204" t="s">
        <v>17</v>
      </c>
      <c r="H4204" s="1">
        <v>44658</v>
      </c>
    </row>
    <row r="4205" spans="1:8">
      <c r="A4205" t="s">
        <v>8417</v>
      </c>
      <c r="B4205" t="s">
        <v>8418</v>
      </c>
      <c r="C4205" t="s">
        <v>10</v>
      </c>
      <c r="D4205">
        <v>40</v>
      </c>
      <c r="E4205" t="s">
        <v>20</v>
      </c>
      <c r="F4205" t="s">
        <v>21</v>
      </c>
      <c r="G4205" t="s">
        <v>22</v>
      </c>
      <c r="H4205" s="1">
        <v>45959</v>
      </c>
    </row>
    <row r="4206" spans="1:8">
      <c r="A4206" t="s">
        <v>8419</v>
      </c>
      <c r="B4206" t="s">
        <v>6108</v>
      </c>
      <c r="C4206" t="s">
        <v>31</v>
      </c>
      <c r="D4206">
        <v>47</v>
      </c>
      <c r="E4206" t="s">
        <v>27</v>
      </c>
      <c r="F4206" t="s">
        <v>28</v>
      </c>
      <c r="G4206" t="s">
        <v>12</v>
      </c>
      <c r="H4206" s="1">
        <v>45034</v>
      </c>
    </row>
    <row r="4207" spans="1:8">
      <c r="A4207" t="s">
        <v>8420</v>
      </c>
      <c r="B4207" t="s">
        <v>8421</v>
      </c>
      <c r="C4207" t="s">
        <v>10</v>
      </c>
      <c r="D4207">
        <v>57</v>
      </c>
      <c r="E4207" t="s">
        <v>149</v>
      </c>
      <c r="F4207" t="s">
        <v>38</v>
      </c>
      <c r="G4207" t="s">
        <v>22</v>
      </c>
      <c r="H4207" s="1">
        <v>45759</v>
      </c>
    </row>
    <row r="4208" spans="1:8">
      <c r="A4208" t="s">
        <v>8422</v>
      </c>
      <c r="B4208" t="s">
        <v>8423</v>
      </c>
      <c r="C4208" t="s">
        <v>10</v>
      </c>
      <c r="D4208">
        <v>59</v>
      </c>
      <c r="E4208" t="s">
        <v>101</v>
      </c>
      <c r="F4208" t="s">
        <v>21</v>
      </c>
      <c r="G4208" t="s">
        <v>22</v>
      </c>
      <c r="H4208" s="1">
        <v>44707</v>
      </c>
    </row>
    <row r="4209" spans="1:8">
      <c r="A4209" t="s">
        <v>8424</v>
      </c>
      <c r="B4209" t="s">
        <v>8425</v>
      </c>
      <c r="C4209" t="s">
        <v>31</v>
      </c>
      <c r="D4209">
        <v>61</v>
      </c>
      <c r="E4209" t="s">
        <v>218</v>
      </c>
      <c r="F4209" t="s">
        <v>219</v>
      </c>
      <c r="G4209" t="s">
        <v>17</v>
      </c>
      <c r="H4209" s="1">
        <v>44745</v>
      </c>
    </row>
    <row r="4210" spans="1:8">
      <c r="A4210" t="s">
        <v>8426</v>
      </c>
      <c r="B4210" t="s">
        <v>8427</v>
      </c>
      <c r="C4210" t="s">
        <v>31</v>
      </c>
      <c r="D4210">
        <v>42</v>
      </c>
      <c r="E4210" t="s">
        <v>87</v>
      </c>
      <c r="F4210" t="s">
        <v>88</v>
      </c>
      <c r="G4210" t="s">
        <v>78</v>
      </c>
      <c r="H4210" s="1">
        <v>45523</v>
      </c>
    </row>
    <row r="4211" spans="1:8">
      <c r="A4211" t="s">
        <v>8428</v>
      </c>
      <c r="B4211" t="s">
        <v>8429</v>
      </c>
      <c r="C4211" t="s">
        <v>10</v>
      </c>
      <c r="D4211">
        <v>25</v>
      </c>
      <c r="E4211" t="s">
        <v>87</v>
      </c>
      <c r="F4211" t="s">
        <v>88</v>
      </c>
      <c r="G4211" t="s">
        <v>78</v>
      </c>
      <c r="H4211" s="1">
        <v>44887</v>
      </c>
    </row>
    <row r="4212" spans="1:8">
      <c r="A4212" t="s">
        <v>8430</v>
      </c>
      <c r="B4212" t="s">
        <v>8431</v>
      </c>
      <c r="C4212" t="s">
        <v>10</v>
      </c>
      <c r="D4212">
        <v>65</v>
      </c>
      <c r="E4212" t="s">
        <v>87</v>
      </c>
      <c r="F4212" t="s">
        <v>88</v>
      </c>
      <c r="G4212" t="s">
        <v>78</v>
      </c>
      <c r="H4212" s="1">
        <v>45101</v>
      </c>
    </row>
    <row r="4213" spans="1:8">
      <c r="A4213" t="s">
        <v>8432</v>
      </c>
      <c r="B4213" t="s">
        <v>8433</v>
      </c>
      <c r="C4213" t="s">
        <v>31</v>
      </c>
      <c r="D4213">
        <v>43</v>
      </c>
      <c r="E4213" t="s">
        <v>37</v>
      </c>
      <c r="F4213" t="s">
        <v>38</v>
      </c>
      <c r="G4213" t="s">
        <v>22</v>
      </c>
      <c r="H4213" s="1">
        <v>44698</v>
      </c>
    </row>
    <row r="4214" spans="1:8">
      <c r="A4214" t="s">
        <v>8434</v>
      </c>
      <c r="B4214" t="s">
        <v>8435</v>
      </c>
      <c r="C4214" t="s">
        <v>10</v>
      </c>
      <c r="D4214">
        <v>25</v>
      </c>
      <c r="E4214" t="s">
        <v>218</v>
      </c>
      <c r="F4214" t="s">
        <v>219</v>
      </c>
      <c r="G4214" t="s">
        <v>17</v>
      </c>
      <c r="H4214" s="1">
        <v>44728</v>
      </c>
    </row>
    <row r="4215" spans="1:8">
      <c r="A4215" t="s">
        <v>8436</v>
      </c>
      <c r="B4215" t="s">
        <v>8437</v>
      </c>
      <c r="C4215" t="s">
        <v>10</v>
      </c>
      <c r="D4215">
        <v>41</v>
      </c>
      <c r="E4215" t="s">
        <v>20</v>
      </c>
      <c r="F4215" t="s">
        <v>21</v>
      </c>
      <c r="G4215" t="s">
        <v>22</v>
      </c>
      <c r="H4215" s="1">
        <v>45588</v>
      </c>
    </row>
    <row r="4216" spans="1:8">
      <c r="A4216" t="s">
        <v>8438</v>
      </c>
      <c r="B4216" t="s">
        <v>8439</v>
      </c>
      <c r="C4216" t="s">
        <v>31</v>
      </c>
      <c r="D4216">
        <v>47</v>
      </c>
      <c r="E4216" t="s">
        <v>37</v>
      </c>
      <c r="F4216" t="s">
        <v>38</v>
      </c>
      <c r="G4216" t="s">
        <v>22</v>
      </c>
      <c r="H4216" s="1">
        <v>45417</v>
      </c>
    </row>
    <row r="4217" spans="1:8">
      <c r="A4217" t="s">
        <v>8440</v>
      </c>
      <c r="B4217" t="s">
        <v>8441</v>
      </c>
      <c r="C4217" t="s">
        <v>10</v>
      </c>
      <c r="D4217">
        <v>62</v>
      </c>
      <c r="E4217" t="s">
        <v>87</v>
      </c>
      <c r="F4217" t="s">
        <v>88</v>
      </c>
      <c r="G4217" t="s">
        <v>78</v>
      </c>
      <c r="H4217" s="1">
        <v>45346</v>
      </c>
    </row>
    <row r="4218" spans="1:8">
      <c r="A4218" t="s">
        <v>8442</v>
      </c>
      <c r="B4218" t="s">
        <v>8443</v>
      </c>
      <c r="C4218" t="s">
        <v>31</v>
      </c>
      <c r="D4218">
        <v>41</v>
      </c>
      <c r="E4218" t="s">
        <v>101</v>
      </c>
      <c r="F4218" t="s">
        <v>21</v>
      </c>
      <c r="G4218" t="s">
        <v>22</v>
      </c>
      <c r="H4218" s="1">
        <v>44734</v>
      </c>
    </row>
    <row r="4219" spans="1:8">
      <c r="A4219" t="s">
        <v>8444</v>
      </c>
      <c r="B4219" t="s">
        <v>8445</v>
      </c>
      <c r="C4219" t="s">
        <v>31</v>
      </c>
      <c r="D4219">
        <v>67</v>
      </c>
      <c r="E4219" t="s">
        <v>37</v>
      </c>
      <c r="F4219" t="s">
        <v>38</v>
      </c>
      <c r="G4219" t="s">
        <v>22</v>
      </c>
      <c r="H4219" s="1">
        <v>45752</v>
      </c>
    </row>
    <row r="4220" spans="1:8">
      <c r="A4220" t="s">
        <v>8446</v>
      </c>
      <c r="B4220" t="s">
        <v>8447</v>
      </c>
      <c r="C4220" t="s">
        <v>10</v>
      </c>
      <c r="D4220">
        <v>46</v>
      </c>
      <c r="E4220" t="s">
        <v>134</v>
      </c>
      <c r="F4220" t="s">
        <v>28</v>
      </c>
      <c r="G4220" t="s">
        <v>12</v>
      </c>
      <c r="H4220" s="1">
        <v>45177</v>
      </c>
    </row>
    <row r="4221" spans="1:8">
      <c r="A4221" t="s">
        <v>8448</v>
      </c>
      <c r="B4221" t="s">
        <v>8449</v>
      </c>
      <c r="C4221" t="s">
        <v>31</v>
      </c>
      <c r="D4221">
        <v>56</v>
      </c>
      <c r="E4221" t="s">
        <v>112</v>
      </c>
      <c r="F4221" t="s">
        <v>113</v>
      </c>
      <c r="G4221" t="s">
        <v>78</v>
      </c>
      <c r="H4221" s="1">
        <v>44964</v>
      </c>
    </row>
    <row r="4222" spans="1:8">
      <c r="A4222" t="s">
        <v>8450</v>
      </c>
      <c r="B4222" t="s">
        <v>8451</v>
      </c>
      <c r="C4222" t="s">
        <v>31</v>
      </c>
      <c r="D4222">
        <v>40</v>
      </c>
      <c r="E4222" t="s">
        <v>63</v>
      </c>
      <c r="F4222" t="s">
        <v>64</v>
      </c>
      <c r="G4222" t="s">
        <v>12</v>
      </c>
      <c r="H4222" s="1">
        <v>45724</v>
      </c>
    </row>
    <row r="4223" spans="1:8">
      <c r="A4223" t="s">
        <v>8452</v>
      </c>
      <c r="B4223" t="s">
        <v>8453</v>
      </c>
      <c r="C4223" t="s">
        <v>10</v>
      </c>
      <c r="D4223">
        <v>47</v>
      </c>
      <c r="E4223" t="s">
        <v>218</v>
      </c>
      <c r="F4223" t="s">
        <v>219</v>
      </c>
      <c r="G4223" t="s">
        <v>17</v>
      </c>
      <c r="H4223" s="1">
        <v>45333</v>
      </c>
    </row>
    <row r="4224" spans="1:8">
      <c r="A4224" t="s">
        <v>8454</v>
      </c>
      <c r="B4224" t="s">
        <v>8455</v>
      </c>
      <c r="C4224" t="s">
        <v>10</v>
      </c>
      <c r="D4224">
        <v>45</v>
      </c>
      <c r="E4224" t="s">
        <v>34</v>
      </c>
      <c r="F4224" t="s">
        <v>16</v>
      </c>
      <c r="G4224" t="s">
        <v>17</v>
      </c>
      <c r="H4224" s="1">
        <v>45351</v>
      </c>
    </row>
    <row r="4225" spans="1:8">
      <c r="A4225" t="s">
        <v>8456</v>
      </c>
      <c r="B4225" t="s">
        <v>8457</v>
      </c>
      <c r="C4225" t="s">
        <v>31</v>
      </c>
      <c r="D4225">
        <v>27</v>
      </c>
      <c r="E4225" t="s">
        <v>87</v>
      </c>
      <c r="F4225" t="s">
        <v>88</v>
      </c>
      <c r="G4225" t="s">
        <v>78</v>
      </c>
      <c r="H4225" s="1">
        <v>44743</v>
      </c>
    </row>
    <row r="4226" spans="1:8">
      <c r="A4226" t="s">
        <v>8458</v>
      </c>
      <c r="B4226" t="s">
        <v>8459</v>
      </c>
      <c r="C4226" t="s">
        <v>10</v>
      </c>
      <c r="D4226">
        <v>65</v>
      </c>
      <c r="E4226" t="s">
        <v>41</v>
      </c>
      <c r="F4226" t="s">
        <v>42</v>
      </c>
      <c r="G4226" t="s">
        <v>17</v>
      </c>
      <c r="H4226" s="1">
        <v>45924</v>
      </c>
    </row>
    <row r="4227" spans="1:8">
      <c r="A4227" t="s">
        <v>8460</v>
      </c>
      <c r="B4227" t="s">
        <v>8461</v>
      </c>
      <c r="C4227" t="s">
        <v>31</v>
      </c>
      <c r="D4227">
        <v>35</v>
      </c>
      <c r="E4227" t="s">
        <v>60</v>
      </c>
      <c r="F4227" t="s">
        <v>21</v>
      </c>
      <c r="G4227" t="s">
        <v>22</v>
      </c>
      <c r="H4227" s="1">
        <v>45986</v>
      </c>
    </row>
    <row r="4228" spans="1:8">
      <c r="A4228" t="s">
        <v>8462</v>
      </c>
      <c r="B4228" t="s">
        <v>8463</v>
      </c>
      <c r="C4228" t="s">
        <v>10</v>
      </c>
      <c r="D4228">
        <v>52</v>
      </c>
      <c r="E4228" t="s">
        <v>11</v>
      </c>
      <c r="F4228" t="s">
        <v>11</v>
      </c>
      <c r="G4228" t="s">
        <v>12</v>
      </c>
      <c r="H4228" s="1">
        <v>45952</v>
      </c>
    </row>
    <row r="4229" spans="1:8">
      <c r="A4229" t="s">
        <v>8464</v>
      </c>
      <c r="B4229" t="s">
        <v>8465</v>
      </c>
      <c r="C4229" t="s">
        <v>10</v>
      </c>
      <c r="D4229">
        <v>65</v>
      </c>
      <c r="E4229" t="s">
        <v>27</v>
      </c>
      <c r="F4229" t="s">
        <v>28</v>
      </c>
      <c r="G4229" t="s">
        <v>12</v>
      </c>
      <c r="H4229" s="1">
        <v>45969</v>
      </c>
    </row>
    <row r="4230" spans="1:8">
      <c r="A4230" t="s">
        <v>8466</v>
      </c>
      <c r="B4230" t="s">
        <v>8467</v>
      </c>
      <c r="C4230" t="s">
        <v>10</v>
      </c>
      <c r="D4230">
        <v>64</v>
      </c>
      <c r="E4230" t="s">
        <v>69</v>
      </c>
      <c r="F4230" t="s">
        <v>69</v>
      </c>
      <c r="G4230" t="s">
        <v>12</v>
      </c>
      <c r="H4230" s="1">
        <v>44864</v>
      </c>
    </row>
    <row r="4231" spans="1:8">
      <c r="A4231" t="s">
        <v>8468</v>
      </c>
      <c r="B4231" t="s">
        <v>8469</v>
      </c>
      <c r="C4231" t="s">
        <v>31</v>
      </c>
      <c r="D4231">
        <v>34</v>
      </c>
      <c r="E4231" t="s">
        <v>20</v>
      </c>
      <c r="F4231" t="s">
        <v>21</v>
      </c>
      <c r="G4231" t="s">
        <v>22</v>
      </c>
      <c r="H4231" s="1">
        <v>45909</v>
      </c>
    </row>
    <row r="4232" spans="1:8">
      <c r="A4232" t="s">
        <v>8470</v>
      </c>
      <c r="B4232" t="s">
        <v>8471</v>
      </c>
      <c r="C4232" t="s">
        <v>10</v>
      </c>
      <c r="D4232">
        <v>26</v>
      </c>
      <c r="E4232" t="s">
        <v>218</v>
      </c>
      <c r="F4232" t="s">
        <v>219</v>
      </c>
      <c r="G4232" t="s">
        <v>17</v>
      </c>
      <c r="H4232" s="1">
        <v>45255</v>
      </c>
    </row>
    <row r="4233" spans="1:8">
      <c r="A4233" t="s">
        <v>8472</v>
      </c>
      <c r="B4233" t="s">
        <v>8473</v>
      </c>
      <c r="C4233" t="s">
        <v>10</v>
      </c>
      <c r="D4233">
        <v>41</v>
      </c>
      <c r="E4233" t="s">
        <v>134</v>
      </c>
      <c r="F4233" t="s">
        <v>28</v>
      </c>
      <c r="G4233" t="s">
        <v>12</v>
      </c>
      <c r="H4233" s="1">
        <v>45505</v>
      </c>
    </row>
    <row r="4234" spans="1:8">
      <c r="A4234" t="s">
        <v>8474</v>
      </c>
      <c r="B4234" t="s">
        <v>8475</v>
      </c>
      <c r="C4234" t="s">
        <v>10</v>
      </c>
      <c r="D4234">
        <v>32</v>
      </c>
      <c r="E4234" t="s">
        <v>134</v>
      </c>
      <c r="F4234" t="s">
        <v>28</v>
      </c>
      <c r="G4234" t="s">
        <v>12</v>
      </c>
      <c r="H4234" s="1">
        <v>45650</v>
      </c>
    </row>
    <row r="4235" spans="1:8">
      <c r="A4235" t="s">
        <v>8476</v>
      </c>
      <c r="B4235" t="s">
        <v>8477</v>
      </c>
      <c r="C4235" t="s">
        <v>10</v>
      </c>
      <c r="D4235">
        <v>22</v>
      </c>
      <c r="E4235" t="s">
        <v>34</v>
      </c>
      <c r="F4235" t="s">
        <v>16</v>
      </c>
      <c r="G4235" t="s">
        <v>17</v>
      </c>
      <c r="H4235" s="1">
        <v>44633</v>
      </c>
    </row>
    <row r="4236" spans="1:8">
      <c r="A4236" t="s">
        <v>8478</v>
      </c>
      <c r="B4236" t="s">
        <v>8479</v>
      </c>
      <c r="C4236" t="s">
        <v>31</v>
      </c>
      <c r="D4236">
        <v>43</v>
      </c>
      <c r="E4236" t="s">
        <v>45</v>
      </c>
      <c r="F4236" t="s">
        <v>46</v>
      </c>
      <c r="G4236" t="s">
        <v>17</v>
      </c>
      <c r="H4236" s="1">
        <v>45931</v>
      </c>
    </row>
    <row r="4237" spans="1:8">
      <c r="A4237" t="s">
        <v>8480</v>
      </c>
      <c r="B4237" t="s">
        <v>8481</v>
      </c>
      <c r="C4237" t="s">
        <v>31</v>
      </c>
      <c r="D4237">
        <v>67</v>
      </c>
      <c r="E4237" t="s">
        <v>45</v>
      </c>
      <c r="F4237" t="s">
        <v>46</v>
      </c>
      <c r="G4237" t="s">
        <v>17</v>
      </c>
      <c r="H4237" s="1">
        <v>45319</v>
      </c>
    </row>
    <row r="4238" spans="1:8">
      <c r="A4238" t="s">
        <v>8482</v>
      </c>
      <c r="B4238" t="s">
        <v>8483</v>
      </c>
      <c r="C4238" t="s">
        <v>31</v>
      </c>
      <c r="D4238">
        <v>49</v>
      </c>
      <c r="E4238" t="s">
        <v>27</v>
      </c>
      <c r="F4238" t="s">
        <v>28</v>
      </c>
      <c r="G4238" t="s">
        <v>12</v>
      </c>
      <c r="H4238" s="1">
        <v>45944</v>
      </c>
    </row>
    <row r="4239" spans="1:8">
      <c r="A4239" t="s">
        <v>8484</v>
      </c>
      <c r="B4239" t="s">
        <v>8485</v>
      </c>
      <c r="C4239" t="s">
        <v>31</v>
      </c>
      <c r="D4239">
        <v>64</v>
      </c>
      <c r="E4239" t="s">
        <v>149</v>
      </c>
      <c r="F4239" t="s">
        <v>38</v>
      </c>
      <c r="G4239" t="s">
        <v>22</v>
      </c>
      <c r="H4239" s="1">
        <v>45384</v>
      </c>
    </row>
    <row r="4240" spans="1:8">
      <c r="A4240" t="s">
        <v>8486</v>
      </c>
      <c r="B4240" t="s">
        <v>8487</v>
      </c>
      <c r="C4240" t="s">
        <v>31</v>
      </c>
      <c r="D4240">
        <v>33</v>
      </c>
      <c r="E4240" t="s">
        <v>134</v>
      </c>
      <c r="F4240" t="s">
        <v>28</v>
      </c>
      <c r="G4240" t="s">
        <v>12</v>
      </c>
      <c r="H4240" s="1">
        <v>44970</v>
      </c>
    </row>
    <row r="4241" spans="1:8">
      <c r="A4241" t="s">
        <v>8488</v>
      </c>
      <c r="B4241" t="s">
        <v>8489</v>
      </c>
      <c r="C4241" t="s">
        <v>31</v>
      </c>
      <c r="D4241">
        <v>43</v>
      </c>
      <c r="E4241" t="s">
        <v>60</v>
      </c>
      <c r="F4241" t="s">
        <v>21</v>
      </c>
      <c r="G4241" t="s">
        <v>22</v>
      </c>
      <c r="H4241" s="1">
        <v>45529</v>
      </c>
    </row>
    <row r="4242" spans="1:8">
      <c r="A4242" t="s">
        <v>8490</v>
      </c>
      <c r="B4242" t="s">
        <v>8491</v>
      </c>
      <c r="C4242" t="s">
        <v>31</v>
      </c>
      <c r="D4242">
        <v>69</v>
      </c>
      <c r="E4242" t="s">
        <v>60</v>
      </c>
      <c r="F4242" t="s">
        <v>21</v>
      </c>
      <c r="G4242" t="s">
        <v>22</v>
      </c>
      <c r="H4242" s="1">
        <v>45591</v>
      </c>
    </row>
    <row r="4243" spans="1:8">
      <c r="A4243" t="s">
        <v>8492</v>
      </c>
      <c r="B4243" t="s">
        <v>8493</v>
      </c>
      <c r="C4243" t="s">
        <v>10</v>
      </c>
      <c r="D4243">
        <v>23</v>
      </c>
      <c r="E4243" t="s">
        <v>34</v>
      </c>
      <c r="F4243" t="s">
        <v>16</v>
      </c>
      <c r="G4243" t="s">
        <v>17</v>
      </c>
      <c r="H4243" s="1">
        <v>45136</v>
      </c>
    </row>
    <row r="4244" spans="1:8">
      <c r="A4244" t="s">
        <v>8494</v>
      </c>
      <c r="B4244" t="s">
        <v>8495</v>
      </c>
      <c r="C4244" t="s">
        <v>10</v>
      </c>
      <c r="D4244">
        <v>52</v>
      </c>
      <c r="E4244" t="s">
        <v>45</v>
      </c>
      <c r="F4244" t="s">
        <v>46</v>
      </c>
      <c r="G4244" t="s">
        <v>17</v>
      </c>
      <c r="H4244" s="1">
        <v>45319</v>
      </c>
    </row>
    <row r="4245" spans="1:8">
      <c r="A4245" t="s">
        <v>8496</v>
      </c>
      <c r="B4245" t="s">
        <v>8497</v>
      </c>
      <c r="C4245" t="s">
        <v>31</v>
      </c>
      <c r="D4245">
        <v>57</v>
      </c>
      <c r="E4245" t="s">
        <v>11</v>
      </c>
      <c r="F4245" t="s">
        <v>11</v>
      </c>
      <c r="G4245" t="s">
        <v>12</v>
      </c>
      <c r="H4245" s="1">
        <v>45734</v>
      </c>
    </row>
    <row r="4246" spans="1:8">
      <c r="A4246" t="s">
        <v>8498</v>
      </c>
      <c r="B4246" t="s">
        <v>8499</v>
      </c>
      <c r="C4246" t="s">
        <v>10</v>
      </c>
      <c r="D4246">
        <v>70</v>
      </c>
      <c r="E4246" t="s">
        <v>91</v>
      </c>
      <c r="F4246" t="s">
        <v>92</v>
      </c>
      <c r="G4246" t="s">
        <v>78</v>
      </c>
      <c r="H4246" s="1">
        <v>45602</v>
      </c>
    </row>
    <row r="4247" spans="1:8">
      <c r="A4247" t="s">
        <v>8500</v>
      </c>
      <c r="B4247" t="s">
        <v>8501</v>
      </c>
      <c r="C4247" t="s">
        <v>10</v>
      </c>
      <c r="D4247">
        <v>38</v>
      </c>
      <c r="E4247" t="s">
        <v>149</v>
      </c>
      <c r="F4247" t="s">
        <v>38</v>
      </c>
      <c r="G4247" t="s">
        <v>22</v>
      </c>
      <c r="H4247" s="1">
        <v>45782</v>
      </c>
    </row>
    <row r="4248" spans="1:8">
      <c r="A4248" t="s">
        <v>8502</v>
      </c>
      <c r="B4248" t="s">
        <v>8503</v>
      </c>
      <c r="C4248" t="s">
        <v>31</v>
      </c>
      <c r="D4248">
        <v>43</v>
      </c>
      <c r="E4248" t="s">
        <v>134</v>
      </c>
      <c r="F4248" t="s">
        <v>28</v>
      </c>
      <c r="G4248" t="s">
        <v>12</v>
      </c>
      <c r="H4248" s="1">
        <v>45741</v>
      </c>
    </row>
    <row r="4249" spans="1:8">
      <c r="A4249" t="s">
        <v>8504</v>
      </c>
      <c r="B4249" t="s">
        <v>8505</v>
      </c>
      <c r="C4249" t="s">
        <v>10</v>
      </c>
      <c r="D4249">
        <v>33</v>
      </c>
      <c r="E4249" t="s">
        <v>149</v>
      </c>
      <c r="F4249" t="s">
        <v>38</v>
      </c>
      <c r="G4249" t="s">
        <v>22</v>
      </c>
      <c r="H4249" s="1">
        <v>44934</v>
      </c>
    </row>
    <row r="4250" spans="1:8">
      <c r="A4250" t="s">
        <v>8506</v>
      </c>
      <c r="B4250" t="s">
        <v>813</v>
      </c>
      <c r="C4250" t="s">
        <v>10</v>
      </c>
      <c r="D4250">
        <v>41</v>
      </c>
      <c r="E4250" t="s">
        <v>45</v>
      </c>
      <c r="F4250" t="s">
        <v>46</v>
      </c>
      <c r="G4250" t="s">
        <v>17</v>
      </c>
      <c r="H4250" s="1">
        <v>44841</v>
      </c>
    </row>
    <row r="4251" spans="1:8">
      <c r="A4251" t="s">
        <v>8507</v>
      </c>
      <c r="B4251" t="s">
        <v>8508</v>
      </c>
      <c r="C4251" t="s">
        <v>31</v>
      </c>
      <c r="D4251">
        <v>29</v>
      </c>
      <c r="E4251" t="s">
        <v>27</v>
      </c>
      <c r="F4251" t="s">
        <v>28</v>
      </c>
      <c r="G4251" t="s">
        <v>12</v>
      </c>
      <c r="H4251" s="1">
        <v>44805</v>
      </c>
    </row>
    <row r="4252" spans="1:8">
      <c r="A4252" t="s">
        <v>8509</v>
      </c>
      <c r="B4252" t="s">
        <v>8510</v>
      </c>
      <c r="C4252" t="s">
        <v>31</v>
      </c>
      <c r="D4252">
        <v>59</v>
      </c>
      <c r="E4252" t="s">
        <v>37</v>
      </c>
      <c r="F4252" t="s">
        <v>38</v>
      </c>
      <c r="G4252" t="s">
        <v>22</v>
      </c>
      <c r="H4252" s="1">
        <v>44669</v>
      </c>
    </row>
    <row r="4253" spans="1:8">
      <c r="A4253" t="s">
        <v>8511</v>
      </c>
      <c r="B4253" t="s">
        <v>8512</v>
      </c>
      <c r="C4253" t="s">
        <v>10</v>
      </c>
      <c r="D4253">
        <v>44</v>
      </c>
      <c r="E4253" t="s">
        <v>101</v>
      </c>
      <c r="F4253" t="s">
        <v>21</v>
      </c>
      <c r="G4253" t="s">
        <v>22</v>
      </c>
      <c r="H4253" s="1">
        <v>45069</v>
      </c>
    </row>
    <row r="4254" spans="1:8">
      <c r="A4254" t="s">
        <v>8513</v>
      </c>
      <c r="B4254" t="s">
        <v>8514</v>
      </c>
      <c r="C4254" t="s">
        <v>31</v>
      </c>
      <c r="D4254">
        <v>31</v>
      </c>
      <c r="E4254" t="s">
        <v>134</v>
      </c>
      <c r="F4254" t="s">
        <v>28</v>
      </c>
      <c r="G4254" t="s">
        <v>12</v>
      </c>
      <c r="H4254" s="1">
        <v>45210</v>
      </c>
    </row>
    <row r="4255" spans="1:8">
      <c r="A4255" t="s">
        <v>8515</v>
      </c>
      <c r="B4255" t="s">
        <v>8516</v>
      </c>
      <c r="C4255" t="s">
        <v>31</v>
      </c>
      <c r="D4255">
        <v>32</v>
      </c>
      <c r="E4255" t="s">
        <v>11</v>
      </c>
      <c r="F4255" t="s">
        <v>11</v>
      </c>
      <c r="G4255" t="s">
        <v>12</v>
      </c>
      <c r="H4255" s="1">
        <v>45489</v>
      </c>
    </row>
    <row r="4256" spans="1:8">
      <c r="A4256" t="s">
        <v>8517</v>
      </c>
      <c r="B4256" t="s">
        <v>8518</v>
      </c>
      <c r="C4256" t="s">
        <v>10</v>
      </c>
      <c r="D4256">
        <v>61</v>
      </c>
      <c r="E4256" t="s">
        <v>69</v>
      </c>
      <c r="F4256" t="s">
        <v>69</v>
      </c>
      <c r="G4256" t="s">
        <v>12</v>
      </c>
      <c r="H4256" s="1">
        <v>45024</v>
      </c>
    </row>
    <row r="4257" spans="1:8">
      <c r="A4257" t="s">
        <v>8519</v>
      </c>
      <c r="B4257" t="s">
        <v>8520</v>
      </c>
      <c r="C4257" t="s">
        <v>10</v>
      </c>
      <c r="D4257">
        <v>49</v>
      </c>
      <c r="E4257" t="s">
        <v>87</v>
      </c>
      <c r="F4257" t="s">
        <v>88</v>
      </c>
      <c r="G4257" t="s">
        <v>78</v>
      </c>
      <c r="H4257" s="1">
        <v>45655</v>
      </c>
    </row>
    <row r="4258" spans="1:8">
      <c r="A4258" t="s">
        <v>8521</v>
      </c>
      <c r="B4258" t="s">
        <v>8522</v>
      </c>
      <c r="C4258" t="s">
        <v>10</v>
      </c>
      <c r="D4258">
        <v>25</v>
      </c>
      <c r="E4258" t="s">
        <v>91</v>
      </c>
      <c r="F4258" t="s">
        <v>92</v>
      </c>
      <c r="G4258" t="s">
        <v>78</v>
      </c>
      <c r="H4258" s="1">
        <v>44904</v>
      </c>
    </row>
    <row r="4259" spans="1:8">
      <c r="A4259" t="s">
        <v>8523</v>
      </c>
      <c r="B4259" t="s">
        <v>8524</v>
      </c>
      <c r="C4259" t="s">
        <v>10</v>
      </c>
      <c r="D4259">
        <v>53</v>
      </c>
      <c r="E4259" t="s">
        <v>218</v>
      </c>
      <c r="F4259" t="s">
        <v>219</v>
      </c>
      <c r="G4259" t="s">
        <v>17</v>
      </c>
      <c r="H4259" s="1">
        <v>45476</v>
      </c>
    </row>
    <row r="4260" spans="1:8">
      <c r="A4260" t="s">
        <v>8525</v>
      </c>
      <c r="B4260" t="s">
        <v>8526</v>
      </c>
      <c r="C4260" t="s">
        <v>31</v>
      </c>
      <c r="D4260">
        <v>70</v>
      </c>
      <c r="E4260" t="s">
        <v>34</v>
      </c>
      <c r="F4260" t="s">
        <v>16</v>
      </c>
      <c r="G4260" t="s">
        <v>17</v>
      </c>
      <c r="H4260" s="1">
        <v>44990</v>
      </c>
    </row>
    <row r="4261" spans="1:8">
      <c r="A4261" t="s">
        <v>8527</v>
      </c>
      <c r="B4261" t="s">
        <v>8528</v>
      </c>
      <c r="C4261" t="s">
        <v>31</v>
      </c>
      <c r="D4261">
        <v>50</v>
      </c>
      <c r="E4261" t="s">
        <v>91</v>
      </c>
      <c r="F4261" t="s">
        <v>92</v>
      </c>
      <c r="G4261" t="s">
        <v>78</v>
      </c>
      <c r="H4261" s="1">
        <v>44922</v>
      </c>
    </row>
    <row r="4262" spans="1:8">
      <c r="A4262" t="s">
        <v>8529</v>
      </c>
      <c r="B4262" t="s">
        <v>8530</v>
      </c>
      <c r="C4262" t="s">
        <v>31</v>
      </c>
      <c r="D4262">
        <v>21</v>
      </c>
      <c r="E4262" t="s">
        <v>134</v>
      </c>
      <c r="F4262" t="s">
        <v>28</v>
      </c>
      <c r="G4262" t="s">
        <v>12</v>
      </c>
      <c r="H4262" s="1">
        <v>45108</v>
      </c>
    </row>
    <row r="4263" spans="1:8">
      <c r="A4263" t="s">
        <v>8531</v>
      </c>
      <c r="B4263" t="s">
        <v>8532</v>
      </c>
      <c r="C4263" t="s">
        <v>10</v>
      </c>
      <c r="D4263">
        <v>59</v>
      </c>
      <c r="E4263" t="s">
        <v>34</v>
      </c>
      <c r="F4263" t="s">
        <v>16</v>
      </c>
      <c r="G4263" t="s">
        <v>17</v>
      </c>
      <c r="H4263" s="1">
        <v>45878</v>
      </c>
    </row>
    <row r="4264" spans="1:8">
      <c r="A4264" t="s">
        <v>8533</v>
      </c>
      <c r="B4264" t="s">
        <v>8534</v>
      </c>
      <c r="C4264" t="s">
        <v>31</v>
      </c>
      <c r="D4264">
        <v>68</v>
      </c>
      <c r="E4264" t="s">
        <v>87</v>
      </c>
      <c r="F4264" t="s">
        <v>88</v>
      </c>
      <c r="G4264" t="s">
        <v>78</v>
      </c>
      <c r="H4264" s="1">
        <v>45978</v>
      </c>
    </row>
    <row r="4265" spans="1:8">
      <c r="A4265" t="s">
        <v>8535</v>
      </c>
      <c r="B4265" t="s">
        <v>8536</v>
      </c>
      <c r="C4265" t="s">
        <v>31</v>
      </c>
      <c r="D4265">
        <v>47</v>
      </c>
      <c r="E4265" t="s">
        <v>101</v>
      </c>
      <c r="F4265" t="s">
        <v>21</v>
      </c>
      <c r="G4265" t="s">
        <v>22</v>
      </c>
      <c r="H4265" s="1">
        <v>45017</v>
      </c>
    </row>
    <row r="4266" spans="1:8">
      <c r="A4266" t="s">
        <v>8537</v>
      </c>
      <c r="B4266" t="s">
        <v>8538</v>
      </c>
      <c r="C4266" t="s">
        <v>31</v>
      </c>
      <c r="D4266">
        <v>61</v>
      </c>
      <c r="E4266" t="s">
        <v>60</v>
      </c>
      <c r="F4266" t="s">
        <v>21</v>
      </c>
      <c r="G4266" t="s">
        <v>22</v>
      </c>
      <c r="H4266" s="1">
        <v>45442</v>
      </c>
    </row>
    <row r="4267" spans="1:8">
      <c r="A4267" t="s">
        <v>8539</v>
      </c>
      <c r="B4267" t="s">
        <v>8540</v>
      </c>
      <c r="C4267" t="s">
        <v>31</v>
      </c>
      <c r="D4267">
        <v>18</v>
      </c>
      <c r="E4267" t="s">
        <v>101</v>
      </c>
      <c r="F4267" t="s">
        <v>21</v>
      </c>
      <c r="G4267" t="s">
        <v>22</v>
      </c>
      <c r="H4267" s="1">
        <v>44961</v>
      </c>
    </row>
    <row r="4268" spans="1:8">
      <c r="A4268" t="s">
        <v>8541</v>
      </c>
      <c r="B4268" t="s">
        <v>8542</v>
      </c>
      <c r="C4268" t="s">
        <v>10</v>
      </c>
      <c r="D4268">
        <v>66</v>
      </c>
      <c r="E4268" t="s">
        <v>15</v>
      </c>
      <c r="F4268" t="s">
        <v>16</v>
      </c>
      <c r="G4268" t="s">
        <v>17</v>
      </c>
      <c r="H4268" s="1">
        <v>45884</v>
      </c>
    </row>
    <row r="4269" spans="1:8">
      <c r="A4269" t="s">
        <v>8543</v>
      </c>
      <c r="B4269" t="s">
        <v>8544</v>
      </c>
      <c r="C4269" t="s">
        <v>31</v>
      </c>
      <c r="D4269">
        <v>52</v>
      </c>
      <c r="E4269" t="s">
        <v>134</v>
      </c>
      <c r="F4269" t="s">
        <v>28</v>
      </c>
      <c r="G4269" t="s">
        <v>12</v>
      </c>
      <c r="H4269" s="1">
        <v>44874</v>
      </c>
    </row>
    <row r="4270" spans="1:8">
      <c r="A4270" t="s">
        <v>8545</v>
      </c>
      <c r="B4270" t="s">
        <v>8546</v>
      </c>
      <c r="C4270" t="s">
        <v>10</v>
      </c>
      <c r="D4270">
        <v>20</v>
      </c>
      <c r="E4270" t="s">
        <v>45</v>
      </c>
      <c r="F4270" t="s">
        <v>46</v>
      </c>
      <c r="G4270" t="s">
        <v>17</v>
      </c>
      <c r="H4270" s="1">
        <v>45228</v>
      </c>
    </row>
    <row r="4271" spans="1:8">
      <c r="A4271" t="s">
        <v>8547</v>
      </c>
      <c r="B4271" t="s">
        <v>8548</v>
      </c>
      <c r="C4271" t="s">
        <v>10</v>
      </c>
      <c r="D4271">
        <v>64</v>
      </c>
      <c r="E4271" t="s">
        <v>34</v>
      </c>
      <c r="F4271" t="s">
        <v>16</v>
      </c>
      <c r="G4271" t="s">
        <v>17</v>
      </c>
      <c r="H4271" s="1">
        <v>45552</v>
      </c>
    </row>
    <row r="4272" spans="1:8">
      <c r="A4272" t="s">
        <v>8549</v>
      </c>
      <c r="B4272" t="s">
        <v>8550</v>
      </c>
      <c r="C4272" t="s">
        <v>31</v>
      </c>
      <c r="D4272">
        <v>47</v>
      </c>
      <c r="E4272" t="s">
        <v>45</v>
      </c>
      <c r="F4272" t="s">
        <v>46</v>
      </c>
      <c r="G4272" t="s">
        <v>17</v>
      </c>
      <c r="H4272" s="1">
        <v>44943</v>
      </c>
    </row>
    <row r="4273" spans="1:8">
      <c r="A4273" t="s">
        <v>8551</v>
      </c>
      <c r="B4273" t="s">
        <v>8552</v>
      </c>
      <c r="C4273" t="s">
        <v>31</v>
      </c>
      <c r="D4273">
        <v>19</v>
      </c>
      <c r="E4273" t="s">
        <v>63</v>
      </c>
      <c r="F4273" t="s">
        <v>64</v>
      </c>
      <c r="G4273" t="s">
        <v>12</v>
      </c>
      <c r="H4273" s="1">
        <v>44807</v>
      </c>
    </row>
    <row r="4274" spans="1:8">
      <c r="A4274" t="s">
        <v>8553</v>
      </c>
      <c r="B4274" t="s">
        <v>8554</v>
      </c>
      <c r="C4274" t="s">
        <v>10</v>
      </c>
      <c r="D4274">
        <v>67</v>
      </c>
      <c r="E4274" t="s">
        <v>63</v>
      </c>
      <c r="F4274" t="s">
        <v>64</v>
      </c>
      <c r="G4274" t="s">
        <v>12</v>
      </c>
      <c r="H4274" s="1">
        <v>45736</v>
      </c>
    </row>
    <row r="4275" spans="1:8">
      <c r="A4275" t="s">
        <v>8555</v>
      </c>
      <c r="B4275" t="s">
        <v>8556</v>
      </c>
      <c r="C4275" t="s">
        <v>10</v>
      </c>
      <c r="D4275">
        <v>49</v>
      </c>
      <c r="E4275" t="s">
        <v>112</v>
      </c>
      <c r="F4275" t="s">
        <v>113</v>
      </c>
      <c r="G4275" t="s">
        <v>78</v>
      </c>
      <c r="H4275" s="1">
        <v>45645</v>
      </c>
    </row>
    <row r="4276" spans="1:8">
      <c r="A4276" t="s">
        <v>8557</v>
      </c>
      <c r="B4276" t="s">
        <v>8558</v>
      </c>
      <c r="C4276" t="s">
        <v>10</v>
      </c>
      <c r="D4276">
        <v>30</v>
      </c>
      <c r="E4276" t="s">
        <v>87</v>
      </c>
      <c r="F4276" t="s">
        <v>88</v>
      </c>
      <c r="G4276" t="s">
        <v>78</v>
      </c>
      <c r="H4276" s="1">
        <v>44968</v>
      </c>
    </row>
    <row r="4277" spans="1:8">
      <c r="A4277" t="s">
        <v>8559</v>
      </c>
      <c r="B4277" t="s">
        <v>8560</v>
      </c>
      <c r="C4277" t="s">
        <v>10</v>
      </c>
      <c r="D4277">
        <v>51</v>
      </c>
      <c r="E4277" t="s">
        <v>37</v>
      </c>
      <c r="F4277" t="s">
        <v>38</v>
      </c>
      <c r="G4277" t="s">
        <v>22</v>
      </c>
      <c r="H4277" s="1">
        <v>45280</v>
      </c>
    </row>
    <row r="4278" spans="1:8">
      <c r="A4278" t="s">
        <v>8561</v>
      </c>
      <c r="B4278" t="s">
        <v>8562</v>
      </c>
      <c r="C4278" t="s">
        <v>10</v>
      </c>
      <c r="D4278">
        <v>54</v>
      </c>
      <c r="E4278" t="s">
        <v>63</v>
      </c>
      <c r="F4278" t="s">
        <v>64</v>
      </c>
      <c r="G4278" t="s">
        <v>12</v>
      </c>
      <c r="H4278" s="1">
        <v>44616</v>
      </c>
    </row>
    <row r="4279" spans="1:8">
      <c r="A4279" t="s">
        <v>8563</v>
      </c>
      <c r="B4279" t="s">
        <v>8564</v>
      </c>
      <c r="C4279" t="s">
        <v>31</v>
      </c>
      <c r="D4279">
        <v>26</v>
      </c>
      <c r="E4279" t="s">
        <v>69</v>
      </c>
      <c r="F4279" t="s">
        <v>69</v>
      </c>
      <c r="G4279" t="s">
        <v>12</v>
      </c>
      <c r="H4279" s="1">
        <v>45066</v>
      </c>
    </row>
    <row r="4280" spans="1:8">
      <c r="A4280" t="s">
        <v>8565</v>
      </c>
      <c r="B4280" t="s">
        <v>8566</v>
      </c>
      <c r="C4280" t="s">
        <v>10</v>
      </c>
      <c r="D4280">
        <v>33</v>
      </c>
      <c r="E4280" t="s">
        <v>27</v>
      </c>
      <c r="F4280" t="s">
        <v>28</v>
      </c>
      <c r="G4280" t="s">
        <v>12</v>
      </c>
      <c r="H4280" s="1">
        <v>45283</v>
      </c>
    </row>
    <row r="4281" spans="1:8">
      <c r="A4281" t="s">
        <v>8567</v>
      </c>
      <c r="B4281" t="s">
        <v>8568</v>
      </c>
      <c r="C4281" t="s">
        <v>31</v>
      </c>
      <c r="D4281">
        <v>32</v>
      </c>
      <c r="E4281" t="s">
        <v>34</v>
      </c>
      <c r="F4281" t="s">
        <v>16</v>
      </c>
      <c r="G4281" t="s">
        <v>17</v>
      </c>
      <c r="H4281" s="1">
        <v>45872</v>
      </c>
    </row>
    <row r="4282" spans="1:8">
      <c r="A4282" t="s">
        <v>8569</v>
      </c>
      <c r="B4282" t="s">
        <v>8570</v>
      </c>
      <c r="C4282" t="s">
        <v>10</v>
      </c>
      <c r="D4282">
        <v>18</v>
      </c>
      <c r="E4282" t="s">
        <v>63</v>
      </c>
      <c r="F4282" t="s">
        <v>64</v>
      </c>
      <c r="G4282" t="s">
        <v>12</v>
      </c>
      <c r="H4282" s="1">
        <v>45631</v>
      </c>
    </row>
    <row r="4283" spans="1:8">
      <c r="A4283" t="s">
        <v>8571</v>
      </c>
      <c r="B4283" t="s">
        <v>8572</v>
      </c>
      <c r="C4283" t="s">
        <v>10</v>
      </c>
      <c r="D4283">
        <v>68</v>
      </c>
      <c r="E4283" t="s">
        <v>41</v>
      </c>
      <c r="F4283" t="s">
        <v>42</v>
      </c>
      <c r="G4283" t="s">
        <v>17</v>
      </c>
      <c r="H4283" s="1">
        <v>45977</v>
      </c>
    </row>
    <row r="4284" spans="1:8">
      <c r="A4284" t="s">
        <v>8573</v>
      </c>
      <c r="B4284" t="s">
        <v>8574</v>
      </c>
      <c r="C4284" t="s">
        <v>31</v>
      </c>
      <c r="D4284">
        <v>45</v>
      </c>
      <c r="E4284" t="s">
        <v>101</v>
      </c>
      <c r="F4284" t="s">
        <v>21</v>
      </c>
      <c r="G4284" t="s">
        <v>22</v>
      </c>
      <c r="H4284" s="1">
        <v>45026</v>
      </c>
    </row>
    <row r="4285" spans="1:8">
      <c r="A4285" t="s">
        <v>8575</v>
      </c>
      <c r="B4285" t="s">
        <v>8576</v>
      </c>
      <c r="C4285" t="s">
        <v>31</v>
      </c>
      <c r="D4285">
        <v>43</v>
      </c>
      <c r="E4285" t="s">
        <v>45</v>
      </c>
      <c r="F4285" t="s">
        <v>46</v>
      </c>
      <c r="G4285" t="s">
        <v>17</v>
      </c>
      <c r="H4285" s="1">
        <v>44633</v>
      </c>
    </row>
    <row r="4286" spans="1:8">
      <c r="A4286" t="s">
        <v>8577</v>
      </c>
      <c r="B4286" t="s">
        <v>8578</v>
      </c>
      <c r="C4286" t="s">
        <v>31</v>
      </c>
      <c r="D4286">
        <v>20</v>
      </c>
      <c r="E4286" t="s">
        <v>15</v>
      </c>
      <c r="F4286" t="s">
        <v>16</v>
      </c>
      <c r="G4286" t="s">
        <v>17</v>
      </c>
      <c r="H4286" s="1">
        <v>45690</v>
      </c>
    </row>
    <row r="4287" spans="1:8">
      <c r="A4287" t="s">
        <v>8579</v>
      </c>
      <c r="B4287" t="s">
        <v>8580</v>
      </c>
      <c r="C4287" t="s">
        <v>31</v>
      </c>
      <c r="D4287">
        <v>68</v>
      </c>
      <c r="E4287" t="s">
        <v>149</v>
      </c>
      <c r="F4287" t="s">
        <v>38</v>
      </c>
      <c r="G4287" t="s">
        <v>22</v>
      </c>
      <c r="H4287" s="1">
        <v>45805</v>
      </c>
    </row>
    <row r="4288" spans="1:8">
      <c r="A4288" t="s">
        <v>8581</v>
      </c>
      <c r="B4288" t="s">
        <v>8582</v>
      </c>
      <c r="C4288" t="s">
        <v>10</v>
      </c>
      <c r="D4288">
        <v>42</v>
      </c>
      <c r="E4288" t="s">
        <v>128</v>
      </c>
      <c r="F4288" t="s">
        <v>129</v>
      </c>
      <c r="G4288" t="s">
        <v>78</v>
      </c>
      <c r="H4288" s="1">
        <v>44886</v>
      </c>
    </row>
    <row r="4289" spans="1:8">
      <c r="A4289" t="s">
        <v>8583</v>
      </c>
      <c r="B4289" t="s">
        <v>8584</v>
      </c>
      <c r="C4289" t="s">
        <v>10</v>
      </c>
      <c r="D4289">
        <v>27</v>
      </c>
      <c r="E4289" t="s">
        <v>15</v>
      </c>
      <c r="F4289" t="s">
        <v>16</v>
      </c>
      <c r="G4289" t="s">
        <v>17</v>
      </c>
      <c r="H4289" s="1">
        <v>45568</v>
      </c>
    </row>
    <row r="4290" spans="1:8">
      <c r="A4290" t="s">
        <v>8585</v>
      </c>
      <c r="B4290" t="s">
        <v>8586</v>
      </c>
      <c r="C4290" t="s">
        <v>10</v>
      </c>
      <c r="D4290">
        <v>53</v>
      </c>
      <c r="E4290" t="s">
        <v>37</v>
      </c>
      <c r="F4290" t="s">
        <v>38</v>
      </c>
      <c r="G4290" t="s">
        <v>22</v>
      </c>
      <c r="H4290" s="1">
        <v>45882</v>
      </c>
    </row>
    <row r="4291" spans="1:8">
      <c r="A4291" t="s">
        <v>8587</v>
      </c>
      <c r="B4291" t="s">
        <v>8588</v>
      </c>
      <c r="C4291" t="s">
        <v>10</v>
      </c>
      <c r="D4291">
        <v>49</v>
      </c>
      <c r="E4291" t="s">
        <v>63</v>
      </c>
      <c r="F4291" t="s">
        <v>64</v>
      </c>
      <c r="G4291" t="s">
        <v>12</v>
      </c>
      <c r="H4291" s="1">
        <v>46008</v>
      </c>
    </row>
    <row r="4292" spans="1:8">
      <c r="A4292" t="s">
        <v>8589</v>
      </c>
      <c r="B4292" t="s">
        <v>8590</v>
      </c>
      <c r="C4292" t="s">
        <v>31</v>
      </c>
      <c r="D4292">
        <v>52</v>
      </c>
      <c r="E4292" t="s">
        <v>69</v>
      </c>
      <c r="F4292" t="s">
        <v>69</v>
      </c>
      <c r="G4292" t="s">
        <v>12</v>
      </c>
      <c r="H4292" s="1">
        <v>46010</v>
      </c>
    </row>
    <row r="4293" spans="1:8">
      <c r="A4293" t="s">
        <v>8591</v>
      </c>
      <c r="B4293" t="s">
        <v>8592</v>
      </c>
      <c r="C4293" t="s">
        <v>10</v>
      </c>
      <c r="D4293">
        <v>38</v>
      </c>
      <c r="E4293" t="s">
        <v>112</v>
      </c>
      <c r="F4293" t="s">
        <v>113</v>
      </c>
      <c r="G4293" t="s">
        <v>78</v>
      </c>
      <c r="H4293" s="1">
        <v>45541</v>
      </c>
    </row>
    <row r="4294" spans="1:8">
      <c r="A4294" t="s">
        <v>8593</v>
      </c>
      <c r="B4294" t="s">
        <v>8594</v>
      </c>
      <c r="C4294" t="s">
        <v>10</v>
      </c>
      <c r="D4294">
        <v>31</v>
      </c>
      <c r="E4294" t="s">
        <v>37</v>
      </c>
      <c r="F4294" t="s">
        <v>38</v>
      </c>
      <c r="G4294" t="s">
        <v>22</v>
      </c>
      <c r="H4294" s="1">
        <v>44830</v>
      </c>
    </row>
    <row r="4295" spans="1:8">
      <c r="A4295" t="s">
        <v>8595</v>
      </c>
      <c r="B4295" t="s">
        <v>8596</v>
      </c>
      <c r="C4295" t="s">
        <v>10</v>
      </c>
      <c r="D4295">
        <v>27</v>
      </c>
      <c r="E4295" t="s">
        <v>76</v>
      </c>
      <c r="F4295" t="s">
        <v>77</v>
      </c>
      <c r="G4295" t="s">
        <v>78</v>
      </c>
      <c r="H4295" s="1">
        <v>45976</v>
      </c>
    </row>
    <row r="4296" spans="1:8">
      <c r="A4296" t="s">
        <v>8597</v>
      </c>
      <c r="B4296" t="s">
        <v>8598</v>
      </c>
      <c r="C4296" t="s">
        <v>10</v>
      </c>
      <c r="D4296">
        <v>66</v>
      </c>
      <c r="E4296" t="s">
        <v>128</v>
      </c>
      <c r="F4296" t="s">
        <v>129</v>
      </c>
      <c r="G4296" t="s">
        <v>78</v>
      </c>
      <c r="H4296" s="1">
        <v>44596</v>
      </c>
    </row>
    <row r="4297" spans="1:8">
      <c r="A4297" t="s">
        <v>8599</v>
      </c>
      <c r="B4297" t="s">
        <v>8600</v>
      </c>
      <c r="C4297" t="s">
        <v>31</v>
      </c>
      <c r="D4297">
        <v>53</v>
      </c>
      <c r="E4297" t="s">
        <v>134</v>
      </c>
      <c r="F4297" t="s">
        <v>28</v>
      </c>
      <c r="G4297" t="s">
        <v>12</v>
      </c>
      <c r="H4297" s="1">
        <v>44877</v>
      </c>
    </row>
    <row r="4298" spans="1:8">
      <c r="A4298" t="s">
        <v>8601</v>
      </c>
      <c r="B4298" t="s">
        <v>8602</v>
      </c>
      <c r="C4298" t="s">
        <v>10</v>
      </c>
      <c r="D4298">
        <v>29</v>
      </c>
      <c r="E4298" t="s">
        <v>128</v>
      </c>
      <c r="F4298" t="s">
        <v>129</v>
      </c>
      <c r="G4298" t="s">
        <v>78</v>
      </c>
      <c r="H4298" s="1">
        <v>44877</v>
      </c>
    </row>
    <row r="4299" spans="1:8">
      <c r="A4299" t="s">
        <v>8603</v>
      </c>
      <c r="B4299" t="s">
        <v>8604</v>
      </c>
      <c r="C4299" t="s">
        <v>10</v>
      </c>
      <c r="D4299">
        <v>42</v>
      </c>
      <c r="E4299" t="s">
        <v>134</v>
      </c>
      <c r="F4299" t="s">
        <v>28</v>
      </c>
      <c r="G4299" t="s">
        <v>12</v>
      </c>
      <c r="H4299" s="1">
        <v>45391</v>
      </c>
    </row>
    <row r="4300" spans="1:8">
      <c r="A4300" t="s">
        <v>8605</v>
      </c>
      <c r="B4300" t="s">
        <v>497</v>
      </c>
      <c r="C4300" t="s">
        <v>10</v>
      </c>
      <c r="D4300">
        <v>41</v>
      </c>
      <c r="E4300" t="s">
        <v>218</v>
      </c>
      <c r="F4300" t="s">
        <v>219</v>
      </c>
      <c r="G4300" t="s">
        <v>17</v>
      </c>
      <c r="H4300" s="1">
        <v>45253</v>
      </c>
    </row>
    <row r="4301" spans="1:8">
      <c r="A4301" t="s">
        <v>8606</v>
      </c>
      <c r="B4301" t="s">
        <v>8607</v>
      </c>
      <c r="C4301" t="s">
        <v>31</v>
      </c>
      <c r="D4301">
        <v>69</v>
      </c>
      <c r="E4301" t="s">
        <v>69</v>
      </c>
      <c r="F4301" t="s">
        <v>69</v>
      </c>
      <c r="G4301" t="s">
        <v>12</v>
      </c>
      <c r="H4301" s="1">
        <v>45058</v>
      </c>
    </row>
    <row r="4302" spans="1:8">
      <c r="A4302" t="s">
        <v>8608</v>
      </c>
      <c r="B4302" t="s">
        <v>8609</v>
      </c>
      <c r="C4302" t="s">
        <v>10</v>
      </c>
      <c r="D4302">
        <v>35</v>
      </c>
      <c r="E4302" t="s">
        <v>15</v>
      </c>
      <c r="F4302" t="s">
        <v>16</v>
      </c>
      <c r="G4302" t="s">
        <v>17</v>
      </c>
      <c r="H4302" s="1">
        <v>45650</v>
      </c>
    </row>
    <row r="4303" spans="1:8">
      <c r="A4303" t="s">
        <v>8610</v>
      </c>
      <c r="B4303" t="s">
        <v>8611</v>
      </c>
      <c r="C4303" t="s">
        <v>10</v>
      </c>
      <c r="D4303">
        <v>70</v>
      </c>
      <c r="E4303" t="s">
        <v>149</v>
      </c>
      <c r="F4303" t="s">
        <v>38</v>
      </c>
      <c r="G4303" t="s">
        <v>22</v>
      </c>
      <c r="H4303" s="1">
        <v>45126</v>
      </c>
    </row>
    <row r="4304" spans="1:8">
      <c r="A4304" t="s">
        <v>8612</v>
      </c>
      <c r="B4304" t="s">
        <v>8613</v>
      </c>
      <c r="C4304" t="s">
        <v>31</v>
      </c>
      <c r="D4304">
        <v>32</v>
      </c>
      <c r="E4304" t="s">
        <v>41</v>
      </c>
      <c r="F4304" t="s">
        <v>42</v>
      </c>
      <c r="G4304" t="s">
        <v>17</v>
      </c>
      <c r="H4304" s="1">
        <v>45932</v>
      </c>
    </row>
    <row r="4305" spans="1:8">
      <c r="A4305" t="s">
        <v>8614</v>
      </c>
      <c r="B4305" t="s">
        <v>8615</v>
      </c>
      <c r="C4305" t="s">
        <v>31</v>
      </c>
      <c r="D4305">
        <v>27</v>
      </c>
      <c r="E4305" t="s">
        <v>91</v>
      </c>
      <c r="F4305" t="s">
        <v>92</v>
      </c>
      <c r="G4305" t="s">
        <v>78</v>
      </c>
      <c r="H4305" s="1">
        <v>44811</v>
      </c>
    </row>
    <row r="4306" spans="1:8">
      <c r="A4306" t="s">
        <v>8616</v>
      </c>
      <c r="B4306" t="s">
        <v>8617</v>
      </c>
      <c r="C4306" t="s">
        <v>31</v>
      </c>
      <c r="D4306">
        <v>29</v>
      </c>
      <c r="E4306" t="s">
        <v>15</v>
      </c>
      <c r="F4306" t="s">
        <v>16</v>
      </c>
      <c r="G4306" t="s">
        <v>17</v>
      </c>
      <c r="H4306" s="1">
        <v>45012</v>
      </c>
    </row>
    <row r="4307" spans="1:8">
      <c r="A4307" t="s">
        <v>8618</v>
      </c>
      <c r="B4307" t="s">
        <v>8619</v>
      </c>
      <c r="C4307" t="s">
        <v>31</v>
      </c>
      <c r="D4307">
        <v>60</v>
      </c>
      <c r="E4307" t="s">
        <v>20</v>
      </c>
      <c r="F4307" t="s">
        <v>21</v>
      </c>
      <c r="G4307" t="s">
        <v>22</v>
      </c>
      <c r="H4307" s="1">
        <v>45603</v>
      </c>
    </row>
    <row r="4308" spans="1:8">
      <c r="A4308" t="s">
        <v>8620</v>
      </c>
      <c r="B4308" t="s">
        <v>8621</v>
      </c>
      <c r="C4308" t="s">
        <v>31</v>
      </c>
      <c r="D4308">
        <v>42</v>
      </c>
      <c r="E4308" t="s">
        <v>60</v>
      </c>
      <c r="F4308" t="s">
        <v>21</v>
      </c>
      <c r="G4308" t="s">
        <v>22</v>
      </c>
      <c r="H4308" s="1">
        <v>45531</v>
      </c>
    </row>
    <row r="4309" spans="1:8">
      <c r="A4309" t="s">
        <v>8622</v>
      </c>
      <c r="B4309" t="s">
        <v>8623</v>
      </c>
      <c r="C4309" t="s">
        <v>10</v>
      </c>
      <c r="D4309">
        <v>41</v>
      </c>
      <c r="E4309" t="s">
        <v>45</v>
      </c>
      <c r="F4309" t="s">
        <v>46</v>
      </c>
      <c r="G4309" t="s">
        <v>17</v>
      </c>
      <c r="H4309" s="1">
        <v>45537</v>
      </c>
    </row>
    <row r="4310" spans="1:8">
      <c r="A4310" t="s">
        <v>8624</v>
      </c>
      <c r="B4310" t="s">
        <v>8625</v>
      </c>
      <c r="C4310" t="s">
        <v>10</v>
      </c>
      <c r="D4310">
        <v>58</v>
      </c>
      <c r="E4310" t="s">
        <v>60</v>
      </c>
      <c r="F4310" t="s">
        <v>21</v>
      </c>
      <c r="G4310" t="s">
        <v>22</v>
      </c>
      <c r="H4310" s="1">
        <v>44710</v>
      </c>
    </row>
    <row r="4311" spans="1:8">
      <c r="A4311" t="s">
        <v>8626</v>
      </c>
      <c r="B4311" t="s">
        <v>8627</v>
      </c>
      <c r="C4311" t="s">
        <v>31</v>
      </c>
      <c r="D4311">
        <v>64</v>
      </c>
      <c r="E4311" t="s">
        <v>134</v>
      </c>
      <c r="F4311" t="s">
        <v>28</v>
      </c>
      <c r="G4311" t="s">
        <v>12</v>
      </c>
      <c r="H4311" s="1">
        <v>44739</v>
      </c>
    </row>
    <row r="4312" spans="1:8">
      <c r="A4312" t="s">
        <v>8628</v>
      </c>
      <c r="B4312" t="s">
        <v>8629</v>
      </c>
      <c r="C4312" t="s">
        <v>31</v>
      </c>
      <c r="D4312">
        <v>39</v>
      </c>
      <c r="E4312" t="s">
        <v>15</v>
      </c>
      <c r="F4312" t="s">
        <v>16</v>
      </c>
      <c r="G4312" t="s">
        <v>17</v>
      </c>
      <c r="H4312" s="1">
        <v>45721</v>
      </c>
    </row>
    <row r="4313" spans="1:8">
      <c r="A4313" t="s">
        <v>8630</v>
      </c>
      <c r="B4313" t="s">
        <v>8631</v>
      </c>
      <c r="C4313" t="s">
        <v>10</v>
      </c>
      <c r="D4313">
        <v>54</v>
      </c>
      <c r="E4313" t="s">
        <v>20</v>
      </c>
      <c r="F4313" t="s">
        <v>21</v>
      </c>
      <c r="G4313" t="s">
        <v>22</v>
      </c>
      <c r="H4313" s="1">
        <v>45728</v>
      </c>
    </row>
    <row r="4314" spans="1:8">
      <c r="A4314" t="s">
        <v>8632</v>
      </c>
      <c r="B4314" t="s">
        <v>3773</v>
      </c>
      <c r="C4314" t="s">
        <v>31</v>
      </c>
      <c r="D4314">
        <v>46</v>
      </c>
      <c r="E4314" t="s">
        <v>27</v>
      </c>
      <c r="F4314" t="s">
        <v>28</v>
      </c>
      <c r="G4314" t="s">
        <v>12</v>
      </c>
      <c r="H4314" s="1">
        <v>44995</v>
      </c>
    </row>
    <row r="4315" spans="1:8">
      <c r="A4315" t="s">
        <v>8633</v>
      </c>
      <c r="B4315" t="s">
        <v>8634</v>
      </c>
      <c r="C4315" t="s">
        <v>10</v>
      </c>
      <c r="D4315">
        <v>48</v>
      </c>
      <c r="E4315" t="s">
        <v>37</v>
      </c>
      <c r="F4315" t="s">
        <v>38</v>
      </c>
      <c r="G4315" t="s">
        <v>22</v>
      </c>
      <c r="H4315" s="1">
        <v>44940</v>
      </c>
    </row>
    <row r="4316" spans="1:8">
      <c r="A4316" t="s">
        <v>8635</v>
      </c>
      <c r="B4316" t="s">
        <v>8636</v>
      </c>
      <c r="C4316" t="s">
        <v>31</v>
      </c>
      <c r="D4316">
        <v>28</v>
      </c>
      <c r="E4316" t="s">
        <v>63</v>
      </c>
      <c r="F4316" t="s">
        <v>64</v>
      </c>
      <c r="G4316" t="s">
        <v>12</v>
      </c>
      <c r="H4316" s="1">
        <v>44599</v>
      </c>
    </row>
    <row r="4317" spans="1:8">
      <c r="A4317" t="s">
        <v>8637</v>
      </c>
      <c r="B4317" t="s">
        <v>8638</v>
      </c>
      <c r="C4317" t="s">
        <v>10</v>
      </c>
      <c r="D4317">
        <v>22</v>
      </c>
      <c r="E4317" t="s">
        <v>101</v>
      </c>
      <c r="F4317" t="s">
        <v>21</v>
      </c>
      <c r="G4317" t="s">
        <v>22</v>
      </c>
      <c r="H4317" s="1">
        <v>45927</v>
      </c>
    </row>
    <row r="4318" spans="1:8">
      <c r="A4318" t="s">
        <v>8639</v>
      </c>
      <c r="B4318" t="s">
        <v>8640</v>
      </c>
      <c r="C4318" t="s">
        <v>10</v>
      </c>
      <c r="D4318">
        <v>64</v>
      </c>
      <c r="E4318" t="s">
        <v>69</v>
      </c>
      <c r="F4318" t="s">
        <v>69</v>
      </c>
      <c r="G4318" t="s">
        <v>12</v>
      </c>
      <c r="H4318" s="1">
        <v>44758</v>
      </c>
    </row>
    <row r="4319" spans="1:8">
      <c r="A4319" t="s">
        <v>8641</v>
      </c>
      <c r="B4319" t="s">
        <v>8642</v>
      </c>
      <c r="C4319" t="s">
        <v>10</v>
      </c>
      <c r="D4319">
        <v>30</v>
      </c>
      <c r="E4319" t="s">
        <v>63</v>
      </c>
      <c r="F4319" t="s">
        <v>64</v>
      </c>
      <c r="G4319" t="s">
        <v>12</v>
      </c>
      <c r="H4319" s="1">
        <v>45191</v>
      </c>
    </row>
    <row r="4320" spans="1:8">
      <c r="A4320" t="s">
        <v>8643</v>
      </c>
      <c r="B4320" t="s">
        <v>8644</v>
      </c>
      <c r="C4320" t="s">
        <v>31</v>
      </c>
      <c r="D4320">
        <v>47</v>
      </c>
      <c r="E4320" t="s">
        <v>149</v>
      </c>
      <c r="F4320" t="s">
        <v>38</v>
      </c>
      <c r="G4320" t="s">
        <v>22</v>
      </c>
      <c r="H4320" s="1">
        <v>45832</v>
      </c>
    </row>
    <row r="4321" spans="1:8">
      <c r="A4321" t="s">
        <v>8645</v>
      </c>
      <c r="B4321" t="s">
        <v>8646</v>
      </c>
      <c r="C4321" t="s">
        <v>10</v>
      </c>
      <c r="D4321">
        <v>54</v>
      </c>
      <c r="E4321" t="s">
        <v>149</v>
      </c>
      <c r="F4321" t="s">
        <v>38</v>
      </c>
      <c r="G4321" t="s">
        <v>22</v>
      </c>
      <c r="H4321" s="1">
        <v>45393</v>
      </c>
    </row>
    <row r="4322" spans="1:8">
      <c r="A4322" t="s">
        <v>8647</v>
      </c>
      <c r="B4322" t="s">
        <v>8648</v>
      </c>
      <c r="C4322" t="s">
        <v>10</v>
      </c>
      <c r="D4322">
        <v>28</v>
      </c>
      <c r="E4322" t="s">
        <v>112</v>
      </c>
      <c r="F4322" t="s">
        <v>113</v>
      </c>
      <c r="G4322" t="s">
        <v>78</v>
      </c>
      <c r="H4322" s="1">
        <v>45003</v>
      </c>
    </row>
    <row r="4323" spans="1:8">
      <c r="A4323" t="s">
        <v>8649</v>
      </c>
      <c r="B4323" t="s">
        <v>8650</v>
      </c>
      <c r="C4323" t="s">
        <v>10</v>
      </c>
      <c r="D4323">
        <v>69</v>
      </c>
      <c r="E4323" t="s">
        <v>149</v>
      </c>
      <c r="F4323" t="s">
        <v>38</v>
      </c>
      <c r="G4323" t="s">
        <v>22</v>
      </c>
      <c r="H4323" s="1">
        <v>45035</v>
      </c>
    </row>
    <row r="4324" spans="1:8">
      <c r="A4324" t="s">
        <v>8651</v>
      </c>
      <c r="B4324" t="s">
        <v>8652</v>
      </c>
      <c r="C4324" t="s">
        <v>31</v>
      </c>
      <c r="D4324">
        <v>59</v>
      </c>
      <c r="E4324" t="s">
        <v>63</v>
      </c>
      <c r="F4324" t="s">
        <v>64</v>
      </c>
      <c r="G4324" t="s">
        <v>12</v>
      </c>
      <c r="H4324" s="1">
        <v>44832</v>
      </c>
    </row>
    <row r="4325" spans="1:8">
      <c r="A4325" t="s">
        <v>8653</v>
      </c>
      <c r="B4325" t="s">
        <v>8654</v>
      </c>
      <c r="C4325" t="s">
        <v>31</v>
      </c>
      <c r="D4325">
        <v>62</v>
      </c>
      <c r="E4325" t="s">
        <v>20</v>
      </c>
      <c r="F4325" t="s">
        <v>21</v>
      </c>
      <c r="G4325" t="s">
        <v>22</v>
      </c>
      <c r="H4325" s="1">
        <v>45504</v>
      </c>
    </row>
    <row r="4326" spans="1:8">
      <c r="A4326" t="s">
        <v>8655</v>
      </c>
      <c r="B4326" t="s">
        <v>8656</v>
      </c>
      <c r="C4326" t="s">
        <v>31</v>
      </c>
      <c r="D4326">
        <v>59</v>
      </c>
      <c r="E4326" t="s">
        <v>60</v>
      </c>
      <c r="F4326" t="s">
        <v>21</v>
      </c>
      <c r="G4326" t="s">
        <v>22</v>
      </c>
      <c r="H4326" s="1">
        <v>45657</v>
      </c>
    </row>
    <row r="4327" spans="1:8">
      <c r="A4327" t="s">
        <v>8657</v>
      </c>
      <c r="B4327" t="s">
        <v>8658</v>
      </c>
      <c r="C4327" t="s">
        <v>10</v>
      </c>
      <c r="D4327">
        <v>58</v>
      </c>
      <c r="E4327" t="s">
        <v>37</v>
      </c>
      <c r="F4327" t="s">
        <v>38</v>
      </c>
      <c r="G4327" t="s">
        <v>22</v>
      </c>
      <c r="H4327" s="1">
        <v>45047</v>
      </c>
    </row>
    <row r="4328" spans="1:8">
      <c r="A4328" t="s">
        <v>8659</v>
      </c>
      <c r="B4328" t="s">
        <v>8660</v>
      </c>
      <c r="C4328" t="s">
        <v>10</v>
      </c>
      <c r="D4328">
        <v>56</v>
      </c>
      <c r="E4328" t="s">
        <v>134</v>
      </c>
      <c r="F4328" t="s">
        <v>28</v>
      </c>
      <c r="G4328" t="s">
        <v>12</v>
      </c>
      <c r="H4328" s="1">
        <v>44977</v>
      </c>
    </row>
    <row r="4329" spans="1:8">
      <c r="A4329" t="s">
        <v>8661</v>
      </c>
      <c r="B4329" t="s">
        <v>8662</v>
      </c>
      <c r="C4329" t="s">
        <v>31</v>
      </c>
      <c r="D4329">
        <v>30</v>
      </c>
      <c r="E4329" t="s">
        <v>41</v>
      </c>
      <c r="F4329" t="s">
        <v>42</v>
      </c>
      <c r="G4329" t="s">
        <v>17</v>
      </c>
      <c r="H4329" s="1">
        <v>45235</v>
      </c>
    </row>
    <row r="4330" spans="1:8">
      <c r="A4330" t="s">
        <v>8663</v>
      </c>
      <c r="B4330" t="s">
        <v>8664</v>
      </c>
      <c r="C4330" t="s">
        <v>31</v>
      </c>
      <c r="D4330">
        <v>29</v>
      </c>
      <c r="E4330" t="s">
        <v>218</v>
      </c>
      <c r="F4330" t="s">
        <v>219</v>
      </c>
      <c r="G4330" t="s">
        <v>17</v>
      </c>
      <c r="H4330" s="1">
        <v>45938</v>
      </c>
    </row>
    <row r="4331" spans="1:8">
      <c r="A4331" t="s">
        <v>8665</v>
      </c>
      <c r="B4331" t="s">
        <v>8666</v>
      </c>
      <c r="C4331" t="s">
        <v>10</v>
      </c>
      <c r="D4331">
        <v>25</v>
      </c>
      <c r="E4331" t="s">
        <v>34</v>
      </c>
      <c r="F4331" t="s">
        <v>16</v>
      </c>
      <c r="G4331" t="s">
        <v>17</v>
      </c>
      <c r="H4331" s="1">
        <v>44655</v>
      </c>
    </row>
    <row r="4332" spans="1:8">
      <c r="A4332" t="s">
        <v>8667</v>
      </c>
      <c r="B4332" t="s">
        <v>8668</v>
      </c>
      <c r="C4332" t="s">
        <v>31</v>
      </c>
      <c r="D4332">
        <v>49</v>
      </c>
      <c r="E4332" t="s">
        <v>134</v>
      </c>
      <c r="F4332" t="s">
        <v>28</v>
      </c>
      <c r="G4332" t="s">
        <v>12</v>
      </c>
      <c r="H4332" s="1">
        <v>44610</v>
      </c>
    </row>
    <row r="4333" spans="1:8">
      <c r="A4333" t="s">
        <v>8669</v>
      </c>
      <c r="B4333" t="s">
        <v>8670</v>
      </c>
      <c r="C4333" t="s">
        <v>31</v>
      </c>
      <c r="D4333">
        <v>69</v>
      </c>
      <c r="E4333" t="s">
        <v>134</v>
      </c>
      <c r="F4333" t="s">
        <v>28</v>
      </c>
      <c r="G4333" t="s">
        <v>12</v>
      </c>
      <c r="H4333" s="1">
        <v>45141</v>
      </c>
    </row>
    <row r="4334" spans="1:8">
      <c r="A4334" t="s">
        <v>8671</v>
      </c>
      <c r="B4334" t="s">
        <v>8672</v>
      </c>
      <c r="C4334" t="s">
        <v>10</v>
      </c>
      <c r="D4334">
        <v>18</v>
      </c>
      <c r="E4334" t="s">
        <v>112</v>
      </c>
      <c r="F4334" t="s">
        <v>113</v>
      </c>
      <c r="G4334" t="s">
        <v>78</v>
      </c>
      <c r="H4334" s="1">
        <v>44576</v>
      </c>
    </row>
    <row r="4335" spans="1:8">
      <c r="A4335" t="s">
        <v>8673</v>
      </c>
      <c r="B4335" t="s">
        <v>8674</v>
      </c>
      <c r="C4335" t="s">
        <v>31</v>
      </c>
      <c r="D4335">
        <v>37</v>
      </c>
      <c r="E4335" t="s">
        <v>218</v>
      </c>
      <c r="F4335" t="s">
        <v>219</v>
      </c>
      <c r="G4335" t="s">
        <v>17</v>
      </c>
      <c r="H4335" s="1">
        <v>45512</v>
      </c>
    </row>
    <row r="4336" spans="1:8">
      <c r="A4336" t="s">
        <v>8675</v>
      </c>
      <c r="B4336" t="s">
        <v>8676</v>
      </c>
      <c r="C4336" t="s">
        <v>31</v>
      </c>
      <c r="D4336">
        <v>37</v>
      </c>
      <c r="E4336" t="s">
        <v>149</v>
      </c>
      <c r="F4336" t="s">
        <v>38</v>
      </c>
      <c r="G4336" t="s">
        <v>22</v>
      </c>
      <c r="H4336" s="1">
        <v>45578</v>
      </c>
    </row>
    <row r="4337" spans="1:8">
      <c r="A4337" t="s">
        <v>8677</v>
      </c>
      <c r="B4337" t="s">
        <v>8678</v>
      </c>
      <c r="C4337" t="s">
        <v>31</v>
      </c>
      <c r="D4337">
        <v>23</v>
      </c>
      <c r="E4337" t="s">
        <v>60</v>
      </c>
      <c r="F4337" t="s">
        <v>21</v>
      </c>
      <c r="G4337" t="s">
        <v>22</v>
      </c>
      <c r="H4337" s="1">
        <v>45483</v>
      </c>
    </row>
    <row r="4338" spans="1:8">
      <c r="A4338" t="s">
        <v>8679</v>
      </c>
      <c r="B4338" t="s">
        <v>8680</v>
      </c>
      <c r="C4338" t="s">
        <v>31</v>
      </c>
      <c r="D4338">
        <v>45</v>
      </c>
      <c r="E4338" t="s">
        <v>101</v>
      </c>
      <c r="F4338" t="s">
        <v>21</v>
      </c>
      <c r="G4338" t="s">
        <v>22</v>
      </c>
      <c r="H4338" s="1">
        <v>45351</v>
      </c>
    </row>
    <row r="4339" spans="1:8">
      <c r="A4339" t="s">
        <v>8681</v>
      </c>
      <c r="B4339" t="s">
        <v>8682</v>
      </c>
      <c r="C4339" t="s">
        <v>31</v>
      </c>
      <c r="D4339">
        <v>20</v>
      </c>
      <c r="E4339" t="s">
        <v>11</v>
      </c>
      <c r="F4339" t="s">
        <v>11</v>
      </c>
      <c r="G4339" t="s">
        <v>12</v>
      </c>
      <c r="H4339" s="1">
        <v>45088</v>
      </c>
    </row>
    <row r="4340" spans="1:8">
      <c r="A4340" t="s">
        <v>8683</v>
      </c>
      <c r="B4340" t="s">
        <v>8684</v>
      </c>
      <c r="C4340" t="s">
        <v>31</v>
      </c>
      <c r="D4340">
        <v>62</v>
      </c>
      <c r="E4340" t="s">
        <v>34</v>
      </c>
      <c r="F4340" t="s">
        <v>16</v>
      </c>
      <c r="G4340" t="s">
        <v>17</v>
      </c>
      <c r="H4340" s="1">
        <v>45284</v>
      </c>
    </row>
    <row r="4341" spans="1:8">
      <c r="A4341" t="s">
        <v>8685</v>
      </c>
      <c r="B4341" t="s">
        <v>8686</v>
      </c>
      <c r="C4341" t="s">
        <v>31</v>
      </c>
      <c r="D4341">
        <v>35</v>
      </c>
      <c r="E4341" t="s">
        <v>34</v>
      </c>
      <c r="F4341" t="s">
        <v>16</v>
      </c>
      <c r="G4341" t="s">
        <v>17</v>
      </c>
      <c r="H4341" s="1">
        <v>44639</v>
      </c>
    </row>
    <row r="4342" spans="1:8">
      <c r="A4342" t="s">
        <v>8687</v>
      </c>
      <c r="B4342" t="s">
        <v>8688</v>
      </c>
      <c r="C4342" t="s">
        <v>31</v>
      </c>
      <c r="D4342">
        <v>46</v>
      </c>
      <c r="E4342" t="s">
        <v>60</v>
      </c>
      <c r="F4342" t="s">
        <v>21</v>
      </c>
      <c r="G4342" t="s">
        <v>22</v>
      </c>
      <c r="H4342" s="1">
        <v>44943</v>
      </c>
    </row>
    <row r="4343" spans="1:8">
      <c r="A4343" t="s">
        <v>8689</v>
      </c>
      <c r="B4343" t="s">
        <v>8690</v>
      </c>
      <c r="C4343" t="s">
        <v>31</v>
      </c>
      <c r="D4343">
        <v>26</v>
      </c>
      <c r="E4343" t="s">
        <v>218</v>
      </c>
      <c r="F4343" t="s">
        <v>219</v>
      </c>
      <c r="G4343" t="s">
        <v>17</v>
      </c>
      <c r="H4343" s="1">
        <v>45893</v>
      </c>
    </row>
    <row r="4344" spans="1:8">
      <c r="A4344" t="s">
        <v>8691</v>
      </c>
      <c r="B4344" t="s">
        <v>8692</v>
      </c>
      <c r="C4344" t="s">
        <v>31</v>
      </c>
      <c r="D4344">
        <v>31</v>
      </c>
      <c r="E4344" t="s">
        <v>149</v>
      </c>
      <c r="F4344" t="s">
        <v>38</v>
      </c>
      <c r="G4344" t="s">
        <v>22</v>
      </c>
      <c r="H4344" s="1">
        <v>45018</v>
      </c>
    </row>
    <row r="4345" spans="1:8">
      <c r="A4345" t="s">
        <v>8693</v>
      </c>
      <c r="B4345" t="s">
        <v>8694</v>
      </c>
      <c r="C4345" t="s">
        <v>31</v>
      </c>
      <c r="D4345">
        <v>64</v>
      </c>
      <c r="E4345" t="s">
        <v>45</v>
      </c>
      <c r="F4345" t="s">
        <v>46</v>
      </c>
      <c r="G4345" t="s">
        <v>17</v>
      </c>
      <c r="H4345" s="1">
        <v>45777</v>
      </c>
    </row>
    <row r="4346" spans="1:8">
      <c r="A4346" t="s">
        <v>8695</v>
      </c>
      <c r="B4346" t="s">
        <v>8696</v>
      </c>
      <c r="C4346" t="s">
        <v>10</v>
      </c>
      <c r="D4346">
        <v>28</v>
      </c>
      <c r="E4346" t="s">
        <v>45</v>
      </c>
      <c r="F4346" t="s">
        <v>46</v>
      </c>
      <c r="G4346" t="s">
        <v>17</v>
      </c>
      <c r="H4346" s="1">
        <v>45278</v>
      </c>
    </row>
    <row r="4347" spans="1:8">
      <c r="A4347" t="s">
        <v>8697</v>
      </c>
      <c r="B4347" t="s">
        <v>8698</v>
      </c>
      <c r="C4347" t="s">
        <v>10</v>
      </c>
      <c r="D4347">
        <v>45</v>
      </c>
      <c r="E4347" t="s">
        <v>149</v>
      </c>
      <c r="F4347" t="s">
        <v>38</v>
      </c>
      <c r="G4347" t="s">
        <v>22</v>
      </c>
      <c r="H4347" s="1">
        <v>45408</v>
      </c>
    </row>
    <row r="4348" spans="1:8">
      <c r="A4348" t="s">
        <v>8699</v>
      </c>
      <c r="B4348" t="s">
        <v>8700</v>
      </c>
      <c r="C4348" t="s">
        <v>31</v>
      </c>
      <c r="D4348">
        <v>51</v>
      </c>
      <c r="E4348" t="s">
        <v>15</v>
      </c>
      <c r="F4348" t="s">
        <v>16</v>
      </c>
      <c r="G4348" t="s">
        <v>17</v>
      </c>
      <c r="H4348" s="1">
        <v>45205</v>
      </c>
    </row>
    <row r="4349" spans="1:8">
      <c r="A4349" t="s">
        <v>8701</v>
      </c>
      <c r="B4349" t="s">
        <v>8702</v>
      </c>
      <c r="C4349" t="s">
        <v>31</v>
      </c>
      <c r="D4349">
        <v>57</v>
      </c>
      <c r="E4349" t="s">
        <v>27</v>
      </c>
      <c r="F4349" t="s">
        <v>28</v>
      </c>
      <c r="G4349" t="s">
        <v>12</v>
      </c>
      <c r="H4349" s="1">
        <v>45729</v>
      </c>
    </row>
    <row r="4350" spans="1:8">
      <c r="A4350" t="s">
        <v>8703</v>
      </c>
      <c r="B4350" t="s">
        <v>8704</v>
      </c>
      <c r="C4350" t="s">
        <v>31</v>
      </c>
      <c r="D4350">
        <v>33</v>
      </c>
      <c r="E4350" t="s">
        <v>37</v>
      </c>
      <c r="F4350" t="s">
        <v>38</v>
      </c>
      <c r="G4350" t="s">
        <v>22</v>
      </c>
      <c r="H4350" s="1">
        <v>45409</v>
      </c>
    </row>
    <row r="4351" spans="1:8">
      <c r="A4351" t="s">
        <v>8705</v>
      </c>
      <c r="B4351" t="s">
        <v>8706</v>
      </c>
      <c r="C4351" t="s">
        <v>31</v>
      </c>
      <c r="D4351">
        <v>65</v>
      </c>
      <c r="E4351" t="s">
        <v>45</v>
      </c>
      <c r="F4351" t="s">
        <v>46</v>
      </c>
      <c r="G4351" t="s">
        <v>17</v>
      </c>
      <c r="H4351" s="1">
        <v>45098</v>
      </c>
    </row>
    <row r="4352" spans="1:8">
      <c r="A4352" t="s">
        <v>8707</v>
      </c>
      <c r="B4352" t="s">
        <v>8708</v>
      </c>
      <c r="C4352" t="s">
        <v>31</v>
      </c>
      <c r="D4352">
        <v>57</v>
      </c>
      <c r="E4352" t="s">
        <v>45</v>
      </c>
      <c r="F4352" t="s">
        <v>46</v>
      </c>
      <c r="G4352" t="s">
        <v>17</v>
      </c>
      <c r="H4352" s="1">
        <v>44711</v>
      </c>
    </row>
    <row r="4353" spans="1:8">
      <c r="A4353" t="s">
        <v>8709</v>
      </c>
      <c r="B4353" t="s">
        <v>8710</v>
      </c>
      <c r="C4353" t="s">
        <v>10</v>
      </c>
      <c r="D4353">
        <v>66</v>
      </c>
      <c r="E4353" t="s">
        <v>218</v>
      </c>
      <c r="F4353" t="s">
        <v>219</v>
      </c>
      <c r="G4353" t="s">
        <v>17</v>
      </c>
      <c r="H4353" s="1">
        <v>45797</v>
      </c>
    </row>
    <row r="4354" spans="1:8">
      <c r="A4354" t="s">
        <v>8711</v>
      </c>
      <c r="B4354" t="s">
        <v>8712</v>
      </c>
      <c r="C4354" t="s">
        <v>31</v>
      </c>
      <c r="D4354">
        <v>36</v>
      </c>
      <c r="E4354" t="s">
        <v>134</v>
      </c>
      <c r="F4354" t="s">
        <v>28</v>
      </c>
      <c r="G4354" t="s">
        <v>12</v>
      </c>
      <c r="H4354" s="1">
        <v>45126</v>
      </c>
    </row>
    <row r="4355" spans="1:8">
      <c r="A4355" t="s">
        <v>8713</v>
      </c>
      <c r="B4355" t="s">
        <v>8714</v>
      </c>
      <c r="C4355" t="s">
        <v>31</v>
      </c>
      <c r="D4355">
        <v>19</v>
      </c>
      <c r="E4355" t="s">
        <v>45</v>
      </c>
      <c r="F4355" t="s">
        <v>46</v>
      </c>
      <c r="G4355" t="s">
        <v>17</v>
      </c>
      <c r="H4355" s="1">
        <v>45401</v>
      </c>
    </row>
    <row r="4356" spans="1:8">
      <c r="A4356" t="s">
        <v>8715</v>
      </c>
      <c r="B4356" t="s">
        <v>8716</v>
      </c>
      <c r="C4356" t="s">
        <v>10</v>
      </c>
      <c r="D4356">
        <v>32</v>
      </c>
      <c r="E4356" t="s">
        <v>60</v>
      </c>
      <c r="F4356" t="s">
        <v>21</v>
      </c>
      <c r="G4356" t="s">
        <v>22</v>
      </c>
      <c r="H4356" s="1">
        <v>44912</v>
      </c>
    </row>
    <row r="4357" spans="1:8">
      <c r="A4357" t="s">
        <v>8717</v>
      </c>
      <c r="B4357" t="s">
        <v>8718</v>
      </c>
      <c r="C4357" t="s">
        <v>31</v>
      </c>
      <c r="D4357">
        <v>26</v>
      </c>
      <c r="E4357" t="s">
        <v>45</v>
      </c>
      <c r="F4357" t="s">
        <v>46</v>
      </c>
      <c r="G4357" t="s">
        <v>17</v>
      </c>
      <c r="H4357" s="1">
        <v>45587</v>
      </c>
    </row>
    <row r="4358" spans="1:8">
      <c r="A4358" t="s">
        <v>8719</v>
      </c>
      <c r="B4358" t="s">
        <v>8720</v>
      </c>
      <c r="C4358" t="s">
        <v>31</v>
      </c>
      <c r="D4358">
        <v>24</v>
      </c>
      <c r="E4358" t="s">
        <v>69</v>
      </c>
      <c r="F4358" t="s">
        <v>69</v>
      </c>
      <c r="G4358" t="s">
        <v>12</v>
      </c>
      <c r="H4358" s="1">
        <v>45009</v>
      </c>
    </row>
    <row r="4359" spans="1:8">
      <c r="A4359" t="s">
        <v>8721</v>
      </c>
      <c r="B4359" t="s">
        <v>8722</v>
      </c>
      <c r="C4359" t="s">
        <v>31</v>
      </c>
      <c r="D4359">
        <v>26</v>
      </c>
      <c r="E4359" t="s">
        <v>15</v>
      </c>
      <c r="F4359" t="s">
        <v>16</v>
      </c>
      <c r="G4359" t="s">
        <v>17</v>
      </c>
      <c r="H4359" s="1">
        <v>44578</v>
      </c>
    </row>
    <row r="4360" spans="1:8">
      <c r="A4360" t="s">
        <v>8723</v>
      </c>
      <c r="B4360" t="s">
        <v>8724</v>
      </c>
      <c r="C4360" t="s">
        <v>31</v>
      </c>
      <c r="D4360">
        <v>66</v>
      </c>
      <c r="E4360" t="s">
        <v>34</v>
      </c>
      <c r="F4360" t="s">
        <v>16</v>
      </c>
      <c r="G4360" t="s">
        <v>17</v>
      </c>
      <c r="H4360" s="1">
        <v>44797</v>
      </c>
    </row>
    <row r="4361" spans="1:8">
      <c r="A4361" t="s">
        <v>8725</v>
      </c>
      <c r="B4361" t="s">
        <v>8726</v>
      </c>
      <c r="C4361" t="s">
        <v>31</v>
      </c>
      <c r="D4361">
        <v>30</v>
      </c>
      <c r="E4361" t="s">
        <v>45</v>
      </c>
      <c r="F4361" t="s">
        <v>46</v>
      </c>
      <c r="G4361" t="s">
        <v>17</v>
      </c>
      <c r="H4361" s="1">
        <v>45179</v>
      </c>
    </row>
    <row r="4362" spans="1:8">
      <c r="A4362" t="s">
        <v>8727</v>
      </c>
      <c r="B4362" t="s">
        <v>8728</v>
      </c>
      <c r="C4362" t="s">
        <v>31</v>
      </c>
      <c r="D4362">
        <v>48</v>
      </c>
      <c r="E4362" t="s">
        <v>41</v>
      </c>
      <c r="F4362" t="s">
        <v>42</v>
      </c>
      <c r="G4362" t="s">
        <v>17</v>
      </c>
      <c r="H4362" s="1">
        <v>45320</v>
      </c>
    </row>
    <row r="4363" spans="1:8">
      <c r="A4363" t="s">
        <v>8729</v>
      </c>
      <c r="B4363" t="s">
        <v>8730</v>
      </c>
      <c r="C4363" t="s">
        <v>10</v>
      </c>
      <c r="D4363">
        <v>33</v>
      </c>
      <c r="E4363" t="s">
        <v>63</v>
      </c>
      <c r="F4363" t="s">
        <v>64</v>
      </c>
      <c r="G4363" t="s">
        <v>12</v>
      </c>
      <c r="H4363" s="1">
        <v>44819</v>
      </c>
    </row>
    <row r="4364" spans="1:8">
      <c r="A4364" t="s">
        <v>8731</v>
      </c>
      <c r="B4364" t="s">
        <v>8732</v>
      </c>
      <c r="C4364" t="s">
        <v>31</v>
      </c>
      <c r="D4364">
        <v>37</v>
      </c>
      <c r="E4364" t="s">
        <v>45</v>
      </c>
      <c r="F4364" t="s">
        <v>46</v>
      </c>
      <c r="G4364" t="s">
        <v>17</v>
      </c>
      <c r="H4364" s="1">
        <v>45131</v>
      </c>
    </row>
    <row r="4365" spans="1:8">
      <c r="A4365" t="s">
        <v>8733</v>
      </c>
      <c r="B4365" t="s">
        <v>8734</v>
      </c>
      <c r="C4365" t="s">
        <v>10</v>
      </c>
      <c r="D4365">
        <v>54</v>
      </c>
      <c r="E4365" t="s">
        <v>20</v>
      </c>
      <c r="F4365" t="s">
        <v>21</v>
      </c>
      <c r="G4365" t="s">
        <v>22</v>
      </c>
      <c r="H4365" s="1">
        <v>44865</v>
      </c>
    </row>
    <row r="4366" spans="1:8">
      <c r="A4366" t="s">
        <v>8735</v>
      </c>
      <c r="B4366" t="s">
        <v>8736</v>
      </c>
      <c r="C4366" t="s">
        <v>31</v>
      </c>
      <c r="D4366">
        <v>24</v>
      </c>
      <c r="E4366" t="s">
        <v>15</v>
      </c>
      <c r="F4366" t="s">
        <v>16</v>
      </c>
      <c r="G4366" t="s">
        <v>17</v>
      </c>
      <c r="H4366" s="1">
        <v>44851</v>
      </c>
    </row>
    <row r="4367" spans="1:8">
      <c r="A4367" t="s">
        <v>8737</v>
      </c>
      <c r="B4367" t="s">
        <v>8738</v>
      </c>
      <c r="C4367" t="s">
        <v>31</v>
      </c>
      <c r="D4367">
        <v>39</v>
      </c>
      <c r="E4367" t="s">
        <v>15</v>
      </c>
      <c r="F4367" t="s">
        <v>16</v>
      </c>
      <c r="G4367" t="s">
        <v>17</v>
      </c>
      <c r="H4367" s="1">
        <v>44979</v>
      </c>
    </row>
    <row r="4368" spans="1:8">
      <c r="A4368" t="s">
        <v>8739</v>
      </c>
      <c r="B4368" t="s">
        <v>8740</v>
      </c>
      <c r="C4368" t="s">
        <v>31</v>
      </c>
      <c r="D4368">
        <v>30</v>
      </c>
      <c r="E4368" t="s">
        <v>91</v>
      </c>
      <c r="F4368" t="s">
        <v>92</v>
      </c>
      <c r="G4368" t="s">
        <v>78</v>
      </c>
      <c r="H4368" s="1">
        <v>45644</v>
      </c>
    </row>
    <row r="4369" spans="1:8">
      <c r="A4369" t="s">
        <v>8741</v>
      </c>
      <c r="B4369" t="s">
        <v>8742</v>
      </c>
      <c r="C4369" t="s">
        <v>31</v>
      </c>
      <c r="D4369">
        <v>18</v>
      </c>
      <c r="E4369" t="s">
        <v>37</v>
      </c>
      <c r="F4369" t="s">
        <v>38</v>
      </c>
      <c r="G4369" t="s">
        <v>22</v>
      </c>
      <c r="H4369" s="1">
        <v>45848</v>
      </c>
    </row>
    <row r="4370" spans="1:8">
      <c r="A4370" t="s">
        <v>8743</v>
      </c>
      <c r="B4370" t="s">
        <v>8744</v>
      </c>
      <c r="C4370" t="s">
        <v>10</v>
      </c>
      <c r="D4370">
        <v>22</v>
      </c>
      <c r="E4370" t="s">
        <v>149</v>
      </c>
      <c r="F4370" t="s">
        <v>38</v>
      </c>
      <c r="G4370" t="s">
        <v>22</v>
      </c>
      <c r="H4370" s="1">
        <v>44723</v>
      </c>
    </row>
    <row r="4371" spans="1:8">
      <c r="A4371" t="s">
        <v>8745</v>
      </c>
      <c r="B4371" t="s">
        <v>8746</v>
      </c>
      <c r="C4371" t="s">
        <v>31</v>
      </c>
      <c r="D4371">
        <v>30</v>
      </c>
      <c r="E4371" t="s">
        <v>45</v>
      </c>
      <c r="F4371" t="s">
        <v>46</v>
      </c>
      <c r="G4371" t="s">
        <v>17</v>
      </c>
      <c r="H4371" s="1">
        <v>45693</v>
      </c>
    </row>
    <row r="4372" spans="1:8">
      <c r="A4372" t="s">
        <v>8747</v>
      </c>
      <c r="B4372" t="s">
        <v>8748</v>
      </c>
      <c r="C4372" t="s">
        <v>31</v>
      </c>
      <c r="D4372">
        <v>32</v>
      </c>
      <c r="E4372" t="s">
        <v>45</v>
      </c>
      <c r="F4372" t="s">
        <v>46</v>
      </c>
      <c r="G4372" t="s">
        <v>17</v>
      </c>
      <c r="H4372" s="1">
        <v>45374</v>
      </c>
    </row>
    <row r="4373" spans="1:8">
      <c r="A4373" t="s">
        <v>8749</v>
      </c>
      <c r="B4373" t="s">
        <v>8750</v>
      </c>
      <c r="C4373" t="s">
        <v>31</v>
      </c>
      <c r="D4373">
        <v>21</v>
      </c>
      <c r="E4373" t="s">
        <v>49</v>
      </c>
      <c r="F4373" t="s">
        <v>16</v>
      </c>
      <c r="G4373" t="s">
        <v>17</v>
      </c>
      <c r="H4373" s="1">
        <v>45672</v>
      </c>
    </row>
    <row r="4374" spans="1:8">
      <c r="A4374" t="s">
        <v>8751</v>
      </c>
      <c r="B4374" t="s">
        <v>8752</v>
      </c>
      <c r="C4374" t="s">
        <v>10</v>
      </c>
      <c r="D4374">
        <v>44</v>
      </c>
      <c r="E4374" t="s">
        <v>91</v>
      </c>
      <c r="F4374" t="s">
        <v>92</v>
      </c>
      <c r="G4374" t="s">
        <v>78</v>
      </c>
      <c r="H4374" s="1">
        <v>44937</v>
      </c>
    </row>
    <row r="4375" spans="1:8">
      <c r="A4375" t="s">
        <v>8753</v>
      </c>
      <c r="B4375" t="s">
        <v>8754</v>
      </c>
      <c r="C4375" t="s">
        <v>10</v>
      </c>
      <c r="D4375">
        <v>30</v>
      </c>
      <c r="E4375" t="s">
        <v>34</v>
      </c>
      <c r="F4375" t="s">
        <v>16</v>
      </c>
      <c r="G4375" t="s">
        <v>17</v>
      </c>
      <c r="H4375" s="1">
        <v>44630</v>
      </c>
    </row>
    <row r="4376" spans="1:8">
      <c r="A4376" t="s">
        <v>8755</v>
      </c>
      <c r="B4376" t="s">
        <v>8756</v>
      </c>
      <c r="C4376" t="s">
        <v>31</v>
      </c>
      <c r="D4376">
        <v>44</v>
      </c>
      <c r="E4376" t="s">
        <v>37</v>
      </c>
      <c r="F4376" t="s">
        <v>38</v>
      </c>
      <c r="G4376" t="s">
        <v>22</v>
      </c>
      <c r="H4376" s="1">
        <v>44937</v>
      </c>
    </row>
    <row r="4377" spans="1:8">
      <c r="A4377" t="s">
        <v>8757</v>
      </c>
      <c r="B4377" t="s">
        <v>8758</v>
      </c>
      <c r="C4377" t="s">
        <v>31</v>
      </c>
      <c r="D4377">
        <v>32</v>
      </c>
      <c r="E4377" t="s">
        <v>15</v>
      </c>
      <c r="F4377" t="s">
        <v>16</v>
      </c>
      <c r="G4377" t="s">
        <v>17</v>
      </c>
      <c r="H4377" s="1">
        <v>44600</v>
      </c>
    </row>
    <row r="4378" spans="1:8">
      <c r="A4378" t="s">
        <v>8759</v>
      </c>
      <c r="B4378" t="s">
        <v>8760</v>
      </c>
      <c r="C4378" t="s">
        <v>31</v>
      </c>
      <c r="D4378">
        <v>68</v>
      </c>
      <c r="E4378" t="s">
        <v>27</v>
      </c>
      <c r="F4378" t="s">
        <v>28</v>
      </c>
      <c r="G4378" t="s">
        <v>12</v>
      </c>
      <c r="H4378" s="1">
        <v>45413</v>
      </c>
    </row>
    <row r="4379" spans="1:8">
      <c r="A4379" t="s">
        <v>8761</v>
      </c>
      <c r="B4379" t="s">
        <v>8762</v>
      </c>
      <c r="C4379" t="s">
        <v>31</v>
      </c>
      <c r="D4379">
        <v>63</v>
      </c>
      <c r="E4379" t="s">
        <v>87</v>
      </c>
      <c r="F4379" t="s">
        <v>88</v>
      </c>
      <c r="G4379" t="s">
        <v>78</v>
      </c>
      <c r="H4379" s="1">
        <v>44628</v>
      </c>
    </row>
    <row r="4380" spans="1:8">
      <c r="A4380" t="s">
        <v>8763</v>
      </c>
      <c r="B4380" t="s">
        <v>8764</v>
      </c>
      <c r="C4380" t="s">
        <v>31</v>
      </c>
      <c r="D4380">
        <v>42</v>
      </c>
      <c r="E4380" t="s">
        <v>63</v>
      </c>
      <c r="F4380" t="s">
        <v>64</v>
      </c>
      <c r="G4380" t="s">
        <v>12</v>
      </c>
      <c r="H4380" s="1">
        <v>45727</v>
      </c>
    </row>
    <row r="4381" spans="1:8">
      <c r="A4381" t="s">
        <v>8765</v>
      </c>
      <c r="B4381" t="s">
        <v>8766</v>
      </c>
      <c r="C4381" t="s">
        <v>10</v>
      </c>
      <c r="D4381">
        <v>59</v>
      </c>
      <c r="E4381" t="s">
        <v>11</v>
      </c>
      <c r="F4381" t="s">
        <v>11</v>
      </c>
      <c r="G4381" t="s">
        <v>12</v>
      </c>
      <c r="H4381" s="1">
        <v>44875</v>
      </c>
    </row>
    <row r="4382" spans="1:8">
      <c r="A4382" t="s">
        <v>8767</v>
      </c>
      <c r="B4382" t="s">
        <v>8768</v>
      </c>
      <c r="C4382" t="s">
        <v>31</v>
      </c>
      <c r="D4382">
        <v>22</v>
      </c>
      <c r="E4382" t="s">
        <v>69</v>
      </c>
      <c r="F4382" t="s">
        <v>69</v>
      </c>
      <c r="G4382" t="s">
        <v>12</v>
      </c>
      <c r="H4382" s="1">
        <v>45459</v>
      </c>
    </row>
    <row r="4383" spans="1:8">
      <c r="A4383" t="s">
        <v>8769</v>
      </c>
      <c r="B4383" t="s">
        <v>8770</v>
      </c>
      <c r="C4383" t="s">
        <v>31</v>
      </c>
      <c r="D4383">
        <v>31</v>
      </c>
      <c r="E4383" t="s">
        <v>101</v>
      </c>
      <c r="F4383" t="s">
        <v>21</v>
      </c>
      <c r="G4383" t="s">
        <v>22</v>
      </c>
      <c r="H4383" s="1">
        <v>44638</v>
      </c>
    </row>
    <row r="4384" spans="1:8">
      <c r="A4384" t="s">
        <v>8771</v>
      </c>
      <c r="B4384" t="s">
        <v>8772</v>
      </c>
      <c r="C4384" t="s">
        <v>10</v>
      </c>
      <c r="D4384">
        <v>52</v>
      </c>
      <c r="E4384" t="s">
        <v>87</v>
      </c>
      <c r="F4384" t="s">
        <v>88</v>
      </c>
      <c r="G4384" t="s">
        <v>78</v>
      </c>
      <c r="H4384" s="1">
        <v>44879</v>
      </c>
    </row>
    <row r="4385" spans="1:8">
      <c r="A4385" t="s">
        <v>8773</v>
      </c>
      <c r="B4385" t="s">
        <v>8774</v>
      </c>
      <c r="C4385" t="s">
        <v>10</v>
      </c>
      <c r="D4385">
        <v>28</v>
      </c>
      <c r="E4385" t="s">
        <v>134</v>
      </c>
      <c r="F4385" t="s">
        <v>28</v>
      </c>
      <c r="G4385" t="s">
        <v>12</v>
      </c>
      <c r="H4385" s="1">
        <v>44658</v>
      </c>
    </row>
    <row r="4386" spans="1:8">
      <c r="A4386" t="s">
        <v>8775</v>
      </c>
      <c r="B4386" t="s">
        <v>8776</v>
      </c>
      <c r="C4386" t="s">
        <v>31</v>
      </c>
      <c r="D4386">
        <v>43</v>
      </c>
      <c r="E4386" t="s">
        <v>27</v>
      </c>
      <c r="F4386" t="s">
        <v>28</v>
      </c>
      <c r="G4386" t="s">
        <v>12</v>
      </c>
      <c r="H4386" s="1">
        <v>45136</v>
      </c>
    </row>
    <row r="4387" spans="1:8">
      <c r="A4387" t="s">
        <v>8777</v>
      </c>
      <c r="B4387" t="s">
        <v>8778</v>
      </c>
      <c r="C4387" t="s">
        <v>10</v>
      </c>
      <c r="D4387">
        <v>30</v>
      </c>
      <c r="E4387" t="s">
        <v>149</v>
      </c>
      <c r="F4387" t="s">
        <v>38</v>
      </c>
      <c r="G4387" t="s">
        <v>22</v>
      </c>
      <c r="H4387" s="1">
        <v>45251</v>
      </c>
    </row>
    <row r="4388" spans="1:8">
      <c r="A4388" t="s">
        <v>8779</v>
      </c>
      <c r="B4388" t="s">
        <v>8780</v>
      </c>
      <c r="C4388" t="s">
        <v>10</v>
      </c>
      <c r="D4388">
        <v>18</v>
      </c>
      <c r="E4388" t="s">
        <v>218</v>
      </c>
      <c r="F4388" t="s">
        <v>219</v>
      </c>
      <c r="G4388" t="s">
        <v>17</v>
      </c>
      <c r="H4388" s="1">
        <v>44875</v>
      </c>
    </row>
    <row r="4389" spans="1:8">
      <c r="A4389" t="s">
        <v>8781</v>
      </c>
      <c r="B4389" t="s">
        <v>8782</v>
      </c>
      <c r="C4389" t="s">
        <v>31</v>
      </c>
      <c r="D4389">
        <v>54</v>
      </c>
      <c r="E4389" t="s">
        <v>34</v>
      </c>
      <c r="F4389" t="s">
        <v>16</v>
      </c>
      <c r="G4389" t="s">
        <v>17</v>
      </c>
      <c r="H4389" s="1">
        <v>45238</v>
      </c>
    </row>
    <row r="4390" spans="1:8">
      <c r="A4390" t="s">
        <v>8783</v>
      </c>
      <c r="B4390" t="s">
        <v>8784</v>
      </c>
      <c r="C4390" t="s">
        <v>10</v>
      </c>
      <c r="D4390">
        <v>32</v>
      </c>
      <c r="E4390" t="s">
        <v>76</v>
      </c>
      <c r="F4390" t="s">
        <v>77</v>
      </c>
      <c r="G4390" t="s">
        <v>78</v>
      </c>
      <c r="H4390" s="1">
        <v>44980</v>
      </c>
    </row>
    <row r="4391" spans="1:8">
      <c r="A4391" t="s">
        <v>8785</v>
      </c>
      <c r="B4391" t="s">
        <v>8786</v>
      </c>
      <c r="C4391" t="s">
        <v>31</v>
      </c>
      <c r="D4391">
        <v>47</v>
      </c>
      <c r="E4391" t="s">
        <v>34</v>
      </c>
      <c r="F4391" t="s">
        <v>16</v>
      </c>
      <c r="G4391" t="s">
        <v>17</v>
      </c>
      <c r="H4391" s="1">
        <v>45081</v>
      </c>
    </row>
    <row r="4392" spans="1:8">
      <c r="A4392" t="s">
        <v>8787</v>
      </c>
      <c r="B4392" t="s">
        <v>8788</v>
      </c>
      <c r="C4392" t="s">
        <v>31</v>
      </c>
      <c r="D4392">
        <v>68</v>
      </c>
      <c r="E4392" t="s">
        <v>20</v>
      </c>
      <c r="F4392" t="s">
        <v>21</v>
      </c>
      <c r="G4392" t="s">
        <v>22</v>
      </c>
      <c r="H4392" s="1">
        <v>45934</v>
      </c>
    </row>
    <row r="4393" spans="1:8">
      <c r="A4393" t="s">
        <v>8789</v>
      </c>
      <c r="B4393" t="s">
        <v>8790</v>
      </c>
      <c r="C4393" t="s">
        <v>31</v>
      </c>
      <c r="D4393">
        <v>27</v>
      </c>
      <c r="E4393" t="s">
        <v>20</v>
      </c>
      <c r="F4393" t="s">
        <v>21</v>
      </c>
      <c r="G4393" t="s">
        <v>22</v>
      </c>
      <c r="H4393" s="1">
        <v>45458</v>
      </c>
    </row>
    <row r="4394" spans="1:8">
      <c r="A4394" t="s">
        <v>8791</v>
      </c>
      <c r="B4394" t="s">
        <v>8792</v>
      </c>
      <c r="C4394" t="s">
        <v>31</v>
      </c>
      <c r="D4394">
        <v>66</v>
      </c>
      <c r="E4394" t="s">
        <v>27</v>
      </c>
      <c r="F4394" t="s">
        <v>28</v>
      </c>
      <c r="G4394" t="s">
        <v>12</v>
      </c>
      <c r="H4394" s="1">
        <v>45811</v>
      </c>
    </row>
    <row r="4395" spans="1:8">
      <c r="A4395" t="s">
        <v>8793</v>
      </c>
      <c r="B4395" t="s">
        <v>8794</v>
      </c>
      <c r="C4395" t="s">
        <v>10</v>
      </c>
      <c r="D4395">
        <v>35</v>
      </c>
      <c r="E4395" t="s">
        <v>63</v>
      </c>
      <c r="F4395" t="s">
        <v>64</v>
      </c>
      <c r="G4395" t="s">
        <v>12</v>
      </c>
      <c r="H4395" s="1">
        <v>44678</v>
      </c>
    </row>
    <row r="4396" spans="1:8">
      <c r="A4396" t="s">
        <v>8795</v>
      </c>
      <c r="B4396" t="s">
        <v>8796</v>
      </c>
      <c r="C4396" t="s">
        <v>10</v>
      </c>
      <c r="D4396">
        <v>29</v>
      </c>
      <c r="E4396" t="s">
        <v>63</v>
      </c>
      <c r="F4396" t="s">
        <v>64</v>
      </c>
      <c r="G4396" t="s">
        <v>12</v>
      </c>
      <c r="H4396" s="1">
        <v>44676</v>
      </c>
    </row>
    <row r="4397" spans="1:8">
      <c r="A4397" t="s">
        <v>8797</v>
      </c>
      <c r="B4397" t="s">
        <v>8798</v>
      </c>
      <c r="C4397" t="s">
        <v>31</v>
      </c>
      <c r="D4397">
        <v>70</v>
      </c>
      <c r="E4397" t="s">
        <v>128</v>
      </c>
      <c r="F4397" t="s">
        <v>129</v>
      </c>
      <c r="G4397" t="s">
        <v>78</v>
      </c>
      <c r="H4397" s="1">
        <v>45700</v>
      </c>
    </row>
    <row r="4398" spans="1:8">
      <c r="A4398" t="s">
        <v>8799</v>
      </c>
      <c r="B4398" t="s">
        <v>8800</v>
      </c>
      <c r="C4398" t="s">
        <v>10</v>
      </c>
      <c r="D4398">
        <v>35</v>
      </c>
      <c r="E4398" t="s">
        <v>101</v>
      </c>
      <c r="F4398" t="s">
        <v>21</v>
      </c>
      <c r="G4398" t="s">
        <v>22</v>
      </c>
      <c r="H4398" s="1">
        <v>44621</v>
      </c>
    </row>
    <row r="4399" spans="1:8">
      <c r="A4399" t="s">
        <v>8801</v>
      </c>
      <c r="B4399" t="s">
        <v>8802</v>
      </c>
      <c r="C4399" t="s">
        <v>10</v>
      </c>
      <c r="D4399">
        <v>52</v>
      </c>
      <c r="E4399" t="s">
        <v>63</v>
      </c>
      <c r="F4399" t="s">
        <v>64</v>
      </c>
      <c r="G4399" t="s">
        <v>12</v>
      </c>
      <c r="H4399" s="1">
        <v>44657</v>
      </c>
    </row>
    <row r="4400" spans="1:8">
      <c r="A4400" t="s">
        <v>8803</v>
      </c>
      <c r="B4400" t="s">
        <v>8804</v>
      </c>
      <c r="C4400" t="s">
        <v>10</v>
      </c>
      <c r="D4400">
        <v>23</v>
      </c>
      <c r="E4400" t="s">
        <v>15</v>
      </c>
      <c r="F4400" t="s">
        <v>16</v>
      </c>
      <c r="G4400" t="s">
        <v>17</v>
      </c>
      <c r="H4400" s="1">
        <v>45752</v>
      </c>
    </row>
    <row r="4401" spans="1:8">
      <c r="A4401" t="s">
        <v>8805</v>
      </c>
      <c r="B4401" t="s">
        <v>8806</v>
      </c>
      <c r="C4401" t="s">
        <v>10</v>
      </c>
      <c r="D4401">
        <v>36</v>
      </c>
      <c r="E4401" t="s">
        <v>101</v>
      </c>
      <c r="F4401" t="s">
        <v>21</v>
      </c>
      <c r="G4401" t="s">
        <v>22</v>
      </c>
      <c r="H4401" s="1">
        <v>44896</v>
      </c>
    </row>
    <row r="4402" spans="1:8">
      <c r="A4402" t="s">
        <v>8807</v>
      </c>
      <c r="B4402" t="s">
        <v>8808</v>
      </c>
      <c r="C4402" t="s">
        <v>31</v>
      </c>
      <c r="D4402">
        <v>70</v>
      </c>
      <c r="E4402" t="s">
        <v>45</v>
      </c>
      <c r="F4402" t="s">
        <v>46</v>
      </c>
      <c r="G4402" t="s">
        <v>17</v>
      </c>
      <c r="H4402" s="1">
        <v>44681</v>
      </c>
    </row>
    <row r="4403" spans="1:8">
      <c r="A4403" t="s">
        <v>8809</v>
      </c>
      <c r="B4403" t="s">
        <v>8810</v>
      </c>
      <c r="C4403" t="s">
        <v>31</v>
      </c>
      <c r="D4403">
        <v>64</v>
      </c>
      <c r="E4403" t="s">
        <v>112</v>
      </c>
      <c r="F4403" t="s">
        <v>113</v>
      </c>
      <c r="G4403" t="s">
        <v>78</v>
      </c>
      <c r="H4403" s="1">
        <v>45092</v>
      </c>
    </row>
    <row r="4404" spans="1:8">
      <c r="A4404" t="s">
        <v>8811</v>
      </c>
      <c r="B4404" t="s">
        <v>8812</v>
      </c>
      <c r="C4404" t="s">
        <v>31</v>
      </c>
      <c r="D4404">
        <v>38</v>
      </c>
      <c r="E4404" t="s">
        <v>11</v>
      </c>
      <c r="F4404" t="s">
        <v>11</v>
      </c>
      <c r="G4404" t="s">
        <v>12</v>
      </c>
      <c r="H4404" s="1">
        <v>45537</v>
      </c>
    </row>
    <row r="4405" spans="1:8">
      <c r="A4405" t="s">
        <v>8813</v>
      </c>
      <c r="B4405" t="s">
        <v>8814</v>
      </c>
      <c r="C4405" t="s">
        <v>10</v>
      </c>
      <c r="D4405">
        <v>34</v>
      </c>
      <c r="E4405" t="s">
        <v>112</v>
      </c>
      <c r="F4405" t="s">
        <v>113</v>
      </c>
      <c r="G4405" t="s">
        <v>78</v>
      </c>
      <c r="H4405" s="1">
        <v>44778</v>
      </c>
    </row>
    <row r="4406" spans="1:8">
      <c r="A4406" t="s">
        <v>8815</v>
      </c>
      <c r="B4406" t="s">
        <v>8816</v>
      </c>
      <c r="C4406" t="s">
        <v>10</v>
      </c>
      <c r="D4406">
        <v>52</v>
      </c>
      <c r="E4406" t="s">
        <v>45</v>
      </c>
      <c r="F4406" t="s">
        <v>46</v>
      </c>
      <c r="G4406" t="s">
        <v>17</v>
      </c>
      <c r="H4406" s="1">
        <v>45872</v>
      </c>
    </row>
    <row r="4407" spans="1:8">
      <c r="A4407" t="s">
        <v>8817</v>
      </c>
      <c r="B4407" t="s">
        <v>8818</v>
      </c>
      <c r="C4407" t="s">
        <v>31</v>
      </c>
      <c r="D4407">
        <v>58</v>
      </c>
      <c r="E4407" t="s">
        <v>112</v>
      </c>
      <c r="F4407" t="s">
        <v>113</v>
      </c>
      <c r="G4407" t="s">
        <v>78</v>
      </c>
      <c r="H4407" s="1">
        <v>44877</v>
      </c>
    </row>
    <row r="4408" spans="1:8">
      <c r="A4408" t="s">
        <v>8819</v>
      </c>
      <c r="B4408" t="s">
        <v>8820</v>
      </c>
      <c r="C4408" t="s">
        <v>10</v>
      </c>
      <c r="D4408">
        <v>27</v>
      </c>
      <c r="E4408" t="s">
        <v>218</v>
      </c>
      <c r="F4408" t="s">
        <v>219</v>
      </c>
      <c r="G4408" t="s">
        <v>17</v>
      </c>
      <c r="H4408" s="1">
        <v>44693</v>
      </c>
    </row>
    <row r="4409" spans="1:8">
      <c r="A4409" t="s">
        <v>8821</v>
      </c>
      <c r="B4409" t="s">
        <v>8822</v>
      </c>
      <c r="C4409" t="s">
        <v>31</v>
      </c>
      <c r="D4409">
        <v>42</v>
      </c>
      <c r="E4409" t="s">
        <v>20</v>
      </c>
      <c r="F4409" t="s">
        <v>21</v>
      </c>
      <c r="G4409" t="s">
        <v>22</v>
      </c>
      <c r="H4409" s="1">
        <v>45759</v>
      </c>
    </row>
    <row r="4410" spans="1:8">
      <c r="A4410" t="s">
        <v>8823</v>
      </c>
      <c r="B4410" t="s">
        <v>8824</v>
      </c>
      <c r="C4410" t="s">
        <v>31</v>
      </c>
      <c r="D4410">
        <v>50</v>
      </c>
      <c r="E4410" t="s">
        <v>60</v>
      </c>
      <c r="F4410" t="s">
        <v>21</v>
      </c>
      <c r="G4410" t="s">
        <v>22</v>
      </c>
      <c r="H4410" s="1">
        <v>45139</v>
      </c>
    </row>
    <row r="4411" spans="1:8">
      <c r="A4411" t="s">
        <v>8825</v>
      </c>
      <c r="B4411" t="s">
        <v>8826</v>
      </c>
      <c r="C4411" t="s">
        <v>31</v>
      </c>
      <c r="D4411">
        <v>33</v>
      </c>
      <c r="E4411" t="s">
        <v>63</v>
      </c>
      <c r="F4411" t="s">
        <v>64</v>
      </c>
      <c r="G4411" t="s">
        <v>12</v>
      </c>
      <c r="H4411" s="1">
        <v>45068</v>
      </c>
    </row>
    <row r="4412" spans="1:8">
      <c r="A4412" t="s">
        <v>8827</v>
      </c>
      <c r="B4412" t="s">
        <v>8828</v>
      </c>
      <c r="C4412" t="s">
        <v>10</v>
      </c>
      <c r="D4412">
        <v>68</v>
      </c>
      <c r="E4412" t="s">
        <v>69</v>
      </c>
      <c r="F4412" t="s">
        <v>69</v>
      </c>
      <c r="G4412" t="s">
        <v>12</v>
      </c>
      <c r="H4412" s="1">
        <v>45736</v>
      </c>
    </row>
    <row r="4413" spans="1:8">
      <c r="A4413" t="s">
        <v>8829</v>
      </c>
      <c r="B4413" t="s">
        <v>8830</v>
      </c>
      <c r="C4413" t="s">
        <v>10</v>
      </c>
      <c r="D4413">
        <v>21</v>
      </c>
      <c r="E4413" t="s">
        <v>34</v>
      </c>
      <c r="F4413" t="s">
        <v>16</v>
      </c>
      <c r="G4413" t="s">
        <v>17</v>
      </c>
      <c r="H4413" s="1">
        <v>44735</v>
      </c>
    </row>
    <row r="4414" spans="1:8">
      <c r="A4414" t="s">
        <v>8831</v>
      </c>
      <c r="B4414" t="s">
        <v>8832</v>
      </c>
      <c r="C4414" t="s">
        <v>10</v>
      </c>
      <c r="D4414">
        <v>33</v>
      </c>
      <c r="E4414" t="s">
        <v>41</v>
      </c>
      <c r="F4414" t="s">
        <v>42</v>
      </c>
      <c r="G4414" t="s">
        <v>17</v>
      </c>
      <c r="H4414" s="1">
        <v>45613</v>
      </c>
    </row>
    <row r="4415" spans="1:8">
      <c r="A4415" t="s">
        <v>8833</v>
      </c>
      <c r="B4415" t="s">
        <v>8834</v>
      </c>
      <c r="C4415" t="s">
        <v>10</v>
      </c>
      <c r="D4415">
        <v>60</v>
      </c>
      <c r="E4415" t="s">
        <v>27</v>
      </c>
      <c r="F4415" t="s">
        <v>28</v>
      </c>
      <c r="G4415" t="s">
        <v>12</v>
      </c>
      <c r="H4415" s="1">
        <v>45413</v>
      </c>
    </row>
    <row r="4416" spans="1:8">
      <c r="A4416" t="s">
        <v>8835</v>
      </c>
      <c r="B4416" t="s">
        <v>8836</v>
      </c>
      <c r="C4416" t="s">
        <v>10</v>
      </c>
      <c r="D4416">
        <v>70</v>
      </c>
      <c r="E4416" t="s">
        <v>87</v>
      </c>
      <c r="F4416" t="s">
        <v>88</v>
      </c>
      <c r="G4416" t="s">
        <v>78</v>
      </c>
      <c r="H4416" s="1">
        <v>45492</v>
      </c>
    </row>
    <row r="4417" spans="1:8">
      <c r="A4417" t="s">
        <v>8837</v>
      </c>
      <c r="B4417" t="s">
        <v>8838</v>
      </c>
      <c r="C4417" t="s">
        <v>10</v>
      </c>
      <c r="D4417">
        <v>56</v>
      </c>
      <c r="E4417" t="s">
        <v>20</v>
      </c>
      <c r="F4417" t="s">
        <v>21</v>
      </c>
      <c r="G4417" t="s">
        <v>22</v>
      </c>
      <c r="H4417" s="1">
        <v>45850</v>
      </c>
    </row>
    <row r="4418" spans="1:8">
      <c r="A4418" t="s">
        <v>8839</v>
      </c>
      <c r="B4418" t="s">
        <v>8840</v>
      </c>
      <c r="C4418" t="s">
        <v>31</v>
      </c>
      <c r="D4418">
        <v>62</v>
      </c>
      <c r="E4418" t="s">
        <v>15</v>
      </c>
      <c r="F4418" t="s">
        <v>16</v>
      </c>
      <c r="G4418" t="s">
        <v>17</v>
      </c>
      <c r="H4418" s="1">
        <v>45765</v>
      </c>
    </row>
    <row r="4419" spans="1:8">
      <c r="A4419" t="s">
        <v>8841</v>
      </c>
      <c r="B4419" t="s">
        <v>1032</v>
      </c>
      <c r="C4419" t="s">
        <v>10</v>
      </c>
      <c r="D4419">
        <v>49</v>
      </c>
      <c r="E4419" t="s">
        <v>60</v>
      </c>
      <c r="F4419" t="s">
        <v>21</v>
      </c>
      <c r="G4419" t="s">
        <v>22</v>
      </c>
      <c r="H4419" s="1">
        <v>45213</v>
      </c>
    </row>
    <row r="4420" spans="1:8">
      <c r="A4420" t="s">
        <v>8842</v>
      </c>
      <c r="B4420" t="s">
        <v>8843</v>
      </c>
      <c r="C4420" t="s">
        <v>31</v>
      </c>
      <c r="D4420">
        <v>42</v>
      </c>
      <c r="E4420" t="s">
        <v>34</v>
      </c>
      <c r="F4420" t="s">
        <v>16</v>
      </c>
      <c r="G4420" t="s">
        <v>17</v>
      </c>
      <c r="H4420" s="1">
        <v>44853</v>
      </c>
    </row>
    <row r="4421" spans="1:8">
      <c r="A4421" t="s">
        <v>8844</v>
      </c>
      <c r="B4421" t="s">
        <v>8845</v>
      </c>
      <c r="C4421" t="s">
        <v>31</v>
      </c>
      <c r="D4421">
        <v>29</v>
      </c>
      <c r="E4421" t="s">
        <v>63</v>
      </c>
      <c r="F4421" t="s">
        <v>64</v>
      </c>
      <c r="G4421" t="s">
        <v>12</v>
      </c>
      <c r="H4421" s="1">
        <v>45013</v>
      </c>
    </row>
    <row r="4422" spans="1:8">
      <c r="A4422" t="s">
        <v>8846</v>
      </c>
      <c r="B4422" t="s">
        <v>8847</v>
      </c>
      <c r="C4422" t="s">
        <v>10</v>
      </c>
      <c r="D4422">
        <v>27</v>
      </c>
      <c r="E4422" t="s">
        <v>45</v>
      </c>
      <c r="F4422" t="s">
        <v>46</v>
      </c>
      <c r="G4422" t="s">
        <v>17</v>
      </c>
      <c r="H4422" s="1">
        <v>45154</v>
      </c>
    </row>
    <row r="4423" spans="1:8">
      <c r="A4423" t="s">
        <v>8848</v>
      </c>
      <c r="B4423" t="s">
        <v>8849</v>
      </c>
      <c r="C4423" t="s">
        <v>31</v>
      </c>
      <c r="D4423">
        <v>61</v>
      </c>
      <c r="E4423" t="s">
        <v>34</v>
      </c>
      <c r="F4423" t="s">
        <v>16</v>
      </c>
      <c r="G4423" t="s">
        <v>17</v>
      </c>
      <c r="H4423" s="1">
        <v>45333</v>
      </c>
    </row>
    <row r="4424" spans="1:8">
      <c r="A4424" t="s">
        <v>8850</v>
      </c>
      <c r="B4424" t="s">
        <v>8851</v>
      </c>
      <c r="C4424" t="s">
        <v>31</v>
      </c>
      <c r="D4424">
        <v>30</v>
      </c>
      <c r="E4424" t="s">
        <v>27</v>
      </c>
      <c r="F4424" t="s">
        <v>28</v>
      </c>
      <c r="G4424" t="s">
        <v>12</v>
      </c>
      <c r="H4424" s="1">
        <v>45885</v>
      </c>
    </row>
    <row r="4425" spans="1:8">
      <c r="A4425" t="s">
        <v>8852</v>
      </c>
      <c r="B4425" t="s">
        <v>8853</v>
      </c>
      <c r="C4425" t="s">
        <v>10</v>
      </c>
      <c r="D4425">
        <v>30</v>
      </c>
      <c r="E4425" t="s">
        <v>87</v>
      </c>
      <c r="F4425" t="s">
        <v>88</v>
      </c>
      <c r="G4425" t="s">
        <v>78</v>
      </c>
      <c r="H4425" s="1">
        <v>45979</v>
      </c>
    </row>
    <row r="4426" spans="1:8">
      <c r="A4426" t="s">
        <v>8854</v>
      </c>
      <c r="B4426" t="s">
        <v>8855</v>
      </c>
      <c r="C4426" t="s">
        <v>31</v>
      </c>
      <c r="D4426">
        <v>19</v>
      </c>
      <c r="E4426" t="s">
        <v>91</v>
      </c>
      <c r="F4426" t="s">
        <v>92</v>
      </c>
      <c r="G4426" t="s">
        <v>78</v>
      </c>
      <c r="H4426" s="1">
        <v>45180</v>
      </c>
    </row>
    <row r="4427" spans="1:8">
      <c r="A4427" t="s">
        <v>8856</v>
      </c>
      <c r="B4427" t="s">
        <v>8857</v>
      </c>
      <c r="C4427" t="s">
        <v>31</v>
      </c>
      <c r="D4427">
        <v>18</v>
      </c>
      <c r="E4427" t="s">
        <v>60</v>
      </c>
      <c r="F4427" t="s">
        <v>21</v>
      </c>
      <c r="G4427" t="s">
        <v>22</v>
      </c>
      <c r="H4427" s="1">
        <v>45584</v>
      </c>
    </row>
    <row r="4428" spans="1:8">
      <c r="A4428" t="s">
        <v>8858</v>
      </c>
      <c r="B4428" t="s">
        <v>8859</v>
      </c>
      <c r="C4428" t="s">
        <v>10</v>
      </c>
      <c r="D4428">
        <v>41</v>
      </c>
      <c r="E4428" t="s">
        <v>15</v>
      </c>
      <c r="F4428" t="s">
        <v>16</v>
      </c>
      <c r="G4428" t="s">
        <v>17</v>
      </c>
      <c r="H4428" s="1">
        <v>44902</v>
      </c>
    </row>
    <row r="4429" spans="1:8">
      <c r="A4429" t="s">
        <v>8860</v>
      </c>
      <c r="B4429" t="s">
        <v>8861</v>
      </c>
      <c r="C4429" t="s">
        <v>31</v>
      </c>
      <c r="D4429">
        <v>22</v>
      </c>
      <c r="E4429" t="s">
        <v>69</v>
      </c>
      <c r="F4429" t="s">
        <v>69</v>
      </c>
      <c r="G4429" t="s">
        <v>12</v>
      </c>
      <c r="H4429" s="1">
        <v>45601</v>
      </c>
    </row>
    <row r="4430" spans="1:8">
      <c r="A4430" t="s">
        <v>8862</v>
      </c>
      <c r="B4430" t="s">
        <v>1074</v>
      </c>
      <c r="C4430" t="s">
        <v>31</v>
      </c>
      <c r="D4430">
        <v>49</v>
      </c>
      <c r="E4430" t="s">
        <v>134</v>
      </c>
      <c r="F4430" t="s">
        <v>28</v>
      </c>
      <c r="G4430" t="s">
        <v>12</v>
      </c>
      <c r="H4430" s="1">
        <v>44950</v>
      </c>
    </row>
    <row r="4431" spans="1:8">
      <c r="A4431" t="s">
        <v>8863</v>
      </c>
      <c r="B4431" t="s">
        <v>8864</v>
      </c>
      <c r="C4431" t="s">
        <v>31</v>
      </c>
      <c r="D4431">
        <v>58</v>
      </c>
      <c r="E4431" t="s">
        <v>34</v>
      </c>
      <c r="F4431" t="s">
        <v>16</v>
      </c>
      <c r="G4431" t="s">
        <v>17</v>
      </c>
      <c r="H4431" s="1">
        <v>45375</v>
      </c>
    </row>
    <row r="4432" spans="1:8">
      <c r="A4432" t="s">
        <v>8865</v>
      </c>
      <c r="B4432" t="s">
        <v>8866</v>
      </c>
      <c r="C4432" t="s">
        <v>31</v>
      </c>
      <c r="D4432">
        <v>44</v>
      </c>
      <c r="E4432" t="s">
        <v>63</v>
      </c>
      <c r="F4432" t="s">
        <v>64</v>
      </c>
      <c r="G4432" t="s">
        <v>12</v>
      </c>
      <c r="H4432" s="1">
        <v>45786</v>
      </c>
    </row>
    <row r="4433" spans="1:8">
      <c r="A4433" t="s">
        <v>8867</v>
      </c>
      <c r="B4433" t="s">
        <v>8868</v>
      </c>
      <c r="C4433" t="s">
        <v>31</v>
      </c>
      <c r="D4433">
        <v>48</v>
      </c>
      <c r="E4433" t="s">
        <v>34</v>
      </c>
      <c r="F4433" t="s">
        <v>16</v>
      </c>
      <c r="G4433" t="s">
        <v>17</v>
      </c>
      <c r="H4433" s="1">
        <v>45488</v>
      </c>
    </row>
    <row r="4434" spans="1:8">
      <c r="A4434" t="s">
        <v>8869</v>
      </c>
      <c r="B4434" t="s">
        <v>8870</v>
      </c>
      <c r="C4434" t="s">
        <v>31</v>
      </c>
      <c r="D4434">
        <v>54</v>
      </c>
      <c r="E4434" t="s">
        <v>101</v>
      </c>
      <c r="F4434" t="s">
        <v>21</v>
      </c>
      <c r="G4434" t="s">
        <v>22</v>
      </c>
      <c r="H4434" s="1">
        <v>44889</v>
      </c>
    </row>
    <row r="4435" spans="1:8">
      <c r="A4435" t="s">
        <v>8871</v>
      </c>
      <c r="B4435" t="s">
        <v>8872</v>
      </c>
      <c r="C4435" t="s">
        <v>31</v>
      </c>
      <c r="D4435">
        <v>40</v>
      </c>
      <c r="E4435" t="s">
        <v>41</v>
      </c>
      <c r="F4435" t="s">
        <v>42</v>
      </c>
      <c r="G4435" t="s">
        <v>17</v>
      </c>
      <c r="H4435" s="1">
        <v>44726</v>
      </c>
    </row>
    <row r="4436" spans="1:8">
      <c r="A4436" t="s">
        <v>8873</v>
      </c>
      <c r="B4436" t="s">
        <v>8874</v>
      </c>
      <c r="C4436" t="s">
        <v>10</v>
      </c>
      <c r="D4436">
        <v>19</v>
      </c>
      <c r="E4436" t="s">
        <v>101</v>
      </c>
      <c r="F4436" t="s">
        <v>21</v>
      </c>
      <c r="G4436" t="s">
        <v>22</v>
      </c>
      <c r="H4436" s="1">
        <v>45800</v>
      </c>
    </row>
    <row r="4437" spans="1:8">
      <c r="A4437" t="s">
        <v>8875</v>
      </c>
      <c r="B4437" t="s">
        <v>8876</v>
      </c>
      <c r="C4437" t="s">
        <v>10</v>
      </c>
      <c r="D4437">
        <v>55</v>
      </c>
      <c r="E4437" t="s">
        <v>27</v>
      </c>
      <c r="F4437" t="s">
        <v>28</v>
      </c>
      <c r="G4437" t="s">
        <v>12</v>
      </c>
      <c r="H4437" s="1">
        <v>44884</v>
      </c>
    </row>
    <row r="4438" spans="1:8">
      <c r="A4438" t="s">
        <v>8877</v>
      </c>
      <c r="B4438" t="s">
        <v>8878</v>
      </c>
      <c r="C4438" t="s">
        <v>31</v>
      </c>
      <c r="D4438">
        <v>31</v>
      </c>
      <c r="E4438" t="s">
        <v>15</v>
      </c>
      <c r="F4438" t="s">
        <v>16</v>
      </c>
      <c r="G4438" t="s">
        <v>17</v>
      </c>
      <c r="H4438" s="1">
        <v>45222</v>
      </c>
    </row>
    <row r="4439" spans="1:8">
      <c r="A4439" t="s">
        <v>8879</v>
      </c>
      <c r="B4439" t="s">
        <v>8880</v>
      </c>
      <c r="C4439" t="s">
        <v>31</v>
      </c>
      <c r="D4439">
        <v>66</v>
      </c>
      <c r="E4439" t="s">
        <v>218</v>
      </c>
      <c r="F4439" t="s">
        <v>219</v>
      </c>
      <c r="G4439" t="s">
        <v>17</v>
      </c>
      <c r="H4439" s="1">
        <v>45212</v>
      </c>
    </row>
    <row r="4440" spans="1:8">
      <c r="A4440" t="s">
        <v>8881</v>
      </c>
      <c r="B4440" t="s">
        <v>8882</v>
      </c>
      <c r="C4440" t="s">
        <v>10</v>
      </c>
      <c r="D4440">
        <v>45</v>
      </c>
      <c r="E4440" t="s">
        <v>27</v>
      </c>
      <c r="F4440" t="s">
        <v>28</v>
      </c>
      <c r="G4440" t="s">
        <v>12</v>
      </c>
      <c r="H4440" s="1">
        <v>45385</v>
      </c>
    </row>
    <row r="4441" spans="1:8">
      <c r="A4441" t="s">
        <v>8883</v>
      </c>
      <c r="B4441" t="s">
        <v>8884</v>
      </c>
      <c r="C4441" t="s">
        <v>31</v>
      </c>
      <c r="D4441">
        <v>29</v>
      </c>
      <c r="E4441" t="s">
        <v>34</v>
      </c>
      <c r="F4441" t="s">
        <v>16</v>
      </c>
      <c r="G4441" t="s">
        <v>17</v>
      </c>
      <c r="H4441" s="1">
        <v>45884</v>
      </c>
    </row>
    <row r="4442" spans="1:8">
      <c r="A4442" t="s">
        <v>8885</v>
      </c>
      <c r="B4442" t="s">
        <v>8886</v>
      </c>
      <c r="C4442" t="s">
        <v>10</v>
      </c>
      <c r="D4442">
        <v>20</v>
      </c>
      <c r="E4442" t="s">
        <v>91</v>
      </c>
      <c r="F4442" t="s">
        <v>92</v>
      </c>
      <c r="G4442" t="s">
        <v>78</v>
      </c>
      <c r="H4442" s="1">
        <v>45922</v>
      </c>
    </row>
    <row r="4443" spans="1:8">
      <c r="A4443" t="s">
        <v>8887</v>
      </c>
      <c r="B4443" t="s">
        <v>8888</v>
      </c>
      <c r="C4443" t="s">
        <v>31</v>
      </c>
      <c r="D4443">
        <v>57</v>
      </c>
      <c r="E4443" t="s">
        <v>20</v>
      </c>
      <c r="F4443" t="s">
        <v>21</v>
      </c>
      <c r="G4443" t="s">
        <v>22</v>
      </c>
      <c r="H4443" s="1">
        <v>45248</v>
      </c>
    </row>
    <row r="4444" spans="1:8">
      <c r="A4444" t="s">
        <v>8889</v>
      </c>
      <c r="B4444" t="s">
        <v>8890</v>
      </c>
      <c r="C4444" t="s">
        <v>10</v>
      </c>
      <c r="D4444">
        <v>30</v>
      </c>
      <c r="E4444" t="s">
        <v>60</v>
      </c>
      <c r="F4444" t="s">
        <v>21</v>
      </c>
      <c r="G4444" t="s">
        <v>22</v>
      </c>
      <c r="H4444" s="1">
        <v>45257</v>
      </c>
    </row>
    <row r="4445" spans="1:8">
      <c r="A4445" t="s">
        <v>8891</v>
      </c>
      <c r="B4445" t="s">
        <v>8892</v>
      </c>
      <c r="C4445" t="s">
        <v>10</v>
      </c>
      <c r="D4445">
        <v>20</v>
      </c>
      <c r="E4445" t="s">
        <v>15</v>
      </c>
      <c r="F4445" t="s">
        <v>16</v>
      </c>
      <c r="G4445" t="s">
        <v>17</v>
      </c>
      <c r="H4445" s="1">
        <v>45018</v>
      </c>
    </row>
    <row r="4446" spans="1:8">
      <c r="A4446" t="s">
        <v>8893</v>
      </c>
      <c r="B4446" t="s">
        <v>8894</v>
      </c>
      <c r="C4446" t="s">
        <v>10</v>
      </c>
      <c r="D4446">
        <v>22</v>
      </c>
      <c r="E4446" t="s">
        <v>218</v>
      </c>
      <c r="F4446" t="s">
        <v>219</v>
      </c>
      <c r="G4446" t="s">
        <v>17</v>
      </c>
      <c r="H4446" s="1">
        <v>45021</v>
      </c>
    </row>
    <row r="4447" spans="1:8">
      <c r="A4447" t="s">
        <v>8895</v>
      </c>
      <c r="B4447" t="s">
        <v>8896</v>
      </c>
      <c r="C4447" t="s">
        <v>10</v>
      </c>
      <c r="D4447">
        <v>24</v>
      </c>
      <c r="E4447" t="s">
        <v>11</v>
      </c>
      <c r="F4447" t="s">
        <v>11</v>
      </c>
      <c r="G4447" t="s">
        <v>12</v>
      </c>
      <c r="H4447" s="1">
        <v>44924</v>
      </c>
    </row>
    <row r="4448" spans="1:8">
      <c r="A4448" t="s">
        <v>8897</v>
      </c>
      <c r="B4448" t="s">
        <v>8898</v>
      </c>
      <c r="C4448" t="s">
        <v>31</v>
      </c>
      <c r="D4448">
        <v>65</v>
      </c>
      <c r="E4448" t="s">
        <v>76</v>
      </c>
      <c r="F4448" t="s">
        <v>77</v>
      </c>
      <c r="G4448" t="s">
        <v>78</v>
      </c>
      <c r="H4448" s="1">
        <v>44718</v>
      </c>
    </row>
    <row r="4449" spans="1:8">
      <c r="A4449" t="s">
        <v>8899</v>
      </c>
      <c r="B4449" t="s">
        <v>8900</v>
      </c>
      <c r="C4449" t="s">
        <v>31</v>
      </c>
      <c r="D4449">
        <v>52</v>
      </c>
      <c r="E4449" t="s">
        <v>15</v>
      </c>
      <c r="F4449" t="s">
        <v>16</v>
      </c>
      <c r="G4449" t="s">
        <v>17</v>
      </c>
      <c r="H4449" s="1">
        <v>46018</v>
      </c>
    </row>
    <row r="4450" spans="1:8">
      <c r="A4450" t="s">
        <v>8901</v>
      </c>
      <c r="B4450" t="s">
        <v>8902</v>
      </c>
      <c r="C4450" t="s">
        <v>31</v>
      </c>
      <c r="D4450">
        <v>52</v>
      </c>
      <c r="E4450" t="s">
        <v>41</v>
      </c>
      <c r="F4450" t="s">
        <v>42</v>
      </c>
      <c r="G4450" t="s">
        <v>17</v>
      </c>
      <c r="H4450" s="1">
        <v>45674</v>
      </c>
    </row>
    <row r="4451" spans="1:8">
      <c r="A4451" t="s">
        <v>8903</v>
      </c>
      <c r="B4451" t="s">
        <v>8904</v>
      </c>
      <c r="C4451" t="s">
        <v>10</v>
      </c>
      <c r="D4451">
        <v>24</v>
      </c>
      <c r="E4451" t="s">
        <v>149</v>
      </c>
      <c r="F4451" t="s">
        <v>38</v>
      </c>
      <c r="G4451" t="s">
        <v>22</v>
      </c>
      <c r="H4451" s="1">
        <v>45172</v>
      </c>
    </row>
    <row r="4452" spans="1:8">
      <c r="A4452" t="s">
        <v>8905</v>
      </c>
      <c r="B4452" t="s">
        <v>8906</v>
      </c>
      <c r="C4452" t="s">
        <v>31</v>
      </c>
      <c r="D4452">
        <v>34</v>
      </c>
      <c r="E4452" t="s">
        <v>11</v>
      </c>
      <c r="F4452" t="s">
        <v>11</v>
      </c>
      <c r="G4452" t="s">
        <v>12</v>
      </c>
      <c r="H4452" s="1">
        <v>45649</v>
      </c>
    </row>
    <row r="4453" spans="1:8">
      <c r="A4453" t="s">
        <v>8907</v>
      </c>
      <c r="B4453" t="s">
        <v>8908</v>
      </c>
      <c r="C4453" t="s">
        <v>31</v>
      </c>
      <c r="D4453">
        <v>37</v>
      </c>
      <c r="E4453" t="s">
        <v>20</v>
      </c>
      <c r="F4453" t="s">
        <v>21</v>
      </c>
      <c r="G4453" t="s">
        <v>22</v>
      </c>
      <c r="H4453" s="1">
        <v>45359</v>
      </c>
    </row>
    <row r="4454" spans="1:8">
      <c r="A4454" t="s">
        <v>8909</v>
      </c>
      <c r="B4454" t="s">
        <v>8910</v>
      </c>
      <c r="C4454" t="s">
        <v>31</v>
      </c>
      <c r="D4454">
        <v>29</v>
      </c>
      <c r="E4454" t="s">
        <v>11</v>
      </c>
      <c r="F4454" t="s">
        <v>11</v>
      </c>
      <c r="G4454" t="s">
        <v>12</v>
      </c>
      <c r="H4454" s="1">
        <v>44649</v>
      </c>
    </row>
    <row r="4455" spans="1:8">
      <c r="A4455" t="s">
        <v>8911</v>
      </c>
      <c r="B4455" t="s">
        <v>8912</v>
      </c>
      <c r="C4455" t="s">
        <v>31</v>
      </c>
      <c r="D4455">
        <v>58</v>
      </c>
      <c r="E4455" t="s">
        <v>60</v>
      </c>
      <c r="F4455" t="s">
        <v>21</v>
      </c>
      <c r="G4455" t="s">
        <v>22</v>
      </c>
      <c r="H4455" s="1">
        <v>45581</v>
      </c>
    </row>
    <row r="4456" spans="1:8">
      <c r="A4456" t="s">
        <v>8913</v>
      </c>
      <c r="B4456" t="s">
        <v>8914</v>
      </c>
      <c r="C4456" t="s">
        <v>31</v>
      </c>
      <c r="D4456">
        <v>67</v>
      </c>
      <c r="E4456" t="s">
        <v>101</v>
      </c>
      <c r="F4456" t="s">
        <v>21</v>
      </c>
      <c r="G4456" t="s">
        <v>22</v>
      </c>
      <c r="H4456" s="1">
        <v>45204</v>
      </c>
    </row>
    <row r="4457" spans="1:8">
      <c r="A4457" t="s">
        <v>8915</v>
      </c>
      <c r="B4457" t="s">
        <v>8916</v>
      </c>
      <c r="C4457" t="s">
        <v>31</v>
      </c>
      <c r="D4457">
        <v>36</v>
      </c>
      <c r="E4457" t="s">
        <v>69</v>
      </c>
      <c r="F4457" t="s">
        <v>69</v>
      </c>
      <c r="G4457" t="s">
        <v>12</v>
      </c>
      <c r="H4457" s="1">
        <v>45868</v>
      </c>
    </row>
    <row r="4458" spans="1:8">
      <c r="A4458" t="s">
        <v>8917</v>
      </c>
      <c r="B4458" t="s">
        <v>8918</v>
      </c>
      <c r="C4458" t="s">
        <v>10</v>
      </c>
      <c r="D4458">
        <v>56</v>
      </c>
      <c r="E4458" t="s">
        <v>112</v>
      </c>
      <c r="F4458" t="s">
        <v>113</v>
      </c>
      <c r="G4458" t="s">
        <v>78</v>
      </c>
      <c r="H4458" s="1">
        <v>45198</v>
      </c>
    </row>
    <row r="4459" spans="1:8">
      <c r="A4459" t="s">
        <v>8919</v>
      </c>
      <c r="B4459" t="s">
        <v>8920</v>
      </c>
      <c r="C4459" t="s">
        <v>31</v>
      </c>
      <c r="D4459">
        <v>60</v>
      </c>
      <c r="E4459" t="s">
        <v>101</v>
      </c>
      <c r="F4459" t="s">
        <v>21</v>
      </c>
      <c r="G4459" t="s">
        <v>22</v>
      </c>
      <c r="H4459" s="1">
        <v>45007</v>
      </c>
    </row>
    <row r="4460" spans="1:8">
      <c r="A4460" t="s">
        <v>8921</v>
      </c>
      <c r="B4460" t="s">
        <v>8922</v>
      </c>
      <c r="C4460" t="s">
        <v>31</v>
      </c>
      <c r="D4460">
        <v>69</v>
      </c>
      <c r="E4460" t="s">
        <v>218</v>
      </c>
      <c r="F4460" t="s">
        <v>219</v>
      </c>
      <c r="G4460" t="s">
        <v>17</v>
      </c>
      <c r="H4460" s="1">
        <v>44850</v>
      </c>
    </row>
    <row r="4461" spans="1:8">
      <c r="A4461" t="s">
        <v>8923</v>
      </c>
      <c r="B4461" t="s">
        <v>8924</v>
      </c>
      <c r="C4461" t="s">
        <v>10</v>
      </c>
      <c r="D4461">
        <v>19</v>
      </c>
      <c r="E4461" t="s">
        <v>15</v>
      </c>
      <c r="F4461" t="s">
        <v>16</v>
      </c>
      <c r="G4461" t="s">
        <v>17</v>
      </c>
      <c r="H4461" s="1">
        <v>44957</v>
      </c>
    </row>
    <row r="4462" spans="1:8">
      <c r="A4462" t="s">
        <v>8925</v>
      </c>
      <c r="B4462" t="s">
        <v>8926</v>
      </c>
      <c r="C4462" t="s">
        <v>31</v>
      </c>
      <c r="D4462">
        <v>28</v>
      </c>
      <c r="E4462" t="s">
        <v>20</v>
      </c>
      <c r="F4462" t="s">
        <v>21</v>
      </c>
      <c r="G4462" t="s">
        <v>22</v>
      </c>
      <c r="H4462" s="1">
        <v>44655</v>
      </c>
    </row>
    <row r="4463" spans="1:8">
      <c r="A4463" t="s">
        <v>8927</v>
      </c>
      <c r="B4463" t="s">
        <v>8928</v>
      </c>
      <c r="C4463" t="s">
        <v>10</v>
      </c>
      <c r="D4463">
        <v>36</v>
      </c>
      <c r="E4463" t="s">
        <v>27</v>
      </c>
      <c r="F4463" t="s">
        <v>28</v>
      </c>
      <c r="G4463" t="s">
        <v>12</v>
      </c>
      <c r="H4463" s="1">
        <v>45006</v>
      </c>
    </row>
    <row r="4464" spans="1:8">
      <c r="A4464" t="s">
        <v>8929</v>
      </c>
      <c r="B4464" t="s">
        <v>8930</v>
      </c>
      <c r="C4464" t="s">
        <v>10</v>
      </c>
      <c r="D4464">
        <v>23</v>
      </c>
      <c r="E4464" t="s">
        <v>27</v>
      </c>
      <c r="F4464" t="s">
        <v>28</v>
      </c>
      <c r="G4464" t="s">
        <v>12</v>
      </c>
      <c r="H4464" s="1">
        <v>45725</v>
      </c>
    </row>
    <row r="4465" spans="1:8">
      <c r="A4465" t="s">
        <v>8931</v>
      </c>
      <c r="B4465" t="s">
        <v>8932</v>
      </c>
      <c r="C4465" t="s">
        <v>10</v>
      </c>
      <c r="D4465">
        <v>70</v>
      </c>
      <c r="E4465" t="s">
        <v>60</v>
      </c>
      <c r="F4465" t="s">
        <v>21</v>
      </c>
      <c r="G4465" t="s">
        <v>22</v>
      </c>
      <c r="H4465" s="1">
        <v>45476</v>
      </c>
    </row>
    <row r="4466" spans="1:8">
      <c r="A4466" t="s">
        <v>8933</v>
      </c>
      <c r="B4466" t="s">
        <v>8934</v>
      </c>
      <c r="C4466" t="s">
        <v>31</v>
      </c>
      <c r="D4466">
        <v>54</v>
      </c>
      <c r="E4466" t="s">
        <v>27</v>
      </c>
      <c r="F4466" t="s">
        <v>28</v>
      </c>
      <c r="G4466" t="s">
        <v>12</v>
      </c>
      <c r="H4466" s="1">
        <v>45810</v>
      </c>
    </row>
    <row r="4467" spans="1:8">
      <c r="A4467" t="s">
        <v>8935</v>
      </c>
      <c r="B4467" t="s">
        <v>8936</v>
      </c>
      <c r="C4467" t="s">
        <v>10</v>
      </c>
      <c r="D4467">
        <v>50</v>
      </c>
      <c r="E4467" t="s">
        <v>11</v>
      </c>
      <c r="F4467" t="s">
        <v>11</v>
      </c>
      <c r="G4467" t="s">
        <v>12</v>
      </c>
      <c r="H4467" s="1">
        <v>45896</v>
      </c>
    </row>
    <row r="4468" spans="1:8">
      <c r="A4468" t="s">
        <v>8937</v>
      </c>
      <c r="B4468" t="s">
        <v>8938</v>
      </c>
      <c r="C4468" t="s">
        <v>10</v>
      </c>
      <c r="D4468">
        <v>21</v>
      </c>
      <c r="E4468" t="s">
        <v>11</v>
      </c>
      <c r="F4468" t="s">
        <v>11</v>
      </c>
      <c r="G4468" t="s">
        <v>12</v>
      </c>
      <c r="H4468" s="1">
        <v>45687</v>
      </c>
    </row>
    <row r="4469" spans="1:8">
      <c r="A4469" t="s">
        <v>8939</v>
      </c>
      <c r="B4469" t="s">
        <v>8940</v>
      </c>
      <c r="C4469" t="s">
        <v>31</v>
      </c>
      <c r="D4469">
        <v>19</v>
      </c>
      <c r="E4469" t="s">
        <v>41</v>
      </c>
      <c r="F4469" t="s">
        <v>42</v>
      </c>
      <c r="G4469" t="s">
        <v>17</v>
      </c>
      <c r="H4469" s="1">
        <v>45426</v>
      </c>
    </row>
    <row r="4470" spans="1:8">
      <c r="A4470" t="s">
        <v>8941</v>
      </c>
      <c r="B4470" t="s">
        <v>1391</v>
      </c>
      <c r="C4470" t="s">
        <v>10</v>
      </c>
      <c r="D4470">
        <v>21</v>
      </c>
      <c r="E4470" t="s">
        <v>63</v>
      </c>
      <c r="F4470" t="s">
        <v>64</v>
      </c>
      <c r="G4470" t="s">
        <v>12</v>
      </c>
      <c r="H4470" s="1">
        <v>46008</v>
      </c>
    </row>
    <row r="4471" spans="1:8">
      <c r="A4471" t="s">
        <v>8942</v>
      </c>
      <c r="B4471" t="s">
        <v>8943</v>
      </c>
      <c r="C4471" t="s">
        <v>31</v>
      </c>
      <c r="D4471">
        <v>30</v>
      </c>
      <c r="E4471" t="s">
        <v>34</v>
      </c>
      <c r="F4471" t="s">
        <v>16</v>
      </c>
      <c r="G4471" t="s">
        <v>17</v>
      </c>
      <c r="H4471" s="1">
        <v>44892</v>
      </c>
    </row>
    <row r="4472" spans="1:8">
      <c r="A4472" t="s">
        <v>8944</v>
      </c>
      <c r="B4472" t="s">
        <v>8945</v>
      </c>
      <c r="C4472" t="s">
        <v>10</v>
      </c>
      <c r="D4472">
        <v>38</v>
      </c>
      <c r="E4472" t="s">
        <v>101</v>
      </c>
      <c r="F4472" t="s">
        <v>21</v>
      </c>
      <c r="G4472" t="s">
        <v>22</v>
      </c>
      <c r="H4472" s="1">
        <v>44759</v>
      </c>
    </row>
    <row r="4473" spans="1:8">
      <c r="A4473" t="s">
        <v>8946</v>
      </c>
      <c r="B4473" t="s">
        <v>8947</v>
      </c>
      <c r="C4473" t="s">
        <v>31</v>
      </c>
      <c r="D4473">
        <v>33</v>
      </c>
      <c r="E4473" t="s">
        <v>134</v>
      </c>
      <c r="F4473" t="s">
        <v>28</v>
      </c>
      <c r="G4473" t="s">
        <v>12</v>
      </c>
      <c r="H4473" s="1">
        <v>44929</v>
      </c>
    </row>
    <row r="4474" spans="1:8">
      <c r="A4474" t="s">
        <v>8948</v>
      </c>
      <c r="B4474" t="s">
        <v>2488</v>
      </c>
      <c r="C4474" t="s">
        <v>10</v>
      </c>
      <c r="D4474">
        <v>40</v>
      </c>
      <c r="E4474" t="s">
        <v>76</v>
      </c>
      <c r="F4474" t="s">
        <v>77</v>
      </c>
      <c r="G4474" t="s">
        <v>78</v>
      </c>
      <c r="H4474" s="1">
        <v>45688</v>
      </c>
    </row>
    <row r="4475" spans="1:8">
      <c r="A4475" t="s">
        <v>8949</v>
      </c>
      <c r="B4475" t="s">
        <v>8950</v>
      </c>
      <c r="C4475" t="s">
        <v>10</v>
      </c>
      <c r="D4475">
        <v>60</v>
      </c>
      <c r="E4475" t="s">
        <v>101</v>
      </c>
      <c r="F4475" t="s">
        <v>21</v>
      </c>
      <c r="G4475" t="s">
        <v>22</v>
      </c>
      <c r="H4475" s="1">
        <v>45417</v>
      </c>
    </row>
    <row r="4476" spans="1:8">
      <c r="A4476" t="s">
        <v>8951</v>
      </c>
      <c r="B4476" t="s">
        <v>8952</v>
      </c>
      <c r="C4476" t="s">
        <v>10</v>
      </c>
      <c r="D4476">
        <v>46</v>
      </c>
      <c r="E4476" t="s">
        <v>27</v>
      </c>
      <c r="F4476" t="s">
        <v>28</v>
      </c>
      <c r="G4476" t="s">
        <v>12</v>
      </c>
      <c r="H4476" s="1">
        <v>44689</v>
      </c>
    </row>
    <row r="4477" spans="1:8">
      <c r="A4477" t="s">
        <v>8953</v>
      </c>
      <c r="B4477" t="s">
        <v>8954</v>
      </c>
      <c r="C4477" t="s">
        <v>31</v>
      </c>
      <c r="D4477">
        <v>66</v>
      </c>
      <c r="E4477" t="s">
        <v>149</v>
      </c>
      <c r="F4477" t="s">
        <v>38</v>
      </c>
      <c r="G4477" t="s">
        <v>22</v>
      </c>
      <c r="H4477" s="1">
        <v>44897</v>
      </c>
    </row>
    <row r="4478" spans="1:8">
      <c r="A4478" t="s">
        <v>8955</v>
      </c>
      <c r="B4478" t="s">
        <v>8956</v>
      </c>
      <c r="C4478" t="s">
        <v>10</v>
      </c>
      <c r="D4478">
        <v>53</v>
      </c>
      <c r="E4478" t="s">
        <v>101</v>
      </c>
      <c r="F4478" t="s">
        <v>21</v>
      </c>
      <c r="G4478" t="s">
        <v>22</v>
      </c>
      <c r="H4478" s="1">
        <v>45027</v>
      </c>
    </row>
    <row r="4479" spans="1:8">
      <c r="A4479" t="s">
        <v>8957</v>
      </c>
      <c r="B4479" t="s">
        <v>8958</v>
      </c>
      <c r="C4479" t="s">
        <v>31</v>
      </c>
      <c r="D4479">
        <v>61</v>
      </c>
      <c r="E4479" t="s">
        <v>76</v>
      </c>
      <c r="F4479" t="s">
        <v>77</v>
      </c>
      <c r="G4479" t="s">
        <v>78</v>
      </c>
      <c r="H4479" s="1">
        <v>45589</v>
      </c>
    </row>
    <row r="4480" spans="1:8">
      <c r="A4480" t="s">
        <v>8959</v>
      </c>
      <c r="B4480" t="s">
        <v>8960</v>
      </c>
      <c r="C4480" t="s">
        <v>31</v>
      </c>
      <c r="D4480">
        <v>44</v>
      </c>
      <c r="E4480" t="s">
        <v>63</v>
      </c>
      <c r="F4480" t="s">
        <v>64</v>
      </c>
      <c r="G4480" t="s">
        <v>12</v>
      </c>
      <c r="H4480" s="1">
        <v>45001</v>
      </c>
    </row>
    <row r="4481" spans="1:8">
      <c r="A4481" t="s">
        <v>8961</v>
      </c>
      <c r="B4481" t="s">
        <v>8962</v>
      </c>
      <c r="C4481" t="s">
        <v>31</v>
      </c>
      <c r="D4481">
        <v>58</v>
      </c>
      <c r="E4481" t="s">
        <v>87</v>
      </c>
      <c r="F4481" t="s">
        <v>88</v>
      </c>
      <c r="G4481" t="s">
        <v>78</v>
      </c>
      <c r="H4481" s="1">
        <v>45597</v>
      </c>
    </row>
    <row r="4482" spans="1:8">
      <c r="A4482" t="s">
        <v>8963</v>
      </c>
      <c r="B4482" t="s">
        <v>8964</v>
      </c>
      <c r="C4482" t="s">
        <v>10</v>
      </c>
      <c r="D4482">
        <v>43</v>
      </c>
      <c r="E4482" t="s">
        <v>218</v>
      </c>
      <c r="F4482" t="s">
        <v>219</v>
      </c>
      <c r="G4482" t="s">
        <v>17</v>
      </c>
      <c r="H4482" s="1">
        <v>45386</v>
      </c>
    </row>
    <row r="4483" spans="1:8">
      <c r="A4483" t="s">
        <v>8965</v>
      </c>
      <c r="B4483" t="s">
        <v>8966</v>
      </c>
      <c r="C4483" t="s">
        <v>31</v>
      </c>
      <c r="D4483">
        <v>67</v>
      </c>
      <c r="E4483" t="s">
        <v>101</v>
      </c>
      <c r="F4483" t="s">
        <v>21</v>
      </c>
      <c r="G4483" t="s">
        <v>22</v>
      </c>
      <c r="H4483" s="1">
        <v>45450</v>
      </c>
    </row>
    <row r="4484" spans="1:8">
      <c r="A4484" t="s">
        <v>8967</v>
      </c>
      <c r="B4484" t="s">
        <v>8968</v>
      </c>
      <c r="C4484" t="s">
        <v>10</v>
      </c>
      <c r="D4484">
        <v>60</v>
      </c>
      <c r="E4484" t="s">
        <v>15</v>
      </c>
      <c r="F4484" t="s">
        <v>16</v>
      </c>
      <c r="G4484" t="s">
        <v>17</v>
      </c>
      <c r="H4484" s="1">
        <v>44950</v>
      </c>
    </row>
    <row r="4485" spans="1:8">
      <c r="A4485" t="s">
        <v>8969</v>
      </c>
      <c r="B4485" t="s">
        <v>8970</v>
      </c>
      <c r="C4485" t="s">
        <v>10</v>
      </c>
      <c r="D4485">
        <v>63</v>
      </c>
      <c r="E4485" t="s">
        <v>101</v>
      </c>
      <c r="F4485" t="s">
        <v>21</v>
      </c>
      <c r="G4485" t="s">
        <v>22</v>
      </c>
      <c r="H4485" s="1">
        <v>44973</v>
      </c>
    </row>
    <row r="4486" spans="1:8">
      <c r="A4486" t="s">
        <v>8971</v>
      </c>
      <c r="B4486" t="s">
        <v>8972</v>
      </c>
      <c r="C4486" t="s">
        <v>10</v>
      </c>
      <c r="D4486">
        <v>40</v>
      </c>
      <c r="E4486" t="s">
        <v>11</v>
      </c>
      <c r="F4486" t="s">
        <v>11</v>
      </c>
      <c r="G4486" t="s">
        <v>12</v>
      </c>
      <c r="H4486" s="1">
        <v>45940</v>
      </c>
    </row>
    <row r="4487" spans="1:8">
      <c r="A4487" t="s">
        <v>8973</v>
      </c>
      <c r="B4487" t="s">
        <v>8974</v>
      </c>
      <c r="C4487" t="s">
        <v>10</v>
      </c>
      <c r="D4487">
        <v>51</v>
      </c>
      <c r="E4487" t="s">
        <v>112</v>
      </c>
      <c r="F4487" t="s">
        <v>113</v>
      </c>
      <c r="G4487" t="s">
        <v>78</v>
      </c>
      <c r="H4487" s="1">
        <v>45790</v>
      </c>
    </row>
    <row r="4488" spans="1:8">
      <c r="A4488" t="s">
        <v>8975</v>
      </c>
      <c r="B4488" t="s">
        <v>8976</v>
      </c>
      <c r="C4488" t="s">
        <v>31</v>
      </c>
      <c r="D4488">
        <v>49</v>
      </c>
      <c r="E4488" t="s">
        <v>20</v>
      </c>
      <c r="F4488" t="s">
        <v>21</v>
      </c>
      <c r="G4488" t="s">
        <v>22</v>
      </c>
      <c r="H4488" s="1">
        <v>45393</v>
      </c>
    </row>
    <row r="4489" spans="1:8">
      <c r="A4489" t="s">
        <v>8977</v>
      </c>
      <c r="B4489" t="s">
        <v>8978</v>
      </c>
      <c r="C4489" t="s">
        <v>31</v>
      </c>
      <c r="D4489">
        <v>70</v>
      </c>
      <c r="E4489" t="s">
        <v>20</v>
      </c>
      <c r="F4489" t="s">
        <v>21</v>
      </c>
      <c r="G4489" t="s">
        <v>22</v>
      </c>
      <c r="H4489" s="1">
        <v>45427</v>
      </c>
    </row>
    <row r="4490" spans="1:8">
      <c r="A4490" t="s">
        <v>8979</v>
      </c>
      <c r="B4490" t="s">
        <v>8980</v>
      </c>
      <c r="C4490" t="s">
        <v>10</v>
      </c>
      <c r="D4490">
        <v>59</v>
      </c>
      <c r="E4490" t="s">
        <v>11</v>
      </c>
      <c r="F4490" t="s">
        <v>11</v>
      </c>
      <c r="G4490" t="s">
        <v>12</v>
      </c>
      <c r="H4490" s="1">
        <v>45862</v>
      </c>
    </row>
    <row r="4491" spans="1:8">
      <c r="A4491" t="s">
        <v>8981</v>
      </c>
      <c r="B4491" t="s">
        <v>8982</v>
      </c>
      <c r="C4491" t="s">
        <v>10</v>
      </c>
      <c r="D4491">
        <v>47</v>
      </c>
      <c r="E4491" t="s">
        <v>63</v>
      </c>
      <c r="F4491" t="s">
        <v>64</v>
      </c>
      <c r="G4491" t="s">
        <v>12</v>
      </c>
      <c r="H4491" s="1">
        <v>44715</v>
      </c>
    </row>
    <row r="4492" spans="1:8">
      <c r="A4492" t="s">
        <v>8983</v>
      </c>
      <c r="B4492" t="s">
        <v>8984</v>
      </c>
      <c r="C4492" t="s">
        <v>31</v>
      </c>
      <c r="D4492">
        <v>50</v>
      </c>
      <c r="E4492" t="s">
        <v>69</v>
      </c>
      <c r="F4492" t="s">
        <v>69</v>
      </c>
      <c r="G4492" t="s">
        <v>12</v>
      </c>
      <c r="H4492" s="1">
        <v>44801</v>
      </c>
    </row>
    <row r="4493" spans="1:8">
      <c r="A4493" t="s">
        <v>8985</v>
      </c>
      <c r="B4493" t="s">
        <v>8986</v>
      </c>
      <c r="C4493" t="s">
        <v>31</v>
      </c>
      <c r="D4493">
        <v>55</v>
      </c>
      <c r="E4493" t="s">
        <v>134</v>
      </c>
      <c r="F4493" t="s">
        <v>28</v>
      </c>
      <c r="G4493" t="s">
        <v>12</v>
      </c>
      <c r="H4493" s="1">
        <v>45777</v>
      </c>
    </row>
    <row r="4494" spans="1:8">
      <c r="A4494" t="s">
        <v>8987</v>
      </c>
      <c r="B4494" t="s">
        <v>8988</v>
      </c>
      <c r="C4494" t="s">
        <v>31</v>
      </c>
      <c r="D4494">
        <v>40</v>
      </c>
      <c r="E4494" t="s">
        <v>76</v>
      </c>
      <c r="F4494" t="s">
        <v>77</v>
      </c>
      <c r="G4494" t="s">
        <v>78</v>
      </c>
      <c r="H4494" s="1">
        <v>45670</v>
      </c>
    </row>
    <row r="4495" spans="1:8">
      <c r="A4495" t="s">
        <v>8989</v>
      </c>
      <c r="B4495" t="s">
        <v>8990</v>
      </c>
      <c r="C4495" t="s">
        <v>10</v>
      </c>
      <c r="D4495">
        <v>63</v>
      </c>
      <c r="E4495" t="s">
        <v>63</v>
      </c>
      <c r="F4495" t="s">
        <v>64</v>
      </c>
      <c r="G4495" t="s">
        <v>12</v>
      </c>
      <c r="H4495" s="1">
        <v>45945</v>
      </c>
    </row>
    <row r="4496" spans="1:8">
      <c r="A4496" t="s">
        <v>8991</v>
      </c>
      <c r="B4496" t="s">
        <v>8992</v>
      </c>
      <c r="C4496" t="s">
        <v>31</v>
      </c>
      <c r="D4496">
        <v>42</v>
      </c>
      <c r="E4496" t="s">
        <v>76</v>
      </c>
      <c r="F4496" t="s">
        <v>77</v>
      </c>
      <c r="G4496" t="s">
        <v>78</v>
      </c>
      <c r="H4496" s="1">
        <v>45998</v>
      </c>
    </row>
    <row r="4497" spans="1:8">
      <c r="A4497" t="s">
        <v>8993</v>
      </c>
      <c r="B4497" t="s">
        <v>8994</v>
      </c>
      <c r="C4497" t="s">
        <v>31</v>
      </c>
      <c r="D4497">
        <v>66</v>
      </c>
      <c r="E4497" t="s">
        <v>149</v>
      </c>
      <c r="F4497" t="s">
        <v>38</v>
      </c>
      <c r="G4497" t="s">
        <v>22</v>
      </c>
      <c r="H4497" s="1">
        <v>45655</v>
      </c>
    </row>
    <row r="4498" spans="1:8">
      <c r="A4498" t="s">
        <v>8995</v>
      </c>
      <c r="B4498" t="s">
        <v>8996</v>
      </c>
      <c r="C4498" t="s">
        <v>10</v>
      </c>
      <c r="D4498">
        <v>26</v>
      </c>
      <c r="E4498" t="s">
        <v>45</v>
      </c>
      <c r="F4498" t="s">
        <v>46</v>
      </c>
      <c r="G4498" t="s">
        <v>17</v>
      </c>
      <c r="H4498" s="1">
        <v>45739</v>
      </c>
    </row>
    <row r="4499" spans="1:8">
      <c r="A4499" t="s">
        <v>8997</v>
      </c>
      <c r="B4499" t="s">
        <v>8998</v>
      </c>
      <c r="C4499" t="s">
        <v>10</v>
      </c>
      <c r="D4499">
        <v>39</v>
      </c>
      <c r="E4499" t="s">
        <v>101</v>
      </c>
      <c r="F4499" t="s">
        <v>21</v>
      </c>
      <c r="G4499" t="s">
        <v>22</v>
      </c>
      <c r="H4499" s="1">
        <v>45192</v>
      </c>
    </row>
    <row r="4500" spans="1:8">
      <c r="A4500" t="s">
        <v>8999</v>
      </c>
      <c r="B4500" t="s">
        <v>9000</v>
      </c>
      <c r="C4500" t="s">
        <v>31</v>
      </c>
      <c r="D4500">
        <v>58</v>
      </c>
      <c r="E4500" t="s">
        <v>60</v>
      </c>
      <c r="F4500" t="s">
        <v>21</v>
      </c>
      <c r="G4500" t="s">
        <v>22</v>
      </c>
      <c r="H4500" s="1">
        <v>45120</v>
      </c>
    </row>
    <row r="4501" spans="1:8">
      <c r="A4501" t="s">
        <v>9001</v>
      </c>
      <c r="B4501" t="s">
        <v>9002</v>
      </c>
      <c r="C4501" t="s">
        <v>10</v>
      </c>
      <c r="D4501">
        <v>55</v>
      </c>
      <c r="E4501" t="s">
        <v>69</v>
      </c>
      <c r="F4501" t="s">
        <v>69</v>
      </c>
      <c r="G4501" t="s">
        <v>12</v>
      </c>
      <c r="H4501" s="1">
        <v>45172</v>
      </c>
    </row>
    <row r="4502" spans="1:8">
      <c r="A4502" t="s">
        <v>9003</v>
      </c>
      <c r="B4502" t="s">
        <v>9004</v>
      </c>
      <c r="C4502" t="s">
        <v>31</v>
      </c>
      <c r="D4502">
        <v>58</v>
      </c>
      <c r="E4502" t="s">
        <v>87</v>
      </c>
      <c r="F4502" t="s">
        <v>88</v>
      </c>
      <c r="G4502" t="s">
        <v>78</v>
      </c>
      <c r="H4502" s="1">
        <v>45473</v>
      </c>
    </row>
    <row r="4503" spans="1:8">
      <c r="A4503" t="s">
        <v>9005</v>
      </c>
      <c r="B4503" t="s">
        <v>9006</v>
      </c>
      <c r="C4503" t="s">
        <v>31</v>
      </c>
      <c r="D4503">
        <v>55</v>
      </c>
      <c r="E4503" t="s">
        <v>60</v>
      </c>
      <c r="F4503" t="s">
        <v>21</v>
      </c>
      <c r="G4503" t="s">
        <v>22</v>
      </c>
      <c r="H4503" s="1">
        <v>45405</v>
      </c>
    </row>
    <row r="4504" spans="1:8">
      <c r="A4504" t="s">
        <v>9007</v>
      </c>
      <c r="B4504" t="s">
        <v>9008</v>
      </c>
      <c r="C4504" t="s">
        <v>31</v>
      </c>
      <c r="D4504">
        <v>54</v>
      </c>
      <c r="E4504" t="s">
        <v>91</v>
      </c>
      <c r="F4504" t="s">
        <v>92</v>
      </c>
      <c r="G4504" t="s">
        <v>78</v>
      </c>
      <c r="H4504" s="1">
        <v>44690</v>
      </c>
    </row>
    <row r="4505" spans="1:8">
      <c r="A4505" t="s">
        <v>9009</v>
      </c>
      <c r="B4505" t="s">
        <v>9010</v>
      </c>
      <c r="C4505" t="s">
        <v>10</v>
      </c>
      <c r="D4505">
        <v>53</v>
      </c>
      <c r="E4505" t="s">
        <v>69</v>
      </c>
      <c r="F4505" t="s">
        <v>69</v>
      </c>
      <c r="G4505" t="s">
        <v>12</v>
      </c>
      <c r="H4505" s="1">
        <v>44606</v>
      </c>
    </row>
    <row r="4506" spans="1:8">
      <c r="A4506" t="s">
        <v>9011</v>
      </c>
      <c r="B4506" t="s">
        <v>9012</v>
      </c>
      <c r="C4506" t="s">
        <v>31</v>
      </c>
      <c r="D4506">
        <v>34</v>
      </c>
      <c r="E4506" t="s">
        <v>69</v>
      </c>
      <c r="F4506" t="s">
        <v>69</v>
      </c>
      <c r="G4506" t="s">
        <v>12</v>
      </c>
      <c r="H4506" s="1">
        <v>45190</v>
      </c>
    </row>
    <row r="4507" spans="1:8">
      <c r="A4507" t="s">
        <v>9013</v>
      </c>
      <c r="B4507" t="s">
        <v>9014</v>
      </c>
      <c r="C4507" t="s">
        <v>31</v>
      </c>
      <c r="D4507">
        <v>43</v>
      </c>
      <c r="E4507" t="s">
        <v>60</v>
      </c>
      <c r="F4507" t="s">
        <v>21</v>
      </c>
      <c r="G4507" t="s">
        <v>22</v>
      </c>
      <c r="H4507" s="1">
        <v>45731</v>
      </c>
    </row>
    <row r="4508" spans="1:8">
      <c r="A4508" t="s">
        <v>9015</v>
      </c>
      <c r="B4508" t="s">
        <v>9016</v>
      </c>
      <c r="C4508" t="s">
        <v>31</v>
      </c>
      <c r="D4508">
        <v>25</v>
      </c>
      <c r="E4508" t="s">
        <v>218</v>
      </c>
      <c r="F4508" t="s">
        <v>219</v>
      </c>
      <c r="G4508" t="s">
        <v>17</v>
      </c>
      <c r="H4508" s="1">
        <v>44958</v>
      </c>
    </row>
    <row r="4509" spans="1:8">
      <c r="A4509" t="s">
        <v>9017</v>
      </c>
      <c r="B4509" t="s">
        <v>9018</v>
      </c>
      <c r="C4509" t="s">
        <v>31</v>
      </c>
      <c r="D4509">
        <v>51</v>
      </c>
      <c r="E4509" t="s">
        <v>101</v>
      </c>
      <c r="F4509" t="s">
        <v>21</v>
      </c>
      <c r="G4509" t="s">
        <v>22</v>
      </c>
      <c r="H4509" s="1">
        <v>45153</v>
      </c>
    </row>
    <row r="4510" spans="1:8">
      <c r="A4510" t="s">
        <v>9019</v>
      </c>
      <c r="B4510" t="s">
        <v>9020</v>
      </c>
      <c r="C4510" t="s">
        <v>31</v>
      </c>
      <c r="D4510">
        <v>64</v>
      </c>
      <c r="E4510" t="s">
        <v>91</v>
      </c>
      <c r="F4510" t="s">
        <v>92</v>
      </c>
      <c r="G4510" t="s">
        <v>78</v>
      </c>
      <c r="H4510" s="1">
        <v>44984</v>
      </c>
    </row>
    <row r="4511" spans="1:8">
      <c r="A4511" t="s">
        <v>9021</v>
      </c>
      <c r="B4511" t="s">
        <v>9022</v>
      </c>
      <c r="C4511" t="s">
        <v>31</v>
      </c>
      <c r="D4511">
        <v>36</v>
      </c>
      <c r="E4511" t="s">
        <v>27</v>
      </c>
      <c r="F4511" t="s">
        <v>28</v>
      </c>
      <c r="G4511" t="s">
        <v>12</v>
      </c>
      <c r="H4511" s="1">
        <v>44780</v>
      </c>
    </row>
    <row r="4512" spans="1:8">
      <c r="A4512" t="s">
        <v>9023</v>
      </c>
      <c r="B4512" t="s">
        <v>9024</v>
      </c>
      <c r="C4512" t="s">
        <v>31</v>
      </c>
      <c r="D4512">
        <v>36</v>
      </c>
      <c r="E4512" t="s">
        <v>27</v>
      </c>
      <c r="F4512" t="s">
        <v>28</v>
      </c>
      <c r="G4512" t="s">
        <v>12</v>
      </c>
      <c r="H4512" s="1">
        <v>44619</v>
      </c>
    </row>
    <row r="4513" spans="1:8">
      <c r="A4513" t="s">
        <v>9025</v>
      </c>
      <c r="B4513" t="s">
        <v>9026</v>
      </c>
      <c r="C4513" t="s">
        <v>31</v>
      </c>
      <c r="D4513">
        <v>18</v>
      </c>
      <c r="E4513" t="s">
        <v>60</v>
      </c>
      <c r="F4513" t="s">
        <v>21</v>
      </c>
      <c r="G4513" t="s">
        <v>22</v>
      </c>
      <c r="H4513" s="1">
        <v>44903</v>
      </c>
    </row>
    <row r="4514" spans="1:8">
      <c r="A4514" t="s">
        <v>9027</v>
      </c>
      <c r="B4514" t="s">
        <v>9028</v>
      </c>
      <c r="C4514" t="s">
        <v>10</v>
      </c>
      <c r="D4514">
        <v>28</v>
      </c>
      <c r="E4514" t="s">
        <v>101</v>
      </c>
      <c r="F4514" t="s">
        <v>21</v>
      </c>
      <c r="G4514" t="s">
        <v>22</v>
      </c>
      <c r="H4514" s="1">
        <v>44804</v>
      </c>
    </row>
    <row r="4515" spans="1:8">
      <c r="A4515" t="s">
        <v>9029</v>
      </c>
      <c r="B4515" t="s">
        <v>9030</v>
      </c>
      <c r="C4515" t="s">
        <v>31</v>
      </c>
      <c r="D4515">
        <v>43</v>
      </c>
      <c r="E4515" t="s">
        <v>149</v>
      </c>
      <c r="F4515" t="s">
        <v>38</v>
      </c>
      <c r="G4515" t="s">
        <v>22</v>
      </c>
      <c r="H4515" s="1">
        <v>44642</v>
      </c>
    </row>
    <row r="4516" spans="1:8">
      <c r="A4516" t="s">
        <v>9031</v>
      </c>
      <c r="B4516" t="s">
        <v>9032</v>
      </c>
      <c r="C4516" t="s">
        <v>10</v>
      </c>
      <c r="D4516">
        <v>52</v>
      </c>
      <c r="E4516" t="s">
        <v>218</v>
      </c>
      <c r="F4516" t="s">
        <v>219</v>
      </c>
      <c r="G4516" t="s">
        <v>17</v>
      </c>
      <c r="H4516" s="1">
        <v>44687</v>
      </c>
    </row>
    <row r="4517" spans="1:8">
      <c r="A4517" t="s">
        <v>9033</v>
      </c>
      <c r="B4517" t="s">
        <v>9034</v>
      </c>
      <c r="C4517" t="s">
        <v>31</v>
      </c>
      <c r="D4517">
        <v>51</v>
      </c>
      <c r="E4517" t="s">
        <v>218</v>
      </c>
      <c r="F4517" t="s">
        <v>219</v>
      </c>
      <c r="G4517" t="s">
        <v>17</v>
      </c>
      <c r="H4517" s="1">
        <v>45079</v>
      </c>
    </row>
    <row r="4518" spans="1:8">
      <c r="A4518" t="s">
        <v>9035</v>
      </c>
      <c r="B4518" t="s">
        <v>9036</v>
      </c>
      <c r="C4518" t="s">
        <v>10</v>
      </c>
      <c r="D4518">
        <v>60</v>
      </c>
      <c r="E4518" t="s">
        <v>34</v>
      </c>
      <c r="F4518" t="s">
        <v>16</v>
      </c>
      <c r="G4518" t="s">
        <v>17</v>
      </c>
      <c r="H4518" s="1">
        <v>44563</v>
      </c>
    </row>
    <row r="4519" spans="1:8">
      <c r="A4519" t="s">
        <v>9037</v>
      </c>
      <c r="B4519" t="s">
        <v>9038</v>
      </c>
      <c r="C4519" t="s">
        <v>31</v>
      </c>
      <c r="D4519">
        <v>60</v>
      </c>
      <c r="E4519" t="s">
        <v>134</v>
      </c>
      <c r="F4519" t="s">
        <v>28</v>
      </c>
      <c r="G4519" t="s">
        <v>12</v>
      </c>
      <c r="H4519" s="1">
        <v>45550</v>
      </c>
    </row>
    <row r="4520" spans="1:8">
      <c r="A4520" t="s">
        <v>9039</v>
      </c>
      <c r="B4520" t="s">
        <v>9040</v>
      </c>
      <c r="C4520" t="s">
        <v>31</v>
      </c>
      <c r="D4520">
        <v>34</v>
      </c>
      <c r="E4520" t="s">
        <v>27</v>
      </c>
      <c r="F4520" t="s">
        <v>28</v>
      </c>
      <c r="G4520" t="s">
        <v>12</v>
      </c>
      <c r="H4520" s="1">
        <v>45047</v>
      </c>
    </row>
    <row r="4521" spans="1:8">
      <c r="A4521" t="s">
        <v>9041</v>
      </c>
      <c r="B4521" t="s">
        <v>9042</v>
      </c>
      <c r="C4521" t="s">
        <v>31</v>
      </c>
      <c r="D4521">
        <v>44</v>
      </c>
      <c r="E4521" t="s">
        <v>87</v>
      </c>
      <c r="F4521" t="s">
        <v>88</v>
      </c>
      <c r="G4521" t="s">
        <v>78</v>
      </c>
      <c r="H4521" s="1">
        <v>45695</v>
      </c>
    </row>
    <row r="4522" spans="1:8">
      <c r="A4522" t="s">
        <v>9043</v>
      </c>
      <c r="B4522" t="s">
        <v>9044</v>
      </c>
      <c r="C4522" t="s">
        <v>10</v>
      </c>
      <c r="D4522">
        <v>46</v>
      </c>
      <c r="E4522" t="s">
        <v>76</v>
      </c>
      <c r="F4522" t="s">
        <v>77</v>
      </c>
      <c r="G4522" t="s">
        <v>78</v>
      </c>
      <c r="H4522" s="1">
        <v>44591</v>
      </c>
    </row>
    <row r="4523" spans="1:8">
      <c r="A4523" t="s">
        <v>9045</v>
      </c>
      <c r="B4523" t="s">
        <v>9046</v>
      </c>
      <c r="C4523" t="s">
        <v>10</v>
      </c>
      <c r="D4523">
        <v>31</v>
      </c>
      <c r="E4523" t="s">
        <v>11</v>
      </c>
      <c r="F4523" t="s">
        <v>11</v>
      </c>
      <c r="G4523" t="s">
        <v>12</v>
      </c>
      <c r="H4523" s="1">
        <v>44658</v>
      </c>
    </row>
    <row r="4524" spans="1:8">
      <c r="A4524" t="s">
        <v>9047</v>
      </c>
      <c r="B4524" t="s">
        <v>9048</v>
      </c>
      <c r="C4524" t="s">
        <v>31</v>
      </c>
      <c r="D4524">
        <v>24</v>
      </c>
      <c r="E4524" t="s">
        <v>45</v>
      </c>
      <c r="F4524" t="s">
        <v>46</v>
      </c>
      <c r="G4524" t="s">
        <v>17</v>
      </c>
      <c r="H4524" s="1">
        <v>45361</v>
      </c>
    </row>
    <row r="4525" spans="1:8">
      <c r="A4525" t="s">
        <v>9049</v>
      </c>
      <c r="B4525" t="s">
        <v>9050</v>
      </c>
      <c r="C4525" t="s">
        <v>10</v>
      </c>
      <c r="D4525">
        <v>19</v>
      </c>
      <c r="E4525" t="s">
        <v>27</v>
      </c>
      <c r="F4525" t="s">
        <v>28</v>
      </c>
      <c r="G4525" t="s">
        <v>12</v>
      </c>
      <c r="H4525" s="1">
        <v>45290</v>
      </c>
    </row>
    <row r="4526" spans="1:8">
      <c r="A4526" t="s">
        <v>9051</v>
      </c>
      <c r="B4526" t="s">
        <v>9052</v>
      </c>
      <c r="C4526" t="s">
        <v>31</v>
      </c>
      <c r="D4526">
        <v>24</v>
      </c>
      <c r="E4526" t="s">
        <v>91</v>
      </c>
      <c r="F4526" t="s">
        <v>92</v>
      </c>
      <c r="G4526" t="s">
        <v>78</v>
      </c>
      <c r="H4526" s="1">
        <v>45355</v>
      </c>
    </row>
    <row r="4527" spans="1:8">
      <c r="A4527" t="s">
        <v>9053</v>
      </c>
      <c r="B4527" t="s">
        <v>9054</v>
      </c>
      <c r="C4527" t="s">
        <v>31</v>
      </c>
      <c r="D4527">
        <v>52</v>
      </c>
      <c r="E4527" t="s">
        <v>60</v>
      </c>
      <c r="F4527" t="s">
        <v>21</v>
      </c>
      <c r="G4527" t="s">
        <v>22</v>
      </c>
      <c r="H4527" s="1">
        <v>44954</v>
      </c>
    </row>
    <row r="4528" spans="1:8">
      <c r="A4528" t="s">
        <v>9055</v>
      </c>
      <c r="B4528" t="s">
        <v>9056</v>
      </c>
      <c r="C4528" t="s">
        <v>31</v>
      </c>
      <c r="D4528">
        <v>54</v>
      </c>
      <c r="E4528" t="s">
        <v>134</v>
      </c>
      <c r="F4528" t="s">
        <v>28</v>
      </c>
      <c r="G4528" t="s">
        <v>12</v>
      </c>
      <c r="H4528" s="1">
        <v>45446</v>
      </c>
    </row>
    <row r="4529" spans="1:8">
      <c r="A4529" t="s">
        <v>9057</v>
      </c>
      <c r="B4529" t="s">
        <v>9058</v>
      </c>
      <c r="C4529" t="s">
        <v>10</v>
      </c>
      <c r="D4529">
        <v>51</v>
      </c>
      <c r="E4529" t="s">
        <v>41</v>
      </c>
      <c r="F4529" t="s">
        <v>42</v>
      </c>
      <c r="G4529" t="s">
        <v>17</v>
      </c>
      <c r="H4529" s="1">
        <v>44601</v>
      </c>
    </row>
    <row r="4530" spans="1:8">
      <c r="A4530" t="s">
        <v>9059</v>
      </c>
      <c r="B4530" t="s">
        <v>9060</v>
      </c>
      <c r="C4530" t="s">
        <v>10</v>
      </c>
      <c r="D4530">
        <v>19</v>
      </c>
      <c r="E4530" t="s">
        <v>149</v>
      </c>
      <c r="F4530" t="s">
        <v>38</v>
      </c>
      <c r="G4530" t="s">
        <v>22</v>
      </c>
      <c r="H4530" s="1">
        <v>45878</v>
      </c>
    </row>
    <row r="4531" spans="1:8">
      <c r="A4531" t="s">
        <v>9061</v>
      </c>
      <c r="B4531" t="s">
        <v>9062</v>
      </c>
      <c r="C4531" t="s">
        <v>31</v>
      </c>
      <c r="D4531">
        <v>62</v>
      </c>
      <c r="E4531" t="s">
        <v>34</v>
      </c>
      <c r="F4531" t="s">
        <v>16</v>
      </c>
      <c r="G4531" t="s">
        <v>17</v>
      </c>
      <c r="H4531" s="1">
        <v>45437</v>
      </c>
    </row>
    <row r="4532" spans="1:8">
      <c r="A4532" t="s">
        <v>9063</v>
      </c>
      <c r="B4532" t="s">
        <v>9064</v>
      </c>
      <c r="C4532" t="s">
        <v>31</v>
      </c>
      <c r="D4532">
        <v>37</v>
      </c>
      <c r="E4532" t="s">
        <v>34</v>
      </c>
      <c r="F4532" t="s">
        <v>16</v>
      </c>
      <c r="G4532" t="s">
        <v>17</v>
      </c>
      <c r="H4532" s="1">
        <v>45117</v>
      </c>
    </row>
    <row r="4533" spans="1:8">
      <c r="A4533" t="s">
        <v>9065</v>
      </c>
      <c r="B4533" t="s">
        <v>9066</v>
      </c>
      <c r="C4533" t="s">
        <v>10</v>
      </c>
      <c r="D4533">
        <v>43</v>
      </c>
      <c r="E4533" t="s">
        <v>91</v>
      </c>
      <c r="F4533" t="s">
        <v>92</v>
      </c>
      <c r="G4533" t="s">
        <v>78</v>
      </c>
      <c r="H4533" s="1">
        <v>44831</v>
      </c>
    </row>
    <row r="4534" spans="1:8">
      <c r="A4534" t="s">
        <v>9067</v>
      </c>
      <c r="B4534" t="s">
        <v>9068</v>
      </c>
      <c r="C4534" t="s">
        <v>31</v>
      </c>
      <c r="D4534">
        <v>70</v>
      </c>
      <c r="E4534" t="s">
        <v>37</v>
      </c>
      <c r="F4534" t="s">
        <v>38</v>
      </c>
      <c r="G4534" t="s">
        <v>22</v>
      </c>
      <c r="H4534" s="1">
        <v>45426</v>
      </c>
    </row>
    <row r="4535" spans="1:8">
      <c r="A4535" t="s">
        <v>9069</v>
      </c>
      <c r="B4535" t="s">
        <v>9070</v>
      </c>
      <c r="C4535" t="s">
        <v>10</v>
      </c>
      <c r="D4535">
        <v>42</v>
      </c>
      <c r="E4535" t="s">
        <v>76</v>
      </c>
      <c r="F4535" t="s">
        <v>77</v>
      </c>
      <c r="G4535" t="s">
        <v>78</v>
      </c>
      <c r="H4535" s="1">
        <v>45178</v>
      </c>
    </row>
    <row r="4536" spans="1:8">
      <c r="A4536" t="s">
        <v>9071</v>
      </c>
      <c r="B4536" t="s">
        <v>9072</v>
      </c>
      <c r="C4536" t="s">
        <v>31</v>
      </c>
      <c r="D4536">
        <v>40</v>
      </c>
      <c r="E4536" t="s">
        <v>34</v>
      </c>
      <c r="F4536" t="s">
        <v>16</v>
      </c>
      <c r="G4536" t="s">
        <v>17</v>
      </c>
      <c r="H4536" s="1">
        <v>44801</v>
      </c>
    </row>
    <row r="4537" spans="1:8">
      <c r="A4537" t="s">
        <v>9073</v>
      </c>
      <c r="B4537" t="s">
        <v>9074</v>
      </c>
      <c r="C4537" t="s">
        <v>10</v>
      </c>
      <c r="D4537">
        <v>38</v>
      </c>
      <c r="E4537" t="s">
        <v>69</v>
      </c>
      <c r="F4537" t="s">
        <v>69</v>
      </c>
      <c r="G4537" t="s">
        <v>12</v>
      </c>
      <c r="H4537" s="1">
        <v>45540</v>
      </c>
    </row>
    <row r="4538" spans="1:8">
      <c r="A4538" t="s">
        <v>9075</v>
      </c>
      <c r="B4538" t="s">
        <v>9076</v>
      </c>
      <c r="C4538" t="s">
        <v>10</v>
      </c>
      <c r="D4538">
        <v>25</v>
      </c>
      <c r="E4538" t="s">
        <v>76</v>
      </c>
      <c r="F4538" t="s">
        <v>77</v>
      </c>
      <c r="G4538" t="s">
        <v>78</v>
      </c>
      <c r="H4538" s="1">
        <v>44939</v>
      </c>
    </row>
    <row r="4539" spans="1:8">
      <c r="A4539" t="s">
        <v>9077</v>
      </c>
      <c r="B4539" t="s">
        <v>9078</v>
      </c>
      <c r="C4539" t="s">
        <v>10</v>
      </c>
      <c r="D4539">
        <v>58</v>
      </c>
      <c r="E4539" t="s">
        <v>134</v>
      </c>
      <c r="F4539" t="s">
        <v>28</v>
      </c>
      <c r="G4539" t="s">
        <v>12</v>
      </c>
      <c r="H4539" s="1">
        <v>45045</v>
      </c>
    </row>
    <row r="4540" spans="1:8">
      <c r="A4540" t="s">
        <v>9079</v>
      </c>
      <c r="B4540" t="s">
        <v>9080</v>
      </c>
      <c r="C4540" t="s">
        <v>10</v>
      </c>
      <c r="D4540">
        <v>34</v>
      </c>
      <c r="E4540" t="s">
        <v>134</v>
      </c>
      <c r="F4540" t="s">
        <v>28</v>
      </c>
      <c r="G4540" t="s">
        <v>12</v>
      </c>
      <c r="H4540" s="1">
        <v>45462</v>
      </c>
    </row>
    <row r="4541" spans="1:8">
      <c r="A4541" t="s">
        <v>9081</v>
      </c>
      <c r="B4541" t="s">
        <v>9082</v>
      </c>
      <c r="C4541" t="s">
        <v>31</v>
      </c>
      <c r="D4541">
        <v>52</v>
      </c>
      <c r="E4541" t="s">
        <v>149</v>
      </c>
      <c r="F4541" t="s">
        <v>38</v>
      </c>
      <c r="G4541" t="s">
        <v>22</v>
      </c>
      <c r="H4541" s="1">
        <v>45358</v>
      </c>
    </row>
    <row r="4542" spans="1:8">
      <c r="A4542" t="s">
        <v>9083</v>
      </c>
      <c r="B4542" t="s">
        <v>9084</v>
      </c>
      <c r="C4542" t="s">
        <v>10</v>
      </c>
      <c r="D4542">
        <v>56</v>
      </c>
      <c r="E4542" t="s">
        <v>45</v>
      </c>
      <c r="F4542" t="s">
        <v>46</v>
      </c>
      <c r="G4542" t="s">
        <v>17</v>
      </c>
      <c r="H4542" s="1">
        <v>45324</v>
      </c>
    </row>
    <row r="4543" spans="1:8">
      <c r="A4543" t="s">
        <v>9085</v>
      </c>
      <c r="B4543" t="s">
        <v>1417</v>
      </c>
      <c r="C4543" t="s">
        <v>10</v>
      </c>
      <c r="D4543">
        <v>52</v>
      </c>
      <c r="E4543" t="s">
        <v>101</v>
      </c>
      <c r="F4543" t="s">
        <v>21</v>
      </c>
      <c r="G4543" t="s">
        <v>22</v>
      </c>
      <c r="H4543" s="1">
        <v>44759</v>
      </c>
    </row>
    <row r="4544" spans="1:8">
      <c r="A4544" t="s">
        <v>9086</v>
      </c>
      <c r="B4544" t="s">
        <v>9087</v>
      </c>
      <c r="C4544" t="s">
        <v>10</v>
      </c>
      <c r="D4544">
        <v>26</v>
      </c>
      <c r="E4544" t="s">
        <v>15</v>
      </c>
      <c r="F4544" t="s">
        <v>16</v>
      </c>
      <c r="G4544" t="s">
        <v>17</v>
      </c>
      <c r="H4544" s="1">
        <v>45563</v>
      </c>
    </row>
    <row r="4545" spans="1:8">
      <c r="A4545" t="s">
        <v>9088</v>
      </c>
      <c r="B4545" t="s">
        <v>9089</v>
      </c>
      <c r="C4545" t="s">
        <v>10</v>
      </c>
      <c r="D4545">
        <v>28</v>
      </c>
      <c r="E4545" t="s">
        <v>45</v>
      </c>
      <c r="F4545" t="s">
        <v>46</v>
      </c>
      <c r="G4545" t="s">
        <v>17</v>
      </c>
      <c r="H4545" s="1">
        <v>45008</v>
      </c>
    </row>
    <row r="4546" spans="1:8">
      <c r="A4546" t="s">
        <v>9090</v>
      </c>
      <c r="B4546" t="s">
        <v>9091</v>
      </c>
      <c r="C4546" t="s">
        <v>10</v>
      </c>
      <c r="D4546">
        <v>65</v>
      </c>
      <c r="E4546" t="s">
        <v>27</v>
      </c>
      <c r="F4546" t="s">
        <v>28</v>
      </c>
      <c r="G4546" t="s">
        <v>12</v>
      </c>
      <c r="H4546" s="1">
        <v>44677</v>
      </c>
    </row>
    <row r="4547" spans="1:8">
      <c r="A4547" t="s">
        <v>9092</v>
      </c>
      <c r="B4547" t="s">
        <v>9093</v>
      </c>
      <c r="C4547" t="s">
        <v>10</v>
      </c>
      <c r="D4547">
        <v>23</v>
      </c>
      <c r="E4547" t="s">
        <v>34</v>
      </c>
      <c r="F4547" t="s">
        <v>16</v>
      </c>
      <c r="G4547" t="s">
        <v>17</v>
      </c>
      <c r="H4547" s="1">
        <v>45910</v>
      </c>
    </row>
    <row r="4548" spans="1:8">
      <c r="A4548" t="s">
        <v>9094</v>
      </c>
      <c r="B4548" t="s">
        <v>9095</v>
      </c>
      <c r="C4548" t="s">
        <v>10</v>
      </c>
      <c r="D4548">
        <v>67</v>
      </c>
      <c r="E4548" t="s">
        <v>87</v>
      </c>
      <c r="F4548" t="s">
        <v>88</v>
      </c>
      <c r="G4548" t="s">
        <v>78</v>
      </c>
      <c r="H4548" s="1">
        <v>45529</v>
      </c>
    </row>
    <row r="4549" spans="1:8">
      <c r="A4549" t="s">
        <v>9096</v>
      </c>
      <c r="B4549" t="s">
        <v>9097</v>
      </c>
      <c r="C4549" t="s">
        <v>10</v>
      </c>
      <c r="D4549">
        <v>45</v>
      </c>
      <c r="E4549" t="s">
        <v>69</v>
      </c>
      <c r="F4549" t="s">
        <v>69</v>
      </c>
      <c r="G4549" t="s">
        <v>12</v>
      </c>
      <c r="H4549" s="1">
        <v>45575</v>
      </c>
    </row>
    <row r="4550" spans="1:8">
      <c r="A4550" t="s">
        <v>9098</v>
      </c>
      <c r="B4550" t="s">
        <v>9099</v>
      </c>
      <c r="C4550" t="s">
        <v>10</v>
      </c>
      <c r="D4550">
        <v>57</v>
      </c>
      <c r="E4550" t="s">
        <v>27</v>
      </c>
      <c r="F4550" t="s">
        <v>28</v>
      </c>
      <c r="G4550" t="s">
        <v>12</v>
      </c>
      <c r="H4550" s="1">
        <v>45877</v>
      </c>
    </row>
    <row r="4551" spans="1:8">
      <c r="A4551" t="s">
        <v>9100</v>
      </c>
      <c r="B4551" t="s">
        <v>9101</v>
      </c>
      <c r="C4551" t="s">
        <v>31</v>
      </c>
      <c r="D4551">
        <v>53</v>
      </c>
      <c r="E4551" t="s">
        <v>37</v>
      </c>
      <c r="F4551" t="s">
        <v>38</v>
      </c>
      <c r="G4551" t="s">
        <v>22</v>
      </c>
      <c r="H4551" s="1">
        <v>46020</v>
      </c>
    </row>
    <row r="4552" spans="1:8">
      <c r="A4552" t="s">
        <v>9102</v>
      </c>
      <c r="B4552" t="s">
        <v>9103</v>
      </c>
      <c r="C4552" t="s">
        <v>31</v>
      </c>
      <c r="D4552">
        <v>28</v>
      </c>
      <c r="E4552" t="s">
        <v>101</v>
      </c>
      <c r="F4552" t="s">
        <v>21</v>
      </c>
      <c r="G4552" t="s">
        <v>22</v>
      </c>
      <c r="H4552" s="1">
        <v>45758</v>
      </c>
    </row>
    <row r="4553" spans="1:8">
      <c r="A4553" t="s">
        <v>9104</v>
      </c>
      <c r="B4553" t="s">
        <v>9105</v>
      </c>
      <c r="C4553" t="s">
        <v>31</v>
      </c>
      <c r="D4553">
        <v>24</v>
      </c>
      <c r="E4553" t="s">
        <v>134</v>
      </c>
      <c r="F4553" t="s">
        <v>28</v>
      </c>
      <c r="G4553" t="s">
        <v>12</v>
      </c>
      <c r="H4553" s="1">
        <v>44848</v>
      </c>
    </row>
    <row r="4554" spans="1:8">
      <c r="A4554" t="s">
        <v>9106</v>
      </c>
      <c r="B4554" t="s">
        <v>9107</v>
      </c>
      <c r="C4554" t="s">
        <v>31</v>
      </c>
      <c r="D4554">
        <v>41</v>
      </c>
      <c r="E4554" t="s">
        <v>60</v>
      </c>
      <c r="F4554" t="s">
        <v>21</v>
      </c>
      <c r="G4554" t="s">
        <v>22</v>
      </c>
      <c r="H4554" s="1">
        <v>45233</v>
      </c>
    </row>
    <row r="4555" spans="1:8">
      <c r="A4555" t="s">
        <v>9108</v>
      </c>
      <c r="B4555" t="s">
        <v>9109</v>
      </c>
      <c r="C4555" t="s">
        <v>10</v>
      </c>
      <c r="D4555">
        <v>39</v>
      </c>
      <c r="E4555" t="s">
        <v>69</v>
      </c>
      <c r="F4555" t="s">
        <v>69</v>
      </c>
      <c r="G4555" t="s">
        <v>12</v>
      </c>
      <c r="H4555" s="1">
        <v>44698</v>
      </c>
    </row>
    <row r="4556" spans="1:8">
      <c r="A4556" t="s">
        <v>9110</v>
      </c>
      <c r="B4556" t="s">
        <v>9111</v>
      </c>
      <c r="C4556" t="s">
        <v>10</v>
      </c>
      <c r="D4556">
        <v>41</v>
      </c>
      <c r="E4556" t="s">
        <v>128</v>
      </c>
      <c r="F4556" t="s">
        <v>129</v>
      </c>
      <c r="G4556" t="s">
        <v>78</v>
      </c>
      <c r="H4556" s="1">
        <v>45866</v>
      </c>
    </row>
    <row r="4557" spans="1:8">
      <c r="A4557" t="s">
        <v>9112</v>
      </c>
      <c r="B4557" t="s">
        <v>9113</v>
      </c>
      <c r="C4557" t="s">
        <v>31</v>
      </c>
      <c r="D4557">
        <v>47</v>
      </c>
      <c r="E4557" t="s">
        <v>20</v>
      </c>
      <c r="F4557" t="s">
        <v>21</v>
      </c>
      <c r="G4557" t="s">
        <v>22</v>
      </c>
      <c r="H4557" s="1">
        <v>45091</v>
      </c>
    </row>
    <row r="4558" spans="1:8">
      <c r="A4558" t="s">
        <v>9114</v>
      </c>
      <c r="B4558" t="s">
        <v>9115</v>
      </c>
      <c r="C4558" t="s">
        <v>31</v>
      </c>
      <c r="D4558">
        <v>58</v>
      </c>
      <c r="E4558" t="s">
        <v>149</v>
      </c>
      <c r="F4558" t="s">
        <v>38</v>
      </c>
      <c r="G4558" t="s">
        <v>22</v>
      </c>
      <c r="H4558" s="1">
        <v>45033</v>
      </c>
    </row>
    <row r="4559" spans="1:8">
      <c r="A4559" t="s">
        <v>9116</v>
      </c>
      <c r="B4559" t="s">
        <v>9117</v>
      </c>
      <c r="C4559" t="s">
        <v>31</v>
      </c>
      <c r="D4559">
        <v>51</v>
      </c>
      <c r="E4559" t="s">
        <v>34</v>
      </c>
      <c r="F4559" t="s">
        <v>16</v>
      </c>
      <c r="G4559" t="s">
        <v>17</v>
      </c>
      <c r="H4559" s="1">
        <v>45171</v>
      </c>
    </row>
    <row r="4560" spans="1:8">
      <c r="A4560" t="s">
        <v>9118</v>
      </c>
      <c r="B4560" t="s">
        <v>9119</v>
      </c>
      <c r="C4560" t="s">
        <v>31</v>
      </c>
      <c r="D4560">
        <v>25</v>
      </c>
      <c r="E4560" t="s">
        <v>134</v>
      </c>
      <c r="F4560" t="s">
        <v>28</v>
      </c>
      <c r="G4560" t="s">
        <v>12</v>
      </c>
      <c r="H4560" s="1">
        <v>44791</v>
      </c>
    </row>
    <row r="4561" spans="1:8">
      <c r="A4561" t="s">
        <v>9120</v>
      </c>
      <c r="B4561" t="s">
        <v>9121</v>
      </c>
      <c r="C4561" t="s">
        <v>31</v>
      </c>
      <c r="D4561">
        <v>30</v>
      </c>
      <c r="E4561" t="s">
        <v>37</v>
      </c>
      <c r="F4561" t="s">
        <v>38</v>
      </c>
      <c r="G4561" t="s">
        <v>22</v>
      </c>
      <c r="H4561" s="1">
        <v>46000</v>
      </c>
    </row>
    <row r="4562" spans="1:8">
      <c r="A4562" t="s">
        <v>9122</v>
      </c>
      <c r="B4562" t="s">
        <v>9123</v>
      </c>
      <c r="C4562" t="s">
        <v>10</v>
      </c>
      <c r="D4562">
        <v>39</v>
      </c>
      <c r="E4562" t="s">
        <v>218</v>
      </c>
      <c r="F4562" t="s">
        <v>219</v>
      </c>
      <c r="G4562" t="s">
        <v>17</v>
      </c>
      <c r="H4562" s="1">
        <v>44978</v>
      </c>
    </row>
    <row r="4563" spans="1:8">
      <c r="A4563" t="s">
        <v>9124</v>
      </c>
      <c r="B4563" t="s">
        <v>9125</v>
      </c>
      <c r="C4563" t="s">
        <v>10</v>
      </c>
      <c r="D4563">
        <v>32</v>
      </c>
      <c r="E4563" t="s">
        <v>218</v>
      </c>
      <c r="F4563" t="s">
        <v>219</v>
      </c>
      <c r="G4563" t="s">
        <v>17</v>
      </c>
      <c r="H4563" s="1">
        <v>45656</v>
      </c>
    </row>
    <row r="4564" spans="1:8">
      <c r="A4564" t="s">
        <v>9126</v>
      </c>
      <c r="B4564" t="s">
        <v>9127</v>
      </c>
      <c r="C4564" t="s">
        <v>31</v>
      </c>
      <c r="D4564">
        <v>23</v>
      </c>
      <c r="E4564" t="s">
        <v>218</v>
      </c>
      <c r="F4564" t="s">
        <v>219</v>
      </c>
      <c r="G4564" t="s">
        <v>17</v>
      </c>
      <c r="H4564" s="1">
        <v>45007</v>
      </c>
    </row>
    <row r="4565" spans="1:8">
      <c r="A4565" t="s">
        <v>9128</v>
      </c>
      <c r="B4565" t="s">
        <v>9129</v>
      </c>
      <c r="C4565" t="s">
        <v>10</v>
      </c>
      <c r="D4565">
        <v>33</v>
      </c>
      <c r="E4565" t="s">
        <v>87</v>
      </c>
      <c r="F4565" t="s">
        <v>88</v>
      </c>
      <c r="G4565" t="s">
        <v>78</v>
      </c>
      <c r="H4565" s="1">
        <v>45971</v>
      </c>
    </row>
    <row r="4566" spans="1:8">
      <c r="A4566" t="s">
        <v>9130</v>
      </c>
      <c r="B4566" t="s">
        <v>9131</v>
      </c>
      <c r="C4566" t="s">
        <v>10</v>
      </c>
      <c r="D4566">
        <v>45</v>
      </c>
      <c r="E4566" t="s">
        <v>128</v>
      </c>
      <c r="F4566" t="s">
        <v>129</v>
      </c>
      <c r="G4566" t="s">
        <v>78</v>
      </c>
      <c r="H4566" s="1">
        <v>45792</v>
      </c>
    </row>
    <row r="4567" spans="1:8">
      <c r="A4567" t="s">
        <v>9132</v>
      </c>
      <c r="B4567" t="s">
        <v>9133</v>
      </c>
      <c r="C4567" t="s">
        <v>10</v>
      </c>
      <c r="D4567">
        <v>69</v>
      </c>
      <c r="E4567" t="s">
        <v>128</v>
      </c>
      <c r="F4567" t="s">
        <v>129</v>
      </c>
      <c r="G4567" t="s">
        <v>78</v>
      </c>
      <c r="H4567" s="1">
        <v>45533</v>
      </c>
    </row>
    <row r="4568" spans="1:8">
      <c r="A4568" t="s">
        <v>9134</v>
      </c>
      <c r="B4568" t="s">
        <v>9135</v>
      </c>
      <c r="C4568" t="s">
        <v>10</v>
      </c>
      <c r="D4568">
        <v>48</v>
      </c>
      <c r="E4568" t="s">
        <v>87</v>
      </c>
      <c r="F4568" t="s">
        <v>88</v>
      </c>
      <c r="G4568" t="s">
        <v>78</v>
      </c>
      <c r="H4568" s="1">
        <v>45284</v>
      </c>
    </row>
    <row r="4569" spans="1:8">
      <c r="A4569" t="s">
        <v>9136</v>
      </c>
      <c r="B4569" t="s">
        <v>9137</v>
      </c>
      <c r="C4569" t="s">
        <v>31</v>
      </c>
      <c r="D4569">
        <v>70</v>
      </c>
      <c r="E4569" t="s">
        <v>101</v>
      </c>
      <c r="F4569" t="s">
        <v>21</v>
      </c>
      <c r="G4569" t="s">
        <v>22</v>
      </c>
      <c r="H4569" s="1">
        <v>44581</v>
      </c>
    </row>
    <row r="4570" spans="1:8">
      <c r="A4570" t="s">
        <v>9138</v>
      </c>
      <c r="B4570" t="s">
        <v>9139</v>
      </c>
      <c r="C4570" t="s">
        <v>10</v>
      </c>
      <c r="D4570">
        <v>38</v>
      </c>
      <c r="E4570" t="s">
        <v>101</v>
      </c>
      <c r="F4570" t="s">
        <v>21</v>
      </c>
      <c r="G4570" t="s">
        <v>22</v>
      </c>
      <c r="H4570" s="1">
        <v>45209</v>
      </c>
    </row>
    <row r="4571" spans="1:8">
      <c r="A4571" t="s">
        <v>9140</v>
      </c>
      <c r="B4571" t="s">
        <v>9141</v>
      </c>
      <c r="C4571" t="s">
        <v>31</v>
      </c>
      <c r="D4571">
        <v>44</v>
      </c>
      <c r="E4571" t="s">
        <v>41</v>
      </c>
      <c r="F4571" t="s">
        <v>42</v>
      </c>
      <c r="G4571" t="s">
        <v>17</v>
      </c>
      <c r="H4571" s="1">
        <v>45978</v>
      </c>
    </row>
    <row r="4572" spans="1:8">
      <c r="A4572" t="s">
        <v>9142</v>
      </c>
      <c r="B4572" t="s">
        <v>9143</v>
      </c>
      <c r="C4572" t="s">
        <v>10</v>
      </c>
      <c r="D4572">
        <v>48</v>
      </c>
      <c r="E4572" t="s">
        <v>101</v>
      </c>
      <c r="F4572" t="s">
        <v>21</v>
      </c>
      <c r="G4572" t="s">
        <v>22</v>
      </c>
      <c r="H4572" s="1">
        <v>45232</v>
      </c>
    </row>
    <row r="4573" spans="1:8">
      <c r="A4573" t="s">
        <v>9144</v>
      </c>
      <c r="B4573" t="s">
        <v>9145</v>
      </c>
      <c r="C4573" t="s">
        <v>10</v>
      </c>
      <c r="D4573">
        <v>50</v>
      </c>
      <c r="E4573" t="s">
        <v>27</v>
      </c>
      <c r="F4573" t="s">
        <v>28</v>
      </c>
      <c r="G4573" t="s">
        <v>12</v>
      </c>
      <c r="H4573" s="1">
        <v>44664</v>
      </c>
    </row>
    <row r="4574" spans="1:8">
      <c r="A4574" t="s">
        <v>9146</v>
      </c>
      <c r="B4574" t="s">
        <v>9147</v>
      </c>
      <c r="C4574" t="s">
        <v>31</v>
      </c>
      <c r="D4574">
        <v>61</v>
      </c>
      <c r="E4574" t="s">
        <v>20</v>
      </c>
      <c r="F4574" t="s">
        <v>21</v>
      </c>
      <c r="G4574" t="s">
        <v>22</v>
      </c>
      <c r="H4574" s="1">
        <v>45291</v>
      </c>
    </row>
    <row r="4575" spans="1:8">
      <c r="A4575" t="s">
        <v>9148</v>
      </c>
      <c r="B4575" t="s">
        <v>9149</v>
      </c>
      <c r="C4575" t="s">
        <v>31</v>
      </c>
      <c r="D4575">
        <v>49</v>
      </c>
      <c r="E4575" t="s">
        <v>37</v>
      </c>
      <c r="F4575" t="s">
        <v>38</v>
      </c>
      <c r="G4575" t="s">
        <v>22</v>
      </c>
      <c r="H4575" s="1">
        <v>45133</v>
      </c>
    </row>
    <row r="4576" spans="1:8">
      <c r="A4576" t="s">
        <v>9150</v>
      </c>
      <c r="B4576" t="s">
        <v>9151</v>
      </c>
      <c r="C4576" t="s">
        <v>31</v>
      </c>
      <c r="D4576">
        <v>28</v>
      </c>
      <c r="E4576" t="s">
        <v>41</v>
      </c>
      <c r="F4576" t="s">
        <v>42</v>
      </c>
      <c r="G4576" t="s">
        <v>17</v>
      </c>
      <c r="H4576" s="1">
        <v>45468</v>
      </c>
    </row>
    <row r="4577" spans="1:8">
      <c r="A4577" t="s">
        <v>9152</v>
      </c>
      <c r="B4577" t="s">
        <v>9153</v>
      </c>
      <c r="C4577" t="s">
        <v>10</v>
      </c>
      <c r="D4577">
        <v>37</v>
      </c>
      <c r="E4577" t="s">
        <v>69</v>
      </c>
      <c r="F4577" t="s">
        <v>69</v>
      </c>
      <c r="G4577" t="s">
        <v>12</v>
      </c>
      <c r="H4577" s="1">
        <v>45767</v>
      </c>
    </row>
    <row r="4578" spans="1:8">
      <c r="A4578" t="s">
        <v>9154</v>
      </c>
      <c r="B4578" t="s">
        <v>9155</v>
      </c>
      <c r="C4578" t="s">
        <v>31</v>
      </c>
      <c r="D4578">
        <v>42</v>
      </c>
      <c r="E4578" t="s">
        <v>41</v>
      </c>
      <c r="F4578" t="s">
        <v>42</v>
      </c>
      <c r="G4578" t="s">
        <v>17</v>
      </c>
      <c r="H4578" s="1">
        <v>44841</v>
      </c>
    </row>
    <row r="4579" spans="1:8">
      <c r="A4579" t="s">
        <v>9156</v>
      </c>
      <c r="B4579" t="s">
        <v>9157</v>
      </c>
      <c r="C4579" t="s">
        <v>31</v>
      </c>
      <c r="D4579">
        <v>21</v>
      </c>
      <c r="E4579" t="s">
        <v>69</v>
      </c>
      <c r="F4579" t="s">
        <v>69</v>
      </c>
      <c r="G4579" t="s">
        <v>12</v>
      </c>
      <c r="H4579" s="1">
        <v>45098</v>
      </c>
    </row>
    <row r="4580" spans="1:8">
      <c r="A4580" t="s">
        <v>9158</v>
      </c>
      <c r="B4580" t="s">
        <v>9159</v>
      </c>
      <c r="C4580" t="s">
        <v>10</v>
      </c>
      <c r="D4580">
        <v>62</v>
      </c>
      <c r="E4580" t="s">
        <v>27</v>
      </c>
      <c r="F4580" t="s">
        <v>28</v>
      </c>
      <c r="G4580" t="s">
        <v>12</v>
      </c>
      <c r="H4580" s="1">
        <v>45761</v>
      </c>
    </row>
    <row r="4581" spans="1:8">
      <c r="A4581" t="s">
        <v>9160</v>
      </c>
      <c r="B4581" t="s">
        <v>9161</v>
      </c>
      <c r="C4581" t="s">
        <v>31</v>
      </c>
      <c r="D4581">
        <v>48</v>
      </c>
      <c r="E4581" t="s">
        <v>15</v>
      </c>
      <c r="F4581" t="s">
        <v>16</v>
      </c>
      <c r="G4581" t="s">
        <v>17</v>
      </c>
      <c r="H4581" s="1">
        <v>45652</v>
      </c>
    </row>
    <row r="4582" spans="1:8">
      <c r="A4582" t="s">
        <v>9162</v>
      </c>
      <c r="B4582" t="s">
        <v>9163</v>
      </c>
      <c r="C4582" t="s">
        <v>10</v>
      </c>
      <c r="D4582">
        <v>61</v>
      </c>
      <c r="E4582" t="s">
        <v>15</v>
      </c>
      <c r="F4582" t="s">
        <v>16</v>
      </c>
      <c r="G4582" t="s">
        <v>17</v>
      </c>
      <c r="H4582" s="1">
        <v>45650</v>
      </c>
    </row>
    <row r="4583" spans="1:8">
      <c r="A4583" t="s">
        <v>9164</v>
      </c>
      <c r="B4583" t="s">
        <v>9165</v>
      </c>
      <c r="C4583" t="s">
        <v>10</v>
      </c>
      <c r="D4583">
        <v>52</v>
      </c>
      <c r="E4583" t="s">
        <v>63</v>
      </c>
      <c r="F4583" t="s">
        <v>64</v>
      </c>
      <c r="G4583" t="s">
        <v>12</v>
      </c>
      <c r="H4583" s="1">
        <v>44756</v>
      </c>
    </row>
    <row r="4584" spans="1:8">
      <c r="A4584" t="s">
        <v>9166</v>
      </c>
      <c r="B4584" t="s">
        <v>9167</v>
      </c>
      <c r="C4584" t="s">
        <v>31</v>
      </c>
      <c r="D4584">
        <v>28</v>
      </c>
      <c r="E4584" t="s">
        <v>27</v>
      </c>
      <c r="F4584" t="s">
        <v>28</v>
      </c>
      <c r="G4584" t="s">
        <v>12</v>
      </c>
      <c r="H4584" s="1">
        <v>45156</v>
      </c>
    </row>
    <row r="4585" spans="1:8">
      <c r="A4585" t="s">
        <v>9168</v>
      </c>
      <c r="B4585" t="s">
        <v>9169</v>
      </c>
      <c r="C4585" t="s">
        <v>31</v>
      </c>
      <c r="D4585">
        <v>57</v>
      </c>
      <c r="E4585" t="s">
        <v>69</v>
      </c>
      <c r="F4585" t="s">
        <v>69</v>
      </c>
      <c r="G4585" t="s">
        <v>12</v>
      </c>
      <c r="H4585" s="1">
        <v>45129</v>
      </c>
    </row>
    <row r="4586" spans="1:8">
      <c r="A4586" t="s">
        <v>9170</v>
      </c>
      <c r="B4586" t="s">
        <v>9171</v>
      </c>
      <c r="C4586" t="s">
        <v>31</v>
      </c>
      <c r="D4586">
        <v>46</v>
      </c>
      <c r="E4586" t="s">
        <v>27</v>
      </c>
      <c r="F4586" t="s">
        <v>28</v>
      </c>
      <c r="G4586" t="s">
        <v>12</v>
      </c>
      <c r="H4586" s="1">
        <v>45499</v>
      </c>
    </row>
    <row r="4587" spans="1:8">
      <c r="A4587" t="s">
        <v>9172</v>
      </c>
      <c r="B4587" t="s">
        <v>9173</v>
      </c>
      <c r="C4587" t="s">
        <v>31</v>
      </c>
      <c r="D4587">
        <v>58</v>
      </c>
      <c r="E4587" t="s">
        <v>45</v>
      </c>
      <c r="F4587" t="s">
        <v>46</v>
      </c>
      <c r="G4587" t="s">
        <v>17</v>
      </c>
      <c r="H4587" s="1">
        <v>45566</v>
      </c>
    </row>
    <row r="4588" spans="1:8">
      <c r="A4588" t="s">
        <v>9174</v>
      </c>
      <c r="B4588" t="s">
        <v>9175</v>
      </c>
      <c r="C4588" t="s">
        <v>10</v>
      </c>
      <c r="D4588">
        <v>51</v>
      </c>
      <c r="E4588" t="s">
        <v>134</v>
      </c>
      <c r="F4588" t="s">
        <v>28</v>
      </c>
      <c r="G4588" t="s">
        <v>12</v>
      </c>
      <c r="H4588" s="1">
        <v>45626</v>
      </c>
    </row>
    <row r="4589" spans="1:8">
      <c r="A4589" t="s">
        <v>9176</v>
      </c>
      <c r="B4589" t="s">
        <v>9177</v>
      </c>
      <c r="C4589" t="s">
        <v>10</v>
      </c>
      <c r="D4589">
        <v>27</v>
      </c>
      <c r="E4589" t="s">
        <v>27</v>
      </c>
      <c r="F4589" t="s">
        <v>28</v>
      </c>
      <c r="G4589" t="s">
        <v>12</v>
      </c>
      <c r="H4589" s="1">
        <v>44667</v>
      </c>
    </row>
    <row r="4590" spans="1:8">
      <c r="A4590" t="s">
        <v>9178</v>
      </c>
      <c r="B4590" t="s">
        <v>9179</v>
      </c>
      <c r="C4590" t="s">
        <v>10</v>
      </c>
      <c r="D4590">
        <v>70</v>
      </c>
      <c r="E4590" t="s">
        <v>218</v>
      </c>
      <c r="F4590" t="s">
        <v>219</v>
      </c>
      <c r="G4590" t="s">
        <v>17</v>
      </c>
      <c r="H4590" s="1">
        <v>45509</v>
      </c>
    </row>
    <row r="4591" spans="1:8">
      <c r="A4591" t="s">
        <v>9180</v>
      </c>
      <c r="B4591" t="s">
        <v>9181</v>
      </c>
      <c r="C4591" t="s">
        <v>10</v>
      </c>
      <c r="D4591">
        <v>58</v>
      </c>
      <c r="E4591" t="s">
        <v>218</v>
      </c>
      <c r="F4591" t="s">
        <v>219</v>
      </c>
      <c r="G4591" t="s">
        <v>17</v>
      </c>
      <c r="H4591" s="1">
        <v>45668</v>
      </c>
    </row>
    <row r="4592" spans="1:8">
      <c r="A4592" t="s">
        <v>9182</v>
      </c>
      <c r="B4592" t="s">
        <v>9183</v>
      </c>
      <c r="C4592" t="s">
        <v>31</v>
      </c>
      <c r="D4592">
        <v>18</v>
      </c>
      <c r="E4592" t="s">
        <v>69</v>
      </c>
      <c r="F4592" t="s">
        <v>69</v>
      </c>
      <c r="G4592" t="s">
        <v>12</v>
      </c>
      <c r="H4592" s="1">
        <v>44729</v>
      </c>
    </row>
    <row r="4593" spans="1:8">
      <c r="A4593" t="s">
        <v>9184</v>
      </c>
      <c r="B4593" t="s">
        <v>9185</v>
      </c>
      <c r="C4593" t="s">
        <v>31</v>
      </c>
      <c r="D4593">
        <v>34</v>
      </c>
      <c r="E4593" t="s">
        <v>128</v>
      </c>
      <c r="F4593" t="s">
        <v>129</v>
      </c>
      <c r="G4593" t="s">
        <v>78</v>
      </c>
      <c r="H4593" s="1">
        <v>45645</v>
      </c>
    </row>
    <row r="4594" spans="1:8">
      <c r="A4594" t="s">
        <v>9186</v>
      </c>
      <c r="B4594" t="s">
        <v>9187</v>
      </c>
      <c r="C4594" t="s">
        <v>10</v>
      </c>
      <c r="D4594">
        <v>45</v>
      </c>
      <c r="E4594" t="s">
        <v>87</v>
      </c>
      <c r="F4594" t="s">
        <v>88</v>
      </c>
      <c r="G4594" t="s">
        <v>78</v>
      </c>
      <c r="H4594" s="1">
        <v>45106</v>
      </c>
    </row>
    <row r="4595" spans="1:8">
      <c r="A4595" t="s">
        <v>9188</v>
      </c>
      <c r="B4595" t="s">
        <v>9189</v>
      </c>
      <c r="C4595" t="s">
        <v>31</v>
      </c>
      <c r="D4595">
        <v>51</v>
      </c>
      <c r="E4595" t="s">
        <v>101</v>
      </c>
      <c r="F4595" t="s">
        <v>21</v>
      </c>
      <c r="G4595" t="s">
        <v>22</v>
      </c>
      <c r="H4595" s="1">
        <v>45633</v>
      </c>
    </row>
    <row r="4596" spans="1:8">
      <c r="A4596" t="s">
        <v>9190</v>
      </c>
      <c r="B4596" t="s">
        <v>9191</v>
      </c>
      <c r="C4596" t="s">
        <v>10</v>
      </c>
      <c r="D4596">
        <v>31</v>
      </c>
      <c r="E4596" t="s">
        <v>34</v>
      </c>
      <c r="F4596" t="s">
        <v>16</v>
      </c>
      <c r="G4596" t="s">
        <v>17</v>
      </c>
      <c r="H4596" s="1">
        <v>45007</v>
      </c>
    </row>
    <row r="4597" spans="1:8">
      <c r="A4597" t="s">
        <v>9192</v>
      </c>
      <c r="B4597" t="s">
        <v>9193</v>
      </c>
      <c r="C4597" t="s">
        <v>10</v>
      </c>
      <c r="D4597">
        <v>67</v>
      </c>
      <c r="E4597" t="s">
        <v>37</v>
      </c>
      <c r="F4597" t="s">
        <v>38</v>
      </c>
      <c r="G4597" t="s">
        <v>22</v>
      </c>
      <c r="H4597" s="1">
        <v>45451</v>
      </c>
    </row>
    <row r="4598" spans="1:8">
      <c r="A4598" t="s">
        <v>9194</v>
      </c>
      <c r="B4598" t="s">
        <v>9195</v>
      </c>
      <c r="C4598" t="s">
        <v>31</v>
      </c>
      <c r="D4598">
        <v>52</v>
      </c>
      <c r="E4598" t="s">
        <v>34</v>
      </c>
      <c r="F4598" t="s">
        <v>16</v>
      </c>
      <c r="G4598" t="s">
        <v>17</v>
      </c>
      <c r="H4598" s="1">
        <v>45810</v>
      </c>
    </row>
    <row r="4599" spans="1:8">
      <c r="A4599" t="s">
        <v>9196</v>
      </c>
      <c r="B4599" t="s">
        <v>9197</v>
      </c>
      <c r="C4599" t="s">
        <v>10</v>
      </c>
      <c r="D4599">
        <v>70</v>
      </c>
      <c r="E4599" t="s">
        <v>45</v>
      </c>
      <c r="F4599" t="s">
        <v>46</v>
      </c>
      <c r="G4599" t="s">
        <v>17</v>
      </c>
      <c r="H4599" s="1">
        <v>45742</v>
      </c>
    </row>
    <row r="4600" spans="1:8">
      <c r="A4600" t="s">
        <v>9198</v>
      </c>
      <c r="B4600" t="s">
        <v>9199</v>
      </c>
      <c r="C4600" t="s">
        <v>10</v>
      </c>
      <c r="D4600">
        <v>24</v>
      </c>
      <c r="E4600" t="s">
        <v>218</v>
      </c>
      <c r="F4600" t="s">
        <v>219</v>
      </c>
      <c r="G4600" t="s">
        <v>17</v>
      </c>
      <c r="H4600" s="1">
        <v>45906</v>
      </c>
    </row>
    <row r="4601" spans="1:8">
      <c r="A4601" t="s">
        <v>9200</v>
      </c>
      <c r="B4601" t="s">
        <v>9201</v>
      </c>
      <c r="C4601" t="s">
        <v>31</v>
      </c>
      <c r="D4601">
        <v>38</v>
      </c>
      <c r="E4601" t="s">
        <v>60</v>
      </c>
      <c r="F4601" t="s">
        <v>21</v>
      </c>
      <c r="G4601" t="s">
        <v>22</v>
      </c>
      <c r="H4601" s="1">
        <v>44658</v>
      </c>
    </row>
    <row r="4602" spans="1:8">
      <c r="A4602" t="s">
        <v>9202</v>
      </c>
      <c r="B4602" t="s">
        <v>9203</v>
      </c>
      <c r="C4602" t="s">
        <v>10</v>
      </c>
      <c r="D4602">
        <v>32</v>
      </c>
      <c r="E4602" t="s">
        <v>41</v>
      </c>
      <c r="F4602" t="s">
        <v>42</v>
      </c>
      <c r="G4602" t="s">
        <v>17</v>
      </c>
      <c r="H4602" s="1">
        <v>45428</v>
      </c>
    </row>
    <row r="4603" spans="1:8">
      <c r="A4603" t="s">
        <v>9204</v>
      </c>
      <c r="B4603" t="s">
        <v>9205</v>
      </c>
      <c r="C4603" t="s">
        <v>31</v>
      </c>
      <c r="D4603">
        <v>65</v>
      </c>
      <c r="E4603" t="s">
        <v>91</v>
      </c>
      <c r="F4603" t="s">
        <v>92</v>
      </c>
      <c r="G4603" t="s">
        <v>78</v>
      </c>
      <c r="H4603" s="1">
        <v>44745</v>
      </c>
    </row>
    <row r="4604" spans="1:8">
      <c r="A4604" t="s">
        <v>9206</v>
      </c>
      <c r="B4604" t="s">
        <v>9207</v>
      </c>
      <c r="C4604" t="s">
        <v>10</v>
      </c>
      <c r="D4604">
        <v>67</v>
      </c>
      <c r="E4604" t="s">
        <v>20</v>
      </c>
      <c r="F4604" t="s">
        <v>21</v>
      </c>
      <c r="G4604" t="s">
        <v>22</v>
      </c>
      <c r="H4604" s="1">
        <v>45513</v>
      </c>
    </row>
    <row r="4605" spans="1:8">
      <c r="A4605" t="s">
        <v>9208</v>
      </c>
      <c r="B4605" t="s">
        <v>9209</v>
      </c>
      <c r="C4605" t="s">
        <v>10</v>
      </c>
      <c r="D4605">
        <v>61</v>
      </c>
      <c r="E4605" t="s">
        <v>91</v>
      </c>
      <c r="F4605" t="s">
        <v>92</v>
      </c>
      <c r="G4605" t="s">
        <v>78</v>
      </c>
      <c r="H4605" s="1">
        <v>44961</v>
      </c>
    </row>
    <row r="4606" spans="1:8">
      <c r="A4606" t="s">
        <v>9210</v>
      </c>
      <c r="B4606" t="s">
        <v>9211</v>
      </c>
      <c r="C4606" t="s">
        <v>10</v>
      </c>
      <c r="D4606">
        <v>68</v>
      </c>
      <c r="E4606" t="s">
        <v>20</v>
      </c>
      <c r="F4606" t="s">
        <v>21</v>
      </c>
      <c r="G4606" t="s">
        <v>22</v>
      </c>
      <c r="H4606" s="1">
        <v>44811</v>
      </c>
    </row>
    <row r="4607" spans="1:8">
      <c r="A4607" t="s">
        <v>9212</v>
      </c>
      <c r="B4607" t="s">
        <v>9213</v>
      </c>
      <c r="C4607" t="s">
        <v>10</v>
      </c>
      <c r="D4607">
        <v>54</v>
      </c>
      <c r="E4607" t="s">
        <v>11</v>
      </c>
      <c r="F4607" t="s">
        <v>11</v>
      </c>
      <c r="G4607" t="s">
        <v>12</v>
      </c>
      <c r="H4607" s="1">
        <v>45071</v>
      </c>
    </row>
    <row r="4608" spans="1:8">
      <c r="A4608" t="s">
        <v>9214</v>
      </c>
      <c r="B4608" t="s">
        <v>9215</v>
      </c>
      <c r="C4608" t="s">
        <v>31</v>
      </c>
      <c r="D4608">
        <v>40</v>
      </c>
      <c r="E4608" t="s">
        <v>91</v>
      </c>
      <c r="F4608" t="s">
        <v>92</v>
      </c>
      <c r="G4608" t="s">
        <v>78</v>
      </c>
      <c r="H4608" s="1">
        <v>44837</v>
      </c>
    </row>
    <row r="4609" spans="1:8">
      <c r="A4609" t="s">
        <v>9216</v>
      </c>
      <c r="B4609" t="s">
        <v>9217</v>
      </c>
      <c r="C4609" t="s">
        <v>10</v>
      </c>
      <c r="D4609">
        <v>62</v>
      </c>
      <c r="E4609" t="s">
        <v>41</v>
      </c>
      <c r="F4609" t="s">
        <v>42</v>
      </c>
      <c r="G4609" t="s">
        <v>17</v>
      </c>
      <c r="H4609" s="1">
        <v>44648</v>
      </c>
    </row>
    <row r="4610" spans="1:8">
      <c r="A4610" t="s">
        <v>9218</v>
      </c>
      <c r="B4610" t="s">
        <v>9219</v>
      </c>
      <c r="C4610" t="s">
        <v>10</v>
      </c>
      <c r="D4610">
        <v>20</v>
      </c>
      <c r="E4610" t="s">
        <v>60</v>
      </c>
      <c r="F4610" t="s">
        <v>21</v>
      </c>
      <c r="G4610" t="s">
        <v>22</v>
      </c>
      <c r="H4610" s="1">
        <v>44768</v>
      </c>
    </row>
    <row r="4611" spans="1:8">
      <c r="A4611" t="s">
        <v>9220</v>
      </c>
      <c r="B4611" t="s">
        <v>9221</v>
      </c>
      <c r="C4611" t="s">
        <v>31</v>
      </c>
      <c r="D4611">
        <v>31</v>
      </c>
      <c r="E4611" t="s">
        <v>15</v>
      </c>
      <c r="F4611" t="s">
        <v>16</v>
      </c>
      <c r="G4611" t="s">
        <v>17</v>
      </c>
      <c r="H4611" s="1">
        <v>44839</v>
      </c>
    </row>
    <row r="4612" spans="1:8">
      <c r="A4612" t="s">
        <v>9222</v>
      </c>
      <c r="B4612" t="s">
        <v>9223</v>
      </c>
      <c r="C4612" t="s">
        <v>10</v>
      </c>
      <c r="D4612">
        <v>39</v>
      </c>
      <c r="E4612" t="s">
        <v>63</v>
      </c>
      <c r="F4612" t="s">
        <v>64</v>
      </c>
      <c r="G4612" t="s">
        <v>12</v>
      </c>
      <c r="H4612" s="1">
        <v>45382</v>
      </c>
    </row>
    <row r="4613" spans="1:8">
      <c r="A4613" t="s">
        <v>9224</v>
      </c>
      <c r="B4613" t="s">
        <v>2404</v>
      </c>
      <c r="C4613" t="s">
        <v>10</v>
      </c>
      <c r="D4613">
        <v>42</v>
      </c>
      <c r="E4613" t="s">
        <v>128</v>
      </c>
      <c r="F4613" t="s">
        <v>129</v>
      </c>
      <c r="G4613" t="s">
        <v>78</v>
      </c>
      <c r="H4613" s="1">
        <v>45578</v>
      </c>
    </row>
    <row r="4614" spans="1:8">
      <c r="A4614" t="s">
        <v>9225</v>
      </c>
      <c r="B4614" t="s">
        <v>9226</v>
      </c>
      <c r="C4614" t="s">
        <v>10</v>
      </c>
      <c r="D4614">
        <v>31</v>
      </c>
      <c r="E4614" t="s">
        <v>63</v>
      </c>
      <c r="F4614" t="s">
        <v>64</v>
      </c>
      <c r="G4614" t="s">
        <v>12</v>
      </c>
      <c r="H4614" s="1">
        <v>45462</v>
      </c>
    </row>
    <row r="4615" spans="1:8">
      <c r="A4615" t="s">
        <v>9227</v>
      </c>
      <c r="B4615" t="s">
        <v>9228</v>
      </c>
      <c r="C4615" t="s">
        <v>31</v>
      </c>
      <c r="D4615">
        <v>54</v>
      </c>
      <c r="E4615" t="s">
        <v>27</v>
      </c>
      <c r="F4615" t="s">
        <v>28</v>
      </c>
      <c r="G4615" t="s">
        <v>12</v>
      </c>
      <c r="H4615" s="1">
        <v>45789</v>
      </c>
    </row>
    <row r="4616" spans="1:8">
      <c r="A4616" t="s">
        <v>9229</v>
      </c>
      <c r="B4616" t="s">
        <v>9230</v>
      </c>
      <c r="C4616" t="s">
        <v>10</v>
      </c>
      <c r="D4616">
        <v>63</v>
      </c>
      <c r="E4616" t="s">
        <v>45</v>
      </c>
      <c r="F4616" t="s">
        <v>46</v>
      </c>
      <c r="G4616" t="s">
        <v>17</v>
      </c>
      <c r="H4616" s="1">
        <v>45057</v>
      </c>
    </row>
    <row r="4617" spans="1:8">
      <c r="A4617" t="s">
        <v>9231</v>
      </c>
      <c r="B4617" t="s">
        <v>9232</v>
      </c>
      <c r="C4617" t="s">
        <v>31</v>
      </c>
      <c r="D4617">
        <v>66</v>
      </c>
      <c r="E4617" t="s">
        <v>45</v>
      </c>
      <c r="F4617" t="s">
        <v>46</v>
      </c>
      <c r="G4617" t="s">
        <v>17</v>
      </c>
      <c r="H4617" s="1">
        <v>45677</v>
      </c>
    </row>
    <row r="4618" spans="1:8">
      <c r="A4618" t="s">
        <v>9233</v>
      </c>
      <c r="B4618" t="s">
        <v>9234</v>
      </c>
      <c r="C4618" t="s">
        <v>31</v>
      </c>
      <c r="D4618">
        <v>58</v>
      </c>
      <c r="E4618" t="s">
        <v>112</v>
      </c>
      <c r="F4618" t="s">
        <v>113</v>
      </c>
      <c r="G4618" t="s">
        <v>78</v>
      </c>
      <c r="H4618" s="1">
        <v>44747</v>
      </c>
    </row>
    <row r="4619" spans="1:8">
      <c r="A4619" t="s">
        <v>9235</v>
      </c>
      <c r="B4619" t="s">
        <v>9236</v>
      </c>
      <c r="C4619" t="s">
        <v>10</v>
      </c>
      <c r="D4619">
        <v>23</v>
      </c>
      <c r="E4619" t="s">
        <v>112</v>
      </c>
      <c r="F4619" t="s">
        <v>113</v>
      </c>
      <c r="G4619" t="s">
        <v>78</v>
      </c>
      <c r="H4619" s="1">
        <v>45925</v>
      </c>
    </row>
    <row r="4620" spans="1:8">
      <c r="A4620" t="s">
        <v>9237</v>
      </c>
      <c r="B4620" t="s">
        <v>9238</v>
      </c>
      <c r="C4620" t="s">
        <v>10</v>
      </c>
      <c r="D4620">
        <v>55</v>
      </c>
      <c r="E4620" t="s">
        <v>69</v>
      </c>
      <c r="F4620" t="s">
        <v>69</v>
      </c>
      <c r="G4620" t="s">
        <v>12</v>
      </c>
      <c r="H4620" s="1">
        <v>45331</v>
      </c>
    </row>
    <row r="4621" spans="1:8">
      <c r="A4621" t="s">
        <v>9239</v>
      </c>
      <c r="B4621" t="s">
        <v>9240</v>
      </c>
      <c r="C4621" t="s">
        <v>31</v>
      </c>
      <c r="D4621">
        <v>68</v>
      </c>
      <c r="E4621" t="s">
        <v>101</v>
      </c>
      <c r="F4621" t="s">
        <v>21</v>
      </c>
      <c r="G4621" t="s">
        <v>22</v>
      </c>
      <c r="H4621" s="1">
        <v>45293</v>
      </c>
    </row>
    <row r="4622" spans="1:8">
      <c r="A4622" t="s">
        <v>9241</v>
      </c>
      <c r="B4622" t="s">
        <v>9242</v>
      </c>
      <c r="C4622" t="s">
        <v>31</v>
      </c>
      <c r="D4622">
        <v>33</v>
      </c>
      <c r="E4622" t="s">
        <v>87</v>
      </c>
      <c r="F4622" t="s">
        <v>88</v>
      </c>
      <c r="G4622" t="s">
        <v>78</v>
      </c>
      <c r="H4622" s="1">
        <v>45339</v>
      </c>
    </row>
    <row r="4623" spans="1:8">
      <c r="A4623" t="s">
        <v>9243</v>
      </c>
      <c r="B4623" t="s">
        <v>9244</v>
      </c>
      <c r="C4623" t="s">
        <v>10</v>
      </c>
      <c r="D4623">
        <v>50</v>
      </c>
      <c r="E4623" t="s">
        <v>60</v>
      </c>
      <c r="F4623" t="s">
        <v>21</v>
      </c>
      <c r="G4623" t="s">
        <v>22</v>
      </c>
      <c r="H4623" s="1">
        <v>44649</v>
      </c>
    </row>
    <row r="4624" spans="1:8">
      <c r="A4624" t="s">
        <v>9245</v>
      </c>
      <c r="B4624" t="s">
        <v>9246</v>
      </c>
      <c r="C4624" t="s">
        <v>10</v>
      </c>
      <c r="D4624">
        <v>47</v>
      </c>
      <c r="E4624" t="s">
        <v>112</v>
      </c>
      <c r="F4624" t="s">
        <v>113</v>
      </c>
      <c r="G4624" t="s">
        <v>78</v>
      </c>
      <c r="H4624" s="1">
        <v>45557</v>
      </c>
    </row>
    <row r="4625" spans="1:8">
      <c r="A4625" t="s">
        <v>9247</v>
      </c>
      <c r="B4625" t="s">
        <v>9248</v>
      </c>
      <c r="C4625" t="s">
        <v>31</v>
      </c>
      <c r="D4625">
        <v>67</v>
      </c>
      <c r="E4625" t="s">
        <v>34</v>
      </c>
      <c r="F4625" t="s">
        <v>16</v>
      </c>
      <c r="G4625" t="s">
        <v>17</v>
      </c>
      <c r="H4625" s="1">
        <v>45677</v>
      </c>
    </row>
    <row r="4626" spans="1:8">
      <c r="A4626" t="s">
        <v>9249</v>
      </c>
      <c r="B4626" t="s">
        <v>9250</v>
      </c>
      <c r="C4626" t="s">
        <v>31</v>
      </c>
      <c r="D4626">
        <v>33</v>
      </c>
      <c r="E4626" t="s">
        <v>69</v>
      </c>
      <c r="F4626" t="s">
        <v>69</v>
      </c>
      <c r="G4626" t="s">
        <v>12</v>
      </c>
      <c r="H4626" s="1">
        <v>44571</v>
      </c>
    </row>
    <row r="4627" spans="1:8">
      <c r="A4627" t="s">
        <v>9251</v>
      </c>
      <c r="B4627" t="s">
        <v>9252</v>
      </c>
      <c r="C4627" t="s">
        <v>31</v>
      </c>
      <c r="D4627">
        <v>69</v>
      </c>
      <c r="E4627" t="s">
        <v>218</v>
      </c>
      <c r="F4627" t="s">
        <v>219</v>
      </c>
      <c r="G4627" t="s">
        <v>17</v>
      </c>
      <c r="H4627" s="1">
        <v>44730</v>
      </c>
    </row>
    <row r="4628" spans="1:8">
      <c r="A4628" t="s">
        <v>9253</v>
      </c>
      <c r="B4628" t="s">
        <v>9254</v>
      </c>
      <c r="C4628" t="s">
        <v>31</v>
      </c>
      <c r="D4628">
        <v>22</v>
      </c>
      <c r="E4628" t="s">
        <v>15</v>
      </c>
      <c r="F4628" t="s">
        <v>16</v>
      </c>
      <c r="G4628" t="s">
        <v>17</v>
      </c>
      <c r="H4628" s="1">
        <v>46005</v>
      </c>
    </row>
    <row r="4629" spans="1:8">
      <c r="A4629" t="s">
        <v>9255</v>
      </c>
      <c r="B4629" t="s">
        <v>9256</v>
      </c>
      <c r="C4629" t="s">
        <v>31</v>
      </c>
      <c r="D4629">
        <v>38</v>
      </c>
      <c r="E4629" t="s">
        <v>15</v>
      </c>
      <c r="F4629" t="s">
        <v>16</v>
      </c>
      <c r="G4629" t="s">
        <v>17</v>
      </c>
      <c r="H4629" s="1">
        <v>45838</v>
      </c>
    </row>
    <row r="4630" spans="1:8">
      <c r="A4630" t="s">
        <v>9257</v>
      </c>
      <c r="B4630" t="s">
        <v>9258</v>
      </c>
      <c r="C4630" t="s">
        <v>31</v>
      </c>
      <c r="D4630">
        <v>44</v>
      </c>
      <c r="E4630" t="s">
        <v>63</v>
      </c>
      <c r="F4630" t="s">
        <v>64</v>
      </c>
      <c r="G4630" t="s">
        <v>12</v>
      </c>
      <c r="H4630" s="1">
        <v>45247</v>
      </c>
    </row>
    <row r="4631" spans="1:8">
      <c r="A4631" t="s">
        <v>9259</v>
      </c>
      <c r="B4631" t="s">
        <v>9260</v>
      </c>
      <c r="C4631" t="s">
        <v>10</v>
      </c>
      <c r="D4631">
        <v>20</v>
      </c>
      <c r="E4631" t="s">
        <v>87</v>
      </c>
      <c r="F4631" t="s">
        <v>88</v>
      </c>
      <c r="G4631" t="s">
        <v>78</v>
      </c>
      <c r="H4631" s="1">
        <v>45326</v>
      </c>
    </row>
    <row r="4632" spans="1:8">
      <c r="A4632" t="s">
        <v>9261</v>
      </c>
      <c r="B4632" t="s">
        <v>9262</v>
      </c>
      <c r="C4632" t="s">
        <v>10</v>
      </c>
      <c r="D4632">
        <v>26</v>
      </c>
      <c r="E4632" t="s">
        <v>49</v>
      </c>
      <c r="F4632" t="s">
        <v>219</v>
      </c>
      <c r="G4632" t="s">
        <v>17</v>
      </c>
      <c r="H4632" s="1">
        <v>45681</v>
      </c>
    </row>
    <row r="4633" spans="1:8">
      <c r="A4633" t="s">
        <v>9263</v>
      </c>
      <c r="B4633" t="s">
        <v>9264</v>
      </c>
      <c r="C4633" t="s">
        <v>31</v>
      </c>
      <c r="D4633">
        <v>27</v>
      </c>
      <c r="E4633" t="s">
        <v>101</v>
      </c>
      <c r="F4633" t="s">
        <v>21</v>
      </c>
      <c r="G4633" t="s">
        <v>22</v>
      </c>
      <c r="H4633" s="1">
        <v>44578</v>
      </c>
    </row>
    <row r="4634" spans="1:8">
      <c r="A4634" t="s">
        <v>9265</v>
      </c>
      <c r="B4634" t="s">
        <v>9266</v>
      </c>
      <c r="C4634" t="s">
        <v>10</v>
      </c>
      <c r="D4634">
        <v>50</v>
      </c>
      <c r="E4634" t="s">
        <v>101</v>
      </c>
      <c r="F4634" t="s">
        <v>21</v>
      </c>
      <c r="G4634" t="s">
        <v>22</v>
      </c>
      <c r="H4634" s="1">
        <v>45426</v>
      </c>
    </row>
    <row r="4635" spans="1:8">
      <c r="A4635" t="s">
        <v>9267</v>
      </c>
      <c r="B4635" t="s">
        <v>9268</v>
      </c>
      <c r="C4635" t="s">
        <v>31</v>
      </c>
      <c r="D4635">
        <v>61</v>
      </c>
      <c r="E4635" t="s">
        <v>91</v>
      </c>
      <c r="F4635" t="s">
        <v>92</v>
      </c>
      <c r="G4635" t="s">
        <v>78</v>
      </c>
      <c r="H4635" s="1">
        <v>45859</v>
      </c>
    </row>
    <row r="4636" spans="1:8">
      <c r="A4636" t="s">
        <v>9269</v>
      </c>
      <c r="B4636" t="s">
        <v>9270</v>
      </c>
      <c r="C4636" t="s">
        <v>10</v>
      </c>
      <c r="D4636">
        <v>55</v>
      </c>
      <c r="E4636" t="s">
        <v>15</v>
      </c>
      <c r="F4636" t="s">
        <v>16</v>
      </c>
      <c r="G4636" t="s">
        <v>17</v>
      </c>
      <c r="H4636" s="1">
        <v>45645</v>
      </c>
    </row>
    <row r="4637" spans="1:8">
      <c r="A4637" t="s">
        <v>9271</v>
      </c>
      <c r="B4637" t="s">
        <v>9272</v>
      </c>
      <c r="C4637" t="s">
        <v>31</v>
      </c>
      <c r="D4637">
        <v>54</v>
      </c>
      <c r="E4637" t="s">
        <v>101</v>
      </c>
      <c r="F4637" t="s">
        <v>21</v>
      </c>
      <c r="G4637" t="s">
        <v>22</v>
      </c>
      <c r="H4637" s="1">
        <v>44606</v>
      </c>
    </row>
    <row r="4638" spans="1:8">
      <c r="A4638" t="s">
        <v>9273</v>
      </c>
      <c r="B4638" t="s">
        <v>9274</v>
      </c>
      <c r="C4638" t="s">
        <v>31</v>
      </c>
      <c r="D4638">
        <v>34</v>
      </c>
      <c r="E4638" t="s">
        <v>69</v>
      </c>
      <c r="F4638" t="s">
        <v>69</v>
      </c>
      <c r="G4638" t="s">
        <v>12</v>
      </c>
      <c r="H4638" s="1">
        <v>45576</v>
      </c>
    </row>
    <row r="4639" spans="1:8">
      <c r="A4639" t="s">
        <v>9275</v>
      </c>
      <c r="B4639" t="s">
        <v>9276</v>
      </c>
      <c r="C4639" t="s">
        <v>10</v>
      </c>
      <c r="D4639">
        <v>54</v>
      </c>
      <c r="E4639" t="s">
        <v>27</v>
      </c>
      <c r="F4639" t="s">
        <v>28</v>
      </c>
      <c r="G4639" t="s">
        <v>12</v>
      </c>
      <c r="H4639" s="1">
        <v>45845</v>
      </c>
    </row>
    <row r="4640" spans="1:8">
      <c r="A4640" t="s">
        <v>9277</v>
      </c>
      <c r="B4640" t="s">
        <v>9278</v>
      </c>
      <c r="C4640" t="s">
        <v>31</v>
      </c>
      <c r="D4640">
        <v>57</v>
      </c>
      <c r="E4640" t="s">
        <v>218</v>
      </c>
      <c r="F4640" t="s">
        <v>219</v>
      </c>
      <c r="G4640" t="s">
        <v>17</v>
      </c>
      <c r="H4640" s="1">
        <v>45660</v>
      </c>
    </row>
    <row r="4641" spans="1:8">
      <c r="A4641" t="s">
        <v>9279</v>
      </c>
      <c r="B4641" t="s">
        <v>9280</v>
      </c>
      <c r="C4641" t="s">
        <v>31</v>
      </c>
      <c r="D4641">
        <v>25</v>
      </c>
      <c r="E4641" t="s">
        <v>37</v>
      </c>
      <c r="F4641" t="s">
        <v>38</v>
      </c>
      <c r="G4641" t="s">
        <v>22</v>
      </c>
      <c r="H4641" s="1">
        <v>45217</v>
      </c>
    </row>
    <row r="4642" spans="1:8">
      <c r="A4642" t="s">
        <v>9281</v>
      </c>
      <c r="B4642" t="s">
        <v>9282</v>
      </c>
      <c r="C4642" t="s">
        <v>31</v>
      </c>
      <c r="D4642">
        <v>26</v>
      </c>
      <c r="E4642" t="s">
        <v>76</v>
      </c>
      <c r="F4642" t="s">
        <v>77</v>
      </c>
      <c r="G4642" t="s">
        <v>78</v>
      </c>
      <c r="H4642" s="1">
        <v>45235</v>
      </c>
    </row>
    <row r="4643" spans="1:8">
      <c r="A4643" t="s">
        <v>9283</v>
      </c>
      <c r="B4643" t="s">
        <v>9284</v>
      </c>
      <c r="C4643" t="s">
        <v>31</v>
      </c>
      <c r="D4643">
        <v>30</v>
      </c>
      <c r="E4643" t="s">
        <v>87</v>
      </c>
      <c r="F4643" t="s">
        <v>88</v>
      </c>
      <c r="G4643" t="s">
        <v>78</v>
      </c>
      <c r="H4643" s="1">
        <v>45490</v>
      </c>
    </row>
    <row r="4644" spans="1:8">
      <c r="A4644" t="s">
        <v>9285</v>
      </c>
      <c r="B4644" t="s">
        <v>9286</v>
      </c>
      <c r="C4644" t="s">
        <v>10</v>
      </c>
      <c r="D4644">
        <v>68</v>
      </c>
      <c r="E4644" t="s">
        <v>41</v>
      </c>
      <c r="F4644" t="s">
        <v>42</v>
      </c>
      <c r="G4644" t="s">
        <v>17</v>
      </c>
      <c r="H4644" s="1">
        <v>45694</v>
      </c>
    </row>
    <row r="4645" spans="1:8">
      <c r="A4645" t="s">
        <v>9287</v>
      </c>
      <c r="B4645" t="s">
        <v>9288</v>
      </c>
      <c r="C4645" t="s">
        <v>10</v>
      </c>
      <c r="D4645">
        <v>30</v>
      </c>
      <c r="E4645" t="s">
        <v>41</v>
      </c>
      <c r="F4645" t="s">
        <v>42</v>
      </c>
      <c r="G4645" t="s">
        <v>17</v>
      </c>
      <c r="H4645" s="1">
        <v>45116</v>
      </c>
    </row>
    <row r="4646" spans="1:8">
      <c r="A4646" t="s">
        <v>9289</v>
      </c>
      <c r="B4646" t="s">
        <v>9290</v>
      </c>
      <c r="C4646" t="s">
        <v>10</v>
      </c>
      <c r="D4646">
        <v>50</v>
      </c>
      <c r="E4646" t="s">
        <v>101</v>
      </c>
      <c r="F4646" t="s">
        <v>21</v>
      </c>
      <c r="G4646" t="s">
        <v>22</v>
      </c>
      <c r="H4646" s="1">
        <v>45771</v>
      </c>
    </row>
    <row r="4647" spans="1:8">
      <c r="A4647" t="s">
        <v>9291</v>
      </c>
      <c r="B4647" t="s">
        <v>9292</v>
      </c>
      <c r="C4647" t="s">
        <v>31</v>
      </c>
      <c r="D4647">
        <v>59</v>
      </c>
      <c r="E4647" t="s">
        <v>60</v>
      </c>
      <c r="F4647" t="s">
        <v>21</v>
      </c>
      <c r="G4647" t="s">
        <v>22</v>
      </c>
      <c r="H4647" s="1">
        <v>45524</v>
      </c>
    </row>
    <row r="4648" spans="1:8">
      <c r="A4648" t="s">
        <v>9293</v>
      </c>
      <c r="B4648" t="s">
        <v>9294</v>
      </c>
      <c r="C4648" t="s">
        <v>10</v>
      </c>
      <c r="D4648">
        <v>31</v>
      </c>
      <c r="E4648" t="s">
        <v>27</v>
      </c>
      <c r="F4648" t="s">
        <v>28</v>
      </c>
      <c r="G4648" t="s">
        <v>12</v>
      </c>
      <c r="H4648" s="1">
        <v>45017</v>
      </c>
    </row>
    <row r="4649" spans="1:8">
      <c r="A4649" t="s">
        <v>9295</v>
      </c>
      <c r="B4649" t="s">
        <v>9296</v>
      </c>
      <c r="C4649" t="s">
        <v>10</v>
      </c>
      <c r="D4649">
        <v>34</v>
      </c>
      <c r="E4649" t="s">
        <v>149</v>
      </c>
      <c r="F4649" t="s">
        <v>38</v>
      </c>
      <c r="G4649" t="s">
        <v>22</v>
      </c>
      <c r="H4649" s="1">
        <v>45482</v>
      </c>
    </row>
    <row r="4650" spans="1:8">
      <c r="A4650" t="s">
        <v>9297</v>
      </c>
      <c r="B4650" t="s">
        <v>9298</v>
      </c>
      <c r="C4650" t="s">
        <v>10</v>
      </c>
      <c r="D4650">
        <v>57</v>
      </c>
      <c r="E4650" t="s">
        <v>15</v>
      </c>
      <c r="F4650" t="s">
        <v>16</v>
      </c>
      <c r="G4650" t="s">
        <v>17</v>
      </c>
      <c r="H4650" s="1">
        <v>45801</v>
      </c>
    </row>
    <row r="4651" spans="1:8">
      <c r="A4651" t="s">
        <v>9299</v>
      </c>
      <c r="B4651" t="s">
        <v>9300</v>
      </c>
      <c r="C4651" t="s">
        <v>31</v>
      </c>
      <c r="D4651">
        <v>19</v>
      </c>
      <c r="E4651" t="s">
        <v>91</v>
      </c>
      <c r="F4651" t="s">
        <v>92</v>
      </c>
      <c r="G4651" t="s">
        <v>78</v>
      </c>
      <c r="H4651" s="1">
        <v>44957</v>
      </c>
    </row>
    <row r="4652" spans="1:8">
      <c r="A4652" t="s">
        <v>9301</v>
      </c>
      <c r="B4652" t="s">
        <v>9302</v>
      </c>
      <c r="C4652" t="s">
        <v>10</v>
      </c>
      <c r="D4652">
        <v>40</v>
      </c>
      <c r="E4652" t="s">
        <v>34</v>
      </c>
      <c r="F4652" t="s">
        <v>16</v>
      </c>
      <c r="G4652" t="s">
        <v>17</v>
      </c>
      <c r="H4652" s="1">
        <v>45372</v>
      </c>
    </row>
    <row r="4653" spans="1:8">
      <c r="A4653" t="s">
        <v>9303</v>
      </c>
      <c r="B4653" t="s">
        <v>9304</v>
      </c>
      <c r="C4653" t="s">
        <v>31</v>
      </c>
      <c r="D4653">
        <v>22</v>
      </c>
      <c r="E4653" t="s">
        <v>34</v>
      </c>
      <c r="F4653" t="s">
        <v>16</v>
      </c>
      <c r="G4653" t="s">
        <v>17</v>
      </c>
      <c r="H4653" s="1">
        <v>44642</v>
      </c>
    </row>
    <row r="4654" spans="1:8">
      <c r="A4654" t="s">
        <v>9305</v>
      </c>
      <c r="B4654" t="s">
        <v>9306</v>
      </c>
      <c r="C4654" t="s">
        <v>10</v>
      </c>
      <c r="D4654">
        <v>57</v>
      </c>
      <c r="E4654" t="s">
        <v>63</v>
      </c>
      <c r="F4654" t="s">
        <v>64</v>
      </c>
      <c r="G4654" t="s">
        <v>12</v>
      </c>
      <c r="H4654" s="1">
        <v>45038</v>
      </c>
    </row>
    <row r="4655" spans="1:8">
      <c r="A4655" t="s">
        <v>9307</v>
      </c>
      <c r="B4655" t="s">
        <v>9308</v>
      </c>
      <c r="C4655" t="s">
        <v>31</v>
      </c>
      <c r="D4655">
        <v>26</v>
      </c>
      <c r="E4655" t="s">
        <v>45</v>
      </c>
      <c r="F4655" t="s">
        <v>46</v>
      </c>
      <c r="G4655" t="s">
        <v>17</v>
      </c>
      <c r="H4655" s="1">
        <v>45484</v>
      </c>
    </row>
    <row r="4656" spans="1:8">
      <c r="A4656" t="s">
        <v>9309</v>
      </c>
      <c r="B4656" t="s">
        <v>9310</v>
      </c>
      <c r="C4656" t="s">
        <v>10</v>
      </c>
      <c r="D4656">
        <v>21</v>
      </c>
      <c r="E4656" t="s">
        <v>45</v>
      </c>
      <c r="F4656" t="s">
        <v>46</v>
      </c>
      <c r="G4656" t="s">
        <v>17</v>
      </c>
      <c r="H4656" s="1">
        <v>44697</v>
      </c>
    </row>
    <row r="4657" spans="1:8">
      <c r="A4657" t="s">
        <v>9311</v>
      </c>
      <c r="B4657" t="s">
        <v>9312</v>
      </c>
      <c r="C4657" t="s">
        <v>31</v>
      </c>
      <c r="D4657">
        <v>24</v>
      </c>
      <c r="E4657" t="s">
        <v>69</v>
      </c>
      <c r="F4657" t="s">
        <v>69</v>
      </c>
      <c r="G4657" t="s">
        <v>12</v>
      </c>
      <c r="H4657" s="1">
        <v>45974</v>
      </c>
    </row>
    <row r="4658" spans="1:8">
      <c r="A4658" t="s">
        <v>9313</v>
      </c>
      <c r="B4658" t="s">
        <v>9314</v>
      </c>
      <c r="C4658" t="s">
        <v>31</v>
      </c>
      <c r="D4658">
        <v>67</v>
      </c>
      <c r="E4658" t="s">
        <v>101</v>
      </c>
      <c r="F4658" t="s">
        <v>21</v>
      </c>
      <c r="G4658" t="s">
        <v>22</v>
      </c>
      <c r="H4658" s="1">
        <v>45116</v>
      </c>
    </row>
    <row r="4659" spans="1:8">
      <c r="A4659" t="s">
        <v>9315</v>
      </c>
      <c r="B4659" t="s">
        <v>9316</v>
      </c>
      <c r="C4659" t="s">
        <v>10</v>
      </c>
      <c r="D4659">
        <v>21</v>
      </c>
      <c r="E4659" t="s">
        <v>218</v>
      </c>
      <c r="F4659" t="s">
        <v>219</v>
      </c>
      <c r="G4659" t="s">
        <v>17</v>
      </c>
      <c r="H4659" s="1">
        <v>45879</v>
      </c>
    </row>
    <row r="4660" spans="1:8">
      <c r="A4660" t="s">
        <v>9317</v>
      </c>
      <c r="B4660" t="s">
        <v>9318</v>
      </c>
      <c r="C4660" t="s">
        <v>10</v>
      </c>
      <c r="D4660">
        <v>58</v>
      </c>
      <c r="E4660" t="s">
        <v>27</v>
      </c>
      <c r="F4660" t="s">
        <v>28</v>
      </c>
      <c r="G4660" t="s">
        <v>12</v>
      </c>
      <c r="H4660" s="1">
        <v>45195</v>
      </c>
    </row>
    <row r="4661" spans="1:8">
      <c r="A4661" t="s">
        <v>9319</v>
      </c>
      <c r="B4661" t="s">
        <v>9320</v>
      </c>
      <c r="C4661" t="s">
        <v>31</v>
      </c>
      <c r="D4661">
        <v>19</v>
      </c>
      <c r="E4661" t="s">
        <v>76</v>
      </c>
      <c r="F4661" t="s">
        <v>77</v>
      </c>
      <c r="G4661" t="s">
        <v>78</v>
      </c>
      <c r="H4661" s="1">
        <v>45129</v>
      </c>
    </row>
    <row r="4662" spans="1:8">
      <c r="A4662" t="s">
        <v>9321</v>
      </c>
      <c r="B4662" t="s">
        <v>9322</v>
      </c>
      <c r="C4662" t="s">
        <v>10</v>
      </c>
      <c r="D4662">
        <v>65</v>
      </c>
      <c r="E4662" t="s">
        <v>27</v>
      </c>
      <c r="F4662" t="s">
        <v>28</v>
      </c>
      <c r="G4662" t="s">
        <v>12</v>
      </c>
      <c r="H4662" s="1">
        <v>45534</v>
      </c>
    </row>
    <row r="4663" spans="1:8">
      <c r="A4663" t="s">
        <v>9323</v>
      </c>
      <c r="B4663" t="s">
        <v>9324</v>
      </c>
      <c r="C4663" t="s">
        <v>31</v>
      </c>
      <c r="D4663">
        <v>31</v>
      </c>
      <c r="E4663" t="s">
        <v>37</v>
      </c>
      <c r="F4663" t="s">
        <v>38</v>
      </c>
      <c r="G4663" t="s">
        <v>22</v>
      </c>
      <c r="H4663" s="1">
        <v>45738</v>
      </c>
    </row>
    <row r="4664" spans="1:8">
      <c r="A4664" t="s">
        <v>9325</v>
      </c>
      <c r="B4664" t="s">
        <v>9326</v>
      </c>
      <c r="C4664" t="s">
        <v>31</v>
      </c>
      <c r="D4664">
        <v>37</v>
      </c>
      <c r="E4664" t="s">
        <v>45</v>
      </c>
      <c r="F4664" t="s">
        <v>46</v>
      </c>
      <c r="G4664" t="s">
        <v>17</v>
      </c>
      <c r="H4664" s="1">
        <v>44722</v>
      </c>
    </row>
    <row r="4665" spans="1:8">
      <c r="A4665" t="s">
        <v>9327</v>
      </c>
      <c r="B4665" t="s">
        <v>9328</v>
      </c>
      <c r="C4665" t="s">
        <v>10</v>
      </c>
      <c r="D4665">
        <v>34</v>
      </c>
      <c r="E4665" t="s">
        <v>63</v>
      </c>
      <c r="F4665" t="s">
        <v>64</v>
      </c>
      <c r="G4665" t="s">
        <v>12</v>
      </c>
      <c r="H4665" s="1">
        <v>45155</v>
      </c>
    </row>
    <row r="4666" spans="1:8">
      <c r="A4666" t="s">
        <v>9329</v>
      </c>
      <c r="B4666" t="s">
        <v>9330</v>
      </c>
      <c r="C4666" t="s">
        <v>31</v>
      </c>
      <c r="D4666">
        <v>24</v>
      </c>
      <c r="E4666" t="s">
        <v>76</v>
      </c>
      <c r="F4666" t="s">
        <v>77</v>
      </c>
      <c r="G4666" t="s">
        <v>78</v>
      </c>
      <c r="H4666" s="1">
        <v>44915</v>
      </c>
    </row>
    <row r="4667" spans="1:8">
      <c r="A4667" t="s">
        <v>9331</v>
      </c>
      <c r="B4667" t="s">
        <v>9332</v>
      </c>
      <c r="C4667" t="s">
        <v>10</v>
      </c>
      <c r="D4667">
        <v>30</v>
      </c>
      <c r="E4667" t="s">
        <v>218</v>
      </c>
      <c r="F4667" t="s">
        <v>219</v>
      </c>
      <c r="G4667" t="s">
        <v>17</v>
      </c>
      <c r="H4667" s="1">
        <v>44667</v>
      </c>
    </row>
    <row r="4668" spans="1:8">
      <c r="A4668" t="s">
        <v>9333</v>
      </c>
      <c r="B4668" t="s">
        <v>9334</v>
      </c>
      <c r="C4668" t="s">
        <v>10</v>
      </c>
      <c r="D4668">
        <v>62</v>
      </c>
      <c r="E4668" t="s">
        <v>60</v>
      </c>
      <c r="F4668" t="s">
        <v>21</v>
      </c>
      <c r="G4668" t="s">
        <v>22</v>
      </c>
      <c r="H4668" s="1">
        <v>45445</v>
      </c>
    </row>
    <row r="4669" spans="1:8">
      <c r="A4669" t="s">
        <v>9335</v>
      </c>
      <c r="B4669" t="s">
        <v>9336</v>
      </c>
      <c r="C4669" t="s">
        <v>10</v>
      </c>
      <c r="D4669">
        <v>27</v>
      </c>
      <c r="E4669" t="s">
        <v>20</v>
      </c>
      <c r="F4669" t="s">
        <v>21</v>
      </c>
      <c r="G4669" t="s">
        <v>22</v>
      </c>
      <c r="H4669" s="1">
        <v>45534</v>
      </c>
    </row>
    <row r="4670" spans="1:8">
      <c r="A4670" t="s">
        <v>9337</v>
      </c>
      <c r="B4670" t="s">
        <v>9338</v>
      </c>
      <c r="C4670" t="s">
        <v>10</v>
      </c>
      <c r="D4670">
        <v>21</v>
      </c>
      <c r="E4670" t="s">
        <v>149</v>
      </c>
      <c r="F4670" t="s">
        <v>38</v>
      </c>
      <c r="G4670" t="s">
        <v>22</v>
      </c>
      <c r="H4670" s="1">
        <v>45984</v>
      </c>
    </row>
    <row r="4671" spans="1:8">
      <c r="A4671" t="s">
        <v>9339</v>
      </c>
      <c r="B4671" t="s">
        <v>2557</v>
      </c>
      <c r="C4671" t="s">
        <v>10</v>
      </c>
      <c r="D4671">
        <v>56</v>
      </c>
      <c r="E4671" t="s">
        <v>76</v>
      </c>
      <c r="F4671" t="s">
        <v>77</v>
      </c>
      <c r="G4671" t="s">
        <v>78</v>
      </c>
      <c r="H4671" s="1">
        <v>44633</v>
      </c>
    </row>
    <row r="4672" spans="1:8">
      <c r="A4672" t="s">
        <v>9340</v>
      </c>
      <c r="B4672" t="s">
        <v>9341</v>
      </c>
      <c r="C4672" t="s">
        <v>31</v>
      </c>
      <c r="D4672">
        <v>64</v>
      </c>
      <c r="E4672" t="s">
        <v>101</v>
      </c>
      <c r="F4672" t="s">
        <v>21</v>
      </c>
      <c r="G4672" t="s">
        <v>22</v>
      </c>
      <c r="H4672" s="1">
        <v>45362</v>
      </c>
    </row>
    <row r="4673" spans="1:8">
      <c r="A4673" t="s">
        <v>9342</v>
      </c>
      <c r="B4673" t="s">
        <v>9343</v>
      </c>
      <c r="C4673" t="s">
        <v>10</v>
      </c>
      <c r="D4673">
        <v>44</v>
      </c>
      <c r="E4673" t="s">
        <v>218</v>
      </c>
      <c r="F4673" t="s">
        <v>219</v>
      </c>
      <c r="G4673" t="s">
        <v>17</v>
      </c>
      <c r="H4673" s="1">
        <v>45300</v>
      </c>
    </row>
    <row r="4674" spans="1:8">
      <c r="A4674" t="s">
        <v>9344</v>
      </c>
      <c r="B4674" t="s">
        <v>9345</v>
      </c>
      <c r="C4674" t="s">
        <v>10</v>
      </c>
      <c r="D4674">
        <v>39</v>
      </c>
      <c r="E4674" t="s">
        <v>128</v>
      </c>
      <c r="F4674" t="s">
        <v>129</v>
      </c>
      <c r="G4674" t="s">
        <v>78</v>
      </c>
      <c r="H4674" s="1">
        <v>44625</v>
      </c>
    </row>
    <row r="4675" spans="1:8">
      <c r="A4675" t="s">
        <v>9346</v>
      </c>
      <c r="B4675" t="s">
        <v>9347</v>
      </c>
      <c r="C4675" t="s">
        <v>10</v>
      </c>
      <c r="D4675">
        <v>21</v>
      </c>
      <c r="E4675" t="s">
        <v>60</v>
      </c>
      <c r="F4675" t="s">
        <v>21</v>
      </c>
      <c r="G4675" t="s">
        <v>22</v>
      </c>
      <c r="H4675" s="1">
        <v>45203</v>
      </c>
    </row>
    <row r="4676" spans="1:8">
      <c r="A4676" t="s">
        <v>9348</v>
      </c>
      <c r="B4676" t="s">
        <v>9349</v>
      </c>
      <c r="C4676" t="s">
        <v>31</v>
      </c>
      <c r="D4676">
        <v>69</v>
      </c>
      <c r="E4676" t="s">
        <v>34</v>
      </c>
      <c r="F4676" t="s">
        <v>16</v>
      </c>
      <c r="G4676" t="s">
        <v>17</v>
      </c>
      <c r="H4676" s="1">
        <v>44841</v>
      </c>
    </row>
    <row r="4677" spans="1:8">
      <c r="A4677" t="s">
        <v>9350</v>
      </c>
      <c r="B4677" t="s">
        <v>9351</v>
      </c>
      <c r="C4677" t="s">
        <v>31</v>
      </c>
      <c r="D4677">
        <v>31</v>
      </c>
      <c r="E4677" t="s">
        <v>20</v>
      </c>
      <c r="F4677" t="s">
        <v>21</v>
      </c>
      <c r="G4677" t="s">
        <v>22</v>
      </c>
      <c r="H4677" s="1">
        <v>44615</v>
      </c>
    </row>
    <row r="4678" spans="1:8">
      <c r="A4678" t="s">
        <v>9352</v>
      </c>
      <c r="B4678" t="s">
        <v>9353</v>
      </c>
      <c r="C4678" t="s">
        <v>10</v>
      </c>
      <c r="D4678">
        <v>59</v>
      </c>
      <c r="E4678" t="s">
        <v>11</v>
      </c>
      <c r="F4678" t="s">
        <v>11</v>
      </c>
      <c r="G4678" t="s">
        <v>12</v>
      </c>
      <c r="H4678" s="1">
        <v>44950</v>
      </c>
    </row>
    <row r="4679" spans="1:8">
      <c r="A4679" t="s">
        <v>9354</v>
      </c>
      <c r="B4679" t="s">
        <v>9355</v>
      </c>
      <c r="C4679" t="s">
        <v>10</v>
      </c>
      <c r="D4679">
        <v>31</v>
      </c>
      <c r="E4679" t="s">
        <v>101</v>
      </c>
      <c r="F4679" t="s">
        <v>21</v>
      </c>
      <c r="G4679" t="s">
        <v>22</v>
      </c>
      <c r="H4679" s="1">
        <v>44753</v>
      </c>
    </row>
    <row r="4680" spans="1:8">
      <c r="A4680" t="s">
        <v>9356</v>
      </c>
      <c r="B4680" t="s">
        <v>9357</v>
      </c>
      <c r="C4680" t="s">
        <v>10</v>
      </c>
      <c r="D4680">
        <v>65</v>
      </c>
      <c r="E4680" t="s">
        <v>149</v>
      </c>
      <c r="F4680" t="s">
        <v>38</v>
      </c>
      <c r="G4680" t="s">
        <v>22</v>
      </c>
      <c r="H4680" s="1">
        <v>45721</v>
      </c>
    </row>
    <row r="4681" spans="1:8">
      <c r="A4681" t="s">
        <v>9358</v>
      </c>
      <c r="B4681" t="s">
        <v>9359</v>
      </c>
      <c r="C4681" t="s">
        <v>31</v>
      </c>
      <c r="D4681">
        <v>49</v>
      </c>
      <c r="E4681" t="s">
        <v>20</v>
      </c>
      <c r="F4681" t="s">
        <v>21</v>
      </c>
      <c r="G4681" t="s">
        <v>22</v>
      </c>
      <c r="H4681" s="1">
        <v>45903</v>
      </c>
    </row>
    <row r="4682" spans="1:8">
      <c r="A4682" t="s">
        <v>9360</v>
      </c>
      <c r="B4682" t="s">
        <v>9361</v>
      </c>
      <c r="C4682" t="s">
        <v>31</v>
      </c>
      <c r="D4682">
        <v>38</v>
      </c>
      <c r="E4682" t="s">
        <v>15</v>
      </c>
      <c r="F4682" t="s">
        <v>16</v>
      </c>
      <c r="G4682" t="s">
        <v>17</v>
      </c>
      <c r="H4682" s="1">
        <v>44613</v>
      </c>
    </row>
    <row r="4683" spans="1:8">
      <c r="A4683" t="s">
        <v>9362</v>
      </c>
      <c r="B4683" t="s">
        <v>9363</v>
      </c>
      <c r="C4683" t="s">
        <v>10</v>
      </c>
      <c r="D4683">
        <v>49</v>
      </c>
      <c r="E4683" t="s">
        <v>91</v>
      </c>
      <c r="F4683" t="s">
        <v>92</v>
      </c>
      <c r="G4683" t="s">
        <v>78</v>
      </c>
      <c r="H4683" s="1">
        <v>45396</v>
      </c>
    </row>
    <row r="4684" spans="1:8">
      <c r="A4684" t="s">
        <v>9364</v>
      </c>
      <c r="B4684" t="s">
        <v>9365</v>
      </c>
      <c r="C4684" t="s">
        <v>10</v>
      </c>
      <c r="D4684">
        <v>48</v>
      </c>
      <c r="E4684" t="s">
        <v>34</v>
      </c>
      <c r="F4684" t="s">
        <v>16</v>
      </c>
      <c r="G4684" t="s">
        <v>17</v>
      </c>
      <c r="H4684" s="1">
        <v>45682</v>
      </c>
    </row>
    <row r="4685" spans="1:8">
      <c r="A4685" t="s">
        <v>9366</v>
      </c>
      <c r="B4685" t="s">
        <v>9367</v>
      </c>
      <c r="C4685" t="s">
        <v>31</v>
      </c>
      <c r="D4685">
        <v>33</v>
      </c>
      <c r="E4685" t="s">
        <v>112</v>
      </c>
      <c r="F4685" t="s">
        <v>113</v>
      </c>
      <c r="G4685" t="s">
        <v>78</v>
      </c>
      <c r="H4685" s="1">
        <v>45087</v>
      </c>
    </row>
    <row r="4686" spans="1:8">
      <c r="A4686" t="s">
        <v>9368</v>
      </c>
      <c r="B4686" t="s">
        <v>9369</v>
      </c>
      <c r="C4686" t="s">
        <v>31</v>
      </c>
      <c r="D4686">
        <v>36</v>
      </c>
      <c r="E4686" t="s">
        <v>101</v>
      </c>
      <c r="F4686" t="s">
        <v>21</v>
      </c>
      <c r="G4686" t="s">
        <v>22</v>
      </c>
      <c r="H4686" s="1">
        <v>45023</v>
      </c>
    </row>
    <row r="4687" spans="1:8">
      <c r="A4687" t="s">
        <v>9370</v>
      </c>
      <c r="B4687" t="s">
        <v>9371</v>
      </c>
      <c r="C4687" t="s">
        <v>31</v>
      </c>
      <c r="D4687">
        <v>27</v>
      </c>
      <c r="E4687" t="s">
        <v>76</v>
      </c>
      <c r="F4687" t="s">
        <v>77</v>
      </c>
      <c r="G4687" t="s">
        <v>78</v>
      </c>
      <c r="H4687" s="1">
        <v>44938</v>
      </c>
    </row>
    <row r="4688" spans="1:8">
      <c r="A4688" t="s">
        <v>9372</v>
      </c>
      <c r="B4688" t="s">
        <v>9373</v>
      </c>
      <c r="C4688" t="s">
        <v>10</v>
      </c>
      <c r="D4688">
        <v>39</v>
      </c>
      <c r="E4688" t="s">
        <v>41</v>
      </c>
      <c r="F4688" t="s">
        <v>42</v>
      </c>
      <c r="G4688" t="s">
        <v>17</v>
      </c>
      <c r="H4688" s="1">
        <v>44593</v>
      </c>
    </row>
    <row r="4689" spans="1:8">
      <c r="A4689" t="s">
        <v>9374</v>
      </c>
      <c r="B4689" t="s">
        <v>9375</v>
      </c>
      <c r="C4689" t="s">
        <v>10</v>
      </c>
      <c r="D4689">
        <v>27</v>
      </c>
      <c r="E4689" t="s">
        <v>218</v>
      </c>
      <c r="F4689" t="s">
        <v>219</v>
      </c>
      <c r="G4689" t="s">
        <v>17</v>
      </c>
      <c r="H4689" s="1">
        <v>45114</v>
      </c>
    </row>
    <row r="4690" spans="1:8">
      <c r="A4690" t="s">
        <v>9376</v>
      </c>
      <c r="B4690" t="s">
        <v>9377</v>
      </c>
      <c r="C4690" t="s">
        <v>31</v>
      </c>
      <c r="D4690">
        <v>37</v>
      </c>
      <c r="E4690" t="s">
        <v>87</v>
      </c>
      <c r="F4690" t="s">
        <v>88</v>
      </c>
      <c r="G4690" t="s">
        <v>78</v>
      </c>
      <c r="H4690" s="1">
        <v>45756</v>
      </c>
    </row>
    <row r="4691" spans="1:8">
      <c r="A4691" t="s">
        <v>9378</v>
      </c>
      <c r="B4691" t="s">
        <v>9379</v>
      </c>
      <c r="C4691" t="s">
        <v>10</v>
      </c>
      <c r="D4691">
        <v>42</v>
      </c>
      <c r="E4691" t="s">
        <v>69</v>
      </c>
      <c r="F4691" t="s">
        <v>69</v>
      </c>
      <c r="G4691" t="s">
        <v>12</v>
      </c>
      <c r="H4691" s="1">
        <v>45533</v>
      </c>
    </row>
    <row r="4692" spans="1:8">
      <c r="A4692" t="s">
        <v>9380</v>
      </c>
      <c r="B4692" t="s">
        <v>9381</v>
      </c>
      <c r="C4692" t="s">
        <v>10</v>
      </c>
      <c r="D4692">
        <v>44</v>
      </c>
      <c r="E4692" t="s">
        <v>63</v>
      </c>
      <c r="F4692" t="s">
        <v>64</v>
      </c>
      <c r="G4692" t="s">
        <v>12</v>
      </c>
      <c r="H4692" s="1">
        <v>45943</v>
      </c>
    </row>
    <row r="4693" spans="1:8">
      <c r="A4693" t="s">
        <v>9382</v>
      </c>
      <c r="B4693" t="s">
        <v>9383</v>
      </c>
      <c r="C4693" t="s">
        <v>10</v>
      </c>
      <c r="D4693">
        <v>32</v>
      </c>
      <c r="E4693" t="s">
        <v>134</v>
      </c>
      <c r="F4693" t="s">
        <v>28</v>
      </c>
      <c r="G4693" t="s">
        <v>12</v>
      </c>
      <c r="H4693" s="1">
        <v>45208</v>
      </c>
    </row>
    <row r="4694" spans="1:8">
      <c r="A4694" t="s">
        <v>9384</v>
      </c>
      <c r="B4694" t="s">
        <v>9385</v>
      </c>
      <c r="C4694" t="s">
        <v>10</v>
      </c>
      <c r="D4694">
        <v>59</v>
      </c>
      <c r="E4694" t="s">
        <v>112</v>
      </c>
      <c r="F4694" t="s">
        <v>113</v>
      </c>
      <c r="G4694" t="s">
        <v>78</v>
      </c>
      <c r="H4694" s="1">
        <v>45399</v>
      </c>
    </row>
    <row r="4695" spans="1:8">
      <c r="A4695" t="s">
        <v>9386</v>
      </c>
      <c r="B4695" t="s">
        <v>9387</v>
      </c>
      <c r="C4695" t="s">
        <v>10</v>
      </c>
      <c r="D4695">
        <v>61</v>
      </c>
      <c r="E4695" t="s">
        <v>37</v>
      </c>
      <c r="F4695" t="s">
        <v>38</v>
      </c>
      <c r="G4695" t="s">
        <v>22</v>
      </c>
      <c r="H4695" s="1">
        <v>45703</v>
      </c>
    </row>
    <row r="4696" spans="1:8">
      <c r="A4696" t="s">
        <v>9388</v>
      </c>
      <c r="B4696" t="s">
        <v>9389</v>
      </c>
      <c r="C4696" t="s">
        <v>31</v>
      </c>
      <c r="D4696">
        <v>55</v>
      </c>
      <c r="E4696" t="s">
        <v>45</v>
      </c>
      <c r="F4696" t="s">
        <v>46</v>
      </c>
      <c r="G4696" t="s">
        <v>17</v>
      </c>
      <c r="H4696" s="1">
        <v>45979</v>
      </c>
    </row>
    <row r="4697" spans="1:8">
      <c r="A4697" t="s">
        <v>9390</v>
      </c>
      <c r="B4697" t="s">
        <v>9391</v>
      </c>
      <c r="C4697" t="s">
        <v>10</v>
      </c>
      <c r="D4697">
        <v>26</v>
      </c>
      <c r="E4697" t="s">
        <v>20</v>
      </c>
      <c r="F4697" t="s">
        <v>21</v>
      </c>
      <c r="G4697" t="s">
        <v>22</v>
      </c>
      <c r="H4697" s="1">
        <v>45344</v>
      </c>
    </row>
    <row r="4698" spans="1:8">
      <c r="A4698" t="s">
        <v>9392</v>
      </c>
      <c r="B4698" t="s">
        <v>9393</v>
      </c>
      <c r="C4698" t="s">
        <v>10</v>
      </c>
      <c r="D4698">
        <v>38</v>
      </c>
      <c r="E4698" t="s">
        <v>218</v>
      </c>
      <c r="F4698" t="s">
        <v>219</v>
      </c>
      <c r="G4698" t="s">
        <v>17</v>
      </c>
      <c r="H4698" s="1">
        <v>45928</v>
      </c>
    </row>
    <row r="4699" spans="1:8">
      <c r="A4699" t="s">
        <v>9394</v>
      </c>
      <c r="B4699" t="s">
        <v>9395</v>
      </c>
      <c r="C4699" t="s">
        <v>10</v>
      </c>
      <c r="D4699">
        <v>28</v>
      </c>
      <c r="E4699" t="s">
        <v>128</v>
      </c>
      <c r="F4699" t="s">
        <v>129</v>
      </c>
      <c r="G4699" t="s">
        <v>78</v>
      </c>
      <c r="H4699" s="1">
        <v>45752</v>
      </c>
    </row>
    <row r="4700" spans="1:8">
      <c r="A4700" t="s">
        <v>9396</v>
      </c>
      <c r="B4700" t="s">
        <v>9397</v>
      </c>
      <c r="C4700" t="s">
        <v>31</v>
      </c>
      <c r="D4700">
        <v>64</v>
      </c>
      <c r="E4700" t="s">
        <v>27</v>
      </c>
      <c r="F4700" t="s">
        <v>28</v>
      </c>
      <c r="G4700" t="s">
        <v>12</v>
      </c>
      <c r="H4700" s="1">
        <v>45390</v>
      </c>
    </row>
    <row r="4701" spans="1:8">
      <c r="A4701" t="s">
        <v>9398</v>
      </c>
      <c r="B4701" t="s">
        <v>9399</v>
      </c>
      <c r="C4701" t="s">
        <v>31</v>
      </c>
      <c r="D4701">
        <v>48</v>
      </c>
      <c r="E4701" t="s">
        <v>27</v>
      </c>
      <c r="F4701" t="s">
        <v>28</v>
      </c>
      <c r="G4701" t="s">
        <v>12</v>
      </c>
      <c r="H4701" s="1">
        <v>45409</v>
      </c>
    </row>
    <row r="4702" spans="1:8">
      <c r="A4702" t="s">
        <v>9400</v>
      </c>
      <c r="B4702" t="s">
        <v>9401</v>
      </c>
      <c r="C4702" t="s">
        <v>31</v>
      </c>
      <c r="D4702">
        <v>26</v>
      </c>
      <c r="E4702" t="s">
        <v>60</v>
      </c>
      <c r="F4702" t="s">
        <v>21</v>
      </c>
      <c r="G4702" t="s">
        <v>22</v>
      </c>
      <c r="H4702" s="1">
        <v>45943</v>
      </c>
    </row>
    <row r="4703" spans="1:8">
      <c r="A4703" t="s">
        <v>9402</v>
      </c>
      <c r="B4703" t="s">
        <v>9403</v>
      </c>
      <c r="C4703" t="s">
        <v>10</v>
      </c>
      <c r="D4703">
        <v>50</v>
      </c>
      <c r="E4703" t="s">
        <v>41</v>
      </c>
      <c r="F4703" t="s">
        <v>42</v>
      </c>
      <c r="G4703" t="s">
        <v>17</v>
      </c>
      <c r="H4703" s="1">
        <v>44682</v>
      </c>
    </row>
    <row r="4704" spans="1:8">
      <c r="A4704" t="s">
        <v>9404</v>
      </c>
      <c r="B4704" t="s">
        <v>9405</v>
      </c>
      <c r="C4704" t="s">
        <v>31</v>
      </c>
      <c r="D4704">
        <v>19</v>
      </c>
      <c r="E4704" t="s">
        <v>37</v>
      </c>
      <c r="F4704" t="s">
        <v>38</v>
      </c>
      <c r="G4704" t="s">
        <v>22</v>
      </c>
      <c r="H4704" s="1">
        <v>45496</v>
      </c>
    </row>
    <row r="4705" spans="1:8">
      <c r="A4705" t="s">
        <v>9406</v>
      </c>
      <c r="B4705" t="s">
        <v>9407</v>
      </c>
      <c r="C4705" t="s">
        <v>10</v>
      </c>
      <c r="D4705">
        <v>54</v>
      </c>
      <c r="E4705" t="s">
        <v>101</v>
      </c>
      <c r="F4705" t="s">
        <v>21</v>
      </c>
      <c r="G4705" t="s">
        <v>22</v>
      </c>
      <c r="H4705" s="1">
        <v>45459</v>
      </c>
    </row>
    <row r="4706" spans="1:8">
      <c r="A4706" t="s">
        <v>9408</v>
      </c>
      <c r="B4706" t="s">
        <v>9409</v>
      </c>
      <c r="C4706" t="s">
        <v>31</v>
      </c>
      <c r="D4706">
        <v>57</v>
      </c>
      <c r="E4706" t="s">
        <v>15</v>
      </c>
      <c r="F4706" t="s">
        <v>16</v>
      </c>
      <c r="G4706" t="s">
        <v>17</v>
      </c>
      <c r="H4706" s="1">
        <v>45566</v>
      </c>
    </row>
    <row r="4707" spans="1:8">
      <c r="A4707" t="s">
        <v>9410</v>
      </c>
      <c r="B4707" t="s">
        <v>9411</v>
      </c>
      <c r="C4707" t="s">
        <v>31</v>
      </c>
      <c r="D4707">
        <v>37</v>
      </c>
      <c r="E4707" t="s">
        <v>76</v>
      </c>
      <c r="F4707" t="s">
        <v>77</v>
      </c>
      <c r="G4707" t="s">
        <v>78</v>
      </c>
      <c r="H4707" s="1">
        <v>44737</v>
      </c>
    </row>
    <row r="4708" spans="1:8">
      <c r="A4708" t="s">
        <v>9412</v>
      </c>
      <c r="B4708" t="s">
        <v>9413</v>
      </c>
      <c r="C4708" t="s">
        <v>10</v>
      </c>
      <c r="D4708">
        <v>43</v>
      </c>
      <c r="E4708" t="s">
        <v>41</v>
      </c>
      <c r="F4708" t="s">
        <v>42</v>
      </c>
      <c r="G4708" t="s">
        <v>17</v>
      </c>
      <c r="H4708" s="1">
        <v>45731</v>
      </c>
    </row>
    <row r="4709" spans="1:8">
      <c r="A4709" t="s">
        <v>9414</v>
      </c>
      <c r="B4709" t="s">
        <v>9415</v>
      </c>
      <c r="C4709" t="s">
        <v>31</v>
      </c>
      <c r="D4709">
        <v>32</v>
      </c>
      <c r="E4709" t="s">
        <v>63</v>
      </c>
      <c r="F4709" t="s">
        <v>64</v>
      </c>
      <c r="G4709" t="s">
        <v>12</v>
      </c>
      <c r="H4709" s="1">
        <v>44966</v>
      </c>
    </row>
    <row r="4710" spans="1:8">
      <c r="A4710" t="s">
        <v>9416</v>
      </c>
      <c r="B4710" t="s">
        <v>9417</v>
      </c>
      <c r="C4710" t="s">
        <v>31</v>
      </c>
      <c r="D4710">
        <v>35</v>
      </c>
      <c r="E4710" t="s">
        <v>45</v>
      </c>
      <c r="F4710" t="s">
        <v>46</v>
      </c>
      <c r="G4710" t="s">
        <v>17</v>
      </c>
      <c r="H4710" s="1">
        <v>45606</v>
      </c>
    </row>
    <row r="4711" spans="1:8">
      <c r="A4711" t="s">
        <v>9418</v>
      </c>
      <c r="B4711" t="s">
        <v>9419</v>
      </c>
      <c r="C4711" t="s">
        <v>10</v>
      </c>
      <c r="D4711">
        <v>25</v>
      </c>
      <c r="E4711" t="s">
        <v>20</v>
      </c>
      <c r="F4711" t="s">
        <v>21</v>
      </c>
      <c r="G4711" t="s">
        <v>22</v>
      </c>
      <c r="H4711" s="1">
        <v>45594</v>
      </c>
    </row>
    <row r="4712" spans="1:8">
      <c r="A4712" t="s">
        <v>9420</v>
      </c>
      <c r="B4712" t="s">
        <v>9421</v>
      </c>
      <c r="C4712" t="s">
        <v>31</v>
      </c>
      <c r="D4712">
        <v>35</v>
      </c>
      <c r="E4712" t="s">
        <v>218</v>
      </c>
      <c r="F4712" t="s">
        <v>219</v>
      </c>
      <c r="G4712" t="s">
        <v>17</v>
      </c>
      <c r="H4712" s="1">
        <v>45402</v>
      </c>
    </row>
    <row r="4713" spans="1:8">
      <c r="A4713" t="s">
        <v>9422</v>
      </c>
      <c r="B4713" t="s">
        <v>9423</v>
      </c>
      <c r="C4713" t="s">
        <v>10</v>
      </c>
      <c r="D4713">
        <v>22</v>
      </c>
      <c r="E4713" t="s">
        <v>101</v>
      </c>
      <c r="F4713" t="s">
        <v>21</v>
      </c>
      <c r="G4713" t="s">
        <v>22</v>
      </c>
      <c r="H4713" s="1">
        <v>44581</v>
      </c>
    </row>
    <row r="4714" spans="1:8">
      <c r="A4714" t="s">
        <v>9424</v>
      </c>
      <c r="B4714" t="s">
        <v>9425</v>
      </c>
      <c r="C4714" t="s">
        <v>10</v>
      </c>
      <c r="D4714">
        <v>18</v>
      </c>
      <c r="E4714" t="s">
        <v>76</v>
      </c>
      <c r="F4714" t="s">
        <v>77</v>
      </c>
      <c r="G4714" t="s">
        <v>78</v>
      </c>
      <c r="H4714" s="1">
        <v>45568</v>
      </c>
    </row>
    <row r="4715" spans="1:8">
      <c r="A4715" t="s">
        <v>9426</v>
      </c>
      <c r="B4715" t="s">
        <v>9427</v>
      </c>
      <c r="C4715" t="s">
        <v>10</v>
      </c>
      <c r="D4715">
        <v>66</v>
      </c>
      <c r="E4715" t="s">
        <v>37</v>
      </c>
      <c r="F4715" t="s">
        <v>38</v>
      </c>
      <c r="G4715" t="s">
        <v>22</v>
      </c>
      <c r="H4715" s="1">
        <v>44565</v>
      </c>
    </row>
    <row r="4716" spans="1:8">
      <c r="A4716" t="s">
        <v>9428</v>
      </c>
      <c r="B4716" t="s">
        <v>9429</v>
      </c>
      <c r="C4716" t="s">
        <v>10</v>
      </c>
      <c r="D4716">
        <v>53</v>
      </c>
      <c r="E4716" t="s">
        <v>15</v>
      </c>
      <c r="F4716" t="s">
        <v>16</v>
      </c>
      <c r="G4716" t="s">
        <v>17</v>
      </c>
      <c r="H4716" s="1">
        <v>44604</v>
      </c>
    </row>
    <row r="4717" spans="1:8">
      <c r="A4717" t="s">
        <v>9430</v>
      </c>
      <c r="B4717" t="s">
        <v>9431</v>
      </c>
      <c r="C4717" t="s">
        <v>31</v>
      </c>
      <c r="D4717">
        <v>47</v>
      </c>
      <c r="E4717" t="s">
        <v>101</v>
      </c>
      <c r="F4717" t="s">
        <v>21</v>
      </c>
      <c r="G4717" t="s">
        <v>22</v>
      </c>
      <c r="H4717" s="1">
        <v>45159</v>
      </c>
    </row>
    <row r="4718" spans="1:8">
      <c r="A4718" t="s">
        <v>9432</v>
      </c>
      <c r="B4718" t="s">
        <v>9433</v>
      </c>
      <c r="C4718" t="s">
        <v>10</v>
      </c>
      <c r="D4718">
        <v>18</v>
      </c>
      <c r="E4718" t="s">
        <v>15</v>
      </c>
      <c r="F4718" t="s">
        <v>16</v>
      </c>
      <c r="G4718" t="s">
        <v>17</v>
      </c>
      <c r="H4718" s="1">
        <v>45815</v>
      </c>
    </row>
    <row r="4719" spans="1:8">
      <c r="A4719" t="s">
        <v>9434</v>
      </c>
      <c r="B4719" t="s">
        <v>9435</v>
      </c>
      <c r="C4719" t="s">
        <v>10</v>
      </c>
      <c r="D4719">
        <v>25</v>
      </c>
      <c r="E4719" t="s">
        <v>60</v>
      </c>
      <c r="F4719" t="s">
        <v>21</v>
      </c>
      <c r="G4719" t="s">
        <v>22</v>
      </c>
      <c r="H4719" s="1">
        <v>45725</v>
      </c>
    </row>
    <row r="4720" spans="1:8">
      <c r="A4720" t="s">
        <v>9436</v>
      </c>
      <c r="B4720" t="s">
        <v>9437</v>
      </c>
      <c r="C4720" t="s">
        <v>10</v>
      </c>
      <c r="D4720">
        <v>55</v>
      </c>
      <c r="E4720" t="s">
        <v>41</v>
      </c>
      <c r="F4720" t="s">
        <v>42</v>
      </c>
      <c r="G4720" t="s">
        <v>17</v>
      </c>
      <c r="H4720" s="1">
        <v>44567</v>
      </c>
    </row>
    <row r="4721" spans="1:8">
      <c r="A4721" t="s">
        <v>9438</v>
      </c>
      <c r="B4721" t="s">
        <v>9439</v>
      </c>
      <c r="C4721" t="s">
        <v>10</v>
      </c>
      <c r="D4721">
        <v>70</v>
      </c>
      <c r="E4721" t="s">
        <v>87</v>
      </c>
      <c r="F4721" t="s">
        <v>88</v>
      </c>
      <c r="G4721" t="s">
        <v>78</v>
      </c>
      <c r="H4721" s="1">
        <v>45349</v>
      </c>
    </row>
    <row r="4722" spans="1:8">
      <c r="A4722" t="s">
        <v>9440</v>
      </c>
      <c r="B4722" t="s">
        <v>9441</v>
      </c>
      <c r="C4722" t="s">
        <v>31</v>
      </c>
      <c r="D4722">
        <v>65</v>
      </c>
      <c r="E4722" t="s">
        <v>41</v>
      </c>
      <c r="F4722" t="s">
        <v>42</v>
      </c>
      <c r="G4722" t="s">
        <v>17</v>
      </c>
      <c r="H4722" s="1">
        <v>44974</v>
      </c>
    </row>
    <row r="4723" spans="1:8">
      <c r="A4723" t="s">
        <v>9442</v>
      </c>
      <c r="B4723" t="s">
        <v>9443</v>
      </c>
      <c r="C4723" t="s">
        <v>31</v>
      </c>
      <c r="D4723">
        <v>65</v>
      </c>
      <c r="E4723" t="s">
        <v>128</v>
      </c>
      <c r="F4723" t="s">
        <v>129</v>
      </c>
      <c r="G4723" t="s">
        <v>78</v>
      </c>
      <c r="H4723" s="1">
        <v>45744</v>
      </c>
    </row>
    <row r="4724" spans="1:8">
      <c r="A4724" t="s">
        <v>9444</v>
      </c>
      <c r="B4724" t="s">
        <v>9445</v>
      </c>
      <c r="C4724" t="s">
        <v>10</v>
      </c>
      <c r="D4724">
        <v>52</v>
      </c>
      <c r="E4724" t="s">
        <v>11</v>
      </c>
      <c r="F4724" t="s">
        <v>11</v>
      </c>
      <c r="G4724" t="s">
        <v>12</v>
      </c>
      <c r="H4724" s="1">
        <v>45357</v>
      </c>
    </row>
    <row r="4725" spans="1:8">
      <c r="A4725" t="s">
        <v>9446</v>
      </c>
      <c r="B4725" t="s">
        <v>9447</v>
      </c>
      <c r="C4725" t="s">
        <v>10</v>
      </c>
      <c r="D4725">
        <v>53</v>
      </c>
      <c r="E4725" t="s">
        <v>134</v>
      </c>
      <c r="F4725" t="s">
        <v>28</v>
      </c>
      <c r="G4725" t="s">
        <v>12</v>
      </c>
      <c r="H4725" s="1">
        <v>45176</v>
      </c>
    </row>
    <row r="4726" spans="1:8">
      <c r="A4726" t="s">
        <v>9448</v>
      </c>
      <c r="B4726" t="s">
        <v>9449</v>
      </c>
      <c r="C4726" t="s">
        <v>10</v>
      </c>
      <c r="D4726">
        <v>20</v>
      </c>
      <c r="E4726" t="s">
        <v>37</v>
      </c>
      <c r="F4726" t="s">
        <v>38</v>
      </c>
      <c r="G4726" t="s">
        <v>22</v>
      </c>
      <c r="H4726" s="1">
        <v>45357</v>
      </c>
    </row>
    <row r="4727" spans="1:8">
      <c r="A4727" t="s">
        <v>9450</v>
      </c>
      <c r="B4727" t="s">
        <v>9451</v>
      </c>
      <c r="C4727" t="s">
        <v>31</v>
      </c>
      <c r="D4727">
        <v>61</v>
      </c>
      <c r="E4727" t="s">
        <v>218</v>
      </c>
      <c r="F4727" t="s">
        <v>219</v>
      </c>
      <c r="G4727" t="s">
        <v>17</v>
      </c>
      <c r="H4727" s="1">
        <v>45769</v>
      </c>
    </row>
    <row r="4728" spans="1:8">
      <c r="A4728" t="s">
        <v>9452</v>
      </c>
      <c r="B4728" t="s">
        <v>9453</v>
      </c>
      <c r="C4728" t="s">
        <v>10</v>
      </c>
      <c r="D4728">
        <v>64</v>
      </c>
      <c r="E4728" t="s">
        <v>41</v>
      </c>
      <c r="F4728" t="s">
        <v>42</v>
      </c>
      <c r="G4728" t="s">
        <v>17</v>
      </c>
      <c r="H4728" s="1">
        <v>44805</v>
      </c>
    </row>
    <row r="4729" spans="1:8">
      <c r="A4729" t="s">
        <v>9454</v>
      </c>
      <c r="B4729" t="s">
        <v>9455</v>
      </c>
      <c r="C4729" t="s">
        <v>10</v>
      </c>
      <c r="D4729">
        <v>51</v>
      </c>
      <c r="E4729" t="s">
        <v>112</v>
      </c>
      <c r="F4729" t="s">
        <v>113</v>
      </c>
      <c r="G4729" t="s">
        <v>78</v>
      </c>
      <c r="H4729" s="1">
        <v>44730</v>
      </c>
    </row>
    <row r="4730" spans="1:8">
      <c r="A4730" t="s">
        <v>9456</v>
      </c>
      <c r="B4730" t="s">
        <v>9457</v>
      </c>
      <c r="C4730" t="s">
        <v>31</v>
      </c>
      <c r="D4730">
        <v>62</v>
      </c>
      <c r="E4730" t="s">
        <v>91</v>
      </c>
      <c r="F4730" t="s">
        <v>92</v>
      </c>
      <c r="G4730" t="s">
        <v>78</v>
      </c>
      <c r="H4730" s="1">
        <v>44751</v>
      </c>
    </row>
    <row r="4731" spans="1:8">
      <c r="A4731" t="s">
        <v>9458</v>
      </c>
      <c r="B4731" t="s">
        <v>9459</v>
      </c>
      <c r="C4731" t="s">
        <v>31</v>
      </c>
      <c r="D4731">
        <v>27</v>
      </c>
      <c r="E4731" t="s">
        <v>218</v>
      </c>
      <c r="F4731" t="s">
        <v>219</v>
      </c>
      <c r="G4731" t="s">
        <v>17</v>
      </c>
      <c r="H4731" s="1">
        <v>44851</v>
      </c>
    </row>
    <row r="4732" spans="1:8">
      <c r="A4732" t="s">
        <v>9460</v>
      </c>
      <c r="B4732" t="s">
        <v>9461</v>
      </c>
      <c r="C4732" t="s">
        <v>31</v>
      </c>
      <c r="D4732">
        <v>69</v>
      </c>
      <c r="E4732" t="s">
        <v>76</v>
      </c>
      <c r="F4732" t="s">
        <v>77</v>
      </c>
      <c r="G4732" t="s">
        <v>78</v>
      </c>
      <c r="H4732" s="1">
        <v>45864</v>
      </c>
    </row>
    <row r="4733" spans="1:8">
      <c r="A4733" t="s">
        <v>9462</v>
      </c>
      <c r="B4733" t="s">
        <v>9463</v>
      </c>
      <c r="C4733" t="s">
        <v>31</v>
      </c>
      <c r="D4733">
        <v>31</v>
      </c>
      <c r="E4733" t="s">
        <v>87</v>
      </c>
      <c r="F4733" t="s">
        <v>88</v>
      </c>
      <c r="G4733" t="s">
        <v>78</v>
      </c>
      <c r="H4733" s="1">
        <v>44702</v>
      </c>
    </row>
    <row r="4734" spans="1:8">
      <c r="A4734" t="s">
        <v>9464</v>
      </c>
      <c r="B4734" t="s">
        <v>9465</v>
      </c>
      <c r="C4734" t="s">
        <v>31</v>
      </c>
      <c r="D4734">
        <v>44</v>
      </c>
      <c r="E4734" t="s">
        <v>101</v>
      </c>
      <c r="F4734" t="s">
        <v>21</v>
      </c>
      <c r="G4734" t="s">
        <v>22</v>
      </c>
      <c r="H4734" s="1">
        <v>45130</v>
      </c>
    </row>
    <row r="4735" spans="1:8">
      <c r="A4735" t="s">
        <v>9466</v>
      </c>
      <c r="B4735" t="s">
        <v>9467</v>
      </c>
      <c r="C4735" t="s">
        <v>31</v>
      </c>
      <c r="D4735">
        <v>36</v>
      </c>
      <c r="E4735" t="s">
        <v>45</v>
      </c>
      <c r="F4735" t="s">
        <v>46</v>
      </c>
      <c r="G4735" t="s">
        <v>17</v>
      </c>
      <c r="H4735" s="1">
        <v>45330</v>
      </c>
    </row>
    <row r="4736" spans="1:8">
      <c r="A4736" t="s">
        <v>9468</v>
      </c>
      <c r="B4736" t="s">
        <v>9469</v>
      </c>
      <c r="C4736" t="s">
        <v>31</v>
      </c>
      <c r="D4736">
        <v>46</v>
      </c>
      <c r="E4736" t="s">
        <v>134</v>
      </c>
      <c r="F4736" t="s">
        <v>28</v>
      </c>
      <c r="G4736" t="s">
        <v>12</v>
      </c>
      <c r="H4736" s="1">
        <v>45390</v>
      </c>
    </row>
    <row r="4737" spans="1:8">
      <c r="A4737" t="s">
        <v>9470</v>
      </c>
      <c r="B4737" t="s">
        <v>9471</v>
      </c>
      <c r="C4737" t="s">
        <v>10</v>
      </c>
      <c r="D4737">
        <v>53</v>
      </c>
      <c r="E4737" t="s">
        <v>15</v>
      </c>
      <c r="F4737" t="s">
        <v>16</v>
      </c>
      <c r="G4737" t="s">
        <v>17</v>
      </c>
      <c r="H4737" s="1">
        <v>44757</v>
      </c>
    </row>
    <row r="4738" spans="1:8">
      <c r="A4738" t="s">
        <v>9472</v>
      </c>
      <c r="B4738" t="s">
        <v>9473</v>
      </c>
      <c r="C4738" t="s">
        <v>10</v>
      </c>
      <c r="D4738">
        <v>62</v>
      </c>
      <c r="E4738" t="s">
        <v>15</v>
      </c>
      <c r="F4738" t="s">
        <v>16</v>
      </c>
      <c r="G4738" t="s">
        <v>17</v>
      </c>
      <c r="H4738" s="1">
        <v>44847</v>
      </c>
    </row>
    <row r="4739" spans="1:8">
      <c r="A4739" t="s">
        <v>9474</v>
      </c>
      <c r="B4739" t="s">
        <v>9475</v>
      </c>
      <c r="C4739" t="s">
        <v>10</v>
      </c>
      <c r="D4739">
        <v>50</v>
      </c>
      <c r="E4739" t="s">
        <v>101</v>
      </c>
      <c r="F4739" t="s">
        <v>21</v>
      </c>
      <c r="G4739" t="s">
        <v>22</v>
      </c>
      <c r="H4739" s="1">
        <v>45898</v>
      </c>
    </row>
    <row r="4740" spans="1:8">
      <c r="A4740" t="s">
        <v>9476</v>
      </c>
      <c r="B4740" t="s">
        <v>9477</v>
      </c>
      <c r="C4740" t="s">
        <v>10</v>
      </c>
      <c r="D4740">
        <v>43</v>
      </c>
      <c r="E4740" t="s">
        <v>37</v>
      </c>
      <c r="F4740" t="s">
        <v>38</v>
      </c>
      <c r="G4740" t="s">
        <v>22</v>
      </c>
      <c r="H4740" s="1">
        <v>44564</v>
      </c>
    </row>
    <row r="4741" spans="1:8">
      <c r="A4741" t="s">
        <v>9478</v>
      </c>
      <c r="B4741" t="s">
        <v>9479</v>
      </c>
      <c r="C4741" t="s">
        <v>10</v>
      </c>
      <c r="D4741">
        <v>49</v>
      </c>
      <c r="E4741" t="s">
        <v>218</v>
      </c>
      <c r="F4741" t="s">
        <v>219</v>
      </c>
      <c r="G4741" t="s">
        <v>17</v>
      </c>
      <c r="H4741" s="1">
        <v>45271</v>
      </c>
    </row>
    <row r="4742" spans="1:8">
      <c r="A4742" t="s">
        <v>9480</v>
      </c>
      <c r="B4742" t="s">
        <v>9481</v>
      </c>
      <c r="C4742" t="s">
        <v>31</v>
      </c>
      <c r="D4742">
        <v>32</v>
      </c>
      <c r="E4742" t="s">
        <v>45</v>
      </c>
      <c r="F4742" t="s">
        <v>46</v>
      </c>
      <c r="G4742" t="s">
        <v>17</v>
      </c>
      <c r="H4742" s="1">
        <v>44840</v>
      </c>
    </row>
    <row r="4743" spans="1:8">
      <c r="A4743" t="s">
        <v>9482</v>
      </c>
      <c r="B4743" t="s">
        <v>9483</v>
      </c>
      <c r="C4743" t="s">
        <v>10</v>
      </c>
      <c r="D4743">
        <v>44</v>
      </c>
      <c r="E4743" t="s">
        <v>134</v>
      </c>
      <c r="F4743" t="s">
        <v>28</v>
      </c>
      <c r="G4743" t="s">
        <v>12</v>
      </c>
      <c r="H4743" s="1">
        <v>45866</v>
      </c>
    </row>
    <row r="4744" spans="1:8">
      <c r="A4744" t="s">
        <v>9484</v>
      </c>
      <c r="B4744" t="s">
        <v>9485</v>
      </c>
      <c r="C4744" t="s">
        <v>31</v>
      </c>
      <c r="D4744">
        <v>19</v>
      </c>
      <c r="E4744" t="s">
        <v>101</v>
      </c>
      <c r="F4744" t="s">
        <v>21</v>
      </c>
      <c r="G4744" t="s">
        <v>22</v>
      </c>
      <c r="H4744" s="1">
        <v>45267</v>
      </c>
    </row>
    <row r="4745" spans="1:8">
      <c r="A4745" t="s">
        <v>9486</v>
      </c>
      <c r="B4745" t="s">
        <v>9487</v>
      </c>
      <c r="C4745" t="s">
        <v>10</v>
      </c>
      <c r="D4745">
        <v>67</v>
      </c>
      <c r="E4745" t="s">
        <v>15</v>
      </c>
      <c r="F4745" t="s">
        <v>16</v>
      </c>
      <c r="G4745" t="s">
        <v>17</v>
      </c>
      <c r="H4745" s="1">
        <v>44888</v>
      </c>
    </row>
    <row r="4746" spans="1:8">
      <c r="A4746" t="s">
        <v>9488</v>
      </c>
      <c r="B4746" t="s">
        <v>9489</v>
      </c>
      <c r="C4746" t="s">
        <v>31</v>
      </c>
      <c r="D4746">
        <v>24</v>
      </c>
      <c r="E4746" t="s">
        <v>101</v>
      </c>
      <c r="F4746" t="s">
        <v>21</v>
      </c>
      <c r="G4746" t="s">
        <v>22</v>
      </c>
      <c r="H4746" s="1">
        <v>45691</v>
      </c>
    </row>
    <row r="4747" spans="1:8">
      <c r="A4747" t="s">
        <v>9490</v>
      </c>
      <c r="B4747" t="s">
        <v>9491</v>
      </c>
      <c r="C4747" t="s">
        <v>10</v>
      </c>
      <c r="D4747">
        <v>68</v>
      </c>
      <c r="E4747" t="s">
        <v>149</v>
      </c>
      <c r="F4747" t="s">
        <v>38</v>
      </c>
      <c r="G4747" t="s">
        <v>22</v>
      </c>
      <c r="H4747" s="1">
        <v>44704</v>
      </c>
    </row>
    <row r="4748" spans="1:8">
      <c r="A4748" t="s">
        <v>9492</v>
      </c>
      <c r="B4748" t="s">
        <v>9493</v>
      </c>
      <c r="C4748" t="s">
        <v>10</v>
      </c>
      <c r="D4748">
        <v>36</v>
      </c>
      <c r="E4748" t="s">
        <v>134</v>
      </c>
      <c r="F4748" t="s">
        <v>28</v>
      </c>
      <c r="G4748" t="s">
        <v>12</v>
      </c>
      <c r="H4748" s="1">
        <v>45270</v>
      </c>
    </row>
    <row r="4749" spans="1:8">
      <c r="A4749" t="s">
        <v>9494</v>
      </c>
      <c r="B4749" t="s">
        <v>9495</v>
      </c>
      <c r="C4749" t="s">
        <v>10</v>
      </c>
      <c r="D4749">
        <v>21</v>
      </c>
      <c r="E4749" t="s">
        <v>69</v>
      </c>
      <c r="F4749" t="s">
        <v>69</v>
      </c>
      <c r="G4749" t="s">
        <v>12</v>
      </c>
      <c r="H4749" s="1">
        <v>44796</v>
      </c>
    </row>
    <row r="4750" spans="1:8">
      <c r="A4750" t="s">
        <v>9496</v>
      </c>
      <c r="B4750" t="s">
        <v>9497</v>
      </c>
      <c r="C4750" t="s">
        <v>10</v>
      </c>
      <c r="D4750">
        <v>34</v>
      </c>
      <c r="E4750" t="s">
        <v>101</v>
      </c>
      <c r="F4750" t="s">
        <v>21</v>
      </c>
      <c r="G4750" t="s">
        <v>22</v>
      </c>
      <c r="H4750" s="1">
        <v>45010</v>
      </c>
    </row>
    <row r="4751" spans="1:8">
      <c r="A4751" t="s">
        <v>9498</v>
      </c>
      <c r="B4751" t="s">
        <v>9499</v>
      </c>
      <c r="C4751" t="s">
        <v>10</v>
      </c>
      <c r="D4751">
        <v>26</v>
      </c>
      <c r="E4751" t="s">
        <v>20</v>
      </c>
      <c r="F4751" t="s">
        <v>21</v>
      </c>
      <c r="G4751" t="s">
        <v>22</v>
      </c>
      <c r="H4751" s="1">
        <v>44672</v>
      </c>
    </row>
    <row r="4752" spans="1:8">
      <c r="A4752" t="s">
        <v>9500</v>
      </c>
      <c r="B4752" t="s">
        <v>9501</v>
      </c>
      <c r="C4752" t="s">
        <v>31</v>
      </c>
      <c r="D4752">
        <v>23</v>
      </c>
      <c r="E4752" t="s">
        <v>60</v>
      </c>
      <c r="F4752" t="s">
        <v>21</v>
      </c>
      <c r="G4752" t="s">
        <v>22</v>
      </c>
      <c r="H4752" s="1">
        <v>44855</v>
      </c>
    </row>
    <row r="4753" spans="1:8">
      <c r="A4753" t="s">
        <v>9502</v>
      </c>
      <c r="B4753" t="s">
        <v>183</v>
      </c>
      <c r="C4753" t="s">
        <v>10</v>
      </c>
      <c r="D4753">
        <v>54</v>
      </c>
      <c r="E4753" t="s">
        <v>34</v>
      </c>
      <c r="F4753" t="s">
        <v>16</v>
      </c>
      <c r="G4753" t="s">
        <v>17</v>
      </c>
      <c r="H4753" s="1">
        <v>44972</v>
      </c>
    </row>
    <row r="4754" spans="1:8">
      <c r="A4754" t="s">
        <v>9503</v>
      </c>
      <c r="B4754" t="s">
        <v>9504</v>
      </c>
      <c r="C4754" t="s">
        <v>31</v>
      </c>
      <c r="D4754">
        <v>23</v>
      </c>
      <c r="E4754" t="s">
        <v>69</v>
      </c>
      <c r="F4754" t="s">
        <v>69</v>
      </c>
      <c r="G4754" t="s">
        <v>12</v>
      </c>
      <c r="H4754" s="1">
        <v>44702</v>
      </c>
    </row>
    <row r="4755" spans="1:8">
      <c r="A4755" t="s">
        <v>9505</v>
      </c>
      <c r="B4755" t="s">
        <v>9506</v>
      </c>
      <c r="C4755" t="s">
        <v>31</v>
      </c>
      <c r="D4755">
        <v>18</v>
      </c>
      <c r="E4755" t="s">
        <v>45</v>
      </c>
      <c r="F4755" t="s">
        <v>46</v>
      </c>
      <c r="G4755" t="s">
        <v>17</v>
      </c>
      <c r="H4755" s="1">
        <v>45652</v>
      </c>
    </row>
    <row r="4756" spans="1:8">
      <c r="A4756" t="s">
        <v>9507</v>
      </c>
      <c r="B4756" t="s">
        <v>9508</v>
      </c>
      <c r="C4756" t="s">
        <v>31</v>
      </c>
      <c r="D4756">
        <v>32</v>
      </c>
      <c r="E4756" t="s">
        <v>149</v>
      </c>
      <c r="F4756" t="s">
        <v>38</v>
      </c>
      <c r="G4756" t="s">
        <v>22</v>
      </c>
      <c r="H4756" s="1">
        <v>45453</v>
      </c>
    </row>
    <row r="4757" spans="1:8">
      <c r="A4757" t="s">
        <v>9509</v>
      </c>
      <c r="B4757" t="s">
        <v>9510</v>
      </c>
      <c r="C4757" t="s">
        <v>31</v>
      </c>
      <c r="D4757">
        <v>64</v>
      </c>
      <c r="E4757" t="s">
        <v>91</v>
      </c>
      <c r="F4757" t="s">
        <v>92</v>
      </c>
      <c r="G4757" t="s">
        <v>78</v>
      </c>
      <c r="H4757" s="1">
        <v>45201</v>
      </c>
    </row>
    <row r="4758" spans="1:8">
      <c r="A4758" t="s">
        <v>9511</v>
      </c>
      <c r="B4758" t="s">
        <v>9512</v>
      </c>
      <c r="C4758" t="s">
        <v>10</v>
      </c>
      <c r="D4758">
        <v>27</v>
      </c>
      <c r="E4758" t="s">
        <v>45</v>
      </c>
      <c r="F4758" t="s">
        <v>46</v>
      </c>
      <c r="G4758" t="s">
        <v>17</v>
      </c>
      <c r="H4758" s="1">
        <v>45903</v>
      </c>
    </row>
    <row r="4759" spans="1:8">
      <c r="A4759" t="s">
        <v>9513</v>
      </c>
      <c r="B4759" t="s">
        <v>9514</v>
      </c>
      <c r="C4759" t="s">
        <v>31</v>
      </c>
      <c r="D4759">
        <v>42</v>
      </c>
      <c r="E4759" t="s">
        <v>112</v>
      </c>
      <c r="F4759" t="s">
        <v>113</v>
      </c>
      <c r="G4759" t="s">
        <v>78</v>
      </c>
      <c r="H4759" s="1">
        <v>45010</v>
      </c>
    </row>
    <row r="4760" spans="1:8">
      <c r="A4760" t="s">
        <v>9515</v>
      </c>
      <c r="B4760" t="s">
        <v>9516</v>
      </c>
      <c r="C4760" t="s">
        <v>10</v>
      </c>
      <c r="D4760">
        <v>39</v>
      </c>
      <c r="E4760" t="s">
        <v>87</v>
      </c>
      <c r="F4760" t="s">
        <v>88</v>
      </c>
      <c r="G4760" t="s">
        <v>78</v>
      </c>
      <c r="H4760" s="1">
        <v>44781</v>
      </c>
    </row>
    <row r="4761" spans="1:8">
      <c r="A4761" t="s">
        <v>9517</v>
      </c>
      <c r="B4761" t="s">
        <v>9518</v>
      </c>
      <c r="C4761" t="s">
        <v>10</v>
      </c>
      <c r="D4761">
        <v>64</v>
      </c>
      <c r="E4761" t="s">
        <v>45</v>
      </c>
      <c r="F4761" t="s">
        <v>46</v>
      </c>
      <c r="G4761" t="s">
        <v>17</v>
      </c>
      <c r="H4761" s="1">
        <v>45584</v>
      </c>
    </row>
    <row r="4762" spans="1:8">
      <c r="A4762" t="s">
        <v>9519</v>
      </c>
      <c r="B4762" t="s">
        <v>9520</v>
      </c>
      <c r="C4762" t="s">
        <v>10</v>
      </c>
      <c r="D4762">
        <v>40</v>
      </c>
      <c r="E4762" t="s">
        <v>101</v>
      </c>
      <c r="F4762" t="s">
        <v>21</v>
      </c>
      <c r="G4762" t="s">
        <v>22</v>
      </c>
      <c r="H4762" s="1">
        <v>45093</v>
      </c>
    </row>
    <row r="4763" spans="1:8">
      <c r="A4763" t="s">
        <v>9521</v>
      </c>
      <c r="B4763" t="s">
        <v>9522</v>
      </c>
      <c r="C4763" t="s">
        <v>31</v>
      </c>
      <c r="D4763">
        <v>44</v>
      </c>
      <c r="E4763" t="s">
        <v>149</v>
      </c>
      <c r="F4763" t="s">
        <v>38</v>
      </c>
      <c r="G4763" t="s">
        <v>22</v>
      </c>
      <c r="H4763" s="1">
        <v>44732</v>
      </c>
    </row>
    <row r="4764" spans="1:8">
      <c r="A4764" t="s">
        <v>9523</v>
      </c>
      <c r="B4764" t="s">
        <v>9524</v>
      </c>
      <c r="C4764" t="s">
        <v>10</v>
      </c>
      <c r="D4764">
        <v>65</v>
      </c>
      <c r="E4764" t="s">
        <v>101</v>
      </c>
      <c r="F4764" t="s">
        <v>21</v>
      </c>
      <c r="G4764" t="s">
        <v>22</v>
      </c>
      <c r="H4764" s="1">
        <v>45212</v>
      </c>
    </row>
    <row r="4765" spans="1:8">
      <c r="A4765" t="s">
        <v>9525</v>
      </c>
      <c r="B4765" t="s">
        <v>9526</v>
      </c>
      <c r="C4765" t="s">
        <v>10</v>
      </c>
      <c r="D4765">
        <v>43</v>
      </c>
      <c r="E4765" t="s">
        <v>69</v>
      </c>
      <c r="F4765" t="s">
        <v>69</v>
      </c>
      <c r="G4765" t="s">
        <v>12</v>
      </c>
      <c r="H4765" s="1">
        <v>45930</v>
      </c>
    </row>
    <row r="4766" spans="1:8">
      <c r="A4766" t="s">
        <v>9527</v>
      </c>
      <c r="B4766" t="s">
        <v>9528</v>
      </c>
      <c r="C4766" t="s">
        <v>31</v>
      </c>
      <c r="D4766">
        <v>44</v>
      </c>
      <c r="E4766" t="s">
        <v>20</v>
      </c>
      <c r="F4766" t="s">
        <v>21</v>
      </c>
      <c r="G4766" t="s">
        <v>22</v>
      </c>
      <c r="H4766" s="1">
        <v>45605</v>
      </c>
    </row>
    <row r="4767" spans="1:8">
      <c r="A4767" t="s">
        <v>9529</v>
      </c>
      <c r="B4767" t="s">
        <v>9530</v>
      </c>
      <c r="C4767" t="s">
        <v>31</v>
      </c>
      <c r="D4767">
        <v>27</v>
      </c>
      <c r="E4767" t="s">
        <v>69</v>
      </c>
      <c r="F4767" t="s">
        <v>69</v>
      </c>
      <c r="G4767" t="s">
        <v>12</v>
      </c>
      <c r="H4767" s="1">
        <v>45281</v>
      </c>
    </row>
    <row r="4768" spans="1:8">
      <c r="A4768" t="s">
        <v>9531</v>
      </c>
      <c r="B4768" t="s">
        <v>9532</v>
      </c>
      <c r="C4768" t="s">
        <v>31</v>
      </c>
      <c r="D4768">
        <v>44</v>
      </c>
      <c r="E4768" t="s">
        <v>91</v>
      </c>
      <c r="F4768" t="s">
        <v>92</v>
      </c>
      <c r="G4768" t="s">
        <v>78</v>
      </c>
      <c r="H4768" s="1">
        <v>44718</v>
      </c>
    </row>
    <row r="4769" spans="1:8">
      <c r="A4769" t="s">
        <v>9533</v>
      </c>
      <c r="B4769" t="s">
        <v>9534</v>
      </c>
      <c r="C4769" t="s">
        <v>31</v>
      </c>
      <c r="D4769">
        <v>68</v>
      </c>
      <c r="E4769" t="s">
        <v>112</v>
      </c>
      <c r="F4769" t="s">
        <v>113</v>
      </c>
      <c r="G4769" t="s">
        <v>78</v>
      </c>
      <c r="H4769" s="1">
        <v>45607</v>
      </c>
    </row>
    <row r="4770" spans="1:8">
      <c r="A4770" t="s">
        <v>9535</v>
      </c>
      <c r="B4770" t="s">
        <v>9536</v>
      </c>
      <c r="C4770" t="s">
        <v>10</v>
      </c>
      <c r="D4770">
        <v>60</v>
      </c>
      <c r="E4770" t="s">
        <v>69</v>
      </c>
      <c r="F4770" t="s">
        <v>69</v>
      </c>
      <c r="G4770" t="s">
        <v>12</v>
      </c>
      <c r="H4770" s="1">
        <v>45518</v>
      </c>
    </row>
    <row r="4771" spans="1:8">
      <c r="A4771" t="s">
        <v>9537</v>
      </c>
      <c r="B4771" t="s">
        <v>9538</v>
      </c>
      <c r="C4771" t="s">
        <v>10</v>
      </c>
      <c r="D4771">
        <v>41</v>
      </c>
      <c r="E4771" t="s">
        <v>15</v>
      </c>
      <c r="F4771" t="s">
        <v>16</v>
      </c>
      <c r="G4771" t="s">
        <v>17</v>
      </c>
      <c r="H4771" s="1">
        <v>45870</v>
      </c>
    </row>
    <row r="4772" spans="1:8">
      <c r="A4772" t="s">
        <v>9539</v>
      </c>
      <c r="B4772" t="s">
        <v>9540</v>
      </c>
      <c r="C4772" t="s">
        <v>31</v>
      </c>
      <c r="D4772">
        <v>50</v>
      </c>
      <c r="E4772" t="s">
        <v>41</v>
      </c>
      <c r="F4772" t="s">
        <v>42</v>
      </c>
      <c r="G4772" t="s">
        <v>17</v>
      </c>
      <c r="H4772" s="1">
        <v>44784</v>
      </c>
    </row>
    <row r="4773" spans="1:8">
      <c r="A4773" t="s">
        <v>9541</v>
      </c>
      <c r="B4773" t="s">
        <v>9542</v>
      </c>
      <c r="C4773" t="s">
        <v>10</v>
      </c>
      <c r="D4773">
        <v>33</v>
      </c>
      <c r="E4773" t="s">
        <v>37</v>
      </c>
      <c r="F4773" t="s">
        <v>38</v>
      </c>
      <c r="G4773" t="s">
        <v>22</v>
      </c>
      <c r="H4773" s="1">
        <v>44860</v>
      </c>
    </row>
    <row r="4774" spans="1:8">
      <c r="A4774" t="s">
        <v>9543</v>
      </c>
      <c r="B4774" t="s">
        <v>9544</v>
      </c>
      <c r="C4774" t="s">
        <v>31</v>
      </c>
      <c r="D4774">
        <v>21</v>
      </c>
      <c r="E4774" t="s">
        <v>37</v>
      </c>
      <c r="F4774" t="s">
        <v>38</v>
      </c>
      <c r="G4774" t="s">
        <v>22</v>
      </c>
      <c r="H4774" s="1">
        <v>44991</v>
      </c>
    </row>
    <row r="4775" spans="1:8">
      <c r="A4775" t="s">
        <v>9545</v>
      </c>
      <c r="B4775" t="s">
        <v>9546</v>
      </c>
      <c r="C4775" t="s">
        <v>10</v>
      </c>
      <c r="D4775">
        <v>25</v>
      </c>
      <c r="E4775" t="s">
        <v>149</v>
      </c>
      <c r="F4775" t="s">
        <v>38</v>
      </c>
      <c r="G4775" t="s">
        <v>22</v>
      </c>
      <c r="H4775" s="1">
        <v>45336</v>
      </c>
    </row>
    <row r="4776" spans="1:8">
      <c r="A4776" t="s">
        <v>9547</v>
      </c>
      <c r="B4776" t="s">
        <v>9548</v>
      </c>
      <c r="C4776" t="s">
        <v>31</v>
      </c>
      <c r="D4776">
        <v>34</v>
      </c>
      <c r="E4776" t="s">
        <v>45</v>
      </c>
      <c r="F4776" t="s">
        <v>46</v>
      </c>
      <c r="G4776" t="s">
        <v>17</v>
      </c>
      <c r="H4776" s="1">
        <v>45866</v>
      </c>
    </row>
    <row r="4777" spans="1:8">
      <c r="A4777" t="s">
        <v>9549</v>
      </c>
      <c r="B4777" t="s">
        <v>9550</v>
      </c>
      <c r="C4777" t="s">
        <v>31</v>
      </c>
      <c r="D4777">
        <v>34</v>
      </c>
      <c r="E4777" t="s">
        <v>134</v>
      </c>
      <c r="F4777" t="s">
        <v>28</v>
      </c>
      <c r="G4777" t="s">
        <v>12</v>
      </c>
      <c r="H4777" s="1">
        <v>44897</v>
      </c>
    </row>
    <row r="4778" spans="1:8">
      <c r="A4778" t="s">
        <v>9551</v>
      </c>
      <c r="B4778" t="s">
        <v>9552</v>
      </c>
      <c r="C4778" t="s">
        <v>31</v>
      </c>
      <c r="D4778">
        <v>60</v>
      </c>
      <c r="E4778" t="s">
        <v>101</v>
      </c>
      <c r="F4778" t="s">
        <v>21</v>
      </c>
      <c r="G4778" t="s">
        <v>22</v>
      </c>
      <c r="H4778" s="1">
        <v>44597</v>
      </c>
    </row>
    <row r="4779" spans="1:8">
      <c r="A4779" t="s">
        <v>9553</v>
      </c>
      <c r="B4779" t="s">
        <v>9554</v>
      </c>
      <c r="C4779" t="s">
        <v>10</v>
      </c>
      <c r="D4779">
        <v>67</v>
      </c>
      <c r="E4779" t="s">
        <v>134</v>
      </c>
      <c r="F4779" t="s">
        <v>28</v>
      </c>
      <c r="G4779" t="s">
        <v>12</v>
      </c>
      <c r="H4779" s="1">
        <v>45878</v>
      </c>
    </row>
    <row r="4780" spans="1:8">
      <c r="A4780" t="s">
        <v>9555</v>
      </c>
      <c r="B4780" t="s">
        <v>9556</v>
      </c>
      <c r="C4780" t="s">
        <v>10</v>
      </c>
      <c r="D4780">
        <v>52</v>
      </c>
      <c r="E4780" t="s">
        <v>218</v>
      </c>
      <c r="F4780" t="s">
        <v>219</v>
      </c>
      <c r="G4780" t="s">
        <v>17</v>
      </c>
      <c r="H4780" s="1">
        <v>45571</v>
      </c>
    </row>
    <row r="4781" spans="1:8">
      <c r="A4781" t="s">
        <v>9557</v>
      </c>
      <c r="B4781" t="s">
        <v>9558</v>
      </c>
      <c r="C4781" t="s">
        <v>31</v>
      </c>
      <c r="D4781">
        <v>33</v>
      </c>
      <c r="E4781" t="s">
        <v>60</v>
      </c>
      <c r="F4781" t="s">
        <v>21</v>
      </c>
      <c r="G4781" t="s">
        <v>22</v>
      </c>
      <c r="H4781" s="1">
        <v>44862</v>
      </c>
    </row>
    <row r="4782" spans="1:8">
      <c r="A4782" t="s">
        <v>9559</v>
      </c>
      <c r="B4782" t="s">
        <v>9560</v>
      </c>
      <c r="C4782" t="s">
        <v>31</v>
      </c>
      <c r="D4782">
        <v>32</v>
      </c>
      <c r="E4782" t="s">
        <v>41</v>
      </c>
      <c r="F4782" t="s">
        <v>42</v>
      </c>
      <c r="G4782" t="s">
        <v>17</v>
      </c>
      <c r="H4782" s="1">
        <v>45040</v>
      </c>
    </row>
    <row r="4783" spans="1:8">
      <c r="A4783" t="s">
        <v>9561</v>
      </c>
      <c r="B4783" t="s">
        <v>9562</v>
      </c>
      <c r="C4783" t="s">
        <v>10</v>
      </c>
      <c r="D4783">
        <v>64</v>
      </c>
      <c r="E4783" t="s">
        <v>60</v>
      </c>
      <c r="F4783" t="s">
        <v>21</v>
      </c>
      <c r="G4783" t="s">
        <v>22</v>
      </c>
      <c r="H4783" s="1">
        <v>45150</v>
      </c>
    </row>
    <row r="4784" spans="1:8">
      <c r="A4784" t="s">
        <v>9563</v>
      </c>
      <c r="B4784" t="s">
        <v>9564</v>
      </c>
      <c r="C4784" t="s">
        <v>31</v>
      </c>
      <c r="D4784">
        <v>52</v>
      </c>
      <c r="E4784" t="s">
        <v>218</v>
      </c>
      <c r="F4784" t="s">
        <v>219</v>
      </c>
      <c r="G4784" t="s">
        <v>17</v>
      </c>
      <c r="H4784" s="1">
        <v>45129</v>
      </c>
    </row>
    <row r="4785" spans="1:8">
      <c r="A4785" t="s">
        <v>9565</v>
      </c>
      <c r="B4785" t="s">
        <v>9566</v>
      </c>
      <c r="C4785" t="s">
        <v>31</v>
      </c>
      <c r="D4785">
        <v>67</v>
      </c>
      <c r="E4785" t="s">
        <v>41</v>
      </c>
      <c r="F4785" t="s">
        <v>42</v>
      </c>
      <c r="G4785" t="s">
        <v>17</v>
      </c>
      <c r="H4785" s="1">
        <v>45391</v>
      </c>
    </row>
    <row r="4786" spans="1:8">
      <c r="A4786" t="s">
        <v>9567</v>
      </c>
      <c r="B4786" t="s">
        <v>9568</v>
      </c>
      <c r="C4786" t="s">
        <v>10</v>
      </c>
      <c r="D4786">
        <v>29</v>
      </c>
      <c r="E4786" t="s">
        <v>15</v>
      </c>
      <c r="F4786" t="s">
        <v>16</v>
      </c>
      <c r="G4786" t="s">
        <v>17</v>
      </c>
      <c r="H4786" s="1">
        <v>44768</v>
      </c>
    </row>
    <row r="4787" spans="1:8">
      <c r="A4787" t="s">
        <v>9569</v>
      </c>
      <c r="B4787" t="s">
        <v>9570</v>
      </c>
      <c r="C4787" t="s">
        <v>10</v>
      </c>
      <c r="D4787">
        <v>60</v>
      </c>
      <c r="E4787" t="s">
        <v>45</v>
      </c>
      <c r="F4787" t="s">
        <v>46</v>
      </c>
      <c r="G4787" t="s">
        <v>17</v>
      </c>
      <c r="H4787" s="1">
        <v>45198</v>
      </c>
    </row>
    <row r="4788" spans="1:8">
      <c r="A4788" t="s">
        <v>9571</v>
      </c>
      <c r="B4788" t="s">
        <v>9572</v>
      </c>
      <c r="C4788" t="s">
        <v>10</v>
      </c>
      <c r="D4788">
        <v>19</v>
      </c>
      <c r="E4788" t="s">
        <v>11</v>
      </c>
      <c r="F4788" t="s">
        <v>11</v>
      </c>
      <c r="G4788" t="s">
        <v>12</v>
      </c>
      <c r="H4788" s="1">
        <v>44943</v>
      </c>
    </row>
    <row r="4789" spans="1:8">
      <c r="A4789" t="s">
        <v>9573</v>
      </c>
      <c r="B4789" t="s">
        <v>9574</v>
      </c>
      <c r="C4789" t="s">
        <v>31</v>
      </c>
      <c r="D4789">
        <v>57</v>
      </c>
      <c r="E4789" t="s">
        <v>41</v>
      </c>
      <c r="F4789" t="s">
        <v>42</v>
      </c>
      <c r="G4789" t="s">
        <v>17</v>
      </c>
      <c r="H4789" s="1">
        <v>44666</v>
      </c>
    </row>
    <row r="4790" spans="1:8">
      <c r="A4790" t="s">
        <v>9575</v>
      </c>
      <c r="B4790" t="s">
        <v>9576</v>
      </c>
      <c r="C4790" t="s">
        <v>10</v>
      </c>
      <c r="D4790">
        <v>70</v>
      </c>
      <c r="E4790" t="s">
        <v>27</v>
      </c>
      <c r="F4790" t="s">
        <v>28</v>
      </c>
      <c r="G4790" t="s">
        <v>12</v>
      </c>
      <c r="H4790" s="1">
        <v>45430</v>
      </c>
    </row>
    <row r="4791" spans="1:8">
      <c r="A4791" t="s">
        <v>9577</v>
      </c>
      <c r="B4791" t="s">
        <v>9578</v>
      </c>
      <c r="C4791" t="s">
        <v>10</v>
      </c>
      <c r="D4791">
        <v>63</v>
      </c>
      <c r="E4791" t="s">
        <v>112</v>
      </c>
      <c r="F4791" t="s">
        <v>113</v>
      </c>
      <c r="G4791" t="s">
        <v>78</v>
      </c>
      <c r="H4791" s="1">
        <v>44853</v>
      </c>
    </row>
    <row r="4792" spans="1:8">
      <c r="A4792" t="s">
        <v>9579</v>
      </c>
      <c r="B4792" t="s">
        <v>9580</v>
      </c>
      <c r="C4792" t="s">
        <v>10</v>
      </c>
      <c r="D4792">
        <v>21</v>
      </c>
      <c r="E4792" t="s">
        <v>27</v>
      </c>
      <c r="F4792" t="s">
        <v>28</v>
      </c>
      <c r="G4792" t="s">
        <v>12</v>
      </c>
      <c r="H4792" s="1">
        <v>45350</v>
      </c>
    </row>
    <row r="4793" spans="1:8">
      <c r="A4793" t="s">
        <v>9581</v>
      </c>
      <c r="B4793" t="s">
        <v>9582</v>
      </c>
      <c r="C4793" t="s">
        <v>10</v>
      </c>
      <c r="D4793">
        <v>24</v>
      </c>
      <c r="E4793" t="s">
        <v>15</v>
      </c>
      <c r="F4793" t="s">
        <v>16</v>
      </c>
      <c r="G4793" t="s">
        <v>17</v>
      </c>
      <c r="H4793" s="1">
        <v>45993</v>
      </c>
    </row>
    <row r="4794" spans="1:8">
      <c r="A4794" t="s">
        <v>9583</v>
      </c>
      <c r="B4794" t="s">
        <v>9584</v>
      </c>
      <c r="C4794" t="s">
        <v>10</v>
      </c>
      <c r="D4794">
        <v>23</v>
      </c>
      <c r="E4794" t="s">
        <v>27</v>
      </c>
      <c r="F4794" t="s">
        <v>28</v>
      </c>
      <c r="G4794" t="s">
        <v>12</v>
      </c>
      <c r="H4794" s="1">
        <v>45774</v>
      </c>
    </row>
    <row r="4795" spans="1:8">
      <c r="A4795" t="s">
        <v>9585</v>
      </c>
      <c r="B4795" t="s">
        <v>9586</v>
      </c>
      <c r="C4795" t="s">
        <v>10</v>
      </c>
      <c r="D4795">
        <v>31</v>
      </c>
      <c r="E4795" t="s">
        <v>45</v>
      </c>
      <c r="F4795" t="s">
        <v>46</v>
      </c>
      <c r="G4795" t="s">
        <v>17</v>
      </c>
      <c r="H4795" s="1">
        <v>44628</v>
      </c>
    </row>
    <row r="4796" spans="1:8">
      <c r="A4796" t="s">
        <v>9587</v>
      </c>
      <c r="B4796" t="s">
        <v>9588</v>
      </c>
      <c r="C4796" t="s">
        <v>10</v>
      </c>
      <c r="D4796">
        <v>24</v>
      </c>
      <c r="E4796" t="s">
        <v>41</v>
      </c>
      <c r="F4796" t="s">
        <v>42</v>
      </c>
      <c r="G4796" t="s">
        <v>17</v>
      </c>
      <c r="H4796" s="1">
        <v>44801</v>
      </c>
    </row>
    <row r="4797" spans="1:8">
      <c r="A4797" t="s">
        <v>9589</v>
      </c>
      <c r="B4797" t="s">
        <v>9590</v>
      </c>
      <c r="C4797" t="s">
        <v>31</v>
      </c>
      <c r="D4797">
        <v>66</v>
      </c>
      <c r="E4797" t="s">
        <v>69</v>
      </c>
      <c r="F4797" t="s">
        <v>69</v>
      </c>
      <c r="G4797" t="s">
        <v>12</v>
      </c>
      <c r="H4797" s="1">
        <v>44764</v>
      </c>
    </row>
    <row r="4798" spans="1:8">
      <c r="A4798" t="s">
        <v>9591</v>
      </c>
      <c r="B4798" t="s">
        <v>9592</v>
      </c>
      <c r="C4798" t="s">
        <v>10</v>
      </c>
      <c r="D4798">
        <v>58</v>
      </c>
      <c r="E4798" t="s">
        <v>69</v>
      </c>
      <c r="F4798" t="s">
        <v>69</v>
      </c>
      <c r="G4798" t="s">
        <v>12</v>
      </c>
      <c r="H4798" s="1">
        <v>44655</v>
      </c>
    </row>
    <row r="4799" spans="1:8">
      <c r="A4799" t="s">
        <v>9593</v>
      </c>
      <c r="B4799" t="s">
        <v>9594</v>
      </c>
      <c r="C4799" t="s">
        <v>10</v>
      </c>
      <c r="D4799">
        <v>64</v>
      </c>
      <c r="E4799" t="s">
        <v>63</v>
      </c>
      <c r="F4799" t="s">
        <v>64</v>
      </c>
      <c r="G4799" t="s">
        <v>12</v>
      </c>
      <c r="H4799" s="1">
        <v>45288</v>
      </c>
    </row>
    <row r="4800" spans="1:8">
      <c r="A4800" t="s">
        <v>9595</v>
      </c>
      <c r="B4800" t="s">
        <v>9596</v>
      </c>
      <c r="C4800" t="s">
        <v>31</v>
      </c>
      <c r="D4800">
        <v>58</v>
      </c>
      <c r="E4800" t="s">
        <v>20</v>
      </c>
      <c r="F4800" t="s">
        <v>21</v>
      </c>
      <c r="G4800" t="s">
        <v>22</v>
      </c>
      <c r="H4800" s="1">
        <v>45753</v>
      </c>
    </row>
    <row r="4801" spans="1:8">
      <c r="A4801" t="s">
        <v>9597</v>
      </c>
      <c r="B4801" t="s">
        <v>9598</v>
      </c>
      <c r="C4801" t="s">
        <v>31</v>
      </c>
      <c r="D4801">
        <v>18</v>
      </c>
      <c r="E4801" t="s">
        <v>60</v>
      </c>
      <c r="F4801" t="s">
        <v>21</v>
      </c>
      <c r="G4801" t="s">
        <v>22</v>
      </c>
      <c r="H4801" s="1">
        <v>45235</v>
      </c>
    </row>
    <row r="4802" spans="1:8">
      <c r="A4802" t="s">
        <v>9599</v>
      </c>
      <c r="B4802" t="s">
        <v>9600</v>
      </c>
      <c r="C4802" t="s">
        <v>31</v>
      </c>
      <c r="D4802">
        <v>39</v>
      </c>
      <c r="E4802" t="s">
        <v>11</v>
      </c>
      <c r="F4802" t="s">
        <v>11</v>
      </c>
      <c r="G4802" t="s">
        <v>12</v>
      </c>
      <c r="H4802" s="1">
        <v>44983</v>
      </c>
    </row>
    <row r="4803" spans="1:8">
      <c r="A4803" t="s">
        <v>9601</v>
      </c>
      <c r="B4803" t="s">
        <v>9602</v>
      </c>
      <c r="C4803" t="s">
        <v>10</v>
      </c>
      <c r="D4803">
        <v>19</v>
      </c>
      <c r="E4803" t="s">
        <v>218</v>
      </c>
      <c r="F4803" t="s">
        <v>219</v>
      </c>
      <c r="G4803" t="s">
        <v>17</v>
      </c>
      <c r="H4803" s="1">
        <v>44901</v>
      </c>
    </row>
    <row r="4804" spans="1:8">
      <c r="A4804" t="s">
        <v>9603</v>
      </c>
      <c r="B4804" t="s">
        <v>9604</v>
      </c>
      <c r="C4804" t="s">
        <v>31</v>
      </c>
      <c r="D4804">
        <v>51</v>
      </c>
      <c r="E4804" t="s">
        <v>101</v>
      </c>
      <c r="F4804" t="s">
        <v>21</v>
      </c>
      <c r="G4804" t="s">
        <v>22</v>
      </c>
      <c r="H4804" s="1">
        <v>45705</v>
      </c>
    </row>
    <row r="4805" spans="1:8">
      <c r="A4805" t="s">
        <v>9605</v>
      </c>
      <c r="B4805" t="s">
        <v>9606</v>
      </c>
      <c r="C4805" t="s">
        <v>31</v>
      </c>
      <c r="D4805">
        <v>56</v>
      </c>
      <c r="E4805" t="s">
        <v>69</v>
      </c>
      <c r="F4805" t="s">
        <v>69</v>
      </c>
      <c r="G4805" t="s">
        <v>12</v>
      </c>
      <c r="H4805" s="1">
        <v>44843</v>
      </c>
    </row>
    <row r="4806" spans="1:8">
      <c r="A4806" t="s">
        <v>9607</v>
      </c>
      <c r="B4806" t="s">
        <v>9608</v>
      </c>
      <c r="C4806" t="s">
        <v>10</v>
      </c>
      <c r="D4806">
        <v>44</v>
      </c>
      <c r="E4806" t="s">
        <v>63</v>
      </c>
      <c r="F4806" t="s">
        <v>64</v>
      </c>
      <c r="G4806" t="s">
        <v>12</v>
      </c>
      <c r="H4806" s="1">
        <v>45520</v>
      </c>
    </row>
    <row r="4807" spans="1:8">
      <c r="A4807" t="s">
        <v>9609</v>
      </c>
      <c r="B4807" t="s">
        <v>9610</v>
      </c>
      <c r="C4807" t="s">
        <v>10</v>
      </c>
      <c r="D4807">
        <v>67</v>
      </c>
      <c r="E4807" t="s">
        <v>15</v>
      </c>
      <c r="F4807" t="s">
        <v>16</v>
      </c>
      <c r="G4807" t="s">
        <v>17</v>
      </c>
      <c r="H4807" s="1">
        <v>45693</v>
      </c>
    </row>
    <row r="4808" spans="1:8">
      <c r="A4808" t="s">
        <v>9611</v>
      </c>
      <c r="B4808" t="s">
        <v>9612</v>
      </c>
      <c r="C4808" t="s">
        <v>10</v>
      </c>
      <c r="D4808">
        <v>61</v>
      </c>
      <c r="E4808" t="s">
        <v>63</v>
      </c>
      <c r="F4808" t="s">
        <v>64</v>
      </c>
      <c r="G4808" t="s">
        <v>12</v>
      </c>
      <c r="H4808" s="1">
        <v>44827</v>
      </c>
    </row>
    <row r="4809" spans="1:8">
      <c r="A4809" t="s">
        <v>9613</v>
      </c>
      <c r="B4809" t="s">
        <v>9614</v>
      </c>
      <c r="C4809" t="s">
        <v>31</v>
      </c>
      <c r="D4809">
        <v>34</v>
      </c>
      <c r="E4809" t="s">
        <v>27</v>
      </c>
      <c r="F4809" t="s">
        <v>28</v>
      </c>
      <c r="G4809" t="s">
        <v>12</v>
      </c>
      <c r="H4809" s="1">
        <v>45859</v>
      </c>
    </row>
    <row r="4810" spans="1:8">
      <c r="A4810" t="s">
        <v>9615</v>
      </c>
      <c r="B4810" t="s">
        <v>9616</v>
      </c>
      <c r="C4810" t="s">
        <v>10</v>
      </c>
      <c r="D4810">
        <v>49</v>
      </c>
      <c r="E4810" t="s">
        <v>20</v>
      </c>
      <c r="F4810" t="s">
        <v>21</v>
      </c>
      <c r="G4810" t="s">
        <v>22</v>
      </c>
      <c r="H4810" s="1">
        <v>45658</v>
      </c>
    </row>
    <row r="4811" spans="1:8">
      <c r="A4811" t="s">
        <v>9617</v>
      </c>
      <c r="B4811" t="s">
        <v>9618</v>
      </c>
      <c r="C4811" t="s">
        <v>31</v>
      </c>
      <c r="D4811">
        <v>44</v>
      </c>
      <c r="E4811" t="s">
        <v>101</v>
      </c>
      <c r="F4811" t="s">
        <v>21</v>
      </c>
      <c r="G4811" t="s">
        <v>22</v>
      </c>
      <c r="H4811" s="1">
        <v>44644</v>
      </c>
    </row>
    <row r="4812" spans="1:8">
      <c r="A4812" t="s">
        <v>9619</v>
      </c>
      <c r="B4812" t="s">
        <v>9620</v>
      </c>
      <c r="C4812" t="s">
        <v>10</v>
      </c>
      <c r="D4812">
        <v>69</v>
      </c>
      <c r="E4812" t="s">
        <v>20</v>
      </c>
      <c r="F4812" t="s">
        <v>21</v>
      </c>
      <c r="G4812" t="s">
        <v>22</v>
      </c>
      <c r="H4812" s="1">
        <v>44576</v>
      </c>
    </row>
    <row r="4813" spans="1:8">
      <c r="A4813" t="s">
        <v>9621</v>
      </c>
      <c r="B4813" t="s">
        <v>9622</v>
      </c>
      <c r="C4813" t="s">
        <v>31</v>
      </c>
      <c r="D4813">
        <v>68</v>
      </c>
      <c r="E4813" t="s">
        <v>15</v>
      </c>
      <c r="F4813" t="s">
        <v>16</v>
      </c>
      <c r="G4813" t="s">
        <v>17</v>
      </c>
      <c r="H4813" s="1">
        <v>45941</v>
      </c>
    </row>
    <row r="4814" spans="1:8">
      <c r="A4814" t="s">
        <v>9623</v>
      </c>
      <c r="B4814" t="s">
        <v>9624</v>
      </c>
      <c r="C4814" t="s">
        <v>10</v>
      </c>
      <c r="D4814">
        <v>28</v>
      </c>
      <c r="E4814" t="s">
        <v>60</v>
      </c>
      <c r="F4814" t="s">
        <v>21</v>
      </c>
      <c r="G4814" t="s">
        <v>22</v>
      </c>
      <c r="H4814" s="1">
        <v>44626</v>
      </c>
    </row>
    <row r="4815" spans="1:8">
      <c r="A4815" t="s">
        <v>9625</v>
      </c>
      <c r="B4815" t="s">
        <v>9626</v>
      </c>
      <c r="C4815" t="s">
        <v>10</v>
      </c>
      <c r="D4815">
        <v>31</v>
      </c>
      <c r="E4815" t="s">
        <v>134</v>
      </c>
      <c r="F4815" t="s">
        <v>28</v>
      </c>
      <c r="G4815" t="s">
        <v>12</v>
      </c>
      <c r="H4815" s="1">
        <v>44959</v>
      </c>
    </row>
    <row r="4816" spans="1:8">
      <c r="A4816" t="s">
        <v>9627</v>
      </c>
      <c r="B4816" t="s">
        <v>9628</v>
      </c>
      <c r="C4816" t="s">
        <v>10</v>
      </c>
      <c r="D4816">
        <v>43</v>
      </c>
      <c r="E4816" t="s">
        <v>76</v>
      </c>
      <c r="F4816" t="s">
        <v>77</v>
      </c>
      <c r="G4816" t="s">
        <v>78</v>
      </c>
      <c r="H4816" s="1">
        <v>44894</v>
      </c>
    </row>
    <row r="4817" spans="1:8">
      <c r="A4817" t="s">
        <v>9629</v>
      </c>
      <c r="B4817" t="s">
        <v>9630</v>
      </c>
      <c r="C4817" t="s">
        <v>31</v>
      </c>
      <c r="D4817">
        <v>53</v>
      </c>
      <c r="E4817" t="s">
        <v>69</v>
      </c>
      <c r="F4817" t="s">
        <v>69</v>
      </c>
      <c r="G4817" t="s">
        <v>12</v>
      </c>
      <c r="H4817" s="1">
        <v>45795</v>
      </c>
    </row>
    <row r="4818" spans="1:8">
      <c r="A4818" t="s">
        <v>9631</v>
      </c>
      <c r="B4818" t="s">
        <v>9632</v>
      </c>
      <c r="C4818" t="s">
        <v>31</v>
      </c>
      <c r="D4818">
        <v>60</v>
      </c>
      <c r="E4818" t="s">
        <v>149</v>
      </c>
      <c r="F4818" t="s">
        <v>38</v>
      </c>
      <c r="G4818" t="s">
        <v>22</v>
      </c>
      <c r="H4818" s="1">
        <v>45093</v>
      </c>
    </row>
    <row r="4819" spans="1:8">
      <c r="A4819" t="s">
        <v>9633</v>
      </c>
      <c r="B4819" t="s">
        <v>9634</v>
      </c>
      <c r="C4819" t="s">
        <v>31</v>
      </c>
      <c r="D4819">
        <v>22</v>
      </c>
      <c r="E4819" t="s">
        <v>149</v>
      </c>
      <c r="F4819" t="s">
        <v>38</v>
      </c>
      <c r="G4819" t="s">
        <v>22</v>
      </c>
      <c r="H4819" s="1">
        <v>45468</v>
      </c>
    </row>
    <row r="4820" spans="1:8">
      <c r="A4820" t="s">
        <v>9635</v>
      </c>
      <c r="B4820" t="s">
        <v>205</v>
      </c>
      <c r="C4820" t="s">
        <v>31</v>
      </c>
      <c r="D4820">
        <v>62</v>
      </c>
      <c r="E4820" t="s">
        <v>20</v>
      </c>
      <c r="F4820" t="s">
        <v>21</v>
      </c>
      <c r="G4820" t="s">
        <v>22</v>
      </c>
      <c r="H4820" s="1">
        <v>45065</v>
      </c>
    </row>
    <row r="4821" spans="1:8">
      <c r="A4821" t="s">
        <v>9636</v>
      </c>
      <c r="B4821" t="s">
        <v>9637</v>
      </c>
      <c r="C4821" t="s">
        <v>31</v>
      </c>
      <c r="D4821">
        <v>21</v>
      </c>
      <c r="E4821" t="s">
        <v>63</v>
      </c>
      <c r="F4821" t="s">
        <v>64</v>
      </c>
      <c r="G4821" t="s">
        <v>12</v>
      </c>
      <c r="H4821" s="1">
        <v>44745</v>
      </c>
    </row>
    <row r="4822" spans="1:8">
      <c r="A4822" t="s">
        <v>9638</v>
      </c>
      <c r="B4822" t="s">
        <v>9639</v>
      </c>
      <c r="C4822" t="s">
        <v>10</v>
      </c>
      <c r="D4822">
        <v>42</v>
      </c>
      <c r="E4822" t="s">
        <v>69</v>
      </c>
      <c r="F4822" t="s">
        <v>69</v>
      </c>
      <c r="G4822" t="s">
        <v>12</v>
      </c>
      <c r="H4822" s="1">
        <v>45172</v>
      </c>
    </row>
    <row r="4823" spans="1:8">
      <c r="A4823" t="s">
        <v>9640</v>
      </c>
      <c r="B4823" t="s">
        <v>9641</v>
      </c>
      <c r="C4823" t="s">
        <v>10</v>
      </c>
      <c r="D4823">
        <v>30</v>
      </c>
      <c r="E4823" t="s">
        <v>41</v>
      </c>
      <c r="F4823" t="s">
        <v>42</v>
      </c>
      <c r="G4823" t="s">
        <v>17</v>
      </c>
      <c r="H4823" s="1">
        <v>44581</v>
      </c>
    </row>
    <row r="4824" spans="1:8">
      <c r="A4824" t="s">
        <v>9642</v>
      </c>
      <c r="B4824" t="s">
        <v>9643</v>
      </c>
      <c r="C4824" t="s">
        <v>10</v>
      </c>
      <c r="D4824">
        <v>36</v>
      </c>
      <c r="E4824" t="s">
        <v>60</v>
      </c>
      <c r="F4824" t="s">
        <v>21</v>
      </c>
      <c r="G4824" t="s">
        <v>22</v>
      </c>
      <c r="H4824" s="1">
        <v>45090</v>
      </c>
    </row>
    <row r="4825" spans="1:8">
      <c r="A4825" t="s">
        <v>9644</v>
      </c>
      <c r="B4825" t="s">
        <v>9645</v>
      </c>
      <c r="C4825" t="s">
        <v>10</v>
      </c>
      <c r="D4825">
        <v>54</v>
      </c>
      <c r="E4825" t="s">
        <v>87</v>
      </c>
      <c r="F4825" t="s">
        <v>88</v>
      </c>
      <c r="G4825" t="s">
        <v>78</v>
      </c>
      <c r="H4825" s="1">
        <v>45831</v>
      </c>
    </row>
    <row r="4826" spans="1:8">
      <c r="A4826" t="s">
        <v>9646</v>
      </c>
      <c r="B4826" t="s">
        <v>9647</v>
      </c>
      <c r="C4826" t="s">
        <v>10</v>
      </c>
      <c r="D4826">
        <v>32</v>
      </c>
      <c r="E4826" t="s">
        <v>218</v>
      </c>
      <c r="F4826" t="s">
        <v>219</v>
      </c>
      <c r="G4826" t="s">
        <v>17</v>
      </c>
      <c r="H4826" s="1">
        <v>45161</v>
      </c>
    </row>
    <row r="4827" spans="1:8">
      <c r="A4827" t="s">
        <v>9648</v>
      </c>
      <c r="B4827" t="s">
        <v>9649</v>
      </c>
      <c r="C4827" t="s">
        <v>31</v>
      </c>
      <c r="D4827">
        <v>56</v>
      </c>
      <c r="E4827" t="s">
        <v>45</v>
      </c>
      <c r="F4827" t="s">
        <v>46</v>
      </c>
      <c r="G4827" t="s">
        <v>17</v>
      </c>
      <c r="H4827" s="1">
        <v>44781</v>
      </c>
    </row>
    <row r="4828" spans="1:8">
      <c r="A4828" t="s">
        <v>9650</v>
      </c>
      <c r="B4828" t="s">
        <v>9651</v>
      </c>
      <c r="C4828" t="s">
        <v>31</v>
      </c>
      <c r="D4828">
        <v>32</v>
      </c>
      <c r="E4828" t="s">
        <v>11</v>
      </c>
      <c r="F4828" t="s">
        <v>11</v>
      </c>
      <c r="G4828" t="s">
        <v>12</v>
      </c>
      <c r="H4828" s="1">
        <v>44593</v>
      </c>
    </row>
    <row r="4829" spans="1:8">
      <c r="A4829" t="s">
        <v>9652</v>
      </c>
      <c r="B4829" t="s">
        <v>9653</v>
      </c>
      <c r="C4829" t="s">
        <v>10</v>
      </c>
      <c r="D4829">
        <v>42</v>
      </c>
      <c r="E4829" t="s">
        <v>15</v>
      </c>
      <c r="F4829" t="s">
        <v>16</v>
      </c>
      <c r="G4829" t="s">
        <v>17</v>
      </c>
      <c r="H4829" s="1">
        <v>45316</v>
      </c>
    </row>
    <row r="4830" spans="1:8">
      <c r="A4830" t="s">
        <v>9654</v>
      </c>
      <c r="B4830" t="s">
        <v>9655</v>
      </c>
      <c r="C4830" t="s">
        <v>31</v>
      </c>
      <c r="D4830">
        <v>62</v>
      </c>
      <c r="E4830" t="s">
        <v>37</v>
      </c>
      <c r="F4830" t="s">
        <v>38</v>
      </c>
      <c r="G4830" t="s">
        <v>22</v>
      </c>
      <c r="H4830" s="1">
        <v>45688</v>
      </c>
    </row>
    <row r="4831" spans="1:8">
      <c r="A4831" t="s">
        <v>9656</v>
      </c>
      <c r="B4831" t="s">
        <v>9657</v>
      </c>
      <c r="C4831" t="s">
        <v>31</v>
      </c>
      <c r="D4831">
        <v>32</v>
      </c>
      <c r="E4831" t="s">
        <v>34</v>
      </c>
      <c r="F4831" t="s">
        <v>16</v>
      </c>
      <c r="G4831" t="s">
        <v>17</v>
      </c>
      <c r="H4831" s="1">
        <v>45035</v>
      </c>
    </row>
    <row r="4832" spans="1:8">
      <c r="A4832" t="s">
        <v>9658</v>
      </c>
      <c r="B4832" t="s">
        <v>9659</v>
      </c>
      <c r="C4832" t="s">
        <v>10</v>
      </c>
      <c r="D4832">
        <v>38</v>
      </c>
      <c r="E4832" t="s">
        <v>20</v>
      </c>
      <c r="F4832" t="s">
        <v>21</v>
      </c>
      <c r="G4832" t="s">
        <v>22</v>
      </c>
      <c r="H4832" s="1">
        <v>44753</v>
      </c>
    </row>
    <row r="4833" spans="1:8">
      <c r="A4833" t="s">
        <v>9660</v>
      </c>
      <c r="B4833" t="s">
        <v>9661</v>
      </c>
      <c r="C4833" t="s">
        <v>31</v>
      </c>
      <c r="D4833">
        <v>44</v>
      </c>
      <c r="E4833" t="s">
        <v>15</v>
      </c>
      <c r="F4833" t="s">
        <v>16</v>
      </c>
      <c r="G4833" t="s">
        <v>17</v>
      </c>
      <c r="H4833" s="1">
        <v>45127</v>
      </c>
    </row>
    <row r="4834" spans="1:8">
      <c r="A4834" t="s">
        <v>9662</v>
      </c>
      <c r="B4834" t="s">
        <v>9663</v>
      </c>
      <c r="C4834" t="s">
        <v>31</v>
      </c>
      <c r="D4834">
        <v>25</v>
      </c>
      <c r="E4834" t="s">
        <v>34</v>
      </c>
      <c r="F4834" t="s">
        <v>16</v>
      </c>
      <c r="G4834" t="s">
        <v>17</v>
      </c>
      <c r="H4834" s="1">
        <v>45566</v>
      </c>
    </row>
    <row r="4835" spans="1:8">
      <c r="A4835" t="s">
        <v>9664</v>
      </c>
      <c r="B4835" t="s">
        <v>9665</v>
      </c>
      <c r="C4835" t="s">
        <v>31</v>
      </c>
      <c r="D4835">
        <v>38</v>
      </c>
      <c r="E4835" t="s">
        <v>101</v>
      </c>
      <c r="F4835" t="s">
        <v>21</v>
      </c>
      <c r="G4835" t="s">
        <v>22</v>
      </c>
      <c r="H4835" s="1">
        <v>45692</v>
      </c>
    </row>
    <row r="4836" spans="1:8">
      <c r="A4836" t="s">
        <v>9666</v>
      </c>
      <c r="B4836" t="s">
        <v>9667</v>
      </c>
      <c r="C4836" t="s">
        <v>10</v>
      </c>
      <c r="D4836">
        <v>46</v>
      </c>
      <c r="E4836" t="s">
        <v>11</v>
      </c>
      <c r="F4836" t="s">
        <v>11</v>
      </c>
      <c r="G4836" t="s">
        <v>12</v>
      </c>
      <c r="H4836" s="1">
        <v>44842</v>
      </c>
    </row>
    <row r="4837" spans="1:8">
      <c r="A4837" t="s">
        <v>9668</v>
      </c>
      <c r="B4837" t="s">
        <v>9669</v>
      </c>
      <c r="C4837" t="s">
        <v>10</v>
      </c>
      <c r="D4837">
        <v>32</v>
      </c>
      <c r="E4837" t="s">
        <v>91</v>
      </c>
      <c r="F4837" t="s">
        <v>92</v>
      </c>
      <c r="G4837" t="s">
        <v>78</v>
      </c>
      <c r="H4837" s="1">
        <v>44763</v>
      </c>
    </row>
    <row r="4838" spans="1:8">
      <c r="A4838" t="s">
        <v>9670</v>
      </c>
      <c r="B4838" t="s">
        <v>9671</v>
      </c>
      <c r="C4838" t="s">
        <v>10</v>
      </c>
      <c r="D4838">
        <v>39</v>
      </c>
      <c r="E4838" t="s">
        <v>27</v>
      </c>
      <c r="F4838" t="s">
        <v>28</v>
      </c>
      <c r="G4838" t="s">
        <v>12</v>
      </c>
      <c r="H4838" s="1">
        <v>45581</v>
      </c>
    </row>
    <row r="4839" spans="1:8">
      <c r="A4839" t="s">
        <v>9672</v>
      </c>
      <c r="B4839" t="s">
        <v>9673</v>
      </c>
      <c r="C4839" t="s">
        <v>10</v>
      </c>
      <c r="D4839">
        <v>66</v>
      </c>
      <c r="E4839" t="s">
        <v>101</v>
      </c>
      <c r="F4839" t="s">
        <v>21</v>
      </c>
      <c r="G4839" t="s">
        <v>22</v>
      </c>
      <c r="H4839" s="1">
        <v>45332</v>
      </c>
    </row>
    <row r="4840" spans="1:8">
      <c r="A4840" t="s">
        <v>9674</v>
      </c>
      <c r="B4840" t="s">
        <v>9675</v>
      </c>
      <c r="C4840" t="s">
        <v>10</v>
      </c>
      <c r="D4840">
        <v>32</v>
      </c>
      <c r="E4840" t="s">
        <v>27</v>
      </c>
      <c r="F4840" t="s">
        <v>28</v>
      </c>
      <c r="G4840" t="s">
        <v>12</v>
      </c>
      <c r="H4840" s="1">
        <v>45507</v>
      </c>
    </row>
    <row r="4841" spans="1:8">
      <c r="A4841" t="s">
        <v>9676</v>
      </c>
      <c r="B4841" t="s">
        <v>9677</v>
      </c>
      <c r="C4841" t="s">
        <v>31</v>
      </c>
      <c r="D4841">
        <v>68</v>
      </c>
      <c r="E4841" t="s">
        <v>11</v>
      </c>
      <c r="F4841" t="s">
        <v>11</v>
      </c>
      <c r="G4841" t="s">
        <v>12</v>
      </c>
      <c r="H4841" s="1">
        <v>44876</v>
      </c>
    </row>
    <row r="4842" spans="1:8">
      <c r="A4842" t="s">
        <v>9678</v>
      </c>
      <c r="B4842" t="s">
        <v>9679</v>
      </c>
      <c r="C4842" t="s">
        <v>31</v>
      </c>
      <c r="D4842">
        <v>67</v>
      </c>
      <c r="E4842" t="s">
        <v>45</v>
      </c>
      <c r="F4842" t="s">
        <v>46</v>
      </c>
      <c r="G4842" t="s">
        <v>17</v>
      </c>
      <c r="H4842" s="1">
        <v>45135</v>
      </c>
    </row>
    <row r="4843" spans="1:8">
      <c r="A4843" t="s">
        <v>9680</v>
      </c>
      <c r="B4843" t="s">
        <v>9681</v>
      </c>
      <c r="C4843" t="s">
        <v>31</v>
      </c>
      <c r="D4843">
        <v>22</v>
      </c>
      <c r="E4843" t="s">
        <v>101</v>
      </c>
      <c r="F4843" t="s">
        <v>21</v>
      </c>
      <c r="G4843" t="s">
        <v>22</v>
      </c>
      <c r="H4843" s="1">
        <v>44637</v>
      </c>
    </row>
    <row r="4844" spans="1:8">
      <c r="A4844" t="s">
        <v>9682</v>
      </c>
      <c r="B4844" t="s">
        <v>9683</v>
      </c>
      <c r="C4844" t="s">
        <v>10</v>
      </c>
      <c r="D4844">
        <v>21</v>
      </c>
      <c r="E4844" t="s">
        <v>20</v>
      </c>
      <c r="F4844" t="s">
        <v>21</v>
      </c>
      <c r="G4844" t="s">
        <v>22</v>
      </c>
      <c r="H4844" s="1">
        <v>45505</v>
      </c>
    </row>
    <row r="4845" spans="1:8">
      <c r="A4845" t="s">
        <v>9684</v>
      </c>
      <c r="B4845" t="s">
        <v>9685</v>
      </c>
      <c r="C4845" t="s">
        <v>31</v>
      </c>
      <c r="D4845">
        <v>42</v>
      </c>
      <c r="E4845" t="s">
        <v>112</v>
      </c>
      <c r="F4845" t="s">
        <v>113</v>
      </c>
      <c r="G4845" t="s">
        <v>78</v>
      </c>
      <c r="H4845" s="1">
        <v>44812</v>
      </c>
    </row>
    <row r="4846" spans="1:8">
      <c r="A4846" t="s">
        <v>9686</v>
      </c>
      <c r="B4846" t="s">
        <v>9687</v>
      </c>
      <c r="C4846" t="s">
        <v>10</v>
      </c>
      <c r="D4846">
        <v>48</v>
      </c>
      <c r="E4846" t="s">
        <v>69</v>
      </c>
      <c r="F4846" t="s">
        <v>69</v>
      </c>
      <c r="G4846" t="s">
        <v>12</v>
      </c>
      <c r="H4846" s="1">
        <v>45650</v>
      </c>
    </row>
    <row r="4847" spans="1:8">
      <c r="A4847" t="s">
        <v>9688</v>
      </c>
      <c r="B4847" t="s">
        <v>9689</v>
      </c>
      <c r="C4847" t="s">
        <v>10</v>
      </c>
      <c r="D4847">
        <v>49</v>
      </c>
      <c r="E4847" t="s">
        <v>11</v>
      </c>
      <c r="F4847" t="s">
        <v>11</v>
      </c>
      <c r="G4847" t="s">
        <v>12</v>
      </c>
      <c r="H4847" s="1">
        <v>45005</v>
      </c>
    </row>
    <row r="4848" spans="1:8">
      <c r="A4848" t="s">
        <v>9690</v>
      </c>
      <c r="B4848" t="s">
        <v>9691</v>
      </c>
      <c r="C4848" t="s">
        <v>10</v>
      </c>
      <c r="D4848">
        <v>67</v>
      </c>
      <c r="E4848" t="s">
        <v>101</v>
      </c>
      <c r="F4848" t="s">
        <v>21</v>
      </c>
      <c r="G4848" t="s">
        <v>22</v>
      </c>
      <c r="H4848" s="1">
        <v>45647</v>
      </c>
    </row>
    <row r="4849" spans="1:8">
      <c r="A4849" t="s">
        <v>9692</v>
      </c>
      <c r="B4849" t="s">
        <v>9693</v>
      </c>
      <c r="C4849" t="s">
        <v>10</v>
      </c>
      <c r="D4849">
        <v>37</v>
      </c>
      <c r="E4849" t="s">
        <v>41</v>
      </c>
      <c r="F4849" t="s">
        <v>42</v>
      </c>
      <c r="G4849" t="s">
        <v>17</v>
      </c>
      <c r="H4849" s="1">
        <v>45169</v>
      </c>
    </row>
    <row r="4850" spans="1:8">
      <c r="A4850" t="s">
        <v>9694</v>
      </c>
      <c r="B4850" t="s">
        <v>9695</v>
      </c>
      <c r="C4850" t="s">
        <v>31</v>
      </c>
      <c r="D4850">
        <v>60</v>
      </c>
      <c r="E4850" t="s">
        <v>37</v>
      </c>
      <c r="F4850" t="s">
        <v>38</v>
      </c>
      <c r="G4850" t="s">
        <v>22</v>
      </c>
      <c r="H4850" s="1">
        <v>46007</v>
      </c>
    </row>
    <row r="4851" spans="1:8">
      <c r="A4851" t="s">
        <v>9696</v>
      </c>
      <c r="B4851" t="s">
        <v>9697</v>
      </c>
      <c r="C4851" t="s">
        <v>10</v>
      </c>
      <c r="D4851">
        <v>39</v>
      </c>
      <c r="E4851" t="s">
        <v>15</v>
      </c>
      <c r="F4851" t="s">
        <v>16</v>
      </c>
      <c r="G4851" t="s">
        <v>17</v>
      </c>
      <c r="H4851" s="1">
        <v>44893</v>
      </c>
    </row>
    <row r="4852" spans="1:8">
      <c r="A4852" t="s">
        <v>9698</v>
      </c>
      <c r="B4852" t="s">
        <v>9699</v>
      </c>
      <c r="C4852" t="s">
        <v>31</v>
      </c>
      <c r="D4852">
        <v>27</v>
      </c>
      <c r="E4852" t="s">
        <v>41</v>
      </c>
      <c r="F4852" t="s">
        <v>42</v>
      </c>
      <c r="G4852" t="s">
        <v>17</v>
      </c>
      <c r="H4852" s="1">
        <v>45965</v>
      </c>
    </row>
    <row r="4853" spans="1:8">
      <c r="A4853" t="s">
        <v>9700</v>
      </c>
      <c r="B4853" t="s">
        <v>9701</v>
      </c>
      <c r="C4853" t="s">
        <v>31</v>
      </c>
      <c r="D4853">
        <v>20</v>
      </c>
      <c r="E4853" t="s">
        <v>76</v>
      </c>
      <c r="F4853" t="s">
        <v>77</v>
      </c>
      <c r="G4853" t="s">
        <v>78</v>
      </c>
      <c r="H4853" s="1">
        <v>45698</v>
      </c>
    </row>
    <row r="4854" spans="1:8">
      <c r="A4854" t="s">
        <v>9702</v>
      </c>
      <c r="B4854" t="s">
        <v>9703</v>
      </c>
      <c r="C4854" t="s">
        <v>10</v>
      </c>
      <c r="D4854">
        <v>18</v>
      </c>
      <c r="E4854" t="s">
        <v>149</v>
      </c>
      <c r="F4854" t="s">
        <v>38</v>
      </c>
      <c r="G4854" t="s">
        <v>22</v>
      </c>
      <c r="H4854" s="1">
        <v>45075</v>
      </c>
    </row>
    <row r="4855" spans="1:8">
      <c r="A4855" t="s">
        <v>9704</v>
      </c>
      <c r="B4855" t="s">
        <v>9705</v>
      </c>
      <c r="C4855" t="s">
        <v>10</v>
      </c>
      <c r="D4855">
        <v>27</v>
      </c>
      <c r="E4855" t="s">
        <v>149</v>
      </c>
      <c r="F4855" t="s">
        <v>38</v>
      </c>
      <c r="G4855" t="s">
        <v>22</v>
      </c>
      <c r="H4855" s="1">
        <v>45961</v>
      </c>
    </row>
    <row r="4856" spans="1:8">
      <c r="A4856" t="s">
        <v>9706</v>
      </c>
      <c r="B4856" t="s">
        <v>9707</v>
      </c>
      <c r="C4856" t="s">
        <v>10</v>
      </c>
      <c r="D4856">
        <v>39</v>
      </c>
      <c r="E4856" t="s">
        <v>20</v>
      </c>
      <c r="F4856" t="s">
        <v>21</v>
      </c>
      <c r="G4856" t="s">
        <v>22</v>
      </c>
      <c r="H4856" s="1">
        <v>46008</v>
      </c>
    </row>
    <row r="4857" spans="1:8">
      <c r="A4857" t="s">
        <v>9708</v>
      </c>
      <c r="B4857" t="s">
        <v>9709</v>
      </c>
      <c r="C4857" t="s">
        <v>31</v>
      </c>
      <c r="D4857">
        <v>44</v>
      </c>
      <c r="E4857" t="s">
        <v>218</v>
      </c>
      <c r="F4857" t="s">
        <v>219</v>
      </c>
      <c r="G4857" t="s">
        <v>17</v>
      </c>
      <c r="H4857" s="1">
        <v>45383</v>
      </c>
    </row>
    <row r="4858" spans="1:8">
      <c r="A4858" t="s">
        <v>9710</v>
      </c>
      <c r="B4858" t="s">
        <v>9711</v>
      </c>
      <c r="C4858" t="s">
        <v>10</v>
      </c>
      <c r="D4858">
        <v>31</v>
      </c>
      <c r="E4858" t="s">
        <v>134</v>
      </c>
      <c r="F4858" t="s">
        <v>28</v>
      </c>
      <c r="G4858" t="s">
        <v>12</v>
      </c>
      <c r="H4858" s="1">
        <v>45798</v>
      </c>
    </row>
    <row r="4859" spans="1:8">
      <c r="A4859" t="s">
        <v>9712</v>
      </c>
      <c r="B4859" t="s">
        <v>9713</v>
      </c>
      <c r="C4859" t="s">
        <v>31</v>
      </c>
      <c r="D4859">
        <v>56</v>
      </c>
      <c r="E4859" t="s">
        <v>112</v>
      </c>
      <c r="F4859" t="s">
        <v>113</v>
      </c>
      <c r="G4859" t="s">
        <v>78</v>
      </c>
      <c r="H4859" s="1">
        <v>45594</v>
      </c>
    </row>
    <row r="4860" spans="1:8">
      <c r="A4860" t="s">
        <v>9714</v>
      </c>
      <c r="B4860" t="s">
        <v>9715</v>
      </c>
      <c r="C4860" t="s">
        <v>31</v>
      </c>
      <c r="D4860">
        <v>55</v>
      </c>
      <c r="E4860" t="s">
        <v>15</v>
      </c>
      <c r="F4860" t="s">
        <v>16</v>
      </c>
      <c r="G4860" t="s">
        <v>17</v>
      </c>
      <c r="H4860" s="1">
        <v>45101</v>
      </c>
    </row>
    <row r="4861" spans="1:8">
      <c r="A4861" t="s">
        <v>9716</v>
      </c>
      <c r="B4861" t="s">
        <v>9717</v>
      </c>
      <c r="C4861" t="s">
        <v>31</v>
      </c>
      <c r="D4861">
        <v>67</v>
      </c>
      <c r="E4861" t="s">
        <v>63</v>
      </c>
      <c r="F4861" t="s">
        <v>64</v>
      </c>
      <c r="G4861" t="s">
        <v>12</v>
      </c>
      <c r="H4861" s="1">
        <v>44679</v>
      </c>
    </row>
    <row r="4862" spans="1:8">
      <c r="A4862" t="s">
        <v>9718</v>
      </c>
      <c r="B4862" t="s">
        <v>9719</v>
      </c>
      <c r="C4862" t="s">
        <v>10</v>
      </c>
      <c r="D4862">
        <v>40</v>
      </c>
      <c r="E4862" t="s">
        <v>101</v>
      </c>
      <c r="F4862" t="s">
        <v>21</v>
      </c>
      <c r="G4862" t="s">
        <v>22</v>
      </c>
      <c r="H4862" s="1">
        <v>45093</v>
      </c>
    </row>
    <row r="4863" spans="1:8">
      <c r="A4863" t="s">
        <v>9720</v>
      </c>
      <c r="B4863" t="s">
        <v>9721</v>
      </c>
      <c r="C4863" t="s">
        <v>10</v>
      </c>
      <c r="D4863">
        <v>48</v>
      </c>
      <c r="E4863" t="s">
        <v>27</v>
      </c>
      <c r="F4863" t="s">
        <v>28</v>
      </c>
      <c r="G4863" t="s">
        <v>12</v>
      </c>
      <c r="H4863" s="1">
        <v>45798</v>
      </c>
    </row>
    <row r="4864" spans="1:8">
      <c r="A4864" t="s">
        <v>9722</v>
      </c>
      <c r="B4864" t="s">
        <v>9723</v>
      </c>
      <c r="C4864" t="s">
        <v>31</v>
      </c>
      <c r="D4864">
        <v>56</v>
      </c>
      <c r="E4864" t="s">
        <v>41</v>
      </c>
      <c r="F4864" t="s">
        <v>42</v>
      </c>
      <c r="G4864" t="s">
        <v>17</v>
      </c>
      <c r="H4864" s="1">
        <v>44733</v>
      </c>
    </row>
    <row r="4865" spans="1:8">
      <c r="A4865" t="s">
        <v>9724</v>
      </c>
      <c r="B4865" t="s">
        <v>9725</v>
      </c>
      <c r="C4865" t="s">
        <v>10</v>
      </c>
      <c r="D4865">
        <v>38</v>
      </c>
      <c r="E4865" t="s">
        <v>112</v>
      </c>
      <c r="F4865" t="s">
        <v>113</v>
      </c>
      <c r="G4865" t="s">
        <v>78</v>
      </c>
      <c r="H4865" s="1">
        <v>45089</v>
      </c>
    </row>
    <row r="4866" spans="1:8">
      <c r="A4866" t="s">
        <v>9726</v>
      </c>
      <c r="B4866" t="s">
        <v>9727</v>
      </c>
      <c r="C4866" t="s">
        <v>31</v>
      </c>
      <c r="D4866">
        <v>21</v>
      </c>
      <c r="E4866" t="s">
        <v>45</v>
      </c>
      <c r="F4866" t="s">
        <v>46</v>
      </c>
      <c r="G4866" t="s">
        <v>17</v>
      </c>
      <c r="H4866" s="1">
        <v>45404</v>
      </c>
    </row>
    <row r="4867" spans="1:8">
      <c r="A4867" t="s">
        <v>9728</v>
      </c>
      <c r="B4867" t="s">
        <v>9729</v>
      </c>
      <c r="C4867" t="s">
        <v>31</v>
      </c>
      <c r="D4867">
        <v>49</v>
      </c>
      <c r="E4867" t="s">
        <v>27</v>
      </c>
      <c r="F4867" t="s">
        <v>28</v>
      </c>
      <c r="G4867" t="s">
        <v>12</v>
      </c>
      <c r="H4867" s="1">
        <v>45781</v>
      </c>
    </row>
    <row r="4868" spans="1:8">
      <c r="A4868" t="s">
        <v>9730</v>
      </c>
      <c r="B4868" t="s">
        <v>9731</v>
      </c>
      <c r="C4868" t="s">
        <v>10</v>
      </c>
      <c r="D4868">
        <v>45</v>
      </c>
      <c r="E4868" t="s">
        <v>134</v>
      </c>
      <c r="F4868" t="s">
        <v>28</v>
      </c>
      <c r="G4868" t="s">
        <v>12</v>
      </c>
      <c r="H4868" s="1">
        <v>45083</v>
      </c>
    </row>
    <row r="4869" spans="1:8">
      <c r="A4869" t="s">
        <v>9732</v>
      </c>
      <c r="B4869" t="s">
        <v>9733</v>
      </c>
      <c r="C4869" t="s">
        <v>10</v>
      </c>
      <c r="D4869">
        <v>33</v>
      </c>
      <c r="E4869" t="s">
        <v>128</v>
      </c>
      <c r="F4869" t="s">
        <v>129</v>
      </c>
      <c r="G4869" t="s">
        <v>78</v>
      </c>
      <c r="H4869" s="1">
        <v>46004</v>
      </c>
    </row>
    <row r="4870" spans="1:8">
      <c r="A4870" t="s">
        <v>9734</v>
      </c>
      <c r="B4870" t="s">
        <v>9735</v>
      </c>
      <c r="C4870" t="s">
        <v>10</v>
      </c>
      <c r="D4870">
        <v>29</v>
      </c>
      <c r="E4870" t="s">
        <v>128</v>
      </c>
      <c r="F4870" t="s">
        <v>129</v>
      </c>
      <c r="G4870" t="s">
        <v>78</v>
      </c>
      <c r="H4870" s="1">
        <v>45093</v>
      </c>
    </row>
    <row r="4871" spans="1:8">
      <c r="A4871" t="s">
        <v>9736</v>
      </c>
      <c r="B4871" t="s">
        <v>9737</v>
      </c>
      <c r="C4871" t="s">
        <v>31</v>
      </c>
      <c r="D4871">
        <v>64</v>
      </c>
      <c r="E4871" t="s">
        <v>149</v>
      </c>
      <c r="F4871" t="s">
        <v>38</v>
      </c>
      <c r="G4871" t="s">
        <v>22</v>
      </c>
      <c r="H4871" s="1">
        <v>44828</v>
      </c>
    </row>
    <row r="4872" spans="1:8">
      <c r="A4872" t="s">
        <v>9738</v>
      </c>
      <c r="B4872" t="s">
        <v>9739</v>
      </c>
      <c r="C4872" t="s">
        <v>10</v>
      </c>
      <c r="D4872">
        <v>29</v>
      </c>
      <c r="E4872" t="s">
        <v>15</v>
      </c>
      <c r="F4872" t="s">
        <v>16</v>
      </c>
      <c r="G4872" t="s">
        <v>17</v>
      </c>
      <c r="H4872" s="1">
        <v>46008</v>
      </c>
    </row>
    <row r="4873" spans="1:8">
      <c r="A4873" t="s">
        <v>9740</v>
      </c>
      <c r="B4873" t="s">
        <v>9741</v>
      </c>
      <c r="C4873" t="s">
        <v>10</v>
      </c>
      <c r="D4873">
        <v>24</v>
      </c>
      <c r="E4873" t="s">
        <v>76</v>
      </c>
      <c r="F4873" t="s">
        <v>77</v>
      </c>
      <c r="G4873" t="s">
        <v>78</v>
      </c>
      <c r="H4873" s="1">
        <v>45549</v>
      </c>
    </row>
    <row r="4874" spans="1:8">
      <c r="A4874" t="s">
        <v>9742</v>
      </c>
      <c r="B4874" t="s">
        <v>9743</v>
      </c>
      <c r="C4874" t="s">
        <v>31</v>
      </c>
      <c r="D4874">
        <v>45</v>
      </c>
      <c r="E4874" t="s">
        <v>69</v>
      </c>
      <c r="F4874" t="s">
        <v>69</v>
      </c>
      <c r="G4874" t="s">
        <v>12</v>
      </c>
      <c r="H4874" s="1">
        <v>45321</v>
      </c>
    </row>
    <row r="4875" spans="1:8">
      <c r="A4875" t="s">
        <v>9744</v>
      </c>
      <c r="B4875" t="s">
        <v>9745</v>
      </c>
      <c r="C4875" t="s">
        <v>31</v>
      </c>
      <c r="D4875">
        <v>28</v>
      </c>
      <c r="E4875" t="s">
        <v>69</v>
      </c>
      <c r="F4875" t="s">
        <v>69</v>
      </c>
      <c r="G4875" t="s">
        <v>12</v>
      </c>
      <c r="H4875" s="1">
        <v>44780</v>
      </c>
    </row>
    <row r="4876" spans="1:8">
      <c r="A4876" t="s">
        <v>9746</v>
      </c>
      <c r="B4876" t="s">
        <v>9747</v>
      </c>
      <c r="C4876" t="s">
        <v>31</v>
      </c>
      <c r="D4876">
        <v>25</v>
      </c>
      <c r="E4876" t="s">
        <v>45</v>
      </c>
      <c r="F4876" t="s">
        <v>46</v>
      </c>
      <c r="G4876" t="s">
        <v>17</v>
      </c>
      <c r="H4876" s="1">
        <v>44884</v>
      </c>
    </row>
    <row r="4877" spans="1:8">
      <c r="A4877" t="s">
        <v>9748</v>
      </c>
      <c r="B4877" t="s">
        <v>9749</v>
      </c>
      <c r="C4877" t="s">
        <v>10</v>
      </c>
      <c r="D4877">
        <v>20</v>
      </c>
      <c r="E4877" t="s">
        <v>218</v>
      </c>
      <c r="F4877" t="s">
        <v>219</v>
      </c>
      <c r="G4877" t="s">
        <v>17</v>
      </c>
      <c r="H4877" s="1">
        <v>45389</v>
      </c>
    </row>
    <row r="4878" spans="1:8">
      <c r="A4878" t="s">
        <v>9750</v>
      </c>
      <c r="B4878" t="s">
        <v>9751</v>
      </c>
      <c r="C4878" t="s">
        <v>10</v>
      </c>
      <c r="D4878">
        <v>31</v>
      </c>
      <c r="E4878" t="s">
        <v>20</v>
      </c>
      <c r="F4878" t="s">
        <v>21</v>
      </c>
      <c r="G4878" t="s">
        <v>22</v>
      </c>
      <c r="H4878" s="1">
        <v>45432</v>
      </c>
    </row>
    <row r="4879" spans="1:8">
      <c r="A4879" t="s">
        <v>9752</v>
      </c>
      <c r="B4879" t="s">
        <v>9753</v>
      </c>
      <c r="C4879" t="s">
        <v>10</v>
      </c>
      <c r="D4879">
        <v>29</v>
      </c>
      <c r="E4879" t="s">
        <v>63</v>
      </c>
      <c r="F4879" t="s">
        <v>64</v>
      </c>
      <c r="G4879" t="s">
        <v>12</v>
      </c>
      <c r="H4879" s="1">
        <v>44945</v>
      </c>
    </row>
    <row r="4880" spans="1:8">
      <c r="A4880" t="s">
        <v>9754</v>
      </c>
      <c r="B4880" t="s">
        <v>9755</v>
      </c>
      <c r="C4880" t="s">
        <v>10</v>
      </c>
      <c r="D4880">
        <v>24</v>
      </c>
      <c r="E4880" t="s">
        <v>27</v>
      </c>
      <c r="F4880" t="s">
        <v>28</v>
      </c>
      <c r="G4880" t="s">
        <v>12</v>
      </c>
      <c r="H4880" s="1">
        <v>45687</v>
      </c>
    </row>
    <row r="4881" spans="1:8">
      <c r="A4881" t="s">
        <v>9756</v>
      </c>
      <c r="B4881" t="s">
        <v>9757</v>
      </c>
      <c r="C4881" t="s">
        <v>31</v>
      </c>
      <c r="D4881">
        <v>35</v>
      </c>
      <c r="E4881" t="s">
        <v>91</v>
      </c>
      <c r="F4881" t="s">
        <v>92</v>
      </c>
      <c r="G4881" t="s">
        <v>78</v>
      </c>
      <c r="H4881" s="1">
        <v>44939</v>
      </c>
    </row>
    <row r="4882" spans="1:8">
      <c r="A4882" t="s">
        <v>9758</v>
      </c>
      <c r="B4882" t="s">
        <v>9759</v>
      </c>
      <c r="C4882" t="s">
        <v>31</v>
      </c>
      <c r="D4882">
        <v>52</v>
      </c>
      <c r="E4882" t="s">
        <v>20</v>
      </c>
      <c r="F4882" t="s">
        <v>21</v>
      </c>
      <c r="G4882" t="s">
        <v>22</v>
      </c>
      <c r="H4882" s="1">
        <v>44686</v>
      </c>
    </row>
    <row r="4883" spans="1:8">
      <c r="A4883" t="s">
        <v>9760</v>
      </c>
      <c r="B4883" t="s">
        <v>9761</v>
      </c>
      <c r="C4883" t="s">
        <v>31</v>
      </c>
      <c r="D4883">
        <v>66</v>
      </c>
      <c r="E4883" t="s">
        <v>15</v>
      </c>
      <c r="F4883" t="s">
        <v>16</v>
      </c>
      <c r="G4883" t="s">
        <v>17</v>
      </c>
      <c r="H4883" s="1">
        <v>45484</v>
      </c>
    </row>
    <row r="4884" spans="1:8">
      <c r="A4884" t="s">
        <v>9762</v>
      </c>
      <c r="B4884" t="s">
        <v>9763</v>
      </c>
      <c r="C4884" t="s">
        <v>31</v>
      </c>
      <c r="D4884">
        <v>30</v>
      </c>
      <c r="E4884" t="s">
        <v>34</v>
      </c>
      <c r="F4884" t="s">
        <v>16</v>
      </c>
      <c r="G4884" t="s">
        <v>17</v>
      </c>
      <c r="H4884" s="1">
        <v>44726</v>
      </c>
    </row>
    <row r="4885" spans="1:8">
      <c r="A4885" t="s">
        <v>9764</v>
      </c>
      <c r="B4885" t="s">
        <v>9765</v>
      </c>
      <c r="C4885" t="s">
        <v>10</v>
      </c>
      <c r="D4885">
        <v>20</v>
      </c>
      <c r="E4885" t="s">
        <v>20</v>
      </c>
      <c r="F4885" t="s">
        <v>21</v>
      </c>
      <c r="G4885" t="s">
        <v>22</v>
      </c>
      <c r="H4885" s="1">
        <v>45263</v>
      </c>
    </row>
    <row r="4886" spans="1:8">
      <c r="A4886" t="s">
        <v>9766</v>
      </c>
      <c r="B4886" t="s">
        <v>9767</v>
      </c>
      <c r="C4886" t="s">
        <v>10</v>
      </c>
      <c r="D4886">
        <v>44</v>
      </c>
      <c r="E4886" t="s">
        <v>34</v>
      </c>
      <c r="F4886" t="s">
        <v>16</v>
      </c>
      <c r="G4886" t="s">
        <v>17</v>
      </c>
      <c r="H4886" s="1">
        <v>44989</v>
      </c>
    </row>
    <row r="4887" spans="1:8">
      <c r="A4887" t="s">
        <v>9768</v>
      </c>
      <c r="B4887" t="s">
        <v>9769</v>
      </c>
      <c r="C4887" t="s">
        <v>31</v>
      </c>
      <c r="D4887">
        <v>42</v>
      </c>
      <c r="E4887" t="s">
        <v>76</v>
      </c>
      <c r="F4887" t="s">
        <v>77</v>
      </c>
      <c r="G4887" t="s">
        <v>78</v>
      </c>
      <c r="H4887" s="1">
        <v>45081</v>
      </c>
    </row>
    <row r="4888" spans="1:8">
      <c r="A4888" t="s">
        <v>9770</v>
      </c>
      <c r="B4888" t="s">
        <v>9771</v>
      </c>
      <c r="C4888" t="s">
        <v>10</v>
      </c>
      <c r="D4888">
        <v>54</v>
      </c>
      <c r="E4888" t="s">
        <v>20</v>
      </c>
      <c r="F4888" t="s">
        <v>21</v>
      </c>
      <c r="G4888" t="s">
        <v>22</v>
      </c>
      <c r="H4888" s="1">
        <v>45464</v>
      </c>
    </row>
    <row r="4889" spans="1:8">
      <c r="A4889" t="s">
        <v>9772</v>
      </c>
      <c r="B4889" t="s">
        <v>9773</v>
      </c>
      <c r="C4889" t="s">
        <v>10</v>
      </c>
      <c r="D4889">
        <v>53</v>
      </c>
      <c r="E4889" t="s">
        <v>41</v>
      </c>
      <c r="F4889" t="s">
        <v>42</v>
      </c>
      <c r="G4889" t="s">
        <v>17</v>
      </c>
      <c r="H4889" s="1">
        <v>45449</v>
      </c>
    </row>
    <row r="4890" spans="1:8">
      <c r="A4890" t="s">
        <v>9774</v>
      </c>
      <c r="B4890" t="s">
        <v>9775</v>
      </c>
      <c r="C4890" t="s">
        <v>10</v>
      </c>
      <c r="D4890">
        <v>65</v>
      </c>
      <c r="E4890" t="s">
        <v>34</v>
      </c>
      <c r="F4890" t="s">
        <v>16</v>
      </c>
      <c r="G4890" t="s">
        <v>17</v>
      </c>
      <c r="H4890" s="1">
        <v>45714</v>
      </c>
    </row>
    <row r="4891" spans="1:8">
      <c r="A4891" t="s">
        <v>9776</v>
      </c>
      <c r="B4891" t="s">
        <v>9777</v>
      </c>
      <c r="C4891" t="s">
        <v>10</v>
      </c>
      <c r="D4891">
        <v>28</v>
      </c>
      <c r="E4891" t="s">
        <v>37</v>
      </c>
      <c r="F4891" t="s">
        <v>38</v>
      </c>
      <c r="G4891" t="s">
        <v>22</v>
      </c>
      <c r="H4891" s="1">
        <v>45094</v>
      </c>
    </row>
    <row r="4892" spans="1:8">
      <c r="A4892" t="s">
        <v>9778</v>
      </c>
      <c r="B4892" t="s">
        <v>9779</v>
      </c>
      <c r="C4892" t="s">
        <v>31</v>
      </c>
      <c r="D4892">
        <v>24</v>
      </c>
      <c r="E4892" t="s">
        <v>128</v>
      </c>
      <c r="F4892" t="s">
        <v>129</v>
      </c>
      <c r="G4892" t="s">
        <v>78</v>
      </c>
      <c r="H4892" s="1">
        <v>45816</v>
      </c>
    </row>
    <row r="4893" spans="1:8">
      <c r="A4893" t="s">
        <v>9780</v>
      </c>
      <c r="B4893" t="s">
        <v>9781</v>
      </c>
      <c r="C4893" t="s">
        <v>10</v>
      </c>
      <c r="D4893">
        <v>26</v>
      </c>
      <c r="E4893" t="s">
        <v>63</v>
      </c>
      <c r="F4893" t="s">
        <v>64</v>
      </c>
      <c r="G4893" t="s">
        <v>12</v>
      </c>
      <c r="H4893" s="1">
        <v>45800</v>
      </c>
    </row>
    <row r="4894" spans="1:8">
      <c r="A4894" t="s">
        <v>9782</v>
      </c>
      <c r="B4894" t="s">
        <v>9783</v>
      </c>
      <c r="C4894" t="s">
        <v>10</v>
      </c>
      <c r="D4894">
        <v>52</v>
      </c>
      <c r="E4894" t="s">
        <v>101</v>
      </c>
      <c r="F4894" t="s">
        <v>21</v>
      </c>
      <c r="G4894" t="s">
        <v>22</v>
      </c>
      <c r="H4894" s="1">
        <v>45572</v>
      </c>
    </row>
    <row r="4895" spans="1:8">
      <c r="A4895" t="s">
        <v>9784</v>
      </c>
      <c r="B4895" t="s">
        <v>9785</v>
      </c>
      <c r="C4895" t="s">
        <v>10</v>
      </c>
      <c r="D4895">
        <v>70</v>
      </c>
      <c r="E4895" t="s">
        <v>76</v>
      </c>
      <c r="F4895" t="s">
        <v>77</v>
      </c>
      <c r="G4895" t="s">
        <v>78</v>
      </c>
      <c r="H4895" s="1">
        <v>45734</v>
      </c>
    </row>
    <row r="4896" spans="1:8">
      <c r="A4896" t="s">
        <v>9786</v>
      </c>
      <c r="B4896" t="s">
        <v>9787</v>
      </c>
      <c r="C4896" t="s">
        <v>10</v>
      </c>
      <c r="D4896">
        <v>37</v>
      </c>
      <c r="E4896" t="s">
        <v>37</v>
      </c>
      <c r="F4896" t="s">
        <v>38</v>
      </c>
      <c r="G4896" t="s">
        <v>22</v>
      </c>
      <c r="H4896" s="1">
        <v>45897</v>
      </c>
    </row>
    <row r="4897" spans="1:8">
      <c r="A4897" t="s">
        <v>9788</v>
      </c>
      <c r="B4897" t="s">
        <v>9789</v>
      </c>
      <c r="C4897" t="s">
        <v>10</v>
      </c>
      <c r="D4897">
        <v>26</v>
      </c>
      <c r="E4897" t="s">
        <v>128</v>
      </c>
      <c r="F4897" t="s">
        <v>129</v>
      </c>
      <c r="G4897" t="s">
        <v>78</v>
      </c>
      <c r="H4897" s="1">
        <v>45441</v>
      </c>
    </row>
    <row r="4898" spans="1:8">
      <c r="A4898" t="s">
        <v>9790</v>
      </c>
      <c r="B4898" t="s">
        <v>9791</v>
      </c>
      <c r="C4898" t="s">
        <v>31</v>
      </c>
      <c r="D4898">
        <v>59</v>
      </c>
      <c r="E4898" t="s">
        <v>112</v>
      </c>
      <c r="F4898" t="s">
        <v>113</v>
      </c>
      <c r="G4898" t="s">
        <v>78</v>
      </c>
      <c r="H4898" s="1">
        <v>45488</v>
      </c>
    </row>
    <row r="4899" spans="1:8">
      <c r="A4899" t="s">
        <v>9792</v>
      </c>
      <c r="B4899" t="s">
        <v>9793</v>
      </c>
      <c r="C4899" t="s">
        <v>10</v>
      </c>
      <c r="D4899">
        <v>53</v>
      </c>
      <c r="E4899" t="s">
        <v>101</v>
      </c>
      <c r="F4899" t="s">
        <v>21</v>
      </c>
      <c r="G4899" t="s">
        <v>22</v>
      </c>
      <c r="H4899" s="1">
        <v>45491</v>
      </c>
    </row>
    <row r="4900" spans="1:8">
      <c r="A4900" t="s">
        <v>9794</v>
      </c>
      <c r="B4900" t="s">
        <v>9795</v>
      </c>
      <c r="C4900" t="s">
        <v>31</v>
      </c>
      <c r="D4900">
        <v>34</v>
      </c>
      <c r="E4900" t="s">
        <v>134</v>
      </c>
      <c r="F4900" t="s">
        <v>28</v>
      </c>
      <c r="G4900" t="s">
        <v>12</v>
      </c>
      <c r="H4900" s="1">
        <v>44982</v>
      </c>
    </row>
    <row r="4901" spans="1:8">
      <c r="A4901" t="s">
        <v>9796</v>
      </c>
      <c r="B4901" t="s">
        <v>9797</v>
      </c>
      <c r="C4901" t="s">
        <v>10</v>
      </c>
      <c r="D4901">
        <v>46</v>
      </c>
      <c r="E4901" t="s">
        <v>27</v>
      </c>
      <c r="F4901" t="s">
        <v>28</v>
      </c>
      <c r="G4901" t="s">
        <v>12</v>
      </c>
      <c r="H4901" s="1">
        <v>45327</v>
      </c>
    </row>
    <row r="4902" spans="1:8">
      <c r="A4902" t="s">
        <v>9798</v>
      </c>
      <c r="B4902" t="s">
        <v>9799</v>
      </c>
      <c r="C4902" t="s">
        <v>31</v>
      </c>
      <c r="D4902">
        <v>37</v>
      </c>
      <c r="E4902" t="s">
        <v>27</v>
      </c>
      <c r="F4902" t="s">
        <v>28</v>
      </c>
      <c r="G4902" t="s">
        <v>12</v>
      </c>
      <c r="H4902" s="1">
        <v>45680</v>
      </c>
    </row>
    <row r="4903" spans="1:8">
      <c r="A4903" t="s">
        <v>9800</v>
      </c>
      <c r="B4903" t="s">
        <v>9801</v>
      </c>
      <c r="C4903" t="s">
        <v>31</v>
      </c>
      <c r="D4903">
        <v>66</v>
      </c>
      <c r="E4903" t="s">
        <v>69</v>
      </c>
      <c r="F4903" t="s">
        <v>69</v>
      </c>
      <c r="G4903" t="s">
        <v>12</v>
      </c>
      <c r="H4903" s="1">
        <v>45576</v>
      </c>
    </row>
    <row r="4904" spans="1:8">
      <c r="A4904" t="s">
        <v>9802</v>
      </c>
      <c r="B4904" t="s">
        <v>9803</v>
      </c>
      <c r="C4904" t="s">
        <v>10</v>
      </c>
      <c r="D4904">
        <v>52</v>
      </c>
      <c r="E4904" t="s">
        <v>20</v>
      </c>
      <c r="F4904" t="s">
        <v>21</v>
      </c>
      <c r="G4904" t="s">
        <v>22</v>
      </c>
      <c r="H4904" s="1">
        <v>44909</v>
      </c>
    </row>
    <row r="4905" spans="1:8">
      <c r="A4905" t="s">
        <v>9804</v>
      </c>
      <c r="B4905" t="s">
        <v>9805</v>
      </c>
      <c r="C4905" t="s">
        <v>10</v>
      </c>
      <c r="D4905">
        <v>56</v>
      </c>
      <c r="E4905" t="s">
        <v>15</v>
      </c>
      <c r="F4905" t="s">
        <v>16</v>
      </c>
      <c r="G4905" t="s">
        <v>17</v>
      </c>
      <c r="H4905" s="1">
        <v>45719</v>
      </c>
    </row>
    <row r="4906" spans="1:8">
      <c r="A4906" t="s">
        <v>9806</v>
      </c>
      <c r="B4906" t="s">
        <v>9807</v>
      </c>
      <c r="C4906" t="s">
        <v>31</v>
      </c>
      <c r="D4906">
        <v>67</v>
      </c>
      <c r="E4906" t="s">
        <v>34</v>
      </c>
      <c r="F4906" t="s">
        <v>16</v>
      </c>
      <c r="G4906" t="s">
        <v>17</v>
      </c>
      <c r="H4906" s="1">
        <v>44721</v>
      </c>
    </row>
    <row r="4907" spans="1:8">
      <c r="A4907" t="s">
        <v>9808</v>
      </c>
      <c r="B4907" t="s">
        <v>9809</v>
      </c>
      <c r="C4907" t="s">
        <v>10</v>
      </c>
      <c r="D4907">
        <v>35</v>
      </c>
      <c r="E4907" t="s">
        <v>91</v>
      </c>
      <c r="F4907" t="s">
        <v>92</v>
      </c>
      <c r="G4907" t="s">
        <v>78</v>
      </c>
      <c r="H4907" s="1">
        <v>45049</v>
      </c>
    </row>
    <row r="4908" spans="1:8">
      <c r="A4908" t="s">
        <v>9810</v>
      </c>
      <c r="B4908" t="s">
        <v>9811</v>
      </c>
      <c r="C4908" t="s">
        <v>10</v>
      </c>
      <c r="D4908">
        <v>29</v>
      </c>
      <c r="E4908" t="s">
        <v>218</v>
      </c>
      <c r="F4908" t="s">
        <v>219</v>
      </c>
      <c r="G4908" t="s">
        <v>17</v>
      </c>
      <c r="H4908" s="1">
        <v>44632</v>
      </c>
    </row>
    <row r="4909" spans="1:8">
      <c r="A4909" t="s">
        <v>9812</v>
      </c>
      <c r="B4909" t="s">
        <v>1864</v>
      </c>
      <c r="C4909" t="s">
        <v>10</v>
      </c>
      <c r="D4909">
        <v>31</v>
      </c>
      <c r="E4909" t="s">
        <v>91</v>
      </c>
      <c r="F4909" t="s">
        <v>92</v>
      </c>
      <c r="G4909" t="s">
        <v>78</v>
      </c>
      <c r="H4909" s="1">
        <v>44956</v>
      </c>
    </row>
    <row r="4910" spans="1:8">
      <c r="A4910" t="s">
        <v>9813</v>
      </c>
      <c r="B4910" t="s">
        <v>9814</v>
      </c>
      <c r="C4910" t="s">
        <v>31</v>
      </c>
      <c r="D4910">
        <v>22</v>
      </c>
      <c r="E4910" t="s">
        <v>34</v>
      </c>
      <c r="F4910" t="s">
        <v>16</v>
      </c>
      <c r="G4910" t="s">
        <v>17</v>
      </c>
      <c r="H4910" s="1">
        <v>45063</v>
      </c>
    </row>
    <row r="4911" spans="1:8">
      <c r="A4911" t="s">
        <v>9815</v>
      </c>
      <c r="B4911" t="s">
        <v>9816</v>
      </c>
      <c r="C4911" t="s">
        <v>31</v>
      </c>
      <c r="D4911">
        <v>40</v>
      </c>
      <c r="E4911" t="s">
        <v>45</v>
      </c>
      <c r="F4911" t="s">
        <v>46</v>
      </c>
      <c r="G4911" t="s">
        <v>17</v>
      </c>
      <c r="H4911" s="1">
        <v>45897</v>
      </c>
    </row>
    <row r="4912" spans="1:8">
      <c r="A4912" t="s">
        <v>9817</v>
      </c>
      <c r="B4912" t="s">
        <v>9818</v>
      </c>
      <c r="C4912" t="s">
        <v>10</v>
      </c>
      <c r="D4912">
        <v>39</v>
      </c>
      <c r="E4912" t="s">
        <v>87</v>
      </c>
      <c r="F4912" t="s">
        <v>88</v>
      </c>
      <c r="G4912" t="s">
        <v>78</v>
      </c>
      <c r="H4912" s="1">
        <v>44794</v>
      </c>
    </row>
    <row r="4913" spans="1:8">
      <c r="A4913" t="s">
        <v>9819</v>
      </c>
      <c r="B4913" t="s">
        <v>9820</v>
      </c>
      <c r="C4913" t="s">
        <v>31</v>
      </c>
      <c r="D4913">
        <v>55</v>
      </c>
      <c r="E4913" t="s">
        <v>15</v>
      </c>
      <c r="F4913" t="s">
        <v>16</v>
      </c>
      <c r="G4913" t="s">
        <v>17</v>
      </c>
      <c r="H4913" s="1">
        <v>45024</v>
      </c>
    </row>
    <row r="4914" spans="1:8">
      <c r="A4914" t="s">
        <v>9821</v>
      </c>
      <c r="B4914" t="s">
        <v>9822</v>
      </c>
      <c r="C4914" t="s">
        <v>31</v>
      </c>
      <c r="D4914">
        <v>62</v>
      </c>
      <c r="E4914" t="s">
        <v>60</v>
      </c>
      <c r="F4914" t="s">
        <v>21</v>
      </c>
      <c r="G4914" t="s">
        <v>22</v>
      </c>
      <c r="H4914" s="1">
        <v>45709</v>
      </c>
    </row>
    <row r="4915" spans="1:8">
      <c r="A4915" t="s">
        <v>9823</v>
      </c>
      <c r="B4915" t="s">
        <v>9824</v>
      </c>
      <c r="C4915" t="s">
        <v>10</v>
      </c>
      <c r="D4915">
        <v>30</v>
      </c>
      <c r="E4915" t="s">
        <v>27</v>
      </c>
      <c r="F4915" t="s">
        <v>28</v>
      </c>
      <c r="G4915" t="s">
        <v>12</v>
      </c>
      <c r="H4915" s="1">
        <v>44958</v>
      </c>
    </row>
    <row r="4916" spans="1:8">
      <c r="A4916" t="s">
        <v>9825</v>
      </c>
      <c r="B4916" t="s">
        <v>9826</v>
      </c>
      <c r="C4916" t="s">
        <v>31</v>
      </c>
      <c r="D4916">
        <v>28</v>
      </c>
      <c r="E4916" t="s">
        <v>91</v>
      </c>
      <c r="F4916" t="s">
        <v>92</v>
      </c>
      <c r="G4916" t="s">
        <v>78</v>
      </c>
      <c r="H4916" s="1">
        <v>45066</v>
      </c>
    </row>
    <row r="4917" spans="1:8">
      <c r="A4917" t="s">
        <v>9827</v>
      </c>
      <c r="B4917" t="s">
        <v>9828</v>
      </c>
      <c r="C4917" t="s">
        <v>10</v>
      </c>
      <c r="D4917">
        <v>40</v>
      </c>
      <c r="E4917" t="s">
        <v>63</v>
      </c>
      <c r="F4917" t="s">
        <v>64</v>
      </c>
      <c r="G4917" t="s">
        <v>12</v>
      </c>
      <c r="H4917" s="1">
        <v>44576</v>
      </c>
    </row>
    <row r="4918" spans="1:8">
      <c r="A4918" t="s">
        <v>9829</v>
      </c>
      <c r="B4918" t="s">
        <v>9830</v>
      </c>
      <c r="C4918" t="s">
        <v>10</v>
      </c>
      <c r="D4918">
        <v>25</v>
      </c>
      <c r="E4918" t="s">
        <v>60</v>
      </c>
      <c r="F4918" t="s">
        <v>21</v>
      </c>
      <c r="G4918" t="s">
        <v>22</v>
      </c>
      <c r="H4918" s="1">
        <v>45883</v>
      </c>
    </row>
    <row r="4919" spans="1:8">
      <c r="A4919" t="s">
        <v>9831</v>
      </c>
      <c r="B4919" t="s">
        <v>9832</v>
      </c>
      <c r="C4919" t="s">
        <v>10</v>
      </c>
      <c r="D4919">
        <v>28</v>
      </c>
      <c r="E4919" t="s">
        <v>45</v>
      </c>
      <c r="F4919" t="s">
        <v>46</v>
      </c>
      <c r="G4919" t="s">
        <v>17</v>
      </c>
      <c r="H4919" s="1">
        <v>45115</v>
      </c>
    </row>
    <row r="4920" spans="1:8">
      <c r="A4920" t="s">
        <v>9833</v>
      </c>
      <c r="B4920" t="s">
        <v>9834</v>
      </c>
      <c r="C4920" t="s">
        <v>31</v>
      </c>
      <c r="D4920">
        <v>66</v>
      </c>
      <c r="E4920" t="s">
        <v>87</v>
      </c>
      <c r="F4920" t="s">
        <v>88</v>
      </c>
      <c r="G4920" t="s">
        <v>78</v>
      </c>
      <c r="H4920" s="1">
        <v>45471</v>
      </c>
    </row>
    <row r="4921" spans="1:8">
      <c r="A4921" t="s">
        <v>9835</v>
      </c>
      <c r="B4921" t="s">
        <v>9836</v>
      </c>
      <c r="C4921" t="s">
        <v>10</v>
      </c>
      <c r="D4921">
        <v>21</v>
      </c>
      <c r="E4921" t="s">
        <v>134</v>
      </c>
      <c r="F4921" t="s">
        <v>28</v>
      </c>
      <c r="G4921" t="s">
        <v>12</v>
      </c>
      <c r="H4921" s="1">
        <v>45814</v>
      </c>
    </row>
    <row r="4922" spans="1:8">
      <c r="A4922" t="s">
        <v>9837</v>
      </c>
      <c r="B4922" t="s">
        <v>9838</v>
      </c>
      <c r="C4922" t="s">
        <v>31</v>
      </c>
      <c r="D4922">
        <v>30</v>
      </c>
      <c r="E4922" t="s">
        <v>34</v>
      </c>
      <c r="F4922" t="s">
        <v>16</v>
      </c>
      <c r="G4922" t="s">
        <v>17</v>
      </c>
      <c r="H4922" s="1">
        <v>45578</v>
      </c>
    </row>
    <row r="4923" spans="1:8">
      <c r="A4923" t="s">
        <v>9839</v>
      </c>
      <c r="B4923" t="s">
        <v>5598</v>
      </c>
      <c r="C4923" t="s">
        <v>31</v>
      </c>
      <c r="D4923">
        <v>35</v>
      </c>
      <c r="E4923" t="s">
        <v>41</v>
      </c>
      <c r="F4923" t="s">
        <v>42</v>
      </c>
      <c r="G4923" t="s">
        <v>17</v>
      </c>
      <c r="H4923" s="1">
        <v>45194</v>
      </c>
    </row>
    <row r="4924" spans="1:8">
      <c r="A4924" t="s">
        <v>9840</v>
      </c>
      <c r="B4924" t="s">
        <v>9841</v>
      </c>
      <c r="C4924" t="s">
        <v>10</v>
      </c>
      <c r="D4924">
        <v>56</v>
      </c>
      <c r="E4924" t="s">
        <v>15</v>
      </c>
      <c r="F4924" t="s">
        <v>16</v>
      </c>
      <c r="G4924" t="s">
        <v>17</v>
      </c>
      <c r="H4924" s="1">
        <v>45348</v>
      </c>
    </row>
    <row r="4925" spans="1:8">
      <c r="A4925" t="s">
        <v>9842</v>
      </c>
      <c r="B4925" t="s">
        <v>9843</v>
      </c>
      <c r="C4925" t="s">
        <v>10</v>
      </c>
      <c r="D4925">
        <v>54</v>
      </c>
      <c r="E4925" t="s">
        <v>134</v>
      </c>
      <c r="F4925" t="s">
        <v>28</v>
      </c>
      <c r="G4925" t="s">
        <v>12</v>
      </c>
      <c r="H4925" s="1">
        <v>45874</v>
      </c>
    </row>
    <row r="4926" spans="1:8">
      <c r="A4926" t="s">
        <v>9844</v>
      </c>
      <c r="B4926" t="s">
        <v>9845</v>
      </c>
      <c r="C4926" t="s">
        <v>10</v>
      </c>
      <c r="D4926">
        <v>55</v>
      </c>
      <c r="E4926" t="s">
        <v>41</v>
      </c>
      <c r="F4926" t="s">
        <v>42</v>
      </c>
      <c r="G4926" t="s">
        <v>17</v>
      </c>
      <c r="H4926" s="1">
        <v>45262</v>
      </c>
    </row>
    <row r="4927" spans="1:8">
      <c r="A4927" t="s">
        <v>9846</v>
      </c>
      <c r="B4927" t="s">
        <v>9847</v>
      </c>
      <c r="C4927" t="s">
        <v>10</v>
      </c>
      <c r="D4927">
        <v>62</v>
      </c>
      <c r="E4927" t="s">
        <v>41</v>
      </c>
      <c r="F4927" t="s">
        <v>42</v>
      </c>
      <c r="G4927" t="s">
        <v>17</v>
      </c>
      <c r="H4927" s="1">
        <v>45476</v>
      </c>
    </row>
    <row r="4928" spans="1:8">
      <c r="A4928" t="s">
        <v>9848</v>
      </c>
      <c r="B4928" t="s">
        <v>9849</v>
      </c>
      <c r="C4928" t="s">
        <v>10</v>
      </c>
      <c r="D4928">
        <v>64</v>
      </c>
      <c r="E4928" t="s">
        <v>41</v>
      </c>
      <c r="F4928" t="s">
        <v>42</v>
      </c>
      <c r="G4928" t="s">
        <v>17</v>
      </c>
      <c r="H4928" s="1">
        <v>45324</v>
      </c>
    </row>
    <row r="4929" spans="1:8">
      <c r="A4929" t="s">
        <v>9850</v>
      </c>
      <c r="B4929" t="s">
        <v>9851</v>
      </c>
      <c r="C4929" t="s">
        <v>31</v>
      </c>
      <c r="D4929">
        <v>38</v>
      </c>
      <c r="E4929" t="s">
        <v>149</v>
      </c>
      <c r="F4929" t="s">
        <v>38</v>
      </c>
      <c r="G4929" t="s">
        <v>22</v>
      </c>
      <c r="H4929" s="1">
        <v>45123</v>
      </c>
    </row>
    <row r="4930" spans="1:8">
      <c r="A4930" t="s">
        <v>9852</v>
      </c>
      <c r="B4930" t="s">
        <v>9853</v>
      </c>
      <c r="C4930" t="s">
        <v>31</v>
      </c>
      <c r="D4930">
        <v>34</v>
      </c>
      <c r="E4930" t="s">
        <v>218</v>
      </c>
      <c r="F4930" t="s">
        <v>219</v>
      </c>
      <c r="G4930" t="s">
        <v>17</v>
      </c>
      <c r="H4930" s="1">
        <v>45851</v>
      </c>
    </row>
    <row r="4931" spans="1:8">
      <c r="A4931" t="s">
        <v>9854</v>
      </c>
      <c r="B4931" t="s">
        <v>9855</v>
      </c>
      <c r="C4931" t="s">
        <v>10</v>
      </c>
      <c r="D4931">
        <v>57</v>
      </c>
      <c r="E4931" t="s">
        <v>101</v>
      </c>
      <c r="F4931" t="s">
        <v>21</v>
      </c>
      <c r="G4931" t="s">
        <v>22</v>
      </c>
      <c r="H4931" s="1">
        <v>45998</v>
      </c>
    </row>
    <row r="4932" spans="1:8">
      <c r="A4932" t="s">
        <v>9856</v>
      </c>
      <c r="B4932" t="s">
        <v>9857</v>
      </c>
      <c r="C4932" t="s">
        <v>10</v>
      </c>
      <c r="D4932">
        <v>18</v>
      </c>
      <c r="E4932" t="s">
        <v>149</v>
      </c>
      <c r="F4932" t="s">
        <v>38</v>
      </c>
      <c r="G4932" t="s">
        <v>22</v>
      </c>
      <c r="H4932" s="1">
        <v>45030</v>
      </c>
    </row>
    <row r="4933" spans="1:8">
      <c r="A4933" t="s">
        <v>9858</v>
      </c>
      <c r="B4933" t="s">
        <v>9859</v>
      </c>
      <c r="C4933" t="s">
        <v>31</v>
      </c>
      <c r="D4933">
        <v>38</v>
      </c>
      <c r="E4933" t="s">
        <v>101</v>
      </c>
      <c r="F4933" t="s">
        <v>21</v>
      </c>
      <c r="G4933" t="s">
        <v>22</v>
      </c>
      <c r="H4933" s="1">
        <v>45913</v>
      </c>
    </row>
    <row r="4934" spans="1:8">
      <c r="A4934" t="s">
        <v>9860</v>
      </c>
      <c r="B4934" t="s">
        <v>9861</v>
      </c>
      <c r="C4934" t="s">
        <v>10</v>
      </c>
      <c r="D4934">
        <v>28</v>
      </c>
      <c r="E4934" t="s">
        <v>91</v>
      </c>
      <c r="F4934" t="s">
        <v>92</v>
      </c>
      <c r="G4934" t="s">
        <v>78</v>
      </c>
      <c r="H4934" s="1">
        <v>44687</v>
      </c>
    </row>
    <row r="4935" spans="1:8">
      <c r="A4935" t="s">
        <v>9862</v>
      </c>
      <c r="B4935" t="s">
        <v>9863</v>
      </c>
      <c r="C4935" t="s">
        <v>10</v>
      </c>
      <c r="D4935">
        <v>39</v>
      </c>
      <c r="E4935" t="s">
        <v>11</v>
      </c>
      <c r="F4935" t="s">
        <v>11</v>
      </c>
      <c r="G4935" t="s">
        <v>12</v>
      </c>
      <c r="H4935" s="1">
        <v>45286</v>
      </c>
    </row>
    <row r="4936" spans="1:8">
      <c r="A4936" t="s">
        <v>9864</v>
      </c>
      <c r="B4936" t="s">
        <v>9865</v>
      </c>
      <c r="C4936" t="s">
        <v>31</v>
      </c>
      <c r="D4936">
        <v>31</v>
      </c>
      <c r="E4936" t="s">
        <v>37</v>
      </c>
      <c r="F4936" t="s">
        <v>38</v>
      </c>
      <c r="G4936" t="s">
        <v>22</v>
      </c>
      <c r="H4936" s="1">
        <v>44754</v>
      </c>
    </row>
    <row r="4937" spans="1:8">
      <c r="A4937" t="s">
        <v>9866</v>
      </c>
      <c r="B4937" t="s">
        <v>9867</v>
      </c>
      <c r="C4937" t="s">
        <v>10</v>
      </c>
      <c r="D4937">
        <v>37</v>
      </c>
      <c r="E4937" t="s">
        <v>63</v>
      </c>
      <c r="F4937" t="s">
        <v>64</v>
      </c>
      <c r="G4937" t="s">
        <v>12</v>
      </c>
      <c r="H4937" s="1">
        <v>44767</v>
      </c>
    </row>
    <row r="4938" spans="1:8">
      <c r="A4938" t="s">
        <v>9868</v>
      </c>
      <c r="B4938" t="s">
        <v>4588</v>
      </c>
      <c r="C4938" t="s">
        <v>31</v>
      </c>
      <c r="D4938">
        <v>49</v>
      </c>
      <c r="E4938" t="s">
        <v>15</v>
      </c>
      <c r="F4938" t="s">
        <v>16</v>
      </c>
      <c r="G4938" t="s">
        <v>17</v>
      </c>
      <c r="H4938" s="1">
        <v>45621</v>
      </c>
    </row>
    <row r="4939" spans="1:8">
      <c r="A4939" t="s">
        <v>9869</v>
      </c>
      <c r="B4939" t="s">
        <v>9870</v>
      </c>
      <c r="C4939" t="s">
        <v>10</v>
      </c>
      <c r="D4939">
        <v>34</v>
      </c>
      <c r="E4939" t="s">
        <v>112</v>
      </c>
      <c r="F4939" t="s">
        <v>113</v>
      </c>
      <c r="G4939" t="s">
        <v>78</v>
      </c>
      <c r="H4939" s="1">
        <v>45868</v>
      </c>
    </row>
    <row r="4940" spans="1:8">
      <c r="A4940" t="s">
        <v>9871</v>
      </c>
      <c r="B4940" t="s">
        <v>9872</v>
      </c>
      <c r="C4940" t="s">
        <v>31</v>
      </c>
      <c r="D4940">
        <v>26</v>
      </c>
      <c r="E4940" t="s">
        <v>101</v>
      </c>
      <c r="F4940" t="s">
        <v>21</v>
      </c>
      <c r="G4940" t="s">
        <v>22</v>
      </c>
      <c r="H4940" s="1">
        <v>45328</v>
      </c>
    </row>
    <row r="4941" spans="1:8">
      <c r="A4941" t="s">
        <v>9873</v>
      </c>
      <c r="B4941" t="s">
        <v>9874</v>
      </c>
      <c r="C4941" t="s">
        <v>10</v>
      </c>
      <c r="D4941">
        <v>63</v>
      </c>
      <c r="E4941" t="s">
        <v>15</v>
      </c>
      <c r="F4941" t="s">
        <v>16</v>
      </c>
      <c r="G4941" t="s">
        <v>17</v>
      </c>
      <c r="H4941" s="1">
        <v>45589</v>
      </c>
    </row>
    <row r="4942" spans="1:8">
      <c r="A4942" t="s">
        <v>9875</v>
      </c>
      <c r="B4942" t="s">
        <v>9876</v>
      </c>
      <c r="C4942" t="s">
        <v>10</v>
      </c>
      <c r="D4942">
        <v>55</v>
      </c>
      <c r="E4942" t="s">
        <v>134</v>
      </c>
      <c r="F4942" t="s">
        <v>28</v>
      </c>
      <c r="G4942" t="s">
        <v>12</v>
      </c>
      <c r="H4942" s="1">
        <v>45996</v>
      </c>
    </row>
    <row r="4943" spans="1:8">
      <c r="A4943" t="s">
        <v>9877</v>
      </c>
      <c r="B4943" t="s">
        <v>9878</v>
      </c>
      <c r="C4943" t="s">
        <v>31</v>
      </c>
      <c r="D4943">
        <v>49</v>
      </c>
      <c r="E4943" t="s">
        <v>15</v>
      </c>
      <c r="F4943" t="s">
        <v>16</v>
      </c>
      <c r="G4943" t="s">
        <v>17</v>
      </c>
      <c r="H4943" s="1">
        <v>45181</v>
      </c>
    </row>
    <row r="4944" spans="1:8">
      <c r="A4944" t="s">
        <v>9879</v>
      </c>
      <c r="B4944" t="s">
        <v>9880</v>
      </c>
      <c r="C4944" t="s">
        <v>31</v>
      </c>
      <c r="D4944">
        <v>54</v>
      </c>
      <c r="E4944" t="s">
        <v>41</v>
      </c>
      <c r="F4944" t="s">
        <v>42</v>
      </c>
      <c r="G4944" t="s">
        <v>17</v>
      </c>
      <c r="H4944" s="1">
        <v>45860</v>
      </c>
    </row>
    <row r="4945" spans="1:8">
      <c r="A4945" t="s">
        <v>9881</v>
      </c>
      <c r="B4945" t="s">
        <v>9882</v>
      </c>
      <c r="C4945" t="s">
        <v>10</v>
      </c>
      <c r="D4945">
        <v>55</v>
      </c>
      <c r="E4945" t="s">
        <v>34</v>
      </c>
      <c r="F4945" t="s">
        <v>16</v>
      </c>
      <c r="G4945" t="s">
        <v>17</v>
      </c>
      <c r="H4945" s="1">
        <v>45042</v>
      </c>
    </row>
    <row r="4946" spans="1:8">
      <c r="A4946" t="s">
        <v>9883</v>
      </c>
      <c r="B4946" t="s">
        <v>9884</v>
      </c>
      <c r="C4946" t="s">
        <v>31</v>
      </c>
      <c r="D4946">
        <v>24</v>
      </c>
      <c r="E4946" t="s">
        <v>27</v>
      </c>
      <c r="F4946" t="s">
        <v>28</v>
      </c>
      <c r="G4946" t="s">
        <v>12</v>
      </c>
      <c r="H4946" s="1">
        <v>45442</v>
      </c>
    </row>
    <row r="4947" spans="1:8">
      <c r="A4947" t="s">
        <v>9885</v>
      </c>
      <c r="B4947" t="s">
        <v>9886</v>
      </c>
      <c r="C4947" t="s">
        <v>10</v>
      </c>
      <c r="D4947">
        <v>39</v>
      </c>
      <c r="E4947" t="s">
        <v>60</v>
      </c>
      <c r="F4947" t="s">
        <v>21</v>
      </c>
      <c r="G4947" t="s">
        <v>22</v>
      </c>
      <c r="H4947" s="1">
        <v>44679</v>
      </c>
    </row>
    <row r="4948" spans="1:8">
      <c r="A4948" t="s">
        <v>9887</v>
      </c>
      <c r="B4948" t="s">
        <v>9888</v>
      </c>
      <c r="C4948" t="s">
        <v>31</v>
      </c>
      <c r="D4948">
        <v>45</v>
      </c>
      <c r="E4948" t="s">
        <v>60</v>
      </c>
      <c r="F4948" t="s">
        <v>21</v>
      </c>
      <c r="G4948" t="s">
        <v>22</v>
      </c>
      <c r="H4948" s="1">
        <v>45924</v>
      </c>
    </row>
    <row r="4949" spans="1:8">
      <c r="A4949" t="s">
        <v>9889</v>
      </c>
      <c r="B4949" t="s">
        <v>9890</v>
      </c>
      <c r="C4949" t="s">
        <v>31</v>
      </c>
      <c r="D4949">
        <v>65</v>
      </c>
      <c r="E4949" t="s">
        <v>218</v>
      </c>
      <c r="F4949" t="s">
        <v>219</v>
      </c>
      <c r="G4949" t="s">
        <v>17</v>
      </c>
      <c r="H4949" s="1">
        <v>45245</v>
      </c>
    </row>
    <row r="4950" spans="1:8">
      <c r="A4950" t="s">
        <v>9891</v>
      </c>
      <c r="B4950" t="s">
        <v>9892</v>
      </c>
      <c r="C4950" t="s">
        <v>10</v>
      </c>
      <c r="D4950">
        <v>67</v>
      </c>
      <c r="E4950" t="s">
        <v>101</v>
      </c>
      <c r="F4950" t="s">
        <v>21</v>
      </c>
      <c r="G4950" t="s">
        <v>22</v>
      </c>
      <c r="H4950" s="1">
        <v>45670</v>
      </c>
    </row>
    <row r="4951" spans="1:8">
      <c r="A4951" t="s">
        <v>9893</v>
      </c>
      <c r="B4951" t="s">
        <v>9894</v>
      </c>
      <c r="C4951" t="s">
        <v>31</v>
      </c>
      <c r="D4951">
        <v>26</v>
      </c>
      <c r="E4951" t="s">
        <v>149</v>
      </c>
      <c r="F4951" t="s">
        <v>38</v>
      </c>
      <c r="G4951" t="s">
        <v>22</v>
      </c>
      <c r="H4951" s="1">
        <v>46017</v>
      </c>
    </row>
    <row r="4952" spans="1:8">
      <c r="A4952" t="s">
        <v>9895</v>
      </c>
      <c r="B4952" t="s">
        <v>3590</v>
      </c>
      <c r="C4952" t="s">
        <v>31</v>
      </c>
      <c r="D4952">
        <v>43</v>
      </c>
      <c r="E4952" t="s">
        <v>101</v>
      </c>
      <c r="F4952" t="s">
        <v>21</v>
      </c>
      <c r="G4952" t="s">
        <v>22</v>
      </c>
      <c r="H4952" s="1">
        <v>44598</v>
      </c>
    </row>
    <row r="4953" spans="1:8">
      <c r="A4953" t="s">
        <v>9896</v>
      </c>
      <c r="B4953" t="s">
        <v>9897</v>
      </c>
      <c r="C4953" t="s">
        <v>31</v>
      </c>
      <c r="D4953">
        <v>37</v>
      </c>
      <c r="E4953" t="s">
        <v>60</v>
      </c>
      <c r="F4953" t="s">
        <v>21</v>
      </c>
      <c r="G4953" t="s">
        <v>22</v>
      </c>
      <c r="H4953" s="1">
        <v>44906</v>
      </c>
    </row>
    <row r="4954" spans="1:8">
      <c r="A4954" t="s">
        <v>9898</v>
      </c>
      <c r="B4954" t="s">
        <v>9899</v>
      </c>
      <c r="C4954" t="s">
        <v>10</v>
      </c>
      <c r="D4954">
        <v>68</v>
      </c>
      <c r="E4954" t="s">
        <v>91</v>
      </c>
      <c r="F4954" t="s">
        <v>92</v>
      </c>
      <c r="G4954" t="s">
        <v>78</v>
      </c>
      <c r="H4954" s="1">
        <v>45326</v>
      </c>
    </row>
    <row r="4955" spans="1:8">
      <c r="A4955" t="s">
        <v>9900</v>
      </c>
      <c r="B4955" t="s">
        <v>9901</v>
      </c>
      <c r="C4955" t="s">
        <v>10</v>
      </c>
      <c r="D4955">
        <v>29</v>
      </c>
      <c r="E4955" t="s">
        <v>63</v>
      </c>
      <c r="F4955" t="s">
        <v>64</v>
      </c>
      <c r="G4955" t="s">
        <v>12</v>
      </c>
      <c r="H4955" s="1">
        <v>45699</v>
      </c>
    </row>
    <row r="4956" spans="1:8">
      <c r="A4956" t="s">
        <v>9902</v>
      </c>
      <c r="B4956" t="s">
        <v>9903</v>
      </c>
      <c r="C4956" t="s">
        <v>10</v>
      </c>
      <c r="D4956">
        <v>52</v>
      </c>
      <c r="E4956" t="s">
        <v>45</v>
      </c>
      <c r="F4956" t="s">
        <v>46</v>
      </c>
      <c r="G4956" t="s">
        <v>17</v>
      </c>
      <c r="H4956" s="1">
        <v>44579</v>
      </c>
    </row>
    <row r="4957" spans="1:8">
      <c r="A4957" t="s">
        <v>9904</v>
      </c>
      <c r="B4957" t="s">
        <v>9905</v>
      </c>
      <c r="C4957" t="s">
        <v>31</v>
      </c>
      <c r="D4957">
        <v>46</v>
      </c>
      <c r="E4957" t="s">
        <v>41</v>
      </c>
      <c r="F4957" t="s">
        <v>42</v>
      </c>
      <c r="G4957" t="s">
        <v>17</v>
      </c>
      <c r="H4957" s="1">
        <v>44906</v>
      </c>
    </row>
    <row r="4958" spans="1:8">
      <c r="A4958" t="s">
        <v>9906</v>
      </c>
      <c r="B4958" t="s">
        <v>9907</v>
      </c>
      <c r="C4958" t="s">
        <v>31</v>
      </c>
      <c r="D4958">
        <v>29</v>
      </c>
      <c r="E4958" t="s">
        <v>41</v>
      </c>
      <c r="F4958" t="s">
        <v>42</v>
      </c>
      <c r="G4958" t="s">
        <v>17</v>
      </c>
      <c r="H4958" s="1">
        <v>44948</v>
      </c>
    </row>
    <row r="4959" spans="1:8">
      <c r="A4959" t="s">
        <v>9908</v>
      </c>
      <c r="B4959" t="s">
        <v>2050</v>
      </c>
      <c r="C4959" t="s">
        <v>10</v>
      </c>
      <c r="D4959">
        <v>33</v>
      </c>
      <c r="E4959" t="s">
        <v>11</v>
      </c>
      <c r="F4959" t="s">
        <v>11</v>
      </c>
      <c r="G4959" t="s">
        <v>12</v>
      </c>
      <c r="H4959" s="1">
        <v>44909</v>
      </c>
    </row>
    <row r="4960" spans="1:8">
      <c r="A4960" t="s">
        <v>9909</v>
      </c>
      <c r="B4960" t="s">
        <v>9910</v>
      </c>
      <c r="C4960" t="s">
        <v>10</v>
      </c>
      <c r="D4960">
        <v>56</v>
      </c>
      <c r="E4960" t="s">
        <v>87</v>
      </c>
      <c r="F4960" t="s">
        <v>88</v>
      </c>
      <c r="G4960" t="s">
        <v>78</v>
      </c>
      <c r="H4960" s="1">
        <v>45150</v>
      </c>
    </row>
    <row r="4961" spans="1:8">
      <c r="A4961" t="s">
        <v>9911</v>
      </c>
      <c r="B4961" t="s">
        <v>9912</v>
      </c>
      <c r="C4961" t="s">
        <v>31</v>
      </c>
      <c r="D4961">
        <v>43</v>
      </c>
      <c r="E4961" t="s">
        <v>15</v>
      </c>
      <c r="F4961" t="s">
        <v>16</v>
      </c>
      <c r="G4961" t="s">
        <v>17</v>
      </c>
      <c r="H4961" s="1">
        <v>45802</v>
      </c>
    </row>
    <row r="4962" spans="1:8">
      <c r="A4962" t="s">
        <v>9913</v>
      </c>
      <c r="B4962" t="s">
        <v>9914</v>
      </c>
      <c r="C4962" t="s">
        <v>10</v>
      </c>
      <c r="D4962">
        <v>44</v>
      </c>
      <c r="E4962" t="s">
        <v>41</v>
      </c>
      <c r="F4962" t="s">
        <v>42</v>
      </c>
      <c r="G4962" t="s">
        <v>17</v>
      </c>
      <c r="H4962" s="1">
        <v>44643</v>
      </c>
    </row>
    <row r="4963" spans="1:8">
      <c r="A4963" t="s">
        <v>9915</v>
      </c>
      <c r="B4963" t="s">
        <v>9916</v>
      </c>
      <c r="C4963" t="s">
        <v>10</v>
      </c>
      <c r="D4963">
        <v>55</v>
      </c>
      <c r="E4963" t="s">
        <v>37</v>
      </c>
      <c r="F4963" t="s">
        <v>38</v>
      </c>
      <c r="G4963" t="s">
        <v>22</v>
      </c>
      <c r="H4963" s="1">
        <v>45263</v>
      </c>
    </row>
    <row r="4964" spans="1:8">
      <c r="A4964" t="s">
        <v>9917</v>
      </c>
      <c r="B4964" t="s">
        <v>9918</v>
      </c>
      <c r="C4964" t="s">
        <v>10</v>
      </c>
      <c r="D4964">
        <v>48</v>
      </c>
      <c r="E4964" t="s">
        <v>101</v>
      </c>
      <c r="F4964" t="s">
        <v>21</v>
      </c>
      <c r="G4964" t="s">
        <v>22</v>
      </c>
      <c r="H4964" s="1">
        <v>44941</v>
      </c>
    </row>
    <row r="4965" spans="1:8">
      <c r="A4965" t="s">
        <v>9919</v>
      </c>
      <c r="B4965" t="s">
        <v>9920</v>
      </c>
      <c r="C4965" t="s">
        <v>10</v>
      </c>
      <c r="D4965">
        <v>57</v>
      </c>
      <c r="E4965" t="s">
        <v>87</v>
      </c>
      <c r="F4965" t="s">
        <v>88</v>
      </c>
      <c r="G4965" t="s">
        <v>78</v>
      </c>
      <c r="H4965" s="1">
        <v>44600</v>
      </c>
    </row>
    <row r="4966" spans="1:8">
      <c r="A4966" t="s">
        <v>9921</v>
      </c>
      <c r="B4966" t="s">
        <v>9922</v>
      </c>
      <c r="C4966" t="s">
        <v>10</v>
      </c>
      <c r="D4966">
        <v>33</v>
      </c>
      <c r="E4966" t="s">
        <v>15</v>
      </c>
      <c r="F4966" t="s">
        <v>16</v>
      </c>
      <c r="G4966" t="s">
        <v>17</v>
      </c>
      <c r="H4966" s="1">
        <v>45739</v>
      </c>
    </row>
    <row r="4967" spans="1:8">
      <c r="A4967" t="s">
        <v>9923</v>
      </c>
      <c r="B4967" t="s">
        <v>9924</v>
      </c>
      <c r="C4967" t="s">
        <v>10</v>
      </c>
      <c r="D4967">
        <v>26</v>
      </c>
      <c r="E4967" t="s">
        <v>101</v>
      </c>
      <c r="F4967" t="s">
        <v>21</v>
      </c>
      <c r="G4967" t="s">
        <v>22</v>
      </c>
      <c r="H4967" s="1">
        <v>45665</v>
      </c>
    </row>
    <row r="4968" spans="1:8">
      <c r="A4968" t="s">
        <v>9925</v>
      </c>
      <c r="B4968" t="s">
        <v>9926</v>
      </c>
      <c r="C4968" t="s">
        <v>10</v>
      </c>
      <c r="D4968">
        <v>55</v>
      </c>
      <c r="E4968" t="s">
        <v>41</v>
      </c>
      <c r="F4968" t="s">
        <v>42</v>
      </c>
      <c r="G4968" t="s">
        <v>17</v>
      </c>
      <c r="H4968" s="1">
        <v>44753</v>
      </c>
    </row>
    <row r="4969" spans="1:8">
      <c r="A4969" t="s">
        <v>9927</v>
      </c>
      <c r="B4969" t="s">
        <v>9928</v>
      </c>
      <c r="C4969" t="s">
        <v>10</v>
      </c>
      <c r="D4969">
        <v>44</v>
      </c>
      <c r="E4969" t="s">
        <v>15</v>
      </c>
      <c r="F4969" t="s">
        <v>16</v>
      </c>
      <c r="G4969" t="s">
        <v>17</v>
      </c>
      <c r="H4969" s="1">
        <v>45985</v>
      </c>
    </row>
    <row r="4970" spans="1:8">
      <c r="A4970" t="s">
        <v>9929</v>
      </c>
      <c r="B4970" t="s">
        <v>9930</v>
      </c>
      <c r="C4970" t="s">
        <v>31</v>
      </c>
      <c r="D4970">
        <v>49</v>
      </c>
      <c r="E4970" t="s">
        <v>128</v>
      </c>
      <c r="F4970" t="s">
        <v>129</v>
      </c>
      <c r="G4970" t="s">
        <v>78</v>
      </c>
      <c r="H4970" s="1">
        <v>44856</v>
      </c>
    </row>
    <row r="4971" spans="1:8">
      <c r="A4971" t="s">
        <v>9931</v>
      </c>
      <c r="B4971" t="s">
        <v>9932</v>
      </c>
      <c r="C4971" t="s">
        <v>31</v>
      </c>
      <c r="D4971">
        <v>43</v>
      </c>
      <c r="E4971" t="s">
        <v>134</v>
      </c>
      <c r="F4971" t="s">
        <v>28</v>
      </c>
      <c r="G4971" t="s">
        <v>12</v>
      </c>
      <c r="H4971" s="1">
        <v>45381</v>
      </c>
    </row>
    <row r="4972" spans="1:8">
      <c r="A4972" t="s">
        <v>9933</v>
      </c>
      <c r="B4972" t="s">
        <v>9934</v>
      </c>
      <c r="C4972" t="s">
        <v>31</v>
      </c>
      <c r="D4972">
        <v>45</v>
      </c>
      <c r="E4972" t="s">
        <v>41</v>
      </c>
      <c r="F4972" t="s">
        <v>42</v>
      </c>
      <c r="G4972" t="s">
        <v>17</v>
      </c>
      <c r="H4972" s="1">
        <v>44674</v>
      </c>
    </row>
    <row r="4973" spans="1:8">
      <c r="A4973" t="s">
        <v>9935</v>
      </c>
      <c r="B4973" t="s">
        <v>9936</v>
      </c>
      <c r="C4973" t="s">
        <v>10</v>
      </c>
      <c r="D4973">
        <v>63</v>
      </c>
      <c r="E4973" t="s">
        <v>112</v>
      </c>
      <c r="F4973" t="s">
        <v>113</v>
      </c>
      <c r="G4973" t="s">
        <v>78</v>
      </c>
      <c r="H4973" s="1">
        <v>45138</v>
      </c>
    </row>
    <row r="4974" spans="1:8">
      <c r="A4974" t="s">
        <v>9937</v>
      </c>
      <c r="B4974" t="s">
        <v>9938</v>
      </c>
      <c r="C4974" t="s">
        <v>10</v>
      </c>
      <c r="D4974">
        <v>54</v>
      </c>
      <c r="E4974" t="s">
        <v>37</v>
      </c>
      <c r="F4974" t="s">
        <v>38</v>
      </c>
      <c r="G4974" t="s">
        <v>22</v>
      </c>
      <c r="H4974" s="1">
        <v>44583</v>
      </c>
    </row>
    <row r="4975" spans="1:8">
      <c r="A4975" t="s">
        <v>9939</v>
      </c>
      <c r="B4975" t="s">
        <v>9940</v>
      </c>
      <c r="C4975" t="s">
        <v>10</v>
      </c>
      <c r="D4975">
        <v>35</v>
      </c>
      <c r="E4975" t="s">
        <v>149</v>
      </c>
      <c r="F4975" t="s">
        <v>38</v>
      </c>
      <c r="G4975" t="s">
        <v>22</v>
      </c>
      <c r="H4975" s="1">
        <v>44917</v>
      </c>
    </row>
    <row r="4976" spans="1:8">
      <c r="A4976" t="s">
        <v>9941</v>
      </c>
      <c r="B4976" t="s">
        <v>9942</v>
      </c>
      <c r="C4976" t="s">
        <v>10</v>
      </c>
      <c r="D4976">
        <v>32</v>
      </c>
      <c r="E4976" t="s">
        <v>149</v>
      </c>
      <c r="F4976" t="s">
        <v>38</v>
      </c>
      <c r="G4976" t="s">
        <v>22</v>
      </c>
      <c r="H4976" s="1">
        <v>45433</v>
      </c>
    </row>
    <row r="4977" spans="1:8">
      <c r="A4977" t="s">
        <v>9943</v>
      </c>
      <c r="B4977" t="s">
        <v>9944</v>
      </c>
      <c r="C4977" t="s">
        <v>31</v>
      </c>
      <c r="D4977">
        <v>25</v>
      </c>
      <c r="E4977" t="s">
        <v>63</v>
      </c>
      <c r="F4977" t="s">
        <v>64</v>
      </c>
      <c r="G4977" t="s">
        <v>12</v>
      </c>
      <c r="H4977" s="1">
        <v>44967</v>
      </c>
    </row>
    <row r="4978" spans="1:8">
      <c r="A4978" t="s">
        <v>9945</v>
      </c>
      <c r="B4978" t="s">
        <v>9946</v>
      </c>
      <c r="C4978" t="s">
        <v>31</v>
      </c>
      <c r="D4978">
        <v>63</v>
      </c>
      <c r="E4978" t="s">
        <v>218</v>
      </c>
      <c r="F4978" t="s">
        <v>219</v>
      </c>
      <c r="G4978" t="s">
        <v>17</v>
      </c>
      <c r="H4978" s="1">
        <v>45092</v>
      </c>
    </row>
    <row r="4979" spans="1:8">
      <c r="A4979" t="s">
        <v>9947</v>
      </c>
      <c r="B4979" t="s">
        <v>9948</v>
      </c>
      <c r="C4979" t="s">
        <v>10</v>
      </c>
      <c r="D4979">
        <v>30</v>
      </c>
      <c r="E4979" t="s">
        <v>41</v>
      </c>
      <c r="F4979" t="s">
        <v>42</v>
      </c>
      <c r="G4979" t="s">
        <v>17</v>
      </c>
      <c r="H4979" s="1">
        <v>45175</v>
      </c>
    </row>
    <row r="4980" spans="1:8">
      <c r="A4980" t="s">
        <v>9949</v>
      </c>
      <c r="B4980" t="s">
        <v>9950</v>
      </c>
      <c r="C4980" t="s">
        <v>31</v>
      </c>
      <c r="D4980">
        <v>70</v>
      </c>
      <c r="E4980" t="s">
        <v>69</v>
      </c>
      <c r="F4980" t="s">
        <v>69</v>
      </c>
      <c r="G4980" t="s">
        <v>12</v>
      </c>
      <c r="H4980" s="1">
        <v>45276</v>
      </c>
    </row>
    <row r="4981" spans="1:8">
      <c r="A4981" t="s">
        <v>9951</v>
      </c>
      <c r="B4981" t="s">
        <v>9952</v>
      </c>
      <c r="C4981" t="s">
        <v>10</v>
      </c>
      <c r="D4981">
        <v>47</v>
      </c>
      <c r="E4981" t="s">
        <v>34</v>
      </c>
      <c r="F4981" t="s">
        <v>16</v>
      </c>
      <c r="G4981" t="s">
        <v>17</v>
      </c>
      <c r="H4981" s="1">
        <v>45503</v>
      </c>
    </row>
    <row r="4982" spans="1:8">
      <c r="A4982" t="s">
        <v>9953</v>
      </c>
      <c r="B4982" t="s">
        <v>9954</v>
      </c>
      <c r="C4982" t="s">
        <v>31</v>
      </c>
      <c r="D4982">
        <v>48</v>
      </c>
      <c r="E4982" t="s">
        <v>149</v>
      </c>
      <c r="F4982" t="s">
        <v>38</v>
      </c>
      <c r="G4982" t="s">
        <v>22</v>
      </c>
      <c r="H4982" s="1">
        <v>45633</v>
      </c>
    </row>
    <row r="4983" spans="1:8">
      <c r="A4983" t="s">
        <v>9955</v>
      </c>
      <c r="B4983" t="s">
        <v>9956</v>
      </c>
      <c r="C4983" t="s">
        <v>10</v>
      </c>
      <c r="D4983">
        <v>68</v>
      </c>
      <c r="E4983" t="s">
        <v>87</v>
      </c>
      <c r="F4983" t="s">
        <v>88</v>
      </c>
      <c r="G4983" t="s">
        <v>78</v>
      </c>
      <c r="H4983" s="1">
        <v>45426</v>
      </c>
    </row>
    <row r="4984" spans="1:8">
      <c r="A4984" t="s">
        <v>9957</v>
      </c>
      <c r="B4984" t="s">
        <v>9958</v>
      </c>
      <c r="C4984" t="s">
        <v>10</v>
      </c>
      <c r="D4984">
        <v>70</v>
      </c>
      <c r="E4984" t="s">
        <v>45</v>
      </c>
      <c r="F4984" t="s">
        <v>46</v>
      </c>
      <c r="G4984" t="s">
        <v>17</v>
      </c>
      <c r="H4984" s="1">
        <v>44930</v>
      </c>
    </row>
    <row r="4985" spans="1:8">
      <c r="A4985" t="s">
        <v>9959</v>
      </c>
      <c r="B4985" t="s">
        <v>9960</v>
      </c>
      <c r="C4985" t="s">
        <v>31</v>
      </c>
      <c r="D4985">
        <v>38</v>
      </c>
      <c r="E4985" t="s">
        <v>41</v>
      </c>
      <c r="F4985" t="s">
        <v>42</v>
      </c>
      <c r="G4985" t="s">
        <v>17</v>
      </c>
      <c r="H4985" s="1">
        <v>44704</v>
      </c>
    </row>
    <row r="4986" spans="1:8">
      <c r="A4986" t="s">
        <v>9961</v>
      </c>
      <c r="B4986" t="s">
        <v>1009</v>
      </c>
      <c r="C4986" t="s">
        <v>31</v>
      </c>
      <c r="D4986">
        <v>19</v>
      </c>
      <c r="E4986" t="s">
        <v>87</v>
      </c>
      <c r="F4986" t="s">
        <v>88</v>
      </c>
      <c r="G4986" t="s">
        <v>78</v>
      </c>
      <c r="H4986" s="1">
        <v>45609</v>
      </c>
    </row>
    <row r="4987" spans="1:8">
      <c r="A4987" t="s">
        <v>9962</v>
      </c>
      <c r="B4987" t="s">
        <v>9963</v>
      </c>
      <c r="C4987" t="s">
        <v>10</v>
      </c>
      <c r="D4987">
        <v>29</v>
      </c>
      <c r="E4987" t="s">
        <v>112</v>
      </c>
      <c r="F4987" t="s">
        <v>113</v>
      </c>
      <c r="G4987" t="s">
        <v>78</v>
      </c>
      <c r="H4987" s="1">
        <v>45831</v>
      </c>
    </row>
    <row r="4988" spans="1:8">
      <c r="A4988" t="s">
        <v>9964</v>
      </c>
      <c r="B4988" t="s">
        <v>9965</v>
      </c>
      <c r="C4988" t="s">
        <v>10</v>
      </c>
      <c r="D4988">
        <v>36</v>
      </c>
      <c r="E4988" t="s">
        <v>34</v>
      </c>
      <c r="F4988" t="s">
        <v>16</v>
      </c>
      <c r="G4988" t="s">
        <v>17</v>
      </c>
      <c r="H4988" s="1">
        <v>44646</v>
      </c>
    </row>
    <row r="4989" spans="1:8">
      <c r="A4989" t="s">
        <v>9966</v>
      </c>
      <c r="B4989" t="s">
        <v>9967</v>
      </c>
      <c r="C4989" t="s">
        <v>31</v>
      </c>
      <c r="D4989">
        <v>67</v>
      </c>
      <c r="E4989" t="s">
        <v>149</v>
      </c>
      <c r="F4989" t="s">
        <v>38</v>
      </c>
      <c r="G4989" t="s">
        <v>22</v>
      </c>
      <c r="H4989" s="1">
        <v>45192</v>
      </c>
    </row>
    <row r="4990" spans="1:8">
      <c r="A4990" t="s">
        <v>9968</v>
      </c>
      <c r="B4990" t="s">
        <v>9969</v>
      </c>
      <c r="C4990" t="s">
        <v>10</v>
      </c>
      <c r="D4990">
        <v>35</v>
      </c>
      <c r="E4990" t="s">
        <v>41</v>
      </c>
      <c r="F4990" t="s">
        <v>42</v>
      </c>
      <c r="G4990" t="s">
        <v>17</v>
      </c>
      <c r="H4990" s="1">
        <v>44906</v>
      </c>
    </row>
    <row r="4991" spans="1:8">
      <c r="A4991" t="s">
        <v>9970</v>
      </c>
      <c r="B4991" t="s">
        <v>9971</v>
      </c>
      <c r="C4991" t="s">
        <v>31</v>
      </c>
      <c r="D4991">
        <v>54</v>
      </c>
      <c r="E4991" t="s">
        <v>37</v>
      </c>
      <c r="F4991" t="s">
        <v>38</v>
      </c>
      <c r="G4991" t="s">
        <v>22</v>
      </c>
      <c r="H4991" s="1">
        <v>44964</v>
      </c>
    </row>
    <row r="4992" spans="1:8">
      <c r="A4992" t="s">
        <v>9972</v>
      </c>
      <c r="B4992" t="s">
        <v>9973</v>
      </c>
      <c r="C4992" t="s">
        <v>10</v>
      </c>
      <c r="D4992">
        <v>40</v>
      </c>
      <c r="E4992" t="s">
        <v>49</v>
      </c>
      <c r="F4992" t="s">
        <v>219</v>
      </c>
      <c r="G4992" t="s">
        <v>17</v>
      </c>
      <c r="H4992" s="1">
        <v>44584</v>
      </c>
    </row>
    <row r="4993" spans="1:8">
      <c r="A4993" t="s">
        <v>9974</v>
      </c>
      <c r="B4993" t="s">
        <v>9975</v>
      </c>
      <c r="C4993" t="s">
        <v>10</v>
      </c>
      <c r="D4993">
        <v>42</v>
      </c>
      <c r="E4993" t="s">
        <v>128</v>
      </c>
      <c r="F4993" t="s">
        <v>129</v>
      </c>
      <c r="G4993" t="s">
        <v>78</v>
      </c>
      <c r="H4993" s="1">
        <v>45319</v>
      </c>
    </row>
    <row r="4994" spans="1:8">
      <c r="A4994" t="s">
        <v>9976</v>
      </c>
      <c r="B4994" t="s">
        <v>9977</v>
      </c>
      <c r="C4994" t="s">
        <v>10</v>
      </c>
      <c r="D4994">
        <v>35</v>
      </c>
      <c r="E4994" t="s">
        <v>76</v>
      </c>
      <c r="F4994" t="s">
        <v>77</v>
      </c>
      <c r="G4994" t="s">
        <v>78</v>
      </c>
      <c r="H4994" s="1">
        <v>45418</v>
      </c>
    </row>
    <row r="4995" spans="1:8">
      <c r="A4995" t="s">
        <v>9978</v>
      </c>
      <c r="B4995" t="s">
        <v>9979</v>
      </c>
      <c r="C4995" t="s">
        <v>31</v>
      </c>
      <c r="D4995">
        <v>64</v>
      </c>
      <c r="E4995" t="s">
        <v>63</v>
      </c>
      <c r="F4995" t="s">
        <v>64</v>
      </c>
      <c r="G4995" t="s">
        <v>12</v>
      </c>
      <c r="H4995" s="1">
        <v>44967</v>
      </c>
    </row>
    <row r="4996" spans="1:8">
      <c r="A4996" t="s">
        <v>9980</v>
      </c>
      <c r="B4996" t="s">
        <v>9981</v>
      </c>
      <c r="C4996" t="s">
        <v>10</v>
      </c>
      <c r="D4996">
        <v>18</v>
      </c>
      <c r="E4996" t="s">
        <v>11</v>
      </c>
      <c r="F4996" t="s">
        <v>11</v>
      </c>
      <c r="G4996" t="s">
        <v>12</v>
      </c>
      <c r="H4996" s="1">
        <v>45899</v>
      </c>
    </row>
    <row r="4997" spans="1:8">
      <c r="A4997" t="s">
        <v>9982</v>
      </c>
      <c r="B4997" t="s">
        <v>9983</v>
      </c>
      <c r="C4997" t="s">
        <v>31</v>
      </c>
      <c r="D4997">
        <v>58</v>
      </c>
      <c r="E4997" t="s">
        <v>63</v>
      </c>
      <c r="F4997" t="s">
        <v>64</v>
      </c>
      <c r="G4997" t="s">
        <v>12</v>
      </c>
      <c r="H4997" s="1">
        <v>45587</v>
      </c>
    </row>
    <row r="4998" spans="1:8">
      <c r="A4998" t="s">
        <v>9984</v>
      </c>
      <c r="B4998" t="s">
        <v>9985</v>
      </c>
      <c r="C4998" t="s">
        <v>10</v>
      </c>
      <c r="D4998">
        <v>23</v>
      </c>
      <c r="E4998" t="s">
        <v>112</v>
      </c>
      <c r="F4998" t="s">
        <v>113</v>
      </c>
      <c r="G4998" t="s">
        <v>78</v>
      </c>
      <c r="H4998" s="1">
        <v>45110</v>
      </c>
    </row>
    <row r="4999" spans="1:8">
      <c r="A4999" t="s">
        <v>9986</v>
      </c>
      <c r="B4999" t="s">
        <v>9987</v>
      </c>
      <c r="C4999" t="s">
        <v>31</v>
      </c>
      <c r="D4999">
        <v>67</v>
      </c>
      <c r="E4999" t="s">
        <v>37</v>
      </c>
      <c r="F4999" t="s">
        <v>38</v>
      </c>
      <c r="G4999" t="s">
        <v>22</v>
      </c>
      <c r="H4999" s="1">
        <v>45042</v>
      </c>
    </row>
    <row r="5000" spans="1:8">
      <c r="A5000" t="s">
        <v>9988</v>
      </c>
      <c r="B5000" t="s">
        <v>9989</v>
      </c>
      <c r="C5000" t="s">
        <v>10</v>
      </c>
      <c r="D5000">
        <v>48</v>
      </c>
      <c r="E5000" t="s">
        <v>11</v>
      </c>
      <c r="F5000" t="s">
        <v>11</v>
      </c>
      <c r="G5000" t="s">
        <v>12</v>
      </c>
      <c r="H5000" s="1">
        <v>44628</v>
      </c>
    </row>
    <row r="5001" spans="1:8">
      <c r="A5001" t="s">
        <v>9990</v>
      </c>
      <c r="B5001" t="s">
        <v>9991</v>
      </c>
      <c r="C5001" t="s">
        <v>31</v>
      </c>
      <c r="D5001">
        <v>21</v>
      </c>
      <c r="E5001" t="s">
        <v>37</v>
      </c>
      <c r="F5001" t="s">
        <v>38</v>
      </c>
      <c r="G5001" t="s">
        <v>22</v>
      </c>
      <c r="H5001" s="1">
        <v>45938</v>
      </c>
    </row>
    <row r="5002" spans="1:8">
      <c r="A5002" t="s">
        <v>9992</v>
      </c>
      <c r="B5002" t="s">
        <v>9993</v>
      </c>
      <c r="C5002" t="s">
        <v>31</v>
      </c>
      <c r="D5002">
        <v>32</v>
      </c>
      <c r="E5002" t="s">
        <v>149</v>
      </c>
      <c r="F5002" t="s">
        <v>38</v>
      </c>
      <c r="G5002" t="s">
        <v>22</v>
      </c>
      <c r="H5002" s="1">
        <v>44754</v>
      </c>
    </row>
    <row r="5003" spans="1:8">
      <c r="A5003" t="s">
        <v>9994</v>
      </c>
      <c r="B5003" t="s">
        <v>9995</v>
      </c>
      <c r="C5003" t="s">
        <v>31</v>
      </c>
      <c r="D5003">
        <v>31</v>
      </c>
      <c r="E5003" t="s">
        <v>60</v>
      </c>
      <c r="F5003" t="s">
        <v>21</v>
      </c>
      <c r="G5003" t="s">
        <v>22</v>
      </c>
      <c r="H5003" s="1">
        <v>45098</v>
      </c>
    </row>
    <row r="5004" spans="1:8">
      <c r="A5004" t="s">
        <v>9996</v>
      </c>
      <c r="B5004" t="s">
        <v>9997</v>
      </c>
      <c r="C5004" t="s">
        <v>10</v>
      </c>
      <c r="D5004">
        <v>52</v>
      </c>
      <c r="E5004" t="s">
        <v>149</v>
      </c>
      <c r="F5004" t="s">
        <v>38</v>
      </c>
      <c r="G5004" t="s">
        <v>22</v>
      </c>
      <c r="H5004" s="1">
        <v>45330</v>
      </c>
    </row>
    <row r="5005" spans="1:8">
      <c r="A5005" t="s">
        <v>9998</v>
      </c>
      <c r="B5005" t="s">
        <v>9999</v>
      </c>
      <c r="C5005" t="s">
        <v>31</v>
      </c>
      <c r="D5005">
        <v>44</v>
      </c>
      <c r="E5005" t="s">
        <v>134</v>
      </c>
      <c r="F5005" t="s">
        <v>28</v>
      </c>
      <c r="G5005" t="s">
        <v>12</v>
      </c>
      <c r="H5005" s="1">
        <v>45413</v>
      </c>
    </row>
    <row r="5006" spans="1:8">
      <c r="A5006" t="s">
        <v>10000</v>
      </c>
      <c r="B5006" t="s">
        <v>10001</v>
      </c>
      <c r="C5006" t="s">
        <v>31</v>
      </c>
      <c r="D5006">
        <v>66</v>
      </c>
      <c r="E5006" t="s">
        <v>76</v>
      </c>
      <c r="F5006" t="s">
        <v>77</v>
      </c>
      <c r="G5006" t="s">
        <v>78</v>
      </c>
      <c r="H5006" s="1">
        <v>45953</v>
      </c>
    </row>
    <row r="5007" spans="1:8">
      <c r="A5007" t="s">
        <v>10002</v>
      </c>
      <c r="B5007" t="s">
        <v>10003</v>
      </c>
      <c r="C5007" t="s">
        <v>31</v>
      </c>
      <c r="D5007">
        <v>60</v>
      </c>
      <c r="E5007" t="s">
        <v>218</v>
      </c>
      <c r="F5007" t="s">
        <v>219</v>
      </c>
      <c r="G5007" t="s">
        <v>17</v>
      </c>
      <c r="H5007" s="1">
        <v>44699</v>
      </c>
    </row>
    <row r="5008" spans="1:8">
      <c r="A5008" t="s">
        <v>10004</v>
      </c>
      <c r="B5008" t="s">
        <v>10005</v>
      </c>
      <c r="C5008" t="s">
        <v>31</v>
      </c>
      <c r="D5008">
        <v>70</v>
      </c>
      <c r="E5008" t="s">
        <v>15</v>
      </c>
      <c r="F5008" t="s">
        <v>16</v>
      </c>
      <c r="G5008" t="s">
        <v>17</v>
      </c>
      <c r="H5008" s="1">
        <v>45625</v>
      </c>
    </row>
    <row r="5009" spans="1:8">
      <c r="A5009" t="s">
        <v>10006</v>
      </c>
      <c r="B5009" t="s">
        <v>10007</v>
      </c>
      <c r="C5009" t="s">
        <v>10</v>
      </c>
      <c r="D5009">
        <v>21</v>
      </c>
      <c r="E5009" t="s">
        <v>60</v>
      </c>
      <c r="F5009" t="s">
        <v>21</v>
      </c>
      <c r="G5009" t="s">
        <v>22</v>
      </c>
      <c r="H5009" s="1">
        <v>45731</v>
      </c>
    </row>
    <row r="5010" spans="1:8">
      <c r="A5010" t="s">
        <v>10008</v>
      </c>
      <c r="B5010" t="s">
        <v>10009</v>
      </c>
      <c r="C5010" t="s">
        <v>10</v>
      </c>
      <c r="D5010">
        <v>54</v>
      </c>
      <c r="E5010" t="s">
        <v>41</v>
      </c>
      <c r="F5010" t="s">
        <v>42</v>
      </c>
      <c r="G5010" t="s">
        <v>17</v>
      </c>
      <c r="H5010" s="1">
        <v>45986</v>
      </c>
    </row>
    <row r="5011" spans="1:8">
      <c r="A5011" t="s">
        <v>10010</v>
      </c>
      <c r="B5011" t="s">
        <v>10011</v>
      </c>
      <c r="C5011" t="s">
        <v>31</v>
      </c>
      <c r="D5011">
        <v>39</v>
      </c>
      <c r="E5011" t="s">
        <v>87</v>
      </c>
      <c r="F5011" t="s">
        <v>88</v>
      </c>
      <c r="G5011" t="s">
        <v>78</v>
      </c>
      <c r="H5011" s="1">
        <v>45620</v>
      </c>
    </row>
    <row r="5012" spans="1:8">
      <c r="A5012" t="s">
        <v>10012</v>
      </c>
      <c r="B5012" t="s">
        <v>10013</v>
      </c>
      <c r="C5012" t="s">
        <v>31</v>
      </c>
      <c r="D5012">
        <v>19</v>
      </c>
      <c r="E5012" t="s">
        <v>41</v>
      </c>
      <c r="F5012" t="s">
        <v>42</v>
      </c>
      <c r="G5012" t="s">
        <v>17</v>
      </c>
      <c r="H5012" s="1">
        <v>45892</v>
      </c>
    </row>
    <row r="5013" spans="1:8">
      <c r="A5013" t="s">
        <v>10014</v>
      </c>
      <c r="B5013" t="s">
        <v>10015</v>
      </c>
      <c r="C5013" t="s">
        <v>31</v>
      </c>
      <c r="D5013">
        <v>66</v>
      </c>
      <c r="E5013" t="s">
        <v>34</v>
      </c>
      <c r="F5013" t="s">
        <v>16</v>
      </c>
      <c r="G5013" t="s">
        <v>17</v>
      </c>
      <c r="H5013" s="1">
        <v>45306</v>
      </c>
    </row>
    <row r="5014" spans="1:8">
      <c r="A5014" t="s">
        <v>10016</v>
      </c>
      <c r="B5014" t="s">
        <v>10017</v>
      </c>
      <c r="C5014" t="s">
        <v>10</v>
      </c>
      <c r="D5014">
        <v>32</v>
      </c>
      <c r="E5014" t="s">
        <v>87</v>
      </c>
      <c r="F5014" t="s">
        <v>88</v>
      </c>
      <c r="G5014" t="s">
        <v>78</v>
      </c>
      <c r="H5014" s="1">
        <v>45253</v>
      </c>
    </row>
    <row r="5015" spans="1:8">
      <c r="A5015" t="s">
        <v>10018</v>
      </c>
      <c r="B5015" t="s">
        <v>10019</v>
      </c>
      <c r="C5015" t="s">
        <v>31</v>
      </c>
      <c r="D5015">
        <v>55</v>
      </c>
      <c r="E5015" t="s">
        <v>69</v>
      </c>
      <c r="F5015" t="s">
        <v>69</v>
      </c>
      <c r="G5015" t="s">
        <v>12</v>
      </c>
      <c r="H5015" s="1">
        <v>45108</v>
      </c>
    </row>
    <row r="5016" spans="1:8">
      <c r="A5016" t="s">
        <v>10020</v>
      </c>
      <c r="B5016" t="s">
        <v>10021</v>
      </c>
      <c r="C5016" t="s">
        <v>31</v>
      </c>
      <c r="D5016">
        <v>48</v>
      </c>
      <c r="E5016" t="s">
        <v>101</v>
      </c>
      <c r="F5016" t="s">
        <v>21</v>
      </c>
      <c r="G5016" t="s">
        <v>22</v>
      </c>
      <c r="H5016" s="1">
        <v>44617</v>
      </c>
    </row>
    <row r="5017" spans="1:8">
      <c r="A5017" t="s">
        <v>10022</v>
      </c>
      <c r="B5017" t="s">
        <v>10023</v>
      </c>
      <c r="C5017" t="s">
        <v>31</v>
      </c>
      <c r="D5017">
        <v>48</v>
      </c>
      <c r="E5017" t="s">
        <v>63</v>
      </c>
      <c r="F5017" t="s">
        <v>64</v>
      </c>
      <c r="G5017" t="s">
        <v>12</v>
      </c>
      <c r="H5017" s="1">
        <v>44607</v>
      </c>
    </row>
    <row r="5018" spans="1:8">
      <c r="A5018" t="s">
        <v>10024</v>
      </c>
      <c r="B5018" t="s">
        <v>10025</v>
      </c>
      <c r="C5018" t="s">
        <v>10</v>
      </c>
      <c r="D5018">
        <v>29</v>
      </c>
      <c r="E5018" t="s">
        <v>11</v>
      </c>
      <c r="F5018" t="s">
        <v>11</v>
      </c>
      <c r="G5018" t="s">
        <v>12</v>
      </c>
      <c r="H5018" s="1">
        <v>45684</v>
      </c>
    </row>
    <row r="5019" spans="1:8">
      <c r="A5019" t="s">
        <v>10026</v>
      </c>
      <c r="B5019" t="s">
        <v>2575</v>
      </c>
      <c r="C5019" t="s">
        <v>31</v>
      </c>
      <c r="D5019">
        <v>54</v>
      </c>
      <c r="E5019" t="s">
        <v>69</v>
      </c>
      <c r="F5019" t="s">
        <v>69</v>
      </c>
      <c r="G5019" t="s">
        <v>12</v>
      </c>
      <c r="H5019" s="1">
        <v>45402</v>
      </c>
    </row>
    <row r="5020" spans="1:8">
      <c r="A5020" t="s">
        <v>10027</v>
      </c>
      <c r="B5020" t="s">
        <v>10028</v>
      </c>
      <c r="C5020" t="s">
        <v>10</v>
      </c>
      <c r="D5020">
        <v>67</v>
      </c>
      <c r="E5020" t="s">
        <v>11</v>
      </c>
      <c r="F5020" t="s">
        <v>11</v>
      </c>
      <c r="G5020" t="s">
        <v>12</v>
      </c>
      <c r="H5020" s="1">
        <v>45820</v>
      </c>
    </row>
    <row r="5021" spans="1:8">
      <c r="A5021" t="s">
        <v>10029</v>
      </c>
      <c r="B5021" t="s">
        <v>10030</v>
      </c>
      <c r="C5021" t="s">
        <v>31</v>
      </c>
      <c r="D5021">
        <v>39</v>
      </c>
      <c r="E5021" t="s">
        <v>60</v>
      </c>
      <c r="F5021" t="s">
        <v>21</v>
      </c>
      <c r="G5021" t="s">
        <v>22</v>
      </c>
      <c r="H5021" s="1">
        <v>45887</v>
      </c>
    </row>
    <row r="5022" spans="1:8">
      <c r="A5022" t="s">
        <v>10031</v>
      </c>
      <c r="B5022" t="s">
        <v>10032</v>
      </c>
      <c r="C5022" t="s">
        <v>10</v>
      </c>
      <c r="D5022">
        <v>42</v>
      </c>
      <c r="E5022" t="s">
        <v>45</v>
      </c>
      <c r="F5022" t="s">
        <v>46</v>
      </c>
      <c r="G5022" t="s">
        <v>17</v>
      </c>
      <c r="H5022" s="1">
        <v>45946</v>
      </c>
    </row>
    <row r="5023" spans="1:8">
      <c r="A5023" t="s">
        <v>10033</v>
      </c>
      <c r="B5023" t="s">
        <v>10034</v>
      </c>
      <c r="C5023" t="s">
        <v>31</v>
      </c>
      <c r="D5023">
        <v>31</v>
      </c>
      <c r="E5023" t="s">
        <v>101</v>
      </c>
      <c r="F5023" t="s">
        <v>21</v>
      </c>
      <c r="G5023" t="s">
        <v>22</v>
      </c>
      <c r="H5023" s="1">
        <v>45734</v>
      </c>
    </row>
    <row r="5024" spans="1:8">
      <c r="A5024" t="s">
        <v>10035</v>
      </c>
      <c r="B5024" t="s">
        <v>10036</v>
      </c>
      <c r="C5024" t="s">
        <v>31</v>
      </c>
      <c r="D5024">
        <v>43</v>
      </c>
      <c r="E5024" t="s">
        <v>101</v>
      </c>
      <c r="F5024" t="s">
        <v>21</v>
      </c>
      <c r="G5024" t="s">
        <v>22</v>
      </c>
      <c r="H5024" s="1">
        <v>45988</v>
      </c>
    </row>
    <row r="5025" spans="1:8">
      <c r="A5025" t="s">
        <v>10037</v>
      </c>
      <c r="B5025" t="s">
        <v>10038</v>
      </c>
      <c r="C5025" t="s">
        <v>31</v>
      </c>
      <c r="D5025">
        <v>19</v>
      </c>
      <c r="E5025" t="s">
        <v>45</v>
      </c>
      <c r="F5025" t="s">
        <v>46</v>
      </c>
      <c r="G5025" t="s">
        <v>17</v>
      </c>
      <c r="H5025" s="1">
        <v>45867</v>
      </c>
    </row>
    <row r="5026" spans="1:8">
      <c r="A5026" t="s">
        <v>10039</v>
      </c>
      <c r="B5026" t="s">
        <v>10040</v>
      </c>
      <c r="C5026" t="s">
        <v>10</v>
      </c>
      <c r="D5026">
        <v>26</v>
      </c>
      <c r="E5026" t="s">
        <v>91</v>
      </c>
      <c r="F5026" t="s">
        <v>92</v>
      </c>
      <c r="G5026" t="s">
        <v>78</v>
      </c>
      <c r="H5026" s="1">
        <v>45731</v>
      </c>
    </row>
    <row r="5027" spans="1:8">
      <c r="A5027" t="s">
        <v>10041</v>
      </c>
      <c r="B5027" t="s">
        <v>10042</v>
      </c>
      <c r="C5027" t="s">
        <v>31</v>
      </c>
      <c r="D5027">
        <v>59</v>
      </c>
      <c r="E5027" t="s">
        <v>112</v>
      </c>
      <c r="F5027" t="s">
        <v>113</v>
      </c>
      <c r="G5027" t="s">
        <v>78</v>
      </c>
      <c r="H5027" s="1">
        <v>44682</v>
      </c>
    </row>
    <row r="5028" spans="1:8">
      <c r="A5028" t="s">
        <v>10043</v>
      </c>
      <c r="B5028" t="s">
        <v>10044</v>
      </c>
      <c r="C5028" t="s">
        <v>10</v>
      </c>
      <c r="D5028">
        <v>52</v>
      </c>
      <c r="E5028" t="s">
        <v>112</v>
      </c>
      <c r="F5028" t="s">
        <v>113</v>
      </c>
      <c r="G5028" t="s">
        <v>78</v>
      </c>
      <c r="H5028" s="1">
        <v>45995</v>
      </c>
    </row>
    <row r="5029" spans="1:8">
      <c r="A5029" t="s">
        <v>10045</v>
      </c>
      <c r="B5029" t="s">
        <v>10046</v>
      </c>
      <c r="C5029" t="s">
        <v>31</v>
      </c>
      <c r="D5029">
        <v>43</v>
      </c>
      <c r="E5029" t="s">
        <v>112</v>
      </c>
      <c r="F5029" t="s">
        <v>113</v>
      </c>
      <c r="G5029" t="s">
        <v>78</v>
      </c>
      <c r="H5029" s="1">
        <v>44622</v>
      </c>
    </row>
    <row r="5030" spans="1:8">
      <c r="A5030" t="s">
        <v>10047</v>
      </c>
      <c r="B5030" t="s">
        <v>10048</v>
      </c>
      <c r="C5030" t="s">
        <v>31</v>
      </c>
      <c r="D5030">
        <v>66</v>
      </c>
      <c r="E5030" t="s">
        <v>15</v>
      </c>
      <c r="F5030" t="s">
        <v>16</v>
      </c>
      <c r="G5030" t="s">
        <v>17</v>
      </c>
      <c r="H5030" s="1">
        <v>44704</v>
      </c>
    </row>
    <row r="5031" spans="1:8">
      <c r="A5031" t="s">
        <v>10049</v>
      </c>
      <c r="B5031" t="s">
        <v>10050</v>
      </c>
      <c r="C5031" t="s">
        <v>10</v>
      </c>
      <c r="D5031">
        <v>69</v>
      </c>
      <c r="E5031" t="s">
        <v>15</v>
      </c>
      <c r="F5031" t="s">
        <v>16</v>
      </c>
      <c r="G5031" t="s">
        <v>17</v>
      </c>
      <c r="H5031" s="1">
        <v>45533</v>
      </c>
    </row>
    <row r="5032" spans="1:8">
      <c r="A5032" t="s">
        <v>10051</v>
      </c>
      <c r="B5032" t="s">
        <v>10052</v>
      </c>
      <c r="C5032" t="s">
        <v>10</v>
      </c>
      <c r="D5032">
        <v>61</v>
      </c>
      <c r="E5032" t="s">
        <v>63</v>
      </c>
      <c r="F5032" t="s">
        <v>64</v>
      </c>
      <c r="G5032" t="s">
        <v>12</v>
      </c>
      <c r="H5032" s="1">
        <v>45604</v>
      </c>
    </row>
    <row r="5033" spans="1:8">
      <c r="A5033" t="s">
        <v>10053</v>
      </c>
      <c r="B5033" t="s">
        <v>10054</v>
      </c>
      <c r="C5033" t="s">
        <v>31</v>
      </c>
      <c r="D5033">
        <v>25</v>
      </c>
      <c r="E5033" t="s">
        <v>128</v>
      </c>
      <c r="F5033" t="s">
        <v>129</v>
      </c>
      <c r="G5033" t="s">
        <v>78</v>
      </c>
      <c r="H5033" s="1">
        <v>44889</v>
      </c>
    </row>
    <row r="5034" spans="1:8">
      <c r="A5034" t="s">
        <v>10055</v>
      </c>
      <c r="B5034" t="s">
        <v>10056</v>
      </c>
      <c r="C5034" t="s">
        <v>31</v>
      </c>
      <c r="D5034">
        <v>67</v>
      </c>
      <c r="E5034" t="s">
        <v>149</v>
      </c>
      <c r="F5034" t="s">
        <v>38</v>
      </c>
      <c r="G5034" t="s">
        <v>22</v>
      </c>
      <c r="H5034" s="1">
        <v>46000</v>
      </c>
    </row>
    <row r="5035" spans="1:8">
      <c r="A5035" t="s">
        <v>10057</v>
      </c>
      <c r="B5035" t="s">
        <v>10058</v>
      </c>
      <c r="C5035" t="s">
        <v>10</v>
      </c>
      <c r="D5035">
        <v>47</v>
      </c>
      <c r="E5035" t="s">
        <v>34</v>
      </c>
      <c r="F5035" t="s">
        <v>16</v>
      </c>
      <c r="G5035" t="s">
        <v>17</v>
      </c>
      <c r="H5035" s="1">
        <v>45511</v>
      </c>
    </row>
    <row r="5036" spans="1:8">
      <c r="A5036" t="s">
        <v>10059</v>
      </c>
      <c r="B5036" t="s">
        <v>10060</v>
      </c>
      <c r="C5036" t="s">
        <v>31</v>
      </c>
      <c r="D5036">
        <v>70</v>
      </c>
      <c r="E5036" t="s">
        <v>11</v>
      </c>
      <c r="F5036" t="s">
        <v>11</v>
      </c>
      <c r="G5036" t="s">
        <v>12</v>
      </c>
      <c r="H5036" s="1">
        <v>45655</v>
      </c>
    </row>
    <row r="5037" spans="1:8">
      <c r="A5037" t="s">
        <v>10061</v>
      </c>
      <c r="B5037" t="s">
        <v>10062</v>
      </c>
      <c r="C5037" t="s">
        <v>10</v>
      </c>
      <c r="D5037">
        <v>43</v>
      </c>
      <c r="E5037" t="s">
        <v>128</v>
      </c>
      <c r="F5037" t="s">
        <v>129</v>
      </c>
      <c r="G5037" t="s">
        <v>78</v>
      </c>
      <c r="H5037" s="1">
        <v>45099</v>
      </c>
    </row>
    <row r="5038" spans="1:8">
      <c r="A5038" t="s">
        <v>10063</v>
      </c>
      <c r="B5038" t="s">
        <v>10064</v>
      </c>
      <c r="C5038" t="s">
        <v>10</v>
      </c>
      <c r="D5038">
        <v>63</v>
      </c>
      <c r="E5038" t="s">
        <v>63</v>
      </c>
      <c r="F5038" t="s">
        <v>64</v>
      </c>
      <c r="G5038" t="s">
        <v>12</v>
      </c>
      <c r="H5038" s="1">
        <v>44623</v>
      </c>
    </row>
    <row r="5039" spans="1:8">
      <c r="A5039" t="s">
        <v>10065</v>
      </c>
      <c r="B5039" t="s">
        <v>6462</v>
      </c>
      <c r="C5039" t="s">
        <v>10</v>
      </c>
      <c r="D5039">
        <v>23</v>
      </c>
      <c r="E5039" t="s">
        <v>27</v>
      </c>
      <c r="F5039" t="s">
        <v>28</v>
      </c>
      <c r="G5039" t="s">
        <v>12</v>
      </c>
      <c r="H5039" s="1">
        <v>45968</v>
      </c>
    </row>
    <row r="5040" spans="1:8">
      <c r="A5040" t="s">
        <v>10066</v>
      </c>
      <c r="B5040" t="s">
        <v>10067</v>
      </c>
      <c r="C5040" t="s">
        <v>31</v>
      </c>
      <c r="D5040">
        <v>61</v>
      </c>
      <c r="E5040" t="s">
        <v>63</v>
      </c>
      <c r="F5040" t="s">
        <v>64</v>
      </c>
      <c r="G5040" t="s">
        <v>12</v>
      </c>
      <c r="H5040" s="1">
        <v>45231</v>
      </c>
    </row>
    <row r="5041" spans="1:8">
      <c r="A5041" t="s">
        <v>10068</v>
      </c>
      <c r="B5041" t="s">
        <v>10069</v>
      </c>
      <c r="C5041" t="s">
        <v>10</v>
      </c>
      <c r="D5041">
        <v>25</v>
      </c>
      <c r="E5041" t="s">
        <v>128</v>
      </c>
      <c r="F5041" t="s">
        <v>129</v>
      </c>
      <c r="G5041" t="s">
        <v>78</v>
      </c>
      <c r="H5041" s="1">
        <v>45979</v>
      </c>
    </row>
    <row r="5042" spans="1:8">
      <c r="A5042" t="s">
        <v>10070</v>
      </c>
      <c r="B5042" t="s">
        <v>10071</v>
      </c>
      <c r="C5042" t="s">
        <v>31</v>
      </c>
      <c r="D5042">
        <v>46</v>
      </c>
      <c r="E5042" t="s">
        <v>218</v>
      </c>
      <c r="F5042" t="s">
        <v>219</v>
      </c>
      <c r="G5042" t="s">
        <v>17</v>
      </c>
      <c r="H5042" s="1">
        <v>45812</v>
      </c>
    </row>
    <row r="5043" spans="1:8">
      <c r="A5043" t="s">
        <v>10072</v>
      </c>
      <c r="B5043" t="s">
        <v>10073</v>
      </c>
      <c r="C5043" t="s">
        <v>10</v>
      </c>
      <c r="D5043">
        <v>22</v>
      </c>
      <c r="E5043" t="s">
        <v>41</v>
      </c>
      <c r="F5043" t="s">
        <v>42</v>
      </c>
      <c r="G5043" t="s">
        <v>17</v>
      </c>
      <c r="H5043" s="1">
        <v>45788</v>
      </c>
    </row>
    <row r="5044" spans="1:8">
      <c r="A5044" t="s">
        <v>10074</v>
      </c>
      <c r="B5044" t="s">
        <v>10075</v>
      </c>
      <c r="C5044" t="s">
        <v>10</v>
      </c>
      <c r="D5044">
        <v>18</v>
      </c>
      <c r="E5044" t="s">
        <v>27</v>
      </c>
      <c r="F5044" t="s">
        <v>28</v>
      </c>
      <c r="G5044" t="s">
        <v>12</v>
      </c>
      <c r="H5044" s="1">
        <v>45461</v>
      </c>
    </row>
    <row r="5045" spans="1:8">
      <c r="A5045" t="s">
        <v>10076</v>
      </c>
      <c r="B5045" t="s">
        <v>10077</v>
      </c>
      <c r="C5045" t="s">
        <v>10</v>
      </c>
      <c r="D5045">
        <v>35</v>
      </c>
      <c r="E5045" t="s">
        <v>60</v>
      </c>
      <c r="F5045" t="s">
        <v>21</v>
      </c>
      <c r="G5045" t="s">
        <v>22</v>
      </c>
      <c r="H5045" s="1">
        <v>45648</v>
      </c>
    </row>
    <row r="5046" spans="1:8">
      <c r="A5046" t="s">
        <v>10078</v>
      </c>
      <c r="B5046" t="s">
        <v>10079</v>
      </c>
      <c r="C5046" t="s">
        <v>10</v>
      </c>
      <c r="D5046">
        <v>69</v>
      </c>
      <c r="E5046" t="s">
        <v>218</v>
      </c>
      <c r="F5046" t="s">
        <v>219</v>
      </c>
      <c r="G5046" t="s">
        <v>17</v>
      </c>
      <c r="H5046" s="1">
        <v>45131</v>
      </c>
    </row>
    <row r="5047" spans="1:8">
      <c r="A5047" t="s">
        <v>10080</v>
      </c>
      <c r="B5047" t="s">
        <v>10081</v>
      </c>
      <c r="C5047" t="s">
        <v>10</v>
      </c>
      <c r="D5047">
        <v>47</v>
      </c>
      <c r="E5047" t="s">
        <v>34</v>
      </c>
      <c r="F5047" t="s">
        <v>16</v>
      </c>
      <c r="G5047" t="s">
        <v>17</v>
      </c>
      <c r="H5047" s="1">
        <v>45982</v>
      </c>
    </row>
    <row r="5048" spans="1:8">
      <c r="A5048" t="s">
        <v>10082</v>
      </c>
      <c r="B5048" t="s">
        <v>10083</v>
      </c>
      <c r="C5048" t="s">
        <v>31</v>
      </c>
      <c r="D5048">
        <v>50</v>
      </c>
      <c r="E5048" t="s">
        <v>11</v>
      </c>
      <c r="F5048" t="s">
        <v>11</v>
      </c>
      <c r="G5048" t="s">
        <v>12</v>
      </c>
      <c r="H5048" s="1">
        <v>45410</v>
      </c>
    </row>
    <row r="5049" spans="1:8">
      <c r="A5049" t="s">
        <v>10084</v>
      </c>
      <c r="B5049" t="s">
        <v>10085</v>
      </c>
      <c r="C5049" t="s">
        <v>31</v>
      </c>
      <c r="D5049">
        <v>59</v>
      </c>
      <c r="E5049" t="s">
        <v>87</v>
      </c>
      <c r="F5049" t="s">
        <v>88</v>
      </c>
      <c r="G5049" t="s">
        <v>78</v>
      </c>
      <c r="H5049" s="1">
        <v>45353</v>
      </c>
    </row>
    <row r="5050" spans="1:8">
      <c r="A5050" t="s">
        <v>10086</v>
      </c>
      <c r="B5050" t="s">
        <v>10087</v>
      </c>
      <c r="C5050" t="s">
        <v>10</v>
      </c>
      <c r="D5050">
        <v>39</v>
      </c>
      <c r="E5050" t="s">
        <v>34</v>
      </c>
      <c r="F5050" t="s">
        <v>16</v>
      </c>
      <c r="G5050" t="s">
        <v>17</v>
      </c>
      <c r="H5050" s="1">
        <v>45950</v>
      </c>
    </row>
    <row r="5051" spans="1:8">
      <c r="A5051" t="s">
        <v>10088</v>
      </c>
      <c r="B5051" t="s">
        <v>10089</v>
      </c>
      <c r="C5051" t="s">
        <v>10</v>
      </c>
      <c r="D5051">
        <v>24</v>
      </c>
      <c r="E5051" t="s">
        <v>128</v>
      </c>
      <c r="F5051" t="s">
        <v>129</v>
      </c>
      <c r="G5051" t="s">
        <v>78</v>
      </c>
      <c r="H5051" s="1">
        <v>45749</v>
      </c>
    </row>
    <row r="5052" spans="1:8">
      <c r="A5052" t="s">
        <v>10090</v>
      </c>
      <c r="B5052" t="s">
        <v>10091</v>
      </c>
      <c r="C5052" t="s">
        <v>10</v>
      </c>
      <c r="D5052">
        <v>59</v>
      </c>
      <c r="E5052" t="s">
        <v>37</v>
      </c>
      <c r="F5052" t="s">
        <v>38</v>
      </c>
      <c r="G5052" t="s">
        <v>22</v>
      </c>
      <c r="H5052" s="1">
        <v>45751</v>
      </c>
    </row>
    <row r="5053" spans="1:8">
      <c r="A5053" t="s">
        <v>10092</v>
      </c>
      <c r="B5053" t="s">
        <v>10093</v>
      </c>
      <c r="C5053" t="s">
        <v>10</v>
      </c>
      <c r="D5053">
        <v>46</v>
      </c>
      <c r="E5053" t="s">
        <v>37</v>
      </c>
      <c r="F5053" t="s">
        <v>38</v>
      </c>
      <c r="G5053" t="s">
        <v>22</v>
      </c>
      <c r="H5053" s="1">
        <v>44565</v>
      </c>
    </row>
    <row r="5054" spans="1:8">
      <c r="A5054" t="s">
        <v>10094</v>
      </c>
      <c r="B5054" t="s">
        <v>10095</v>
      </c>
      <c r="C5054" t="s">
        <v>10</v>
      </c>
      <c r="D5054">
        <v>56</v>
      </c>
      <c r="E5054" t="s">
        <v>11</v>
      </c>
      <c r="F5054" t="s">
        <v>11</v>
      </c>
      <c r="G5054" t="s">
        <v>12</v>
      </c>
      <c r="H5054" s="1">
        <v>45536</v>
      </c>
    </row>
    <row r="5055" spans="1:8">
      <c r="A5055" t="s">
        <v>10096</v>
      </c>
      <c r="B5055" t="s">
        <v>10097</v>
      </c>
      <c r="C5055" t="s">
        <v>31</v>
      </c>
      <c r="D5055">
        <v>20</v>
      </c>
      <c r="E5055" t="s">
        <v>112</v>
      </c>
      <c r="F5055" t="s">
        <v>113</v>
      </c>
      <c r="G5055" t="s">
        <v>78</v>
      </c>
      <c r="H5055" s="1">
        <v>45853</v>
      </c>
    </row>
    <row r="5056" spans="1:8">
      <c r="A5056" t="s">
        <v>10098</v>
      </c>
      <c r="B5056" t="s">
        <v>4564</v>
      </c>
      <c r="C5056" t="s">
        <v>10</v>
      </c>
      <c r="D5056">
        <v>50</v>
      </c>
      <c r="E5056" t="s">
        <v>20</v>
      </c>
      <c r="F5056" t="s">
        <v>21</v>
      </c>
      <c r="G5056" t="s">
        <v>22</v>
      </c>
      <c r="H5056" s="1">
        <v>44978</v>
      </c>
    </row>
    <row r="5057" spans="1:8">
      <c r="A5057" t="s">
        <v>10099</v>
      </c>
      <c r="B5057" t="s">
        <v>10100</v>
      </c>
      <c r="C5057" t="s">
        <v>10</v>
      </c>
      <c r="D5057">
        <v>47</v>
      </c>
      <c r="E5057" t="s">
        <v>11</v>
      </c>
      <c r="F5057" t="s">
        <v>11</v>
      </c>
      <c r="G5057" t="s">
        <v>12</v>
      </c>
      <c r="H5057" s="1">
        <v>45622</v>
      </c>
    </row>
    <row r="5058" spans="1:8">
      <c r="A5058" t="s">
        <v>10101</v>
      </c>
      <c r="B5058" t="s">
        <v>10102</v>
      </c>
      <c r="C5058" t="s">
        <v>10</v>
      </c>
      <c r="D5058">
        <v>56</v>
      </c>
      <c r="E5058" t="s">
        <v>34</v>
      </c>
      <c r="F5058" t="s">
        <v>16</v>
      </c>
      <c r="G5058" t="s">
        <v>17</v>
      </c>
      <c r="H5058" s="1">
        <v>45644</v>
      </c>
    </row>
    <row r="5059" spans="1:8">
      <c r="A5059" t="s">
        <v>10103</v>
      </c>
      <c r="B5059" t="s">
        <v>10104</v>
      </c>
      <c r="C5059" t="s">
        <v>31</v>
      </c>
      <c r="D5059">
        <v>37</v>
      </c>
      <c r="E5059" t="s">
        <v>128</v>
      </c>
      <c r="F5059" t="s">
        <v>129</v>
      </c>
      <c r="G5059" t="s">
        <v>78</v>
      </c>
      <c r="H5059" s="1">
        <v>44918</v>
      </c>
    </row>
    <row r="5060" spans="1:8">
      <c r="A5060" t="s">
        <v>10105</v>
      </c>
      <c r="B5060" t="s">
        <v>10106</v>
      </c>
      <c r="C5060" t="s">
        <v>10</v>
      </c>
      <c r="D5060">
        <v>47</v>
      </c>
      <c r="E5060" t="s">
        <v>91</v>
      </c>
      <c r="F5060" t="s">
        <v>92</v>
      </c>
      <c r="G5060" t="s">
        <v>78</v>
      </c>
      <c r="H5060" s="1">
        <v>44623</v>
      </c>
    </row>
    <row r="5061" spans="1:8">
      <c r="A5061" t="s">
        <v>10107</v>
      </c>
      <c r="B5061" t="s">
        <v>10108</v>
      </c>
      <c r="C5061" t="s">
        <v>31</v>
      </c>
      <c r="D5061">
        <v>54</v>
      </c>
      <c r="E5061" t="s">
        <v>218</v>
      </c>
      <c r="F5061" t="s">
        <v>219</v>
      </c>
      <c r="G5061" t="s">
        <v>17</v>
      </c>
      <c r="H5061" s="1">
        <v>45913</v>
      </c>
    </row>
    <row r="5062" spans="1:8">
      <c r="A5062" t="s">
        <v>10109</v>
      </c>
      <c r="B5062" t="s">
        <v>10110</v>
      </c>
      <c r="C5062" t="s">
        <v>31</v>
      </c>
      <c r="D5062">
        <v>23</v>
      </c>
      <c r="E5062" t="s">
        <v>41</v>
      </c>
      <c r="F5062" t="s">
        <v>42</v>
      </c>
      <c r="G5062" t="s">
        <v>17</v>
      </c>
      <c r="H5062" s="1">
        <v>45854</v>
      </c>
    </row>
    <row r="5063" spans="1:8">
      <c r="A5063" t="s">
        <v>10111</v>
      </c>
      <c r="B5063" t="s">
        <v>10112</v>
      </c>
      <c r="C5063" t="s">
        <v>31</v>
      </c>
      <c r="D5063">
        <v>55</v>
      </c>
      <c r="E5063" t="s">
        <v>218</v>
      </c>
      <c r="F5063" t="s">
        <v>219</v>
      </c>
      <c r="G5063" t="s">
        <v>17</v>
      </c>
      <c r="H5063" s="1">
        <v>44566</v>
      </c>
    </row>
    <row r="5064" spans="1:8">
      <c r="A5064" t="s">
        <v>10113</v>
      </c>
      <c r="B5064" t="s">
        <v>10114</v>
      </c>
      <c r="C5064" t="s">
        <v>10</v>
      </c>
      <c r="D5064">
        <v>28</v>
      </c>
      <c r="E5064" t="s">
        <v>27</v>
      </c>
      <c r="F5064" t="s">
        <v>28</v>
      </c>
      <c r="G5064" t="s">
        <v>12</v>
      </c>
      <c r="H5064" s="1">
        <v>45350</v>
      </c>
    </row>
    <row r="5065" spans="1:8">
      <c r="A5065" t="s">
        <v>10115</v>
      </c>
      <c r="B5065" t="s">
        <v>10116</v>
      </c>
      <c r="C5065" t="s">
        <v>10</v>
      </c>
      <c r="D5065">
        <v>18</v>
      </c>
      <c r="E5065" t="s">
        <v>69</v>
      </c>
      <c r="F5065" t="s">
        <v>69</v>
      </c>
      <c r="G5065" t="s">
        <v>12</v>
      </c>
      <c r="H5065" s="1">
        <v>45364</v>
      </c>
    </row>
    <row r="5066" spans="1:8">
      <c r="A5066" t="s">
        <v>10117</v>
      </c>
      <c r="B5066" t="s">
        <v>10118</v>
      </c>
      <c r="C5066" t="s">
        <v>10</v>
      </c>
      <c r="D5066">
        <v>33</v>
      </c>
      <c r="E5066" t="s">
        <v>60</v>
      </c>
      <c r="F5066" t="s">
        <v>21</v>
      </c>
      <c r="G5066" t="s">
        <v>22</v>
      </c>
      <c r="H5066" s="1">
        <v>44835</v>
      </c>
    </row>
    <row r="5067" spans="1:8">
      <c r="A5067" t="s">
        <v>10119</v>
      </c>
      <c r="B5067" t="s">
        <v>10120</v>
      </c>
      <c r="C5067" t="s">
        <v>10</v>
      </c>
      <c r="D5067">
        <v>44</v>
      </c>
      <c r="E5067" t="s">
        <v>69</v>
      </c>
      <c r="F5067" t="s">
        <v>69</v>
      </c>
      <c r="G5067" t="s">
        <v>12</v>
      </c>
      <c r="H5067" s="1">
        <v>44678</v>
      </c>
    </row>
    <row r="5068" spans="1:8">
      <c r="A5068" t="s">
        <v>10121</v>
      </c>
      <c r="B5068" t="s">
        <v>10122</v>
      </c>
      <c r="C5068" t="s">
        <v>31</v>
      </c>
      <c r="D5068">
        <v>31</v>
      </c>
      <c r="E5068" t="s">
        <v>45</v>
      </c>
      <c r="F5068" t="s">
        <v>46</v>
      </c>
      <c r="G5068" t="s">
        <v>17</v>
      </c>
      <c r="H5068" s="1">
        <v>45136</v>
      </c>
    </row>
    <row r="5069" spans="1:8">
      <c r="A5069" t="s">
        <v>10123</v>
      </c>
      <c r="B5069" t="s">
        <v>10124</v>
      </c>
      <c r="C5069" t="s">
        <v>10</v>
      </c>
      <c r="D5069">
        <v>59</v>
      </c>
      <c r="E5069" t="s">
        <v>60</v>
      </c>
      <c r="F5069" t="s">
        <v>21</v>
      </c>
      <c r="G5069" t="s">
        <v>22</v>
      </c>
      <c r="H5069" s="1">
        <v>45343</v>
      </c>
    </row>
    <row r="5070" spans="1:8">
      <c r="A5070" t="s">
        <v>10125</v>
      </c>
      <c r="B5070" t="s">
        <v>10126</v>
      </c>
      <c r="C5070" t="s">
        <v>31</v>
      </c>
      <c r="D5070">
        <v>18</v>
      </c>
      <c r="E5070" t="s">
        <v>218</v>
      </c>
      <c r="F5070" t="s">
        <v>219</v>
      </c>
      <c r="G5070" t="s">
        <v>17</v>
      </c>
      <c r="H5070" s="1">
        <v>45955</v>
      </c>
    </row>
    <row r="5071" spans="1:8">
      <c r="A5071" t="s">
        <v>10127</v>
      </c>
      <c r="B5071" t="s">
        <v>10128</v>
      </c>
      <c r="C5071" t="s">
        <v>10</v>
      </c>
      <c r="D5071">
        <v>37</v>
      </c>
      <c r="E5071" t="s">
        <v>15</v>
      </c>
      <c r="F5071" t="s">
        <v>16</v>
      </c>
      <c r="G5071" t="s">
        <v>17</v>
      </c>
      <c r="H5071" s="1">
        <v>45166</v>
      </c>
    </row>
    <row r="5072" spans="1:8">
      <c r="A5072" t="s">
        <v>10129</v>
      </c>
      <c r="B5072" t="s">
        <v>10130</v>
      </c>
      <c r="C5072" t="s">
        <v>31</v>
      </c>
      <c r="D5072">
        <v>56</v>
      </c>
      <c r="E5072" t="s">
        <v>45</v>
      </c>
      <c r="F5072" t="s">
        <v>46</v>
      </c>
      <c r="G5072" t="s">
        <v>17</v>
      </c>
      <c r="H5072" s="1">
        <v>45002</v>
      </c>
    </row>
    <row r="5073" spans="1:8">
      <c r="A5073" t="s">
        <v>10131</v>
      </c>
      <c r="B5073" t="s">
        <v>10132</v>
      </c>
      <c r="C5073" t="s">
        <v>10</v>
      </c>
      <c r="D5073">
        <v>47</v>
      </c>
      <c r="E5073" t="s">
        <v>15</v>
      </c>
      <c r="F5073" t="s">
        <v>16</v>
      </c>
      <c r="G5073" t="s">
        <v>17</v>
      </c>
      <c r="H5073" s="1">
        <v>44881</v>
      </c>
    </row>
    <row r="5074" spans="1:8">
      <c r="A5074" t="s">
        <v>10133</v>
      </c>
      <c r="B5074" t="s">
        <v>10134</v>
      </c>
      <c r="C5074" t="s">
        <v>31</v>
      </c>
      <c r="D5074">
        <v>54</v>
      </c>
      <c r="E5074" t="s">
        <v>20</v>
      </c>
      <c r="F5074" t="s">
        <v>21</v>
      </c>
      <c r="G5074" t="s">
        <v>22</v>
      </c>
      <c r="H5074" s="1">
        <v>44936</v>
      </c>
    </row>
    <row r="5075" spans="1:8">
      <c r="A5075" t="s">
        <v>10135</v>
      </c>
      <c r="B5075" t="s">
        <v>10136</v>
      </c>
      <c r="C5075" t="s">
        <v>31</v>
      </c>
      <c r="D5075">
        <v>59</v>
      </c>
      <c r="E5075" t="s">
        <v>20</v>
      </c>
      <c r="F5075" t="s">
        <v>21</v>
      </c>
      <c r="G5075" t="s">
        <v>22</v>
      </c>
      <c r="H5075" s="1">
        <v>45073</v>
      </c>
    </row>
    <row r="5076" spans="1:8">
      <c r="A5076" t="s">
        <v>10137</v>
      </c>
      <c r="B5076" t="s">
        <v>10138</v>
      </c>
      <c r="C5076" t="s">
        <v>31</v>
      </c>
      <c r="D5076">
        <v>33</v>
      </c>
      <c r="E5076" t="s">
        <v>11</v>
      </c>
      <c r="F5076" t="s">
        <v>11</v>
      </c>
      <c r="G5076" t="s">
        <v>12</v>
      </c>
      <c r="H5076" s="1">
        <v>44832</v>
      </c>
    </row>
    <row r="5077" spans="1:8">
      <c r="A5077" t="s">
        <v>10139</v>
      </c>
      <c r="B5077" t="s">
        <v>10140</v>
      </c>
      <c r="C5077" t="s">
        <v>31</v>
      </c>
      <c r="D5077">
        <v>20</v>
      </c>
      <c r="E5077" t="s">
        <v>101</v>
      </c>
      <c r="F5077" t="s">
        <v>21</v>
      </c>
      <c r="G5077" t="s">
        <v>22</v>
      </c>
      <c r="H5077" s="1">
        <v>45974</v>
      </c>
    </row>
    <row r="5078" spans="1:8">
      <c r="A5078" t="s">
        <v>10141</v>
      </c>
      <c r="B5078" t="s">
        <v>10142</v>
      </c>
      <c r="C5078" t="s">
        <v>31</v>
      </c>
      <c r="D5078">
        <v>34</v>
      </c>
      <c r="E5078" t="s">
        <v>101</v>
      </c>
      <c r="F5078" t="s">
        <v>21</v>
      </c>
      <c r="G5078" t="s">
        <v>22</v>
      </c>
      <c r="H5078" s="1">
        <v>45992</v>
      </c>
    </row>
    <row r="5079" spans="1:8">
      <c r="A5079" t="s">
        <v>10143</v>
      </c>
      <c r="B5079" t="s">
        <v>10144</v>
      </c>
      <c r="C5079" t="s">
        <v>31</v>
      </c>
      <c r="D5079">
        <v>68</v>
      </c>
      <c r="E5079" t="s">
        <v>20</v>
      </c>
      <c r="F5079" t="s">
        <v>21</v>
      </c>
      <c r="G5079" t="s">
        <v>22</v>
      </c>
      <c r="H5079" s="1">
        <v>45995</v>
      </c>
    </row>
    <row r="5080" spans="1:8">
      <c r="A5080" t="s">
        <v>10145</v>
      </c>
      <c r="B5080" t="s">
        <v>10146</v>
      </c>
      <c r="C5080" t="s">
        <v>10</v>
      </c>
      <c r="D5080">
        <v>33</v>
      </c>
      <c r="E5080" t="s">
        <v>37</v>
      </c>
      <c r="F5080" t="s">
        <v>38</v>
      </c>
      <c r="G5080" t="s">
        <v>22</v>
      </c>
      <c r="H5080" s="1">
        <v>45953</v>
      </c>
    </row>
    <row r="5081" spans="1:8">
      <c r="A5081" t="s">
        <v>10147</v>
      </c>
      <c r="B5081" t="s">
        <v>10148</v>
      </c>
      <c r="C5081" t="s">
        <v>10</v>
      </c>
      <c r="D5081">
        <v>25</v>
      </c>
      <c r="E5081" t="s">
        <v>91</v>
      </c>
      <c r="F5081" t="s">
        <v>92</v>
      </c>
      <c r="G5081" t="s">
        <v>78</v>
      </c>
      <c r="H5081" s="1">
        <v>45606</v>
      </c>
    </row>
    <row r="5082" spans="1:8">
      <c r="A5082" t="s">
        <v>10149</v>
      </c>
      <c r="B5082" t="s">
        <v>10150</v>
      </c>
      <c r="C5082" t="s">
        <v>31</v>
      </c>
      <c r="D5082">
        <v>33</v>
      </c>
      <c r="E5082" t="s">
        <v>60</v>
      </c>
      <c r="F5082" t="s">
        <v>21</v>
      </c>
      <c r="G5082" t="s">
        <v>22</v>
      </c>
      <c r="H5082" s="1">
        <v>45487</v>
      </c>
    </row>
    <row r="5083" spans="1:8">
      <c r="A5083" t="s">
        <v>10151</v>
      </c>
      <c r="B5083" t="s">
        <v>10152</v>
      </c>
      <c r="C5083" t="s">
        <v>31</v>
      </c>
      <c r="D5083">
        <v>44</v>
      </c>
      <c r="E5083" t="s">
        <v>37</v>
      </c>
      <c r="F5083" t="s">
        <v>38</v>
      </c>
      <c r="G5083" t="s">
        <v>22</v>
      </c>
      <c r="H5083" s="1">
        <v>46020</v>
      </c>
    </row>
    <row r="5084" spans="1:8">
      <c r="A5084" t="s">
        <v>10153</v>
      </c>
      <c r="B5084" t="s">
        <v>10154</v>
      </c>
      <c r="C5084" t="s">
        <v>10</v>
      </c>
      <c r="D5084">
        <v>45</v>
      </c>
      <c r="E5084" t="s">
        <v>34</v>
      </c>
      <c r="F5084" t="s">
        <v>16</v>
      </c>
      <c r="G5084" t="s">
        <v>17</v>
      </c>
      <c r="H5084" s="1">
        <v>44822</v>
      </c>
    </row>
    <row r="5085" spans="1:8">
      <c r="A5085" t="s">
        <v>10155</v>
      </c>
      <c r="B5085" t="s">
        <v>10156</v>
      </c>
      <c r="C5085" t="s">
        <v>31</v>
      </c>
      <c r="D5085">
        <v>36</v>
      </c>
      <c r="E5085" t="s">
        <v>41</v>
      </c>
      <c r="F5085" t="s">
        <v>42</v>
      </c>
      <c r="G5085" t="s">
        <v>17</v>
      </c>
      <c r="H5085" s="1">
        <v>45511</v>
      </c>
    </row>
    <row r="5086" spans="1:8">
      <c r="A5086" t="s">
        <v>10157</v>
      </c>
      <c r="B5086" t="s">
        <v>10158</v>
      </c>
      <c r="C5086" t="s">
        <v>31</v>
      </c>
      <c r="D5086">
        <v>54</v>
      </c>
      <c r="E5086" t="s">
        <v>63</v>
      </c>
      <c r="F5086" t="s">
        <v>64</v>
      </c>
      <c r="G5086" t="s">
        <v>12</v>
      </c>
      <c r="H5086" s="1">
        <v>45325</v>
      </c>
    </row>
    <row r="5087" spans="1:8">
      <c r="A5087" t="s">
        <v>10159</v>
      </c>
      <c r="B5087" t="s">
        <v>10160</v>
      </c>
      <c r="C5087" t="s">
        <v>10</v>
      </c>
      <c r="D5087">
        <v>34</v>
      </c>
      <c r="E5087" t="s">
        <v>63</v>
      </c>
      <c r="F5087" t="s">
        <v>64</v>
      </c>
      <c r="G5087" t="s">
        <v>12</v>
      </c>
      <c r="H5087" s="1">
        <v>44838</v>
      </c>
    </row>
    <row r="5088" spans="1:8">
      <c r="A5088" t="s">
        <v>10161</v>
      </c>
      <c r="B5088" t="s">
        <v>10162</v>
      </c>
      <c r="C5088" t="s">
        <v>10</v>
      </c>
      <c r="D5088">
        <v>28</v>
      </c>
      <c r="E5088" t="s">
        <v>218</v>
      </c>
      <c r="F5088" t="s">
        <v>219</v>
      </c>
      <c r="G5088" t="s">
        <v>17</v>
      </c>
      <c r="H5088" s="1">
        <v>45354</v>
      </c>
    </row>
    <row r="5089" spans="1:8">
      <c r="A5089" t="s">
        <v>10163</v>
      </c>
      <c r="B5089" t="s">
        <v>10164</v>
      </c>
      <c r="C5089" t="s">
        <v>10</v>
      </c>
      <c r="D5089">
        <v>18</v>
      </c>
      <c r="E5089" t="s">
        <v>128</v>
      </c>
      <c r="F5089" t="s">
        <v>129</v>
      </c>
      <c r="G5089" t="s">
        <v>78</v>
      </c>
      <c r="H5089" s="1">
        <v>45831</v>
      </c>
    </row>
    <row r="5090" spans="1:8">
      <c r="A5090" t="s">
        <v>10165</v>
      </c>
      <c r="B5090" t="s">
        <v>10166</v>
      </c>
      <c r="C5090" t="s">
        <v>31</v>
      </c>
      <c r="D5090">
        <v>54</v>
      </c>
      <c r="E5090" t="s">
        <v>149</v>
      </c>
      <c r="F5090" t="s">
        <v>38</v>
      </c>
      <c r="G5090" t="s">
        <v>22</v>
      </c>
      <c r="H5090" s="1">
        <v>44710</v>
      </c>
    </row>
    <row r="5091" spans="1:8">
      <c r="A5091" t="s">
        <v>10167</v>
      </c>
      <c r="B5091" t="s">
        <v>10168</v>
      </c>
      <c r="C5091" t="s">
        <v>31</v>
      </c>
      <c r="D5091">
        <v>42</v>
      </c>
      <c r="E5091" t="s">
        <v>63</v>
      </c>
      <c r="F5091" t="s">
        <v>64</v>
      </c>
      <c r="G5091" t="s">
        <v>12</v>
      </c>
      <c r="H5091" s="1">
        <v>44949</v>
      </c>
    </row>
    <row r="5092" spans="1:8">
      <c r="A5092" t="s">
        <v>10169</v>
      </c>
      <c r="B5092" t="s">
        <v>10170</v>
      </c>
      <c r="C5092" t="s">
        <v>10</v>
      </c>
      <c r="D5092">
        <v>55</v>
      </c>
      <c r="E5092" t="s">
        <v>27</v>
      </c>
      <c r="F5092" t="s">
        <v>28</v>
      </c>
      <c r="G5092" t="s">
        <v>12</v>
      </c>
      <c r="H5092" s="1">
        <v>45792</v>
      </c>
    </row>
    <row r="5093" spans="1:8">
      <c r="A5093" t="s">
        <v>10171</v>
      </c>
      <c r="B5093" t="s">
        <v>10172</v>
      </c>
      <c r="C5093" t="s">
        <v>10</v>
      </c>
      <c r="D5093">
        <v>31</v>
      </c>
      <c r="E5093" t="s">
        <v>128</v>
      </c>
      <c r="F5093" t="s">
        <v>129</v>
      </c>
      <c r="G5093" t="s">
        <v>78</v>
      </c>
      <c r="H5093" s="1">
        <v>45684</v>
      </c>
    </row>
    <row r="5094" spans="1:8">
      <c r="A5094" t="s">
        <v>10173</v>
      </c>
      <c r="B5094" t="s">
        <v>10174</v>
      </c>
      <c r="C5094" t="s">
        <v>31</v>
      </c>
      <c r="D5094">
        <v>53</v>
      </c>
      <c r="E5094" t="s">
        <v>60</v>
      </c>
      <c r="F5094" t="s">
        <v>21</v>
      </c>
      <c r="G5094" t="s">
        <v>22</v>
      </c>
      <c r="H5094" s="1">
        <v>45539</v>
      </c>
    </row>
    <row r="5095" spans="1:8">
      <c r="A5095" t="s">
        <v>10175</v>
      </c>
      <c r="B5095" t="s">
        <v>10176</v>
      </c>
      <c r="C5095" t="s">
        <v>10</v>
      </c>
      <c r="D5095">
        <v>41</v>
      </c>
      <c r="E5095" t="s">
        <v>149</v>
      </c>
      <c r="F5095" t="s">
        <v>38</v>
      </c>
      <c r="G5095" t="s">
        <v>22</v>
      </c>
      <c r="H5095" s="1">
        <v>45485</v>
      </c>
    </row>
    <row r="5096" spans="1:8">
      <c r="A5096" t="s">
        <v>10177</v>
      </c>
      <c r="B5096" t="s">
        <v>2304</v>
      </c>
      <c r="C5096" t="s">
        <v>31</v>
      </c>
      <c r="D5096">
        <v>25</v>
      </c>
      <c r="E5096" t="s">
        <v>112</v>
      </c>
      <c r="F5096" t="s">
        <v>113</v>
      </c>
      <c r="G5096" t="s">
        <v>78</v>
      </c>
      <c r="H5096" s="1">
        <v>44587</v>
      </c>
    </row>
    <row r="5097" spans="1:8">
      <c r="A5097" t="s">
        <v>10178</v>
      </c>
      <c r="B5097" t="s">
        <v>10179</v>
      </c>
      <c r="C5097" t="s">
        <v>10</v>
      </c>
      <c r="D5097">
        <v>51</v>
      </c>
      <c r="E5097" t="s">
        <v>218</v>
      </c>
      <c r="F5097" t="s">
        <v>219</v>
      </c>
      <c r="G5097" t="s">
        <v>17</v>
      </c>
      <c r="H5097" s="1">
        <v>44915</v>
      </c>
    </row>
    <row r="5098" spans="1:8">
      <c r="A5098" t="s">
        <v>10180</v>
      </c>
      <c r="B5098" t="s">
        <v>10181</v>
      </c>
      <c r="C5098" t="s">
        <v>10</v>
      </c>
      <c r="D5098">
        <v>24</v>
      </c>
      <c r="E5098" t="s">
        <v>91</v>
      </c>
      <c r="F5098" t="s">
        <v>92</v>
      </c>
      <c r="G5098" t="s">
        <v>78</v>
      </c>
      <c r="H5098" s="1">
        <v>45807</v>
      </c>
    </row>
    <row r="5099" spans="1:8">
      <c r="A5099" t="s">
        <v>10182</v>
      </c>
      <c r="B5099" t="s">
        <v>10183</v>
      </c>
      <c r="C5099" t="s">
        <v>10</v>
      </c>
      <c r="D5099">
        <v>66</v>
      </c>
      <c r="E5099" t="s">
        <v>60</v>
      </c>
      <c r="F5099" t="s">
        <v>21</v>
      </c>
      <c r="G5099" t="s">
        <v>22</v>
      </c>
      <c r="H5099" s="1">
        <v>45643</v>
      </c>
    </row>
    <row r="5100" spans="1:8">
      <c r="A5100" t="s">
        <v>10184</v>
      </c>
      <c r="B5100" t="s">
        <v>10185</v>
      </c>
      <c r="C5100" t="s">
        <v>31</v>
      </c>
      <c r="D5100">
        <v>18</v>
      </c>
      <c r="E5100" t="s">
        <v>63</v>
      </c>
      <c r="F5100" t="s">
        <v>64</v>
      </c>
      <c r="G5100" t="s">
        <v>12</v>
      </c>
      <c r="H5100" s="1">
        <v>44820</v>
      </c>
    </row>
    <row r="5101" spans="1:8">
      <c r="A5101" t="s">
        <v>10186</v>
      </c>
      <c r="B5101" t="s">
        <v>10187</v>
      </c>
      <c r="C5101" t="s">
        <v>31</v>
      </c>
      <c r="D5101">
        <v>21</v>
      </c>
      <c r="E5101" t="s">
        <v>15</v>
      </c>
      <c r="F5101" t="s">
        <v>16</v>
      </c>
      <c r="G5101" t="s">
        <v>17</v>
      </c>
      <c r="H5101" s="1">
        <v>45155</v>
      </c>
    </row>
    <row r="5102" spans="1:8">
      <c r="A5102" t="s">
        <v>10188</v>
      </c>
      <c r="B5102" t="s">
        <v>10189</v>
      </c>
      <c r="C5102" t="s">
        <v>10</v>
      </c>
      <c r="D5102">
        <v>57</v>
      </c>
      <c r="E5102" t="s">
        <v>69</v>
      </c>
      <c r="F5102" t="s">
        <v>69</v>
      </c>
      <c r="G5102" t="s">
        <v>12</v>
      </c>
      <c r="H5102" s="1">
        <v>45378</v>
      </c>
    </row>
    <row r="5103" spans="1:8">
      <c r="A5103" t="s">
        <v>10190</v>
      </c>
      <c r="B5103" t="s">
        <v>10191</v>
      </c>
      <c r="C5103" t="s">
        <v>10</v>
      </c>
      <c r="D5103">
        <v>20</v>
      </c>
      <c r="E5103" t="s">
        <v>11</v>
      </c>
      <c r="F5103" t="s">
        <v>11</v>
      </c>
      <c r="G5103" t="s">
        <v>12</v>
      </c>
      <c r="H5103" s="1">
        <v>45186</v>
      </c>
    </row>
    <row r="5104" spans="1:8">
      <c r="A5104" t="s">
        <v>10192</v>
      </c>
      <c r="B5104" t="s">
        <v>10193</v>
      </c>
      <c r="C5104" t="s">
        <v>10</v>
      </c>
      <c r="D5104">
        <v>37</v>
      </c>
      <c r="E5104" t="s">
        <v>128</v>
      </c>
      <c r="F5104" t="s">
        <v>129</v>
      </c>
      <c r="G5104" t="s">
        <v>78</v>
      </c>
      <c r="H5104" s="1">
        <v>44706</v>
      </c>
    </row>
    <row r="5105" spans="1:8">
      <c r="A5105" t="s">
        <v>10194</v>
      </c>
      <c r="B5105" t="s">
        <v>10195</v>
      </c>
      <c r="C5105" t="s">
        <v>31</v>
      </c>
      <c r="D5105">
        <v>38</v>
      </c>
      <c r="E5105" t="s">
        <v>34</v>
      </c>
      <c r="F5105" t="s">
        <v>16</v>
      </c>
      <c r="G5105" t="s">
        <v>17</v>
      </c>
      <c r="H5105" s="1">
        <v>45619</v>
      </c>
    </row>
    <row r="5106" spans="1:8">
      <c r="A5106" t="s">
        <v>10196</v>
      </c>
      <c r="B5106" t="s">
        <v>10197</v>
      </c>
      <c r="C5106" t="s">
        <v>10</v>
      </c>
      <c r="D5106">
        <v>20</v>
      </c>
      <c r="E5106" t="s">
        <v>218</v>
      </c>
      <c r="F5106" t="s">
        <v>219</v>
      </c>
      <c r="G5106" t="s">
        <v>17</v>
      </c>
      <c r="H5106" s="1">
        <v>45524</v>
      </c>
    </row>
    <row r="5107" spans="1:8">
      <c r="A5107" t="s">
        <v>10198</v>
      </c>
      <c r="B5107" t="s">
        <v>10199</v>
      </c>
      <c r="C5107" t="s">
        <v>31</v>
      </c>
      <c r="D5107">
        <v>60</v>
      </c>
      <c r="E5107" t="s">
        <v>27</v>
      </c>
      <c r="F5107" t="s">
        <v>28</v>
      </c>
      <c r="G5107" t="s">
        <v>12</v>
      </c>
      <c r="H5107" s="1">
        <v>45452</v>
      </c>
    </row>
    <row r="5108" spans="1:8">
      <c r="A5108" t="s">
        <v>10200</v>
      </c>
      <c r="B5108" t="s">
        <v>10201</v>
      </c>
      <c r="C5108" t="s">
        <v>10</v>
      </c>
      <c r="D5108">
        <v>36</v>
      </c>
      <c r="E5108" t="s">
        <v>101</v>
      </c>
      <c r="F5108" t="s">
        <v>21</v>
      </c>
      <c r="G5108" t="s">
        <v>22</v>
      </c>
      <c r="H5108" s="1">
        <v>45928</v>
      </c>
    </row>
    <row r="5109" spans="1:8">
      <c r="A5109" t="s">
        <v>10202</v>
      </c>
      <c r="B5109" t="s">
        <v>10203</v>
      </c>
      <c r="C5109" t="s">
        <v>10</v>
      </c>
      <c r="D5109">
        <v>21</v>
      </c>
      <c r="E5109" t="s">
        <v>91</v>
      </c>
      <c r="F5109" t="s">
        <v>92</v>
      </c>
      <c r="G5109" t="s">
        <v>78</v>
      </c>
      <c r="H5109" s="1">
        <v>45833</v>
      </c>
    </row>
    <row r="5110" spans="1:8">
      <c r="A5110" t="s">
        <v>10204</v>
      </c>
      <c r="B5110" t="s">
        <v>4939</v>
      </c>
      <c r="C5110" t="s">
        <v>10</v>
      </c>
      <c r="D5110">
        <v>19</v>
      </c>
      <c r="E5110" t="s">
        <v>101</v>
      </c>
      <c r="F5110" t="s">
        <v>21</v>
      </c>
      <c r="G5110" t="s">
        <v>22</v>
      </c>
      <c r="H5110" s="1">
        <v>45251</v>
      </c>
    </row>
    <row r="5111" spans="1:8">
      <c r="A5111" t="s">
        <v>10205</v>
      </c>
      <c r="B5111" t="s">
        <v>10206</v>
      </c>
      <c r="C5111" t="s">
        <v>31</v>
      </c>
      <c r="D5111">
        <v>56</v>
      </c>
      <c r="E5111" t="s">
        <v>149</v>
      </c>
      <c r="F5111" t="s">
        <v>38</v>
      </c>
      <c r="G5111" t="s">
        <v>22</v>
      </c>
      <c r="H5111" s="1">
        <v>45435</v>
      </c>
    </row>
    <row r="5112" spans="1:8">
      <c r="A5112" t="s">
        <v>10207</v>
      </c>
      <c r="B5112" t="s">
        <v>10208</v>
      </c>
      <c r="C5112" t="s">
        <v>31</v>
      </c>
      <c r="D5112">
        <v>53</v>
      </c>
      <c r="E5112" t="s">
        <v>49</v>
      </c>
      <c r="F5112" t="s">
        <v>88</v>
      </c>
      <c r="G5112" t="s">
        <v>78</v>
      </c>
      <c r="H5112" s="1">
        <v>45836</v>
      </c>
    </row>
    <row r="5113" spans="1:8">
      <c r="A5113" t="s">
        <v>10209</v>
      </c>
      <c r="B5113" t="s">
        <v>10210</v>
      </c>
      <c r="C5113" t="s">
        <v>10</v>
      </c>
      <c r="D5113">
        <v>59</v>
      </c>
      <c r="E5113" t="s">
        <v>112</v>
      </c>
      <c r="F5113" t="s">
        <v>113</v>
      </c>
      <c r="G5113" t="s">
        <v>78</v>
      </c>
      <c r="H5113" s="1">
        <v>44818</v>
      </c>
    </row>
    <row r="5114" spans="1:8">
      <c r="A5114" t="s">
        <v>10211</v>
      </c>
      <c r="B5114" t="s">
        <v>10212</v>
      </c>
      <c r="C5114" t="s">
        <v>10</v>
      </c>
      <c r="D5114">
        <v>18</v>
      </c>
      <c r="E5114" t="s">
        <v>91</v>
      </c>
      <c r="F5114" t="s">
        <v>92</v>
      </c>
      <c r="G5114" t="s">
        <v>78</v>
      </c>
      <c r="H5114" s="1">
        <v>45385</v>
      </c>
    </row>
    <row r="5115" spans="1:8">
      <c r="A5115" t="s">
        <v>10213</v>
      </c>
      <c r="B5115" t="s">
        <v>10214</v>
      </c>
      <c r="C5115" t="s">
        <v>10</v>
      </c>
      <c r="D5115">
        <v>46</v>
      </c>
      <c r="E5115" t="s">
        <v>45</v>
      </c>
      <c r="F5115" t="s">
        <v>46</v>
      </c>
      <c r="G5115" t="s">
        <v>17</v>
      </c>
      <c r="H5115" s="1">
        <v>45065</v>
      </c>
    </row>
    <row r="5116" spans="1:8">
      <c r="A5116" t="s">
        <v>10215</v>
      </c>
      <c r="B5116" t="s">
        <v>10216</v>
      </c>
      <c r="C5116" t="s">
        <v>31</v>
      </c>
      <c r="D5116">
        <v>54</v>
      </c>
      <c r="E5116" t="s">
        <v>69</v>
      </c>
      <c r="F5116" t="s">
        <v>69</v>
      </c>
      <c r="G5116" t="s">
        <v>12</v>
      </c>
      <c r="H5116" s="1">
        <v>44767</v>
      </c>
    </row>
    <row r="5117" spans="1:8">
      <c r="A5117" t="s">
        <v>10217</v>
      </c>
      <c r="B5117" t="s">
        <v>10218</v>
      </c>
      <c r="C5117" t="s">
        <v>31</v>
      </c>
      <c r="D5117">
        <v>18</v>
      </c>
      <c r="E5117" t="s">
        <v>149</v>
      </c>
      <c r="F5117" t="s">
        <v>38</v>
      </c>
      <c r="G5117" t="s">
        <v>22</v>
      </c>
      <c r="H5117" s="1">
        <v>44875</v>
      </c>
    </row>
    <row r="5118" spans="1:8">
      <c r="A5118" t="s">
        <v>10219</v>
      </c>
      <c r="B5118" t="s">
        <v>10220</v>
      </c>
      <c r="C5118" t="s">
        <v>31</v>
      </c>
      <c r="D5118">
        <v>25</v>
      </c>
      <c r="E5118" t="s">
        <v>37</v>
      </c>
      <c r="F5118" t="s">
        <v>38</v>
      </c>
      <c r="G5118" t="s">
        <v>22</v>
      </c>
      <c r="H5118" s="1">
        <v>45567</v>
      </c>
    </row>
    <row r="5119" spans="1:8">
      <c r="A5119" t="s">
        <v>10221</v>
      </c>
      <c r="B5119" t="s">
        <v>10222</v>
      </c>
      <c r="C5119" t="s">
        <v>10</v>
      </c>
      <c r="D5119">
        <v>60</v>
      </c>
      <c r="E5119" t="s">
        <v>134</v>
      </c>
      <c r="F5119" t="s">
        <v>28</v>
      </c>
      <c r="G5119" t="s">
        <v>12</v>
      </c>
      <c r="H5119" s="1">
        <v>45023</v>
      </c>
    </row>
    <row r="5120" spans="1:8">
      <c r="A5120" t="s">
        <v>10223</v>
      </c>
      <c r="B5120" t="s">
        <v>10224</v>
      </c>
      <c r="C5120" t="s">
        <v>31</v>
      </c>
      <c r="D5120">
        <v>24</v>
      </c>
      <c r="E5120" t="s">
        <v>218</v>
      </c>
      <c r="F5120" t="s">
        <v>219</v>
      </c>
      <c r="G5120" t="s">
        <v>17</v>
      </c>
      <c r="H5120" s="1">
        <v>45208</v>
      </c>
    </row>
    <row r="5121" spans="1:8">
      <c r="A5121" t="s">
        <v>10225</v>
      </c>
      <c r="B5121" t="s">
        <v>10226</v>
      </c>
      <c r="C5121" t="s">
        <v>31</v>
      </c>
      <c r="D5121">
        <v>30</v>
      </c>
      <c r="E5121" t="s">
        <v>41</v>
      </c>
      <c r="F5121" t="s">
        <v>42</v>
      </c>
      <c r="G5121" t="s">
        <v>17</v>
      </c>
      <c r="H5121" s="1">
        <v>45565</v>
      </c>
    </row>
    <row r="5122" spans="1:8">
      <c r="A5122" t="s">
        <v>10227</v>
      </c>
      <c r="B5122" t="s">
        <v>10228</v>
      </c>
      <c r="C5122" t="s">
        <v>31</v>
      </c>
      <c r="D5122">
        <v>21</v>
      </c>
      <c r="E5122" t="s">
        <v>11</v>
      </c>
      <c r="F5122" t="s">
        <v>11</v>
      </c>
      <c r="G5122" t="s">
        <v>12</v>
      </c>
      <c r="H5122" s="1">
        <v>45578</v>
      </c>
    </row>
    <row r="5123" spans="1:8">
      <c r="A5123" t="s">
        <v>10229</v>
      </c>
      <c r="B5123" t="s">
        <v>10230</v>
      </c>
      <c r="C5123" t="s">
        <v>10</v>
      </c>
      <c r="D5123">
        <v>20</v>
      </c>
      <c r="E5123" t="s">
        <v>15</v>
      </c>
      <c r="F5123" t="s">
        <v>16</v>
      </c>
      <c r="G5123" t="s">
        <v>17</v>
      </c>
      <c r="H5123" s="1">
        <v>45740</v>
      </c>
    </row>
    <row r="5124" spans="1:8">
      <c r="A5124" t="s">
        <v>10231</v>
      </c>
      <c r="B5124" t="s">
        <v>10232</v>
      </c>
      <c r="C5124" t="s">
        <v>10</v>
      </c>
      <c r="D5124">
        <v>55</v>
      </c>
      <c r="E5124" t="s">
        <v>45</v>
      </c>
      <c r="F5124" t="s">
        <v>46</v>
      </c>
      <c r="G5124" t="s">
        <v>17</v>
      </c>
      <c r="H5124" s="1">
        <v>45835</v>
      </c>
    </row>
    <row r="5125" spans="1:8">
      <c r="A5125" t="s">
        <v>10233</v>
      </c>
      <c r="B5125" t="s">
        <v>10234</v>
      </c>
      <c r="C5125" t="s">
        <v>10</v>
      </c>
      <c r="D5125">
        <v>47</v>
      </c>
      <c r="E5125" t="s">
        <v>41</v>
      </c>
      <c r="F5125" t="s">
        <v>42</v>
      </c>
      <c r="G5125" t="s">
        <v>17</v>
      </c>
      <c r="H5125" s="1">
        <v>44958</v>
      </c>
    </row>
    <row r="5126" spans="1:8">
      <c r="A5126" t="s">
        <v>10235</v>
      </c>
      <c r="B5126" t="s">
        <v>10236</v>
      </c>
      <c r="C5126" t="s">
        <v>31</v>
      </c>
      <c r="D5126">
        <v>37</v>
      </c>
      <c r="E5126" t="s">
        <v>45</v>
      </c>
      <c r="F5126" t="s">
        <v>46</v>
      </c>
      <c r="G5126" t="s">
        <v>17</v>
      </c>
      <c r="H5126" s="1">
        <v>44938</v>
      </c>
    </row>
    <row r="5127" spans="1:8">
      <c r="A5127" t="s">
        <v>10237</v>
      </c>
      <c r="B5127" t="s">
        <v>10238</v>
      </c>
      <c r="C5127" t="s">
        <v>10</v>
      </c>
      <c r="D5127">
        <v>67</v>
      </c>
      <c r="E5127" t="s">
        <v>41</v>
      </c>
      <c r="F5127" t="s">
        <v>42</v>
      </c>
      <c r="G5127" t="s">
        <v>17</v>
      </c>
      <c r="H5127" s="1">
        <v>45148</v>
      </c>
    </row>
    <row r="5128" spans="1:8">
      <c r="A5128" t="s">
        <v>10239</v>
      </c>
      <c r="B5128" t="s">
        <v>10240</v>
      </c>
      <c r="C5128" t="s">
        <v>31</v>
      </c>
      <c r="D5128">
        <v>65</v>
      </c>
      <c r="E5128" t="s">
        <v>41</v>
      </c>
      <c r="F5128" t="s">
        <v>42</v>
      </c>
      <c r="G5128" t="s">
        <v>17</v>
      </c>
      <c r="H5128" s="1">
        <v>44614</v>
      </c>
    </row>
    <row r="5129" spans="1:8">
      <c r="A5129" t="s">
        <v>10241</v>
      </c>
      <c r="B5129" t="s">
        <v>10242</v>
      </c>
      <c r="C5129" t="s">
        <v>10</v>
      </c>
      <c r="D5129">
        <v>38</v>
      </c>
      <c r="E5129" t="s">
        <v>112</v>
      </c>
      <c r="F5129" t="s">
        <v>113</v>
      </c>
      <c r="G5129" t="s">
        <v>78</v>
      </c>
      <c r="H5129" s="1">
        <v>44825</v>
      </c>
    </row>
    <row r="5130" spans="1:8">
      <c r="A5130" t="s">
        <v>10243</v>
      </c>
      <c r="B5130" t="s">
        <v>10244</v>
      </c>
      <c r="C5130" t="s">
        <v>31</v>
      </c>
      <c r="D5130">
        <v>44</v>
      </c>
      <c r="E5130" t="s">
        <v>87</v>
      </c>
      <c r="F5130" t="s">
        <v>88</v>
      </c>
      <c r="G5130" t="s">
        <v>78</v>
      </c>
      <c r="H5130" s="1">
        <v>45978</v>
      </c>
    </row>
    <row r="5131" spans="1:8">
      <c r="A5131" t="s">
        <v>10245</v>
      </c>
      <c r="B5131" t="s">
        <v>10246</v>
      </c>
      <c r="C5131" t="s">
        <v>31</v>
      </c>
      <c r="D5131">
        <v>58</v>
      </c>
      <c r="E5131" t="s">
        <v>60</v>
      </c>
      <c r="F5131" t="s">
        <v>21</v>
      </c>
      <c r="G5131" t="s">
        <v>22</v>
      </c>
      <c r="H5131" s="1">
        <v>44708</v>
      </c>
    </row>
    <row r="5132" spans="1:8">
      <c r="A5132" t="s">
        <v>10247</v>
      </c>
      <c r="B5132" t="s">
        <v>10248</v>
      </c>
      <c r="C5132" t="s">
        <v>10</v>
      </c>
      <c r="D5132">
        <v>48</v>
      </c>
      <c r="E5132" t="s">
        <v>218</v>
      </c>
      <c r="F5132" t="s">
        <v>219</v>
      </c>
      <c r="G5132" t="s">
        <v>17</v>
      </c>
      <c r="H5132" s="1">
        <v>45293</v>
      </c>
    </row>
    <row r="5133" spans="1:8">
      <c r="A5133" t="s">
        <v>10249</v>
      </c>
      <c r="B5133" t="s">
        <v>10250</v>
      </c>
      <c r="C5133" t="s">
        <v>31</v>
      </c>
      <c r="D5133">
        <v>23</v>
      </c>
      <c r="E5133" t="s">
        <v>63</v>
      </c>
      <c r="F5133" t="s">
        <v>64</v>
      </c>
      <c r="G5133" t="s">
        <v>12</v>
      </c>
      <c r="H5133" s="1">
        <v>45664</v>
      </c>
    </row>
    <row r="5134" spans="1:8">
      <c r="A5134" t="s">
        <v>10251</v>
      </c>
      <c r="B5134" t="s">
        <v>10252</v>
      </c>
      <c r="C5134" t="s">
        <v>31</v>
      </c>
      <c r="D5134">
        <v>20</v>
      </c>
      <c r="E5134" t="s">
        <v>41</v>
      </c>
      <c r="F5134" t="s">
        <v>42</v>
      </c>
      <c r="G5134" t="s">
        <v>17</v>
      </c>
      <c r="H5134" s="1">
        <v>44956</v>
      </c>
    </row>
    <row r="5135" spans="1:8">
      <c r="A5135" t="s">
        <v>10253</v>
      </c>
      <c r="B5135" t="s">
        <v>10254</v>
      </c>
      <c r="C5135" t="s">
        <v>31</v>
      </c>
      <c r="D5135">
        <v>50</v>
      </c>
      <c r="E5135" t="s">
        <v>11</v>
      </c>
      <c r="F5135" t="s">
        <v>11</v>
      </c>
      <c r="G5135" t="s">
        <v>12</v>
      </c>
      <c r="H5135" s="1">
        <v>45705</v>
      </c>
    </row>
    <row r="5136" spans="1:8">
      <c r="A5136" t="s">
        <v>10255</v>
      </c>
      <c r="B5136" t="s">
        <v>10256</v>
      </c>
      <c r="C5136" t="s">
        <v>10</v>
      </c>
      <c r="D5136">
        <v>64</v>
      </c>
      <c r="E5136" t="s">
        <v>45</v>
      </c>
      <c r="F5136" t="s">
        <v>46</v>
      </c>
      <c r="G5136" t="s">
        <v>17</v>
      </c>
      <c r="H5136" s="1">
        <v>45677</v>
      </c>
    </row>
    <row r="5137" spans="1:8">
      <c r="A5137" t="s">
        <v>10257</v>
      </c>
      <c r="B5137" t="s">
        <v>10258</v>
      </c>
      <c r="C5137" t="s">
        <v>31</v>
      </c>
      <c r="D5137">
        <v>34</v>
      </c>
      <c r="E5137" t="s">
        <v>11</v>
      </c>
      <c r="F5137" t="s">
        <v>11</v>
      </c>
      <c r="G5137" t="s">
        <v>12</v>
      </c>
      <c r="H5137" s="1">
        <v>45219</v>
      </c>
    </row>
    <row r="5138" spans="1:8">
      <c r="A5138" t="s">
        <v>10259</v>
      </c>
      <c r="B5138" t="s">
        <v>10260</v>
      </c>
      <c r="C5138" t="s">
        <v>31</v>
      </c>
      <c r="D5138">
        <v>33</v>
      </c>
      <c r="E5138" t="s">
        <v>218</v>
      </c>
      <c r="F5138" t="s">
        <v>219</v>
      </c>
      <c r="G5138" t="s">
        <v>17</v>
      </c>
      <c r="H5138" s="1">
        <v>45365</v>
      </c>
    </row>
    <row r="5139" spans="1:8">
      <c r="A5139" t="s">
        <v>10261</v>
      </c>
      <c r="B5139" t="s">
        <v>10262</v>
      </c>
      <c r="C5139" t="s">
        <v>10</v>
      </c>
      <c r="D5139">
        <v>59</v>
      </c>
      <c r="E5139" t="s">
        <v>11</v>
      </c>
      <c r="F5139" t="s">
        <v>11</v>
      </c>
      <c r="G5139" t="s">
        <v>12</v>
      </c>
      <c r="H5139" s="1">
        <v>45377</v>
      </c>
    </row>
    <row r="5140" spans="1:8">
      <c r="A5140" t="s">
        <v>10263</v>
      </c>
      <c r="B5140" t="s">
        <v>10264</v>
      </c>
      <c r="C5140" t="s">
        <v>10</v>
      </c>
      <c r="D5140">
        <v>36</v>
      </c>
      <c r="E5140" t="s">
        <v>149</v>
      </c>
      <c r="F5140" t="s">
        <v>38</v>
      </c>
      <c r="G5140" t="s">
        <v>22</v>
      </c>
      <c r="H5140" s="1">
        <v>44567</v>
      </c>
    </row>
    <row r="5141" spans="1:8">
      <c r="A5141" t="s">
        <v>10265</v>
      </c>
      <c r="B5141" t="s">
        <v>10266</v>
      </c>
      <c r="C5141" t="s">
        <v>31</v>
      </c>
      <c r="D5141">
        <v>38</v>
      </c>
      <c r="E5141" t="s">
        <v>34</v>
      </c>
      <c r="F5141" t="s">
        <v>16</v>
      </c>
      <c r="G5141" t="s">
        <v>17</v>
      </c>
      <c r="H5141" s="1">
        <v>44587</v>
      </c>
    </row>
    <row r="5142" spans="1:8">
      <c r="A5142" t="s">
        <v>10267</v>
      </c>
      <c r="B5142" t="s">
        <v>10268</v>
      </c>
      <c r="C5142" t="s">
        <v>31</v>
      </c>
      <c r="D5142">
        <v>19</v>
      </c>
      <c r="E5142" t="s">
        <v>87</v>
      </c>
      <c r="F5142" t="s">
        <v>88</v>
      </c>
      <c r="G5142" t="s">
        <v>78</v>
      </c>
      <c r="H5142" s="1">
        <v>45667</v>
      </c>
    </row>
    <row r="5143" spans="1:8">
      <c r="A5143" t="s">
        <v>10269</v>
      </c>
      <c r="B5143" t="s">
        <v>10270</v>
      </c>
      <c r="C5143" t="s">
        <v>10</v>
      </c>
      <c r="D5143">
        <v>29</v>
      </c>
      <c r="E5143" t="s">
        <v>76</v>
      </c>
      <c r="F5143" t="s">
        <v>77</v>
      </c>
      <c r="G5143" t="s">
        <v>78</v>
      </c>
      <c r="H5143" s="1">
        <v>45799</v>
      </c>
    </row>
    <row r="5144" spans="1:8">
      <c r="A5144" t="s">
        <v>10271</v>
      </c>
      <c r="B5144" t="s">
        <v>10272</v>
      </c>
      <c r="C5144" t="s">
        <v>10</v>
      </c>
      <c r="D5144">
        <v>55</v>
      </c>
      <c r="E5144" t="s">
        <v>218</v>
      </c>
      <c r="F5144" t="s">
        <v>219</v>
      </c>
      <c r="G5144" t="s">
        <v>17</v>
      </c>
      <c r="H5144" s="1">
        <v>44611</v>
      </c>
    </row>
    <row r="5145" spans="1:8">
      <c r="A5145" t="s">
        <v>10273</v>
      </c>
      <c r="B5145" t="s">
        <v>10274</v>
      </c>
      <c r="C5145" t="s">
        <v>10</v>
      </c>
      <c r="D5145">
        <v>50</v>
      </c>
      <c r="E5145" t="s">
        <v>101</v>
      </c>
      <c r="F5145" t="s">
        <v>21</v>
      </c>
      <c r="G5145" t="s">
        <v>22</v>
      </c>
      <c r="H5145" s="1">
        <v>44643</v>
      </c>
    </row>
    <row r="5146" spans="1:8">
      <c r="A5146" t="s">
        <v>10275</v>
      </c>
      <c r="B5146" t="s">
        <v>10276</v>
      </c>
      <c r="C5146" t="s">
        <v>31</v>
      </c>
      <c r="D5146">
        <v>61</v>
      </c>
      <c r="E5146" t="s">
        <v>60</v>
      </c>
      <c r="F5146" t="s">
        <v>21</v>
      </c>
      <c r="G5146" t="s">
        <v>22</v>
      </c>
      <c r="H5146" s="1">
        <v>45697</v>
      </c>
    </row>
    <row r="5147" spans="1:8">
      <c r="A5147" t="s">
        <v>10277</v>
      </c>
      <c r="B5147" t="s">
        <v>10278</v>
      </c>
      <c r="C5147" t="s">
        <v>31</v>
      </c>
      <c r="D5147">
        <v>52</v>
      </c>
      <c r="E5147" t="s">
        <v>87</v>
      </c>
      <c r="F5147" t="s">
        <v>88</v>
      </c>
      <c r="G5147" t="s">
        <v>78</v>
      </c>
      <c r="H5147" s="1">
        <v>45913</v>
      </c>
    </row>
    <row r="5148" spans="1:8">
      <c r="A5148" t="s">
        <v>10279</v>
      </c>
      <c r="B5148" t="s">
        <v>10280</v>
      </c>
      <c r="C5148" t="s">
        <v>31</v>
      </c>
      <c r="D5148">
        <v>28</v>
      </c>
      <c r="E5148" t="s">
        <v>101</v>
      </c>
      <c r="F5148" t="s">
        <v>21</v>
      </c>
      <c r="G5148" t="s">
        <v>22</v>
      </c>
      <c r="H5148" s="1">
        <v>45364</v>
      </c>
    </row>
    <row r="5149" spans="1:8">
      <c r="A5149" t="s">
        <v>10281</v>
      </c>
      <c r="B5149" t="s">
        <v>10282</v>
      </c>
      <c r="C5149" t="s">
        <v>31</v>
      </c>
      <c r="D5149">
        <v>36</v>
      </c>
      <c r="E5149" t="s">
        <v>134</v>
      </c>
      <c r="F5149" t="s">
        <v>28</v>
      </c>
      <c r="G5149" t="s">
        <v>12</v>
      </c>
      <c r="H5149" s="1">
        <v>44747</v>
      </c>
    </row>
    <row r="5150" spans="1:8">
      <c r="A5150" t="s">
        <v>10283</v>
      </c>
      <c r="B5150" t="s">
        <v>10284</v>
      </c>
      <c r="C5150" t="s">
        <v>10</v>
      </c>
      <c r="D5150">
        <v>64</v>
      </c>
      <c r="E5150" t="s">
        <v>27</v>
      </c>
      <c r="F5150" t="s">
        <v>28</v>
      </c>
      <c r="G5150" t="s">
        <v>12</v>
      </c>
      <c r="H5150" s="1">
        <v>44985</v>
      </c>
    </row>
    <row r="5151" spans="1:8">
      <c r="A5151" t="s">
        <v>10285</v>
      </c>
      <c r="B5151" t="s">
        <v>10286</v>
      </c>
      <c r="C5151" t="s">
        <v>10</v>
      </c>
      <c r="D5151">
        <v>21</v>
      </c>
      <c r="E5151" t="s">
        <v>41</v>
      </c>
      <c r="F5151" t="s">
        <v>42</v>
      </c>
      <c r="G5151" t="s">
        <v>17</v>
      </c>
      <c r="H5151" s="1">
        <v>44832</v>
      </c>
    </row>
    <row r="5152" spans="1:8">
      <c r="A5152" t="s">
        <v>10287</v>
      </c>
      <c r="B5152" t="s">
        <v>10288</v>
      </c>
      <c r="C5152" t="s">
        <v>31</v>
      </c>
      <c r="D5152">
        <v>34</v>
      </c>
      <c r="E5152" t="s">
        <v>49</v>
      </c>
      <c r="F5152" t="s">
        <v>129</v>
      </c>
      <c r="G5152" t="s">
        <v>78</v>
      </c>
      <c r="H5152" s="1">
        <v>45521</v>
      </c>
    </row>
    <row r="5153" spans="1:8">
      <c r="A5153" t="s">
        <v>10289</v>
      </c>
      <c r="B5153" t="s">
        <v>10290</v>
      </c>
      <c r="C5153" t="s">
        <v>10</v>
      </c>
      <c r="D5153">
        <v>66</v>
      </c>
      <c r="E5153" t="s">
        <v>128</v>
      </c>
      <c r="F5153" t="s">
        <v>129</v>
      </c>
      <c r="G5153" t="s">
        <v>78</v>
      </c>
      <c r="H5153" s="1">
        <v>45600</v>
      </c>
    </row>
    <row r="5154" spans="1:8">
      <c r="A5154" t="s">
        <v>10291</v>
      </c>
      <c r="B5154" t="s">
        <v>10292</v>
      </c>
      <c r="C5154" t="s">
        <v>10</v>
      </c>
      <c r="D5154">
        <v>50</v>
      </c>
      <c r="E5154" t="s">
        <v>69</v>
      </c>
      <c r="F5154" t="s">
        <v>69</v>
      </c>
      <c r="G5154" t="s">
        <v>12</v>
      </c>
      <c r="H5154" s="1">
        <v>45560</v>
      </c>
    </row>
    <row r="5155" spans="1:8">
      <c r="A5155" t="s">
        <v>10293</v>
      </c>
      <c r="B5155" t="s">
        <v>10294</v>
      </c>
      <c r="C5155" t="s">
        <v>31</v>
      </c>
      <c r="D5155">
        <v>20</v>
      </c>
      <c r="E5155" t="s">
        <v>27</v>
      </c>
      <c r="F5155" t="s">
        <v>28</v>
      </c>
      <c r="G5155" t="s">
        <v>12</v>
      </c>
      <c r="H5155" s="1">
        <v>45705</v>
      </c>
    </row>
    <row r="5156" spans="1:8">
      <c r="A5156" t="s">
        <v>10295</v>
      </c>
      <c r="B5156" t="s">
        <v>10296</v>
      </c>
      <c r="C5156" t="s">
        <v>10</v>
      </c>
      <c r="D5156">
        <v>56</v>
      </c>
      <c r="E5156" t="s">
        <v>11</v>
      </c>
      <c r="F5156" t="s">
        <v>11</v>
      </c>
      <c r="G5156" t="s">
        <v>12</v>
      </c>
      <c r="H5156" s="1">
        <v>45953</v>
      </c>
    </row>
    <row r="5157" spans="1:8">
      <c r="A5157" t="s">
        <v>10297</v>
      </c>
      <c r="B5157" t="s">
        <v>10298</v>
      </c>
      <c r="C5157" t="s">
        <v>31</v>
      </c>
      <c r="D5157">
        <v>32</v>
      </c>
      <c r="E5157" t="s">
        <v>11</v>
      </c>
      <c r="F5157" t="s">
        <v>11</v>
      </c>
      <c r="G5157" t="s">
        <v>12</v>
      </c>
      <c r="H5157" s="1">
        <v>45669</v>
      </c>
    </row>
    <row r="5158" spans="1:8">
      <c r="A5158" t="s">
        <v>10299</v>
      </c>
      <c r="B5158" t="s">
        <v>10300</v>
      </c>
      <c r="C5158" t="s">
        <v>10</v>
      </c>
      <c r="D5158">
        <v>69</v>
      </c>
      <c r="E5158" t="s">
        <v>34</v>
      </c>
      <c r="F5158" t="s">
        <v>16</v>
      </c>
      <c r="G5158" t="s">
        <v>17</v>
      </c>
      <c r="H5158" s="1">
        <v>45956</v>
      </c>
    </row>
    <row r="5159" spans="1:8">
      <c r="A5159" t="s">
        <v>10301</v>
      </c>
      <c r="B5159" t="s">
        <v>10302</v>
      </c>
      <c r="C5159" t="s">
        <v>31</v>
      </c>
      <c r="D5159">
        <v>52</v>
      </c>
      <c r="E5159" t="s">
        <v>20</v>
      </c>
      <c r="F5159" t="s">
        <v>21</v>
      </c>
      <c r="G5159" t="s">
        <v>22</v>
      </c>
      <c r="H5159" s="1">
        <v>44759</v>
      </c>
    </row>
    <row r="5160" spans="1:8">
      <c r="A5160" t="s">
        <v>10303</v>
      </c>
      <c r="B5160" t="s">
        <v>10304</v>
      </c>
      <c r="C5160" t="s">
        <v>10</v>
      </c>
      <c r="D5160">
        <v>39</v>
      </c>
      <c r="E5160" t="s">
        <v>45</v>
      </c>
      <c r="F5160" t="s">
        <v>46</v>
      </c>
      <c r="G5160" t="s">
        <v>17</v>
      </c>
      <c r="H5160" s="1">
        <v>45710</v>
      </c>
    </row>
    <row r="5161" spans="1:8">
      <c r="A5161" t="s">
        <v>10305</v>
      </c>
      <c r="B5161" t="s">
        <v>10306</v>
      </c>
      <c r="C5161" t="s">
        <v>10</v>
      </c>
      <c r="D5161">
        <v>60</v>
      </c>
      <c r="E5161" t="s">
        <v>41</v>
      </c>
      <c r="F5161" t="s">
        <v>42</v>
      </c>
      <c r="G5161" t="s">
        <v>17</v>
      </c>
      <c r="H5161" s="1">
        <v>45055</v>
      </c>
    </row>
    <row r="5162" spans="1:8">
      <c r="A5162" t="s">
        <v>10307</v>
      </c>
      <c r="B5162" t="s">
        <v>10308</v>
      </c>
      <c r="C5162" t="s">
        <v>31</v>
      </c>
      <c r="D5162">
        <v>20</v>
      </c>
      <c r="E5162" t="s">
        <v>218</v>
      </c>
      <c r="F5162" t="s">
        <v>219</v>
      </c>
      <c r="G5162" t="s">
        <v>17</v>
      </c>
      <c r="H5162" s="1">
        <v>45905</v>
      </c>
    </row>
    <row r="5163" spans="1:8">
      <c r="A5163" t="s">
        <v>10309</v>
      </c>
      <c r="B5163" t="s">
        <v>10310</v>
      </c>
      <c r="C5163" t="s">
        <v>10</v>
      </c>
      <c r="D5163">
        <v>27</v>
      </c>
      <c r="E5163" t="s">
        <v>41</v>
      </c>
      <c r="F5163" t="s">
        <v>42</v>
      </c>
      <c r="G5163" t="s">
        <v>17</v>
      </c>
      <c r="H5163" s="1">
        <v>45962</v>
      </c>
    </row>
    <row r="5164" spans="1:8">
      <c r="A5164" t="s">
        <v>10311</v>
      </c>
      <c r="B5164" t="s">
        <v>10312</v>
      </c>
      <c r="C5164" t="s">
        <v>31</v>
      </c>
      <c r="D5164">
        <v>61</v>
      </c>
      <c r="E5164" t="s">
        <v>34</v>
      </c>
      <c r="F5164" t="s">
        <v>16</v>
      </c>
      <c r="G5164" t="s">
        <v>17</v>
      </c>
      <c r="H5164" s="1">
        <v>45792</v>
      </c>
    </row>
    <row r="5165" spans="1:8">
      <c r="A5165" t="s">
        <v>10313</v>
      </c>
      <c r="B5165" t="s">
        <v>10314</v>
      </c>
      <c r="C5165" t="s">
        <v>31</v>
      </c>
      <c r="D5165">
        <v>63</v>
      </c>
      <c r="E5165" t="s">
        <v>41</v>
      </c>
      <c r="F5165" t="s">
        <v>42</v>
      </c>
      <c r="G5165" t="s">
        <v>17</v>
      </c>
      <c r="H5165" s="1">
        <v>45120</v>
      </c>
    </row>
    <row r="5166" spans="1:8">
      <c r="A5166" t="s">
        <v>10315</v>
      </c>
      <c r="B5166" t="s">
        <v>10316</v>
      </c>
      <c r="C5166" t="s">
        <v>10</v>
      </c>
      <c r="D5166">
        <v>52</v>
      </c>
      <c r="E5166" t="s">
        <v>41</v>
      </c>
      <c r="F5166" t="s">
        <v>42</v>
      </c>
      <c r="G5166" t="s">
        <v>17</v>
      </c>
      <c r="H5166" s="1">
        <v>45991</v>
      </c>
    </row>
    <row r="5167" spans="1:8">
      <c r="A5167" t="s">
        <v>10317</v>
      </c>
      <c r="B5167" t="s">
        <v>10318</v>
      </c>
      <c r="C5167" t="s">
        <v>10</v>
      </c>
      <c r="D5167">
        <v>23</v>
      </c>
      <c r="E5167" t="s">
        <v>63</v>
      </c>
      <c r="F5167" t="s">
        <v>64</v>
      </c>
      <c r="G5167" t="s">
        <v>12</v>
      </c>
      <c r="H5167" s="1">
        <v>45873</v>
      </c>
    </row>
    <row r="5168" spans="1:8">
      <c r="A5168" t="s">
        <v>10319</v>
      </c>
      <c r="B5168" t="s">
        <v>10320</v>
      </c>
      <c r="C5168" t="s">
        <v>31</v>
      </c>
      <c r="D5168">
        <v>65</v>
      </c>
      <c r="E5168" t="s">
        <v>20</v>
      </c>
      <c r="F5168" t="s">
        <v>21</v>
      </c>
      <c r="G5168" t="s">
        <v>22</v>
      </c>
      <c r="H5168" s="1">
        <v>45154</v>
      </c>
    </row>
    <row r="5169" spans="1:8">
      <c r="A5169" t="s">
        <v>10321</v>
      </c>
      <c r="B5169" t="s">
        <v>5751</v>
      </c>
      <c r="C5169" t="s">
        <v>31</v>
      </c>
      <c r="D5169">
        <v>64</v>
      </c>
      <c r="E5169" t="s">
        <v>218</v>
      </c>
      <c r="F5169" t="s">
        <v>219</v>
      </c>
      <c r="G5169" t="s">
        <v>17</v>
      </c>
      <c r="H5169" s="1">
        <v>45734</v>
      </c>
    </row>
    <row r="5170" spans="1:8">
      <c r="A5170" t="s">
        <v>10322</v>
      </c>
      <c r="B5170" t="s">
        <v>10323</v>
      </c>
      <c r="C5170" t="s">
        <v>31</v>
      </c>
      <c r="D5170">
        <v>69</v>
      </c>
      <c r="E5170" t="s">
        <v>45</v>
      </c>
      <c r="F5170" t="s">
        <v>46</v>
      </c>
      <c r="G5170" t="s">
        <v>17</v>
      </c>
      <c r="H5170" s="1">
        <v>45424</v>
      </c>
    </row>
    <row r="5171" spans="1:8">
      <c r="A5171" t="s">
        <v>10324</v>
      </c>
      <c r="B5171" t="s">
        <v>10325</v>
      </c>
      <c r="C5171" t="s">
        <v>31</v>
      </c>
      <c r="D5171">
        <v>29</v>
      </c>
      <c r="E5171" t="s">
        <v>149</v>
      </c>
      <c r="F5171" t="s">
        <v>38</v>
      </c>
      <c r="G5171" t="s">
        <v>22</v>
      </c>
      <c r="H5171" s="1">
        <v>44832</v>
      </c>
    </row>
    <row r="5172" spans="1:8">
      <c r="A5172" t="s">
        <v>10326</v>
      </c>
      <c r="B5172" t="s">
        <v>10327</v>
      </c>
      <c r="C5172" t="s">
        <v>10</v>
      </c>
      <c r="D5172">
        <v>41</v>
      </c>
      <c r="E5172" t="s">
        <v>218</v>
      </c>
      <c r="F5172" t="s">
        <v>219</v>
      </c>
      <c r="G5172" t="s">
        <v>17</v>
      </c>
      <c r="H5172" s="1">
        <v>45331</v>
      </c>
    </row>
    <row r="5173" spans="1:8">
      <c r="A5173" t="s">
        <v>10328</v>
      </c>
      <c r="B5173" t="s">
        <v>10329</v>
      </c>
      <c r="C5173" t="s">
        <v>31</v>
      </c>
      <c r="D5173">
        <v>22</v>
      </c>
      <c r="E5173" t="s">
        <v>15</v>
      </c>
      <c r="F5173" t="s">
        <v>16</v>
      </c>
      <c r="G5173" t="s">
        <v>17</v>
      </c>
      <c r="H5173" s="1">
        <v>44844</v>
      </c>
    </row>
    <row r="5174" spans="1:8">
      <c r="A5174" t="s">
        <v>10330</v>
      </c>
      <c r="B5174" t="s">
        <v>10331</v>
      </c>
      <c r="C5174" t="s">
        <v>10</v>
      </c>
      <c r="D5174">
        <v>41</v>
      </c>
      <c r="E5174" t="s">
        <v>134</v>
      </c>
      <c r="F5174" t="s">
        <v>28</v>
      </c>
      <c r="G5174" t="s">
        <v>12</v>
      </c>
      <c r="H5174" s="1">
        <v>44595</v>
      </c>
    </row>
    <row r="5175" spans="1:8">
      <c r="A5175" t="s">
        <v>10332</v>
      </c>
      <c r="B5175" t="s">
        <v>10333</v>
      </c>
      <c r="C5175" t="s">
        <v>10</v>
      </c>
      <c r="D5175">
        <v>31</v>
      </c>
      <c r="E5175" t="s">
        <v>60</v>
      </c>
      <c r="F5175" t="s">
        <v>21</v>
      </c>
      <c r="G5175" t="s">
        <v>22</v>
      </c>
      <c r="H5175" s="1">
        <v>45480</v>
      </c>
    </row>
    <row r="5176" spans="1:8">
      <c r="A5176" t="s">
        <v>10334</v>
      </c>
      <c r="B5176" t="s">
        <v>10335</v>
      </c>
      <c r="C5176" t="s">
        <v>10</v>
      </c>
      <c r="D5176">
        <v>39</v>
      </c>
      <c r="E5176" t="s">
        <v>128</v>
      </c>
      <c r="F5176" t="s">
        <v>129</v>
      </c>
      <c r="G5176" t="s">
        <v>78</v>
      </c>
      <c r="H5176" s="1">
        <v>45383</v>
      </c>
    </row>
    <row r="5177" spans="1:8">
      <c r="A5177" t="s">
        <v>10336</v>
      </c>
      <c r="B5177" t="s">
        <v>10337</v>
      </c>
      <c r="C5177" t="s">
        <v>10</v>
      </c>
      <c r="D5177">
        <v>20</v>
      </c>
      <c r="E5177" t="s">
        <v>87</v>
      </c>
      <c r="F5177" t="s">
        <v>88</v>
      </c>
      <c r="G5177" t="s">
        <v>78</v>
      </c>
      <c r="H5177" s="1">
        <v>45367</v>
      </c>
    </row>
    <row r="5178" spans="1:8">
      <c r="A5178" t="s">
        <v>10338</v>
      </c>
      <c r="B5178" t="s">
        <v>10339</v>
      </c>
      <c r="C5178" t="s">
        <v>10</v>
      </c>
      <c r="D5178">
        <v>41</v>
      </c>
      <c r="E5178" t="s">
        <v>101</v>
      </c>
      <c r="F5178" t="s">
        <v>21</v>
      </c>
      <c r="G5178" t="s">
        <v>22</v>
      </c>
      <c r="H5178" s="1">
        <v>45450</v>
      </c>
    </row>
    <row r="5179" spans="1:8">
      <c r="A5179" t="s">
        <v>10340</v>
      </c>
      <c r="B5179" t="s">
        <v>10341</v>
      </c>
      <c r="C5179" t="s">
        <v>10</v>
      </c>
      <c r="D5179">
        <v>59</v>
      </c>
      <c r="E5179" t="s">
        <v>218</v>
      </c>
      <c r="F5179" t="s">
        <v>219</v>
      </c>
      <c r="G5179" t="s">
        <v>17</v>
      </c>
      <c r="H5179" s="1">
        <v>45874</v>
      </c>
    </row>
    <row r="5180" spans="1:8">
      <c r="A5180" t="s">
        <v>10342</v>
      </c>
      <c r="B5180" t="s">
        <v>10343</v>
      </c>
      <c r="C5180" t="s">
        <v>10</v>
      </c>
      <c r="D5180">
        <v>18</v>
      </c>
      <c r="E5180" t="s">
        <v>134</v>
      </c>
      <c r="F5180" t="s">
        <v>28</v>
      </c>
      <c r="G5180" t="s">
        <v>12</v>
      </c>
      <c r="H5180" s="1">
        <v>44578</v>
      </c>
    </row>
    <row r="5181" spans="1:8">
      <c r="A5181" t="s">
        <v>10344</v>
      </c>
      <c r="B5181" t="s">
        <v>10345</v>
      </c>
      <c r="C5181" t="s">
        <v>10</v>
      </c>
      <c r="D5181">
        <v>28</v>
      </c>
      <c r="E5181" t="s">
        <v>128</v>
      </c>
      <c r="F5181" t="s">
        <v>129</v>
      </c>
      <c r="G5181" t="s">
        <v>78</v>
      </c>
      <c r="H5181" s="1">
        <v>44651</v>
      </c>
    </row>
    <row r="5182" spans="1:8">
      <c r="A5182" t="s">
        <v>10346</v>
      </c>
      <c r="B5182" t="s">
        <v>10347</v>
      </c>
      <c r="C5182" t="s">
        <v>10</v>
      </c>
      <c r="D5182">
        <v>27</v>
      </c>
      <c r="E5182" t="s">
        <v>34</v>
      </c>
      <c r="F5182" t="s">
        <v>16</v>
      </c>
      <c r="G5182" t="s">
        <v>17</v>
      </c>
      <c r="H5182" s="1">
        <v>45870</v>
      </c>
    </row>
    <row r="5183" spans="1:8">
      <c r="A5183" t="s">
        <v>10348</v>
      </c>
      <c r="B5183" t="s">
        <v>10349</v>
      </c>
      <c r="C5183" t="s">
        <v>31</v>
      </c>
      <c r="D5183">
        <v>39</v>
      </c>
      <c r="E5183" t="s">
        <v>20</v>
      </c>
      <c r="F5183" t="s">
        <v>21</v>
      </c>
      <c r="G5183" t="s">
        <v>22</v>
      </c>
      <c r="H5183" s="1">
        <v>45807</v>
      </c>
    </row>
    <row r="5184" spans="1:8">
      <c r="A5184" t="s">
        <v>10350</v>
      </c>
      <c r="B5184" t="s">
        <v>4823</v>
      </c>
      <c r="C5184" t="s">
        <v>31</v>
      </c>
      <c r="D5184">
        <v>54</v>
      </c>
      <c r="E5184" t="s">
        <v>34</v>
      </c>
      <c r="F5184" t="s">
        <v>16</v>
      </c>
      <c r="G5184" t="s">
        <v>17</v>
      </c>
      <c r="H5184" s="1">
        <v>45504</v>
      </c>
    </row>
    <row r="5185" spans="1:8">
      <c r="A5185" t="s">
        <v>10351</v>
      </c>
      <c r="B5185" t="s">
        <v>10352</v>
      </c>
      <c r="C5185" t="s">
        <v>10</v>
      </c>
      <c r="D5185">
        <v>25</v>
      </c>
      <c r="E5185" t="s">
        <v>60</v>
      </c>
      <c r="F5185" t="s">
        <v>21</v>
      </c>
      <c r="G5185" t="s">
        <v>22</v>
      </c>
      <c r="H5185" s="1">
        <v>45312</v>
      </c>
    </row>
    <row r="5186" spans="1:8">
      <c r="A5186" t="s">
        <v>10353</v>
      </c>
      <c r="B5186" t="s">
        <v>10354</v>
      </c>
      <c r="C5186" t="s">
        <v>10</v>
      </c>
      <c r="D5186">
        <v>21</v>
      </c>
      <c r="E5186" t="s">
        <v>101</v>
      </c>
      <c r="F5186" t="s">
        <v>21</v>
      </c>
      <c r="G5186" t="s">
        <v>22</v>
      </c>
      <c r="H5186" s="1">
        <v>45365</v>
      </c>
    </row>
    <row r="5187" spans="1:8">
      <c r="A5187" t="s">
        <v>10355</v>
      </c>
      <c r="B5187" t="s">
        <v>10356</v>
      </c>
      <c r="C5187" t="s">
        <v>10</v>
      </c>
      <c r="D5187">
        <v>26</v>
      </c>
      <c r="E5187" t="s">
        <v>27</v>
      </c>
      <c r="F5187" t="s">
        <v>28</v>
      </c>
      <c r="G5187" t="s">
        <v>12</v>
      </c>
      <c r="H5187" s="1">
        <v>45443</v>
      </c>
    </row>
    <row r="5188" spans="1:8">
      <c r="A5188" t="s">
        <v>10357</v>
      </c>
      <c r="B5188" t="s">
        <v>10358</v>
      </c>
      <c r="C5188" t="s">
        <v>31</v>
      </c>
      <c r="D5188">
        <v>36</v>
      </c>
      <c r="E5188" t="s">
        <v>112</v>
      </c>
      <c r="F5188" t="s">
        <v>113</v>
      </c>
      <c r="G5188" t="s">
        <v>78</v>
      </c>
      <c r="H5188" s="1">
        <v>45276</v>
      </c>
    </row>
    <row r="5189" spans="1:8">
      <c r="A5189" t="s">
        <v>10359</v>
      </c>
      <c r="B5189" t="s">
        <v>10360</v>
      </c>
      <c r="C5189" t="s">
        <v>10</v>
      </c>
      <c r="D5189">
        <v>20</v>
      </c>
      <c r="E5189" t="s">
        <v>134</v>
      </c>
      <c r="F5189" t="s">
        <v>28</v>
      </c>
      <c r="G5189" t="s">
        <v>12</v>
      </c>
      <c r="H5189" s="1">
        <v>45121</v>
      </c>
    </row>
    <row r="5190" spans="1:8">
      <c r="A5190" t="s">
        <v>10361</v>
      </c>
      <c r="B5190" t="s">
        <v>10362</v>
      </c>
      <c r="C5190" t="s">
        <v>31</v>
      </c>
      <c r="D5190">
        <v>62</v>
      </c>
      <c r="E5190" t="s">
        <v>60</v>
      </c>
      <c r="F5190" t="s">
        <v>21</v>
      </c>
      <c r="G5190" t="s">
        <v>22</v>
      </c>
      <c r="H5190" s="1">
        <v>45800</v>
      </c>
    </row>
    <row r="5191" spans="1:8">
      <c r="A5191" t="s">
        <v>10363</v>
      </c>
      <c r="B5191" t="s">
        <v>10364</v>
      </c>
      <c r="C5191" t="s">
        <v>10</v>
      </c>
      <c r="D5191">
        <v>25</v>
      </c>
      <c r="E5191" t="s">
        <v>45</v>
      </c>
      <c r="F5191" t="s">
        <v>46</v>
      </c>
      <c r="G5191" t="s">
        <v>17</v>
      </c>
      <c r="H5191" s="1">
        <v>45023</v>
      </c>
    </row>
    <row r="5192" spans="1:8">
      <c r="A5192" t="s">
        <v>10365</v>
      </c>
      <c r="B5192" t="s">
        <v>10366</v>
      </c>
      <c r="C5192" t="s">
        <v>31</v>
      </c>
      <c r="D5192">
        <v>40</v>
      </c>
      <c r="E5192" t="s">
        <v>60</v>
      </c>
      <c r="F5192" t="s">
        <v>21</v>
      </c>
      <c r="G5192" t="s">
        <v>22</v>
      </c>
      <c r="H5192" s="1">
        <v>44809</v>
      </c>
    </row>
    <row r="5193" spans="1:8">
      <c r="A5193" t="s">
        <v>10367</v>
      </c>
      <c r="B5193" t="s">
        <v>10368</v>
      </c>
      <c r="C5193" t="s">
        <v>31</v>
      </c>
      <c r="D5193">
        <v>36</v>
      </c>
      <c r="E5193" t="s">
        <v>27</v>
      </c>
      <c r="F5193" t="s">
        <v>28</v>
      </c>
      <c r="G5193" t="s">
        <v>12</v>
      </c>
      <c r="H5193" s="1">
        <v>44994</v>
      </c>
    </row>
    <row r="5194" spans="1:8">
      <c r="A5194" t="s">
        <v>10369</v>
      </c>
      <c r="B5194" t="s">
        <v>10370</v>
      </c>
      <c r="C5194" t="s">
        <v>10</v>
      </c>
      <c r="D5194">
        <v>28</v>
      </c>
      <c r="E5194" t="s">
        <v>69</v>
      </c>
      <c r="F5194" t="s">
        <v>69</v>
      </c>
      <c r="G5194" t="s">
        <v>12</v>
      </c>
      <c r="H5194" s="1">
        <v>45393</v>
      </c>
    </row>
    <row r="5195" spans="1:8">
      <c r="A5195" t="s">
        <v>10371</v>
      </c>
      <c r="B5195" t="s">
        <v>10372</v>
      </c>
      <c r="C5195" t="s">
        <v>10</v>
      </c>
      <c r="D5195">
        <v>49</v>
      </c>
      <c r="E5195" t="s">
        <v>134</v>
      </c>
      <c r="F5195" t="s">
        <v>28</v>
      </c>
      <c r="G5195" t="s">
        <v>12</v>
      </c>
      <c r="H5195" s="1">
        <v>44867</v>
      </c>
    </row>
    <row r="5196" spans="1:8">
      <c r="A5196" t="s">
        <v>10373</v>
      </c>
      <c r="B5196" t="s">
        <v>10374</v>
      </c>
      <c r="C5196" t="s">
        <v>31</v>
      </c>
      <c r="D5196">
        <v>42</v>
      </c>
      <c r="E5196" t="s">
        <v>11</v>
      </c>
      <c r="F5196" t="s">
        <v>11</v>
      </c>
      <c r="G5196" t="s">
        <v>12</v>
      </c>
      <c r="H5196" s="1">
        <v>45206</v>
      </c>
    </row>
    <row r="5197" spans="1:8">
      <c r="A5197" t="s">
        <v>10375</v>
      </c>
      <c r="B5197" t="s">
        <v>10376</v>
      </c>
      <c r="C5197" t="s">
        <v>31</v>
      </c>
      <c r="D5197">
        <v>26</v>
      </c>
      <c r="E5197" t="s">
        <v>41</v>
      </c>
      <c r="F5197" t="s">
        <v>42</v>
      </c>
      <c r="G5197" t="s">
        <v>17</v>
      </c>
      <c r="H5197" s="1">
        <v>44772</v>
      </c>
    </row>
    <row r="5198" spans="1:8">
      <c r="A5198" t="s">
        <v>10377</v>
      </c>
      <c r="B5198" t="s">
        <v>10378</v>
      </c>
      <c r="C5198" t="s">
        <v>31</v>
      </c>
      <c r="D5198">
        <v>18</v>
      </c>
      <c r="E5198" t="s">
        <v>149</v>
      </c>
      <c r="F5198" t="s">
        <v>38</v>
      </c>
      <c r="G5198" t="s">
        <v>22</v>
      </c>
      <c r="H5198" s="1">
        <v>44624</v>
      </c>
    </row>
    <row r="5199" spans="1:8">
      <c r="A5199" t="s">
        <v>10379</v>
      </c>
      <c r="B5199" t="s">
        <v>10380</v>
      </c>
      <c r="C5199" t="s">
        <v>31</v>
      </c>
      <c r="D5199">
        <v>19</v>
      </c>
      <c r="E5199" t="s">
        <v>34</v>
      </c>
      <c r="F5199" t="s">
        <v>16</v>
      </c>
      <c r="G5199" t="s">
        <v>17</v>
      </c>
      <c r="H5199" s="1">
        <v>45425</v>
      </c>
    </row>
    <row r="5200" spans="1:8">
      <c r="A5200" t="s">
        <v>10381</v>
      </c>
      <c r="B5200" t="s">
        <v>10382</v>
      </c>
      <c r="C5200" t="s">
        <v>31</v>
      </c>
      <c r="D5200">
        <v>50</v>
      </c>
      <c r="E5200" t="s">
        <v>45</v>
      </c>
      <c r="F5200" t="s">
        <v>46</v>
      </c>
      <c r="G5200" t="s">
        <v>17</v>
      </c>
      <c r="H5200" s="1">
        <v>44690</v>
      </c>
    </row>
    <row r="5201" spans="1:8">
      <c r="A5201" t="s">
        <v>10383</v>
      </c>
      <c r="B5201" t="s">
        <v>10384</v>
      </c>
      <c r="C5201" t="s">
        <v>10</v>
      </c>
      <c r="D5201">
        <v>61</v>
      </c>
      <c r="E5201" t="s">
        <v>20</v>
      </c>
      <c r="F5201" t="s">
        <v>21</v>
      </c>
      <c r="G5201" t="s">
        <v>22</v>
      </c>
      <c r="H5201" s="1">
        <v>45328</v>
      </c>
    </row>
    <row r="5202" spans="1:8">
      <c r="A5202" t="s">
        <v>10385</v>
      </c>
      <c r="B5202" t="s">
        <v>10386</v>
      </c>
      <c r="C5202" t="s">
        <v>10</v>
      </c>
      <c r="D5202">
        <v>45</v>
      </c>
      <c r="E5202" t="s">
        <v>41</v>
      </c>
      <c r="F5202" t="s">
        <v>42</v>
      </c>
      <c r="G5202" t="s">
        <v>17</v>
      </c>
      <c r="H5202" s="1">
        <v>45033</v>
      </c>
    </row>
    <row r="5203" spans="1:8">
      <c r="A5203" t="s">
        <v>10387</v>
      </c>
      <c r="B5203" t="s">
        <v>10388</v>
      </c>
      <c r="C5203" t="s">
        <v>31</v>
      </c>
      <c r="D5203">
        <v>21</v>
      </c>
      <c r="E5203" t="s">
        <v>20</v>
      </c>
      <c r="F5203" t="s">
        <v>21</v>
      </c>
      <c r="G5203" t="s">
        <v>22</v>
      </c>
      <c r="H5203" s="1">
        <v>45209</v>
      </c>
    </row>
    <row r="5204" spans="1:8">
      <c r="A5204" t="s">
        <v>10389</v>
      </c>
      <c r="B5204" t="s">
        <v>10390</v>
      </c>
      <c r="C5204" t="s">
        <v>10</v>
      </c>
      <c r="D5204">
        <v>41</v>
      </c>
      <c r="E5204" t="s">
        <v>149</v>
      </c>
      <c r="F5204" t="s">
        <v>38</v>
      </c>
      <c r="G5204" t="s">
        <v>22</v>
      </c>
      <c r="H5204" s="1">
        <v>45733</v>
      </c>
    </row>
    <row r="5205" spans="1:8">
      <c r="A5205" t="s">
        <v>10391</v>
      </c>
      <c r="B5205" t="s">
        <v>10392</v>
      </c>
      <c r="C5205" t="s">
        <v>10</v>
      </c>
      <c r="D5205">
        <v>31</v>
      </c>
      <c r="E5205" t="s">
        <v>45</v>
      </c>
      <c r="F5205" t="s">
        <v>46</v>
      </c>
      <c r="G5205" t="s">
        <v>17</v>
      </c>
      <c r="H5205" s="1">
        <v>45180</v>
      </c>
    </row>
    <row r="5206" spans="1:8">
      <c r="A5206" t="s">
        <v>10393</v>
      </c>
      <c r="B5206" t="s">
        <v>10394</v>
      </c>
      <c r="C5206" t="s">
        <v>31</v>
      </c>
      <c r="D5206">
        <v>54</v>
      </c>
      <c r="E5206" t="s">
        <v>45</v>
      </c>
      <c r="F5206" t="s">
        <v>46</v>
      </c>
      <c r="G5206" t="s">
        <v>17</v>
      </c>
      <c r="H5206" s="1">
        <v>45191</v>
      </c>
    </row>
    <row r="5207" spans="1:8">
      <c r="A5207" t="s">
        <v>10395</v>
      </c>
      <c r="B5207" t="s">
        <v>10396</v>
      </c>
      <c r="C5207" t="s">
        <v>31</v>
      </c>
      <c r="D5207">
        <v>31</v>
      </c>
      <c r="E5207" t="s">
        <v>41</v>
      </c>
      <c r="F5207" t="s">
        <v>42</v>
      </c>
      <c r="G5207" t="s">
        <v>17</v>
      </c>
      <c r="H5207" s="1">
        <v>45103</v>
      </c>
    </row>
    <row r="5208" spans="1:8">
      <c r="A5208" t="s">
        <v>10397</v>
      </c>
      <c r="B5208" t="s">
        <v>10398</v>
      </c>
      <c r="C5208" t="s">
        <v>31</v>
      </c>
      <c r="D5208">
        <v>55</v>
      </c>
      <c r="E5208" t="s">
        <v>45</v>
      </c>
      <c r="F5208" t="s">
        <v>46</v>
      </c>
      <c r="G5208" t="s">
        <v>17</v>
      </c>
      <c r="H5208" s="1">
        <v>45984</v>
      </c>
    </row>
    <row r="5209" spans="1:8">
      <c r="A5209" t="s">
        <v>10399</v>
      </c>
      <c r="B5209" t="s">
        <v>10400</v>
      </c>
      <c r="C5209" t="s">
        <v>10</v>
      </c>
      <c r="D5209">
        <v>66</v>
      </c>
      <c r="E5209" t="s">
        <v>41</v>
      </c>
      <c r="F5209" t="s">
        <v>42</v>
      </c>
      <c r="G5209" t="s">
        <v>17</v>
      </c>
      <c r="H5209" s="1">
        <v>44814</v>
      </c>
    </row>
    <row r="5210" spans="1:8">
      <c r="A5210" t="s">
        <v>10401</v>
      </c>
      <c r="B5210" t="s">
        <v>10402</v>
      </c>
      <c r="C5210" t="s">
        <v>31</v>
      </c>
      <c r="D5210">
        <v>45</v>
      </c>
      <c r="E5210" t="s">
        <v>27</v>
      </c>
      <c r="F5210" t="s">
        <v>28</v>
      </c>
      <c r="G5210" t="s">
        <v>12</v>
      </c>
      <c r="H5210" s="1">
        <v>45867</v>
      </c>
    </row>
    <row r="5211" spans="1:8">
      <c r="A5211" t="s">
        <v>10403</v>
      </c>
      <c r="B5211" t="s">
        <v>10404</v>
      </c>
      <c r="C5211" t="s">
        <v>10</v>
      </c>
      <c r="D5211">
        <v>45</v>
      </c>
      <c r="E5211" t="s">
        <v>91</v>
      </c>
      <c r="F5211" t="s">
        <v>92</v>
      </c>
      <c r="G5211" t="s">
        <v>78</v>
      </c>
      <c r="H5211" s="1">
        <v>45390</v>
      </c>
    </row>
    <row r="5212" spans="1:8">
      <c r="A5212" t="s">
        <v>10405</v>
      </c>
      <c r="B5212" t="s">
        <v>10406</v>
      </c>
      <c r="C5212" t="s">
        <v>10</v>
      </c>
      <c r="D5212">
        <v>30</v>
      </c>
      <c r="E5212" t="s">
        <v>20</v>
      </c>
      <c r="F5212" t="s">
        <v>21</v>
      </c>
      <c r="G5212" t="s">
        <v>22</v>
      </c>
      <c r="H5212" s="1">
        <v>45696</v>
      </c>
    </row>
    <row r="5213" spans="1:8">
      <c r="A5213" t="s">
        <v>10407</v>
      </c>
      <c r="B5213" t="s">
        <v>10408</v>
      </c>
      <c r="C5213" t="s">
        <v>31</v>
      </c>
      <c r="D5213">
        <v>58</v>
      </c>
      <c r="E5213" t="s">
        <v>128</v>
      </c>
      <c r="F5213" t="s">
        <v>129</v>
      </c>
      <c r="G5213" t="s">
        <v>78</v>
      </c>
      <c r="H5213" s="1">
        <v>45575</v>
      </c>
    </row>
    <row r="5214" spans="1:8">
      <c r="A5214" t="s">
        <v>10409</v>
      </c>
      <c r="B5214" t="s">
        <v>10410</v>
      </c>
      <c r="C5214" t="s">
        <v>10</v>
      </c>
      <c r="D5214">
        <v>41</v>
      </c>
      <c r="E5214" t="s">
        <v>69</v>
      </c>
      <c r="F5214" t="s">
        <v>69</v>
      </c>
      <c r="G5214" t="s">
        <v>12</v>
      </c>
      <c r="H5214" s="1">
        <v>45372</v>
      </c>
    </row>
    <row r="5215" spans="1:8">
      <c r="A5215" t="s">
        <v>10411</v>
      </c>
      <c r="B5215" t="s">
        <v>10412</v>
      </c>
      <c r="C5215" t="s">
        <v>10</v>
      </c>
      <c r="D5215">
        <v>65</v>
      </c>
      <c r="E5215" t="s">
        <v>11</v>
      </c>
      <c r="F5215" t="s">
        <v>11</v>
      </c>
      <c r="G5215" t="s">
        <v>12</v>
      </c>
      <c r="H5215" s="1">
        <v>44942</v>
      </c>
    </row>
    <row r="5216" spans="1:8">
      <c r="A5216" t="s">
        <v>10413</v>
      </c>
      <c r="B5216" t="s">
        <v>10414</v>
      </c>
      <c r="C5216" t="s">
        <v>31</v>
      </c>
      <c r="D5216">
        <v>33</v>
      </c>
      <c r="E5216" t="s">
        <v>69</v>
      </c>
      <c r="F5216" t="s">
        <v>69</v>
      </c>
      <c r="G5216" t="s">
        <v>12</v>
      </c>
      <c r="H5216" s="1">
        <v>44743</v>
      </c>
    </row>
    <row r="5217" spans="1:8">
      <c r="A5217" t="s">
        <v>10415</v>
      </c>
      <c r="B5217" t="s">
        <v>10416</v>
      </c>
      <c r="C5217" t="s">
        <v>10</v>
      </c>
      <c r="D5217">
        <v>28</v>
      </c>
      <c r="E5217" t="s">
        <v>87</v>
      </c>
      <c r="F5217" t="s">
        <v>88</v>
      </c>
      <c r="G5217" t="s">
        <v>78</v>
      </c>
      <c r="H5217" s="1">
        <v>45716</v>
      </c>
    </row>
    <row r="5218" spans="1:8">
      <c r="A5218" t="s">
        <v>10417</v>
      </c>
      <c r="B5218" t="s">
        <v>10418</v>
      </c>
      <c r="C5218" t="s">
        <v>31</v>
      </c>
      <c r="D5218">
        <v>33</v>
      </c>
      <c r="E5218" t="s">
        <v>45</v>
      </c>
      <c r="F5218" t="s">
        <v>46</v>
      </c>
      <c r="G5218" t="s">
        <v>17</v>
      </c>
      <c r="H5218" s="1">
        <v>45447</v>
      </c>
    </row>
    <row r="5219" spans="1:8">
      <c r="A5219" t="s">
        <v>10419</v>
      </c>
      <c r="B5219" t="s">
        <v>10420</v>
      </c>
      <c r="C5219" t="s">
        <v>31</v>
      </c>
      <c r="D5219">
        <v>31</v>
      </c>
      <c r="E5219" t="s">
        <v>34</v>
      </c>
      <c r="F5219" t="s">
        <v>16</v>
      </c>
      <c r="G5219" t="s">
        <v>17</v>
      </c>
      <c r="H5219" s="1">
        <v>45975</v>
      </c>
    </row>
    <row r="5220" spans="1:8">
      <c r="A5220" t="s">
        <v>10421</v>
      </c>
      <c r="B5220" t="s">
        <v>10422</v>
      </c>
      <c r="C5220" t="s">
        <v>31</v>
      </c>
      <c r="D5220">
        <v>36</v>
      </c>
      <c r="E5220" t="s">
        <v>63</v>
      </c>
      <c r="F5220" t="s">
        <v>64</v>
      </c>
      <c r="G5220" t="s">
        <v>12</v>
      </c>
      <c r="H5220" s="1">
        <v>44992</v>
      </c>
    </row>
    <row r="5221" spans="1:8">
      <c r="A5221" t="s">
        <v>10423</v>
      </c>
      <c r="B5221" t="s">
        <v>10424</v>
      </c>
      <c r="C5221" t="s">
        <v>10</v>
      </c>
      <c r="D5221">
        <v>38</v>
      </c>
      <c r="E5221" t="s">
        <v>34</v>
      </c>
      <c r="F5221" t="s">
        <v>16</v>
      </c>
      <c r="G5221" t="s">
        <v>17</v>
      </c>
      <c r="H5221" s="1">
        <v>45710</v>
      </c>
    </row>
    <row r="5222" spans="1:8">
      <c r="A5222" t="s">
        <v>10425</v>
      </c>
      <c r="B5222" t="s">
        <v>10426</v>
      </c>
      <c r="C5222" t="s">
        <v>31</v>
      </c>
      <c r="D5222">
        <v>42</v>
      </c>
      <c r="E5222" t="s">
        <v>34</v>
      </c>
      <c r="F5222" t="s">
        <v>16</v>
      </c>
      <c r="G5222" t="s">
        <v>17</v>
      </c>
      <c r="H5222" s="1">
        <v>45370</v>
      </c>
    </row>
    <row r="5223" spans="1:8">
      <c r="A5223" t="s">
        <v>10427</v>
      </c>
      <c r="B5223" t="s">
        <v>10428</v>
      </c>
      <c r="C5223" t="s">
        <v>10</v>
      </c>
      <c r="D5223">
        <v>34</v>
      </c>
      <c r="E5223" t="s">
        <v>27</v>
      </c>
      <c r="F5223" t="s">
        <v>28</v>
      </c>
      <c r="G5223" t="s">
        <v>12</v>
      </c>
      <c r="H5223" s="1">
        <v>45898</v>
      </c>
    </row>
    <row r="5224" spans="1:8">
      <c r="A5224" t="s">
        <v>10429</v>
      </c>
      <c r="B5224" t="s">
        <v>1509</v>
      </c>
      <c r="C5224" t="s">
        <v>10</v>
      </c>
      <c r="D5224">
        <v>32</v>
      </c>
      <c r="E5224" t="s">
        <v>41</v>
      </c>
      <c r="F5224" t="s">
        <v>42</v>
      </c>
      <c r="G5224" t="s">
        <v>17</v>
      </c>
      <c r="H5224" s="1">
        <v>45046</v>
      </c>
    </row>
    <row r="5225" spans="1:8">
      <c r="A5225" t="s">
        <v>10430</v>
      </c>
      <c r="B5225" t="s">
        <v>10431</v>
      </c>
      <c r="C5225" t="s">
        <v>10</v>
      </c>
      <c r="D5225">
        <v>20</v>
      </c>
      <c r="E5225" t="s">
        <v>134</v>
      </c>
      <c r="F5225" t="s">
        <v>28</v>
      </c>
      <c r="G5225" t="s">
        <v>12</v>
      </c>
      <c r="H5225" s="1">
        <v>45896</v>
      </c>
    </row>
    <row r="5226" spans="1:8">
      <c r="A5226" t="s">
        <v>10432</v>
      </c>
      <c r="B5226" t="s">
        <v>10433</v>
      </c>
      <c r="C5226" t="s">
        <v>10</v>
      </c>
      <c r="D5226">
        <v>34</v>
      </c>
      <c r="E5226" t="s">
        <v>34</v>
      </c>
      <c r="F5226" t="s">
        <v>16</v>
      </c>
      <c r="G5226" t="s">
        <v>17</v>
      </c>
      <c r="H5226" s="1">
        <v>44606</v>
      </c>
    </row>
    <row r="5227" spans="1:8">
      <c r="A5227" t="s">
        <v>10434</v>
      </c>
      <c r="B5227" t="s">
        <v>10435</v>
      </c>
      <c r="C5227" t="s">
        <v>31</v>
      </c>
      <c r="D5227">
        <v>57</v>
      </c>
      <c r="E5227" t="s">
        <v>11</v>
      </c>
      <c r="F5227" t="s">
        <v>11</v>
      </c>
      <c r="G5227" t="s">
        <v>12</v>
      </c>
      <c r="H5227" s="1">
        <v>44695</v>
      </c>
    </row>
    <row r="5228" spans="1:8">
      <c r="A5228" t="s">
        <v>10436</v>
      </c>
      <c r="B5228" t="s">
        <v>10437</v>
      </c>
      <c r="C5228" t="s">
        <v>31</v>
      </c>
      <c r="D5228">
        <v>36</v>
      </c>
      <c r="E5228" t="s">
        <v>34</v>
      </c>
      <c r="F5228" t="s">
        <v>16</v>
      </c>
      <c r="G5228" t="s">
        <v>17</v>
      </c>
      <c r="H5228" s="1">
        <v>45619</v>
      </c>
    </row>
    <row r="5229" spans="1:8">
      <c r="A5229" t="s">
        <v>10438</v>
      </c>
      <c r="B5229" t="s">
        <v>10439</v>
      </c>
      <c r="C5229" t="s">
        <v>10</v>
      </c>
      <c r="D5229">
        <v>56</v>
      </c>
      <c r="E5229" t="s">
        <v>45</v>
      </c>
      <c r="F5229" t="s">
        <v>46</v>
      </c>
      <c r="G5229" t="s">
        <v>17</v>
      </c>
      <c r="H5229" s="1">
        <v>45575</v>
      </c>
    </row>
    <row r="5230" spans="1:8">
      <c r="A5230" t="s">
        <v>10440</v>
      </c>
      <c r="B5230" t="s">
        <v>10441</v>
      </c>
      <c r="C5230" t="s">
        <v>10</v>
      </c>
      <c r="D5230">
        <v>69</v>
      </c>
      <c r="E5230" t="s">
        <v>63</v>
      </c>
      <c r="F5230" t="s">
        <v>64</v>
      </c>
      <c r="G5230" t="s">
        <v>12</v>
      </c>
      <c r="H5230" s="1">
        <v>45807</v>
      </c>
    </row>
    <row r="5231" spans="1:8">
      <c r="A5231" t="s">
        <v>10442</v>
      </c>
      <c r="B5231" t="s">
        <v>10443</v>
      </c>
      <c r="C5231" t="s">
        <v>10</v>
      </c>
      <c r="D5231">
        <v>39</v>
      </c>
      <c r="E5231" t="s">
        <v>134</v>
      </c>
      <c r="F5231" t="s">
        <v>28</v>
      </c>
      <c r="G5231" t="s">
        <v>12</v>
      </c>
      <c r="H5231" s="1">
        <v>45219</v>
      </c>
    </row>
    <row r="5232" spans="1:8">
      <c r="A5232" t="s">
        <v>10444</v>
      </c>
      <c r="B5232" t="s">
        <v>10445</v>
      </c>
      <c r="C5232" t="s">
        <v>31</v>
      </c>
      <c r="D5232">
        <v>21</v>
      </c>
      <c r="E5232" t="s">
        <v>91</v>
      </c>
      <c r="F5232" t="s">
        <v>92</v>
      </c>
      <c r="G5232" t="s">
        <v>78</v>
      </c>
      <c r="H5232" s="1">
        <v>44821</v>
      </c>
    </row>
    <row r="5233" spans="1:8">
      <c r="A5233" t="s">
        <v>10446</v>
      </c>
      <c r="B5233" t="s">
        <v>10447</v>
      </c>
      <c r="C5233" t="s">
        <v>31</v>
      </c>
      <c r="D5233">
        <v>54</v>
      </c>
      <c r="E5233" t="s">
        <v>112</v>
      </c>
      <c r="F5233" t="s">
        <v>113</v>
      </c>
      <c r="G5233" t="s">
        <v>78</v>
      </c>
      <c r="H5233" s="1">
        <v>45224</v>
      </c>
    </row>
    <row r="5234" spans="1:8">
      <c r="A5234" t="s">
        <v>10448</v>
      </c>
      <c r="B5234" t="s">
        <v>10449</v>
      </c>
      <c r="C5234" t="s">
        <v>10</v>
      </c>
      <c r="D5234">
        <v>53</v>
      </c>
      <c r="E5234" t="s">
        <v>27</v>
      </c>
      <c r="F5234" t="s">
        <v>28</v>
      </c>
      <c r="G5234" t="s">
        <v>12</v>
      </c>
      <c r="H5234" s="1">
        <v>44704</v>
      </c>
    </row>
    <row r="5235" spans="1:8">
      <c r="A5235" t="s">
        <v>10450</v>
      </c>
      <c r="B5235" t="s">
        <v>10451</v>
      </c>
      <c r="C5235" t="s">
        <v>10</v>
      </c>
      <c r="D5235">
        <v>63</v>
      </c>
      <c r="E5235" t="s">
        <v>87</v>
      </c>
      <c r="F5235" t="s">
        <v>88</v>
      </c>
      <c r="G5235" t="s">
        <v>78</v>
      </c>
      <c r="H5235" s="1">
        <v>44622</v>
      </c>
    </row>
    <row r="5236" spans="1:8">
      <c r="A5236" t="s">
        <v>10452</v>
      </c>
      <c r="B5236" t="s">
        <v>10453</v>
      </c>
      <c r="C5236" t="s">
        <v>10</v>
      </c>
      <c r="D5236">
        <v>61</v>
      </c>
      <c r="E5236" t="s">
        <v>91</v>
      </c>
      <c r="F5236" t="s">
        <v>92</v>
      </c>
      <c r="G5236" t="s">
        <v>78</v>
      </c>
      <c r="H5236" s="1">
        <v>45065</v>
      </c>
    </row>
    <row r="5237" spans="1:8">
      <c r="A5237" t="s">
        <v>10454</v>
      </c>
      <c r="B5237" t="s">
        <v>10455</v>
      </c>
      <c r="C5237" t="s">
        <v>10</v>
      </c>
      <c r="D5237">
        <v>26</v>
      </c>
      <c r="E5237" t="s">
        <v>41</v>
      </c>
      <c r="F5237" t="s">
        <v>42</v>
      </c>
      <c r="G5237" t="s">
        <v>17</v>
      </c>
      <c r="H5237" s="1">
        <v>45842</v>
      </c>
    </row>
    <row r="5238" spans="1:8">
      <c r="A5238" t="s">
        <v>10456</v>
      </c>
      <c r="B5238" t="s">
        <v>10457</v>
      </c>
      <c r="C5238" t="s">
        <v>10</v>
      </c>
      <c r="D5238">
        <v>31</v>
      </c>
      <c r="E5238" t="s">
        <v>149</v>
      </c>
      <c r="F5238" t="s">
        <v>38</v>
      </c>
      <c r="G5238" t="s">
        <v>22</v>
      </c>
      <c r="H5238" s="1">
        <v>45518</v>
      </c>
    </row>
    <row r="5239" spans="1:8">
      <c r="A5239" t="s">
        <v>10458</v>
      </c>
      <c r="B5239" t="s">
        <v>9407</v>
      </c>
      <c r="C5239" t="s">
        <v>10</v>
      </c>
      <c r="D5239">
        <v>43</v>
      </c>
      <c r="E5239" t="s">
        <v>112</v>
      </c>
      <c r="F5239" t="s">
        <v>113</v>
      </c>
      <c r="G5239" t="s">
        <v>78</v>
      </c>
      <c r="H5239" s="1">
        <v>45598</v>
      </c>
    </row>
    <row r="5240" spans="1:8">
      <c r="A5240" t="s">
        <v>10459</v>
      </c>
      <c r="B5240" t="s">
        <v>10460</v>
      </c>
      <c r="C5240" t="s">
        <v>10</v>
      </c>
      <c r="D5240">
        <v>69</v>
      </c>
      <c r="E5240" t="s">
        <v>37</v>
      </c>
      <c r="F5240" t="s">
        <v>38</v>
      </c>
      <c r="G5240" t="s">
        <v>22</v>
      </c>
      <c r="H5240" s="1">
        <v>45541</v>
      </c>
    </row>
    <row r="5241" spans="1:8">
      <c r="A5241" t="s">
        <v>10461</v>
      </c>
      <c r="B5241" t="s">
        <v>10462</v>
      </c>
      <c r="C5241" t="s">
        <v>31</v>
      </c>
      <c r="D5241">
        <v>21</v>
      </c>
      <c r="E5241" t="s">
        <v>101</v>
      </c>
      <c r="F5241" t="s">
        <v>21</v>
      </c>
      <c r="G5241" t="s">
        <v>22</v>
      </c>
      <c r="H5241" s="1">
        <v>45705</v>
      </c>
    </row>
    <row r="5242" spans="1:8">
      <c r="A5242" t="s">
        <v>10463</v>
      </c>
      <c r="B5242" t="s">
        <v>10464</v>
      </c>
      <c r="C5242" t="s">
        <v>31</v>
      </c>
      <c r="D5242">
        <v>28</v>
      </c>
      <c r="E5242" t="s">
        <v>15</v>
      </c>
      <c r="F5242" t="s">
        <v>16</v>
      </c>
      <c r="G5242" t="s">
        <v>17</v>
      </c>
      <c r="H5242" s="1">
        <v>45248</v>
      </c>
    </row>
    <row r="5243" spans="1:8">
      <c r="A5243" t="s">
        <v>10465</v>
      </c>
      <c r="B5243" t="s">
        <v>10466</v>
      </c>
      <c r="C5243" t="s">
        <v>31</v>
      </c>
      <c r="D5243">
        <v>23</v>
      </c>
      <c r="E5243" t="s">
        <v>134</v>
      </c>
      <c r="F5243" t="s">
        <v>28</v>
      </c>
      <c r="G5243" t="s">
        <v>12</v>
      </c>
      <c r="H5243" s="1">
        <v>44839</v>
      </c>
    </row>
    <row r="5244" spans="1:8">
      <c r="A5244" t="s">
        <v>10467</v>
      </c>
      <c r="B5244" t="s">
        <v>10468</v>
      </c>
      <c r="C5244" t="s">
        <v>31</v>
      </c>
      <c r="D5244">
        <v>68</v>
      </c>
      <c r="E5244" t="s">
        <v>11</v>
      </c>
      <c r="F5244" t="s">
        <v>11</v>
      </c>
      <c r="G5244" t="s">
        <v>12</v>
      </c>
      <c r="H5244" s="1">
        <v>45873</v>
      </c>
    </row>
    <row r="5245" spans="1:8">
      <c r="A5245" t="s">
        <v>10469</v>
      </c>
      <c r="B5245" t="s">
        <v>10470</v>
      </c>
      <c r="C5245" t="s">
        <v>31</v>
      </c>
      <c r="D5245">
        <v>35</v>
      </c>
      <c r="E5245" t="s">
        <v>11</v>
      </c>
      <c r="F5245" t="s">
        <v>11</v>
      </c>
      <c r="G5245" t="s">
        <v>12</v>
      </c>
      <c r="H5245" s="1">
        <v>44832</v>
      </c>
    </row>
    <row r="5246" spans="1:8">
      <c r="A5246" t="s">
        <v>10471</v>
      </c>
      <c r="B5246" t="s">
        <v>10472</v>
      </c>
      <c r="C5246" t="s">
        <v>31</v>
      </c>
      <c r="D5246">
        <v>50</v>
      </c>
      <c r="E5246" t="s">
        <v>41</v>
      </c>
      <c r="F5246" t="s">
        <v>42</v>
      </c>
      <c r="G5246" t="s">
        <v>17</v>
      </c>
      <c r="H5246" s="1">
        <v>45531</v>
      </c>
    </row>
    <row r="5247" spans="1:8">
      <c r="A5247" t="s">
        <v>10473</v>
      </c>
      <c r="B5247" t="s">
        <v>10474</v>
      </c>
      <c r="C5247" t="s">
        <v>10</v>
      </c>
      <c r="D5247">
        <v>41</v>
      </c>
      <c r="E5247" t="s">
        <v>41</v>
      </c>
      <c r="F5247" t="s">
        <v>42</v>
      </c>
      <c r="G5247" t="s">
        <v>17</v>
      </c>
      <c r="H5247" s="1">
        <v>45422</v>
      </c>
    </row>
    <row r="5248" spans="1:8">
      <c r="A5248" t="s">
        <v>10475</v>
      </c>
      <c r="B5248" t="s">
        <v>10476</v>
      </c>
      <c r="C5248" t="s">
        <v>10</v>
      </c>
      <c r="D5248">
        <v>18</v>
      </c>
      <c r="E5248" t="s">
        <v>20</v>
      </c>
      <c r="F5248" t="s">
        <v>21</v>
      </c>
      <c r="G5248" t="s">
        <v>22</v>
      </c>
      <c r="H5248" s="1">
        <v>45442</v>
      </c>
    </row>
    <row r="5249" spans="1:8">
      <c r="A5249" t="s">
        <v>10477</v>
      </c>
      <c r="B5249" t="s">
        <v>10478</v>
      </c>
      <c r="C5249" t="s">
        <v>31</v>
      </c>
      <c r="D5249">
        <v>30</v>
      </c>
      <c r="E5249" t="s">
        <v>76</v>
      </c>
      <c r="F5249" t="s">
        <v>77</v>
      </c>
      <c r="G5249" t="s">
        <v>78</v>
      </c>
      <c r="H5249" s="1">
        <v>46009</v>
      </c>
    </row>
    <row r="5250" spans="1:8">
      <c r="A5250" t="s">
        <v>10479</v>
      </c>
      <c r="B5250" t="s">
        <v>10480</v>
      </c>
      <c r="C5250" t="s">
        <v>31</v>
      </c>
      <c r="D5250">
        <v>68</v>
      </c>
      <c r="E5250" t="s">
        <v>134</v>
      </c>
      <c r="F5250" t="s">
        <v>28</v>
      </c>
      <c r="G5250" t="s">
        <v>12</v>
      </c>
      <c r="H5250" s="1">
        <v>45861</v>
      </c>
    </row>
    <row r="5251" spans="1:8">
      <c r="A5251" t="s">
        <v>10481</v>
      </c>
      <c r="B5251" t="s">
        <v>10482</v>
      </c>
      <c r="C5251" t="s">
        <v>31</v>
      </c>
      <c r="D5251">
        <v>54</v>
      </c>
      <c r="E5251" t="s">
        <v>41</v>
      </c>
      <c r="F5251" t="s">
        <v>42</v>
      </c>
      <c r="G5251" t="s">
        <v>17</v>
      </c>
      <c r="H5251" s="1">
        <v>44707</v>
      </c>
    </row>
    <row r="5252" spans="1:8">
      <c r="A5252" t="s">
        <v>10483</v>
      </c>
      <c r="B5252" t="s">
        <v>10484</v>
      </c>
      <c r="C5252" t="s">
        <v>31</v>
      </c>
      <c r="D5252">
        <v>59</v>
      </c>
      <c r="E5252" t="s">
        <v>37</v>
      </c>
      <c r="F5252" t="s">
        <v>38</v>
      </c>
      <c r="G5252" t="s">
        <v>22</v>
      </c>
      <c r="H5252" s="1">
        <v>45780</v>
      </c>
    </row>
    <row r="5253" spans="1:8">
      <c r="A5253" t="s">
        <v>10485</v>
      </c>
      <c r="B5253" t="s">
        <v>10486</v>
      </c>
      <c r="C5253" t="s">
        <v>10</v>
      </c>
      <c r="D5253">
        <v>55</v>
      </c>
      <c r="E5253" t="s">
        <v>11</v>
      </c>
      <c r="F5253" t="s">
        <v>11</v>
      </c>
      <c r="G5253" t="s">
        <v>12</v>
      </c>
      <c r="H5253" s="1">
        <v>45632</v>
      </c>
    </row>
    <row r="5254" spans="1:8">
      <c r="A5254" t="s">
        <v>10487</v>
      </c>
      <c r="B5254" t="s">
        <v>10488</v>
      </c>
      <c r="C5254" t="s">
        <v>31</v>
      </c>
      <c r="D5254">
        <v>65</v>
      </c>
      <c r="E5254" t="s">
        <v>27</v>
      </c>
      <c r="F5254" t="s">
        <v>28</v>
      </c>
      <c r="G5254" t="s">
        <v>12</v>
      </c>
      <c r="H5254" s="1">
        <v>45953</v>
      </c>
    </row>
    <row r="5255" spans="1:8">
      <c r="A5255" t="s">
        <v>10489</v>
      </c>
      <c r="B5255" t="s">
        <v>10490</v>
      </c>
      <c r="C5255" t="s">
        <v>31</v>
      </c>
      <c r="D5255">
        <v>56</v>
      </c>
      <c r="E5255" t="s">
        <v>60</v>
      </c>
      <c r="F5255" t="s">
        <v>21</v>
      </c>
      <c r="G5255" t="s">
        <v>22</v>
      </c>
      <c r="H5255" s="1">
        <v>46012</v>
      </c>
    </row>
    <row r="5256" spans="1:8">
      <c r="A5256" t="s">
        <v>10491</v>
      </c>
      <c r="B5256" t="s">
        <v>10492</v>
      </c>
      <c r="C5256" t="s">
        <v>31</v>
      </c>
      <c r="D5256">
        <v>20</v>
      </c>
      <c r="E5256" t="s">
        <v>134</v>
      </c>
      <c r="F5256" t="s">
        <v>28</v>
      </c>
      <c r="G5256" t="s">
        <v>12</v>
      </c>
      <c r="H5256" s="1">
        <v>45788</v>
      </c>
    </row>
    <row r="5257" spans="1:8">
      <c r="A5257" t="s">
        <v>10493</v>
      </c>
      <c r="B5257" t="s">
        <v>10494</v>
      </c>
      <c r="C5257" t="s">
        <v>31</v>
      </c>
      <c r="D5257">
        <v>18</v>
      </c>
      <c r="E5257" t="s">
        <v>27</v>
      </c>
      <c r="F5257" t="s">
        <v>28</v>
      </c>
      <c r="G5257" t="s">
        <v>12</v>
      </c>
      <c r="H5257" s="1">
        <v>45207</v>
      </c>
    </row>
    <row r="5258" spans="1:8">
      <c r="A5258" t="s">
        <v>10495</v>
      </c>
      <c r="B5258" t="s">
        <v>10496</v>
      </c>
      <c r="C5258" t="s">
        <v>10</v>
      </c>
      <c r="D5258">
        <v>27</v>
      </c>
      <c r="E5258" t="s">
        <v>128</v>
      </c>
      <c r="F5258" t="s">
        <v>129</v>
      </c>
      <c r="G5258" t="s">
        <v>78</v>
      </c>
      <c r="H5258" s="1">
        <v>46000</v>
      </c>
    </row>
    <row r="5259" spans="1:8">
      <c r="A5259" t="s">
        <v>10497</v>
      </c>
      <c r="B5259" t="s">
        <v>10498</v>
      </c>
      <c r="C5259" t="s">
        <v>10</v>
      </c>
      <c r="D5259">
        <v>26</v>
      </c>
      <c r="E5259" t="s">
        <v>112</v>
      </c>
      <c r="F5259" t="s">
        <v>113</v>
      </c>
      <c r="G5259" t="s">
        <v>78</v>
      </c>
      <c r="H5259" s="1">
        <v>45169</v>
      </c>
    </row>
    <row r="5260" spans="1:8">
      <c r="A5260" t="s">
        <v>10499</v>
      </c>
      <c r="B5260" t="s">
        <v>10500</v>
      </c>
      <c r="C5260" t="s">
        <v>31</v>
      </c>
      <c r="D5260">
        <v>42</v>
      </c>
      <c r="E5260" t="s">
        <v>34</v>
      </c>
      <c r="F5260" t="s">
        <v>16</v>
      </c>
      <c r="G5260" t="s">
        <v>17</v>
      </c>
      <c r="H5260" s="1">
        <v>45771</v>
      </c>
    </row>
    <row r="5261" spans="1:8">
      <c r="A5261" t="s">
        <v>10501</v>
      </c>
      <c r="B5261" t="s">
        <v>10502</v>
      </c>
      <c r="C5261" t="s">
        <v>10</v>
      </c>
      <c r="D5261">
        <v>60</v>
      </c>
      <c r="E5261" t="s">
        <v>15</v>
      </c>
      <c r="F5261" t="s">
        <v>16</v>
      </c>
      <c r="G5261" t="s">
        <v>17</v>
      </c>
      <c r="H5261" s="1">
        <v>44883</v>
      </c>
    </row>
    <row r="5262" spans="1:8">
      <c r="A5262" t="s">
        <v>10503</v>
      </c>
      <c r="B5262" t="s">
        <v>10504</v>
      </c>
      <c r="C5262" t="s">
        <v>31</v>
      </c>
      <c r="D5262">
        <v>53</v>
      </c>
      <c r="E5262" t="s">
        <v>87</v>
      </c>
      <c r="F5262" t="s">
        <v>88</v>
      </c>
      <c r="G5262" t="s">
        <v>78</v>
      </c>
      <c r="H5262" s="1">
        <v>45236</v>
      </c>
    </row>
    <row r="5263" spans="1:8">
      <c r="A5263" t="s">
        <v>10505</v>
      </c>
      <c r="B5263" t="s">
        <v>10506</v>
      </c>
      <c r="C5263" t="s">
        <v>10</v>
      </c>
      <c r="D5263">
        <v>18</v>
      </c>
      <c r="E5263" t="s">
        <v>76</v>
      </c>
      <c r="F5263" t="s">
        <v>77</v>
      </c>
      <c r="G5263" t="s">
        <v>78</v>
      </c>
      <c r="H5263" s="1">
        <v>45077</v>
      </c>
    </row>
    <row r="5264" spans="1:8">
      <c r="A5264" t="s">
        <v>10507</v>
      </c>
      <c r="B5264" t="s">
        <v>10508</v>
      </c>
      <c r="C5264" t="s">
        <v>31</v>
      </c>
      <c r="D5264">
        <v>45</v>
      </c>
      <c r="E5264" t="s">
        <v>63</v>
      </c>
      <c r="F5264" t="s">
        <v>64</v>
      </c>
      <c r="G5264" t="s">
        <v>12</v>
      </c>
      <c r="H5264" s="1">
        <v>45964</v>
      </c>
    </row>
    <row r="5265" spans="1:8">
      <c r="A5265" t="s">
        <v>10509</v>
      </c>
      <c r="B5265" t="s">
        <v>10510</v>
      </c>
      <c r="C5265" t="s">
        <v>10</v>
      </c>
      <c r="D5265">
        <v>70</v>
      </c>
      <c r="E5265" t="s">
        <v>63</v>
      </c>
      <c r="F5265" t="s">
        <v>64</v>
      </c>
      <c r="G5265" t="s">
        <v>12</v>
      </c>
      <c r="H5265" s="1">
        <v>44843</v>
      </c>
    </row>
    <row r="5266" spans="1:8">
      <c r="A5266" t="s">
        <v>10511</v>
      </c>
      <c r="B5266" t="s">
        <v>10512</v>
      </c>
      <c r="C5266" t="s">
        <v>31</v>
      </c>
      <c r="D5266">
        <v>49</v>
      </c>
      <c r="E5266" t="s">
        <v>27</v>
      </c>
      <c r="F5266" t="s">
        <v>28</v>
      </c>
      <c r="G5266" t="s">
        <v>12</v>
      </c>
      <c r="H5266" s="1">
        <v>46002</v>
      </c>
    </row>
    <row r="5267" spans="1:8">
      <c r="A5267" t="s">
        <v>10513</v>
      </c>
      <c r="B5267" t="s">
        <v>10514</v>
      </c>
      <c r="C5267" t="s">
        <v>31</v>
      </c>
      <c r="D5267">
        <v>63</v>
      </c>
      <c r="E5267" t="s">
        <v>101</v>
      </c>
      <c r="F5267" t="s">
        <v>21</v>
      </c>
      <c r="G5267" t="s">
        <v>22</v>
      </c>
      <c r="H5267" s="1">
        <v>45260</v>
      </c>
    </row>
    <row r="5268" spans="1:8">
      <c r="A5268" t="s">
        <v>10515</v>
      </c>
      <c r="B5268" t="s">
        <v>10516</v>
      </c>
      <c r="C5268" t="s">
        <v>31</v>
      </c>
      <c r="D5268">
        <v>22</v>
      </c>
      <c r="E5268" t="s">
        <v>60</v>
      </c>
      <c r="F5268" t="s">
        <v>21</v>
      </c>
      <c r="G5268" t="s">
        <v>22</v>
      </c>
      <c r="H5268" s="1">
        <v>45987</v>
      </c>
    </row>
    <row r="5269" spans="1:8">
      <c r="A5269" t="s">
        <v>10517</v>
      </c>
      <c r="B5269" t="s">
        <v>10518</v>
      </c>
      <c r="C5269" t="s">
        <v>10</v>
      </c>
      <c r="D5269">
        <v>26</v>
      </c>
      <c r="E5269" t="s">
        <v>128</v>
      </c>
      <c r="F5269" t="s">
        <v>129</v>
      </c>
      <c r="G5269" t="s">
        <v>78</v>
      </c>
      <c r="H5269" s="1">
        <v>45639</v>
      </c>
    </row>
    <row r="5270" spans="1:8">
      <c r="A5270" t="s">
        <v>10519</v>
      </c>
      <c r="B5270" t="s">
        <v>10520</v>
      </c>
      <c r="C5270" t="s">
        <v>31</v>
      </c>
      <c r="D5270">
        <v>21</v>
      </c>
      <c r="E5270" t="s">
        <v>218</v>
      </c>
      <c r="F5270" t="s">
        <v>219</v>
      </c>
      <c r="G5270" t="s">
        <v>17</v>
      </c>
      <c r="H5270" s="1">
        <v>45878</v>
      </c>
    </row>
    <row r="5271" spans="1:8">
      <c r="A5271" t="s">
        <v>10521</v>
      </c>
      <c r="B5271" t="s">
        <v>10522</v>
      </c>
      <c r="C5271" t="s">
        <v>10</v>
      </c>
      <c r="D5271">
        <v>42</v>
      </c>
      <c r="E5271" t="s">
        <v>60</v>
      </c>
      <c r="F5271" t="s">
        <v>21</v>
      </c>
      <c r="G5271" t="s">
        <v>22</v>
      </c>
      <c r="H5271" s="1">
        <v>45156</v>
      </c>
    </row>
    <row r="5272" spans="1:8">
      <c r="A5272" t="s">
        <v>10523</v>
      </c>
      <c r="B5272" t="s">
        <v>10524</v>
      </c>
      <c r="C5272" t="s">
        <v>10</v>
      </c>
      <c r="D5272">
        <v>64</v>
      </c>
      <c r="E5272" t="s">
        <v>149</v>
      </c>
      <c r="F5272" t="s">
        <v>38</v>
      </c>
      <c r="G5272" t="s">
        <v>22</v>
      </c>
      <c r="H5272" s="1">
        <v>45990</v>
      </c>
    </row>
    <row r="5273" spans="1:8">
      <c r="A5273" t="s">
        <v>10525</v>
      </c>
      <c r="B5273" t="s">
        <v>10526</v>
      </c>
      <c r="C5273" t="s">
        <v>31</v>
      </c>
      <c r="D5273">
        <v>43</v>
      </c>
      <c r="E5273" t="s">
        <v>45</v>
      </c>
      <c r="F5273" t="s">
        <v>46</v>
      </c>
      <c r="G5273" t="s">
        <v>17</v>
      </c>
      <c r="H5273" s="1">
        <v>45740</v>
      </c>
    </row>
    <row r="5274" spans="1:8">
      <c r="A5274" t="s">
        <v>10527</v>
      </c>
      <c r="B5274" t="s">
        <v>10528</v>
      </c>
      <c r="C5274" t="s">
        <v>31</v>
      </c>
      <c r="D5274">
        <v>43</v>
      </c>
      <c r="E5274" t="s">
        <v>60</v>
      </c>
      <c r="F5274" t="s">
        <v>21</v>
      </c>
      <c r="G5274" t="s">
        <v>22</v>
      </c>
      <c r="H5274" s="1">
        <v>45789</v>
      </c>
    </row>
    <row r="5275" spans="1:8">
      <c r="A5275" t="s">
        <v>10529</v>
      </c>
      <c r="B5275" t="s">
        <v>10530</v>
      </c>
      <c r="C5275" t="s">
        <v>31</v>
      </c>
      <c r="D5275">
        <v>61</v>
      </c>
      <c r="E5275" t="s">
        <v>45</v>
      </c>
      <c r="F5275" t="s">
        <v>46</v>
      </c>
      <c r="G5275" t="s">
        <v>17</v>
      </c>
      <c r="H5275" s="1">
        <v>45617</v>
      </c>
    </row>
    <row r="5276" spans="1:8">
      <c r="A5276" t="s">
        <v>10531</v>
      </c>
      <c r="B5276" t="s">
        <v>10532</v>
      </c>
      <c r="C5276" t="s">
        <v>31</v>
      </c>
      <c r="D5276">
        <v>30</v>
      </c>
      <c r="E5276" t="s">
        <v>37</v>
      </c>
      <c r="F5276" t="s">
        <v>38</v>
      </c>
      <c r="G5276" t="s">
        <v>22</v>
      </c>
      <c r="H5276" s="1">
        <v>45723</v>
      </c>
    </row>
    <row r="5277" spans="1:8">
      <c r="A5277" t="s">
        <v>10533</v>
      </c>
      <c r="B5277" t="s">
        <v>10534</v>
      </c>
      <c r="C5277" t="s">
        <v>10</v>
      </c>
      <c r="D5277">
        <v>57</v>
      </c>
      <c r="E5277" t="s">
        <v>128</v>
      </c>
      <c r="F5277" t="s">
        <v>129</v>
      </c>
      <c r="G5277" t="s">
        <v>78</v>
      </c>
      <c r="H5277" s="1">
        <v>45056</v>
      </c>
    </row>
    <row r="5278" spans="1:8">
      <c r="A5278" t="s">
        <v>10535</v>
      </c>
      <c r="B5278" t="s">
        <v>10536</v>
      </c>
      <c r="C5278" t="s">
        <v>10</v>
      </c>
      <c r="D5278">
        <v>43</v>
      </c>
      <c r="E5278" t="s">
        <v>112</v>
      </c>
      <c r="F5278" t="s">
        <v>113</v>
      </c>
      <c r="G5278" t="s">
        <v>78</v>
      </c>
      <c r="H5278" s="1">
        <v>44877</v>
      </c>
    </row>
    <row r="5279" spans="1:8">
      <c r="A5279" t="s">
        <v>10537</v>
      </c>
      <c r="B5279" t="s">
        <v>10538</v>
      </c>
      <c r="C5279" t="s">
        <v>10</v>
      </c>
      <c r="D5279">
        <v>54</v>
      </c>
      <c r="E5279" t="s">
        <v>11</v>
      </c>
      <c r="F5279" t="s">
        <v>11</v>
      </c>
      <c r="G5279" t="s">
        <v>12</v>
      </c>
      <c r="H5279" s="1">
        <v>45674</v>
      </c>
    </row>
    <row r="5280" spans="1:8">
      <c r="A5280" t="s">
        <v>10539</v>
      </c>
      <c r="B5280" t="s">
        <v>10540</v>
      </c>
      <c r="C5280" t="s">
        <v>31</v>
      </c>
      <c r="D5280">
        <v>43</v>
      </c>
      <c r="E5280" t="s">
        <v>112</v>
      </c>
      <c r="F5280" t="s">
        <v>113</v>
      </c>
      <c r="G5280" t="s">
        <v>78</v>
      </c>
      <c r="H5280" s="1">
        <v>44733</v>
      </c>
    </row>
    <row r="5281" spans="1:8">
      <c r="A5281" t="s">
        <v>10541</v>
      </c>
      <c r="B5281" t="s">
        <v>10542</v>
      </c>
      <c r="C5281" t="s">
        <v>31</v>
      </c>
      <c r="D5281">
        <v>40</v>
      </c>
      <c r="E5281" t="s">
        <v>15</v>
      </c>
      <c r="F5281" t="s">
        <v>16</v>
      </c>
      <c r="G5281" t="s">
        <v>17</v>
      </c>
      <c r="H5281" s="1">
        <v>45419</v>
      </c>
    </row>
    <row r="5282" spans="1:8">
      <c r="A5282" t="s">
        <v>10543</v>
      </c>
      <c r="B5282" t="s">
        <v>10544</v>
      </c>
      <c r="C5282" t="s">
        <v>31</v>
      </c>
      <c r="D5282">
        <v>35</v>
      </c>
      <c r="E5282" t="s">
        <v>112</v>
      </c>
      <c r="F5282" t="s">
        <v>113</v>
      </c>
      <c r="G5282" t="s">
        <v>78</v>
      </c>
      <c r="H5282" s="1">
        <v>45963</v>
      </c>
    </row>
    <row r="5283" spans="1:8">
      <c r="A5283" t="s">
        <v>10545</v>
      </c>
      <c r="B5283" t="s">
        <v>10546</v>
      </c>
      <c r="C5283" t="s">
        <v>31</v>
      </c>
      <c r="D5283">
        <v>38</v>
      </c>
      <c r="E5283" t="s">
        <v>60</v>
      </c>
      <c r="F5283" t="s">
        <v>21</v>
      </c>
      <c r="G5283" t="s">
        <v>22</v>
      </c>
      <c r="H5283" s="1">
        <v>45378</v>
      </c>
    </row>
    <row r="5284" spans="1:8">
      <c r="A5284" t="s">
        <v>10547</v>
      </c>
      <c r="B5284" t="s">
        <v>10548</v>
      </c>
      <c r="C5284" t="s">
        <v>31</v>
      </c>
      <c r="D5284">
        <v>24</v>
      </c>
      <c r="E5284" t="s">
        <v>134</v>
      </c>
      <c r="F5284" t="s">
        <v>28</v>
      </c>
      <c r="G5284" t="s">
        <v>12</v>
      </c>
      <c r="H5284" s="1">
        <v>45572</v>
      </c>
    </row>
    <row r="5285" spans="1:8">
      <c r="A5285" t="s">
        <v>10549</v>
      </c>
      <c r="B5285" t="s">
        <v>10550</v>
      </c>
      <c r="C5285" t="s">
        <v>31</v>
      </c>
      <c r="D5285">
        <v>45</v>
      </c>
      <c r="E5285" t="s">
        <v>76</v>
      </c>
      <c r="F5285" t="s">
        <v>77</v>
      </c>
      <c r="G5285" t="s">
        <v>78</v>
      </c>
      <c r="H5285" s="1">
        <v>45083</v>
      </c>
    </row>
    <row r="5286" spans="1:8">
      <c r="A5286" t="s">
        <v>10551</v>
      </c>
      <c r="B5286" t="s">
        <v>10552</v>
      </c>
      <c r="C5286" t="s">
        <v>31</v>
      </c>
      <c r="D5286">
        <v>51</v>
      </c>
      <c r="E5286" t="s">
        <v>15</v>
      </c>
      <c r="F5286" t="s">
        <v>16</v>
      </c>
      <c r="G5286" t="s">
        <v>17</v>
      </c>
      <c r="H5286" s="1">
        <v>44669</v>
      </c>
    </row>
    <row r="5287" spans="1:8">
      <c r="A5287" t="s">
        <v>10553</v>
      </c>
      <c r="B5287" t="s">
        <v>10554</v>
      </c>
      <c r="C5287" t="s">
        <v>10</v>
      </c>
      <c r="D5287">
        <v>36</v>
      </c>
      <c r="E5287" t="s">
        <v>60</v>
      </c>
      <c r="F5287" t="s">
        <v>21</v>
      </c>
      <c r="G5287" t="s">
        <v>22</v>
      </c>
      <c r="H5287" s="1">
        <v>45411</v>
      </c>
    </row>
    <row r="5288" spans="1:8">
      <c r="A5288" t="s">
        <v>10555</v>
      </c>
      <c r="B5288" t="s">
        <v>10556</v>
      </c>
      <c r="C5288" t="s">
        <v>31</v>
      </c>
      <c r="D5288">
        <v>42</v>
      </c>
      <c r="E5288" t="s">
        <v>134</v>
      </c>
      <c r="F5288" t="s">
        <v>28</v>
      </c>
      <c r="G5288" t="s">
        <v>12</v>
      </c>
      <c r="H5288" s="1">
        <v>44708</v>
      </c>
    </row>
    <row r="5289" spans="1:8">
      <c r="A5289" t="s">
        <v>10557</v>
      </c>
      <c r="B5289" t="s">
        <v>10558</v>
      </c>
      <c r="C5289" t="s">
        <v>10</v>
      </c>
      <c r="D5289">
        <v>29</v>
      </c>
      <c r="E5289" t="s">
        <v>37</v>
      </c>
      <c r="F5289" t="s">
        <v>38</v>
      </c>
      <c r="G5289" t="s">
        <v>22</v>
      </c>
      <c r="H5289" s="1">
        <v>44780</v>
      </c>
    </row>
    <row r="5290" spans="1:8">
      <c r="A5290" t="s">
        <v>10559</v>
      </c>
      <c r="B5290" t="s">
        <v>10560</v>
      </c>
      <c r="C5290" t="s">
        <v>10</v>
      </c>
      <c r="D5290">
        <v>67</v>
      </c>
      <c r="E5290" t="s">
        <v>91</v>
      </c>
      <c r="F5290" t="s">
        <v>92</v>
      </c>
      <c r="G5290" t="s">
        <v>78</v>
      </c>
      <c r="H5290" s="1">
        <v>45094</v>
      </c>
    </row>
    <row r="5291" spans="1:8">
      <c r="A5291" t="s">
        <v>10561</v>
      </c>
      <c r="B5291" t="s">
        <v>10562</v>
      </c>
      <c r="C5291" t="s">
        <v>31</v>
      </c>
      <c r="D5291">
        <v>18</v>
      </c>
      <c r="E5291" t="s">
        <v>60</v>
      </c>
      <c r="F5291" t="s">
        <v>21</v>
      </c>
      <c r="G5291" t="s">
        <v>22</v>
      </c>
      <c r="H5291" s="1">
        <v>45529</v>
      </c>
    </row>
    <row r="5292" spans="1:8">
      <c r="A5292" t="s">
        <v>10563</v>
      </c>
      <c r="B5292" t="s">
        <v>10564</v>
      </c>
      <c r="C5292" t="s">
        <v>31</v>
      </c>
      <c r="D5292">
        <v>52</v>
      </c>
      <c r="E5292" t="s">
        <v>34</v>
      </c>
      <c r="F5292" t="s">
        <v>16</v>
      </c>
      <c r="G5292" t="s">
        <v>17</v>
      </c>
      <c r="H5292" s="1">
        <v>44974</v>
      </c>
    </row>
    <row r="5293" spans="1:8">
      <c r="A5293" t="s">
        <v>10565</v>
      </c>
      <c r="B5293" t="s">
        <v>10566</v>
      </c>
      <c r="C5293" t="s">
        <v>10</v>
      </c>
      <c r="D5293">
        <v>38</v>
      </c>
      <c r="E5293" t="s">
        <v>87</v>
      </c>
      <c r="F5293" t="s">
        <v>88</v>
      </c>
      <c r="G5293" t="s">
        <v>78</v>
      </c>
      <c r="H5293" s="1">
        <v>45611</v>
      </c>
    </row>
    <row r="5294" spans="1:8">
      <c r="A5294" t="s">
        <v>10567</v>
      </c>
      <c r="B5294" t="s">
        <v>10568</v>
      </c>
      <c r="C5294" t="s">
        <v>31</v>
      </c>
      <c r="D5294">
        <v>19</v>
      </c>
      <c r="E5294" t="s">
        <v>87</v>
      </c>
      <c r="F5294" t="s">
        <v>88</v>
      </c>
      <c r="G5294" t="s">
        <v>78</v>
      </c>
      <c r="H5294" s="1">
        <v>44692</v>
      </c>
    </row>
    <row r="5295" spans="1:8">
      <c r="A5295" t="s">
        <v>10569</v>
      </c>
      <c r="B5295" t="s">
        <v>10570</v>
      </c>
      <c r="C5295" t="s">
        <v>10</v>
      </c>
      <c r="D5295">
        <v>57</v>
      </c>
      <c r="E5295" t="s">
        <v>112</v>
      </c>
      <c r="F5295" t="s">
        <v>113</v>
      </c>
      <c r="G5295" t="s">
        <v>78</v>
      </c>
      <c r="H5295" s="1">
        <v>44959</v>
      </c>
    </row>
    <row r="5296" spans="1:8">
      <c r="A5296" t="s">
        <v>10571</v>
      </c>
      <c r="B5296" t="s">
        <v>10572</v>
      </c>
      <c r="C5296" t="s">
        <v>10</v>
      </c>
      <c r="D5296">
        <v>50</v>
      </c>
      <c r="E5296" t="s">
        <v>45</v>
      </c>
      <c r="F5296" t="s">
        <v>46</v>
      </c>
      <c r="G5296" t="s">
        <v>17</v>
      </c>
      <c r="H5296" s="1">
        <v>44877</v>
      </c>
    </row>
    <row r="5297" spans="1:8">
      <c r="A5297" t="s">
        <v>10573</v>
      </c>
      <c r="B5297" t="s">
        <v>10574</v>
      </c>
      <c r="C5297" t="s">
        <v>10</v>
      </c>
      <c r="D5297">
        <v>69</v>
      </c>
      <c r="E5297" t="s">
        <v>11</v>
      </c>
      <c r="F5297" t="s">
        <v>11</v>
      </c>
      <c r="G5297" t="s">
        <v>12</v>
      </c>
      <c r="H5297" s="1">
        <v>44917</v>
      </c>
    </row>
    <row r="5298" spans="1:8">
      <c r="A5298" t="s">
        <v>10575</v>
      </c>
      <c r="B5298" t="s">
        <v>10576</v>
      </c>
      <c r="C5298" t="s">
        <v>10</v>
      </c>
      <c r="D5298">
        <v>19</v>
      </c>
      <c r="E5298" t="s">
        <v>11</v>
      </c>
      <c r="F5298" t="s">
        <v>11</v>
      </c>
      <c r="G5298" t="s">
        <v>12</v>
      </c>
      <c r="H5298" s="1">
        <v>45669</v>
      </c>
    </row>
    <row r="5299" spans="1:8">
      <c r="A5299" t="s">
        <v>10577</v>
      </c>
      <c r="B5299" t="s">
        <v>10578</v>
      </c>
      <c r="C5299" t="s">
        <v>10</v>
      </c>
      <c r="D5299">
        <v>35</v>
      </c>
      <c r="E5299" t="s">
        <v>91</v>
      </c>
      <c r="F5299" t="s">
        <v>92</v>
      </c>
      <c r="G5299" t="s">
        <v>78</v>
      </c>
      <c r="H5299" s="1">
        <v>44703</v>
      </c>
    </row>
    <row r="5300" spans="1:8">
      <c r="A5300" t="s">
        <v>10579</v>
      </c>
      <c r="B5300" t="s">
        <v>10580</v>
      </c>
      <c r="C5300" t="s">
        <v>31</v>
      </c>
      <c r="D5300">
        <v>58</v>
      </c>
      <c r="E5300" t="s">
        <v>11</v>
      </c>
      <c r="F5300" t="s">
        <v>11</v>
      </c>
      <c r="G5300" t="s">
        <v>12</v>
      </c>
      <c r="H5300" s="1">
        <v>45757</v>
      </c>
    </row>
    <row r="5301" spans="1:8">
      <c r="A5301" t="s">
        <v>10581</v>
      </c>
      <c r="B5301" t="s">
        <v>10582</v>
      </c>
      <c r="C5301" t="s">
        <v>31</v>
      </c>
      <c r="D5301">
        <v>70</v>
      </c>
      <c r="E5301" t="s">
        <v>218</v>
      </c>
      <c r="F5301" t="s">
        <v>219</v>
      </c>
      <c r="G5301" t="s">
        <v>17</v>
      </c>
      <c r="H5301" s="1">
        <v>45536</v>
      </c>
    </row>
    <row r="5302" spans="1:8">
      <c r="A5302" t="s">
        <v>10583</v>
      </c>
      <c r="B5302" t="s">
        <v>10584</v>
      </c>
      <c r="C5302" t="s">
        <v>31</v>
      </c>
      <c r="D5302">
        <v>39</v>
      </c>
      <c r="E5302" t="s">
        <v>112</v>
      </c>
      <c r="F5302" t="s">
        <v>113</v>
      </c>
      <c r="G5302" t="s">
        <v>78</v>
      </c>
      <c r="H5302" s="1">
        <v>44838</v>
      </c>
    </row>
    <row r="5303" spans="1:8">
      <c r="A5303" t="s">
        <v>10585</v>
      </c>
      <c r="B5303" t="s">
        <v>10586</v>
      </c>
      <c r="C5303" t="s">
        <v>10</v>
      </c>
      <c r="D5303">
        <v>31</v>
      </c>
      <c r="E5303" t="s">
        <v>128</v>
      </c>
      <c r="F5303" t="s">
        <v>129</v>
      </c>
      <c r="G5303" t="s">
        <v>78</v>
      </c>
      <c r="H5303" s="1">
        <v>45112</v>
      </c>
    </row>
    <row r="5304" spans="1:8">
      <c r="A5304" t="s">
        <v>10587</v>
      </c>
      <c r="B5304" t="s">
        <v>10588</v>
      </c>
      <c r="C5304" t="s">
        <v>10</v>
      </c>
      <c r="D5304">
        <v>37</v>
      </c>
      <c r="E5304" t="s">
        <v>60</v>
      </c>
      <c r="F5304" t="s">
        <v>21</v>
      </c>
      <c r="G5304" t="s">
        <v>22</v>
      </c>
      <c r="H5304" s="1">
        <v>45115</v>
      </c>
    </row>
    <row r="5305" spans="1:8">
      <c r="A5305" t="s">
        <v>10589</v>
      </c>
      <c r="B5305" t="s">
        <v>10590</v>
      </c>
      <c r="C5305" t="s">
        <v>10</v>
      </c>
      <c r="D5305">
        <v>40</v>
      </c>
      <c r="E5305" t="s">
        <v>20</v>
      </c>
      <c r="F5305" t="s">
        <v>21</v>
      </c>
      <c r="G5305" t="s">
        <v>22</v>
      </c>
      <c r="H5305" s="1">
        <v>45512</v>
      </c>
    </row>
    <row r="5306" spans="1:8">
      <c r="A5306" t="s">
        <v>10591</v>
      </c>
      <c r="B5306" t="s">
        <v>10592</v>
      </c>
      <c r="C5306" t="s">
        <v>31</v>
      </c>
      <c r="D5306">
        <v>37</v>
      </c>
      <c r="E5306" t="s">
        <v>69</v>
      </c>
      <c r="F5306" t="s">
        <v>69</v>
      </c>
      <c r="G5306" t="s">
        <v>12</v>
      </c>
      <c r="H5306" s="1">
        <v>45977</v>
      </c>
    </row>
    <row r="5307" spans="1:8">
      <c r="A5307" t="s">
        <v>10593</v>
      </c>
      <c r="B5307" t="s">
        <v>10594</v>
      </c>
      <c r="C5307" t="s">
        <v>31</v>
      </c>
      <c r="D5307">
        <v>49</v>
      </c>
      <c r="E5307" t="s">
        <v>87</v>
      </c>
      <c r="F5307" t="s">
        <v>88</v>
      </c>
      <c r="G5307" t="s">
        <v>78</v>
      </c>
      <c r="H5307" s="1">
        <v>45735</v>
      </c>
    </row>
    <row r="5308" spans="1:8">
      <c r="A5308" t="s">
        <v>10595</v>
      </c>
      <c r="B5308" t="s">
        <v>10596</v>
      </c>
      <c r="C5308" t="s">
        <v>31</v>
      </c>
      <c r="D5308">
        <v>61</v>
      </c>
      <c r="E5308" t="s">
        <v>63</v>
      </c>
      <c r="F5308" t="s">
        <v>64</v>
      </c>
      <c r="G5308" t="s">
        <v>12</v>
      </c>
      <c r="H5308" s="1">
        <v>45735</v>
      </c>
    </row>
    <row r="5309" spans="1:8">
      <c r="A5309" t="s">
        <v>10597</v>
      </c>
      <c r="B5309" t="s">
        <v>10598</v>
      </c>
      <c r="C5309" t="s">
        <v>10</v>
      </c>
      <c r="D5309">
        <v>26</v>
      </c>
      <c r="E5309" t="s">
        <v>45</v>
      </c>
      <c r="F5309" t="s">
        <v>46</v>
      </c>
      <c r="G5309" t="s">
        <v>17</v>
      </c>
      <c r="H5309" s="1">
        <v>45759</v>
      </c>
    </row>
    <row r="5310" spans="1:8">
      <c r="A5310" t="s">
        <v>10599</v>
      </c>
      <c r="B5310" t="s">
        <v>10600</v>
      </c>
      <c r="C5310" t="s">
        <v>10</v>
      </c>
      <c r="D5310">
        <v>63</v>
      </c>
      <c r="E5310" t="s">
        <v>69</v>
      </c>
      <c r="F5310" t="s">
        <v>69</v>
      </c>
      <c r="G5310" t="s">
        <v>12</v>
      </c>
      <c r="H5310" s="1">
        <v>44564</v>
      </c>
    </row>
    <row r="5311" spans="1:8">
      <c r="A5311" t="s">
        <v>10601</v>
      </c>
      <c r="B5311" t="s">
        <v>10602</v>
      </c>
      <c r="C5311" t="s">
        <v>10</v>
      </c>
      <c r="D5311">
        <v>69</v>
      </c>
      <c r="E5311" t="s">
        <v>134</v>
      </c>
      <c r="F5311" t="s">
        <v>28</v>
      </c>
      <c r="G5311" t="s">
        <v>12</v>
      </c>
      <c r="H5311" s="1">
        <v>44863</v>
      </c>
    </row>
    <row r="5312" spans="1:8">
      <c r="A5312" t="s">
        <v>10603</v>
      </c>
      <c r="B5312" t="s">
        <v>10604</v>
      </c>
      <c r="C5312" t="s">
        <v>10</v>
      </c>
      <c r="D5312">
        <v>39</v>
      </c>
      <c r="E5312" t="s">
        <v>15</v>
      </c>
      <c r="F5312" t="s">
        <v>16</v>
      </c>
      <c r="G5312" t="s">
        <v>17</v>
      </c>
      <c r="H5312" s="1">
        <v>45286</v>
      </c>
    </row>
    <row r="5313" spans="1:8">
      <c r="A5313" t="s">
        <v>10605</v>
      </c>
      <c r="B5313" t="s">
        <v>10606</v>
      </c>
      <c r="C5313" t="s">
        <v>31</v>
      </c>
      <c r="D5313">
        <v>30</v>
      </c>
      <c r="E5313" t="s">
        <v>60</v>
      </c>
      <c r="F5313" t="s">
        <v>21</v>
      </c>
      <c r="G5313" t="s">
        <v>22</v>
      </c>
      <c r="H5313" s="1">
        <v>44597</v>
      </c>
    </row>
    <row r="5314" spans="1:8">
      <c r="A5314" t="s">
        <v>10607</v>
      </c>
      <c r="B5314" t="s">
        <v>10608</v>
      </c>
      <c r="C5314" t="s">
        <v>10</v>
      </c>
      <c r="D5314">
        <v>24</v>
      </c>
      <c r="E5314" t="s">
        <v>76</v>
      </c>
      <c r="F5314" t="s">
        <v>77</v>
      </c>
      <c r="G5314" t="s">
        <v>78</v>
      </c>
      <c r="H5314" s="1">
        <v>44645</v>
      </c>
    </row>
    <row r="5315" spans="1:8">
      <c r="A5315" t="s">
        <v>10609</v>
      </c>
      <c r="B5315" t="s">
        <v>10610</v>
      </c>
      <c r="C5315" t="s">
        <v>31</v>
      </c>
      <c r="D5315">
        <v>48</v>
      </c>
      <c r="E5315" t="s">
        <v>149</v>
      </c>
      <c r="F5315" t="s">
        <v>38</v>
      </c>
      <c r="G5315" t="s">
        <v>22</v>
      </c>
      <c r="H5315" s="1">
        <v>45923</v>
      </c>
    </row>
    <row r="5316" spans="1:8">
      <c r="A5316" t="s">
        <v>10611</v>
      </c>
      <c r="B5316" t="s">
        <v>10612</v>
      </c>
      <c r="C5316" t="s">
        <v>31</v>
      </c>
      <c r="D5316">
        <v>57</v>
      </c>
      <c r="E5316" t="s">
        <v>41</v>
      </c>
      <c r="F5316" t="s">
        <v>42</v>
      </c>
      <c r="G5316" t="s">
        <v>17</v>
      </c>
      <c r="H5316" s="1">
        <v>45504</v>
      </c>
    </row>
    <row r="5317" spans="1:8">
      <c r="A5317" t="s">
        <v>10613</v>
      </c>
      <c r="B5317" t="s">
        <v>10614</v>
      </c>
      <c r="C5317" t="s">
        <v>31</v>
      </c>
      <c r="D5317">
        <v>22</v>
      </c>
      <c r="E5317" t="s">
        <v>20</v>
      </c>
      <c r="F5317" t="s">
        <v>21</v>
      </c>
      <c r="G5317" t="s">
        <v>22</v>
      </c>
      <c r="H5317" s="1">
        <v>45906</v>
      </c>
    </row>
    <row r="5318" spans="1:8">
      <c r="A5318" t="s">
        <v>10615</v>
      </c>
      <c r="B5318" t="s">
        <v>10616</v>
      </c>
      <c r="C5318" t="s">
        <v>10</v>
      </c>
      <c r="D5318">
        <v>30</v>
      </c>
      <c r="E5318" t="s">
        <v>149</v>
      </c>
      <c r="F5318" t="s">
        <v>38</v>
      </c>
      <c r="G5318" t="s">
        <v>22</v>
      </c>
      <c r="H5318" s="1">
        <v>45109</v>
      </c>
    </row>
    <row r="5319" spans="1:8">
      <c r="A5319" t="s">
        <v>10617</v>
      </c>
      <c r="B5319" t="s">
        <v>10618</v>
      </c>
      <c r="C5319" t="s">
        <v>31</v>
      </c>
      <c r="D5319">
        <v>68</v>
      </c>
      <c r="E5319" t="s">
        <v>218</v>
      </c>
      <c r="F5319" t="s">
        <v>219</v>
      </c>
      <c r="G5319" t="s">
        <v>17</v>
      </c>
      <c r="H5319" s="1">
        <v>44826</v>
      </c>
    </row>
    <row r="5320" spans="1:8">
      <c r="A5320" t="s">
        <v>10619</v>
      </c>
      <c r="B5320" t="s">
        <v>10620</v>
      </c>
      <c r="C5320" t="s">
        <v>31</v>
      </c>
      <c r="D5320">
        <v>24</v>
      </c>
      <c r="E5320" t="s">
        <v>69</v>
      </c>
      <c r="F5320" t="s">
        <v>69</v>
      </c>
      <c r="G5320" t="s">
        <v>12</v>
      </c>
      <c r="H5320" s="1">
        <v>45988</v>
      </c>
    </row>
    <row r="5321" spans="1:8">
      <c r="A5321" t="s">
        <v>10621</v>
      </c>
      <c r="B5321" t="s">
        <v>10622</v>
      </c>
      <c r="C5321" t="s">
        <v>10</v>
      </c>
      <c r="D5321">
        <v>28</v>
      </c>
      <c r="E5321" t="s">
        <v>101</v>
      </c>
      <c r="F5321" t="s">
        <v>21</v>
      </c>
      <c r="G5321" t="s">
        <v>22</v>
      </c>
      <c r="H5321" s="1">
        <v>45063</v>
      </c>
    </row>
    <row r="5322" spans="1:8">
      <c r="A5322" t="s">
        <v>10623</v>
      </c>
      <c r="B5322" t="s">
        <v>10624</v>
      </c>
      <c r="C5322" t="s">
        <v>31</v>
      </c>
      <c r="D5322">
        <v>64</v>
      </c>
      <c r="E5322" t="s">
        <v>112</v>
      </c>
      <c r="F5322" t="s">
        <v>113</v>
      </c>
      <c r="G5322" t="s">
        <v>78</v>
      </c>
      <c r="H5322" s="1">
        <v>44625</v>
      </c>
    </row>
    <row r="5323" spans="1:8">
      <c r="A5323" t="s">
        <v>10625</v>
      </c>
      <c r="B5323" t="s">
        <v>10626</v>
      </c>
      <c r="C5323" t="s">
        <v>10</v>
      </c>
      <c r="D5323">
        <v>47</v>
      </c>
      <c r="E5323" t="s">
        <v>60</v>
      </c>
      <c r="F5323" t="s">
        <v>21</v>
      </c>
      <c r="G5323" t="s">
        <v>22</v>
      </c>
      <c r="H5323" s="1">
        <v>45135</v>
      </c>
    </row>
    <row r="5324" spans="1:8">
      <c r="A5324" t="s">
        <v>10627</v>
      </c>
      <c r="B5324" t="s">
        <v>10628</v>
      </c>
      <c r="C5324" t="s">
        <v>10</v>
      </c>
      <c r="D5324">
        <v>24</v>
      </c>
      <c r="E5324" t="s">
        <v>149</v>
      </c>
      <c r="F5324" t="s">
        <v>38</v>
      </c>
      <c r="G5324" t="s">
        <v>22</v>
      </c>
      <c r="H5324" s="1">
        <v>45161</v>
      </c>
    </row>
    <row r="5325" spans="1:8">
      <c r="A5325" t="s">
        <v>10629</v>
      </c>
      <c r="B5325" t="s">
        <v>10630</v>
      </c>
      <c r="C5325" t="s">
        <v>10</v>
      </c>
      <c r="D5325">
        <v>42</v>
      </c>
      <c r="E5325" t="s">
        <v>112</v>
      </c>
      <c r="F5325" t="s">
        <v>113</v>
      </c>
      <c r="G5325" t="s">
        <v>78</v>
      </c>
      <c r="H5325" s="1">
        <v>44956</v>
      </c>
    </row>
    <row r="5326" spans="1:8">
      <c r="A5326" t="s">
        <v>10631</v>
      </c>
      <c r="B5326" t="s">
        <v>10632</v>
      </c>
      <c r="C5326" t="s">
        <v>10</v>
      </c>
      <c r="D5326">
        <v>41</v>
      </c>
      <c r="E5326" t="s">
        <v>60</v>
      </c>
      <c r="F5326" t="s">
        <v>21</v>
      </c>
      <c r="G5326" t="s">
        <v>22</v>
      </c>
      <c r="H5326" s="1">
        <v>44999</v>
      </c>
    </row>
    <row r="5327" spans="1:8">
      <c r="A5327" t="s">
        <v>10633</v>
      </c>
      <c r="B5327" t="s">
        <v>10634</v>
      </c>
      <c r="C5327" t="s">
        <v>31</v>
      </c>
      <c r="D5327">
        <v>52</v>
      </c>
      <c r="E5327" t="s">
        <v>49</v>
      </c>
      <c r="F5327" t="s">
        <v>219</v>
      </c>
      <c r="G5327" t="s">
        <v>17</v>
      </c>
      <c r="H5327" s="1">
        <v>44746</v>
      </c>
    </row>
    <row r="5328" spans="1:8">
      <c r="A5328" t="s">
        <v>10635</v>
      </c>
      <c r="B5328" t="s">
        <v>10636</v>
      </c>
      <c r="C5328" t="s">
        <v>31</v>
      </c>
      <c r="D5328">
        <v>70</v>
      </c>
      <c r="E5328" t="s">
        <v>37</v>
      </c>
      <c r="F5328" t="s">
        <v>38</v>
      </c>
      <c r="G5328" t="s">
        <v>22</v>
      </c>
      <c r="H5328" s="1">
        <v>44862</v>
      </c>
    </row>
    <row r="5329" spans="1:8">
      <c r="A5329" t="s">
        <v>10637</v>
      </c>
      <c r="B5329" t="s">
        <v>10638</v>
      </c>
      <c r="C5329" t="s">
        <v>31</v>
      </c>
      <c r="D5329">
        <v>44</v>
      </c>
      <c r="E5329" t="s">
        <v>37</v>
      </c>
      <c r="F5329" t="s">
        <v>38</v>
      </c>
      <c r="G5329" t="s">
        <v>22</v>
      </c>
      <c r="H5329" s="1">
        <v>45715</v>
      </c>
    </row>
    <row r="5330" spans="1:8">
      <c r="A5330" t="s">
        <v>10639</v>
      </c>
      <c r="B5330" t="s">
        <v>10640</v>
      </c>
      <c r="C5330" t="s">
        <v>31</v>
      </c>
      <c r="D5330">
        <v>27</v>
      </c>
      <c r="E5330" t="s">
        <v>27</v>
      </c>
      <c r="F5330" t="s">
        <v>28</v>
      </c>
      <c r="G5330" t="s">
        <v>12</v>
      </c>
      <c r="H5330" s="1">
        <v>44609</v>
      </c>
    </row>
    <row r="5331" spans="1:8">
      <c r="A5331" t="s">
        <v>10641</v>
      </c>
      <c r="B5331" t="s">
        <v>10642</v>
      </c>
      <c r="C5331" t="s">
        <v>10</v>
      </c>
      <c r="D5331">
        <v>59</v>
      </c>
      <c r="E5331" t="s">
        <v>41</v>
      </c>
      <c r="F5331" t="s">
        <v>42</v>
      </c>
      <c r="G5331" t="s">
        <v>17</v>
      </c>
      <c r="H5331" s="1">
        <v>44857</v>
      </c>
    </row>
    <row r="5332" spans="1:8">
      <c r="A5332" t="s">
        <v>10643</v>
      </c>
      <c r="B5332" t="s">
        <v>10644</v>
      </c>
      <c r="C5332" t="s">
        <v>10</v>
      </c>
      <c r="D5332">
        <v>27</v>
      </c>
      <c r="E5332" t="s">
        <v>149</v>
      </c>
      <c r="F5332" t="s">
        <v>38</v>
      </c>
      <c r="G5332" t="s">
        <v>22</v>
      </c>
      <c r="H5332" s="1">
        <v>45841</v>
      </c>
    </row>
    <row r="5333" spans="1:8">
      <c r="A5333" t="s">
        <v>10645</v>
      </c>
      <c r="B5333" t="s">
        <v>10646</v>
      </c>
      <c r="C5333" t="s">
        <v>10</v>
      </c>
      <c r="D5333">
        <v>20</v>
      </c>
      <c r="E5333" t="s">
        <v>76</v>
      </c>
      <c r="F5333" t="s">
        <v>77</v>
      </c>
      <c r="G5333" t="s">
        <v>78</v>
      </c>
      <c r="H5333" s="1">
        <v>45527</v>
      </c>
    </row>
    <row r="5334" spans="1:8">
      <c r="A5334" t="s">
        <v>10647</v>
      </c>
      <c r="B5334" t="s">
        <v>10648</v>
      </c>
      <c r="C5334" t="s">
        <v>31</v>
      </c>
      <c r="D5334">
        <v>69</v>
      </c>
      <c r="E5334" t="s">
        <v>69</v>
      </c>
      <c r="F5334" t="s">
        <v>69</v>
      </c>
      <c r="G5334" t="s">
        <v>12</v>
      </c>
      <c r="H5334" s="1">
        <v>45209</v>
      </c>
    </row>
    <row r="5335" spans="1:8">
      <c r="A5335" t="s">
        <v>10649</v>
      </c>
      <c r="B5335" t="s">
        <v>10650</v>
      </c>
      <c r="C5335" t="s">
        <v>31</v>
      </c>
      <c r="D5335">
        <v>69</v>
      </c>
      <c r="E5335" t="s">
        <v>69</v>
      </c>
      <c r="F5335" t="s">
        <v>69</v>
      </c>
      <c r="G5335" t="s">
        <v>12</v>
      </c>
      <c r="H5335" s="1">
        <v>44675</v>
      </c>
    </row>
    <row r="5336" spans="1:8">
      <c r="A5336" t="s">
        <v>10651</v>
      </c>
      <c r="B5336" t="s">
        <v>10652</v>
      </c>
      <c r="C5336" t="s">
        <v>31</v>
      </c>
      <c r="D5336">
        <v>63</v>
      </c>
      <c r="E5336" t="s">
        <v>149</v>
      </c>
      <c r="F5336" t="s">
        <v>38</v>
      </c>
      <c r="G5336" t="s">
        <v>22</v>
      </c>
      <c r="H5336" s="1">
        <v>45751</v>
      </c>
    </row>
    <row r="5337" spans="1:8">
      <c r="A5337" t="s">
        <v>10653</v>
      </c>
      <c r="B5337" t="s">
        <v>10654</v>
      </c>
      <c r="C5337" t="s">
        <v>31</v>
      </c>
      <c r="D5337">
        <v>38</v>
      </c>
      <c r="E5337" t="s">
        <v>41</v>
      </c>
      <c r="F5337" t="s">
        <v>42</v>
      </c>
      <c r="G5337" t="s">
        <v>17</v>
      </c>
      <c r="H5337" s="1">
        <v>45423</v>
      </c>
    </row>
    <row r="5338" spans="1:8">
      <c r="A5338" t="s">
        <v>10655</v>
      </c>
      <c r="B5338" t="s">
        <v>10656</v>
      </c>
      <c r="C5338" t="s">
        <v>10</v>
      </c>
      <c r="D5338">
        <v>70</v>
      </c>
      <c r="E5338" t="s">
        <v>60</v>
      </c>
      <c r="F5338" t="s">
        <v>21</v>
      </c>
      <c r="G5338" t="s">
        <v>22</v>
      </c>
      <c r="H5338" s="1">
        <v>45636</v>
      </c>
    </row>
    <row r="5339" spans="1:8">
      <c r="A5339" t="s">
        <v>10657</v>
      </c>
      <c r="B5339" t="s">
        <v>10658</v>
      </c>
      <c r="C5339" t="s">
        <v>10</v>
      </c>
      <c r="D5339">
        <v>46</v>
      </c>
      <c r="E5339" t="s">
        <v>128</v>
      </c>
      <c r="F5339" t="s">
        <v>129</v>
      </c>
      <c r="G5339" t="s">
        <v>78</v>
      </c>
      <c r="H5339" s="1">
        <v>45669</v>
      </c>
    </row>
    <row r="5340" spans="1:8">
      <c r="A5340" t="s">
        <v>10659</v>
      </c>
      <c r="B5340" t="s">
        <v>10660</v>
      </c>
      <c r="C5340" t="s">
        <v>10</v>
      </c>
      <c r="D5340">
        <v>40</v>
      </c>
      <c r="E5340" t="s">
        <v>69</v>
      </c>
      <c r="F5340" t="s">
        <v>69</v>
      </c>
      <c r="G5340" t="s">
        <v>12</v>
      </c>
      <c r="H5340" s="1">
        <v>45615</v>
      </c>
    </row>
    <row r="5341" spans="1:8">
      <c r="A5341" t="s">
        <v>10661</v>
      </c>
      <c r="B5341" t="s">
        <v>10662</v>
      </c>
      <c r="C5341" t="s">
        <v>10</v>
      </c>
      <c r="D5341">
        <v>53</v>
      </c>
      <c r="E5341" t="s">
        <v>134</v>
      </c>
      <c r="F5341" t="s">
        <v>28</v>
      </c>
      <c r="G5341" t="s">
        <v>12</v>
      </c>
      <c r="H5341" s="1">
        <v>45573</v>
      </c>
    </row>
    <row r="5342" spans="1:8">
      <c r="A5342" t="s">
        <v>10663</v>
      </c>
      <c r="B5342" t="s">
        <v>10664</v>
      </c>
      <c r="C5342" t="s">
        <v>31</v>
      </c>
      <c r="D5342">
        <v>28</v>
      </c>
      <c r="E5342" t="s">
        <v>134</v>
      </c>
      <c r="F5342" t="s">
        <v>28</v>
      </c>
      <c r="G5342" t="s">
        <v>12</v>
      </c>
      <c r="H5342" s="1">
        <v>45606</v>
      </c>
    </row>
    <row r="5343" spans="1:8">
      <c r="A5343" t="s">
        <v>10665</v>
      </c>
      <c r="B5343" t="s">
        <v>10666</v>
      </c>
      <c r="C5343" t="s">
        <v>31</v>
      </c>
      <c r="D5343">
        <v>53</v>
      </c>
      <c r="E5343" t="s">
        <v>60</v>
      </c>
      <c r="F5343" t="s">
        <v>21</v>
      </c>
      <c r="G5343" t="s">
        <v>22</v>
      </c>
      <c r="H5343" s="1">
        <v>44992</v>
      </c>
    </row>
    <row r="5344" spans="1:8">
      <c r="A5344" t="s">
        <v>10667</v>
      </c>
      <c r="B5344" t="s">
        <v>10668</v>
      </c>
      <c r="C5344" t="s">
        <v>10</v>
      </c>
      <c r="D5344">
        <v>27</v>
      </c>
      <c r="E5344" t="s">
        <v>149</v>
      </c>
      <c r="F5344" t="s">
        <v>38</v>
      </c>
      <c r="G5344" t="s">
        <v>22</v>
      </c>
      <c r="H5344" s="1">
        <v>44982</v>
      </c>
    </row>
    <row r="5345" spans="1:8">
      <c r="A5345" t="s">
        <v>10669</v>
      </c>
      <c r="B5345" t="s">
        <v>10670</v>
      </c>
      <c r="C5345" t="s">
        <v>10</v>
      </c>
      <c r="D5345">
        <v>27</v>
      </c>
      <c r="E5345" t="s">
        <v>112</v>
      </c>
      <c r="F5345" t="s">
        <v>113</v>
      </c>
      <c r="G5345" t="s">
        <v>78</v>
      </c>
      <c r="H5345" s="1">
        <v>45378</v>
      </c>
    </row>
    <row r="5346" spans="1:8">
      <c r="A5346" t="s">
        <v>10671</v>
      </c>
      <c r="B5346" t="s">
        <v>8227</v>
      </c>
      <c r="C5346" t="s">
        <v>10</v>
      </c>
      <c r="D5346">
        <v>29</v>
      </c>
      <c r="E5346" t="s">
        <v>41</v>
      </c>
      <c r="F5346" t="s">
        <v>42</v>
      </c>
      <c r="G5346" t="s">
        <v>17</v>
      </c>
      <c r="H5346" s="1">
        <v>45957</v>
      </c>
    </row>
    <row r="5347" spans="1:8">
      <c r="A5347" t="s">
        <v>10672</v>
      </c>
      <c r="B5347" t="s">
        <v>10673</v>
      </c>
      <c r="C5347" t="s">
        <v>31</v>
      </c>
      <c r="D5347">
        <v>65</v>
      </c>
      <c r="E5347" t="s">
        <v>218</v>
      </c>
      <c r="F5347" t="s">
        <v>219</v>
      </c>
      <c r="G5347" t="s">
        <v>17</v>
      </c>
      <c r="H5347" s="1">
        <v>44619</v>
      </c>
    </row>
    <row r="5348" spans="1:8">
      <c r="A5348" t="s">
        <v>10674</v>
      </c>
      <c r="B5348" t="s">
        <v>10675</v>
      </c>
      <c r="C5348" t="s">
        <v>10</v>
      </c>
      <c r="D5348">
        <v>54</v>
      </c>
      <c r="E5348" t="s">
        <v>218</v>
      </c>
      <c r="F5348" t="s">
        <v>219</v>
      </c>
      <c r="G5348" t="s">
        <v>17</v>
      </c>
      <c r="H5348" s="1">
        <v>44766</v>
      </c>
    </row>
    <row r="5349" spans="1:8">
      <c r="A5349" t="s">
        <v>10676</v>
      </c>
      <c r="B5349" t="s">
        <v>10677</v>
      </c>
      <c r="C5349" t="s">
        <v>31</v>
      </c>
      <c r="D5349">
        <v>59</v>
      </c>
      <c r="E5349" t="s">
        <v>27</v>
      </c>
      <c r="F5349" t="s">
        <v>28</v>
      </c>
      <c r="G5349" t="s">
        <v>12</v>
      </c>
      <c r="H5349" s="1">
        <v>45633</v>
      </c>
    </row>
    <row r="5350" spans="1:8">
      <c r="A5350" t="s">
        <v>10678</v>
      </c>
      <c r="B5350" t="s">
        <v>10679</v>
      </c>
      <c r="C5350" t="s">
        <v>10</v>
      </c>
      <c r="D5350">
        <v>70</v>
      </c>
      <c r="E5350" t="s">
        <v>11</v>
      </c>
      <c r="F5350" t="s">
        <v>11</v>
      </c>
      <c r="G5350" t="s">
        <v>12</v>
      </c>
      <c r="H5350" s="1">
        <v>45608</v>
      </c>
    </row>
    <row r="5351" spans="1:8">
      <c r="A5351" t="s">
        <v>10680</v>
      </c>
      <c r="B5351" t="s">
        <v>10681</v>
      </c>
      <c r="C5351" t="s">
        <v>31</v>
      </c>
      <c r="D5351">
        <v>42</v>
      </c>
      <c r="E5351" t="s">
        <v>69</v>
      </c>
      <c r="F5351" t="s">
        <v>69</v>
      </c>
      <c r="G5351" t="s">
        <v>12</v>
      </c>
      <c r="H5351" s="1">
        <v>44576</v>
      </c>
    </row>
    <row r="5352" spans="1:8">
      <c r="A5352" t="s">
        <v>10682</v>
      </c>
      <c r="B5352" t="s">
        <v>10683</v>
      </c>
      <c r="C5352" t="s">
        <v>10</v>
      </c>
      <c r="D5352">
        <v>21</v>
      </c>
      <c r="E5352" t="s">
        <v>27</v>
      </c>
      <c r="F5352" t="s">
        <v>28</v>
      </c>
      <c r="G5352" t="s">
        <v>12</v>
      </c>
      <c r="H5352" s="1">
        <v>44637</v>
      </c>
    </row>
    <row r="5353" spans="1:8">
      <c r="A5353" t="s">
        <v>10684</v>
      </c>
      <c r="B5353" t="s">
        <v>10685</v>
      </c>
      <c r="C5353" t="s">
        <v>31</v>
      </c>
      <c r="D5353">
        <v>67</v>
      </c>
      <c r="E5353" t="s">
        <v>101</v>
      </c>
      <c r="F5353" t="s">
        <v>21</v>
      </c>
      <c r="G5353" t="s">
        <v>22</v>
      </c>
      <c r="H5353" s="1">
        <v>45011</v>
      </c>
    </row>
    <row r="5354" spans="1:8">
      <c r="A5354" t="s">
        <v>10686</v>
      </c>
      <c r="B5354" t="s">
        <v>10687</v>
      </c>
      <c r="C5354" t="s">
        <v>31</v>
      </c>
      <c r="D5354">
        <v>53</v>
      </c>
      <c r="E5354" t="s">
        <v>218</v>
      </c>
      <c r="F5354" t="s">
        <v>219</v>
      </c>
      <c r="G5354" t="s">
        <v>17</v>
      </c>
      <c r="H5354" s="1">
        <v>44856</v>
      </c>
    </row>
    <row r="5355" spans="1:8">
      <c r="A5355" t="s">
        <v>10688</v>
      </c>
      <c r="B5355" t="s">
        <v>10689</v>
      </c>
      <c r="C5355" t="s">
        <v>31</v>
      </c>
      <c r="D5355">
        <v>63</v>
      </c>
      <c r="E5355" t="s">
        <v>63</v>
      </c>
      <c r="F5355" t="s">
        <v>64</v>
      </c>
      <c r="G5355" t="s">
        <v>12</v>
      </c>
      <c r="H5355" s="1">
        <v>45020</v>
      </c>
    </row>
    <row r="5356" spans="1:8">
      <c r="A5356" t="s">
        <v>10690</v>
      </c>
      <c r="B5356" t="s">
        <v>10691</v>
      </c>
      <c r="C5356" t="s">
        <v>31</v>
      </c>
      <c r="D5356">
        <v>56</v>
      </c>
      <c r="E5356" t="s">
        <v>149</v>
      </c>
      <c r="F5356" t="s">
        <v>38</v>
      </c>
      <c r="G5356" t="s">
        <v>22</v>
      </c>
      <c r="H5356" s="1">
        <v>45916</v>
      </c>
    </row>
    <row r="5357" spans="1:8">
      <c r="A5357" t="s">
        <v>10692</v>
      </c>
      <c r="B5357" t="s">
        <v>10693</v>
      </c>
      <c r="C5357" t="s">
        <v>31</v>
      </c>
      <c r="D5357">
        <v>20</v>
      </c>
      <c r="E5357" t="s">
        <v>87</v>
      </c>
      <c r="F5357" t="s">
        <v>88</v>
      </c>
      <c r="G5357" t="s">
        <v>78</v>
      </c>
      <c r="H5357" s="1">
        <v>45058</v>
      </c>
    </row>
    <row r="5358" spans="1:8">
      <c r="A5358" t="s">
        <v>10694</v>
      </c>
      <c r="B5358" t="s">
        <v>10695</v>
      </c>
      <c r="C5358" t="s">
        <v>31</v>
      </c>
      <c r="D5358">
        <v>51</v>
      </c>
      <c r="E5358" t="s">
        <v>37</v>
      </c>
      <c r="F5358" t="s">
        <v>38</v>
      </c>
      <c r="G5358" t="s">
        <v>22</v>
      </c>
      <c r="H5358" s="1">
        <v>45504</v>
      </c>
    </row>
    <row r="5359" spans="1:8">
      <c r="A5359" t="s">
        <v>10696</v>
      </c>
      <c r="B5359" t="s">
        <v>10697</v>
      </c>
      <c r="C5359" t="s">
        <v>31</v>
      </c>
      <c r="D5359">
        <v>40</v>
      </c>
      <c r="E5359" t="s">
        <v>63</v>
      </c>
      <c r="F5359" t="s">
        <v>64</v>
      </c>
      <c r="G5359" t="s">
        <v>12</v>
      </c>
      <c r="H5359" s="1">
        <v>44953</v>
      </c>
    </row>
    <row r="5360" spans="1:8">
      <c r="A5360" t="s">
        <v>10698</v>
      </c>
      <c r="B5360" t="s">
        <v>10699</v>
      </c>
      <c r="C5360" t="s">
        <v>31</v>
      </c>
      <c r="D5360">
        <v>33</v>
      </c>
      <c r="E5360" t="s">
        <v>11</v>
      </c>
      <c r="F5360" t="s">
        <v>11</v>
      </c>
      <c r="G5360" t="s">
        <v>12</v>
      </c>
      <c r="H5360" s="1">
        <v>45559</v>
      </c>
    </row>
    <row r="5361" spans="1:8">
      <c r="A5361" t="s">
        <v>10700</v>
      </c>
      <c r="B5361" t="s">
        <v>10701</v>
      </c>
      <c r="C5361" t="s">
        <v>10</v>
      </c>
      <c r="D5361">
        <v>24</v>
      </c>
      <c r="E5361" t="s">
        <v>63</v>
      </c>
      <c r="F5361" t="s">
        <v>64</v>
      </c>
      <c r="G5361" t="s">
        <v>12</v>
      </c>
      <c r="H5361" s="1">
        <v>45909</v>
      </c>
    </row>
    <row r="5362" spans="1:8">
      <c r="A5362" t="s">
        <v>10702</v>
      </c>
      <c r="B5362" t="s">
        <v>10703</v>
      </c>
      <c r="C5362" t="s">
        <v>10</v>
      </c>
      <c r="D5362">
        <v>61</v>
      </c>
      <c r="E5362" t="s">
        <v>37</v>
      </c>
      <c r="F5362" t="s">
        <v>38</v>
      </c>
      <c r="G5362" t="s">
        <v>22</v>
      </c>
      <c r="H5362" s="1">
        <v>45856</v>
      </c>
    </row>
    <row r="5363" spans="1:8">
      <c r="A5363" t="s">
        <v>10704</v>
      </c>
      <c r="B5363" t="s">
        <v>10705</v>
      </c>
      <c r="C5363" t="s">
        <v>10</v>
      </c>
      <c r="D5363">
        <v>40</v>
      </c>
      <c r="E5363" t="s">
        <v>91</v>
      </c>
      <c r="F5363" t="s">
        <v>92</v>
      </c>
      <c r="G5363" t="s">
        <v>78</v>
      </c>
      <c r="H5363" s="1">
        <v>45463</v>
      </c>
    </row>
    <row r="5364" spans="1:8">
      <c r="A5364" t="s">
        <v>10706</v>
      </c>
      <c r="B5364" t="s">
        <v>10707</v>
      </c>
      <c r="C5364" t="s">
        <v>31</v>
      </c>
      <c r="D5364">
        <v>57</v>
      </c>
      <c r="E5364" t="s">
        <v>15</v>
      </c>
      <c r="F5364" t="s">
        <v>16</v>
      </c>
      <c r="G5364" t="s">
        <v>17</v>
      </c>
      <c r="H5364" s="1">
        <v>45636</v>
      </c>
    </row>
    <row r="5365" spans="1:8">
      <c r="A5365" t="s">
        <v>10708</v>
      </c>
      <c r="B5365" t="s">
        <v>10709</v>
      </c>
      <c r="C5365" t="s">
        <v>31</v>
      </c>
      <c r="D5365">
        <v>63</v>
      </c>
      <c r="E5365" t="s">
        <v>63</v>
      </c>
      <c r="F5365" t="s">
        <v>64</v>
      </c>
      <c r="G5365" t="s">
        <v>12</v>
      </c>
      <c r="H5365" s="1">
        <v>45619</v>
      </c>
    </row>
    <row r="5366" spans="1:8">
      <c r="A5366" t="s">
        <v>10710</v>
      </c>
      <c r="B5366" t="s">
        <v>10711</v>
      </c>
      <c r="C5366" t="s">
        <v>31</v>
      </c>
      <c r="D5366">
        <v>41</v>
      </c>
      <c r="E5366" t="s">
        <v>91</v>
      </c>
      <c r="F5366" t="s">
        <v>92</v>
      </c>
      <c r="G5366" t="s">
        <v>78</v>
      </c>
      <c r="H5366" s="1">
        <v>44653</v>
      </c>
    </row>
    <row r="5367" spans="1:8">
      <c r="A5367" t="s">
        <v>10712</v>
      </c>
      <c r="B5367" t="s">
        <v>10713</v>
      </c>
      <c r="C5367" t="s">
        <v>10</v>
      </c>
      <c r="D5367">
        <v>22</v>
      </c>
      <c r="E5367" t="s">
        <v>128</v>
      </c>
      <c r="F5367" t="s">
        <v>129</v>
      </c>
      <c r="G5367" t="s">
        <v>78</v>
      </c>
      <c r="H5367" s="1">
        <v>44990</v>
      </c>
    </row>
    <row r="5368" spans="1:8">
      <c r="A5368" t="s">
        <v>10714</v>
      </c>
      <c r="B5368" t="s">
        <v>10715</v>
      </c>
      <c r="C5368" t="s">
        <v>10</v>
      </c>
      <c r="D5368">
        <v>59</v>
      </c>
      <c r="E5368" t="s">
        <v>37</v>
      </c>
      <c r="F5368" t="s">
        <v>38</v>
      </c>
      <c r="G5368" t="s">
        <v>22</v>
      </c>
      <c r="H5368" s="1">
        <v>45551</v>
      </c>
    </row>
    <row r="5369" spans="1:8">
      <c r="A5369" t="s">
        <v>10716</v>
      </c>
      <c r="B5369" t="s">
        <v>10717</v>
      </c>
      <c r="C5369" t="s">
        <v>10</v>
      </c>
      <c r="D5369">
        <v>59</v>
      </c>
      <c r="E5369" t="s">
        <v>87</v>
      </c>
      <c r="F5369" t="s">
        <v>88</v>
      </c>
      <c r="G5369" t="s">
        <v>78</v>
      </c>
      <c r="H5369" s="1">
        <v>44874</v>
      </c>
    </row>
    <row r="5370" spans="1:8">
      <c r="A5370" t="s">
        <v>10718</v>
      </c>
      <c r="B5370" t="s">
        <v>10719</v>
      </c>
      <c r="C5370" t="s">
        <v>31</v>
      </c>
      <c r="D5370">
        <v>52</v>
      </c>
      <c r="E5370" t="s">
        <v>11</v>
      </c>
      <c r="F5370" t="s">
        <v>11</v>
      </c>
      <c r="G5370" t="s">
        <v>12</v>
      </c>
      <c r="H5370" s="1">
        <v>44968</v>
      </c>
    </row>
    <row r="5371" spans="1:8">
      <c r="A5371" t="s">
        <v>10720</v>
      </c>
      <c r="B5371" t="s">
        <v>10721</v>
      </c>
      <c r="C5371" t="s">
        <v>31</v>
      </c>
      <c r="D5371">
        <v>70</v>
      </c>
      <c r="E5371" t="s">
        <v>87</v>
      </c>
      <c r="F5371" t="s">
        <v>88</v>
      </c>
      <c r="G5371" t="s">
        <v>78</v>
      </c>
      <c r="H5371" s="1">
        <v>45226</v>
      </c>
    </row>
    <row r="5372" spans="1:8">
      <c r="A5372" t="s">
        <v>10722</v>
      </c>
      <c r="B5372" t="s">
        <v>10723</v>
      </c>
      <c r="C5372" t="s">
        <v>10</v>
      </c>
      <c r="D5372">
        <v>65</v>
      </c>
      <c r="E5372" t="s">
        <v>128</v>
      </c>
      <c r="F5372" t="s">
        <v>129</v>
      </c>
      <c r="G5372" t="s">
        <v>78</v>
      </c>
      <c r="H5372" s="1">
        <v>45794</v>
      </c>
    </row>
    <row r="5373" spans="1:8">
      <c r="A5373" t="s">
        <v>10724</v>
      </c>
      <c r="B5373" t="s">
        <v>10725</v>
      </c>
      <c r="C5373" t="s">
        <v>31</v>
      </c>
      <c r="D5373">
        <v>52</v>
      </c>
      <c r="E5373" t="s">
        <v>41</v>
      </c>
      <c r="F5373" t="s">
        <v>42</v>
      </c>
      <c r="G5373" t="s">
        <v>17</v>
      </c>
      <c r="H5373" s="1">
        <v>45484</v>
      </c>
    </row>
    <row r="5374" spans="1:8">
      <c r="A5374" t="s">
        <v>10726</v>
      </c>
      <c r="B5374" t="s">
        <v>10727</v>
      </c>
      <c r="C5374" t="s">
        <v>31</v>
      </c>
      <c r="D5374">
        <v>69</v>
      </c>
      <c r="E5374" t="s">
        <v>34</v>
      </c>
      <c r="F5374" t="s">
        <v>16</v>
      </c>
      <c r="G5374" t="s">
        <v>17</v>
      </c>
      <c r="H5374" s="1">
        <v>45037</v>
      </c>
    </row>
    <row r="5375" spans="1:8">
      <c r="A5375" t="s">
        <v>10728</v>
      </c>
      <c r="B5375" t="s">
        <v>10729</v>
      </c>
      <c r="C5375" t="s">
        <v>31</v>
      </c>
      <c r="D5375">
        <v>50</v>
      </c>
      <c r="E5375" t="s">
        <v>134</v>
      </c>
      <c r="F5375" t="s">
        <v>28</v>
      </c>
      <c r="G5375" t="s">
        <v>12</v>
      </c>
      <c r="H5375" s="1">
        <v>45293</v>
      </c>
    </row>
    <row r="5376" spans="1:8">
      <c r="A5376" t="s">
        <v>10730</v>
      </c>
      <c r="B5376" t="s">
        <v>10731</v>
      </c>
      <c r="C5376" t="s">
        <v>31</v>
      </c>
      <c r="D5376">
        <v>19</v>
      </c>
      <c r="E5376" t="s">
        <v>41</v>
      </c>
      <c r="F5376" t="s">
        <v>42</v>
      </c>
      <c r="G5376" t="s">
        <v>17</v>
      </c>
      <c r="H5376" s="1">
        <v>45530</v>
      </c>
    </row>
    <row r="5377" spans="1:8">
      <c r="A5377" t="s">
        <v>10732</v>
      </c>
      <c r="B5377" t="s">
        <v>10733</v>
      </c>
      <c r="C5377" t="s">
        <v>31</v>
      </c>
      <c r="D5377">
        <v>37</v>
      </c>
      <c r="E5377" t="s">
        <v>76</v>
      </c>
      <c r="F5377" t="s">
        <v>77</v>
      </c>
      <c r="G5377" t="s">
        <v>78</v>
      </c>
      <c r="H5377" s="1">
        <v>45428</v>
      </c>
    </row>
    <row r="5378" spans="1:8">
      <c r="A5378" t="s">
        <v>10734</v>
      </c>
      <c r="B5378" t="s">
        <v>10735</v>
      </c>
      <c r="C5378" t="s">
        <v>10</v>
      </c>
      <c r="D5378">
        <v>26</v>
      </c>
      <c r="E5378" t="s">
        <v>11</v>
      </c>
      <c r="F5378" t="s">
        <v>11</v>
      </c>
      <c r="G5378" t="s">
        <v>12</v>
      </c>
      <c r="H5378" s="1">
        <v>45446</v>
      </c>
    </row>
    <row r="5379" spans="1:8">
      <c r="A5379" t="s">
        <v>10736</v>
      </c>
      <c r="B5379" t="s">
        <v>10737</v>
      </c>
      <c r="C5379" t="s">
        <v>31</v>
      </c>
      <c r="D5379">
        <v>50</v>
      </c>
      <c r="E5379" t="s">
        <v>69</v>
      </c>
      <c r="F5379" t="s">
        <v>69</v>
      </c>
      <c r="G5379" t="s">
        <v>12</v>
      </c>
      <c r="H5379" s="1">
        <v>45009</v>
      </c>
    </row>
    <row r="5380" spans="1:8">
      <c r="A5380" t="s">
        <v>10738</v>
      </c>
      <c r="B5380" t="s">
        <v>10739</v>
      </c>
      <c r="C5380" t="s">
        <v>31</v>
      </c>
      <c r="D5380">
        <v>41</v>
      </c>
      <c r="E5380" t="s">
        <v>11</v>
      </c>
      <c r="F5380" t="s">
        <v>11</v>
      </c>
      <c r="G5380" t="s">
        <v>12</v>
      </c>
      <c r="H5380" s="1">
        <v>45289</v>
      </c>
    </row>
    <row r="5381" spans="1:8">
      <c r="A5381" t="s">
        <v>10740</v>
      </c>
      <c r="B5381" t="s">
        <v>10741</v>
      </c>
      <c r="C5381" t="s">
        <v>10</v>
      </c>
      <c r="D5381">
        <v>60</v>
      </c>
      <c r="E5381" t="s">
        <v>101</v>
      </c>
      <c r="F5381" t="s">
        <v>21</v>
      </c>
      <c r="G5381" t="s">
        <v>22</v>
      </c>
      <c r="H5381" s="1">
        <v>45793</v>
      </c>
    </row>
    <row r="5382" spans="1:8">
      <c r="A5382" t="s">
        <v>10742</v>
      </c>
      <c r="B5382" t="s">
        <v>10743</v>
      </c>
      <c r="C5382" t="s">
        <v>31</v>
      </c>
      <c r="D5382">
        <v>53</v>
      </c>
      <c r="E5382" t="s">
        <v>20</v>
      </c>
      <c r="F5382" t="s">
        <v>21</v>
      </c>
      <c r="G5382" t="s">
        <v>22</v>
      </c>
      <c r="H5382" s="1">
        <v>45604</v>
      </c>
    </row>
    <row r="5383" spans="1:8">
      <c r="A5383" t="s">
        <v>10744</v>
      </c>
      <c r="B5383" t="s">
        <v>10745</v>
      </c>
      <c r="C5383" t="s">
        <v>10</v>
      </c>
      <c r="D5383">
        <v>26</v>
      </c>
      <c r="E5383" t="s">
        <v>63</v>
      </c>
      <c r="F5383" t="s">
        <v>64</v>
      </c>
      <c r="G5383" t="s">
        <v>12</v>
      </c>
      <c r="H5383" s="1">
        <v>46017</v>
      </c>
    </row>
    <row r="5384" spans="1:8">
      <c r="A5384" t="s">
        <v>10746</v>
      </c>
      <c r="B5384" t="s">
        <v>10747</v>
      </c>
      <c r="C5384" t="s">
        <v>31</v>
      </c>
      <c r="D5384">
        <v>63</v>
      </c>
      <c r="E5384" t="s">
        <v>20</v>
      </c>
      <c r="F5384" t="s">
        <v>21</v>
      </c>
      <c r="G5384" t="s">
        <v>22</v>
      </c>
      <c r="H5384" s="1">
        <v>45240</v>
      </c>
    </row>
    <row r="5385" spans="1:8">
      <c r="A5385" t="s">
        <v>10748</v>
      </c>
      <c r="B5385" t="s">
        <v>10749</v>
      </c>
      <c r="C5385" t="s">
        <v>10</v>
      </c>
      <c r="D5385">
        <v>29</v>
      </c>
      <c r="E5385" t="s">
        <v>63</v>
      </c>
      <c r="F5385" t="s">
        <v>64</v>
      </c>
      <c r="G5385" t="s">
        <v>12</v>
      </c>
      <c r="H5385" s="1">
        <v>45026</v>
      </c>
    </row>
    <row r="5386" spans="1:8">
      <c r="A5386" t="s">
        <v>10750</v>
      </c>
      <c r="B5386" t="s">
        <v>10751</v>
      </c>
      <c r="C5386" t="s">
        <v>10</v>
      </c>
      <c r="D5386">
        <v>53</v>
      </c>
      <c r="E5386" t="s">
        <v>149</v>
      </c>
      <c r="F5386" t="s">
        <v>38</v>
      </c>
      <c r="G5386" t="s">
        <v>22</v>
      </c>
      <c r="H5386" s="1">
        <v>45325</v>
      </c>
    </row>
    <row r="5387" spans="1:8">
      <c r="A5387" t="s">
        <v>10752</v>
      </c>
      <c r="B5387" t="s">
        <v>10753</v>
      </c>
      <c r="C5387" t="s">
        <v>10</v>
      </c>
      <c r="D5387">
        <v>55</v>
      </c>
      <c r="E5387" t="s">
        <v>37</v>
      </c>
      <c r="F5387" t="s">
        <v>38</v>
      </c>
      <c r="G5387" t="s">
        <v>22</v>
      </c>
      <c r="H5387" s="1">
        <v>45662</v>
      </c>
    </row>
    <row r="5388" spans="1:8">
      <c r="A5388" t="s">
        <v>10754</v>
      </c>
      <c r="B5388" t="s">
        <v>10755</v>
      </c>
      <c r="C5388" t="s">
        <v>31</v>
      </c>
      <c r="D5388">
        <v>31</v>
      </c>
      <c r="E5388" t="s">
        <v>149</v>
      </c>
      <c r="F5388" t="s">
        <v>38</v>
      </c>
      <c r="G5388" t="s">
        <v>22</v>
      </c>
      <c r="H5388" s="1">
        <v>44611</v>
      </c>
    </row>
    <row r="5389" spans="1:8">
      <c r="A5389" t="s">
        <v>10756</v>
      </c>
      <c r="B5389" t="s">
        <v>10757</v>
      </c>
      <c r="C5389" t="s">
        <v>31</v>
      </c>
      <c r="D5389">
        <v>42</v>
      </c>
      <c r="E5389" t="s">
        <v>41</v>
      </c>
      <c r="F5389" t="s">
        <v>42</v>
      </c>
      <c r="G5389" t="s">
        <v>17</v>
      </c>
      <c r="H5389" s="1">
        <v>45526</v>
      </c>
    </row>
    <row r="5390" spans="1:8">
      <c r="A5390" t="s">
        <v>10758</v>
      </c>
      <c r="B5390" t="s">
        <v>10759</v>
      </c>
      <c r="C5390" t="s">
        <v>31</v>
      </c>
      <c r="D5390">
        <v>52</v>
      </c>
      <c r="E5390" t="s">
        <v>15</v>
      </c>
      <c r="F5390" t="s">
        <v>16</v>
      </c>
      <c r="G5390" t="s">
        <v>17</v>
      </c>
      <c r="H5390" s="1">
        <v>45269</v>
      </c>
    </row>
    <row r="5391" spans="1:8">
      <c r="A5391" t="s">
        <v>10760</v>
      </c>
      <c r="B5391" t="s">
        <v>10761</v>
      </c>
      <c r="C5391" t="s">
        <v>31</v>
      </c>
      <c r="D5391">
        <v>35</v>
      </c>
      <c r="E5391" t="s">
        <v>15</v>
      </c>
      <c r="F5391" t="s">
        <v>16</v>
      </c>
      <c r="G5391" t="s">
        <v>17</v>
      </c>
      <c r="H5391" s="1">
        <v>45846</v>
      </c>
    </row>
    <row r="5392" spans="1:8">
      <c r="A5392" t="s">
        <v>10762</v>
      </c>
      <c r="B5392" t="s">
        <v>10763</v>
      </c>
      <c r="C5392" t="s">
        <v>31</v>
      </c>
      <c r="D5392">
        <v>22</v>
      </c>
      <c r="E5392" t="s">
        <v>27</v>
      </c>
      <c r="F5392" t="s">
        <v>28</v>
      </c>
      <c r="G5392" t="s">
        <v>12</v>
      </c>
      <c r="H5392" s="1">
        <v>44797</v>
      </c>
    </row>
    <row r="5393" spans="1:8">
      <c r="A5393" t="s">
        <v>10764</v>
      </c>
      <c r="B5393" t="s">
        <v>10765</v>
      </c>
      <c r="C5393" t="s">
        <v>10</v>
      </c>
      <c r="D5393">
        <v>28</v>
      </c>
      <c r="E5393" t="s">
        <v>37</v>
      </c>
      <c r="F5393" t="s">
        <v>38</v>
      </c>
      <c r="G5393" t="s">
        <v>22</v>
      </c>
      <c r="H5393" s="1">
        <v>44588</v>
      </c>
    </row>
    <row r="5394" spans="1:8">
      <c r="A5394" t="s">
        <v>10766</v>
      </c>
      <c r="B5394" t="s">
        <v>10767</v>
      </c>
      <c r="C5394" t="s">
        <v>10</v>
      </c>
      <c r="D5394">
        <v>59</v>
      </c>
      <c r="E5394" t="s">
        <v>15</v>
      </c>
      <c r="F5394" t="s">
        <v>16</v>
      </c>
      <c r="G5394" t="s">
        <v>17</v>
      </c>
      <c r="H5394" s="1">
        <v>45390</v>
      </c>
    </row>
    <row r="5395" spans="1:8">
      <c r="A5395" t="s">
        <v>10768</v>
      </c>
      <c r="B5395" t="s">
        <v>10769</v>
      </c>
      <c r="C5395" t="s">
        <v>10</v>
      </c>
      <c r="D5395">
        <v>68</v>
      </c>
      <c r="E5395" t="s">
        <v>91</v>
      </c>
      <c r="F5395" t="s">
        <v>92</v>
      </c>
      <c r="G5395" t="s">
        <v>78</v>
      </c>
      <c r="H5395" s="1">
        <v>44764</v>
      </c>
    </row>
    <row r="5396" spans="1:8">
      <c r="A5396" t="s">
        <v>10770</v>
      </c>
      <c r="B5396" t="s">
        <v>10771</v>
      </c>
      <c r="C5396" t="s">
        <v>31</v>
      </c>
      <c r="D5396">
        <v>42</v>
      </c>
      <c r="E5396" t="s">
        <v>134</v>
      </c>
      <c r="F5396" t="s">
        <v>28</v>
      </c>
      <c r="G5396" t="s">
        <v>12</v>
      </c>
      <c r="H5396" s="1">
        <v>45929</v>
      </c>
    </row>
    <row r="5397" spans="1:8">
      <c r="A5397" t="s">
        <v>10772</v>
      </c>
      <c r="B5397" t="s">
        <v>10773</v>
      </c>
      <c r="C5397" t="s">
        <v>31</v>
      </c>
      <c r="D5397">
        <v>70</v>
      </c>
      <c r="E5397" t="s">
        <v>11</v>
      </c>
      <c r="F5397" t="s">
        <v>11</v>
      </c>
      <c r="G5397" t="s">
        <v>12</v>
      </c>
      <c r="H5397" s="1">
        <v>46006</v>
      </c>
    </row>
    <row r="5398" spans="1:8">
      <c r="A5398" t="s">
        <v>10774</v>
      </c>
      <c r="B5398" t="s">
        <v>10775</v>
      </c>
      <c r="C5398" t="s">
        <v>31</v>
      </c>
      <c r="D5398">
        <v>19</v>
      </c>
      <c r="E5398" t="s">
        <v>149</v>
      </c>
      <c r="F5398" t="s">
        <v>38</v>
      </c>
      <c r="G5398" t="s">
        <v>22</v>
      </c>
      <c r="H5398" s="1">
        <v>45483</v>
      </c>
    </row>
    <row r="5399" spans="1:8">
      <c r="A5399" t="s">
        <v>10776</v>
      </c>
      <c r="B5399" t="s">
        <v>10777</v>
      </c>
      <c r="C5399" t="s">
        <v>10</v>
      </c>
      <c r="D5399">
        <v>52</v>
      </c>
      <c r="E5399" t="s">
        <v>63</v>
      </c>
      <c r="F5399" t="s">
        <v>64</v>
      </c>
      <c r="G5399" t="s">
        <v>12</v>
      </c>
      <c r="H5399" s="1">
        <v>45773</v>
      </c>
    </row>
    <row r="5400" spans="1:8">
      <c r="A5400" t="s">
        <v>10778</v>
      </c>
      <c r="B5400" t="s">
        <v>10779</v>
      </c>
      <c r="C5400" t="s">
        <v>10</v>
      </c>
      <c r="D5400">
        <v>69</v>
      </c>
      <c r="E5400" t="s">
        <v>101</v>
      </c>
      <c r="F5400" t="s">
        <v>21</v>
      </c>
      <c r="G5400" t="s">
        <v>22</v>
      </c>
      <c r="H5400" s="1">
        <v>44974</v>
      </c>
    </row>
    <row r="5401" spans="1:8">
      <c r="A5401" t="s">
        <v>10780</v>
      </c>
      <c r="B5401" t="s">
        <v>10781</v>
      </c>
      <c r="C5401" t="s">
        <v>31</v>
      </c>
      <c r="D5401">
        <v>63</v>
      </c>
      <c r="E5401" t="s">
        <v>45</v>
      </c>
      <c r="F5401" t="s">
        <v>46</v>
      </c>
      <c r="G5401" t="s">
        <v>17</v>
      </c>
      <c r="H5401" s="1">
        <v>44622</v>
      </c>
    </row>
    <row r="5402" spans="1:8">
      <c r="A5402" t="s">
        <v>10782</v>
      </c>
      <c r="B5402" t="s">
        <v>10783</v>
      </c>
      <c r="C5402" t="s">
        <v>10</v>
      </c>
      <c r="D5402">
        <v>44</v>
      </c>
      <c r="E5402" t="s">
        <v>11</v>
      </c>
      <c r="F5402" t="s">
        <v>11</v>
      </c>
      <c r="G5402" t="s">
        <v>12</v>
      </c>
      <c r="H5402" s="1">
        <v>45704</v>
      </c>
    </row>
    <row r="5403" spans="1:8">
      <c r="A5403" t="s">
        <v>10784</v>
      </c>
      <c r="B5403" t="s">
        <v>10785</v>
      </c>
      <c r="C5403" t="s">
        <v>31</v>
      </c>
      <c r="D5403">
        <v>44</v>
      </c>
      <c r="E5403" t="s">
        <v>149</v>
      </c>
      <c r="F5403" t="s">
        <v>38</v>
      </c>
      <c r="G5403" t="s">
        <v>22</v>
      </c>
      <c r="H5403" s="1">
        <v>44814</v>
      </c>
    </row>
    <row r="5404" spans="1:8">
      <c r="A5404" t="s">
        <v>10786</v>
      </c>
      <c r="B5404" t="s">
        <v>10787</v>
      </c>
      <c r="C5404" t="s">
        <v>10</v>
      </c>
      <c r="D5404">
        <v>38</v>
      </c>
      <c r="E5404" t="s">
        <v>20</v>
      </c>
      <c r="F5404" t="s">
        <v>21</v>
      </c>
      <c r="G5404" t="s">
        <v>22</v>
      </c>
      <c r="H5404" s="1">
        <v>44565</v>
      </c>
    </row>
    <row r="5405" spans="1:8">
      <c r="A5405" t="s">
        <v>10788</v>
      </c>
      <c r="B5405" t="s">
        <v>10789</v>
      </c>
      <c r="C5405" t="s">
        <v>10</v>
      </c>
      <c r="D5405">
        <v>69</v>
      </c>
      <c r="E5405" t="s">
        <v>63</v>
      </c>
      <c r="F5405" t="s">
        <v>64</v>
      </c>
      <c r="G5405" t="s">
        <v>12</v>
      </c>
      <c r="H5405" s="1">
        <v>45131</v>
      </c>
    </row>
    <row r="5406" spans="1:8">
      <c r="A5406" t="s">
        <v>10790</v>
      </c>
      <c r="B5406" t="s">
        <v>10791</v>
      </c>
      <c r="C5406" t="s">
        <v>10</v>
      </c>
      <c r="D5406">
        <v>26</v>
      </c>
      <c r="E5406" t="s">
        <v>87</v>
      </c>
      <c r="F5406" t="s">
        <v>88</v>
      </c>
      <c r="G5406" t="s">
        <v>78</v>
      </c>
      <c r="H5406" s="1">
        <v>44837</v>
      </c>
    </row>
    <row r="5407" spans="1:8">
      <c r="A5407" t="s">
        <v>10792</v>
      </c>
      <c r="B5407" t="s">
        <v>10793</v>
      </c>
      <c r="C5407" t="s">
        <v>10</v>
      </c>
      <c r="D5407">
        <v>22</v>
      </c>
      <c r="E5407" t="s">
        <v>63</v>
      </c>
      <c r="F5407" t="s">
        <v>64</v>
      </c>
      <c r="G5407" t="s">
        <v>12</v>
      </c>
      <c r="H5407" s="1">
        <v>45112</v>
      </c>
    </row>
    <row r="5408" spans="1:8">
      <c r="A5408" t="s">
        <v>10794</v>
      </c>
      <c r="B5408" t="s">
        <v>10795</v>
      </c>
      <c r="C5408" t="s">
        <v>31</v>
      </c>
      <c r="D5408">
        <v>53</v>
      </c>
      <c r="E5408" t="s">
        <v>76</v>
      </c>
      <c r="F5408" t="s">
        <v>77</v>
      </c>
      <c r="G5408" t="s">
        <v>78</v>
      </c>
      <c r="H5408" s="1">
        <v>45458</v>
      </c>
    </row>
    <row r="5409" spans="1:8">
      <c r="A5409" t="s">
        <v>10796</v>
      </c>
      <c r="B5409" t="s">
        <v>10797</v>
      </c>
      <c r="C5409" t="s">
        <v>31</v>
      </c>
      <c r="D5409">
        <v>57</v>
      </c>
      <c r="E5409" t="s">
        <v>41</v>
      </c>
      <c r="F5409" t="s">
        <v>42</v>
      </c>
      <c r="G5409" t="s">
        <v>17</v>
      </c>
      <c r="H5409" s="1">
        <v>45561</v>
      </c>
    </row>
    <row r="5410" spans="1:8">
      <c r="A5410" t="s">
        <v>10798</v>
      </c>
      <c r="B5410" t="s">
        <v>10799</v>
      </c>
      <c r="C5410" t="s">
        <v>31</v>
      </c>
      <c r="D5410">
        <v>57</v>
      </c>
      <c r="E5410" t="s">
        <v>11</v>
      </c>
      <c r="F5410" t="s">
        <v>11</v>
      </c>
      <c r="G5410" t="s">
        <v>12</v>
      </c>
      <c r="H5410" s="1">
        <v>45533</v>
      </c>
    </row>
    <row r="5411" spans="1:8">
      <c r="A5411" t="s">
        <v>10800</v>
      </c>
      <c r="B5411" t="s">
        <v>10801</v>
      </c>
      <c r="C5411" t="s">
        <v>31</v>
      </c>
      <c r="D5411">
        <v>35</v>
      </c>
      <c r="E5411" t="s">
        <v>34</v>
      </c>
      <c r="F5411" t="s">
        <v>16</v>
      </c>
      <c r="G5411" t="s">
        <v>17</v>
      </c>
      <c r="H5411" s="1">
        <v>45863</v>
      </c>
    </row>
    <row r="5412" spans="1:8">
      <c r="A5412" t="s">
        <v>10802</v>
      </c>
      <c r="B5412" t="s">
        <v>10803</v>
      </c>
      <c r="C5412" t="s">
        <v>31</v>
      </c>
      <c r="D5412">
        <v>19</v>
      </c>
      <c r="E5412" t="s">
        <v>11</v>
      </c>
      <c r="F5412" t="s">
        <v>11</v>
      </c>
      <c r="G5412" t="s">
        <v>12</v>
      </c>
      <c r="H5412" s="1">
        <v>45123</v>
      </c>
    </row>
    <row r="5413" spans="1:8">
      <c r="A5413" t="s">
        <v>10804</v>
      </c>
      <c r="B5413" t="s">
        <v>10805</v>
      </c>
      <c r="C5413" t="s">
        <v>31</v>
      </c>
      <c r="D5413">
        <v>22</v>
      </c>
      <c r="E5413" t="s">
        <v>63</v>
      </c>
      <c r="F5413" t="s">
        <v>64</v>
      </c>
      <c r="G5413" t="s">
        <v>12</v>
      </c>
      <c r="H5413" s="1">
        <v>45064</v>
      </c>
    </row>
    <row r="5414" spans="1:8">
      <c r="A5414" t="s">
        <v>10806</v>
      </c>
      <c r="B5414" t="s">
        <v>10807</v>
      </c>
      <c r="C5414" t="s">
        <v>31</v>
      </c>
      <c r="D5414">
        <v>37</v>
      </c>
      <c r="E5414" t="s">
        <v>149</v>
      </c>
      <c r="F5414" t="s">
        <v>38</v>
      </c>
      <c r="G5414" t="s">
        <v>22</v>
      </c>
      <c r="H5414" s="1">
        <v>45300</v>
      </c>
    </row>
    <row r="5415" spans="1:8">
      <c r="A5415" t="s">
        <v>10808</v>
      </c>
      <c r="B5415" t="s">
        <v>10809</v>
      </c>
      <c r="C5415" t="s">
        <v>10</v>
      </c>
      <c r="D5415">
        <v>53</v>
      </c>
      <c r="E5415" t="s">
        <v>41</v>
      </c>
      <c r="F5415" t="s">
        <v>42</v>
      </c>
      <c r="G5415" t="s">
        <v>17</v>
      </c>
      <c r="H5415" s="1">
        <v>44669</v>
      </c>
    </row>
    <row r="5416" spans="1:8">
      <c r="A5416" t="s">
        <v>10810</v>
      </c>
      <c r="B5416" t="s">
        <v>10811</v>
      </c>
      <c r="C5416" t="s">
        <v>31</v>
      </c>
      <c r="D5416">
        <v>31</v>
      </c>
      <c r="E5416" t="s">
        <v>149</v>
      </c>
      <c r="F5416" t="s">
        <v>38</v>
      </c>
      <c r="G5416" t="s">
        <v>22</v>
      </c>
      <c r="H5416" s="1">
        <v>44824</v>
      </c>
    </row>
    <row r="5417" spans="1:8">
      <c r="A5417" t="s">
        <v>10812</v>
      </c>
      <c r="B5417" t="s">
        <v>10813</v>
      </c>
      <c r="C5417" t="s">
        <v>31</v>
      </c>
      <c r="D5417">
        <v>57</v>
      </c>
      <c r="E5417" t="s">
        <v>218</v>
      </c>
      <c r="F5417" t="s">
        <v>219</v>
      </c>
      <c r="G5417" t="s">
        <v>17</v>
      </c>
      <c r="H5417" s="1">
        <v>45292</v>
      </c>
    </row>
    <row r="5418" spans="1:8">
      <c r="A5418" t="s">
        <v>10814</v>
      </c>
      <c r="B5418" t="s">
        <v>10815</v>
      </c>
      <c r="C5418" t="s">
        <v>10</v>
      </c>
      <c r="D5418">
        <v>58</v>
      </c>
      <c r="E5418" t="s">
        <v>134</v>
      </c>
      <c r="F5418" t="s">
        <v>28</v>
      </c>
      <c r="G5418" t="s">
        <v>12</v>
      </c>
      <c r="H5418" s="1">
        <v>45755</v>
      </c>
    </row>
    <row r="5419" spans="1:8">
      <c r="A5419" t="s">
        <v>10816</v>
      </c>
      <c r="B5419" t="s">
        <v>10817</v>
      </c>
      <c r="C5419" t="s">
        <v>31</v>
      </c>
      <c r="D5419">
        <v>69</v>
      </c>
      <c r="E5419" t="s">
        <v>41</v>
      </c>
      <c r="F5419" t="s">
        <v>42</v>
      </c>
      <c r="G5419" t="s">
        <v>17</v>
      </c>
      <c r="H5419" s="1">
        <v>45331</v>
      </c>
    </row>
    <row r="5420" spans="1:8">
      <c r="A5420" t="s">
        <v>10818</v>
      </c>
      <c r="B5420" t="s">
        <v>10819</v>
      </c>
      <c r="C5420" t="s">
        <v>10</v>
      </c>
      <c r="D5420">
        <v>31</v>
      </c>
      <c r="E5420" t="s">
        <v>218</v>
      </c>
      <c r="F5420" t="s">
        <v>219</v>
      </c>
      <c r="G5420" t="s">
        <v>17</v>
      </c>
      <c r="H5420" s="1">
        <v>44654</v>
      </c>
    </row>
    <row r="5421" spans="1:8">
      <c r="A5421" t="s">
        <v>10820</v>
      </c>
      <c r="B5421" t="s">
        <v>10821</v>
      </c>
      <c r="C5421" t="s">
        <v>10</v>
      </c>
      <c r="D5421">
        <v>29</v>
      </c>
      <c r="E5421" t="s">
        <v>128</v>
      </c>
      <c r="F5421" t="s">
        <v>129</v>
      </c>
      <c r="G5421" t="s">
        <v>78</v>
      </c>
      <c r="H5421" s="1">
        <v>45224</v>
      </c>
    </row>
    <row r="5422" spans="1:8">
      <c r="A5422" t="s">
        <v>10822</v>
      </c>
      <c r="B5422" t="s">
        <v>10823</v>
      </c>
      <c r="C5422" t="s">
        <v>10</v>
      </c>
      <c r="D5422">
        <v>64</v>
      </c>
      <c r="E5422" t="s">
        <v>134</v>
      </c>
      <c r="F5422" t="s">
        <v>28</v>
      </c>
      <c r="G5422" t="s">
        <v>12</v>
      </c>
      <c r="H5422" s="1">
        <v>45265</v>
      </c>
    </row>
    <row r="5423" spans="1:8">
      <c r="A5423" t="s">
        <v>10824</v>
      </c>
      <c r="B5423" t="s">
        <v>10825</v>
      </c>
      <c r="C5423" t="s">
        <v>31</v>
      </c>
      <c r="D5423">
        <v>61</v>
      </c>
      <c r="E5423" t="s">
        <v>63</v>
      </c>
      <c r="F5423" t="s">
        <v>64</v>
      </c>
      <c r="G5423" t="s">
        <v>12</v>
      </c>
      <c r="H5423" s="1">
        <v>45117</v>
      </c>
    </row>
    <row r="5424" spans="1:8">
      <c r="A5424" t="s">
        <v>10826</v>
      </c>
      <c r="B5424" t="s">
        <v>10827</v>
      </c>
      <c r="C5424" t="s">
        <v>31</v>
      </c>
      <c r="D5424">
        <v>27</v>
      </c>
      <c r="E5424" t="s">
        <v>218</v>
      </c>
      <c r="F5424" t="s">
        <v>219</v>
      </c>
      <c r="G5424" t="s">
        <v>17</v>
      </c>
      <c r="H5424" s="1">
        <v>45379</v>
      </c>
    </row>
    <row r="5425" spans="1:8">
      <c r="A5425" t="s">
        <v>10828</v>
      </c>
      <c r="B5425" t="s">
        <v>10829</v>
      </c>
      <c r="C5425" t="s">
        <v>10</v>
      </c>
      <c r="D5425">
        <v>37</v>
      </c>
      <c r="E5425" t="s">
        <v>218</v>
      </c>
      <c r="F5425" t="s">
        <v>219</v>
      </c>
      <c r="G5425" t="s">
        <v>17</v>
      </c>
      <c r="H5425" s="1">
        <v>45030</v>
      </c>
    </row>
    <row r="5426" spans="1:8">
      <c r="A5426" t="s">
        <v>10830</v>
      </c>
      <c r="B5426" t="s">
        <v>10831</v>
      </c>
      <c r="C5426" t="s">
        <v>10</v>
      </c>
      <c r="D5426">
        <v>34</v>
      </c>
      <c r="E5426" t="s">
        <v>101</v>
      </c>
      <c r="F5426" t="s">
        <v>21</v>
      </c>
      <c r="G5426" t="s">
        <v>22</v>
      </c>
      <c r="H5426" s="1">
        <v>45040</v>
      </c>
    </row>
    <row r="5427" spans="1:8">
      <c r="A5427" t="s">
        <v>10832</v>
      </c>
      <c r="B5427" t="s">
        <v>10833</v>
      </c>
      <c r="C5427" t="s">
        <v>10</v>
      </c>
      <c r="D5427">
        <v>41</v>
      </c>
      <c r="E5427" t="s">
        <v>91</v>
      </c>
      <c r="F5427" t="s">
        <v>92</v>
      </c>
      <c r="G5427" t="s">
        <v>78</v>
      </c>
      <c r="H5427" s="1">
        <v>45336</v>
      </c>
    </row>
    <row r="5428" spans="1:8">
      <c r="A5428" t="s">
        <v>10834</v>
      </c>
      <c r="B5428" t="s">
        <v>10835</v>
      </c>
      <c r="C5428" t="s">
        <v>10</v>
      </c>
      <c r="D5428">
        <v>27</v>
      </c>
      <c r="E5428" t="s">
        <v>134</v>
      </c>
      <c r="F5428" t="s">
        <v>28</v>
      </c>
      <c r="G5428" t="s">
        <v>12</v>
      </c>
      <c r="H5428" s="1">
        <v>45750</v>
      </c>
    </row>
    <row r="5429" spans="1:8">
      <c r="A5429" t="s">
        <v>10836</v>
      </c>
      <c r="B5429" t="s">
        <v>10837</v>
      </c>
      <c r="C5429" t="s">
        <v>31</v>
      </c>
      <c r="D5429">
        <v>51</v>
      </c>
      <c r="E5429" t="s">
        <v>20</v>
      </c>
      <c r="F5429" t="s">
        <v>21</v>
      </c>
      <c r="G5429" t="s">
        <v>22</v>
      </c>
      <c r="H5429" s="1">
        <v>45095</v>
      </c>
    </row>
    <row r="5430" spans="1:8">
      <c r="A5430" t="s">
        <v>10838</v>
      </c>
      <c r="B5430" t="s">
        <v>10839</v>
      </c>
      <c r="C5430" t="s">
        <v>10</v>
      </c>
      <c r="D5430">
        <v>22</v>
      </c>
      <c r="E5430" t="s">
        <v>60</v>
      </c>
      <c r="F5430" t="s">
        <v>21</v>
      </c>
      <c r="G5430" t="s">
        <v>22</v>
      </c>
      <c r="H5430" s="1">
        <v>45210</v>
      </c>
    </row>
    <row r="5431" spans="1:8">
      <c r="A5431" t="s">
        <v>10840</v>
      </c>
      <c r="B5431" t="s">
        <v>10841</v>
      </c>
      <c r="C5431" t="s">
        <v>10</v>
      </c>
      <c r="D5431">
        <v>55</v>
      </c>
      <c r="E5431" t="s">
        <v>15</v>
      </c>
      <c r="F5431" t="s">
        <v>16</v>
      </c>
      <c r="G5431" t="s">
        <v>17</v>
      </c>
      <c r="H5431" s="1">
        <v>45154</v>
      </c>
    </row>
    <row r="5432" spans="1:8">
      <c r="A5432" t="s">
        <v>10842</v>
      </c>
      <c r="B5432" t="s">
        <v>10843</v>
      </c>
      <c r="C5432" t="s">
        <v>31</v>
      </c>
      <c r="D5432">
        <v>59</v>
      </c>
      <c r="E5432" t="s">
        <v>101</v>
      </c>
      <c r="F5432" t="s">
        <v>21</v>
      </c>
      <c r="G5432" t="s">
        <v>22</v>
      </c>
      <c r="H5432" s="1">
        <v>45464</v>
      </c>
    </row>
    <row r="5433" spans="1:8">
      <c r="A5433" t="s">
        <v>10844</v>
      </c>
      <c r="B5433" t="s">
        <v>10845</v>
      </c>
      <c r="C5433" t="s">
        <v>10</v>
      </c>
      <c r="D5433">
        <v>21</v>
      </c>
      <c r="E5433" t="s">
        <v>20</v>
      </c>
      <c r="F5433" t="s">
        <v>21</v>
      </c>
      <c r="G5433" t="s">
        <v>22</v>
      </c>
      <c r="H5433" s="1">
        <v>45614</v>
      </c>
    </row>
    <row r="5434" spans="1:8">
      <c r="A5434" t="s">
        <v>10846</v>
      </c>
      <c r="B5434" t="s">
        <v>10847</v>
      </c>
      <c r="C5434" t="s">
        <v>10</v>
      </c>
      <c r="D5434">
        <v>21</v>
      </c>
      <c r="E5434" t="s">
        <v>134</v>
      </c>
      <c r="F5434" t="s">
        <v>28</v>
      </c>
      <c r="G5434" t="s">
        <v>12</v>
      </c>
      <c r="H5434" s="1">
        <v>45590</v>
      </c>
    </row>
    <row r="5435" spans="1:8">
      <c r="A5435" t="s">
        <v>10848</v>
      </c>
      <c r="B5435" t="s">
        <v>10849</v>
      </c>
      <c r="C5435" t="s">
        <v>10</v>
      </c>
      <c r="D5435">
        <v>23</v>
      </c>
      <c r="E5435" t="s">
        <v>218</v>
      </c>
      <c r="F5435" t="s">
        <v>219</v>
      </c>
      <c r="G5435" t="s">
        <v>17</v>
      </c>
      <c r="H5435" s="1">
        <v>45545</v>
      </c>
    </row>
    <row r="5436" spans="1:8">
      <c r="A5436" t="s">
        <v>10850</v>
      </c>
      <c r="B5436" t="s">
        <v>10851</v>
      </c>
      <c r="C5436" t="s">
        <v>31</v>
      </c>
      <c r="D5436">
        <v>23</v>
      </c>
      <c r="E5436" t="s">
        <v>60</v>
      </c>
      <c r="F5436" t="s">
        <v>21</v>
      </c>
      <c r="G5436" t="s">
        <v>22</v>
      </c>
      <c r="H5436" s="1">
        <v>44734</v>
      </c>
    </row>
    <row r="5437" spans="1:8">
      <c r="A5437" t="s">
        <v>10852</v>
      </c>
      <c r="B5437" t="s">
        <v>10853</v>
      </c>
      <c r="C5437" t="s">
        <v>31</v>
      </c>
      <c r="D5437">
        <v>48</v>
      </c>
      <c r="E5437" t="s">
        <v>91</v>
      </c>
      <c r="F5437" t="s">
        <v>92</v>
      </c>
      <c r="G5437" t="s">
        <v>78</v>
      </c>
      <c r="H5437" s="1">
        <v>45030</v>
      </c>
    </row>
    <row r="5438" spans="1:8">
      <c r="A5438" t="s">
        <v>10854</v>
      </c>
      <c r="B5438" t="s">
        <v>10855</v>
      </c>
      <c r="C5438" t="s">
        <v>10</v>
      </c>
      <c r="D5438">
        <v>69</v>
      </c>
      <c r="E5438" t="s">
        <v>101</v>
      </c>
      <c r="F5438" t="s">
        <v>21</v>
      </c>
      <c r="G5438" t="s">
        <v>22</v>
      </c>
      <c r="H5438" s="1">
        <v>45854</v>
      </c>
    </row>
    <row r="5439" spans="1:8">
      <c r="A5439" t="s">
        <v>10856</v>
      </c>
      <c r="B5439" t="s">
        <v>10857</v>
      </c>
      <c r="C5439" t="s">
        <v>31</v>
      </c>
      <c r="D5439">
        <v>24</v>
      </c>
      <c r="E5439" t="s">
        <v>218</v>
      </c>
      <c r="F5439" t="s">
        <v>219</v>
      </c>
      <c r="G5439" t="s">
        <v>17</v>
      </c>
      <c r="H5439" s="1">
        <v>44720</v>
      </c>
    </row>
    <row r="5440" spans="1:8">
      <c r="A5440" t="s">
        <v>10858</v>
      </c>
      <c r="B5440" t="s">
        <v>10859</v>
      </c>
      <c r="C5440" t="s">
        <v>31</v>
      </c>
      <c r="D5440">
        <v>45</v>
      </c>
      <c r="E5440" t="s">
        <v>41</v>
      </c>
      <c r="F5440" t="s">
        <v>42</v>
      </c>
      <c r="G5440" t="s">
        <v>17</v>
      </c>
      <c r="H5440" s="1">
        <v>45854</v>
      </c>
    </row>
    <row r="5441" spans="1:8">
      <c r="A5441" t="s">
        <v>10860</v>
      </c>
      <c r="B5441" t="s">
        <v>10861</v>
      </c>
      <c r="C5441" t="s">
        <v>10</v>
      </c>
      <c r="D5441">
        <v>44</v>
      </c>
      <c r="E5441" t="s">
        <v>37</v>
      </c>
      <c r="F5441" t="s">
        <v>38</v>
      </c>
      <c r="G5441" t="s">
        <v>22</v>
      </c>
      <c r="H5441" s="1">
        <v>45492</v>
      </c>
    </row>
    <row r="5442" spans="1:8">
      <c r="A5442" t="s">
        <v>10862</v>
      </c>
      <c r="B5442" t="s">
        <v>10863</v>
      </c>
      <c r="C5442" t="s">
        <v>31</v>
      </c>
      <c r="D5442">
        <v>70</v>
      </c>
      <c r="E5442" t="s">
        <v>11</v>
      </c>
      <c r="F5442" t="s">
        <v>11</v>
      </c>
      <c r="G5442" t="s">
        <v>12</v>
      </c>
      <c r="H5442" s="1">
        <v>44854</v>
      </c>
    </row>
    <row r="5443" spans="1:8">
      <c r="A5443" t="s">
        <v>10864</v>
      </c>
      <c r="B5443" t="s">
        <v>10865</v>
      </c>
      <c r="C5443" t="s">
        <v>10</v>
      </c>
      <c r="D5443">
        <v>41</v>
      </c>
      <c r="E5443" t="s">
        <v>101</v>
      </c>
      <c r="F5443" t="s">
        <v>21</v>
      </c>
      <c r="G5443" t="s">
        <v>22</v>
      </c>
      <c r="H5443" s="1">
        <v>45062</v>
      </c>
    </row>
    <row r="5444" spans="1:8">
      <c r="A5444" t="s">
        <v>10866</v>
      </c>
      <c r="B5444" t="s">
        <v>10867</v>
      </c>
      <c r="C5444" t="s">
        <v>10</v>
      </c>
      <c r="D5444">
        <v>18</v>
      </c>
      <c r="E5444" t="s">
        <v>76</v>
      </c>
      <c r="F5444" t="s">
        <v>77</v>
      </c>
      <c r="G5444" t="s">
        <v>78</v>
      </c>
      <c r="H5444" s="1">
        <v>46009</v>
      </c>
    </row>
    <row r="5445" spans="1:8">
      <c r="A5445" t="s">
        <v>10868</v>
      </c>
      <c r="B5445" t="s">
        <v>10869</v>
      </c>
      <c r="C5445" t="s">
        <v>10</v>
      </c>
      <c r="D5445">
        <v>21</v>
      </c>
      <c r="E5445" t="s">
        <v>20</v>
      </c>
      <c r="F5445" t="s">
        <v>21</v>
      </c>
      <c r="G5445" t="s">
        <v>22</v>
      </c>
      <c r="H5445" s="1">
        <v>44940</v>
      </c>
    </row>
    <row r="5446" spans="1:8">
      <c r="A5446" t="s">
        <v>10870</v>
      </c>
      <c r="B5446" t="s">
        <v>10871</v>
      </c>
      <c r="C5446" t="s">
        <v>31</v>
      </c>
      <c r="D5446">
        <v>59</v>
      </c>
      <c r="E5446" t="s">
        <v>218</v>
      </c>
      <c r="F5446" t="s">
        <v>219</v>
      </c>
      <c r="G5446" t="s">
        <v>17</v>
      </c>
      <c r="H5446" s="1">
        <v>45446</v>
      </c>
    </row>
    <row r="5447" spans="1:8">
      <c r="A5447" t="s">
        <v>10872</v>
      </c>
      <c r="B5447" t="s">
        <v>10873</v>
      </c>
      <c r="C5447" t="s">
        <v>10</v>
      </c>
      <c r="D5447">
        <v>61</v>
      </c>
      <c r="E5447" t="s">
        <v>134</v>
      </c>
      <c r="F5447" t="s">
        <v>28</v>
      </c>
      <c r="G5447" t="s">
        <v>12</v>
      </c>
      <c r="H5447" s="1">
        <v>45986</v>
      </c>
    </row>
    <row r="5448" spans="1:8">
      <c r="A5448" t="s">
        <v>10874</v>
      </c>
      <c r="B5448" t="s">
        <v>10875</v>
      </c>
      <c r="C5448" t="s">
        <v>31</v>
      </c>
      <c r="D5448">
        <v>65</v>
      </c>
      <c r="E5448" t="s">
        <v>101</v>
      </c>
      <c r="F5448" t="s">
        <v>21</v>
      </c>
      <c r="G5448" t="s">
        <v>22</v>
      </c>
      <c r="H5448" s="1">
        <v>44906</v>
      </c>
    </row>
    <row r="5449" spans="1:8">
      <c r="A5449" t="s">
        <v>10876</v>
      </c>
      <c r="B5449" t="s">
        <v>10877</v>
      </c>
      <c r="C5449" t="s">
        <v>10</v>
      </c>
      <c r="D5449">
        <v>43</v>
      </c>
      <c r="E5449" t="s">
        <v>45</v>
      </c>
      <c r="F5449" t="s">
        <v>46</v>
      </c>
      <c r="G5449" t="s">
        <v>17</v>
      </c>
      <c r="H5449" s="1">
        <v>44876</v>
      </c>
    </row>
    <row r="5450" spans="1:8">
      <c r="A5450" t="s">
        <v>10878</v>
      </c>
      <c r="B5450" t="s">
        <v>10879</v>
      </c>
      <c r="C5450" t="s">
        <v>31</v>
      </c>
      <c r="D5450">
        <v>22</v>
      </c>
      <c r="E5450" t="s">
        <v>20</v>
      </c>
      <c r="F5450" t="s">
        <v>21</v>
      </c>
      <c r="G5450" t="s">
        <v>22</v>
      </c>
      <c r="H5450" s="1">
        <v>44773</v>
      </c>
    </row>
    <row r="5451" spans="1:8">
      <c r="A5451" t="s">
        <v>10880</v>
      </c>
      <c r="B5451" t="s">
        <v>10881</v>
      </c>
      <c r="C5451" t="s">
        <v>10</v>
      </c>
      <c r="D5451">
        <v>19</v>
      </c>
      <c r="E5451" t="s">
        <v>218</v>
      </c>
      <c r="F5451" t="s">
        <v>219</v>
      </c>
      <c r="G5451" t="s">
        <v>17</v>
      </c>
      <c r="H5451" s="1">
        <v>45721</v>
      </c>
    </row>
    <row r="5452" spans="1:8">
      <c r="A5452" t="s">
        <v>10882</v>
      </c>
      <c r="B5452" t="s">
        <v>10883</v>
      </c>
      <c r="C5452" t="s">
        <v>10</v>
      </c>
      <c r="D5452">
        <v>31</v>
      </c>
      <c r="E5452" t="s">
        <v>41</v>
      </c>
      <c r="F5452" t="s">
        <v>42</v>
      </c>
      <c r="G5452" t="s">
        <v>17</v>
      </c>
      <c r="H5452" s="1">
        <v>45431</v>
      </c>
    </row>
    <row r="5453" spans="1:8">
      <c r="A5453" t="s">
        <v>10884</v>
      </c>
      <c r="B5453" t="s">
        <v>10885</v>
      </c>
      <c r="C5453" t="s">
        <v>10</v>
      </c>
      <c r="D5453">
        <v>26</v>
      </c>
      <c r="E5453" t="s">
        <v>128</v>
      </c>
      <c r="F5453" t="s">
        <v>129</v>
      </c>
      <c r="G5453" t="s">
        <v>78</v>
      </c>
      <c r="H5453" s="1">
        <v>44850</v>
      </c>
    </row>
    <row r="5454" spans="1:8">
      <c r="A5454" t="s">
        <v>10886</v>
      </c>
      <c r="B5454" t="s">
        <v>10887</v>
      </c>
      <c r="C5454" t="s">
        <v>10</v>
      </c>
      <c r="D5454">
        <v>38</v>
      </c>
      <c r="E5454" t="s">
        <v>91</v>
      </c>
      <c r="F5454" t="s">
        <v>92</v>
      </c>
      <c r="G5454" t="s">
        <v>78</v>
      </c>
      <c r="H5454" s="1">
        <v>44638</v>
      </c>
    </row>
    <row r="5455" spans="1:8">
      <c r="A5455" t="s">
        <v>10888</v>
      </c>
      <c r="B5455" t="s">
        <v>10889</v>
      </c>
      <c r="C5455" t="s">
        <v>10</v>
      </c>
      <c r="D5455">
        <v>60</v>
      </c>
      <c r="E5455" t="s">
        <v>218</v>
      </c>
      <c r="F5455" t="s">
        <v>219</v>
      </c>
      <c r="G5455" t="s">
        <v>17</v>
      </c>
      <c r="H5455" s="1">
        <v>44829</v>
      </c>
    </row>
    <row r="5456" spans="1:8">
      <c r="A5456" t="s">
        <v>10890</v>
      </c>
      <c r="B5456" t="s">
        <v>10891</v>
      </c>
      <c r="C5456" t="s">
        <v>10</v>
      </c>
      <c r="D5456">
        <v>59</v>
      </c>
      <c r="E5456" t="s">
        <v>45</v>
      </c>
      <c r="F5456" t="s">
        <v>46</v>
      </c>
      <c r="G5456" t="s">
        <v>17</v>
      </c>
      <c r="H5456" s="1">
        <v>45335</v>
      </c>
    </row>
    <row r="5457" spans="1:8">
      <c r="A5457" t="s">
        <v>10892</v>
      </c>
      <c r="B5457" t="s">
        <v>10893</v>
      </c>
      <c r="C5457" t="s">
        <v>10</v>
      </c>
      <c r="D5457">
        <v>25</v>
      </c>
      <c r="E5457" t="s">
        <v>218</v>
      </c>
      <c r="F5457" t="s">
        <v>219</v>
      </c>
      <c r="G5457" t="s">
        <v>17</v>
      </c>
      <c r="H5457" s="1">
        <v>44656</v>
      </c>
    </row>
    <row r="5458" spans="1:8">
      <c r="A5458" t="s">
        <v>10894</v>
      </c>
      <c r="B5458" t="s">
        <v>10895</v>
      </c>
      <c r="C5458" t="s">
        <v>31</v>
      </c>
      <c r="D5458">
        <v>31</v>
      </c>
      <c r="E5458" t="s">
        <v>134</v>
      </c>
      <c r="F5458" t="s">
        <v>28</v>
      </c>
      <c r="G5458" t="s">
        <v>12</v>
      </c>
      <c r="H5458" s="1">
        <v>45656</v>
      </c>
    </row>
    <row r="5459" spans="1:8">
      <c r="A5459" t="s">
        <v>10896</v>
      </c>
      <c r="B5459" t="s">
        <v>10897</v>
      </c>
      <c r="C5459" t="s">
        <v>10</v>
      </c>
      <c r="D5459">
        <v>59</v>
      </c>
      <c r="E5459" t="s">
        <v>15</v>
      </c>
      <c r="F5459" t="s">
        <v>16</v>
      </c>
      <c r="G5459" t="s">
        <v>17</v>
      </c>
      <c r="H5459" s="1">
        <v>44956</v>
      </c>
    </row>
    <row r="5460" spans="1:8">
      <c r="A5460" t="s">
        <v>10898</v>
      </c>
      <c r="B5460" t="s">
        <v>10899</v>
      </c>
      <c r="C5460" t="s">
        <v>31</v>
      </c>
      <c r="D5460">
        <v>25</v>
      </c>
      <c r="E5460" t="s">
        <v>34</v>
      </c>
      <c r="F5460" t="s">
        <v>16</v>
      </c>
      <c r="G5460" t="s">
        <v>17</v>
      </c>
      <c r="H5460" s="1">
        <v>45620</v>
      </c>
    </row>
    <row r="5461" spans="1:8">
      <c r="A5461" t="s">
        <v>10900</v>
      </c>
      <c r="B5461" t="s">
        <v>10901</v>
      </c>
      <c r="C5461" t="s">
        <v>31</v>
      </c>
      <c r="D5461">
        <v>39</v>
      </c>
      <c r="E5461" t="s">
        <v>63</v>
      </c>
      <c r="F5461" t="s">
        <v>64</v>
      </c>
      <c r="G5461" t="s">
        <v>12</v>
      </c>
      <c r="H5461" s="1">
        <v>45060</v>
      </c>
    </row>
    <row r="5462" spans="1:8">
      <c r="A5462" t="s">
        <v>10902</v>
      </c>
      <c r="B5462" t="s">
        <v>10903</v>
      </c>
      <c r="C5462" t="s">
        <v>31</v>
      </c>
      <c r="D5462">
        <v>39</v>
      </c>
      <c r="E5462" t="s">
        <v>112</v>
      </c>
      <c r="F5462" t="s">
        <v>113</v>
      </c>
      <c r="G5462" t="s">
        <v>78</v>
      </c>
      <c r="H5462" s="1">
        <v>45953</v>
      </c>
    </row>
    <row r="5463" spans="1:8">
      <c r="A5463" t="s">
        <v>10904</v>
      </c>
      <c r="B5463" t="s">
        <v>10905</v>
      </c>
      <c r="C5463" t="s">
        <v>31</v>
      </c>
      <c r="D5463">
        <v>37</v>
      </c>
      <c r="E5463" t="s">
        <v>45</v>
      </c>
      <c r="F5463" t="s">
        <v>46</v>
      </c>
      <c r="G5463" t="s">
        <v>17</v>
      </c>
      <c r="H5463" s="1">
        <v>44942</v>
      </c>
    </row>
    <row r="5464" spans="1:8">
      <c r="A5464" t="s">
        <v>10906</v>
      </c>
      <c r="B5464" t="s">
        <v>10907</v>
      </c>
      <c r="C5464" t="s">
        <v>31</v>
      </c>
      <c r="D5464">
        <v>45</v>
      </c>
      <c r="E5464" t="s">
        <v>134</v>
      </c>
      <c r="F5464" t="s">
        <v>28</v>
      </c>
      <c r="G5464" t="s">
        <v>12</v>
      </c>
      <c r="H5464" s="1">
        <v>45810</v>
      </c>
    </row>
    <row r="5465" spans="1:8">
      <c r="A5465" t="s">
        <v>10908</v>
      </c>
      <c r="B5465" t="s">
        <v>10909</v>
      </c>
      <c r="C5465" t="s">
        <v>31</v>
      </c>
      <c r="D5465">
        <v>45</v>
      </c>
      <c r="E5465" t="s">
        <v>63</v>
      </c>
      <c r="F5465" t="s">
        <v>64</v>
      </c>
      <c r="G5465" t="s">
        <v>12</v>
      </c>
      <c r="H5465" s="1">
        <v>45102</v>
      </c>
    </row>
    <row r="5466" spans="1:8">
      <c r="A5466" t="s">
        <v>10910</v>
      </c>
      <c r="B5466" t="s">
        <v>10911</v>
      </c>
      <c r="C5466" t="s">
        <v>31</v>
      </c>
      <c r="D5466">
        <v>33</v>
      </c>
      <c r="E5466" t="s">
        <v>34</v>
      </c>
      <c r="F5466" t="s">
        <v>16</v>
      </c>
      <c r="G5466" t="s">
        <v>17</v>
      </c>
      <c r="H5466" s="1">
        <v>44673</v>
      </c>
    </row>
    <row r="5467" spans="1:8">
      <c r="A5467" t="s">
        <v>10912</v>
      </c>
      <c r="B5467" t="s">
        <v>10913</v>
      </c>
      <c r="C5467" t="s">
        <v>31</v>
      </c>
      <c r="D5467">
        <v>58</v>
      </c>
      <c r="E5467" t="s">
        <v>149</v>
      </c>
      <c r="F5467" t="s">
        <v>38</v>
      </c>
      <c r="G5467" t="s">
        <v>22</v>
      </c>
      <c r="H5467" s="1">
        <v>45865</v>
      </c>
    </row>
    <row r="5468" spans="1:8">
      <c r="A5468" t="s">
        <v>10914</v>
      </c>
      <c r="B5468" t="s">
        <v>10915</v>
      </c>
      <c r="C5468" t="s">
        <v>31</v>
      </c>
      <c r="D5468">
        <v>29</v>
      </c>
      <c r="E5468" t="s">
        <v>76</v>
      </c>
      <c r="F5468" t="s">
        <v>77</v>
      </c>
      <c r="G5468" t="s">
        <v>78</v>
      </c>
      <c r="H5468" s="1">
        <v>45128</v>
      </c>
    </row>
    <row r="5469" spans="1:8">
      <c r="A5469" t="s">
        <v>10916</v>
      </c>
      <c r="B5469" t="s">
        <v>10917</v>
      </c>
      <c r="C5469" t="s">
        <v>31</v>
      </c>
      <c r="D5469">
        <v>67</v>
      </c>
      <c r="E5469" t="s">
        <v>63</v>
      </c>
      <c r="F5469" t="s">
        <v>64</v>
      </c>
      <c r="G5469" t="s">
        <v>12</v>
      </c>
      <c r="H5469" s="1">
        <v>45291</v>
      </c>
    </row>
    <row r="5470" spans="1:8">
      <c r="A5470" t="s">
        <v>10918</v>
      </c>
      <c r="B5470" t="s">
        <v>1042</v>
      </c>
      <c r="C5470" t="s">
        <v>31</v>
      </c>
      <c r="D5470">
        <v>41</v>
      </c>
      <c r="E5470" t="s">
        <v>34</v>
      </c>
      <c r="F5470" t="s">
        <v>16</v>
      </c>
      <c r="G5470" t="s">
        <v>17</v>
      </c>
      <c r="H5470" s="1">
        <v>45347</v>
      </c>
    </row>
    <row r="5471" spans="1:8">
      <c r="A5471" t="s">
        <v>10919</v>
      </c>
      <c r="B5471" t="s">
        <v>10920</v>
      </c>
      <c r="C5471" t="s">
        <v>31</v>
      </c>
      <c r="D5471">
        <v>49</v>
      </c>
      <c r="E5471" t="s">
        <v>27</v>
      </c>
      <c r="F5471" t="s">
        <v>28</v>
      </c>
      <c r="G5471" t="s">
        <v>12</v>
      </c>
      <c r="H5471" s="1">
        <v>44697</v>
      </c>
    </row>
    <row r="5472" spans="1:8">
      <c r="A5472" t="s">
        <v>10921</v>
      </c>
      <c r="B5472" t="s">
        <v>10922</v>
      </c>
      <c r="C5472" t="s">
        <v>31</v>
      </c>
      <c r="D5472">
        <v>68</v>
      </c>
      <c r="E5472" t="s">
        <v>69</v>
      </c>
      <c r="F5472" t="s">
        <v>69</v>
      </c>
      <c r="G5472" t="s">
        <v>12</v>
      </c>
      <c r="H5472" s="1">
        <v>44884</v>
      </c>
    </row>
    <row r="5473" spans="1:8">
      <c r="A5473" t="s">
        <v>10923</v>
      </c>
      <c r="B5473" t="s">
        <v>10924</v>
      </c>
      <c r="C5473" t="s">
        <v>31</v>
      </c>
      <c r="D5473">
        <v>44</v>
      </c>
      <c r="E5473" t="s">
        <v>218</v>
      </c>
      <c r="F5473" t="s">
        <v>219</v>
      </c>
      <c r="G5473" t="s">
        <v>17</v>
      </c>
      <c r="H5473" s="1">
        <v>44686</v>
      </c>
    </row>
    <row r="5474" spans="1:8">
      <c r="A5474" t="s">
        <v>10925</v>
      </c>
      <c r="B5474" t="s">
        <v>10926</v>
      </c>
      <c r="C5474" t="s">
        <v>31</v>
      </c>
      <c r="D5474">
        <v>32</v>
      </c>
      <c r="E5474" t="s">
        <v>37</v>
      </c>
      <c r="F5474" t="s">
        <v>38</v>
      </c>
      <c r="G5474" t="s">
        <v>22</v>
      </c>
      <c r="H5474" s="1">
        <v>45530</v>
      </c>
    </row>
    <row r="5475" spans="1:8">
      <c r="A5475" t="s">
        <v>10927</v>
      </c>
      <c r="B5475" t="s">
        <v>10928</v>
      </c>
      <c r="C5475" t="s">
        <v>31</v>
      </c>
      <c r="D5475">
        <v>28</v>
      </c>
      <c r="E5475" t="s">
        <v>218</v>
      </c>
      <c r="F5475" t="s">
        <v>219</v>
      </c>
      <c r="G5475" t="s">
        <v>17</v>
      </c>
      <c r="H5475" s="1">
        <v>45991</v>
      </c>
    </row>
    <row r="5476" spans="1:8">
      <c r="A5476" t="s">
        <v>10929</v>
      </c>
      <c r="B5476" t="s">
        <v>10930</v>
      </c>
      <c r="C5476" t="s">
        <v>31</v>
      </c>
      <c r="D5476">
        <v>45</v>
      </c>
      <c r="E5476" t="s">
        <v>41</v>
      </c>
      <c r="F5476" t="s">
        <v>42</v>
      </c>
      <c r="G5476" t="s">
        <v>17</v>
      </c>
      <c r="H5476" s="1">
        <v>45116</v>
      </c>
    </row>
    <row r="5477" spans="1:8">
      <c r="A5477" t="s">
        <v>10931</v>
      </c>
      <c r="B5477" t="s">
        <v>10932</v>
      </c>
      <c r="C5477" t="s">
        <v>10</v>
      </c>
      <c r="D5477">
        <v>53</v>
      </c>
      <c r="E5477" t="s">
        <v>63</v>
      </c>
      <c r="F5477" t="s">
        <v>64</v>
      </c>
      <c r="G5477" t="s">
        <v>12</v>
      </c>
      <c r="H5477" s="1">
        <v>45254</v>
      </c>
    </row>
    <row r="5478" spans="1:8">
      <c r="A5478" t="s">
        <v>10933</v>
      </c>
      <c r="B5478" t="s">
        <v>10934</v>
      </c>
      <c r="C5478" t="s">
        <v>31</v>
      </c>
      <c r="D5478">
        <v>65</v>
      </c>
      <c r="E5478" t="s">
        <v>69</v>
      </c>
      <c r="F5478" t="s">
        <v>69</v>
      </c>
      <c r="G5478" t="s">
        <v>12</v>
      </c>
      <c r="H5478" s="1">
        <v>44822</v>
      </c>
    </row>
    <row r="5479" spans="1:8">
      <c r="A5479" t="s">
        <v>10935</v>
      </c>
      <c r="B5479" t="s">
        <v>10936</v>
      </c>
      <c r="C5479" t="s">
        <v>31</v>
      </c>
      <c r="D5479">
        <v>49</v>
      </c>
      <c r="E5479" t="s">
        <v>45</v>
      </c>
      <c r="F5479" t="s">
        <v>46</v>
      </c>
      <c r="G5479" t="s">
        <v>17</v>
      </c>
      <c r="H5479" s="1">
        <v>44976</v>
      </c>
    </row>
    <row r="5480" spans="1:8">
      <c r="A5480" t="s">
        <v>10937</v>
      </c>
      <c r="B5480" t="s">
        <v>10938</v>
      </c>
      <c r="C5480" t="s">
        <v>10</v>
      </c>
      <c r="D5480">
        <v>39</v>
      </c>
      <c r="E5480" t="s">
        <v>76</v>
      </c>
      <c r="F5480" t="s">
        <v>77</v>
      </c>
      <c r="G5480" t="s">
        <v>78</v>
      </c>
      <c r="H5480" s="1">
        <v>45171</v>
      </c>
    </row>
    <row r="5481" spans="1:8">
      <c r="A5481" t="s">
        <v>10939</v>
      </c>
      <c r="B5481" t="s">
        <v>10940</v>
      </c>
      <c r="C5481" t="s">
        <v>31</v>
      </c>
      <c r="D5481">
        <v>59</v>
      </c>
      <c r="E5481" t="s">
        <v>101</v>
      </c>
      <c r="F5481" t="s">
        <v>21</v>
      </c>
      <c r="G5481" t="s">
        <v>22</v>
      </c>
      <c r="H5481" s="1">
        <v>45874</v>
      </c>
    </row>
    <row r="5482" spans="1:8">
      <c r="A5482" t="s">
        <v>10941</v>
      </c>
      <c r="B5482" t="s">
        <v>10942</v>
      </c>
      <c r="C5482" t="s">
        <v>10</v>
      </c>
      <c r="D5482">
        <v>38</v>
      </c>
      <c r="E5482" t="s">
        <v>69</v>
      </c>
      <c r="F5482" t="s">
        <v>69</v>
      </c>
      <c r="G5482" t="s">
        <v>12</v>
      </c>
      <c r="H5482" s="1">
        <v>44964</v>
      </c>
    </row>
    <row r="5483" spans="1:8">
      <c r="A5483" t="s">
        <v>10943</v>
      </c>
      <c r="B5483" t="s">
        <v>10944</v>
      </c>
      <c r="C5483" t="s">
        <v>31</v>
      </c>
      <c r="D5483">
        <v>50</v>
      </c>
      <c r="E5483" t="s">
        <v>45</v>
      </c>
      <c r="F5483" t="s">
        <v>46</v>
      </c>
      <c r="G5483" t="s">
        <v>17</v>
      </c>
      <c r="H5483" s="1">
        <v>45403</v>
      </c>
    </row>
    <row r="5484" spans="1:8">
      <c r="A5484" t="s">
        <v>10945</v>
      </c>
      <c r="B5484" t="s">
        <v>10946</v>
      </c>
      <c r="C5484" t="s">
        <v>10</v>
      </c>
      <c r="D5484">
        <v>44</v>
      </c>
      <c r="E5484" t="s">
        <v>63</v>
      </c>
      <c r="F5484" t="s">
        <v>64</v>
      </c>
      <c r="G5484" t="s">
        <v>12</v>
      </c>
      <c r="H5484" s="1">
        <v>45931</v>
      </c>
    </row>
    <row r="5485" spans="1:8">
      <c r="A5485" t="s">
        <v>10947</v>
      </c>
      <c r="B5485" t="s">
        <v>10948</v>
      </c>
      <c r="C5485" t="s">
        <v>10</v>
      </c>
      <c r="D5485">
        <v>36</v>
      </c>
      <c r="E5485" t="s">
        <v>69</v>
      </c>
      <c r="F5485" t="s">
        <v>69</v>
      </c>
      <c r="G5485" t="s">
        <v>12</v>
      </c>
      <c r="H5485" s="1">
        <v>45664</v>
      </c>
    </row>
    <row r="5486" spans="1:8">
      <c r="A5486" t="s">
        <v>10949</v>
      </c>
      <c r="B5486" t="s">
        <v>10950</v>
      </c>
      <c r="C5486" t="s">
        <v>10</v>
      </c>
      <c r="D5486">
        <v>57</v>
      </c>
      <c r="E5486" t="s">
        <v>60</v>
      </c>
      <c r="F5486" t="s">
        <v>21</v>
      </c>
      <c r="G5486" t="s">
        <v>22</v>
      </c>
      <c r="H5486" s="1">
        <v>45870</v>
      </c>
    </row>
    <row r="5487" spans="1:8">
      <c r="A5487" t="s">
        <v>10951</v>
      </c>
      <c r="B5487" t="s">
        <v>10952</v>
      </c>
      <c r="C5487" t="s">
        <v>10</v>
      </c>
      <c r="D5487">
        <v>44</v>
      </c>
      <c r="E5487" t="s">
        <v>27</v>
      </c>
      <c r="F5487" t="s">
        <v>28</v>
      </c>
      <c r="G5487" t="s">
        <v>12</v>
      </c>
      <c r="H5487" s="1">
        <v>45908</v>
      </c>
    </row>
    <row r="5488" spans="1:8">
      <c r="A5488" t="s">
        <v>10953</v>
      </c>
      <c r="B5488" t="s">
        <v>10954</v>
      </c>
      <c r="C5488" t="s">
        <v>10</v>
      </c>
      <c r="D5488">
        <v>24</v>
      </c>
      <c r="E5488" t="s">
        <v>34</v>
      </c>
      <c r="F5488" t="s">
        <v>16</v>
      </c>
      <c r="G5488" t="s">
        <v>17</v>
      </c>
      <c r="H5488" s="1">
        <v>45941</v>
      </c>
    </row>
    <row r="5489" spans="1:8">
      <c r="A5489" t="s">
        <v>10955</v>
      </c>
      <c r="B5489" t="s">
        <v>10956</v>
      </c>
      <c r="C5489" t="s">
        <v>10</v>
      </c>
      <c r="D5489">
        <v>62</v>
      </c>
      <c r="E5489" t="s">
        <v>60</v>
      </c>
      <c r="F5489" t="s">
        <v>21</v>
      </c>
      <c r="G5489" t="s">
        <v>22</v>
      </c>
      <c r="H5489" s="1">
        <v>45905</v>
      </c>
    </row>
    <row r="5490" spans="1:8">
      <c r="A5490" t="s">
        <v>10957</v>
      </c>
      <c r="B5490" t="s">
        <v>10958</v>
      </c>
      <c r="C5490" t="s">
        <v>10</v>
      </c>
      <c r="D5490">
        <v>49</v>
      </c>
      <c r="E5490" t="s">
        <v>20</v>
      </c>
      <c r="F5490" t="s">
        <v>21</v>
      </c>
      <c r="G5490" t="s">
        <v>22</v>
      </c>
      <c r="H5490" s="1">
        <v>45063</v>
      </c>
    </row>
    <row r="5491" spans="1:8">
      <c r="A5491" t="s">
        <v>10959</v>
      </c>
      <c r="B5491" t="s">
        <v>10960</v>
      </c>
      <c r="C5491" t="s">
        <v>31</v>
      </c>
      <c r="D5491">
        <v>21</v>
      </c>
      <c r="E5491" t="s">
        <v>69</v>
      </c>
      <c r="F5491" t="s">
        <v>69</v>
      </c>
      <c r="G5491" t="s">
        <v>12</v>
      </c>
      <c r="H5491" s="1">
        <v>44829</v>
      </c>
    </row>
    <row r="5492" spans="1:8">
      <c r="A5492" t="s">
        <v>10961</v>
      </c>
      <c r="B5492" t="s">
        <v>10962</v>
      </c>
      <c r="C5492" t="s">
        <v>10</v>
      </c>
      <c r="D5492">
        <v>35</v>
      </c>
      <c r="E5492" t="s">
        <v>101</v>
      </c>
      <c r="F5492" t="s">
        <v>21</v>
      </c>
      <c r="G5492" t="s">
        <v>22</v>
      </c>
      <c r="H5492" s="1">
        <v>44570</v>
      </c>
    </row>
    <row r="5493" spans="1:8">
      <c r="A5493" t="s">
        <v>10963</v>
      </c>
      <c r="B5493" t="s">
        <v>10964</v>
      </c>
      <c r="C5493" t="s">
        <v>10</v>
      </c>
      <c r="D5493">
        <v>53</v>
      </c>
      <c r="E5493" t="s">
        <v>149</v>
      </c>
      <c r="F5493" t="s">
        <v>38</v>
      </c>
      <c r="G5493" t="s">
        <v>22</v>
      </c>
      <c r="H5493" s="1">
        <v>45549</v>
      </c>
    </row>
    <row r="5494" spans="1:8">
      <c r="A5494" t="s">
        <v>10965</v>
      </c>
      <c r="B5494" t="s">
        <v>10966</v>
      </c>
      <c r="C5494" t="s">
        <v>10</v>
      </c>
      <c r="D5494">
        <v>25</v>
      </c>
      <c r="E5494" t="s">
        <v>112</v>
      </c>
      <c r="F5494" t="s">
        <v>113</v>
      </c>
      <c r="G5494" t="s">
        <v>78</v>
      </c>
      <c r="H5494" s="1">
        <v>45125</v>
      </c>
    </row>
    <row r="5495" spans="1:8">
      <c r="A5495" t="s">
        <v>10967</v>
      </c>
      <c r="B5495" t="s">
        <v>10968</v>
      </c>
      <c r="C5495" t="s">
        <v>31</v>
      </c>
      <c r="D5495">
        <v>68</v>
      </c>
      <c r="E5495" t="s">
        <v>15</v>
      </c>
      <c r="F5495" t="s">
        <v>16</v>
      </c>
      <c r="G5495" t="s">
        <v>17</v>
      </c>
      <c r="H5495" s="1">
        <v>45146</v>
      </c>
    </row>
    <row r="5496" spans="1:8">
      <c r="A5496" t="s">
        <v>10969</v>
      </c>
      <c r="B5496" t="s">
        <v>10970</v>
      </c>
      <c r="C5496" t="s">
        <v>31</v>
      </c>
      <c r="D5496">
        <v>29</v>
      </c>
      <c r="E5496" t="s">
        <v>45</v>
      </c>
      <c r="F5496" t="s">
        <v>46</v>
      </c>
      <c r="G5496" t="s">
        <v>17</v>
      </c>
      <c r="H5496" s="1">
        <v>45467</v>
      </c>
    </row>
    <row r="5497" spans="1:8">
      <c r="A5497" t="s">
        <v>10971</v>
      </c>
      <c r="B5497" t="s">
        <v>10972</v>
      </c>
      <c r="C5497" t="s">
        <v>10</v>
      </c>
      <c r="D5497">
        <v>42</v>
      </c>
      <c r="E5497" t="s">
        <v>37</v>
      </c>
      <c r="F5497" t="s">
        <v>38</v>
      </c>
      <c r="G5497" t="s">
        <v>22</v>
      </c>
      <c r="H5497" s="1">
        <v>44857</v>
      </c>
    </row>
    <row r="5498" spans="1:8">
      <c r="A5498" t="s">
        <v>10973</v>
      </c>
      <c r="B5498" t="s">
        <v>10974</v>
      </c>
      <c r="C5498" t="s">
        <v>31</v>
      </c>
      <c r="D5498">
        <v>31</v>
      </c>
      <c r="E5498" t="s">
        <v>91</v>
      </c>
      <c r="F5498" t="s">
        <v>92</v>
      </c>
      <c r="G5498" t="s">
        <v>78</v>
      </c>
      <c r="H5498" s="1">
        <v>45267</v>
      </c>
    </row>
    <row r="5499" spans="1:8">
      <c r="A5499" t="s">
        <v>10975</v>
      </c>
      <c r="B5499" t="s">
        <v>10976</v>
      </c>
      <c r="C5499" t="s">
        <v>10</v>
      </c>
      <c r="D5499">
        <v>47</v>
      </c>
      <c r="E5499" t="s">
        <v>76</v>
      </c>
      <c r="F5499" t="s">
        <v>77</v>
      </c>
      <c r="G5499" t="s">
        <v>78</v>
      </c>
      <c r="H5499" s="1">
        <v>45786</v>
      </c>
    </row>
    <row r="5500" spans="1:8">
      <c r="A5500" t="s">
        <v>10977</v>
      </c>
      <c r="B5500" t="s">
        <v>10978</v>
      </c>
      <c r="C5500" t="s">
        <v>31</v>
      </c>
      <c r="D5500">
        <v>18</v>
      </c>
      <c r="E5500" t="s">
        <v>218</v>
      </c>
      <c r="F5500" t="s">
        <v>219</v>
      </c>
      <c r="G5500" t="s">
        <v>17</v>
      </c>
      <c r="H5500" s="1">
        <v>45767</v>
      </c>
    </row>
    <row r="5501" spans="1:8">
      <c r="A5501" t="s">
        <v>10979</v>
      </c>
      <c r="B5501" t="s">
        <v>10980</v>
      </c>
      <c r="C5501" t="s">
        <v>10</v>
      </c>
      <c r="D5501">
        <v>60</v>
      </c>
      <c r="E5501" t="s">
        <v>218</v>
      </c>
      <c r="F5501" t="s">
        <v>219</v>
      </c>
      <c r="G5501" t="s">
        <v>17</v>
      </c>
      <c r="H5501" s="1">
        <v>45099</v>
      </c>
    </row>
    <row r="5502" spans="1:8">
      <c r="A5502" t="s">
        <v>10981</v>
      </c>
      <c r="B5502" t="s">
        <v>10982</v>
      </c>
      <c r="C5502" t="s">
        <v>31</v>
      </c>
      <c r="D5502">
        <v>63</v>
      </c>
      <c r="E5502" t="s">
        <v>41</v>
      </c>
      <c r="F5502" t="s">
        <v>42</v>
      </c>
      <c r="G5502" t="s">
        <v>17</v>
      </c>
      <c r="H5502" s="1">
        <v>46000</v>
      </c>
    </row>
    <row r="5503" spans="1:8">
      <c r="A5503" t="s">
        <v>10983</v>
      </c>
      <c r="B5503" t="s">
        <v>6152</v>
      </c>
      <c r="C5503" t="s">
        <v>31</v>
      </c>
      <c r="D5503">
        <v>46</v>
      </c>
      <c r="E5503" t="s">
        <v>41</v>
      </c>
      <c r="F5503" t="s">
        <v>42</v>
      </c>
      <c r="G5503" t="s">
        <v>17</v>
      </c>
      <c r="H5503" s="1">
        <v>44743</v>
      </c>
    </row>
    <row r="5504" spans="1:8">
      <c r="A5504" t="s">
        <v>10984</v>
      </c>
      <c r="B5504" t="s">
        <v>10985</v>
      </c>
      <c r="C5504" t="s">
        <v>10</v>
      </c>
      <c r="D5504">
        <v>31</v>
      </c>
      <c r="E5504" t="s">
        <v>87</v>
      </c>
      <c r="F5504" t="s">
        <v>88</v>
      </c>
      <c r="G5504" t="s">
        <v>78</v>
      </c>
      <c r="H5504" s="1">
        <v>45405</v>
      </c>
    </row>
    <row r="5505" spans="1:8">
      <c r="A5505" t="s">
        <v>10986</v>
      </c>
      <c r="B5505" t="s">
        <v>10987</v>
      </c>
      <c r="C5505" t="s">
        <v>10</v>
      </c>
      <c r="D5505">
        <v>24</v>
      </c>
      <c r="E5505" t="s">
        <v>60</v>
      </c>
      <c r="F5505" t="s">
        <v>21</v>
      </c>
      <c r="G5505" t="s">
        <v>22</v>
      </c>
      <c r="H5505" s="1">
        <v>44789</v>
      </c>
    </row>
    <row r="5506" spans="1:8">
      <c r="A5506" t="s">
        <v>10988</v>
      </c>
      <c r="B5506" t="s">
        <v>10989</v>
      </c>
      <c r="C5506" t="s">
        <v>31</v>
      </c>
      <c r="D5506">
        <v>68</v>
      </c>
      <c r="E5506" t="s">
        <v>87</v>
      </c>
      <c r="F5506" t="s">
        <v>88</v>
      </c>
      <c r="G5506" t="s">
        <v>78</v>
      </c>
      <c r="H5506" s="1">
        <v>44909</v>
      </c>
    </row>
    <row r="5507" spans="1:8">
      <c r="A5507" t="s">
        <v>10990</v>
      </c>
      <c r="B5507" t="s">
        <v>10991</v>
      </c>
      <c r="C5507" t="s">
        <v>31</v>
      </c>
      <c r="D5507">
        <v>67</v>
      </c>
      <c r="E5507" t="s">
        <v>11</v>
      </c>
      <c r="F5507" t="s">
        <v>11</v>
      </c>
      <c r="G5507" t="s">
        <v>12</v>
      </c>
      <c r="H5507" s="1">
        <v>44794</v>
      </c>
    </row>
    <row r="5508" spans="1:8">
      <c r="A5508" t="s">
        <v>10992</v>
      </c>
      <c r="B5508" t="s">
        <v>10993</v>
      </c>
      <c r="C5508" t="s">
        <v>31</v>
      </c>
      <c r="D5508">
        <v>64</v>
      </c>
      <c r="E5508" t="s">
        <v>27</v>
      </c>
      <c r="F5508" t="s">
        <v>28</v>
      </c>
      <c r="G5508" t="s">
        <v>12</v>
      </c>
      <c r="H5508" s="1">
        <v>45794</v>
      </c>
    </row>
    <row r="5509" spans="1:8">
      <c r="A5509" t="s">
        <v>10994</v>
      </c>
      <c r="B5509" t="s">
        <v>10995</v>
      </c>
      <c r="C5509" t="s">
        <v>10</v>
      </c>
      <c r="D5509">
        <v>32</v>
      </c>
      <c r="E5509" t="s">
        <v>11</v>
      </c>
      <c r="F5509" t="s">
        <v>11</v>
      </c>
      <c r="G5509" t="s">
        <v>12</v>
      </c>
      <c r="H5509" s="1">
        <v>44960</v>
      </c>
    </row>
    <row r="5510" spans="1:8">
      <c r="A5510" t="s">
        <v>10996</v>
      </c>
      <c r="B5510" t="s">
        <v>10997</v>
      </c>
      <c r="C5510" t="s">
        <v>31</v>
      </c>
      <c r="D5510">
        <v>60</v>
      </c>
      <c r="E5510" t="s">
        <v>45</v>
      </c>
      <c r="F5510" t="s">
        <v>46</v>
      </c>
      <c r="G5510" t="s">
        <v>17</v>
      </c>
      <c r="H5510" s="1">
        <v>45003</v>
      </c>
    </row>
    <row r="5511" spans="1:8">
      <c r="A5511" t="s">
        <v>10998</v>
      </c>
      <c r="B5511" t="s">
        <v>10999</v>
      </c>
      <c r="C5511" t="s">
        <v>10</v>
      </c>
      <c r="D5511">
        <v>61</v>
      </c>
      <c r="E5511" t="s">
        <v>149</v>
      </c>
      <c r="F5511" t="s">
        <v>38</v>
      </c>
      <c r="G5511" t="s">
        <v>22</v>
      </c>
      <c r="H5511" s="1">
        <v>45907</v>
      </c>
    </row>
    <row r="5512" spans="1:8">
      <c r="A5512" t="s">
        <v>11000</v>
      </c>
      <c r="B5512" t="s">
        <v>11001</v>
      </c>
      <c r="C5512" t="s">
        <v>10</v>
      </c>
      <c r="D5512">
        <v>70</v>
      </c>
      <c r="E5512" t="s">
        <v>15</v>
      </c>
      <c r="F5512" t="s">
        <v>16</v>
      </c>
      <c r="G5512" t="s">
        <v>17</v>
      </c>
      <c r="H5512" s="1">
        <v>45138</v>
      </c>
    </row>
    <row r="5513" spans="1:8">
      <c r="A5513" t="s">
        <v>11002</v>
      </c>
      <c r="B5513" t="s">
        <v>11003</v>
      </c>
      <c r="C5513" t="s">
        <v>10</v>
      </c>
      <c r="D5513">
        <v>22</v>
      </c>
      <c r="E5513" t="s">
        <v>37</v>
      </c>
      <c r="F5513" t="s">
        <v>38</v>
      </c>
      <c r="G5513" t="s">
        <v>22</v>
      </c>
      <c r="H5513" s="1">
        <v>44743</v>
      </c>
    </row>
    <row r="5514" spans="1:8">
      <c r="A5514" t="s">
        <v>11004</v>
      </c>
      <c r="B5514" t="s">
        <v>11005</v>
      </c>
      <c r="C5514" t="s">
        <v>10</v>
      </c>
      <c r="D5514">
        <v>20</v>
      </c>
      <c r="E5514" t="s">
        <v>112</v>
      </c>
      <c r="F5514" t="s">
        <v>113</v>
      </c>
      <c r="G5514" t="s">
        <v>78</v>
      </c>
      <c r="H5514" s="1">
        <v>45791</v>
      </c>
    </row>
    <row r="5515" spans="1:8">
      <c r="A5515" t="s">
        <v>11006</v>
      </c>
      <c r="B5515" t="s">
        <v>11007</v>
      </c>
      <c r="C5515" t="s">
        <v>10</v>
      </c>
      <c r="D5515">
        <v>24</v>
      </c>
      <c r="E5515" t="s">
        <v>45</v>
      </c>
      <c r="F5515" t="s">
        <v>46</v>
      </c>
      <c r="G5515" t="s">
        <v>17</v>
      </c>
      <c r="H5515" s="1">
        <v>45676</v>
      </c>
    </row>
    <row r="5516" spans="1:8">
      <c r="A5516" t="s">
        <v>11008</v>
      </c>
      <c r="B5516" t="s">
        <v>11009</v>
      </c>
      <c r="C5516" t="s">
        <v>10</v>
      </c>
      <c r="D5516">
        <v>67</v>
      </c>
      <c r="E5516" t="s">
        <v>37</v>
      </c>
      <c r="F5516" t="s">
        <v>38</v>
      </c>
      <c r="G5516" t="s">
        <v>22</v>
      </c>
      <c r="H5516" s="1">
        <v>45746</v>
      </c>
    </row>
    <row r="5517" spans="1:8">
      <c r="A5517" t="s">
        <v>11010</v>
      </c>
      <c r="B5517" t="s">
        <v>11011</v>
      </c>
      <c r="C5517" t="s">
        <v>10</v>
      </c>
      <c r="D5517">
        <v>20</v>
      </c>
      <c r="E5517" t="s">
        <v>45</v>
      </c>
      <c r="F5517" t="s">
        <v>46</v>
      </c>
      <c r="G5517" t="s">
        <v>17</v>
      </c>
      <c r="H5517" s="1">
        <v>45905</v>
      </c>
    </row>
    <row r="5518" spans="1:8">
      <c r="A5518" t="s">
        <v>11012</v>
      </c>
      <c r="B5518" t="s">
        <v>11013</v>
      </c>
      <c r="C5518" t="s">
        <v>31</v>
      </c>
      <c r="D5518">
        <v>25</v>
      </c>
      <c r="E5518" t="s">
        <v>218</v>
      </c>
      <c r="F5518" t="s">
        <v>219</v>
      </c>
      <c r="G5518" t="s">
        <v>17</v>
      </c>
      <c r="H5518" s="1">
        <v>45416</v>
      </c>
    </row>
    <row r="5519" spans="1:8">
      <c r="A5519" t="s">
        <v>11014</v>
      </c>
      <c r="B5519" t="s">
        <v>11015</v>
      </c>
      <c r="C5519" t="s">
        <v>10</v>
      </c>
      <c r="D5519">
        <v>57</v>
      </c>
      <c r="E5519" t="s">
        <v>60</v>
      </c>
      <c r="F5519" t="s">
        <v>21</v>
      </c>
      <c r="G5519" t="s">
        <v>22</v>
      </c>
      <c r="H5519" s="1">
        <v>44629</v>
      </c>
    </row>
    <row r="5520" spans="1:8">
      <c r="A5520" t="s">
        <v>11016</v>
      </c>
      <c r="B5520" t="s">
        <v>11017</v>
      </c>
      <c r="C5520" t="s">
        <v>10</v>
      </c>
      <c r="D5520">
        <v>25</v>
      </c>
      <c r="E5520" t="s">
        <v>63</v>
      </c>
      <c r="F5520" t="s">
        <v>64</v>
      </c>
      <c r="G5520" t="s">
        <v>12</v>
      </c>
      <c r="H5520" s="1">
        <v>45159</v>
      </c>
    </row>
    <row r="5521" spans="1:8">
      <c r="A5521" t="s">
        <v>11018</v>
      </c>
      <c r="B5521" t="s">
        <v>11019</v>
      </c>
      <c r="C5521" t="s">
        <v>31</v>
      </c>
      <c r="D5521">
        <v>37</v>
      </c>
      <c r="E5521" t="s">
        <v>76</v>
      </c>
      <c r="F5521" t="s">
        <v>77</v>
      </c>
      <c r="G5521" t="s">
        <v>78</v>
      </c>
      <c r="H5521" s="1">
        <v>45090</v>
      </c>
    </row>
    <row r="5522" spans="1:8">
      <c r="A5522" t="s">
        <v>11020</v>
      </c>
      <c r="B5522" t="s">
        <v>11021</v>
      </c>
      <c r="C5522" t="s">
        <v>10</v>
      </c>
      <c r="D5522">
        <v>38</v>
      </c>
      <c r="E5522" t="s">
        <v>101</v>
      </c>
      <c r="F5522" t="s">
        <v>21</v>
      </c>
      <c r="G5522" t="s">
        <v>22</v>
      </c>
      <c r="H5522" s="1">
        <v>44684</v>
      </c>
    </row>
    <row r="5523" spans="1:8">
      <c r="A5523" t="s">
        <v>11022</v>
      </c>
      <c r="B5523" t="s">
        <v>11023</v>
      </c>
      <c r="C5523" t="s">
        <v>31</v>
      </c>
      <c r="D5523">
        <v>54</v>
      </c>
      <c r="E5523" t="s">
        <v>41</v>
      </c>
      <c r="F5523" t="s">
        <v>42</v>
      </c>
      <c r="G5523" t="s">
        <v>17</v>
      </c>
      <c r="H5523" s="1">
        <v>44687</v>
      </c>
    </row>
    <row r="5524" spans="1:8">
      <c r="A5524" t="s">
        <v>11024</v>
      </c>
      <c r="B5524" t="s">
        <v>11025</v>
      </c>
      <c r="C5524" t="s">
        <v>10</v>
      </c>
      <c r="D5524">
        <v>31</v>
      </c>
      <c r="E5524" t="s">
        <v>87</v>
      </c>
      <c r="F5524" t="s">
        <v>88</v>
      </c>
      <c r="G5524" t="s">
        <v>78</v>
      </c>
      <c r="H5524" s="1">
        <v>45556</v>
      </c>
    </row>
    <row r="5525" spans="1:8">
      <c r="A5525" t="s">
        <v>11026</v>
      </c>
      <c r="B5525" t="s">
        <v>11027</v>
      </c>
      <c r="C5525" t="s">
        <v>10</v>
      </c>
      <c r="D5525">
        <v>38</v>
      </c>
      <c r="E5525" t="s">
        <v>112</v>
      </c>
      <c r="F5525" t="s">
        <v>113</v>
      </c>
      <c r="G5525" t="s">
        <v>78</v>
      </c>
      <c r="H5525" s="1">
        <v>44682</v>
      </c>
    </row>
    <row r="5526" spans="1:8">
      <c r="A5526" t="s">
        <v>11028</v>
      </c>
      <c r="B5526" t="s">
        <v>11029</v>
      </c>
      <c r="C5526" t="s">
        <v>10</v>
      </c>
      <c r="D5526">
        <v>68</v>
      </c>
      <c r="E5526" t="s">
        <v>11</v>
      </c>
      <c r="F5526" t="s">
        <v>11</v>
      </c>
      <c r="G5526" t="s">
        <v>12</v>
      </c>
      <c r="H5526" s="1">
        <v>45999</v>
      </c>
    </row>
    <row r="5527" spans="1:8">
      <c r="A5527" t="s">
        <v>11030</v>
      </c>
      <c r="B5527" t="s">
        <v>11031</v>
      </c>
      <c r="C5527" t="s">
        <v>10</v>
      </c>
      <c r="D5527">
        <v>55</v>
      </c>
      <c r="E5527" t="s">
        <v>101</v>
      </c>
      <c r="F5527" t="s">
        <v>21</v>
      </c>
      <c r="G5527" t="s">
        <v>22</v>
      </c>
      <c r="H5527" s="1">
        <v>44838</v>
      </c>
    </row>
    <row r="5528" spans="1:8">
      <c r="A5528" t="s">
        <v>11032</v>
      </c>
      <c r="B5528" t="s">
        <v>11033</v>
      </c>
      <c r="C5528" t="s">
        <v>31</v>
      </c>
      <c r="D5528">
        <v>47</v>
      </c>
      <c r="E5528" t="s">
        <v>11</v>
      </c>
      <c r="F5528" t="s">
        <v>11</v>
      </c>
      <c r="G5528" t="s">
        <v>12</v>
      </c>
      <c r="H5528" s="1">
        <v>44839</v>
      </c>
    </row>
    <row r="5529" spans="1:8">
      <c r="A5529" t="s">
        <v>11034</v>
      </c>
      <c r="B5529" t="s">
        <v>11035</v>
      </c>
      <c r="C5529" t="s">
        <v>10</v>
      </c>
      <c r="D5529">
        <v>36</v>
      </c>
      <c r="E5529" t="s">
        <v>11</v>
      </c>
      <c r="F5529" t="s">
        <v>11</v>
      </c>
      <c r="G5529" t="s">
        <v>12</v>
      </c>
      <c r="H5529" s="1">
        <v>44892</v>
      </c>
    </row>
    <row r="5530" spans="1:8">
      <c r="A5530" t="s">
        <v>11036</v>
      </c>
      <c r="B5530" t="s">
        <v>11037</v>
      </c>
      <c r="C5530" t="s">
        <v>31</v>
      </c>
      <c r="D5530">
        <v>58</v>
      </c>
      <c r="E5530" t="s">
        <v>34</v>
      </c>
      <c r="F5530" t="s">
        <v>16</v>
      </c>
      <c r="G5530" t="s">
        <v>17</v>
      </c>
      <c r="H5530" s="1">
        <v>45654</v>
      </c>
    </row>
    <row r="5531" spans="1:8">
      <c r="A5531" t="s">
        <v>11038</v>
      </c>
      <c r="B5531" t="s">
        <v>11039</v>
      </c>
      <c r="C5531" t="s">
        <v>10</v>
      </c>
      <c r="D5531">
        <v>67</v>
      </c>
      <c r="E5531" t="s">
        <v>34</v>
      </c>
      <c r="F5531" t="s">
        <v>16</v>
      </c>
      <c r="G5531" t="s">
        <v>17</v>
      </c>
      <c r="H5531" s="1">
        <v>45554</v>
      </c>
    </row>
    <row r="5532" spans="1:8">
      <c r="A5532" t="s">
        <v>11040</v>
      </c>
      <c r="B5532" t="s">
        <v>11041</v>
      </c>
      <c r="C5532" t="s">
        <v>31</v>
      </c>
      <c r="D5532">
        <v>50</v>
      </c>
      <c r="E5532" t="s">
        <v>76</v>
      </c>
      <c r="F5532" t="s">
        <v>77</v>
      </c>
      <c r="G5532" t="s">
        <v>78</v>
      </c>
      <c r="H5532" s="1">
        <v>45455</v>
      </c>
    </row>
    <row r="5533" spans="1:8">
      <c r="A5533" t="s">
        <v>11042</v>
      </c>
      <c r="B5533" t="s">
        <v>11043</v>
      </c>
      <c r="C5533" t="s">
        <v>31</v>
      </c>
      <c r="D5533">
        <v>30</v>
      </c>
      <c r="E5533" t="s">
        <v>149</v>
      </c>
      <c r="F5533" t="s">
        <v>38</v>
      </c>
      <c r="G5533" t="s">
        <v>22</v>
      </c>
      <c r="H5533" s="1">
        <v>45165</v>
      </c>
    </row>
    <row r="5534" spans="1:8">
      <c r="A5534" t="s">
        <v>11044</v>
      </c>
      <c r="B5534" t="s">
        <v>11045</v>
      </c>
      <c r="C5534" t="s">
        <v>10</v>
      </c>
      <c r="D5534">
        <v>20</v>
      </c>
      <c r="E5534" t="s">
        <v>63</v>
      </c>
      <c r="F5534" t="s">
        <v>64</v>
      </c>
      <c r="G5534" t="s">
        <v>12</v>
      </c>
      <c r="H5534" s="1">
        <v>45696</v>
      </c>
    </row>
    <row r="5535" spans="1:8">
      <c r="A5535" t="s">
        <v>11046</v>
      </c>
      <c r="B5535" t="s">
        <v>11047</v>
      </c>
      <c r="C5535" t="s">
        <v>10</v>
      </c>
      <c r="D5535">
        <v>60</v>
      </c>
      <c r="E5535" t="s">
        <v>112</v>
      </c>
      <c r="F5535" t="s">
        <v>113</v>
      </c>
      <c r="G5535" t="s">
        <v>78</v>
      </c>
      <c r="H5535" s="1">
        <v>45179</v>
      </c>
    </row>
    <row r="5536" spans="1:8">
      <c r="A5536" t="s">
        <v>11048</v>
      </c>
      <c r="B5536" t="s">
        <v>11049</v>
      </c>
      <c r="C5536" t="s">
        <v>31</v>
      </c>
      <c r="D5536">
        <v>28</v>
      </c>
      <c r="E5536" t="s">
        <v>87</v>
      </c>
      <c r="F5536" t="s">
        <v>88</v>
      </c>
      <c r="G5536" t="s">
        <v>78</v>
      </c>
      <c r="H5536" s="1">
        <v>45744</v>
      </c>
    </row>
    <row r="5537" spans="1:8">
      <c r="A5537" t="s">
        <v>11050</v>
      </c>
      <c r="B5537" t="s">
        <v>11051</v>
      </c>
      <c r="C5537" t="s">
        <v>31</v>
      </c>
      <c r="D5537">
        <v>36</v>
      </c>
      <c r="E5537" t="s">
        <v>34</v>
      </c>
      <c r="F5537" t="s">
        <v>16</v>
      </c>
      <c r="G5537" t="s">
        <v>17</v>
      </c>
      <c r="H5537" s="1">
        <v>44805</v>
      </c>
    </row>
    <row r="5538" spans="1:8">
      <c r="A5538" t="s">
        <v>11052</v>
      </c>
      <c r="B5538" t="s">
        <v>11053</v>
      </c>
      <c r="C5538" t="s">
        <v>10</v>
      </c>
      <c r="D5538">
        <v>23</v>
      </c>
      <c r="E5538" t="s">
        <v>87</v>
      </c>
      <c r="F5538" t="s">
        <v>88</v>
      </c>
      <c r="G5538" t="s">
        <v>78</v>
      </c>
      <c r="H5538" s="1">
        <v>46016</v>
      </c>
    </row>
    <row r="5539" spans="1:8">
      <c r="A5539" t="s">
        <v>11054</v>
      </c>
      <c r="B5539" t="s">
        <v>11055</v>
      </c>
      <c r="C5539" t="s">
        <v>10</v>
      </c>
      <c r="D5539">
        <v>44</v>
      </c>
      <c r="E5539" t="s">
        <v>76</v>
      </c>
      <c r="F5539" t="s">
        <v>77</v>
      </c>
      <c r="G5539" t="s">
        <v>78</v>
      </c>
      <c r="H5539" s="1">
        <v>45240</v>
      </c>
    </row>
    <row r="5540" spans="1:8">
      <c r="A5540" t="s">
        <v>11056</v>
      </c>
      <c r="B5540" t="s">
        <v>11057</v>
      </c>
      <c r="C5540" t="s">
        <v>10</v>
      </c>
      <c r="D5540">
        <v>42</v>
      </c>
      <c r="E5540" t="s">
        <v>69</v>
      </c>
      <c r="F5540" t="s">
        <v>69</v>
      </c>
      <c r="G5540" t="s">
        <v>12</v>
      </c>
      <c r="H5540" s="1">
        <v>45917</v>
      </c>
    </row>
    <row r="5541" spans="1:8">
      <c r="A5541" t="s">
        <v>11058</v>
      </c>
      <c r="B5541" t="s">
        <v>11059</v>
      </c>
      <c r="C5541" t="s">
        <v>31</v>
      </c>
      <c r="D5541">
        <v>39</v>
      </c>
      <c r="E5541" t="s">
        <v>218</v>
      </c>
      <c r="F5541" t="s">
        <v>219</v>
      </c>
      <c r="G5541" t="s">
        <v>17</v>
      </c>
      <c r="H5541" s="1">
        <v>45080</v>
      </c>
    </row>
    <row r="5542" spans="1:8">
      <c r="A5542" t="s">
        <v>11060</v>
      </c>
      <c r="B5542" t="s">
        <v>11061</v>
      </c>
      <c r="C5542" t="s">
        <v>31</v>
      </c>
      <c r="D5542">
        <v>65</v>
      </c>
      <c r="E5542" t="s">
        <v>45</v>
      </c>
      <c r="F5542" t="s">
        <v>46</v>
      </c>
      <c r="G5542" t="s">
        <v>17</v>
      </c>
      <c r="H5542" s="1">
        <v>44921</v>
      </c>
    </row>
    <row r="5543" spans="1:8">
      <c r="A5543" t="s">
        <v>11062</v>
      </c>
      <c r="B5543" t="s">
        <v>11063</v>
      </c>
      <c r="C5543" t="s">
        <v>10</v>
      </c>
      <c r="D5543">
        <v>58</v>
      </c>
      <c r="E5543" t="s">
        <v>20</v>
      </c>
      <c r="F5543" t="s">
        <v>21</v>
      </c>
      <c r="G5543" t="s">
        <v>22</v>
      </c>
      <c r="H5543" s="1">
        <v>44566</v>
      </c>
    </row>
    <row r="5544" spans="1:8">
      <c r="A5544" t="s">
        <v>11064</v>
      </c>
      <c r="B5544" t="s">
        <v>11065</v>
      </c>
      <c r="C5544" t="s">
        <v>31</v>
      </c>
      <c r="D5544">
        <v>55</v>
      </c>
      <c r="E5544" t="s">
        <v>149</v>
      </c>
      <c r="F5544" t="s">
        <v>38</v>
      </c>
      <c r="G5544" t="s">
        <v>22</v>
      </c>
      <c r="H5544" s="1">
        <v>44695</v>
      </c>
    </row>
    <row r="5545" spans="1:8">
      <c r="A5545" t="s">
        <v>11066</v>
      </c>
      <c r="B5545" t="s">
        <v>11067</v>
      </c>
      <c r="C5545" t="s">
        <v>31</v>
      </c>
      <c r="D5545">
        <v>45</v>
      </c>
      <c r="E5545" t="s">
        <v>60</v>
      </c>
      <c r="F5545" t="s">
        <v>21</v>
      </c>
      <c r="G5545" t="s">
        <v>22</v>
      </c>
      <c r="H5545" s="1">
        <v>45127</v>
      </c>
    </row>
    <row r="5546" spans="1:8">
      <c r="A5546" t="s">
        <v>11068</v>
      </c>
      <c r="B5546" t="s">
        <v>11069</v>
      </c>
      <c r="C5546" t="s">
        <v>10</v>
      </c>
      <c r="D5546">
        <v>21</v>
      </c>
      <c r="E5546" t="s">
        <v>37</v>
      </c>
      <c r="F5546" t="s">
        <v>38</v>
      </c>
      <c r="G5546" t="s">
        <v>22</v>
      </c>
      <c r="H5546" s="1">
        <v>45599</v>
      </c>
    </row>
    <row r="5547" spans="1:8">
      <c r="A5547" t="s">
        <v>11070</v>
      </c>
      <c r="B5547" t="s">
        <v>11071</v>
      </c>
      <c r="C5547" t="s">
        <v>31</v>
      </c>
      <c r="D5547">
        <v>45</v>
      </c>
      <c r="E5547" t="s">
        <v>15</v>
      </c>
      <c r="F5547" t="s">
        <v>16</v>
      </c>
      <c r="G5547" t="s">
        <v>17</v>
      </c>
      <c r="H5547" s="1">
        <v>45772</v>
      </c>
    </row>
    <row r="5548" spans="1:8">
      <c r="A5548" t="s">
        <v>11072</v>
      </c>
      <c r="B5548" t="s">
        <v>11073</v>
      </c>
      <c r="C5548" t="s">
        <v>31</v>
      </c>
      <c r="D5548">
        <v>41</v>
      </c>
      <c r="E5548" t="s">
        <v>149</v>
      </c>
      <c r="F5548" t="s">
        <v>38</v>
      </c>
      <c r="G5548" t="s">
        <v>22</v>
      </c>
      <c r="H5548" s="1">
        <v>44988</v>
      </c>
    </row>
    <row r="5549" spans="1:8">
      <c r="A5549" t="s">
        <v>11074</v>
      </c>
      <c r="B5549" t="s">
        <v>11075</v>
      </c>
      <c r="C5549" t="s">
        <v>10</v>
      </c>
      <c r="D5549">
        <v>46</v>
      </c>
      <c r="E5549" t="s">
        <v>134</v>
      </c>
      <c r="F5549" t="s">
        <v>28</v>
      </c>
      <c r="G5549" t="s">
        <v>12</v>
      </c>
      <c r="H5549" s="1">
        <v>44860</v>
      </c>
    </row>
    <row r="5550" spans="1:8">
      <c r="A5550" t="s">
        <v>11076</v>
      </c>
      <c r="B5550" t="s">
        <v>11077</v>
      </c>
      <c r="C5550" t="s">
        <v>10</v>
      </c>
      <c r="D5550">
        <v>42</v>
      </c>
      <c r="E5550" t="s">
        <v>11</v>
      </c>
      <c r="F5550" t="s">
        <v>11</v>
      </c>
      <c r="G5550" t="s">
        <v>12</v>
      </c>
      <c r="H5550" s="1">
        <v>45495</v>
      </c>
    </row>
    <row r="5551" spans="1:8">
      <c r="A5551" t="s">
        <v>11078</v>
      </c>
      <c r="B5551" t="s">
        <v>11079</v>
      </c>
      <c r="C5551" t="s">
        <v>31</v>
      </c>
      <c r="D5551">
        <v>19</v>
      </c>
      <c r="E5551" t="s">
        <v>37</v>
      </c>
      <c r="F5551" t="s">
        <v>38</v>
      </c>
      <c r="G5551" t="s">
        <v>22</v>
      </c>
      <c r="H5551" s="1">
        <v>45391</v>
      </c>
    </row>
    <row r="5552" spans="1:8">
      <c r="A5552" t="s">
        <v>11080</v>
      </c>
      <c r="B5552" t="s">
        <v>11081</v>
      </c>
      <c r="C5552" t="s">
        <v>10</v>
      </c>
      <c r="D5552">
        <v>60</v>
      </c>
      <c r="E5552" t="s">
        <v>15</v>
      </c>
      <c r="F5552" t="s">
        <v>16</v>
      </c>
      <c r="G5552" t="s">
        <v>17</v>
      </c>
      <c r="H5552" s="1">
        <v>45537</v>
      </c>
    </row>
    <row r="5553" spans="1:8">
      <c r="A5553" t="s">
        <v>11082</v>
      </c>
      <c r="B5553" t="s">
        <v>11083</v>
      </c>
      <c r="C5553" t="s">
        <v>31</v>
      </c>
      <c r="D5553">
        <v>25</v>
      </c>
      <c r="E5553" t="s">
        <v>45</v>
      </c>
      <c r="F5553" t="s">
        <v>46</v>
      </c>
      <c r="G5553" t="s">
        <v>17</v>
      </c>
      <c r="H5553" s="1">
        <v>45901</v>
      </c>
    </row>
    <row r="5554" spans="1:8">
      <c r="A5554" t="s">
        <v>11084</v>
      </c>
      <c r="B5554" t="s">
        <v>11085</v>
      </c>
      <c r="C5554" t="s">
        <v>31</v>
      </c>
      <c r="D5554">
        <v>29</v>
      </c>
      <c r="E5554" t="s">
        <v>87</v>
      </c>
      <c r="F5554" t="s">
        <v>88</v>
      </c>
      <c r="G5554" t="s">
        <v>78</v>
      </c>
      <c r="H5554" s="1">
        <v>45336</v>
      </c>
    </row>
    <row r="5555" spans="1:8">
      <c r="A5555" t="s">
        <v>11086</v>
      </c>
      <c r="B5555" t="s">
        <v>11087</v>
      </c>
      <c r="C5555" t="s">
        <v>10</v>
      </c>
      <c r="D5555">
        <v>18</v>
      </c>
      <c r="E5555" t="s">
        <v>218</v>
      </c>
      <c r="F5555" t="s">
        <v>219</v>
      </c>
      <c r="G5555" t="s">
        <v>17</v>
      </c>
      <c r="H5555" s="1">
        <v>45473</v>
      </c>
    </row>
    <row r="5556" spans="1:8">
      <c r="A5556" t="s">
        <v>11088</v>
      </c>
      <c r="B5556" t="s">
        <v>11089</v>
      </c>
      <c r="C5556" t="s">
        <v>10</v>
      </c>
      <c r="D5556">
        <v>61</v>
      </c>
      <c r="E5556" t="s">
        <v>41</v>
      </c>
      <c r="F5556" t="s">
        <v>42</v>
      </c>
      <c r="G5556" t="s">
        <v>17</v>
      </c>
      <c r="H5556" s="1">
        <v>45399</v>
      </c>
    </row>
    <row r="5557" spans="1:8">
      <c r="A5557" t="s">
        <v>11090</v>
      </c>
      <c r="B5557" t="s">
        <v>11091</v>
      </c>
      <c r="C5557" t="s">
        <v>10</v>
      </c>
      <c r="D5557">
        <v>52</v>
      </c>
      <c r="E5557" t="s">
        <v>15</v>
      </c>
      <c r="F5557" t="s">
        <v>16</v>
      </c>
      <c r="G5557" t="s">
        <v>17</v>
      </c>
      <c r="H5557" s="1">
        <v>45557</v>
      </c>
    </row>
    <row r="5558" spans="1:8">
      <c r="A5558" t="s">
        <v>11092</v>
      </c>
      <c r="B5558" t="s">
        <v>11093</v>
      </c>
      <c r="C5558" t="s">
        <v>10</v>
      </c>
      <c r="D5558">
        <v>30</v>
      </c>
      <c r="E5558" t="s">
        <v>41</v>
      </c>
      <c r="F5558" t="s">
        <v>42</v>
      </c>
      <c r="G5558" t="s">
        <v>17</v>
      </c>
      <c r="H5558" s="1">
        <v>45396</v>
      </c>
    </row>
    <row r="5559" spans="1:8">
      <c r="A5559" t="s">
        <v>11094</v>
      </c>
      <c r="B5559" t="s">
        <v>11095</v>
      </c>
      <c r="C5559" t="s">
        <v>31</v>
      </c>
      <c r="D5559">
        <v>68</v>
      </c>
      <c r="E5559" t="s">
        <v>20</v>
      </c>
      <c r="F5559" t="s">
        <v>21</v>
      </c>
      <c r="G5559" t="s">
        <v>22</v>
      </c>
      <c r="H5559" s="1">
        <v>44811</v>
      </c>
    </row>
    <row r="5560" spans="1:8">
      <c r="A5560" t="s">
        <v>11096</v>
      </c>
      <c r="B5560" t="s">
        <v>11097</v>
      </c>
      <c r="C5560" t="s">
        <v>10</v>
      </c>
      <c r="D5560">
        <v>53</v>
      </c>
      <c r="E5560" t="s">
        <v>63</v>
      </c>
      <c r="F5560" t="s">
        <v>64</v>
      </c>
      <c r="G5560" t="s">
        <v>12</v>
      </c>
      <c r="H5560" s="1">
        <v>45031</v>
      </c>
    </row>
    <row r="5561" spans="1:8">
      <c r="A5561" t="s">
        <v>11098</v>
      </c>
      <c r="B5561" t="s">
        <v>11099</v>
      </c>
      <c r="C5561" t="s">
        <v>10</v>
      </c>
      <c r="D5561">
        <v>36</v>
      </c>
      <c r="E5561" t="s">
        <v>34</v>
      </c>
      <c r="F5561" t="s">
        <v>16</v>
      </c>
      <c r="G5561" t="s">
        <v>17</v>
      </c>
      <c r="H5561" s="1">
        <v>45700</v>
      </c>
    </row>
    <row r="5562" spans="1:8">
      <c r="A5562" t="s">
        <v>11100</v>
      </c>
      <c r="B5562" t="s">
        <v>11101</v>
      </c>
      <c r="C5562" t="s">
        <v>31</v>
      </c>
      <c r="D5562">
        <v>27</v>
      </c>
      <c r="E5562" t="s">
        <v>45</v>
      </c>
      <c r="F5562" t="s">
        <v>46</v>
      </c>
      <c r="G5562" t="s">
        <v>17</v>
      </c>
      <c r="H5562" s="1">
        <v>45526</v>
      </c>
    </row>
    <row r="5563" spans="1:8">
      <c r="A5563" t="s">
        <v>11102</v>
      </c>
      <c r="B5563" t="s">
        <v>11103</v>
      </c>
      <c r="C5563" t="s">
        <v>31</v>
      </c>
      <c r="D5563">
        <v>20</v>
      </c>
      <c r="E5563" t="s">
        <v>37</v>
      </c>
      <c r="F5563" t="s">
        <v>38</v>
      </c>
      <c r="G5563" t="s">
        <v>22</v>
      </c>
      <c r="H5563" s="1">
        <v>45803</v>
      </c>
    </row>
    <row r="5564" spans="1:8">
      <c r="A5564" t="s">
        <v>11104</v>
      </c>
      <c r="B5564" t="s">
        <v>11105</v>
      </c>
      <c r="C5564" t="s">
        <v>31</v>
      </c>
      <c r="D5564">
        <v>46</v>
      </c>
      <c r="E5564" t="s">
        <v>15</v>
      </c>
      <c r="F5564" t="s">
        <v>16</v>
      </c>
      <c r="G5564" t="s">
        <v>17</v>
      </c>
      <c r="H5564" s="1">
        <v>44641</v>
      </c>
    </row>
    <row r="5565" spans="1:8">
      <c r="A5565" t="s">
        <v>11106</v>
      </c>
      <c r="B5565" t="s">
        <v>11107</v>
      </c>
      <c r="C5565" t="s">
        <v>31</v>
      </c>
      <c r="D5565">
        <v>68</v>
      </c>
      <c r="E5565" t="s">
        <v>11</v>
      </c>
      <c r="F5565" t="s">
        <v>11</v>
      </c>
      <c r="G5565" t="s">
        <v>12</v>
      </c>
      <c r="H5565" s="1">
        <v>45029</v>
      </c>
    </row>
    <row r="5566" spans="1:8">
      <c r="A5566" t="s">
        <v>11108</v>
      </c>
      <c r="B5566" t="s">
        <v>11109</v>
      </c>
      <c r="C5566" t="s">
        <v>31</v>
      </c>
      <c r="D5566">
        <v>60</v>
      </c>
      <c r="E5566" t="s">
        <v>15</v>
      </c>
      <c r="F5566" t="s">
        <v>16</v>
      </c>
      <c r="G5566" t="s">
        <v>17</v>
      </c>
      <c r="H5566" s="1">
        <v>45066</v>
      </c>
    </row>
    <row r="5567" spans="1:8">
      <c r="A5567" t="s">
        <v>11110</v>
      </c>
      <c r="B5567" t="s">
        <v>11111</v>
      </c>
      <c r="C5567" t="s">
        <v>31</v>
      </c>
      <c r="D5567">
        <v>67</v>
      </c>
      <c r="E5567" t="s">
        <v>45</v>
      </c>
      <c r="F5567" t="s">
        <v>46</v>
      </c>
      <c r="G5567" t="s">
        <v>17</v>
      </c>
      <c r="H5567" s="1">
        <v>44959</v>
      </c>
    </row>
    <row r="5568" spans="1:8">
      <c r="A5568" t="s">
        <v>11112</v>
      </c>
      <c r="B5568" t="s">
        <v>11113</v>
      </c>
      <c r="C5568" t="s">
        <v>10</v>
      </c>
      <c r="D5568">
        <v>70</v>
      </c>
      <c r="E5568" t="s">
        <v>76</v>
      </c>
      <c r="F5568" t="s">
        <v>77</v>
      </c>
      <c r="G5568" t="s">
        <v>78</v>
      </c>
      <c r="H5568" s="1">
        <v>44899</v>
      </c>
    </row>
    <row r="5569" spans="1:8">
      <c r="A5569" t="s">
        <v>11114</v>
      </c>
      <c r="B5569" t="s">
        <v>11115</v>
      </c>
      <c r="C5569" t="s">
        <v>10</v>
      </c>
      <c r="D5569">
        <v>58</v>
      </c>
      <c r="E5569" t="s">
        <v>41</v>
      </c>
      <c r="F5569" t="s">
        <v>42</v>
      </c>
      <c r="G5569" t="s">
        <v>17</v>
      </c>
      <c r="H5569" s="1">
        <v>45154</v>
      </c>
    </row>
    <row r="5570" spans="1:8">
      <c r="A5570" t="s">
        <v>11116</v>
      </c>
      <c r="B5570" t="s">
        <v>11117</v>
      </c>
      <c r="C5570" t="s">
        <v>10</v>
      </c>
      <c r="D5570">
        <v>56</v>
      </c>
      <c r="E5570" t="s">
        <v>134</v>
      </c>
      <c r="F5570" t="s">
        <v>28</v>
      </c>
      <c r="G5570" t="s">
        <v>12</v>
      </c>
      <c r="H5570" s="1">
        <v>45564</v>
      </c>
    </row>
    <row r="5571" spans="1:8">
      <c r="A5571" t="s">
        <v>11118</v>
      </c>
      <c r="B5571" t="s">
        <v>11119</v>
      </c>
      <c r="C5571" t="s">
        <v>10</v>
      </c>
      <c r="D5571">
        <v>26</v>
      </c>
      <c r="E5571" t="s">
        <v>27</v>
      </c>
      <c r="F5571" t="s">
        <v>28</v>
      </c>
      <c r="G5571" t="s">
        <v>12</v>
      </c>
      <c r="H5571" s="1">
        <v>45054</v>
      </c>
    </row>
    <row r="5572" spans="1:8">
      <c r="A5572" t="s">
        <v>11120</v>
      </c>
      <c r="B5572" t="s">
        <v>11121</v>
      </c>
      <c r="C5572" t="s">
        <v>10</v>
      </c>
      <c r="D5572">
        <v>37</v>
      </c>
      <c r="E5572" t="s">
        <v>87</v>
      </c>
      <c r="F5572" t="s">
        <v>88</v>
      </c>
      <c r="G5572" t="s">
        <v>78</v>
      </c>
      <c r="H5572" s="1">
        <v>44711</v>
      </c>
    </row>
    <row r="5573" spans="1:8">
      <c r="A5573" t="s">
        <v>11122</v>
      </c>
      <c r="B5573" t="s">
        <v>11123</v>
      </c>
      <c r="C5573" t="s">
        <v>31</v>
      </c>
      <c r="D5573">
        <v>33</v>
      </c>
      <c r="E5573" t="s">
        <v>45</v>
      </c>
      <c r="F5573" t="s">
        <v>46</v>
      </c>
      <c r="G5573" t="s">
        <v>17</v>
      </c>
      <c r="H5573" s="1">
        <v>46020</v>
      </c>
    </row>
    <row r="5574" spans="1:8">
      <c r="A5574" t="s">
        <v>11124</v>
      </c>
      <c r="B5574" t="s">
        <v>11125</v>
      </c>
      <c r="C5574" t="s">
        <v>10</v>
      </c>
      <c r="D5574">
        <v>68</v>
      </c>
      <c r="E5574" t="s">
        <v>60</v>
      </c>
      <c r="F5574" t="s">
        <v>21</v>
      </c>
      <c r="G5574" t="s">
        <v>22</v>
      </c>
      <c r="H5574" s="1">
        <v>45243</v>
      </c>
    </row>
    <row r="5575" spans="1:8">
      <c r="A5575" t="s">
        <v>11126</v>
      </c>
      <c r="B5575" t="s">
        <v>7291</v>
      </c>
      <c r="C5575" t="s">
        <v>31</v>
      </c>
      <c r="D5575">
        <v>36</v>
      </c>
      <c r="E5575" t="s">
        <v>11</v>
      </c>
      <c r="F5575" t="s">
        <v>11</v>
      </c>
      <c r="G5575" t="s">
        <v>12</v>
      </c>
      <c r="H5575" s="1">
        <v>45905</v>
      </c>
    </row>
    <row r="5576" spans="1:8">
      <c r="A5576" t="s">
        <v>11127</v>
      </c>
      <c r="B5576" t="s">
        <v>11128</v>
      </c>
      <c r="C5576" t="s">
        <v>31</v>
      </c>
      <c r="D5576">
        <v>64</v>
      </c>
      <c r="E5576" t="s">
        <v>149</v>
      </c>
      <c r="F5576" t="s">
        <v>38</v>
      </c>
      <c r="G5576" t="s">
        <v>22</v>
      </c>
      <c r="H5576" s="1">
        <v>45492</v>
      </c>
    </row>
    <row r="5577" spans="1:8">
      <c r="A5577" t="s">
        <v>11129</v>
      </c>
      <c r="B5577" t="s">
        <v>11130</v>
      </c>
      <c r="C5577" t="s">
        <v>10</v>
      </c>
      <c r="D5577">
        <v>29</v>
      </c>
      <c r="E5577" t="s">
        <v>76</v>
      </c>
      <c r="F5577" t="s">
        <v>77</v>
      </c>
      <c r="G5577" t="s">
        <v>78</v>
      </c>
      <c r="H5577" s="1">
        <v>45689</v>
      </c>
    </row>
    <row r="5578" spans="1:8">
      <c r="A5578" t="s">
        <v>11131</v>
      </c>
      <c r="B5578" t="s">
        <v>11132</v>
      </c>
      <c r="C5578" t="s">
        <v>10</v>
      </c>
      <c r="D5578">
        <v>19</v>
      </c>
      <c r="E5578" t="s">
        <v>218</v>
      </c>
      <c r="F5578" t="s">
        <v>219</v>
      </c>
      <c r="G5578" t="s">
        <v>17</v>
      </c>
      <c r="H5578" s="1">
        <v>45942</v>
      </c>
    </row>
    <row r="5579" spans="1:8">
      <c r="A5579" t="s">
        <v>11133</v>
      </c>
      <c r="B5579" t="s">
        <v>11134</v>
      </c>
      <c r="C5579" t="s">
        <v>10</v>
      </c>
      <c r="D5579">
        <v>61</v>
      </c>
      <c r="E5579" t="s">
        <v>37</v>
      </c>
      <c r="F5579" t="s">
        <v>38</v>
      </c>
      <c r="G5579" t="s">
        <v>22</v>
      </c>
      <c r="H5579" s="1">
        <v>45581</v>
      </c>
    </row>
    <row r="5580" spans="1:8">
      <c r="A5580" t="s">
        <v>11135</v>
      </c>
      <c r="B5580" t="s">
        <v>11136</v>
      </c>
      <c r="C5580" t="s">
        <v>10</v>
      </c>
      <c r="D5580">
        <v>60</v>
      </c>
      <c r="E5580" t="s">
        <v>112</v>
      </c>
      <c r="F5580" t="s">
        <v>113</v>
      </c>
      <c r="G5580" t="s">
        <v>78</v>
      </c>
      <c r="H5580" s="1">
        <v>45705</v>
      </c>
    </row>
    <row r="5581" spans="1:8">
      <c r="A5581" t="s">
        <v>11137</v>
      </c>
      <c r="B5581" t="s">
        <v>11138</v>
      </c>
      <c r="C5581" t="s">
        <v>31</v>
      </c>
      <c r="D5581">
        <v>34</v>
      </c>
      <c r="E5581" t="s">
        <v>34</v>
      </c>
      <c r="F5581" t="s">
        <v>16</v>
      </c>
      <c r="G5581" t="s">
        <v>17</v>
      </c>
      <c r="H5581" s="1">
        <v>45915</v>
      </c>
    </row>
    <row r="5582" spans="1:8">
      <c r="A5582" t="s">
        <v>11139</v>
      </c>
      <c r="B5582" t="s">
        <v>11140</v>
      </c>
      <c r="C5582" t="s">
        <v>10</v>
      </c>
      <c r="D5582">
        <v>38</v>
      </c>
      <c r="E5582" t="s">
        <v>76</v>
      </c>
      <c r="F5582" t="s">
        <v>77</v>
      </c>
      <c r="G5582" t="s">
        <v>78</v>
      </c>
      <c r="H5582" s="1">
        <v>45386</v>
      </c>
    </row>
    <row r="5583" spans="1:8">
      <c r="A5583" t="s">
        <v>11141</v>
      </c>
      <c r="B5583" t="s">
        <v>11142</v>
      </c>
      <c r="C5583" t="s">
        <v>31</v>
      </c>
      <c r="D5583">
        <v>49</v>
      </c>
      <c r="E5583" t="s">
        <v>27</v>
      </c>
      <c r="F5583" t="s">
        <v>28</v>
      </c>
      <c r="G5583" t="s">
        <v>12</v>
      </c>
      <c r="H5583" s="1">
        <v>45223</v>
      </c>
    </row>
    <row r="5584" spans="1:8">
      <c r="A5584" t="s">
        <v>11143</v>
      </c>
      <c r="B5584" t="s">
        <v>11144</v>
      </c>
      <c r="C5584" t="s">
        <v>31</v>
      </c>
      <c r="D5584">
        <v>62</v>
      </c>
      <c r="E5584" t="s">
        <v>27</v>
      </c>
      <c r="F5584" t="s">
        <v>28</v>
      </c>
      <c r="G5584" t="s">
        <v>12</v>
      </c>
      <c r="H5584" s="1">
        <v>45733</v>
      </c>
    </row>
    <row r="5585" spans="1:8">
      <c r="A5585" t="s">
        <v>11145</v>
      </c>
      <c r="B5585" t="s">
        <v>11146</v>
      </c>
      <c r="C5585" t="s">
        <v>10</v>
      </c>
      <c r="D5585">
        <v>54</v>
      </c>
      <c r="E5585" t="s">
        <v>27</v>
      </c>
      <c r="F5585" t="s">
        <v>28</v>
      </c>
      <c r="G5585" t="s">
        <v>12</v>
      </c>
      <c r="H5585" s="1">
        <v>45131</v>
      </c>
    </row>
    <row r="5586" spans="1:8">
      <c r="A5586" t="s">
        <v>11147</v>
      </c>
      <c r="B5586" t="s">
        <v>11148</v>
      </c>
      <c r="C5586" t="s">
        <v>31</v>
      </c>
      <c r="D5586">
        <v>54</v>
      </c>
      <c r="E5586" t="s">
        <v>87</v>
      </c>
      <c r="F5586" t="s">
        <v>88</v>
      </c>
      <c r="G5586" t="s">
        <v>78</v>
      </c>
      <c r="H5586" s="1">
        <v>45420</v>
      </c>
    </row>
    <row r="5587" spans="1:8">
      <c r="A5587" t="s">
        <v>11149</v>
      </c>
      <c r="B5587" t="s">
        <v>11150</v>
      </c>
      <c r="C5587" t="s">
        <v>10</v>
      </c>
      <c r="D5587">
        <v>51</v>
      </c>
      <c r="E5587" t="s">
        <v>134</v>
      </c>
      <c r="F5587" t="s">
        <v>28</v>
      </c>
      <c r="G5587" t="s">
        <v>12</v>
      </c>
      <c r="H5587" s="1">
        <v>45297</v>
      </c>
    </row>
    <row r="5588" spans="1:8">
      <c r="A5588" t="s">
        <v>11151</v>
      </c>
      <c r="B5588" t="s">
        <v>11152</v>
      </c>
      <c r="C5588" t="s">
        <v>10</v>
      </c>
      <c r="D5588">
        <v>42</v>
      </c>
      <c r="E5588" t="s">
        <v>27</v>
      </c>
      <c r="F5588" t="s">
        <v>28</v>
      </c>
      <c r="G5588" t="s">
        <v>12</v>
      </c>
      <c r="H5588" s="1">
        <v>45440</v>
      </c>
    </row>
    <row r="5589" spans="1:8">
      <c r="A5589" t="s">
        <v>11153</v>
      </c>
      <c r="B5589" t="s">
        <v>11154</v>
      </c>
      <c r="C5589" t="s">
        <v>31</v>
      </c>
      <c r="D5589">
        <v>44</v>
      </c>
      <c r="E5589" t="s">
        <v>15</v>
      </c>
      <c r="F5589" t="s">
        <v>16</v>
      </c>
      <c r="G5589" t="s">
        <v>17</v>
      </c>
      <c r="H5589" s="1">
        <v>45357</v>
      </c>
    </row>
    <row r="5590" spans="1:8">
      <c r="A5590" t="s">
        <v>11155</v>
      </c>
      <c r="B5590" t="s">
        <v>11156</v>
      </c>
      <c r="C5590" t="s">
        <v>31</v>
      </c>
      <c r="D5590">
        <v>41</v>
      </c>
      <c r="E5590" t="s">
        <v>101</v>
      </c>
      <c r="F5590" t="s">
        <v>21</v>
      </c>
      <c r="G5590" t="s">
        <v>22</v>
      </c>
      <c r="H5590" s="1">
        <v>45488</v>
      </c>
    </row>
    <row r="5591" spans="1:8">
      <c r="A5591" t="s">
        <v>11157</v>
      </c>
      <c r="B5591" t="s">
        <v>11158</v>
      </c>
      <c r="C5591" t="s">
        <v>31</v>
      </c>
      <c r="D5591">
        <v>38</v>
      </c>
      <c r="E5591" t="s">
        <v>20</v>
      </c>
      <c r="F5591" t="s">
        <v>21</v>
      </c>
      <c r="G5591" t="s">
        <v>22</v>
      </c>
      <c r="H5591" s="1">
        <v>44731</v>
      </c>
    </row>
    <row r="5592" spans="1:8">
      <c r="A5592" t="s">
        <v>11159</v>
      </c>
      <c r="B5592" t="s">
        <v>11160</v>
      </c>
      <c r="C5592" t="s">
        <v>10</v>
      </c>
      <c r="D5592">
        <v>44</v>
      </c>
      <c r="E5592" t="s">
        <v>41</v>
      </c>
      <c r="F5592" t="s">
        <v>42</v>
      </c>
      <c r="G5592" t="s">
        <v>17</v>
      </c>
      <c r="H5592" s="1">
        <v>44752</v>
      </c>
    </row>
    <row r="5593" spans="1:8">
      <c r="A5593" t="s">
        <v>11161</v>
      </c>
      <c r="B5593" t="s">
        <v>11162</v>
      </c>
      <c r="C5593" t="s">
        <v>10</v>
      </c>
      <c r="D5593">
        <v>26</v>
      </c>
      <c r="E5593" t="s">
        <v>11</v>
      </c>
      <c r="F5593" t="s">
        <v>11</v>
      </c>
      <c r="G5593" t="s">
        <v>12</v>
      </c>
      <c r="H5593" s="1">
        <v>45174</v>
      </c>
    </row>
    <row r="5594" spans="1:8">
      <c r="A5594" t="s">
        <v>11163</v>
      </c>
      <c r="B5594" t="s">
        <v>11164</v>
      </c>
      <c r="C5594" t="s">
        <v>31</v>
      </c>
      <c r="D5594">
        <v>30</v>
      </c>
      <c r="E5594" t="s">
        <v>20</v>
      </c>
      <c r="F5594" t="s">
        <v>21</v>
      </c>
      <c r="G5594" t="s">
        <v>22</v>
      </c>
      <c r="H5594" s="1">
        <v>45610</v>
      </c>
    </row>
    <row r="5595" spans="1:8">
      <c r="A5595" t="s">
        <v>11165</v>
      </c>
      <c r="B5595" t="s">
        <v>11166</v>
      </c>
      <c r="C5595" t="s">
        <v>10</v>
      </c>
      <c r="D5595">
        <v>58</v>
      </c>
      <c r="E5595" t="s">
        <v>149</v>
      </c>
      <c r="F5595" t="s">
        <v>38</v>
      </c>
      <c r="G5595" t="s">
        <v>22</v>
      </c>
      <c r="H5595" s="1">
        <v>45823</v>
      </c>
    </row>
    <row r="5596" spans="1:8">
      <c r="A5596" t="s">
        <v>11167</v>
      </c>
      <c r="B5596" t="s">
        <v>11168</v>
      </c>
      <c r="C5596" t="s">
        <v>31</v>
      </c>
      <c r="D5596">
        <v>37</v>
      </c>
      <c r="E5596" t="s">
        <v>69</v>
      </c>
      <c r="F5596" t="s">
        <v>69</v>
      </c>
      <c r="G5596" t="s">
        <v>12</v>
      </c>
      <c r="H5596" s="1">
        <v>45167</v>
      </c>
    </row>
    <row r="5597" spans="1:8">
      <c r="A5597" t="s">
        <v>11169</v>
      </c>
      <c r="B5597" t="s">
        <v>11170</v>
      </c>
      <c r="C5597" t="s">
        <v>31</v>
      </c>
      <c r="D5597">
        <v>69</v>
      </c>
      <c r="E5597" t="s">
        <v>149</v>
      </c>
      <c r="F5597" t="s">
        <v>38</v>
      </c>
      <c r="G5597" t="s">
        <v>22</v>
      </c>
      <c r="H5597" s="1">
        <v>44931</v>
      </c>
    </row>
    <row r="5598" spans="1:8">
      <c r="A5598" t="s">
        <v>11171</v>
      </c>
      <c r="B5598" t="s">
        <v>11172</v>
      </c>
      <c r="C5598" t="s">
        <v>31</v>
      </c>
      <c r="D5598">
        <v>61</v>
      </c>
      <c r="E5598" t="s">
        <v>87</v>
      </c>
      <c r="F5598" t="s">
        <v>88</v>
      </c>
      <c r="G5598" t="s">
        <v>78</v>
      </c>
      <c r="H5598" s="1">
        <v>45650</v>
      </c>
    </row>
    <row r="5599" spans="1:8">
      <c r="A5599" t="s">
        <v>11173</v>
      </c>
      <c r="B5599" t="s">
        <v>11174</v>
      </c>
      <c r="C5599" t="s">
        <v>10</v>
      </c>
      <c r="D5599">
        <v>31</v>
      </c>
      <c r="E5599" t="s">
        <v>49</v>
      </c>
      <c r="F5599" t="s">
        <v>16</v>
      </c>
      <c r="G5599" t="s">
        <v>17</v>
      </c>
      <c r="H5599" s="1">
        <v>45075</v>
      </c>
    </row>
    <row r="5600" spans="1:8">
      <c r="A5600" t="s">
        <v>11175</v>
      </c>
      <c r="B5600" t="s">
        <v>11176</v>
      </c>
      <c r="C5600" t="s">
        <v>31</v>
      </c>
      <c r="D5600">
        <v>23</v>
      </c>
      <c r="E5600" t="s">
        <v>20</v>
      </c>
      <c r="F5600" t="s">
        <v>21</v>
      </c>
      <c r="G5600" t="s">
        <v>22</v>
      </c>
      <c r="H5600" s="1">
        <v>44627</v>
      </c>
    </row>
    <row r="5601" spans="1:8">
      <c r="A5601" t="s">
        <v>11177</v>
      </c>
      <c r="B5601" t="s">
        <v>11178</v>
      </c>
      <c r="C5601" t="s">
        <v>10</v>
      </c>
      <c r="D5601">
        <v>64</v>
      </c>
      <c r="E5601" t="s">
        <v>101</v>
      </c>
      <c r="F5601" t="s">
        <v>21</v>
      </c>
      <c r="G5601" t="s">
        <v>22</v>
      </c>
      <c r="H5601" s="1">
        <v>45192</v>
      </c>
    </row>
    <row r="5602" spans="1:8">
      <c r="A5602" t="s">
        <v>11179</v>
      </c>
      <c r="B5602" t="s">
        <v>11180</v>
      </c>
      <c r="C5602" t="s">
        <v>10</v>
      </c>
      <c r="D5602">
        <v>38</v>
      </c>
      <c r="E5602" t="s">
        <v>101</v>
      </c>
      <c r="F5602" t="s">
        <v>21</v>
      </c>
      <c r="G5602" t="s">
        <v>22</v>
      </c>
      <c r="H5602" s="1">
        <v>45377</v>
      </c>
    </row>
    <row r="5603" spans="1:8">
      <c r="A5603" t="s">
        <v>11181</v>
      </c>
      <c r="B5603" t="s">
        <v>6427</v>
      </c>
      <c r="C5603" t="s">
        <v>31</v>
      </c>
      <c r="D5603">
        <v>55</v>
      </c>
      <c r="E5603" t="s">
        <v>37</v>
      </c>
      <c r="F5603" t="s">
        <v>38</v>
      </c>
      <c r="G5603" t="s">
        <v>22</v>
      </c>
      <c r="H5603" s="1">
        <v>45501</v>
      </c>
    </row>
    <row r="5604" spans="1:8">
      <c r="A5604" t="s">
        <v>11182</v>
      </c>
      <c r="B5604" t="s">
        <v>11183</v>
      </c>
      <c r="C5604" t="s">
        <v>31</v>
      </c>
      <c r="D5604">
        <v>54</v>
      </c>
      <c r="E5604" t="s">
        <v>112</v>
      </c>
      <c r="F5604" t="s">
        <v>113</v>
      </c>
      <c r="G5604" t="s">
        <v>78</v>
      </c>
      <c r="H5604" s="1">
        <v>44918</v>
      </c>
    </row>
    <row r="5605" spans="1:8">
      <c r="A5605" t="s">
        <v>11184</v>
      </c>
      <c r="B5605" t="s">
        <v>11185</v>
      </c>
      <c r="C5605" t="s">
        <v>31</v>
      </c>
      <c r="D5605">
        <v>28</v>
      </c>
      <c r="E5605" t="s">
        <v>11</v>
      </c>
      <c r="F5605" t="s">
        <v>11</v>
      </c>
      <c r="G5605" t="s">
        <v>12</v>
      </c>
      <c r="H5605" s="1">
        <v>44894</v>
      </c>
    </row>
    <row r="5606" spans="1:8">
      <c r="A5606" t="s">
        <v>11186</v>
      </c>
      <c r="B5606" t="s">
        <v>11187</v>
      </c>
      <c r="C5606" t="s">
        <v>10</v>
      </c>
      <c r="D5606">
        <v>32</v>
      </c>
      <c r="E5606" t="s">
        <v>20</v>
      </c>
      <c r="F5606" t="s">
        <v>21</v>
      </c>
      <c r="G5606" t="s">
        <v>22</v>
      </c>
      <c r="H5606" s="1">
        <v>45051</v>
      </c>
    </row>
    <row r="5607" spans="1:8">
      <c r="A5607" t="s">
        <v>11188</v>
      </c>
      <c r="B5607" t="s">
        <v>11189</v>
      </c>
      <c r="C5607" t="s">
        <v>31</v>
      </c>
      <c r="D5607">
        <v>40</v>
      </c>
      <c r="E5607" t="s">
        <v>27</v>
      </c>
      <c r="F5607" t="s">
        <v>28</v>
      </c>
      <c r="G5607" t="s">
        <v>12</v>
      </c>
      <c r="H5607" s="1">
        <v>45254</v>
      </c>
    </row>
    <row r="5608" spans="1:8">
      <c r="A5608" t="s">
        <v>11190</v>
      </c>
      <c r="B5608" t="s">
        <v>11191</v>
      </c>
      <c r="C5608" t="s">
        <v>31</v>
      </c>
      <c r="D5608">
        <v>58</v>
      </c>
      <c r="E5608" t="s">
        <v>34</v>
      </c>
      <c r="F5608" t="s">
        <v>16</v>
      </c>
      <c r="G5608" t="s">
        <v>17</v>
      </c>
      <c r="H5608" s="1">
        <v>44731</v>
      </c>
    </row>
    <row r="5609" spans="1:8">
      <c r="A5609" t="s">
        <v>11192</v>
      </c>
      <c r="B5609" t="s">
        <v>11193</v>
      </c>
      <c r="C5609" t="s">
        <v>31</v>
      </c>
      <c r="D5609">
        <v>32</v>
      </c>
      <c r="E5609" t="s">
        <v>101</v>
      </c>
      <c r="F5609" t="s">
        <v>21</v>
      </c>
      <c r="G5609" t="s">
        <v>22</v>
      </c>
      <c r="H5609" s="1">
        <v>45637</v>
      </c>
    </row>
    <row r="5610" spans="1:8">
      <c r="A5610" t="s">
        <v>11194</v>
      </c>
      <c r="B5610" t="s">
        <v>11195</v>
      </c>
      <c r="C5610" t="s">
        <v>31</v>
      </c>
      <c r="D5610">
        <v>43</v>
      </c>
      <c r="E5610" t="s">
        <v>15</v>
      </c>
      <c r="F5610" t="s">
        <v>16</v>
      </c>
      <c r="G5610" t="s">
        <v>17</v>
      </c>
      <c r="H5610" s="1">
        <v>44848</v>
      </c>
    </row>
    <row r="5611" spans="1:8">
      <c r="A5611" t="s">
        <v>11196</v>
      </c>
      <c r="B5611" t="s">
        <v>11197</v>
      </c>
      <c r="C5611" t="s">
        <v>10</v>
      </c>
      <c r="D5611">
        <v>46</v>
      </c>
      <c r="E5611" t="s">
        <v>218</v>
      </c>
      <c r="F5611" t="s">
        <v>219</v>
      </c>
      <c r="G5611" t="s">
        <v>17</v>
      </c>
      <c r="H5611" s="1">
        <v>45790</v>
      </c>
    </row>
    <row r="5612" spans="1:8">
      <c r="A5612" t="s">
        <v>11198</v>
      </c>
      <c r="B5612" t="s">
        <v>11199</v>
      </c>
      <c r="C5612" t="s">
        <v>10</v>
      </c>
      <c r="D5612">
        <v>56</v>
      </c>
      <c r="E5612" t="s">
        <v>41</v>
      </c>
      <c r="F5612" t="s">
        <v>42</v>
      </c>
      <c r="G5612" t="s">
        <v>17</v>
      </c>
      <c r="H5612" s="1">
        <v>45167</v>
      </c>
    </row>
    <row r="5613" spans="1:8">
      <c r="A5613" t="s">
        <v>11200</v>
      </c>
      <c r="B5613" t="s">
        <v>11201</v>
      </c>
      <c r="C5613" t="s">
        <v>31</v>
      </c>
      <c r="D5613">
        <v>23</v>
      </c>
      <c r="E5613" t="s">
        <v>34</v>
      </c>
      <c r="F5613" t="s">
        <v>16</v>
      </c>
      <c r="G5613" t="s">
        <v>17</v>
      </c>
      <c r="H5613" s="1">
        <v>44616</v>
      </c>
    </row>
    <row r="5614" spans="1:8">
      <c r="A5614" t="s">
        <v>11202</v>
      </c>
      <c r="B5614" t="s">
        <v>11203</v>
      </c>
      <c r="C5614" t="s">
        <v>10</v>
      </c>
      <c r="D5614">
        <v>40</v>
      </c>
      <c r="E5614" t="s">
        <v>60</v>
      </c>
      <c r="F5614" t="s">
        <v>21</v>
      </c>
      <c r="G5614" t="s">
        <v>22</v>
      </c>
      <c r="H5614" s="1">
        <v>44924</v>
      </c>
    </row>
    <row r="5615" spans="1:8">
      <c r="A5615" t="s">
        <v>11204</v>
      </c>
      <c r="B5615" t="s">
        <v>11205</v>
      </c>
      <c r="C5615" t="s">
        <v>31</v>
      </c>
      <c r="D5615">
        <v>42</v>
      </c>
      <c r="E5615" t="s">
        <v>27</v>
      </c>
      <c r="F5615" t="s">
        <v>28</v>
      </c>
      <c r="G5615" t="s">
        <v>12</v>
      </c>
      <c r="H5615" s="1">
        <v>44922</v>
      </c>
    </row>
    <row r="5616" spans="1:8">
      <c r="A5616" t="s">
        <v>11206</v>
      </c>
      <c r="B5616" t="s">
        <v>11207</v>
      </c>
      <c r="C5616" t="s">
        <v>31</v>
      </c>
      <c r="D5616">
        <v>32</v>
      </c>
      <c r="E5616" t="s">
        <v>69</v>
      </c>
      <c r="F5616" t="s">
        <v>69</v>
      </c>
      <c r="G5616" t="s">
        <v>12</v>
      </c>
      <c r="H5616" s="1">
        <v>44572</v>
      </c>
    </row>
    <row r="5617" spans="1:8">
      <c r="A5617" t="s">
        <v>11208</v>
      </c>
      <c r="B5617" t="s">
        <v>11209</v>
      </c>
      <c r="C5617" t="s">
        <v>10</v>
      </c>
      <c r="D5617">
        <v>25</v>
      </c>
      <c r="E5617" t="s">
        <v>91</v>
      </c>
      <c r="F5617" t="s">
        <v>92</v>
      </c>
      <c r="G5617" t="s">
        <v>78</v>
      </c>
      <c r="H5617" s="1">
        <v>44629</v>
      </c>
    </row>
    <row r="5618" spans="1:8">
      <c r="A5618" t="s">
        <v>11210</v>
      </c>
      <c r="B5618" t="s">
        <v>11211</v>
      </c>
      <c r="C5618" t="s">
        <v>10</v>
      </c>
      <c r="D5618">
        <v>37</v>
      </c>
      <c r="E5618" t="s">
        <v>128</v>
      </c>
      <c r="F5618" t="s">
        <v>129</v>
      </c>
      <c r="G5618" t="s">
        <v>78</v>
      </c>
      <c r="H5618" s="1">
        <v>44883</v>
      </c>
    </row>
    <row r="5619" spans="1:8">
      <c r="A5619" t="s">
        <v>11212</v>
      </c>
      <c r="B5619" t="s">
        <v>4663</v>
      </c>
      <c r="C5619" t="s">
        <v>10</v>
      </c>
      <c r="D5619">
        <v>27</v>
      </c>
      <c r="E5619" t="s">
        <v>37</v>
      </c>
      <c r="F5619" t="s">
        <v>38</v>
      </c>
      <c r="G5619" t="s">
        <v>22</v>
      </c>
      <c r="H5619" s="1">
        <v>44577</v>
      </c>
    </row>
    <row r="5620" spans="1:8">
      <c r="A5620" t="s">
        <v>11213</v>
      </c>
      <c r="B5620" t="s">
        <v>11214</v>
      </c>
      <c r="C5620" t="s">
        <v>10</v>
      </c>
      <c r="D5620">
        <v>24</v>
      </c>
      <c r="E5620" t="s">
        <v>15</v>
      </c>
      <c r="F5620" t="s">
        <v>16</v>
      </c>
      <c r="G5620" t="s">
        <v>17</v>
      </c>
      <c r="H5620" s="1">
        <v>45937</v>
      </c>
    </row>
    <row r="5621" spans="1:8">
      <c r="A5621" t="s">
        <v>11215</v>
      </c>
      <c r="B5621" t="s">
        <v>11216</v>
      </c>
      <c r="C5621" t="s">
        <v>31</v>
      </c>
      <c r="D5621">
        <v>57</v>
      </c>
      <c r="E5621" t="s">
        <v>101</v>
      </c>
      <c r="F5621" t="s">
        <v>21</v>
      </c>
      <c r="G5621" t="s">
        <v>22</v>
      </c>
      <c r="H5621" s="1">
        <v>44995</v>
      </c>
    </row>
    <row r="5622" spans="1:8">
      <c r="A5622" t="s">
        <v>11217</v>
      </c>
      <c r="B5622" t="s">
        <v>11218</v>
      </c>
      <c r="C5622" t="s">
        <v>10</v>
      </c>
      <c r="D5622">
        <v>56</v>
      </c>
      <c r="E5622" t="s">
        <v>218</v>
      </c>
      <c r="F5622" t="s">
        <v>219</v>
      </c>
      <c r="G5622" t="s">
        <v>17</v>
      </c>
      <c r="H5622" s="1">
        <v>45559</v>
      </c>
    </row>
    <row r="5623" spans="1:8">
      <c r="A5623" t="s">
        <v>11219</v>
      </c>
      <c r="B5623" t="s">
        <v>11220</v>
      </c>
      <c r="C5623" t="s">
        <v>10</v>
      </c>
      <c r="D5623">
        <v>29</v>
      </c>
      <c r="E5623" t="s">
        <v>15</v>
      </c>
      <c r="F5623" t="s">
        <v>16</v>
      </c>
      <c r="G5623" t="s">
        <v>17</v>
      </c>
      <c r="H5623" s="1">
        <v>45885</v>
      </c>
    </row>
    <row r="5624" spans="1:8">
      <c r="A5624" t="s">
        <v>11221</v>
      </c>
      <c r="B5624" t="s">
        <v>11222</v>
      </c>
      <c r="C5624" t="s">
        <v>10</v>
      </c>
      <c r="D5624">
        <v>42</v>
      </c>
      <c r="E5624" t="s">
        <v>134</v>
      </c>
      <c r="F5624" t="s">
        <v>28</v>
      </c>
      <c r="G5624" t="s">
        <v>12</v>
      </c>
      <c r="H5624" s="1">
        <v>45443</v>
      </c>
    </row>
    <row r="5625" spans="1:8">
      <c r="A5625" t="s">
        <v>11223</v>
      </c>
      <c r="B5625" t="s">
        <v>11224</v>
      </c>
      <c r="C5625" t="s">
        <v>31</v>
      </c>
      <c r="D5625">
        <v>62</v>
      </c>
      <c r="E5625" t="s">
        <v>45</v>
      </c>
      <c r="F5625" t="s">
        <v>46</v>
      </c>
      <c r="G5625" t="s">
        <v>17</v>
      </c>
      <c r="H5625" s="1">
        <v>45333</v>
      </c>
    </row>
    <row r="5626" spans="1:8">
      <c r="A5626" t="s">
        <v>11225</v>
      </c>
      <c r="B5626" t="s">
        <v>11226</v>
      </c>
      <c r="C5626" t="s">
        <v>31</v>
      </c>
      <c r="D5626">
        <v>56</v>
      </c>
      <c r="E5626" t="s">
        <v>60</v>
      </c>
      <c r="F5626" t="s">
        <v>21</v>
      </c>
      <c r="G5626" t="s">
        <v>22</v>
      </c>
      <c r="H5626" s="1">
        <v>45316</v>
      </c>
    </row>
    <row r="5627" spans="1:8">
      <c r="A5627" t="s">
        <v>11227</v>
      </c>
      <c r="B5627" t="s">
        <v>11228</v>
      </c>
      <c r="C5627" t="s">
        <v>10</v>
      </c>
      <c r="D5627">
        <v>32</v>
      </c>
      <c r="E5627" t="s">
        <v>149</v>
      </c>
      <c r="F5627" t="s">
        <v>38</v>
      </c>
      <c r="G5627" t="s">
        <v>22</v>
      </c>
      <c r="H5627" s="1">
        <v>45748</v>
      </c>
    </row>
    <row r="5628" spans="1:8">
      <c r="A5628" t="s">
        <v>11229</v>
      </c>
      <c r="B5628" t="s">
        <v>11230</v>
      </c>
      <c r="C5628" t="s">
        <v>10</v>
      </c>
      <c r="D5628">
        <v>65</v>
      </c>
      <c r="E5628" t="s">
        <v>45</v>
      </c>
      <c r="F5628" t="s">
        <v>46</v>
      </c>
      <c r="G5628" t="s">
        <v>17</v>
      </c>
      <c r="H5628" s="1">
        <v>45006</v>
      </c>
    </row>
    <row r="5629" spans="1:8">
      <c r="A5629" t="s">
        <v>11231</v>
      </c>
      <c r="B5629" t="s">
        <v>11232</v>
      </c>
      <c r="C5629" t="s">
        <v>31</v>
      </c>
      <c r="D5629">
        <v>47</v>
      </c>
      <c r="E5629" t="s">
        <v>41</v>
      </c>
      <c r="F5629" t="s">
        <v>42</v>
      </c>
      <c r="G5629" t="s">
        <v>17</v>
      </c>
      <c r="H5629" s="1">
        <v>45895</v>
      </c>
    </row>
    <row r="5630" spans="1:8">
      <c r="A5630" t="s">
        <v>11233</v>
      </c>
      <c r="B5630" t="s">
        <v>11234</v>
      </c>
      <c r="C5630" t="s">
        <v>31</v>
      </c>
      <c r="D5630">
        <v>39</v>
      </c>
      <c r="E5630" t="s">
        <v>128</v>
      </c>
      <c r="F5630" t="s">
        <v>129</v>
      </c>
      <c r="G5630" t="s">
        <v>78</v>
      </c>
      <c r="H5630" s="1">
        <v>44716</v>
      </c>
    </row>
    <row r="5631" spans="1:8">
      <c r="A5631" t="s">
        <v>11235</v>
      </c>
      <c r="B5631" t="s">
        <v>11236</v>
      </c>
      <c r="C5631" t="s">
        <v>10</v>
      </c>
      <c r="D5631">
        <v>46</v>
      </c>
      <c r="E5631" t="s">
        <v>149</v>
      </c>
      <c r="F5631" t="s">
        <v>38</v>
      </c>
      <c r="G5631" t="s">
        <v>22</v>
      </c>
      <c r="H5631" s="1">
        <v>45151</v>
      </c>
    </row>
    <row r="5632" spans="1:8">
      <c r="A5632" t="s">
        <v>11237</v>
      </c>
      <c r="B5632" t="s">
        <v>11238</v>
      </c>
      <c r="C5632" t="s">
        <v>31</v>
      </c>
      <c r="D5632">
        <v>66</v>
      </c>
      <c r="E5632" t="s">
        <v>15</v>
      </c>
      <c r="F5632" t="s">
        <v>16</v>
      </c>
      <c r="G5632" t="s">
        <v>17</v>
      </c>
      <c r="H5632" s="1">
        <v>45821</v>
      </c>
    </row>
    <row r="5633" spans="1:8">
      <c r="A5633" t="s">
        <v>11239</v>
      </c>
      <c r="B5633" t="s">
        <v>11240</v>
      </c>
      <c r="C5633" t="s">
        <v>10</v>
      </c>
      <c r="D5633">
        <v>23</v>
      </c>
      <c r="E5633" t="s">
        <v>60</v>
      </c>
      <c r="F5633" t="s">
        <v>21</v>
      </c>
      <c r="G5633" t="s">
        <v>22</v>
      </c>
      <c r="H5633" s="1">
        <v>45994</v>
      </c>
    </row>
    <row r="5634" spans="1:8">
      <c r="A5634" t="s">
        <v>11241</v>
      </c>
      <c r="B5634" t="s">
        <v>11242</v>
      </c>
      <c r="C5634" t="s">
        <v>31</v>
      </c>
      <c r="D5634">
        <v>63</v>
      </c>
      <c r="E5634" t="s">
        <v>69</v>
      </c>
      <c r="F5634" t="s">
        <v>69</v>
      </c>
      <c r="G5634" t="s">
        <v>12</v>
      </c>
      <c r="H5634" s="1">
        <v>45438</v>
      </c>
    </row>
    <row r="5635" spans="1:8">
      <c r="A5635" t="s">
        <v>11243</v>
      </c>
      <c r="B5635" t="s">
        <v>11244</v>
      </c>
      <c r="C5635" t="s">
        <v>10</v>
      </c>
      <c r="D5635">
        <v>60</v>
      </c>
      <c r="E5635" t="s">
        <v>20</v>
      </c>
      <c r="F5635" t="s">
        <v>21</v>
      </c>
      <c r="G5635" t="s">
        <v>22</v>
      </c>
      <c r="H5635" s="1">
        <v>45267</v>
      </c>
    </row>
    <row r="5636" spans="1:8">
      <c r="A5636" t="s">
        <v>11245</v>
      </c>
      <c r="B5636" t="s">
        <v>11246</v>
      </c>
      <c r="C5636" t="s">
        <v>10</v>
      </c>
      <c r="D5636">
        <v>19</v>
      </c>
      <c r="E5636" t="s">
        <v>149</v>
      </c>
      <c r="F5636" t="s">
        <v>38</v>
      </c>
      <c r="G5636" t="s">
        <v>22</v>
      </c>
      <c r="H5636" s="1">
        <v>44699</v>
      </c>
    </row>
    <row r="5637" spans="1:8">
      <c r="A5637" t="s">
        <v>11247</v>
      </c>
      <c r="B5637" t="s">
        <v>11248</v>
      </c>
      <c r="C5637" t="s">
        <v>10</v>
      </c>
      <c r="D5637">
        <v>70</v>
      </c>
      <c r="E5637" t="s">
        <v>63</v>
      </c>
      <c r="F5637" t="s">
        <v>64</v>
      </c>
      <c r="G5637" t="s">
        <v>12</v>
      </c>
      <c r="H5637" s="1">
        <v>45696</v>
      </c>
    </row>
    <row r="5638" spans="1:8">
      <c r="A5638" t="s">
        <v>11249</v>
      </c>
      <c r="B5638" t="s">
        <v>11250</v>
      </c>
      <c r="C5638" t="s">
        <v>10</v>
      </c>
      <c r="D5638">
        <v>44</v>
      </c>
      <c r="E5638" t="s">
        <v>134</v>
      </c>
      <c r="F5638" t="s">
        <v>28</v>
      </c>
      <c r="G5638" t="s">
        <v>12</v>
      </c>
      <c r="H5638" s="1">
        <v>45538</v>
      </c>
    </row>
    <row r="5639" spans="1:8">
      <c r="A5639" t="s">
        <v>11251</v>
      </c>
      <c r="B5639" t="s">
        <v>11252</v>
      </c>
      <c r="C5639" t="s">
        <v>10</v>
      </c>
      <c r="D5639">
        <v>26</v>
      </c>
      <c r="E5639" t="s">
        <v>27</v>
      </c>
      <c r="F5639" t="s">
        <v>28</v>
      </c>
      <c r="G5639" t="s">
        <v>12</v>
      </c>
      <c r="H5639" s="1">
        <v>44684</v>
      </c>
    </row>
    <row r="5640" spans="1:8">
      <c r="A5640" t="s">
        <v>11253</v>
      </c>
      <c r="B5640" t="s">
        <v>11254</v>
      </c>
      <c r="C5640" t="s">
        <v>31</v>
      </c>
      <c r="D5640">
        <v>58</v>
      </c>
      <c r="E5640" t="s">
        <v>15</v>
      </c>
      <c r="F5640" t="s">
        <v>16</v>
      </c>
      <c r="G5640" t="s">
        <v>17</v>
      </c>
      <c r="H5640" s="1">
        <v>45362</v>
      </c>
    </row>
    <row r="5641" spans="1:8">
      <c r="A5641" t="s">
        <v>11255</v>
      </c>
      <c r="B5641" t="s">
        <v>2436</v>
      </c>
      <c r="C5641" t="s">
        <v>31</v>
      </c>
      <c r="D5641">
        <v>58</v>
      </c>
      <c r="E5641" t="s">
        <v>149</v>
      </c>
      <c r="F5641" t="s">
        <v>38</v>
      </c>
      <c r="G5641" t="s">
        <v>22</v>
      </c>
      <c r="H5641" s="1">
        <v>44611</v>
      </c>
    </row>
    <row r="5642" spans="1:8">
      <c r="A5642" t="s">
        <v>11256</v>
      </c>
      <c r="B5642" t="s">
        <v>11257</v>
      </c>
      <c r="C5642" t="s">
        <v>31</v>
      </c>
      <c r="D5642">
        <v>33</v>
      </c>
      <c r="E5642" t="s">
        <v>112</v>
      </c>
      <c r="F5642" t="s">
        <v>113</v>
      </c>
      <c r="G5642" t="s">
        <v>78</v>
      </c>
      <c r="H5642" s="1">
        <v>44980</v>
      </c>
    </row>
    <row r="5643" spans="1:8">
      <c r="A5643" t="s">
        <v>11258</v>
      </c>
      <c r="B5643" t="s">
        <v>11259</v>
      </c>
      <c r="C5643" t="s">
        <v>31</v>
      </c>
      <c r="D5643">
        <v>25</v>
      </c>
      <c r="E5643" t="s">
        <v>34</v>
      </c>
      <c r="F5643" t="s">
        <v>16</v>
      </c>
      <c r="G5643" t="s">
        <v>17</v>
      </c>
      <c r="H5643" s="1">
        <v>45962</v>
      </c>
    </row>
    <row r="5644" spans="1:8">
      <c r="A5644" t="s">
        <v>11260</v>
      </c>
      <c r="B5644" t="s">
        <v>11261</v>
      </c>
      <c r="C5644" t="s">
        <v>10</v>
      </c>
      <c r="D5644">
        <v>26</v>
      </c>
      <c r="E5644" t="s">
        <v>60</v>
      </c>
      <c r="F5644" t="s">
        <v>21</v>
      </c>
      <c r="G5644" t="s">
        <v>22</v>
      </c>
      <c r="H5644" s="1">
        <v>44880</v>
      </c>
    </row>
    <row r="5645" spans="1:8">
      <c r="A5645" t="s">
        <v>11262</v>
      </c>
      <c r="B5645" t="s">
        <v>11263</v>
      </c>
      <c r="C5645" t="s">
        <v>31</v>
      </c>
      <c r="D5645">
        <v>44</v>
      </c>
      <c r="E5645" t="s">
        <v>60</v>
      </c>
      <c r="F5645" t="s">
        <v>21</v>
      </c>
      <c r="G5645" t="s">
        <v>22</v>
      </c>
      <c r="H5645" s="1">
        <v>45144</v>
      </c>
    </row>
    <row r="5646" spans="1:8">
      <c r="A5646" t="s">
        <v>11264</v>
      </c>
      <c r="B5646" t="s">
        <v>11265</v>
      </c>
      <c r="C5646" t="s">
        <v>10</v>
      </c>
      <c r="D5646">
        <v>36</v>
      </c>
      <c r="E5646" t="s">
        <v>41</v>
      </c>
      <c r="F5646" t="s">
        <v>42</v>
      </c>
      <c r="G5646" t="s">
        <v>17</v>
      </c>
      <c r="H5646" s="1">
        <v>44733</v>
      </c>
    </row>
    <row r="5647" spans="1:8">
      <c r="A5647" t="s">
        <v>11266</v>
      </c>
      <c r="B5647" t="s">
        <v>11267</v>
      </c>
      <c r="C5647" t="s">
        <v>10</v>
      </c>
      <c r="D5647">
        <v>19</v>
      </c>
      <c r="E5647" t="s">
        <v>128</v>
      </c>
      <c r="F5647" t="s">
        <v>129</v>
      </c>
      <c r="G5647" t="s">
        <v>78</v>
      </c>
      <c r="H5647" s="1">
        <v>45200</v>
      </c>
    </row>
    <row r="5648" spans="1:8">
      <c r="A5648" t="s">
        <v>11268</v>
      </c>
      <c r="B5648" t="s">
        <v>11269</v>
      </c>
      <c r="C5648" t="s">
        <v>31</v>
      </c>
      <c r="D5648">
        <v>67</v>
      </c>
      <c r="E5648" t="s">
        <v>34</v>
      </c>
      <c r="F5648" t="s">
        <v>16</v>
      </c>
      <c r="G5648" t="s">
        <v>17</v>
      </c>
      <c r="H5648" s="1">
        <v>45490</v>
      </c>
    </row>
    <row r="5649" spans="1:8">
      <c r="A5649" t="s">
        <v>11270</v>
      </c>
      <c r="B5649" t="s">
        <v>11271</v>
      </c>
      <c r="C5649" t="s">
        <v>10</v>
      </c>
      <c r="D5649">
        <v>33</v>
      </c>
      <c r="E5649" t="s">
        <v>128</v>
      </c>
      <c r="F5649" t="s">
        <v>129</v>
      </c>
      <c r="G5649" t="s">
        <v>78</v>
      </c>
      <c r="H5649" s="1">
        <v>45663</v>
      </c>
    </row>
    <row r="5650" spans="1:8">
      <c r="A5650" t="s">
        <v>11272</v>
      </c>
      <c r="B5650" t="s">
        <v>11273</v>
      </c>
      <c r="C5650" t="s">
        <v>10</v>
      </c>
      <c r="D5650">
        <v>34</v>
      </c>
      <c r="E5650" t="s">
        <v>11</v>
      </c>
      <c r="F5650" t="s">
        <v>11</v>
      </c>
      <c r="G5650" t="s">
        <v>12</v>
      </c>
      <c r="H5650" s="1">
        <v>44986</v>
      </c>
    </row>
    <row r="5651" spans="1:8">
      <c r="A5651" t="s">
        <v>11274</v>
      </c>
      <c r="B5651" t="s">
        <v>11275</v>
      </c>
      <c r="C5651" t="s">
        <v>31</v>
      </c>
      <c r="D5651">
        <v>42</v>
      </c>
      <c r="E5651" t="s">
        <v>60</v>
      </c>
      <c r="F5651" t="s">
        <v>21</v>
      </c>
      <c r="G5651" t="s">
        <v>22</v>
      </c>
      <c r="H5651" s="1">
        <v>45911</v>
      </c>
    </row>
    <row r="5652" spans="1:8">
      <c r="A5652" t="s">
        <v>11276</v>
      </c>
      <c r="B5652" t="s">
        <v>11277</v>
      </c>
      <c r="C5652" t="s">
        <v>31</v>
      </c>
      <c r="D5652">
        <v>24</v>
      </c>
      <c r="E5652" t="s">
        <v>63</v>
      </c>
      <c r="F5652" t="s">
        <v>64</v>
      </c>
      <c r="G5652" t="s">
        <v>12</v>
      </c>
      <c r="H5652" s="1">
        <v>45542</v>
      </c>
    </row>
    <row r="5653" spans="1:8">
      <c r="A5653" t="s">
        <v>11278</v>
      </c>
      <c r="B5653" t="s">
        <v>11279</v>
      </c>
      <c r="C5653" t="s">
        <v>31</v>
      </c>
      <c r="D5653">
        <v>44</v>
      </c>
      <c r="E5653" t="s">
        <v>60</v>
      </c>
      <c r="F5653" t="s">
        <v>21</v>
      </c>
      <c r="G5653" t="s">
        <v>22</v>
      </c>
      <c r="H5653" s="1">
        <v>44975</v>
      </c>
    </row>
    <row r="5654" spans="1:8">
      <c r="A5654" t="s">
        <v>11280</v>
      </c>
      <c r="B5654" t="s">
        <v>11281</v>
      </c>
      <c r="C5654" t="s">
        <v>10</v>
      </c>
      <c r="D5654">
        <v>51</v>
      </c>
      <c r="E5654" t="s">
        <v>20</v>
      </c>
      <c r="F5654" t="s">
        <v>21</v>
      </c>
      <c r="G5654" t="s">
        <v>22</v>
      </c>
      <c r="H5654" s="1">
        <v>45260</v>
      </c>
    </row>
    <row r="5655" spans="1:8">
      <c r="A5655" t="s">
        <v>11282</v>
      </c>
      <c r="B5655" t="s">
        <v>11283</v>
      </c>
      <c r="C5655" t="s">
        <v>31</v>
      </c>
      <c r="D5655">
        <v>60</v>
      </c>
      <c r="E5655" t="s">
        <v>15</v>
      </c>
      <c r="F5655" t="s">
        <v>16</v>
      </c>
      <c r="G5655" t="s">
        <v>17</v>
      </c>
      <c r="H5655" s="1">
        <v>44763</v>
      </c>
    </row>
    <row r="5656" spans="1:8">
      <c r="A5656" t="s">
        <v>11284</v>
      </c>
      <c r="B5656" t="s">
        <v>11285</v>
      </c>
      <c r="C5656" t="s">
        <v>10</v>
      </c>
      <c r="D5656">
        <v>62</v>
      </c>
      <c r="E5656" t="s">
        <v>112</v>
      </c>
      <c r="F5656" t="s">
        <v>113</v>
      </c>
      <c r="G5656" t="s">
        <v>78</v>
      </c>
      <c r="H5656" s="1">
        <v>45285</v>
      </c>
    </row>
    <row r="5657" spans="1:8">
      <c r="A5657" t="s">
        <v>11286</v>
      </c>
      <c r="B5657" t="s">
        <v>11287</v>
      </c>
      <c r="C5657" t="s">
        <v>31</v>
      </c>
      <c r="D5657">
        <v>46</v>
      </c>
      <c r="E5657" t="s">
        <v>37</v>
      </c>
      <c r="F5657" t="s">
        <v>38</v>
      </c>
      <c r="G5657" t="s">
        <v>22</v>
      </c>
      <c r="H5657" s="1">
        <v>44938</v>
      </c>
    </row>
    <row r="5658" spans="1:8">
      <c r="A5658" t="s">
        <v>11288</v>
      </c>
      <c r="B5658" t="s">
        <v>11289</v>
      </c>
      <c r="C5658" t="s">
        <v>10</v>
      </c>
      <c r="D5658">
        <v>69</v>
      </c>
      <c r="E5658" t="s">
        <v>76</v>
      </c>
      <c r="F5658" t="s">
        <v>77</v>
      </c>
      <c r="G5658" t="s">
        <v>78</v>
      </c>
      <c r="H5658" s="1">
        <v>45317</v>
      </c>
    </row>
    <row r="5659" spans="1:8">
      <c r="A5659" t="s">
        <v>11290</v>
      </c>
      <c r="B5659" t="s">
        <v>11291</v>
      </c>
      <c r="C5659" t="s">
        <v>31</v>
      </c>
      <c r="D5659">
        <v>40</v>
      </c>
      <c r="E5659" t="s">
        <v>34</v>
      </c>
      <c r="F5659" t="s">
        <v>16</v>
      </c>
      <c r="G5659" t="s">
        <v>17</v>
      </c>
      <c r="H5659" s="1">
        <v>45134</v>
      </c>
    </row>
    <row r="5660" spans="1:8">
      <c r="A5660" t="s">
        <v>11292</v>
      </c>
      <c r="B5660" t="s">
        <v>11293</v>
      </c>
      <c r="C5660" t="s">
        <v>31</v>
      </c>
      <c r="D5660">
        <v>61</v>
      </c>
      <c r="E5660" t="s">
        <v>34</v>
      </c>
      <c r="F5660" t="s">
        <v>16</v>
      </c>
      <c r="G5660" t="s">
        <v>17</v>
      </c>
      <c r="H5660" s="1">
        <v>45563</v>
      </c>
    </row>
    <row r="5661" spans="1:8">
      <c r="A5661" t="s">
        <v>11294</v>
      </c>
      <c r="B5661" t="s">
        <v>11295</v>
      </c>
      <c r="C5661" t="s">
        <v>31</v>
      </c>
      <c r="D5661">
        <v>44</v>
      </c>
      <c r="E5661" t="s">
        <v>149</v>
      </c>
      <c r="F5661" t="s">
        <v>38</v>
      </c>
      <c r="G5661" t="s">
        <v>22</v>
      </c>
      <c r="H5661" s="1">
        <v>45818</v>
      </c>
    </row>
    <row r="5662" spans="1:8">
      <c r="A5662" t="s">
        <v>11296</v>
      </c>
      <c r="B5662" t="s">
        <v>11297</v>
      </c>
      <c r="C5662" t="s">
        <v>31</v>
      </c>
      <c r="D5662">
        <v>55</v>
      </c>
      <c r="E5662" t="s">
        <v>41</v>
      </c>
      <c r="F5662" t="s">
        <v>42</v>
      </c>
      <c r="G5662" t="s">
        <v>17</v>
      </c>
      <c r="H5662" s="1">
        <v>45609</v>
      </c>
    </row>
    <row r="5663" spans="1:8">
      <c r="A5663" t="s">
        <v>11298</v>
      </c>
      <c r="B5663" t="s">
        <v>11299</v>
      </c>
      <c r="C5663" t="s">
        <v>31</v>
      </c>
      <c r="D5663">
        <v>63</v>
      </c>
      <c r="E5663" t="s">
        <v>101</v>
      </c>
      <c r="F5663" t="s">
        <v>21</v>
      </c>
      <c r="G5663" t="s">
        <v>22</v>
      </c>
      <c r="H5663" s="1">
        <v>45132</v>
      </c>
    </row>
    <row r="5664" spans="1:8">
      <c r="A5664" t="s">
        <v>11300</v>
      </c>
      <c r="B5664" t="s">
        <v>11301</v>
      </c>
      <c r="C5664" t="s">
        <v>31</v>
      </c>
      <c r="D5664">
        <v>44</v>
      </c>
      <c r="E5664" t="s">
        <v>20</v>
      </c>
      <c r="F5664" t="s">
        <v>21</v>
      </c>
      <c r="G5664" t="s">
        <v>22</v>
      </c>
      <c r="H5664" s="1">
        <v>44606</v>
      </c>
    </row>
    <row r="5665" spans="1:8">
      <c r="A5665" t="s">
        <v>11302</v>
      </c>
      <c r="B5665" t="s">
        <v>4849</v>
      </c>
      <c r="C5665" t="s">
        <v>31</v>
      </c>
      <c r="D5665">
        <v>55</v>
      </c>
      <c r="E5665" t="s">
        <v>134</v>
      </c>
      <c r="F5665" t="s">
        <v>28</v>
      </c>
      <c r="G5665" t="s">
        <v>12</v>
      </c>
      <c r="H5665" s="1">
        <v>44573</v>
      </c>
    </row>
    <row r="5666" spans="1:8">
      <c r="A5666" t="s">
        <v>11303</v>
      </c>
      <c r="B5666" t="s">
        <v>11304</v>
      </c>
      <c r="C5666" t="s">
        <v>31</v>
      </c>
      <c r="D5666">
        <v>42</v>
      </c>
      <c r="E5666" t="s">
        <v>218</v>
      </c>
      <c r="F5666" t="s">
        <v>219</v>
      </c>
      <c r="G5666" t="s">
        <v>17</v>
      </c>
      <c r="H5666" s="1">
        <v>45419</v>
      </c>
    </row>
    <row r="5667" spans="1:8">
      <c r="A5667" t="s">
        <v>11305</v>
      </c>
      <c r="B5667" t="s">
        <v>11306</v>
      </c>
      <c r="C5667" t="s">
        <v>10</v>
      </c>
      <c r="D5667">
        <v>70</v>
      </c>
      <c r="E5667" t="s">
        <v>37</v>
      </c>
      <c r="F5667" t="s">
        <v>38</v>
      </c>
      <c r="G5667" t="s">
        <v>22</v>
      </c>
      <c r="H5667" s="1">
        <v>44786</v>
      </c>
    </row>
    <row r="5668" spans="1:8">
      <c r="A5668" t="s">
        <v>11307</v>
      </c>
      <c r="B5668" t="s">
        <v>11308</v>
      </c>
      <c r="C5668" t="s">
        <v>31</v>
      </c>
      <c r="D5668">
        <v>44</v>
      </c>
      <c r="E5668" t="s">
        <v>69</v>
      </c>
      <c r="F5668" t="s">
        <v>69</v>
      </c>
      <c r="G5668" t="s">
        <v>12</v>
      </c>
      <c r="H5668" s="1">
        <v>44820</v>
      </c>
    </row>
    <row r="5669" spans="1:8">
      <c r="A5669" t="s">
        <v>11309</v>
      </c>
      <c r="B5669" t="s">
        <v>11310</v>
      </c>
      <c r="C5669" t="s">
        <v>10</v>
      </c>
      <c r="D5669">
        <v>65</v>
      </c>
      <c r="E5669" t="s">
        <v>63</v>
      </c>
      <c r="F5669" t="s">
        <v>64</v>
      </c>
      <c r="G5669" t="s">
        <v>12</v>
      </c>
      <c r="H5669" s="1">
        <v>45785</v>
      </c>
    </row>
    <row r="5670" spans="1:8">
      <c r="A5670" t="s">
        <v>11311</v>
      </c>
      <c r="B5670" t="s">
        <v>11312</v>
      </c>
      <c r="C5670" t="s">
        <v>31</v>
      </c>
      <c r="D5670">
        <v>55</v>
      </c>
      <c r="E5670" t="s">
        <v>20</v>
      </c>
      <c r="F5670" t="s">
        <v>21</v>
      </c>
      <c r="G5670" t="s">
        <v>22</v>
      </c>
      <c r="H5670" s="1">
        <v>45819</v>
      </c>
    </row>
    <row r="5671" spans="1:8">
      <c r="A5671" t="s">
        <v>11313</v>
      </c>
      <c r="B5671" t="s">
        <v>11314</v>
      </c>
      <c r="C5671" t="s">
        <v>31</v>
      </c>
      <c r="D5671">
        <v>26</v>
      </c>
      <c r="E5671" t="s">
        <v>134</v>
      </c>
      <c r="F5671" t="s">
        <v>28</v>
      </c>
      <c r="G5671" t="s">
        <v>12</v>
      </c>
      <c r="H5671" s="1">
        <v>45964</v>
      </c>
    </row>
    <row r="5672" spans="1:8">
      <c r="A5672" t="s">
        <v>11315</v>
      </c>
      <c r="B5672" t="s">
        <v>11316</v>
      </c>
      <c r="C5672" t="s">
        <v>31</v>
      </c>
      <c r="D5672">
        <v>45</v>
      </c>
      <c r="E5672" t="s">
        <v>218</v>
      </c>
      <c r="F5672" t="s">
        <v>219</v>
      </c>
      <c r="G5672" t="s">
        <v>17</v>
      </c>
      <c r="H5672" s="1">
        <v>44787</v>
      </c>
    </row>
    <row r="5673" spans="1:8">
      <c r="A5673" t="s">
        <v>11317</v>
      </c>
      <c r="B5673" t="s">
        <v>11318</v>
      </c>
      <c r="C5673" t="s">
        <v>10</v>
      </c>
      <c r="D5673">
        <v>27</v>
      </c>
      <c r="E5673" t="s">
        <v>91</v>
      </c>
      <c r="F5673" t="s">
        <v>92</v>
      </c>
      <c r="G5673" t="s">
        <v>78</v>
      </c>
      <c r="H5673" s="1">
        <v>44570</v>
      </c>
    </row>
    <row r="5674" spans="1:8">
      <c r="A5674" t="s">
        <v>11319</v>
      </c>
      <c r="B5674" t="s">
        <v>11320</v>
      </c>
      <c r="C5674" t="s">
        <v>31</v>
      </c>
      <c r="D5674">
        <v>53</v>
      </c>
      <c r="E5674" t="s">
        <v>134</v>
      </c>
      <c r="F5674" t="s">
        <v>28</v>
      </c>
      <c r="G5674" t="s">
        <v>12</v>
      </c>
      <c r="H5674" s="1">
        <v>45572</v>
      </c>
    </row>
    <row r="5675" spans="1:8">
      <c r="A5675" t="s">
        <v>11321</v>
      </c>
      <c r="B5675" t="s">
        <v>11322</v>
      </c>
      <c r="C5675" t="s">
        <v>31</v>
      </c>
      <c r="D5675">
        <v>49</v>
      </c>
      <c r="E5675" t="s">
        <v>87</v>
      </c>
      <c r="F5675" t="s">
        <v>88</v>
      </c>
      <c r="G5675" t="s">
        <v>78</v>
      </c>
      <c r="H5675" s="1">
        <v>45149</v>
      </c>
    </row>
    <row r="5676" spans="1:8">
      <c r="A5676" t="s">
        <v>11323</v>
      </c>
      <c r="B5676" t="s">
        <v>11324</v>
      </c>
      <c r="C5676" t="s">
        <v>31</v>
      </c>
      <c r="D5676">
        <v>25</v>
      </c>
      <c r="E5676" t="s">
        <v>69</v>
      </c>
      <c r="F5676" t="s">
        <v>69</v>
      </c>
      <c r="G5676" t="s">
        <v>12</v>
      </c>
      <c r="H5676" s="1">
        <v>44842</v>
      </c>
    </row>
    <row r="5677" spans="1:8">
      <c r="A5677" t="s">
        <v>11325</v>
      </c>
      <c r="B5677" t="s">
        <v>11326</v>
      </c>
      <c r="C5677" t="s">
        <v>10</v>
      </c>
      <c r="D5677">
        <v>47</v>
      </c>
      <c r="E5677" t="s">
        <v>91</v>
      </c>
      <c r="F5677" t="s">
        <v>92</v>
      </c>
      <c r="G5677" t="s">
        <v>78</v>
      </c>
      <c r="H5677" s="1">
        <v>45991</v>
      </c>
    </row>
    <row r="5678" spans="1:8">
      <c r="A5678" t="s">
        <v>11327</v>
      </c>
      <c r="B5678" t="s">
        <v>11328</v>
      </c>
      <c r="C5678" t="s">
        <v>10</v>
      </c>
      <c r="D5678">
        <v>23</v>
      </c>
      <c r="E5678" t="s">
        <v>34</v>
      </c>
      <c r="F5678" t="s">
        <v>16</v>
      </c>
      <c r="G5678" t="s">
        <v>17</v>
      </c>
      <c r="H5678" s="1">
        <v>45892</v>
      </c>
    </row>
    <row r="5679" spans="1:8">
      <c r="A5679" t="s">
        <v>11329</v>
      </c>
      <c r="B5679" t="s">
        <v>11330</v>
      </c>
      <c r="C5679" t="s">
        <v>10</v>
      </c>
      <c r="D5679">
        <v>67</v>
      </c>
      <c r="E5679" t="s">
        <v>218</v>
      </c>
      <c r="F5679" t="s">
        <v>219</v>
      </c>
      <c r="G5679" t="s">
        <v>17</v>
      </c>
      <c r="H5679" s="1">
        <v>45955</v>
      </c>
    </row>
    <row r="5680" spans="1:8">
      <c r="A5680" t="s">
        <v>11331</v>
      </c>
      <c r="B5680" t="s">
        <v>11332</v>
      </c>
      <c r="C5680" t="s">
        <v>10</v>
      </c>
      <c r="D5680">
        <v>62</v>
      </c>
      <c r="E5680" t="s">
        <v>41</v>
      </c>
      <c r="F5680" t="s">
        <v>42</v>
      </c>
      <c r="G5680" t="s">
        <v>17</v>
      </c>
      <c r="H5680" s="1">
        <v>45883</v>
      </c>
    </row>
    <row r="5681" spans="1:8">
      <c r="A5681" t="s">
        <v>11333</v>
      </c>
      <c r="B5681" t="s">
        <v>11334</v>
      </c>
      <c r="C5681" t="s">
        <v>31</v>
      </c>
      <c r="D5681">
        <v>38</v>
      </c>
      <c r="E5681" t="s">
        <v>218</v>
      </c>
      <c r="F5681" t="s">
        <v>219</v>
      </c>
      <c r="G5681" t="s">
        <v>17</v>
      </c>
      <c r="H5681" s="1">
        <v>45992</v>
      </c>
    </row>
    <row r="5682" spans="1:8">
      <c r="A5682" t="s">
        <v>11335</v>
      </c>
      <c r="B5682" t="s">
        <v>11336</v>
      </c>
      <c r="C5682" t="s">
        <v>31</v>
      </c>
      <c r="D5682">
        <v>67</v>
      </c>
      <c r="E5682" t="s">
        <v>41</v>
      </c>
      <c r="F5682" t="s">
        <v>42</v>
      </c>
      <c r="G5682" t="s">
        <v>17</v>
      </c>
      <c r="H5682" s="1">
        <v>45561</v>
      </c>
    </row>
    <row r="5683" spans="1:8">
      <c r="A5683" t="s">
        <v>11337</v>
      </c>
      <c r="B5683" t="s">
        <v>11338</v>
      </c>
      <c r="C5683" t="s">
        <v>10</v>
      </c>
      <c r="D5683">
        <v>44</v>
      </c>
      <c r="E5683" t="s">
        <v>11</v>
      </c>
      <c r="F5683" t="s">
        <v>11</v>
      </c>
      <c r="G5683" t="s">
        <v>12</v>
      </c>
      <c r="H5683" s="1">
        <v>45371</v>
      </c>
    </row>
    <row r="5684" spans="1:8">
      <c r="A5684" t="s">
        <v>11339</v>
      </c>
      <c r="B5684" t="s">
        <v>11340</v>
      </c>
      <c r="C5684" t="s">
        <v>31</v>
      </c>
      <c r="D5684">
        <v>30</v>
      </c>
      <c r="E5684" t="s">
        <v>63</v>
      </c>
      <c r="F5684" t="s">
        <v>64</v>
      </c>
      <c r="G5684" t="s">
        <v>12</v>
      </c>
      <c r="H5684" s="1">
        <v>45627</v>
      </c>
    </row>
    <row r="5685" spans="1:8">
      <c r="A5685" t="s">
        <v>11341</v>
      </c>
      <c r="B5685" t="s">
        <v>11342</v>
      </c>
      <c r="C5685" t="s">
        <v>10</v>
      </c>
      <c r="D5685">
        <v>19</v>
      </c>
      <c r="E5685" t="s">
        <v>15</v>
      </c>
      <c r="F5685" t="s">
        <v>16</v>
      </c>
      <c r="G5685" t="s">
        <v>17</v>
      </c>
      <c r="H5685" s="1">
        <v>44845</v>
      </c>
    </row>
    <row r="5686" spans="1:8">
      <c r="A5686" t="s">
        <v>11343</v>
      </c>
      <c r="B5686" t="s">
        <v>11344</v>
      </c>
      <c r="C5686" t="s">
        <v>31</v>
      </c>
      <c r="D5686">
        <v>50</v>
      </c>
      <c r="E5686" t="s">
        <v>87</v>
      </c>
      <c r="F5686" t="s">
        <v>88</v>
      </c>
      <c r="G5686" t="s">
        <v>78</v>
      </c>
      <c r="H5686" s="1">
        <v>45946</v>
      </c>
    </row>
    <row r="5687" spans="1:8">
      <c r="A5687" t="s">
        <v>11345</v>
      </c>
      <c r="B5687" t="s">
        <v>11346</v>
      </c>
      <c r="C5687" t="s">
        <v>31</v>
      </c>
      <c r="D5687">
        <v>67</v>
      </c>
      <c r="E5687" t="s">
        <v>76</v>
      </c>
      <c r="F5687" t="s">
        <v>77</v>
      </c>
      <c r="G5687" t="s">
        <v>78</v>
      </c>
      <c r="H5687" s="1">
        <v>45356</v>
      </c>
    </row>
    <row r="5688" spans="1:8">
      <c r="A5688" t="s">
        <v>11347</v>
      </c>
      <c r="B5688" t="s">
        <v>11348</v>
      </c>
      <c r="C5688" t="s">
        <v>10</v>
      </c>
      <c r="D5688">
        <v>66</v>
      </c>
      <c r="E5688" t="s">
        <v>128</v>
      </c>
      <c r="F5688" t="s">
        <v>129</v>
      </c>
      <c r="G5688" t="s">
        <v>78</v>
      </c>
      <c r="H5688" s="1">
        <v>44978</v>
      </c>
    </row>
    <row r="5689" spans="1:8">
      <c r="A5689" t="s">
        <v>11349</v>
      </c>
      <c r="B5689" t="s">
        <v>11350</v>
      </c>
      <c r="C5689" t="s">
        <v>31</v>
      </c>
      <c r="D5689">
        <v>19</v>
      </c>
      <c r="E5689" t="s">
        <v>41</v>
      </c>
      <c r="F5689" t="s">
        <v>42</v>
      </c>
      <c r="G5689" t="s">
        <v>17</v>
      </c>
      <c r="H5689" s="1">
        <v>45945</v>
      </c>
    </row>
    <row r="5690" spans="1:8">
      <c r="A5690" t="s">
        <v>11351</v>
      </c>
      <c r="B5690" t="s">
        <v>11352</v>
      </c>
      <c r="C5690" t="s">
        <v>31</v>
      </c>
      <c r="D5690">
        <v>49</v>
      </c>
      <c r="E5690" t="s">
        <v>128</v>
      </c>
      <c r="F5690" t="s">
        <v>129</v>
      </c>
      <c r="G5690" t="s">
        <v>78</v>
      </c>
      <c r="H5690" s="1">
        <v>44902</v>
      </c>
    </row>
    <row r="5691" spans="1:8">
      <c r="A5691" t="s">
        <v>11353</v>
      </c>
      <c r="B5691" t="s">
        <v>11354</v>
      </c>
      <c r="C5691" t="s">
        <v>10</v>
      </c>
      <c r="D5691">
        <v>42</v>
      </c>
      <c r="E5691" t="s">
        <v>11</v>
      </c>
      <c r="F5691" t="s">
        <v>11</v>
      </c>
      <c r="G5691" t="s">
        <v>12</v>
      </c>
      <c r="H5691" s="1">
        <v>45990</v>
      </c>
    </row>
    <row r="5692" spans="1:8">
      <c r="A5692" t="s">
        <v>11355</v>
      </c>
      <c r="B5692" t="s">
        <v>11356</v>
      </c>
      <c r="C5692" t="s">
        <v>31</v>
      </c>
      <c r="D5692">
        <v>56</v>
      </c>
      <c r="E5692" t="s">
        <v>45</v>
      </c>
      <c r="F5692" t="s">
        <v>46</v>
      </c>
      <c r="G5692" t="s">
        <v>17</v>
      </c>
      <c r="H5692" s="1">
        <v>45872</v>
      </c>
    </row>
    <row r="5693" spans="1:8">
      <c r="A5693" t="s">
        <v>11357</v>
      </c>
      <c r="B5693" t="s">
        <v>11358</v>
      </c>
      <c r="C5693" t="s">
        <v>10</v>
      </c>
      <c r="D5693">
        <v>19</v>
      </c>
      <c r="E5693" t="s">
        <v>112</v>
      </c>
      <c r="F5693" t="s">
        <v>113</v>
      </c>
      <c r="G5693" t="s">
        <v>78</v>
      </c>
      <c r="H5693" s="1">
        <v>45789</v>
      </c>
    </row>
    <row r="5694" spans="1:8">
      <c r="A5694" t="s">
        <v>11359</v>
      </c>
      <c r="B5694" t="s">
        <v>11360</v>
      </c>
      <c r="C5694" t="s">
        <v>31</v>
      </c>
      <c r="D5694">
        <v>54</v>
      </c>
      <c r="E5694" t="s">
        <v>37</v>
      </c>
      <c r="F5694" t="s">
        <v>38</v>
      </c>
      <c r="G5694" t="s">
        <v>22</v>
      </c>
      <c r="H5694" s="1">
        <v>45420</v>
      </c>
    </row>
    <row r="5695" spans="1:8">
      <c r="A5695" t="s">
        <v>11361</v>
      </c>
      <c r="B5695" t="s">
        <v>11362</v>
      </c>
      <c r="C5695" t="s">
        <v>10</v>
      </c>
      <c r="D5695">
        <v>27</v>
      </c>
      <c r="E5695" t="s">
        <v>11</v>
      </c>
      <c r="F5695" t="s">
        <v>11</v>
      </c>
      <c r="G5695" t="s">
        <v>12</v>
      </c>
      <c r="H5695" s="1">
        <v>44794</v>
      </c>
    </row>
    <row r="5696" spans="1:8">
      <c r="A5696" t="s">
        <v>11363</v>
      </c>
      <c r="B5696" t="s">
        <v>6122</v>
      </c>
      <c r="C5696" t="s">
        <v>10</v>
      </c>
      <c r="D5696">
        <v>41</v>
      </c>
      <c r="E5696" t="s">
        <v>45</v>
      </c>
      <c r="F5696" t="s">
        <v>46</v>
      </c>
      <c r="G5696" t="s">
        <v>17</v>
      </c>
      <c r="H5696" s="1">
        <v>44753</v>
      </c>
    </row>
    <row r="5697" spans="1:8">
      <c r="A5697" t="s">
        <v>11364</v>
      </c>
      <c r="B5697" t="s">
        <v>11365</v>
      </c>
      <c r="C5697" t="s">
        <v>10</v>
      </c>
      <c r="D5697">
        <v>39</v>
      </c>
      <c r="E5697" t="s">
        <v>15</v>
      </c>
      <c r="F5697" t="s">
        <v>16</v>
      </c>
      <c r="G5697" t="s">
        <v>17</v>
      </c>
      <c r="H5697" s="1">
        <v>44720</v>
      </c>
    </row>
    <row r="5698" spans="1:8">
      <c r="A5698" t="s">
        <v>11366</v>
      </c>
      <c r="B5698" t="s">
        <v>11367</v>
      </c>
      <c r="C5698" t="s">
        <v>31</v>
      </c>
      <c r="D5698">
        <v>68</v>
      </c>
      <c r="E5698" t="s">
        <v>15</v>
      </c>
      <c r="F5698" t="s">
        <v>16</v>
      </c>
      <c r="G5698" t="s">
        <v>17</v>
      </c>
      <c r="H5698" s="1">
        <v>45535</v>
      </c>
    </row>
    <row r="5699" spans="1:8">
      <c r="A5699" t="s">
        <v>11368</v>
      </c>
      <c r="B5699" t="s">
        <v>11369</v>
      </c>
      <c r="C5699" t="s">
        <v>10</v>
      </c>
      <c r="D5699">
        <v>31</v>
      </c>
      <c r="E5699" t="s">
        <v>87</v>
      </c>
      <c r="F5699" t="s">
        <v>88</v>
      </c>
      <c r="G5699" t="s">
        <v>78</v>
      </c>
      <c r="H5699" s="1">
        <v>45669</v>
      </c>
    </row>
    <row r="5700" spans="1:8">
      <c r="A5700" t="s">
        <v>11370</v>
      </c>
      <c r="B5700" t="s">
        <v>11371</v>
      </c>
      <c r="C5700" t="s">
        <v>10</v>
      </c>
      <c r="D5700">
        <v>36</v>
      </c>
      <c r="E5700" t="s">
        <v>128</v>
      </c>
      <c r="F5700" t="s">
        <v>129</v>
      </c>
      <c r="G5700" t="s">
        <v>78</v>
      </c>
      <c r="H5700" s="1">
        <v>45743</v>
      </c>
    </row>
    <row r="5701" spans="1:8">
      <c r="A5701" t="s">
        <v>11372</v>
      </c>
      <c r="B5701" t="s">
        <v>11373</v>
      </c>
      <c r="C5701" t="s">
        <v>31</v>
      </c>
      <c r="D5701">
        <v>21</v>
      </c>
      <c r="E5701" t="s">
        <v>15</v>
      </c>
      <c r="F5701" t="s">
        <v>16</v>
      </c>
      <c r="G5701" t="s">
        <v>17</v>
      </c>
      <c r="H5701" s="1">
        <v>44687</v>
      </c>
    </row>
    <row r="5702" spans="1:8">
      <c r="A5702" t="s">
        <v>11374</v>
      </c>
      <c r="B5702" t="s">
        <v>11375</v>
      </c>
      <c r="C5702" t="s">
        <v>31</v>
      </c>
      <c r="D5702">
        <v>42</v>
      </c>
      <c r="E5702" t="s">
        <v>15</v>
      </c>
      <c r="F5702" t="s">
        <v>16</v>
      </c>
      <c r="G5702" t="s">
        <v>17</v>
      </c>
      <c r="H5702" s="1">
        <v>45275</v>
      </c>
    </row>
    <row r="5703" spans="1:8">
      <c r="A5703" t="s">
        <v>11376</v>
      </c>
      <c r="B5703" t="s">
        <v>11377</v>
      </c>
      <c r="C5703" t="s">
        <v>10</v>
      </c>
      <c r="D5703">
        <v>39</v>
      </c>
      <c r="E5703" t="s">
        <v>91</v>
      </c>
      <c r="F5703" t="s">
        <v>92</v>
      </c>
      <c r="G5703" t="s">
        <v>78</v>
      </c>
      <c r="H5703" s="1">
        <v>44717</v>
      </c>
    </row>
    <row r="5704" spans="1:8">
      <c r="A5704" t="s">
        <v>11378</v>
      </c>
      <c r="B5704" t="s">
        <v>11379</v>
      </c>
      <c r="C5704" t="s">
        <v>10</v>
      </c>
      <c r="D5704">
        <v>48</v>
      </c>
      <c r="E5704" t="s">
        <v>15</v>
      </c>
      <c r="F5704" t="s">
        <v>16</v>
      </c>
      <c r="G5704" t="s">
        <v>17</v>
      </c>
      <c r="H5704" s="1">
        <v>45124</v>
      </c>
    </row>
    <row r="5705" spans="1:8">
      <c r="A5705" t="s">
        <v>11380</v>
      </c>
      <c r="B5705" t="s">
        <v>11381</v>
      </c>
      <c r="C5705" t="s">
        <v>10</v>
      </c>
      <c r="D5705">
        <v>30</v>
      </c>
      <c r="E5705" t="s">
        <v>37</v>
      </c>
      <c r="F5705" t="s">
        <v>38</v>
      </c>
      <c r="G5705" t="s">
        <v>22</v>
      </c>
      <c r="H5705" s="1">
        <v>45283</v>
      </c>
    </row>
    <row r="5706" spans="1:8">
      <c r="A5706" t="s">
        <v>11382</v>
      </c>
      <c r="B5706" t="s">
        <v>11383</v>
      </c>
      <c r="C5706" t="s">
        <v>31</v>
      </c>
      <c r="D5706">
        <v>51</v>
      </c>
      <c r="E5706" t="s">
        <v>49</v>
      </c>
      <c r="F5706" t="s">
        <v>16</v>
      </c>
      <c r="G5706" t="s">
        <v>17</v>
      </c>
      <c r="H5706" s="1">
        <v>44773</v>
      </c>
    </row>
    <row r="5707" spans="1:8">
      <c r="A5707" t="s">
        <v>11384</v>
      </c>
      <c r="B5707" t="s">
        <v>11385</v>
      </c>
      <c r="C5707" t="s">
        <v>31</v>
      </c>
      <c r="D5707">
        <v>25</v>
      </c>
      <c r="E5707" t="s">
        <v>112</v>
      </c>
      <c r="F5707" t="s">
        <v>113</v>
      </c>
      <c r="G5707" t="s">
        <v>78</v>
      </c>
      <c r="H5707" s="1">
        <v>45139</v>
      </c>
    </row>
    <row r="5708" spans="1:8">
      <c r="A5708" t="s">
        <v>11386</v>
      </c>
      <c r="B5708" t="s">
        <v>11387</v>
      </c>
      <c r="C5708" t="s">
        <v>31</v>
      </c>
      <c r="D5708">
        <v>20</v>
      </c>
      <c r="E5708" t="s">
        <v>149</v>
      </c>
      <c r="F5708" t="s">
        <v>38</v>
      </c>
      <c r="G5708" t="s">
        <v>22</v>
      </c>
      <c r="H5708" s="1">
        <v>45686</v>
      </c>
    </row>
    <row r="5709" spans="1:8">
      <c r="A5709" t="s">
        <v>11388</v>
      </c>
      <c r="B5709" t="s">
        <v>11389</v>
      </c>
      <c r="C5709" t="s">
        <v>10</v>
      </c>
      <c r="D5709">
        <v>47</v>
      </c>
      <c r="E5709" t="s">
        <v>218</v>
      </c>
      <c r="F5709" t="s">
        <v>219</v>
      </c>
      <c r="G5709" t="s">
        <v>17</v>
      </c>
      <c r="H5709" s="1">
        <v>44638</v>
      </c>
    </row>
    <row r="5710" spans="1:8">
      <c r="A5710" t="s">
        <v>11390</v>
      </c>
      <c r="B5710" t="s">
        <v>11391</v>
      </c>
      <c r="C5710" t="s">
        <v>10</v>
      </c>
      <c r="D5710">
        <v>48</v>
      </c>
      <c r="E5710" t="s">
        <v>11</v>
      </c>
      <c r="F5710" t="s">
        <v>11</v>
      </c>
      <c r="G5710" t="s">
        <v>12</v>
      </c>
      <c r="H5710" s="1">
        <v>45391</v>
      </c>
    </row>
    <row r="5711" spans="1:8">
      <c r="A5711" t="s">
        <v>11392</v>
      </c>
      <c r="B5711" t="s">
        <v>11393</v>
      </c>
      <c r="C5711" t="s">
        <v>10</v>
      </c>
      <c r="D5711">
        <v>41</v>
      </c>
      <c r="E5711" t="s">
        <v>69</v>
      </c>
      <c r="F5711" t="s">
        <v>69</v>
      </c>
      <c r="G5711" t="s">
        <v>12</v>
      </c>
      <c r="H5711" s="1">
        <v>44753</v>
      </c>
    </row>
    <row r="5712" spans="1:8">
      <c r="A5712" t="s">
        <v>11394</v>
      </c>
      <c r="B5712" t="s">
        <v>11395</v>
      </c>
      <c r="C5712" t="s">
        <v>31</v>
      </c>
      <c r="D5712">
        <v>25</v>
      </c>
      <c r="E5712" t="s">
        <v>149</v>
      </c>
      <c r="F5712" t="s">
        <v>38</v>
      </c>
      <c r="G5712" t="s">
        <v>22</v>
      </c>
      <c r="H5712" s="1">
        <v>45430</v>
      </c>
    </row>
    <row r="5713" spans="1:8">
      <c r="A5713" t="s">
        <v>11396</v>
      </c>
      <c r="B5713" t="s">
        <v>11397</v>
      </c>
      <c r="C5713" t="s">
        <v>31</v>
      </c>
      <c r="D5713">
        <v>46</v>
      </c>
      <c r="E5713" t="s">
        <v>218</v>
      </c>
      <c r="F5713" t="s">
        <v>219</v>
      </c>
      <c r="G5713" t="s">
        <v>17</v>
      </c>
      <c r="H5713" s="1">
        <v>45524</v>
      </c>
    </row>
    <row r="5714" spans="1:8">
      <c r="A5714" t="s">
        <v>11398</v>
      </c>
      <c r="B5714" t="s">
        <v>11399</v>
      </c>
      <c r="C5714" t="s">
        <v>10</v>
      </c>
      <c r="D5714">
        <v>28</v>
      </c>
      <c r="E5714" t="s">
        <v>60</v>
      </c>
      <c r="F5714" t="s">
        <v>21</v>
      </c>
      <c r="G5714" t="s">
        <v>22</v>
      </c>
      <c r="H5714" s="1">
        <v>44975</v>
      </c>
    </row>
    <row r="5715" spans="1:8">
      <c r="A5715" t="s">
        <v>11400</v>
      </c>
      <c r="B5715" t="s">
        <v>11401</v>
      </c>
      <c r="C5715" t="s">
        <v>31</v>
      </c>
      <c r="D5715">
        <v>19</v>
      </c>
      <c r="E5715" t="s">
        <v>149</v>
      </c>
      <c r="F5715" t="s">
        <v>38</v>
      </c>
      <c r="G5715" t="s">
        <v>22</v>
      </c>
      <c r="H5715" s="1">
        <v>44647</v>
      </c>
    </row>
    <row r="5716" spans="1:8">
      <c r="A5716" t="s">
        <v>11402</v>
      </c>
      <c r="B5716" t="s">
        <v>11403</v>
      </c>
      <c r="C5716" t="s">
        <v>31</v>
      </c>
      <c r="D5716">
        <v>30</v>
      </c>
      <c r="E5716" t="s">
        <v>60</v>
      </c>
      <c r="F5716" t="s">
        <v>21</v>
      </c>
      <c r="G5716" t="s">
        <v>22</v>
      </c>
      <c r="H5716" s="1">
        <v>44986</v>
      </c>
    </row>
    <row r="5717" spans="1:8">
      <c r="A5717" t="s">
        <v>11404</v>
      </c>
      <c r="B5717" t="s">
        <v>11405</v>
      </c>
      <c r="C5717" t="s">
        <v>31</v>
      </c>
      <c r="D5717">
        <v>45</v>
      </c>
      <c r="E5717" t="s">
        <v>218</v>
      </c>
      <c r="F5717" t="s">
        <v>219</v>
      </c>
      <c r="G5717" t="s">
        <v>17</v>
      </c>
      <c r="H5717" s="1">
        <v>44699</v>
      </c>
    </row>
    <row r="5718" spans="1:8">
      <c r="A5718" t="s">
        <v>11406</v>
      </c>
      <c r="B5718" t="s">
        <v>11407</v>
      </c>
      <c r="C5718" t="s">
        <v>31</v>
      </c>
      <c r="D5718">
        <v>33</v>
      </c>
      <c r="E5718" t="s">
        <v>101</v>
      </c>
      <c r="F5718" t="s">
        <v>21</v>
      </c>
      <c r="G5718" t="s">
        <v>22</v>
      </c>
      <c r="H5718" s="1">
        <v>45679</v>
      </c>
    </row>
    <row r="5719" spans="1:8">
      <c r="A5719" t="s">
        <v>11408</v>
      </c>
      <c r="B5719" t="s">
        <v>11409</v>
      </c>
      <c r="C5719" t="s">
        <v>10</v>
      </c>
      <c r="D5719">
        <v>36</v>
      </c>
      <c r="E5719" t="s">
        <v>101</v>
      </c>
      <c r="F5719" t="s">
        <v>21</v>
      </c>
      <c r="G5719" t="s">
        <v>22</v>
      </c>
      <c r="H5719" s="1">
        <v>45068</v>
      </c>
    </row>
    <row r="5720" spans="1:8">
      <c r="A5720" t="s">
        <v>11410</v>
      </c>
      <c r="B5720" t="s">
        <v>11411</v>
      </c>
      <c r="C5720" t="s">
        <v>10</v>
      </c>
      <c r="D5720">
        <v>24</v>
      </c>
      <c r="E5720" t="s">
        <v>41</v>
      </c>
      <c r="F5720" t="s">
        <v>42</v>
      </c>
      <c r="G5720" t="s">
        <v>17</v>
      </c>
      <c r="H5720" s="1">
        <v>45912</v>
      </c>
    </row>
    <row r="5721" spans="1:8">
      <c r="A5721" t="s">
        <v>11412</v>
      </c>
      <c r="B5721" t="s">
        <v>11413</v>
      </c>
      <c r="C5721" t="s">
        <v>10</v>
      </c>
      <c r="D5721">
        <v>22</v>
      </c>
      <c r="E5721" t="s">
        <v>149</v>
      </c>
      <c r="F5721" t="s">
        <v>38</v>
      </c>
      <c r="G5721" t="s">
        <v>22</v>
      </c>
      <c r="H5721" s="1">
        <v>45248</v>
      </c>
    </row>
    <row r="5722" spans="1:8">
      <c r="A5722" t="s">
        <v>11414</v>
      </c>
      <c r="B5722" t="s">
        <v>11415</v>
      </c>
      <c r="C5722" t="s">
        <v>31</v>
      </c>
      <c r="D5722">
        <v>45</v>
      </c>
      <c r="E5722" t="s">
        <v>27</v>
      </c>
      <c r="F5722" t="s">
        <v>28</v>
      </c>
      <c r="G5722" t="s">
        <v>12</v>
      </c>
      <c r="H5722" s="1">
        <v>45110</v>
      </c>
    </row>
    <row r="5723" spans="1:8">
      <c r="A5723" t="s">
        <v>11416</v>
      </c>
      <c r="B5723" t="s">
        <v>11417</v>
      </c>
      <c r="C5723" t="s">
        <v>10</v>
      </c>
      <c r="D5723">
        <v>70</v>
      </c>
      <c r="E5723" t="s">
        <v>60</v>
      </c>
      <c r="F5723" t="s">
        <v>21</v>
      </c>
      <c r="G5723" t="s">
        <v>22</v>
      </c>
      <c r="H5723" s="1">
        <v>44988</v>
      </c>
    </row>
    <row r="5724" spans="1:8">
      <c r="A5724" t="s">
        <v>11418</v>
      </c>
      <c r="B5724" t="s">
        <v>11419</v>
      </c>
      <c r="C5724" t="s">
        <v>10</v>
      </c>
      <c r="D5724">
        <v>68</v>
      </c>
      <c r="E5724" t="s">
        <v>76</v>
      </c>
      <c r="F5724" t="s">
        <v>77</v>
      </c>
      <c r="G5724" t="s">
        <v>78</v>
      </c>
      <c r="H5724" s="1">
        <v>44575</v>
      </c>
    </row>
    <row r="5725" spans="1:8">
      <c r="A5725" t="s">
        <v>11420</v>
      </c>
      <c r="B5725" t="s">
        <v>11421</v>
      </c>
      <c r="C5725" t="s">
        <v>31</v>
      </c>
      <c r="D5725">
        <v>29</v>
      </c>
      <c r="E5725" t="s">
        <v>101</v>
      </c>
      <c r="F5725" t="s">
        <v>21</v>
      </c>
      <c r="G5725" t="s">
        <v>22</v>
      </c>
      <c r="H5725" s="1">
        <v>44884</v>
      </c>
    </row>
    <row r="5726" spans="1:8">
      <c r="A5726" t="s">
        <v>11422</v>
      </c>
      <c r="B5726" t="s">
        <v>8853</v>
      </c>
      <c r="C5726" t="s">
        <v>10</v>
      </c>
      <c r="D5726">
        <v>34</v>
      </c>
      <c r="E5726" t="s">
        <v>149</v>
      </c>
      <c r="F5726" t="s">
        <v>38</v>
      </c>
      <c r="G5726" t="s">
        <v>22</v>
      </c>
      <c r="H5726" s="1">
        <v>45442</v>
      </c>
    </row>
    <row r="5727" spans="1:8">
      <c r="A5727" t="s">
        <v>11423</v>
      </c>
      <c r="B5727" t="s">
        <v>11424</v>
      </c>
      <c r="C5727" t="s">
        <v>10</v>
      </c>
      <c r="D5727">
        <v>28</v>
      </c>
      <c r="E5727" t="s">
        <v>37</v>
      </c>
      <c r="F5727" t="s">
        <v>38</v>
      </c>
      <c r="G5727" t="s">
        <v>22</v>
      </c>
      <c r="H5727" s="1">
        <v>46016</v>
      </c>
    </row>
    <row r="5728" spans="1:8">
      <c r="A5728" t="s">
        <v>11425</v>
      </c>
      <c r="B5728" t="s">
        <v>11426</v>
      </c>
      <c r="C5728" t="s">
        <v>31</v>
      </c>
      <c r="D5728">
        <v>45</v>
      </c>
      <c r="E5728" t="s">
        <v>60</v>
      </c>
      <c r="F5728" t="s">
        <v>21</v>
      </c>
      <c r="G5728" t="s">
        <v>22</v>
      </c>
      <c r="H5728" s="1">
        <v>45321</v>
      </c>
    </row>
    <row r="5729" spans="1:8">
      <c r="A5729" t="s">
        <v>11427</v>
      </c>
      <c r="B5729" t="s">
        <v>11428</v>
      </c>
      <c r="C5729" t="s">
        <v>31</v>
      </c>
      <c r="D5729">
        <v>70</v>
      </c>
      <c r="E5729" t="s">
        <v>34</v>
      </c>
      <c r="F5729" t="s">
        <v>16</v>
      </c>
      <c r="G5729" t="s">
        <v>17</v>
      </c>
      <c r="H5729" s="1">
        <v>44571</v>
      </c>
    </row>
    <row r="5730" spans="1:8">
      <c r="A5730" t="s">
        <v>11429</v>
      </c>
      <c r="B5730" t="s">
        <v>11430</v>
      </c>
      <c r="C5730" t="s">
        <v>31</v>
      </c>
      <c r="D5730">
        <v>26</v>
      </c>
      <c r="E5730" t="s">
        <v>15</v>
      </c>
      <c r="F5730" t="s">
        <v>16</v>
      </c>
      <c r="G5730" t="s">
        <v>17</v>
      </c>
      <c r="H5730" s="1">
        <v>45658</v>
      </c>
    </row>
    <row r="5731" spans="1:8">
      <c r="A5731" t="s">
        <v>11431</v>
      </c>
      <c r="B5731" t="s">
        <v>11432</v>
      </c>
      <c r="C5731" t="s">
        <v>31</v>
      </c>
      <c r="D5731">
        <v>66</v>
      </c>
      <c r="E5731" t="s">
        <v>87</v>
      </c>
      <c r="F5731" t="s">
        <v>88</v>
      </c>
      <c r="G5731" t="s">
        <v>78</v>
      </c>
      <c r="H5731" s="1">
        <v>45870</v>
      </c>
    </row>
    <row r="5732" spans="1:8">
      <c r="A5732" t="s">
        <v>11433</v>
      </c>
      <c r="B5732" t="s">
        <v>11434</v>
      </c>
      <c r="C5732" t="s">
        <v>31</v>
      </c>
      <c r="D5732">
        <v>68</v>
      </c>
      <c r="E5732" t="s">
        <v>128</v>
      </c>
      <c r="F5732" t="s">
        <v>129</v>
      </c>
      <c r="G5732" t="s">
        <v>78</v>
      </c>
      <c r="H5732" s="1">
        <v>44903</v>
      </c>
    </row>
    <row r="5733" spans="1:8">
      <c r="A5733" t="s">
        <v>11435</v>
      </c>
      <c r="B5733" t="s">
        <v>11436</v>
      </c>
      <c r="C5733" t="s">
        <v>10</v>
      </c>
      <c r="D5733">
        <v>66</v>
      </c>
      <c r="E5733" t="s">
        <v>149</v>
      </c>
      <c r="F5733" t="s">
        <v>38</v>
      </c>
      <c r="G5733" t="s">
        <v>22</v>
      </c>
      <c r="H5733" s="1">
        <v>44799</v>
      </c>
    </row>
    <row r="5734" spans="1:8">
      <c r="A5734" t="s">
        <v>11437</v>
      </c>
      <c r="B5734" t="s">
        <v>11438</v>
      </c>
      <c r="C5734" t="s">
        <v>10</v>
      </c>
      <c r="D5734">
        <v>62</v>
      </c>
      <c r="E5734" t="s">
        <v>101</v>
      </c>
      <c r="F5734" t="s">
        <v>21</v>
      </c>
      <c r="G5734" t="s">
        <v>22</v>
      </c>
      <c r="H5734" s="1">
        <v>45215</v>
      </c>
    </row>
    <row r="5735" spans="1:8">
      <c r="A5735" t="s">
        <v>11439</v>
      </c>
      <c r="B5735" t="s">
        <v>11440</v>
      </c>
      <c r="C5735" t="s">
        <v>10</v>
      </c>
      <c r="D5735">
        <v>18</v>
      </c>
      <c r="E5735" t="s">
        <v>27</v>
      </c>
      <c r="F5735" t="s">
        <v>28</v>
      </c>
      <c r="G5735" t="s">
        <v>12</v>
      </c>
      <c r="H5735" s="1">
        <v>45360</v>
      </c>
    </row>
    <row r="5736" spans="1:8">
      <c r="A5736" t="s">
        <v>11441</v>
      </c>
      <c r="B5736" t="s">
        <v>11442</v>
      </c>
      <c r="C5736" t="s">
        <v>31</v>
      </c>
      <c r="D5736">
        <v>23</v>
      </c>
      <c r="E5736" t="s">
        <v>11</v>
      </c>
      <c r="F5736" t="s">
        <v>11</v>
      </c>
      <c r="G5736" t="s">
        <v>12</v>
      </c>
      <c r="H5736" s="1">
        <v>44579</v>
      </c>
    </row>
    <row r="5737" spans="1:8">
      <c r="A5737" t="s">
        <v>11443</v>
      </c>
      <c r="B5737" t="s">
        <v>11444</v>
      </c>
      <c r="C5737" t="s">
        <v>31</v>
      </c>
      <c r="D5737">
        <v>27</v>
      </c>
      <c r="E5737" t="s">
        <v>15</v>
      </c>
      <c r="F5737" t="s">
        <v>16</v>
      </c>
      <c r="G5737" t="s">
        <v>17</v>
      </c>
      <c r="H5737" s="1">
        <v>44851</v>
      </c>
    </row>
    <row r="5738" spans="1:8">
      <c r="A5738" t="s">
        <v>11445</v>
      </c>
      <c r="B5738" t="s">
        <v>11446</v>
      </c>
      <c r="C5738" t="s">
        <v>10</v>
      </c>
      <c r="D5738">
        <v>61</v>
      </c>
      <c r="E5738" t="s">
        <v>45</v>
      </c>
      <c r="F5738" t="s">
        <v>46</v>
      </c>
      <c r="G5738" t="s">
        <v>17</v>
      </c>
      <c r="H5738" s="1">
        <v>45563</v>
      </c>
    </row>
    <row r="5739" spans="1:8">
      <c r="A5739" t="s">
        <v>11447</v>
      </c>
      <c r="B5739" t="s">
        <v>11448</v>
      </c>
      <c r="C5739" t="s">
        <v>31</v>
      </c>
      <c r="D5739">
        <v>70</v>
      </c>
      <c r="E5739" t="s">
        <v>91</v>
      </c>
      <c r="F5739" t="s">
        <v>92</v>
      </c>
      <c r="G5739" t="s">
        <v>78</v>
      </c>
      <c r="H5739" s="1">
        <v>45910</v>
      </c>
    </row>
    <row r="5740" spans="1:8">
      <c r="A5740" t="s">
        <v>11449</v>
      </c>
      <c r="B5740" t="s">
        <v>11450</v>
      </c>
      <c r="C5740" t="s">
        <v>10</v>
      </c>
      <c r="D5740">
        <v>66</v>
      </c>
      <c r="E5740" t="s">
        <v>69</v>
      </c>
      <c r="F5740" t="s">
        <v>69</v>
      </c>
      <c r="G5740" t="s">
        <v>12</v>
      </c>
      <c r="H5740" s="1">
        <v>45523</v>
      </c>
    </row>
    <row r="5741" spans="1:8">
      <c r="A5741" t="s">
        <v>11451</v>
      </c>
      <c r="B5741" t="s">
        <v>11452</v>
      </c>
      <c r="C5741" t="s">
        <v>31</v>
      </c>
      <c r="D5741">
        <v>24</v>
      </c>
      <c r="E5741" t="s">
        <v>69</v>
      </c>
      <c r="F5741" t="s">
        <v>69</v>
      </c>
      <c r="G5741" t="s">
        <v>12</v>
      </c>
      <c r="H5741" s="1">
        <v>44808</v>
      </c>
    </row>
    <row r="5742" spans="1:8">
      <c r="A5742" t="s">
        <v>11453</v>
      </c>
      <c r="B5742" t="s">
        <v>11454</v>
      </c>
      <c r="C5742" t="s">
        <v>31</v>
      </c>
      <c r="D5742">
        <v>67</v>
      </c>
      <c r="E5742" t="s">
        <v>60</v>
      </c>
      <c r="F5742" t="s">
        <v>21</v>
      </c>
      <c r="G5742" t="s">
        <v>22</v>
      </c>
      <c r="H5742" s="1">
        <v>45451</v>
      </c>
    </row>
    <row r="5743" spans="1:8">
      <c r="A5743" t="s">
        <v>11455</v>
      </c>
      <c r="B5743" t="s">
        <v>11456</v>
      </c>
      <c r="C5743" t="s">
        <v>31</v>
      </c>
      <c r="D5743">
        <v>20</v>
      </c>
      <c r="E5743" t="s">
        <v>149</v>
      </c>
      <c r="F5743" t="s">
        <v>38</v>
      </c>
      <c r="G5743" t="s">
        <v>22</v>
      </c>
      <c r="H5743" s="1">
        <v>45394</v>
      </c>
    </row>
    <row r="5744" spans="1:8">
      <c r="A5744" t="s">
        <v>11457</v>
      </c>
      <c r="B5744" t="s">
        <v>9830</v>
      </c>
      <c r="C5744" t="s">
        <v>10</v>
      </c>
      <c r="D5744">
        <v>30</v>
      </c>
      <c r="E5744" t="s">
        <v>69</v>
      </c>
      <c r="F5744" t="s">
        <v>69</v>
      </c>
      <c r="G5744" t="s">
        <v>12</v>
      </c>
      <c r="H5744" s="1">
        <v>45635</v>
      </c>
    </row>
    <row r="5745" spans="1:8">
      <c r="A5745" t="s">
        <v>11458</v>
      </c>
      <c r="B5745" t="s">
        <v>11459</v>
      </c>
      <c r="C5745" t="s">
        <v>10</v>
      </c>
      <c r="D5745">
        <v>57</v>
      </c>
      <c r="E5745" t="s">
        <v>45</v>
      </c>
      <c r="F5745" t="s">
        <v>46</v>
      </c>
      <c r="G5745" t="s">
        <v>17</v>
      </c>
      <c r="H5745" s="1">
        <v>44594</v>
      </c>
    </row>
    <row r="5746" spans="1:8">
      <c r="A5746" t="s">
        <v>11460</v>
      </c>
      <c r="B5746" t="s">
        <v>11461</v>
      </c>
      <c r="C5746" t="s">
        <v>31</v>
      </c>
      <c r="D5746">
        <v>26</v>
      </c>
      <c r="E5746" t="s">
        <v>63</v>
      </c>
      <c r="F5746" t="s">
        <v>64</v>
      </c>
      <c r="G5746" t="s">
        <v>12</v>
      </c>
      <c r="H5746" s="1">
        <v>44892</v>
      </c>
    </row>
    <row r="5747" spans="1:8">
      <c r="A5747" t="s">
        <v>11462</v>
      </c>
      <c r="B5747" t="s">
        <v>11463</v>
      </c>
      <c r="C5747" t="s">
        <v>31</v>
      </c>
      <c r="D5747">
        <v>30</v>
      </c>
      <c r="E5747" t="s">
        <v>112</v>
      </c>
      <c r="F5747" t="s">
        <v>113</v>
      </c>
      <c r="G5747" t="s">
        <v>78</v>
      </c>
      <c r="H5747" s="1">
        <v>45959</v>
      </c>
    </row>
    <row r="5748" spans="1:8">
      <c r="A5748" t="s">
        <v>11464</v>
      </c>
      <c r="B5748" t="s">
        <v>11465</v>
      </c>
      <c r="C5748" t="s">
        <v>10</v>
      </c>
      <c r="D5748">
        <v>26</v>
      </c>
      <c r="E5748" t="s">
        <v>27</v>
      </c>
      <c r="F5748" t="s">
        <v>28</v>
      </c>
      <c r="G5748" t="s">
        <v>12</v>
      </c>
      <c r="H5748" s="1">
        <v>44972</v>
      </c>
    </row>
    <row r="5749" spans="1:8">
      <c r="A5749" t="s">
        <v>11466</v>
      </c>
      <c r="B5749" t="s">
        <v>11467</v>
      </c>
      <c r="C5749" t="s">
        <v>31</v>
      </c>
      <c r="D5749">
        <v>33</v>
      </c>
      <c r="E5749" t="s">
        <v>49</v>
      </c>
      <c r="F5749" t="s">
        <v>129</v>
      </c>
      <c r="G5749" t="s">
        <v>78</v>
      </c>
      <c r="H5749" s="1">
        <v>44717</v>
      </c>
    </row>
    <row r="5750" spans="1:8">
      <c r="A5750" t="s">
        <v>11468</v>
      </c>
      <c r="B5750" t="s">
        <v>11469</v>
      </c>
      <c r="C5750" t="s">
        <v>10</v>
      </c>
      <c r="D5750">
        <v>41</v>
      </c>
      <c r="E5750" t="s">
        <v>87</v>
      </c>
      <c r="F5750" t="s">
        <v>88</v>
      </c>
      <c r="G5750" t="s">
        <v>78</v>
      </c>
      <c r="H5750" s="1">
        <v>45501</v>
      </c>
    </row>
    <row r="5751" spans="1:8">
      <c r="A5751" t="s">
        <v>11470</v>
      </c>
      <c r="B5751" t="s">
        <v>11471</v>
      </c>
      <c r="C5751" t="s">
        <v>10</v>
      </c>
      <c r="D5751">
        <v>44</v>
      </c>
      <c r="E5751" t="s">
        <v>69</v>
      </c>
      <c r="F5751" t="s">
        <v>69</v>
      </c>
      <c r="G5751" t="s">
        <v>12</v>
      </c>
      <c r="H5751" s="1">
        <v>45937</v>
      </c>
    </row>
    <row r="5752" spans="1:8">
      <c r="A5752" t="s">
        <v>11472</v>
      </c>
      <c r="B5752" t="s">
        <v>11473</v>
      </c>
      <c r="C5752" t="s">
        <v>31</v>
      </c>
      <c r="D5752">
        <v>68</v>
      </c>
      <c r="E5752" t="s">
        <v>15</v>
      </c>
      <c r="F5752" t="s">
        <v>16</v>
      </c>
      <c r="G5752" t="s">
        <v>17</v>
      </c>
      <c r="H5752" s="1">
        <v>45247</v>
      </c>
    </row>
    <row r="5753" spans="1:8">
      <c r="A5753" t="s">
        <v>11474</v>
      </c>
      <c r="B5753" t="s">
        <v>11475</v>
      </c>
      <c r="C5753" t="s">
        <v>31</v>
      </c>
      <c r="D5753">
        <v>20</v>
      </c>
      <c r="E5753" t="s">
        <v>11</v>
      </c>
      <c r="F5753" t="s">
        <v>11</v>
      </c>
      <c r="G5753" t="s">
        <v>12</v>
      </c>
      <c r="H5753" s="1">
        <v>44731</v>
      </c>
    </row>
    <row r="5754" spans="1:8">
      <c r="A5754" t="s">
        <v>11476</v>
      </c>
      <c r="B5754" t="s">
        <v>11477</v>
      </c>
      <c r="C5754" t="s">
        <v>10</v>
      </c>
      <c r="D5754">
        <v>43</v>
      </c>
      <c r="E5754" t="s">
        <v>11</v>
      </c>
      <c r="F5754" t="s">
        <v>11</v>
      </c>
      <c r="G5754" t="s">
        <v>12</v>
      </c>
      <c r="H5754" s="1">
        <v>44651</v>
      </c>
    </row>
    <row r="5755" spans="1:8">
      <c r="A5755" t="s">
        <v>11478</v>
      </c>
      <c r="B5755" t="s">
        <v>11479</v>
      </c>
      <c r="C5755" t="s">
        <v>10</v>
      </c>
      <c r="D5755">
        <v>19</v>
      </c>
      <c r="E5755" t="s">
        <v>63</v>
      </c>
      <c r="F5755" t="s">
        <v>64</v>
      </c>
      <c r="G5755" t="s">
        <v>12</v>
      </c>
      <c r="H5755" s="1">
        <v>45420</v>
      </c>
    </row>
    <row r="5756" spans="1:8">
      <c r="A5756" t="s">
        <v>11480</v>
      </c>
      <c r="B5756" t="s">
        <v>11481</v>
      </c>
      <c r="C5756" t="s">
        <v>31</v>
      </c>
      <c r="D5756">
        <v>53</v>
      </c>
      <c r="E5756" t="s">
        <v>101</v>
      </c>
      <c r="F5756" t="s">
        <v>21</v>
      </c>
      <c r="G5756" t="s">
        <v>22</v>
      </c>
      <c r="H5756" s="1">
        <v>45383</v>
      </c>
    </row>
    <row r="5757" spans="1:8">
      <c r="A5757" t="s">
        <v>11482</v>
      </c>
      <c r="B5757" t="s">
        <v>11483</v>
      </c>
      <c r="C5757" t="s">
        <v>31</v>
      </c>
      <c r="D5757">
        <v>47</v>
      </c>
      <c r="E5757" t="s">
        <v>101</v>
      </c>
      <c r="F5757" t="s">
        <v>21</v>
      </c>
      <c r="G5757" t="s">
        <v>22</v>
      </c>
      <c r="H5757" s="1">
        <v>45932</v>
      </c>
    </row>
    <row r="5758" spans="1:8">
      <c r="A5758" t="s">
        <v>11484</v>
      </c>
      <c r="B5758" t="s">
        <v>1593</v>
      </c>
      <c r="C5758" t="s">
        <v>10</v>
      </c>
      <c r="D5758">
        <v>32</v>
      </c>
      <c r="E5758" t="s">
        <v>128</v>
      </c>
      <c r="F5758" t="s">
        <v>129</v>
      </c>
      <c r="G5758" t="s">
        <v>78</v>
      </c>
      <c r="H5758" s="1">
        <v>45495</v>
      </c>
    </row>
    <row r="5759" spans="1:8">
      <c r="A5759" t="s">
        <v>11485</v>
      </c>
      <c r="B5759" t="s">
        <v>11486</v>
      </c>
      <c r="C5759" t="s">
        <v>10</v>
      </c>
      <c r="D5759">
        <v>40</v>
      </c>
      <c r="E5759" t="s">
        <v>60</v>
      </c>
      <c r="F5759" t="s">
        <v>21</v>
      </c>
      <c r="G5759" t="s">
        <v>22</v>
      </c>
      <c r="H5759" s="1">
        <v>45586</v>
      </c>
    </row>
    <row r="5760" spans="1:8">
      <c r="A5760" t="s">
        <v>11487</v>
      </c>
      <c r="B5760" t="s">
        <v>11488</v>
      </c>
      <c r="C5760" t="s">
        <v>10</v>
      </c>
      <c r="D5760">
        <v>24</v>
      </c>
      <c r="E5760" t="s">
        <v>20</v>
      </c>
      <c r="F5760" t="s">
        <v>21</v>
      </c>
      <c r="G5760" t="s">
        <v>22</v>
      </c>
      <c r="H5760" s="1">
        <v>45791</v>
      </c>
    </row>
    <row r="5761" spans="1:8">
      <c r="A5761" t="s">
        <v>11489</v>
      </c>
      <c r="B5761" t="s">
        <v>11490</v>
      </c>
      <c r="C5761" t="s">
        <v>10</v>
      </c>
      <c r="D5761">
        <v>70</v>
      </c>
      <c r="E5761" t="s">
        <v>41</v>
      </c>
      <c r="F5761" t="s">
        <v>42</v>
      </c>
      <c r="G5761" t="s">
        <v>17</v>
      </c>
      <c r="H5761" s="1">
        <v>45528</v>
      </c>
    </row>
    <row r="5762" spans="1:8">
      <c r="A5762" t="s">
        <v>11491</v>
      </c>
      <c r="B5762" t="s">
        <v>11492</v>
      </c>
      <c r="C5762" t="s">
        <v>31</v>
      </c>
      <c r="D5762">
        <v>58</v>
      </c>
      <c r="E5762" t="s">
        <v>34</v>
      </c>
      <c r="F5762" t="s">
        <v>16</v>
      </c>
      <c r="G5762" t="s">
        <v>17</v>
      </c>
      <c r="H5762" s="1">
        <v>46017</v>
      </c>
    </row>
    <row r="5763" spans="1:8">
      <c r="A5763" t="s">
        <v>11493</v>
      </c>
      <c r="B5763" t="s">
        <v>11494</v>
      </c>
      <c r="C5763" t="s">
        <v>10</v>
      </c>
      <c r="D5763">
        <v>69</v>
      </c>
      <c r="E5763" t="s">
        <v>37</v>
      </c>
      <c r="F5763" t="s">
        <v>38</v>
      </c>
      <c r="G5763" t="s">
        <v>22</v>
      </c>
      <c r="H5763" s="1">
        <v>45952</v>
      </c>
    </row>
    <row r="5764" spans="1:8">
      <c r="A5764" t="s">
        <v>11495</v>
      </c>
      <c r="B5764" t="s">
        <v>11496</v>
      </c>
      <c r="C5764" t="s">
        <v>31</v>
      </c>
      <c r="D5764">
        <v>62</v>
      </c>
      <c r="E5764" t="s">
        <v>34</v>
      </c>
      <c r="F5764" t="s">
        <v>16</v>
      </c>
      <c r="G5764" t="s">
        <v>17</v>
      </c>
      <c r="H5764" s="1">
        <v>44749</v>
      </c>
    </row>
    <row r="5765" spans="1:8">
      <c r="A5765" t="s">
        <v>11497</v>
      </c>
      <c r="B5765" t="s">
        <v>11498</v>
      </c>
      <c r="C5765" t="s">
        <v>31</v>
      </c>
      <c r="D5765">
        <v>27</v>
      </c>
      <c r="E5765" t="s">
        <v>41</v>
      </c>
      <c r="F5765" t="s">
        <v>42</v>
      </c>
      <c r="G5765" t="s">
        <v>17</v>
      </c>
      <c r="H5765" s="1">
        <v>45428</v>
      </c>
    </row>
    <row r="5766" spans="1:8">
      <c r="A5766" t="s">
        <v>11499</v>
      </c>
      <c r="B5766" t="s">
        <v>11500</v>
      </c>
      <c r="C5766" t="s">
        <v>31</v>
      </c>
      <c r="D5766">
        <v>52</v>
      </c>
      <c r="E5766" t="s">
        <v>63</v>
      </c>
      <c r="F5766" t="s">
        <v>64</v>
      </c>
      <c r="G5766" t="s">
        <v>12</v>
      </c>
      <c r="H5766" s="1">
        <v>45197</v>
      </c>
    </row>
    <row r="5767" spans="1:8">
      <c r="A5767" t="s">
        <v>11501</v>
      </c>
      <c r="B5767" t="s">
        <v>11502</v>
      </c>
      <c r="C5767" t="s">
        <v>31</v>
      </c>
      <c r="D5767">
        <v>60</v>
      </c>
      <c r="E5767" t="s">
        <v>60</v>
      </c>
      <c r="F5767" t="s">
        <v>21</v>
      </c>
      <c r="G5767" t="s">
        <v>22</v>
      </c>
      <c r="H5767" s="1">
        <v>44902</v>
      </c>
    </row>
    <row r="5768" spans="1:8">
      <c r="A5768" t="s">
        <v>11503</v>
      </c>
      <c r="B5768" t="s">
        <v>11504</v>
      </c>
      <c r="C5768" t="s">
        <v>10</v>
      </c>
      <c r="D5768">
        <v>62</v>
      </c>
      <c r="E5768" t="s">
        <v>15</v>
      </c>
      <c r="F5768" t="s">
        <v>16</v>
      </c>
      <c r="G5768" t="s">
        <v>17</v>
      </c>
      <c r="H5768" s="1">
        <v>44642</v>
      </c>
    </row>
    <row r="5769" spans="1:8">
      <c r="A5769" t="s">
        <v>11505</v>
      </c>
      <c r="B5769" t="s">
        <v>11506</v>
      </c>
      <c r="C5769" t="s">
        <v>31</v>
      </c>
      <c r="D5769">
        <v>60</v>
      </c>
      <c r="E5769" t="s">
        <v>76</v>
      </c>
      <c r="F5769" t="s">
        <v>77</v>
      </c>
      <c r="G5769" t="s">
        <v>78</v>
      </c>
      <c r="H5769" s="1">
        <v>44604</v>
      </c>
    </row>
    <row r="5770" spans="1:8">
      <c r="A5770" t="s">
        <v>11507</v>
      </c>
      <c r="B5770" t="s">
        <v>11508</v>
      </c>
      <c r="C5770" t="s">
        <v>31</v>
      </c>
      <c r="D5770">
        <v>68</v>
      </c>
      <c r="E5770" t="s">
        <v>45</v>
      </c>
      <c r="F5770" t="s">
        <v>46</v>
      </c>
      <c r="G5770" t="s">
        <v>17</v>
      </c>
      <c r="H5770" s="1">
        <v>45927</v>
      </c>
    </row>
    <row r="5771" spans="1:8">
      <c r="A5771" t="s">
        <v>11509</v>
      </c>
      <c r="B5771" t="s">
        <v>11510</v>
      </c>
      <c r="C5771" t="s">
        <v>10</v>
      </c>
      <c r="D5771">
        <v>53</v>
      </c>
      <c r="E5771" t="s">
        <v>15</v>
      </c>
      <c r="F5771" t="s">
        <v>16</v>
      </c>
      <c r="G5771" t="s">
        <v>17</v>
      </c>
      <c r="H5771" s="1">
        <v>45768</v>
      </c>
    </row>
    <row r="5772" spans="1:8">
      <c r="A5772" t="s">
        <v>11511</v>
      </c>
      <c r="B5772" t="s">
        <v>11512</v>
      </c>
      <c r="C5772" t="s">
        <v>10</v>
      </c>
      <c r="D5772">
        <v>49</v>
      </c>
      <c r="E5772" t="s">
        <v>134</v>
      </c>
      <c r="F5772" t="s">
        <v>28</v>
      </c>
      <c r="G5772" t="s">
        <v>12</v>
      </c>
      <c r="H5772" s="1">
        <v>44988</v>
      </c>
    </row>
    <row r="5773" spans="1:8">
      <c r="A5773" t="s">
        <v>11513</v>
      </c>
      <c r="B5773" t="s">
        <v>11514</v>
      </c>
      <c r="C5773" t="s">
        <v>10</v>
      </c>
      <c r="D5773">
        <v>64</v>
      </c>
      <c r="E5773" t="s">
        <v>112</v>
      </c>
      <c r="F5773" t="s">
        <v>113</v>
      </c>
      <c r="G5773" t="s">
        <v>78</v>
      </c>
      <c r="H5773" s="1">
        <v>45896</v>
      </c>
    </row>
    <row r="5774" spans="1:8">
      <c r="A5774" t="s">
        <v>11515</v>
      </c>
      <c r="B5774" t="s">
        <v>11516</v>
      </c>
      <c r="C5774" t="s">
        <v>31</v>
      </c>
      <c r="D5774">
        <v>44</v>
      </c>
      <c r="E5774" t="s">
        <v>34</v>
      </c>
      <c r="F5774" t="s">
        <v>16</v>
      </c>
      <c r="G5774" t="s">
        <v>17</v>
      </c>
      <c r="H5774" s="1">
        <v>45042</v>
      </c>
    </row>
    <row r="5775" spans="1:8">
      <c r="A5775" t="s">
        <v>11517</v>
      </c>
      <c r="B5775" t="s">
        <v>11518</v>
      </c>
      <c r="C5775" t="s">
        <v>10</v>
      </c>
      <c r="D5775">
        <v>69</v>
      </c>
      <c r="E5775" t="s">
        <v>76</v>
      </c>
      <c r="F5775" t="s">
        <v>77</v>
      </c>
      <c r="G5775" t="s">
        <v>78</v>
      </c>
      <c r="H5775" s="1">
        <v>45343</v>
      </c>
    </row>
    <row r="5776" spans="1:8">
      <c r="A5776" t="s">
        <v>11519</v>
      </c>
      <c r="B5776" t="s">
        <v>11520</v>
      </c>
      <c r="C5776" t="s">
        <v>10</v>
      </c>
      <c r="D5776">
        <v>55</v>
      </c>
      <c r="E5776" t="s">
        <v>15</v>
      </c>
      <c r="F5776" t="s">
        <v>16</v>
      </c>
      <c r="G5776" t="s">
        <v>17</v>
      </c>
      <c r="H5776" s="1">
        <v>44678</v>
      </c>
    </row>
    <row r="5777" spans="1:8">
      <c r="A5777" t="s">
        <v>11521</v>
      </c>
      <c r="B5777" t="s">
        <v>11522</v>
      </c>
      <c r="C5777" t="s">
        <v>10</v>
      </c>
      <c r="D5777">
        <v>22</v>
      </c>
      <c r="E5777" t="s">
        <v>218</v>
      </c>
      <c r="F5777" t="s">
        <v>219</v>
      </c>
      <c r="G5777" t="s">
        <v>17</v>
      </c>
      <c r="H5777" s="1">
        <v>45767</v>
      </c>
    </row>
    <row r="5778" spans="1:8">
      <c r="A5778" t="s">
        <v>11523</v>
      </c>
      <c r="B5778" t="s">
        <v>11524</v>
      </c>
      <c r="C5778" t="s">
        <v>10</v>
      </c>
      <c r="D5778">
        <v>69</v>
      </c>
      <c r="E5778" t="s">
        <v>60</v>
      </c>
      <c r="F5778" t="s">
        <v>21</v>
      </c>
      <c r="G5778" t="s">
        <v>22</v>
      </c>
      <c r="H5778" s="1">
        <v>44795</v>
      </c>
    </row>
    <row r="5779" spans="1:8">
      <c r="A5779" t="s">
        <v>11525</v>
      </c>
      <c r="B5779" t="s">
        <v>11526</v>
      </c>
      <c r="C5779" t="s">
        <v>10</v>
      </c>
      <c r="D5779">
        <v>51</v>
      </c>
      <c r="E5779" t="s">
        <v>128</v>
      </c>
      <c r="F5779" t="s">
        <v>129</v>
      </c>
      <c r="G5779" t="s">
        <v>78</v>
      </c>
      <c r="H5779" s="1">
        <v>44653</v>
      </c>
    </row>
    <row r="5780" spans="1:8">
      <c r="A5780" t="s">
        <v>11527</v>
      </c>
      <c r="B5780" t="s">
        <v>11528</v>
      </c>
      <c r="C5780" t="s">
        <v>31</v>
      </c>
      <c r="D5780">
        <v>22</v>
      </c>
      <c r="E5780" t="s">
        <v>63</v>
      </c>
      <c r="F5780" t="s">
        <v>64</v>
      </c>
      <c r="G5780" t="s">
        <v>12</v>
      </c>
      <c r="H5780" s="1">
        <v>45249</v>
      </c>
    </row>
    <row r="5781" spans="1:8">
      <c r="A5781" t="s">
        <v>11529</v>
      </c>
      <c r="B5781" t="s">
        <v>11530</v>
      </c>
      <c r="C5781" t="s">
        <v>10</v>
      </c>
      <c r="D5781">
        <v>57</v>
      </c>
      <c r="E5781" t="s">
        <v>60</v>
      </c>
      <c r="F5781" t="s">
        <v>21</v>
      </c>
      <c r="G5781" t="s">
        <v>22</v>
      </c>
      <c r="H5781" s="1">
        <v>44930</v>
      </c>
    </row>
    <row r="5782" spans="1:8">
      <c r="A5782" t="s">
        <v>11531</v>
      </c>
      <c r="B5782" t="s">
        <v>11532</v>
      </c>
      <c r="C5782" t="s">
        <v>10</v>
      </c>
      <c r="D5782">
        <v>58</v>
      </c>
      <c r="E5782" t="s">
        <v>11</v>
      </c>
      <c r="F5782" t="s">
        <v>11</v>
      </c>
      <c r="G5782" t="s">
        <v>12</v>
      </c>
      <c r="H5782" s="1">
        <v>45099</v>
      </c>
    </row>
    <row r="5783" spans="1:8">
      <c r="A5783" t="s">
        <v>11533</v>
      </c>
      <c r="B5783" t="s">
        <v>11534</v>
      </c>
      <c r="C5783" t="s">
        <v>10</v>
      </c>
      <c r="D5783">
        <v>67</v>
      </c>
      <c r="E5783" t="s">
        <v>149</v>
      </c>
      <c r="F5783" t="s">
        <v>38</v>
      </c>
      <c r="G5783" t="s">
        <v>22</v>
      </c>
      <c r="H5783" s="1">
        <v>44743</v>
      </c>
    </row>
    <row r="5784" spans="1:8">
      <c r="A5784" t="s">
        <v>11535</v>
      </c>
      <c r="B5784" t="s">
        <v>11536</v>
      </c>
      <c r="C5784" t="s">
        <v>10</v>
      </c>
      <c r="D5784">
        <v>50</v>
      </c>
      <c r="E5784" t="s">
        <v>101</v>
      </c>
      <c r="F5784" t="s">
        <v>21</v>
      </c>
      <c r="G5784" t="s">
        <v>22</v>
      </c>
      <c r="H5784" s="1">
        <v>45655</v>
      </c>
    </row>
    <row r="5785" spans="1:8">
      <c r="A5785" t="s">
        <v>11537</v>
      </c>
      <c r="B5785" t="s">
        <v>11538</v>
      </c>
      <c r="C5785" t="s">
        <v>10</v>
      </c>
      <c r="D5785">
        <v>61</v>
      </c>
      <c r="E5785" t="s">
        <v>11</v>
      </c>
      <c r="F5785" t="s">
        <v>11</v>
      </c>
      <c r="G5785" t="s">
        <v>12</v>
      </c>
      <c r="H5785" s="1">
        <v>44849</v>
      </c>
    </row>
    <row r="5786" spans="1:8">
      <c r="A5786" t="s">
        <v>11539</v>
      </c>
      <c r="B5786" t="s">
        <v>11540</v>
      </c>
      <c r="C5786" t="s">
        <v>31</v>
      </c>
      <c r="D5786">
        <v>66</v>
      </c>
      <c r="E5786" t="s">
        <v>27</v>
      </c>
      <c r="F5786" t="s">
        <v>28</v>
      </c>
      <c r="G5786" t="s">
        <v>12</v>
      </c>
      <c r="H5786" s="1">
        <v>44698</v>
      </c>
    </row>
    <row r="5787" spans="1:8">
      <c r="A5787" t="s">
        <v>11541</v>
      </c>
      <c r="B5787" t="s">
        <v>11542</v>
      </c>
      <c r="C5787" t="s">
        <v>31</v>
      </c>
      <c r="D5787">
        <v>67</v>
      </c>
      <c r="E5787" t="s">
        <v>149</v>
      </c>
      <c r="F5787" t="s">
        <v>38</v>
      </c>
      <c r="G5787" t="s">
        <v>22</v>
      </c>
      <c r="H5787" s="1">
        <v>45990</v>
      </c>
    </row>
    <row r="5788" spans="1:8">
      <c r="A5788" t="s">
        <v>11543</v>
      </c>
      <c r="B5788" t="s">
        <v>11544</v>
      </c>
      <c r="C5788" t="s">
        <v>10</v>
      </c>
      <c r="D5788">
        <v>22</v>
      </c>
      <c r="E5788" t="s">
        <v>20</v>
      </c>
      <c r="F5788" t="s">
        <v>21</v>
      </c>
      <c r="G5788" t="s">
        <v>22</v>
      </c>
      <c r="H5788" s="1">
        <v>45273</v>
      </c>
    </row>
    <row r="5789" spans="1:8">
      <c r="A5789" t="s">
        <v>11545</v>
      </c>
      <c r="B5789" t="s">
        <v>11546</v>
      </c>
      <c r="C5789" t="s">
        <v>31</v>
      </c>
      <c r="D5789">
        <v>61</v>
      </c>
      <c r="E5789" t="s">
        <v>87</v>
      </c>
      <c r="F5789" t="s">
        <v>88</v>
      </c>
      <c r="G5789" t="s">
        <v>78</v>
      </c>
      <c r="H5789" s="1">
        <v>44636</v>
      </c>
    </row>
    <row r="5790" spans="1:8">
      <c r="A5790" t="s">
        <v>11547</v>
      </c>
      <c r="B5790" t="s">
        <v>11548</v>
      </c>
      <c r="C5790" t="s">
        <v>10</v>
      </c>
      <c r="D5790">
        <v>18</v>
      </c>
      <c r="E5790" t="s">
        <v>101</v>
      </c>
      <c r="F5790" t="s">
        <v>21</v>
      </c>
      <c r="G5790" t="s">
        <v>22</v>
      </c>
      <c r="H5790" s="1">
        <v>45943</v>
      </c>
    </row>
    <row r="5791" spans="1:8">
      <c r="A5791" t="s">
        <v>11549</v>
      </c>
      <c r="B5791" t="s">
        <v>11550</v>
      </c>
      <c r="C5791" t="s">
        <v>10</v>
      </c>
      <c r="D5791">
        <v>56</v>
      </c>
      <c r="E5791" t="s">
        <v>112</v>
      </c>
      <c r="F5791" t="s">
        <v>113</v>
      </c>
      <c r="G5791" t="s">
        <v>78</v>
      </c>
      <c r="H5791" s="1">
        <v>45580</v>
      </c>
    </row>
    <row r="5792" spans="1:8">
      <c r="A5792" t="s">
        <v>11551</v>
      </c>
      <c r="B5792" t="s">
        <v>11552</v>
      </c>
      <c r="C5792" t="s">
        <v>10</v>
      </c>
      <c r="D5792">
        <v>24</v>
      </c>
      <c r="E5792" t="s">
        <v>60</v>
      </c>
      <c r="F5792" t="s">
        <v>21</v>
      </c>
      <c r="G5792" t="s">
        <v>22</v>
      </c>
      <c r="H5792" s="1">
        <v>45156</v>
      </c>
    </row>
    <row r="5793" spans="1:8">
      <c r="A5793" t="s">
        <v>11553</v>
      </c>
      <c r="B5793" t="s">
        <v>11554</v>
      </c>
      <c r="C5793" t="s">
        <v>10</v>
      </c>
      <c r="D5793">
        <v>60</v>
      </c>
      <c r="E5793" t="s">
        <v>20</v>
      </c>
      <c r="F5793" t="s">
        <v>21</v>
      </c>
      <c r="G5793" t="s">
        <v>22</v>
      </c>
      <c r="H5793" s="1">
        <v>45193</v>
      </c>
    </row>
    <row r="5794" spans="1:8">
      <c r="A5794" t="s">
        <v>11555</v>
      </c>
      <c r="B5794" t="s">
        <v>11556</v>
      </c>
      <c r="C5794" t="s">
        <v>31</v>
      </c>
      <c r="D5794">
        <v>64</v>
      </c>
      <c r="E5794" t="s">
        <v>101</v>
      </c>
      <c r="F5794" t="s">
        <v>21</v>
      </c>
      <c r="G5794" t="s">
        <v>22</v>
      </c>
      <c r="H5794" s="1">
        <v>45533</v>
      </c>
    </row>
    <row r="5795" spans="1:8">
      <c r="A5795" t="s">
        <v>11557</v>
      </c>
      <c r="B5795" t="s">
        <v>11558</v>
      </c>
      <c r="C5795" t="s">
        <v>31</v>
      </c>
      <c r="D5795">
        <v>69</v>
      </c>
      <c r="E5795" t="s">
        <v>87</v>
      </c>
      <c r="F5795" t="s">
        <v>88</v>
      </c>
      <c r="G5795" t="s">
        <v>78</v>
      </c>
      <c r="H5795" s="1">
        <v>44774</v>
      </c>
    </row>
    <row r="5796" spans="1:8">
      <c r="A5796" t="s">
        <v>11559</v>
      </c>
      <c r="B5796" t="s">
        <v>11560</v>
      </c>
      <c r="C5796" t="s">
        <v>10</v>
      </c>
      <c r="D5796">
        <v>50</v>
      </c>
      <c r="E5796" t="s">
        <v>149</v>
      </c>
      <c r="F5796" t="s">
        <v>38</v>
      </c>
      <c r="G5796" t="s">
        <v>22</v>
      </c>
      <c r="H5796" s="1">
        <v>45975</v>
      </c>
    </row>
    <row r="5797" spans="1:8">
      <c r="A5797" t="s">
        <v>11561</v>
      </c>
      <c r="B5797" t="s">
        <v>11562</v>
      </c>
      <c r="C5797" t="s">
        <v>10</v>
      </c>
      <c r="D5797">
        <v>44</v>
      </c>
      <c r="E5797" t="s">
        <v>149</v>
      </c>
      <c r="F5797" t="s">
        <v>38</v>
      </c>
      <c r="G5797" t="s">
        <v>22</v>
      </c>
      <c r="H5797" s="1">
        <v>44818</v>
      </c>
    </row>
    <row r="5798" spans="1:8">
      <c r="A5798" t="s">
        <v>11563</v>
      </c>
      <c r="B5798" t="s">
        <v>11564</v>
      </c>
      <c r="C5798" t="s">
        <v>31</v>
      </c>
      <c r="D5798">
        <v>19</v>
      </c>
      <c r="E5798" t="s">
        <v>112</v>
      </c>
      <c r="F5798" t="s">
        <v>113</v>
      </c>
      <c r="G5798" t="s">
        <v>78</v>
      </c>
      <c r="H5798" s="1">
        <v>45677</v>
      </c>
    </row>
    <row r="5799" spans="1:8">
      <c r="A5799" t="s">
        <v>11565</v>
      </c>
      <c r="B5799" t="s">
        <v>11566</v>
      </c>
      <c r="C5799" t="s">
        <v>10</v>
      </c>
      <c r="D5799">
        <v>47</v>
      </c>
      <c r="E5799" t="s">
        <v>41</v>
      </c>
      <c r="F5799" t="s">
        <v>42</v>
      </c>
      <c r="G5799" t="s">
        <v>17</v>
      </c>
      <c r="H5799" s="1">
        <v>45872</v>
      </c>
    </row>
    <row r="5800" spans="1:8">
      <c r="A5800" t="s">
        <v>11567</v>
      </c>
      <c r="B5800" t="s">
        <v>11568</v>
      </c>
      <c r="C5800" t="s">
        <v>10</v>
      </c>
      <c r="D5800">
        <v>29</v>
      </c>
      <c r="E5800" t="s">
        <v>76</v>
      </c>
      <c r="F5800" t="s">
        <v>77</v>
      </c>
      <c r="G5800" t="s">
        <v>78</v>
      </c>
      <c r="H5800" s="1">
        <v>45774</v>
      </c>
    </row>
    <row r="5801" spans="1:8">
      <c r="A5801" t="s">
        <v>11569</v>
      </c>
      <c r="B5801" t="s">
        <v>11570</v>
      </c>
      <c r="C5801" t="s">
        <v>10</v>
      </c>
      <c r="D5801">
        <v>54</v>
      </c>
      <c r="E5801" t="s">
        <v>149</v>
      </c>
      <c r="F5801" t="s">
        <v>38</v>
      </c>
      <c r="G5801" t="s">
        <v>22</v>
      </c>
      <c r="H5801" s="1">
        <v>45471</v>
      </c>
    </row>
    <row r="5802" spans="1:8">
      <c r="A5802" t="s">
        <v>11571</v>
      </c>
      <c r="B5802" t="s">
        <v>11572</v>
      </c>
      <c r="C5802" t="s">
        <v>31</v>
      </c>
      <c r="D5802">
        <v>23</v>
      </c>
      <c r="E5802" t="s">
        <v>63</v>
      </c>
      <c r="F5802" t="s">
        <v>64</v>
      </c>
      <c r="G5802" t="s">
        <v>12</v>
      </c>
      <c r="H5802" s="1">
        <v>45478</v>
      </c>
    </row>
    <row r="5803" spans="1:8">
      <c r="A5803" t="s">
        <v>11573</v>
      </c>
      <c r="B5803" t="s">
        <v>11574</v>
      </c>
      <c r="C5803" t="s">
        <v>10</v>
      </c>
      <c r="D5803">
        <v>53</v>
      </c>
      <c r="E5803" t="s">
        <v>91</v>
      </c>
      <c r="F5803" t="s">
        <v>92</v>
      </c>
      <c r="G5803" t="s">
        <v>78</v>
      </c>
      <c r="H5803" s="1">
        <v>44908</v>
      </c>
    </row>
    <row r="5804" spans="1:8">
      <c r="A5804" t="s">
        <v>11575</v>
      </c>
      <c r="B5804" t="s">
        <v>11576</v>
      </c>
      <c r="C5804" t="s">
        <v>10</v>
      </c>
      <c r="D5804">
        <v>47</v>
      </c>
      <c r="E5804" t="s">
        <v>128</v>
      </c>
      <c r="F5804" t="s">
        <v>129</v>
      </c>
      <c r="G5804" t="s">
        <v>78</v>
      </c>
      <c r="H5804" s="1">
        <v>45946</v>
      </c>
    </row>
    <row r="5805" spans="1:8">
      <c r="A5805" t="s">
        <v>11577</v>
      </c>
      <c r="B5805" t="s">
        <v>11578</v>
      </c>
      <c r="C5805" t="s">
        <v>31</v>
      </c>
      <c r="D5805">
        <v>54</v>
      </c>
      <c r="E5805" t="s">
        <v>218</v>
      </c>
      <c r="F5805" t="s">
        <v>219</v>
      </c>
      <c r="G5805" t="s">
        <v>17</v>
      </c>
      <c r="H5805" s="1">
        <v>45057</v>
      </c>
    </row>
    <row r="5806" spans="1:8">
      <c r="A5806" t="s">
        <v>11579</v>
      </c>
      <c r="B5806" t="s">
        <v>11580</v>
      </c>
      <c r="C5806" t="s">
        <v>31</v>
      </c>
      <c r="D5806">
        <v>57</v>
      </c>
      <c r="E5806" t="s">
        <v>101</v>
      </c>
      <c r="F5806" t="s">
        <v>21</v>
      </c>
      <c r="G5806" t="s">
        <v>22</v>
      </c>
      <c r="H5806" s="1">
        <v>45224</v>
      </c>
    </row>
    <row r="5807" spans="1:8">
      <c r="A5807" t="s">
        <v>11581</v>
      </c>
      <c r="B5807" t="s">
        <v>11582</v>
      </c>
      <c r="C5807" t="s">
        <v>31</v>
      </c>
      <c r="D5807">
        <v>38</v>
      </c>
      <c r="E5807" t="s">
        <v>149</v>
      </c>
      <c r="F5807" t="s">
        <v>38</v>
      </c>
      <c r="G5807" t="s">
        <v>22</v>
      </c>
      <c r="H5807" s="1">
        <v>44873</v>
      </c>
    </row>
    <row r="5808" spans="1:8">
      <c r="A5808" t="s">
        <v>11583</v>
      </c>
      <c r="B5808" t="s">
        <v>11584</v>
      </c>
      <c r="C5808" t="s">
        <v>31</v>
      </c>
      <c r="D5808">
        <v>19</v>
      </c>
      <c r="E5808" t="s">
        <v>112</v>
      </c>
      <c r="F5808" t="s">
        <v>113</v>
      </c>
      <c r="G5808" t="s">
        <v>78</v>
      </c>
      <c r="H5808" s="1">
        <v>45340</v>
      </c>
    </row>
    <row r="5809" spans="1:8">
      <c r="A5809" t="s">
        <v>11585</v>
      </c>
      <c r="B5809" t="s">
        <v>11586</v>
      </c>
      <c r="C5809" t="s">
        <v>31</v>
      </c>
      <c r="D5809">
        <v>65</v>
      </c>
      <c r="E5809" t="s">
        <v>49</v>
      </c>
      <c r="F5809" t="s">
        <v>21</v>
      </c>
      <c r="G5809" t="s">
        <v>22</v>
      </c>
      <c r="H5809" s="1">
        <v>45702</v>
      </c>
    </row>
    <row r="5810" spans="1:8">
      <c r="A5810" t="s">
        <v>11587</v>
      </c>
      <c r="B5810" t="s">
        <v>11588</v>
      </c>
      <c r="C5810" t="s">
        <v>10</v>
      </c>
      <c r="D5810">
        <v>63</v>
      </c>
      <c r="E5810" t="s">
        <v>37</v>
      </c>
      <c r="F5810" t="s">
        <v>38</v>
      </c>
      <c r="G5810" t="s">
        <v>22</v>
      </c>
      <c r="H5810" s="1">
        <v>44622</v>
      </c>
    </row>
    <row r="5811" spans="1:8">
      <c r="A5811" t="s">
        <v>11589</v>
      </c>
      <c r="B5811" t="s">
        <v>11590</v>
      </c>
      <c r="C5811" t="s">
        <v>31</v>
      </c>
      <c r="D5811">
        <v>24</v>
      </c>
      <c r="E5811" t="s">
        <v>91</v>
      </c>
      <c r="F5811" t="s">
        <v>92</v>
      </c>
      <c r="G5811" t="s">
        <v>78</v>
      </c>
      <c r="H5811" s="1">
        <v>44817</v>
      </c>
    </row>
    <row r="5812" spans="1:8">
      <c r="A5812" t="s">
        <v>11591</v>
      </c>
      <c r="B5812" t="s">
        <v>11592</v>
      </c>
      <c r="C5812" t="s">
        <v>31</v>
      </c>
      <c r="D5812">
        <v>53</v>
      </c>
      <c r="E5812" t="s">
        <v>112</v>
      </c>
      <c r="F5812" t="s">
        <v>113</v>
      </c>
      <c r="G5812" t="s">
        <v>78</v>
      </c>
      <c r="H5812" s="1">
        <v>45237</v>
      </c>
    </row>
    <row r="5813" spans="1:8">
      <c r="A5813" t="s">
        <v>11593</v>
      </c>
      <c r="B5813" t="s">
        <v>11594</v>
      </c>
      <c r="C5813" t="s">
        <v>10</v>
      </c>
      <c r="D5813">
        <v>55</v>
      </c>
      <c r="E5813" t="s">
        <v>27</v>
      </c>
      <c r="F5813" t="s">
        <v>28</v>
      </c>
      <c r="G5813" t="s">
        <v>12</v>
      </c>
      <c r="H5813" s="1">
        <v>44705</v>
      </c>
    </row>
    <row r="5814" spans="1:8">
      <c r="A5814" t="s">
        <v>11595</v>
      </c>
      <c r="B5814" t="s">
        <v>11596</v>
      </c>
      <c r="C5814" t="s">
        <v>31</v>
      </c>
      <c r="D5814">
        <v>69</v>
      </c>
      <c r="E5814" t="s">
        <v>91</v>
      </c>
      <c r="F5814" t="s">
        <v>92</v>
      </c>
      <c r="G5814" t="s">
        <v>78</v>
      </c>
      <c r="H5814" s="1">
        <v>45373</v>
      </c>
    </row>
    <row r="5815" spans="1:8">
      <c r="A5815" t="s">
        <v>11597</v>
      </c>
      <c r="B5815" t="s">
        <v>11598</v>
      </c>
      <c r="C5815" t="s">
        <v>10</v>
      </c>
      <c r="D5815">
        <v>59</v>
      </c>
      <c r="E5815" t="s">
        <v>218</v>
      </c>
      <c r="F5815" t="s">
        <v>219</v>
      </c>
      <c r="G5815" t="s">
        <v>17</v>
      </c>
      <c r="H5815" s="1">
        <v>45465</v>
      </c>
    </row>
    <row r="5816" spans="1:8">
      <c r="A5816" t="s">
        <v>11599</v>
      </c>
      <c r="B5816" t="s">
        <v>11600</v>
      </c>
      <c r="C5816" t="s">
        <v>31</v>
      </c>
      <c r="D5816">
        <v>20</v>
      </c>
      <c r="E5816" t="s">
        <v>45</v>
      </c>
      <c r="F5816" t="s">
        <v>46</v>
      </c>
      <c r="G5816" t="s">
        <v>17</v>
      </c>
      <c r="H5816" s="1">
        <v>45638</v>
      </c>
    </row>
    <row r="5817" spans="1:8">
      <c r="A5817" t="s">
        <v>11601</v>
      </c>
      <c r="B5817" t="s">
        <v>11602</v>
      </c>
      <c r="C5817" t="s">
        <v>10</v>
      </c>
      <c r="D5817">
        <v>63</v>
      </c>
      <c r="E5817" t="s">
        <v>45</v>
      </c>
      <c r="F5817" t="s">
        <v>46</v>
      </c>
      <c r="G5817" t="s">
        <v>17</v>
      </c>
      <c r="H5817" s="1">
        <v>44651</v>
      </c>
    </row>
    <row r="5818" spans="1:8">
      <c r="A5818" t="s">
        <v>11603</v>
      </c>
      <c r="B5818" t="s">
        <v>11604</v>
      </c>
      <c r="C5818" t="s">
        <v>10</v>
      </c>
      <c r="D5818">
        <v>51</v>
      </c>
      <c r="E5818" t="s">
        <v>134</v>
      </c>
      <c r="F5818" t="s">
        <v>28</v>
      </c>
      <c r="G5818" t="s">
        <v>12</v>
      </c>
      <c r="H5818" s="1">
        <v>45114</v>
      </c>
    </row>
    <row r="5819" spans="1:8">
      <c r="A5819" t="s">
        <v>11605</v>
      </c>
      <c r="B5819" t="s">
        <v>11606</v>
      </c>
      <c r="C5819" t="s">
        <v>31</v>
      </c>
      <c r="D5819">
        <v>58</v>
      </c>
      <c r="E5819" t="s">
        <v>128</v>
      </c>
      <c r="F5819" t="s">
        <v>129</v>
      </c>
      <c r="G5819" t="s">
        <v>78</v>
      </c>
      <c r="H5819" s="1">
        <v>45568</v>
      </c>
    </row>
    <row r="5820" spans="1:8">
      <c r="A5820" t="s">
        <v>11607</v>
      </c>
      <c r="B5820" t="s">
        <v>11608</v>
      </c>
      <c r="C5820" t="s">
        <v>10</v>
      </c>
      <c r="D5820">
        <v>59</v>
      </c>
      <c r="E5820" t="s">
        <v>20</v>
      </c>
      <c r="F5820" t="s">
        <v>21</v>
      </c>
      <c r="G5820" t="s">
        <v>22</v>
      </c>
      <c r="H5820" s="1">
        <v>45844</v>
      </c>
    </row>
    <row r="5821" spans="1:8">
      <c r="A5821" t="s">
        <v>11609</v>
      </c>
      <c r="B5821" t="s">
        <v>11610</v>
      </c>
      <c r="C5821" t="s">
        <v>10</v>
      </c>
      <c r="D5821">
        <v>19</v>
      </c>
      <c r="E5821" t="s">
        <v>34</v>
      </c>
      <c r="F5821" t="s">
        <v>16</v>
      </c>
      <c r="G5821" t="s">
        <v>17</v>
      </c>
      <c r="H5821" s="1">
        <v>45769</v>
      </c>
    </row>
    <row r="5822" spans="1:8">
      <c r="A5822" t="s">
        <v>11611</v>
      </c>
      <c r="B5822" t="s">
        <v>11612</v>
      </c>
      <c r="C5822" t="s">
        <v>10</v>
      </c>
      <c r="D5822">
        <v>22</v>
      </c>
      <c r="E5822" t="s">
        <v>34</v>
      </c>
      <c r="F5822" t="s">
        <v>16</v>
      </c>
      <c r="G5822" t="s">
        <v>17</v>
      </c>
      <c r="H5822" s="1">
        <v>45258</v>
      </c>
    </row>
    <row r="5823" spans="1:8">
      <c r="A5823" t="s">
        <v>11613</v>
      </c>
      <c r="B5823" t="s">
        <v>11614</v>
      </c>
      <c r="C5823" t="s">
        <v>10</v>
      </c>
      <c r="D5823">
        <v>49</v>
      </c>
      <c r="E5823" t="s">
        <v>69</v>
      </c>
      <c r="F5823" t="s">
        <v>69</v>
      </c>
      <c r="G5823" t="s">
        <v>12</v>
      </c>
      <c r="H5823" s="1">
        <v>45843</v>
      </c>
    </row>
    <row r="5824" spans="1:8">
      <c r="A5824" t="s">
        <v>11615</v>
      </c>
      <c r="B5824" t="s">
        <v>11616</v>
      </c>
      <c r="C5824" t="s">
        <v>31</v>
      </c>
      <c r="D5824">
        <v>60</v>
      </c>
      <c r="E5824" t="s">
        <v>218</v>
      </c>
      <c r="F5824" t="s">
        <v>219</v>
      </c>
      <c r="G5824" t="s">
        <v>17</v>
      </c>
      <c r="H5824" s="1">
        <v>44609</v>
      </c>
    </row>
    <row r="5825" spans="1:8">
      <c r="A5825" t="s">
        <v>11617</v>
      </c>
      <c r="B5825" t="s">
        <v>11618</v>
      </c>
      <c r="C5825" t="s">
        <v>10</v>
      </c>
      <c r="D5825">
        <v>28</v>
      </c>
      <c r="E5825" t="s">
        <v>134</v>
      </c>
      <c r="F5825" t="s">
        <v>28</v>
      </c>
      <c r="G5825" t="s">
        <v>12</v>
      </c>
      <c r="H5825" s="1">
        <v>44867</v>
      </c>
    </row>
    <row r="5826" spans="1:8">
      <c r="A5826" t="s">
        <v>11619</v>
      </c>
      <c r="B5826" t="s">
        <v>11620</v>
      </c>
      <c r="C5826" t="s">
        <v>10</v>
      </c>
      <c r="D5826">
        <v>70</v>
      </c>
      <c r="E5826" t="s">
        <v>34</v>
      </c>
      <c r="F5826" t="s">
        <v>16</v>
      </c>
      <c r="G5826" t="s">
        <v>17</v>
      </c>
      <c r="H5826" s="1">
        <v>45397</v>
      </c>
    </row>
    <row r="5827" spans="1:8">
      <c r="A5827" t="s">
        <v>11621</v>
      </c>
      <c r="B5827" t="s">
        <v>11622</v>
      </c>
      <c r="C5827" t="s">
        <v>31</v>
      </c>
      <c r="D5827">
        <v>28</v>
      </c>
      <c r="E5827" t="s">
        <v>218</v>
      </c>
      <c r="F5827" t="s">
        <v>219</v>
      </c>
      <c r="G5827" t="s">
        <v>17</v>
      </c>
      <c r="H5827" s="1">
        <v>44594</v>
      </c>
    </row>
    <row r="5828" spans="1:8">
      <c r="A5828" t="s">
        <v>11623</v>
      </c>
      <c r="B5828" t="s">
        <v>11624</v>
      </c>
      <c r="C5828" t="s">
        <v>10</v>
      </c>
      <c r="D5828">
        <v>19</v>
      </c>
      <c r="E5828" t="s">
        <v>87</v>
      </c>
      <c r="F5828" t="s">
        <v>88</v>
      </c>
      <c r="G5828" t="s">
        <v>78</v>
      </c>
      <c r="H5828" s="1">
        <v>45582</v>
      </c>
    </row>
    <row r="5829" spans="1:8">
      <c r="A5829" t="s">
        <v>11625</v>
      </c>
      <c r="B5829" t="s">
        <v>11626</v>
      </c>
      <c r="C5829" t="s">
        <v>31</v>
      </c>
      <c r="D5829">
        <v>59</v>
      </c>
      <c r="E5829" t="s">
        <v>91</v>
      </c>
      <c r="F5829" t="s">
        <v>92</v>
      </c>
      <c r="G5829" t="s">
        <v>78</v>
      </c>
      <c r="H5829" s="1">
        <v>44915</v>
      </c>
    </row>
    <row r="5830" spans="1:8">
      <c r="A5830" t="s">
        <v>11627</v>
      </c>
      <c r="B5830" t="s">
        <v>11628</v>
      </c>
      <c r="C5830" t="s">
        <v>31</v>
      </c>
      <c r="D5830">
        <v>41</v>
      </c>
      <c r="E5830" t="s">
        <v>63</v>
      </c>
      <c r="F5830" t="s">
        <v>64</v>
      </c>
      <c r="G5830" t="s">
        <v>12</v>
      </c>
      <c r="H5830" s="1">
        <v>45093</v>
      </c>
    </row>
    <row r="5831" spans="1:8">
      <c r="A5831" t="s">
        <v>11629</v>
      </c>
      <c r="B5831" t="s">
        <v>11630</v>
      </c>
      <c r="C5831" t="s">
        <v>31</v>
      </c>
      <c r="D5831">
        <v>49</v>
      </c>
      <c r="E5831" t="s">
        <v>45</v>
      </c>
      <c r="F5831" t="s">
        <v>46</v>
      </c>
      <c r="G5831" t="s">
        <v>17</v>
      </c>
      <c r="H5831" s="1">
        <v>44612</v>
      </c>
    </row>
    <row r="5832" spans="1:8">
      <c r="A5832" t="s">
        <v>11631</v>
      </c>
      <c r="B5832" t="s">
        <v>11632</v>
      </c>
      <c r="C5832" t="s">
        <v>31</v>
      </c>
      <c r="D5832">
        <v>37</v>
      </c>
      <c r="E5832" t="s">
        <v>87</v>
      </c>
      <c r="F5832" t="s">
        <v>88</v>
      </c>
      <c r="G5832" t="s">
        <v>78</v>
      </c>
      <c r="H5832" s="1">
        <v>45876</v>
      </c>
    </row>
    <row r="5833" spans="1:8">
      <c r="A5833" t="s">
        <v>11633</v>
      </c>
      <c r="B5833" t="s">
        <v>11634</v>
      </c>
      <c r="C5833" t="s">
        <v>31</v>
      </c>
      <c r="D5833">
        <v>61</v>
      </c>
      <c r="E5833" t="s">
        <v>60</v>
      </c>
      <c r="F5833" t="s">
        <v>21</v>
      </c>
      <c r="G5833" t="s">
        <v>22</v>
      </c>
      <c r="H5833" s="1">
        <v>45314</v>
      </c>
    </row>
    <row r="5834" spans="1:8">
      <c r="A5834" t="s">
        <v>11635</v>
      </c>
      <c r="B5834" t="s">
        <v>11636</v>
      </c>
      <c r="C5834" t="s">
        <v>10</v>
      </c>
      <c r="D5834">
        <v>64</v>
      </c>
      <c r="E5834" t="s">
        <v>69</v>
      </c>
      <c r="F5834" t="s">
        <v>69</v>
      </c>
      <c r="G5834" t="s">
        <v>12</v>
      </c>
      <c r="H5834" s="1">
        <v>45085</v>
      </c>
    </row>
    <row r="5835" spans="1:8">
      <c r="A5835" t="s">
        <v>11637</v>
      </c>
      <c r="B5835" t="s">
        <v>11638</v>
      </c>
      <c r="C5835" t="s">
        <v>31</v>
      </c>
      <c r="D5835">
        <v>59</v>
      </c>
      <c r="E5835" t="s">
        <v>149</v>
      </c>
      <c r="F5835" t="s">
        <v>38</v>
      </c>
      <c r="G5835" t="s">
        <v>22</v>
      </c>
      <c r="H5835" s="1">
        <v>44988</v>
      </c>
    </row>
    <row r="5836" spans="1:8">
      <c r="A5836" t="s">
        <v>11639</v>
      </c>
      <c r="B5836" t="s">
        <v>11640</v>
      </c>
      <c r="C5836" t="s">
        <v>31</v>
      </c>
      <c r="D5836">
        <v>39</v>
      </c>
      <c r="E5836" t="s">
        <v>37</v>
      </c>
      <c r="F5836" t="s">
        <v>38</v>
      </c>
      <c r="G5836" t="s">
        <v>22</v>
      </c>
      <c r="H5836" s="1">
        <v>45010</v>
      </c>
    </row>
    <row r="5837" spans="1:8">
      <c r="A5837" t="s">
        <v>11641</v>
      </c>
      <c r="B5837" t="s">
        <v>11642</v>
      </c>
      <c r="C5837" t="s">
        <v>31</v>
      </c>
      <c r="D5837">
        <v>53</v>
      </c>
      <c r="E5837" t="s">
        <v>134</v>
      </c>
      <c r="F5837" t="s">
        <v>28</v>
      </c>
      <c r="G5837" t="s">
        <v>12</v>
      </c>
      <c r="H5837" s="1">
        <v>45341</v>
      </c>
    </row>
    <row r="5838" spans="1:8">
      <c r="A5838" t="s">
        <v>11643</v>
      </c>
      <c r="B5838" t="s">
        <v>11644</v>
      </c>
      <c r="C5838" t="s">
        <v>10</v>
      </c>
      <c r="D5838">
        <v>60</v>
      </c>
      <c r="E5838" t="s">
        <v>112</v>
      </c>
      <c r="F5838" t="s">
        <v>113</v>
      </c>
      <c r="G5838" t="s">
        <v>78</v>
      </c>
      <c r="H5838" s="1">
        <v>45286</v>
      </c>
    </row>
    <row r="5839" spans="1:8">
      <c r="A5839" t="s">
        <v>11645</v>
      </c>
      <c r="B5839" t="s">
        <v>11646</v>
      </c>
      <c r="C5839" t="s">
        <v>10</v>
      </c>
      <c r="D5839">
        <v>68</v>
      </c>
      <c r="E5839" t="s">
        <v>134</v>
      </c>
      <c r="F5839" t="s">
        <v>28</v>
      </c>
      <c r="G5839" t="s">
        <v>12</v>
      </c>
      <c r="H5839" s="1">
        <v>45599</v>
      </c>
    </row>
    <row r="5840" spans="1:8">
      <c r="A5840" t="s">
        <v>11647</v>
      </c>
      <c r="B5840" t="s">
        <v>11648</v>
      </c>
      <c r="C5840" t="s">
        <v>31</v>
      </c>
      <c r="D5840">
        <v>59</v>
      </c>
      <c r="E5840" t="s">
        <v>34</v>
      </c>
      <c r="F5840" t="s">
        <v>16</v>
      </c>
      <c r="G5840" t="s">
        <v>17</v>
      </c>
      <c r="H5840" s="1">
        <v>45916</v>
      </c>
    </row>
    <row r="5841" spans="1:8">
      <c r="A5841" t="s">
        <v>11649</v>
      </c>
      <c r="B5841" t="s">
        <v>11650</v>
      </c>
      <c r="C5841" t="s">
        <v>10</v>
      </c>
      <c r="D5841">
        <v>44</v>
      </c>
      <c r="E5841" t="s">
        <v>149</v>
      </c>
      <c r="F5841" t="s">
        <v>38</v>
      </c>
      <c r="G5841" t="s">
        <v>22</v>
      </c>
      <c r="H5841" s="1">
        <v>45852</v>
      </c>
    </row>
    <row r="5842" spans="1:8">
      <c r="A5842" t="s">
        <v>11651</v>
      </c>
      <c r="B5842" t="s">
        <v>11652</v>
      </c>
      <c r="C5842" t="s">
        <v>31</v>
      </c>
      <c r="D5842">
        <v>37</v>
      </c>
      <c r="E5842" t="s">
        <v>76</v>
      </c>
      <c r="F5842" t="s">
        <v>77</v>
      </c>
      <c r="G5842" t="s">
        <v>78</v>
      </c>
      <c r="H5842" s="1">
        <v>45451</v>
      </c>
    </row>
    <row r="5843" spans="1:8">
      <c r="A5843" t="s">
        <v>11653</v>
      </c>
      <c r="B5843" t="s">
        <v>11654</v>
      </c>
      <c r="C5843" t="s">
        <v>10</v>
      </c>
      <c r="D5843">
        <v>60</v>
      </c>
      <c r="E5843" t="s">
        <v>101</v>
      </c>
      <c r="F5843" t="s">
        <v>21</v>
      </c>
      <c r="G5843" t="s">
        <v>22</v>
      </c>
      <c r="H5843" s="1">
        <v>44877</v>
      </c>
    </row>
    <row r="5844" spans="1:8">
      <c r="A5844" t="s">
        <v>11655</v>
      </c>
      <c r="B5844" t="s">
        <v>11656</v>
      </c>
      <c r="C5844" t="s">
        <v>31</v>
      </c>
      <c r="D5844">
        <v>18</v>
      </c>
      <c r="E5844" t="s">
        <v>69</v>
      </c>
      <c r="F5844" t="s">
        <v>69</v>
      </c>
      <c r="G5844" t="s">
        <v>12</v>
      </c>
      <c r="H5844" s="1">
        <v>45309</v>
      </c>
    </row>
    <row r="5845" spans="1:8">
      <c r="A5845" t="s">
        <v>11657</v>
      </c>
      <c r="B5845" t="s">
        <v>11658</v>
      </c>
      <c r="C5845" t="s">
        <v>10</v>
      </c>
      <c r="D5845">
        <v>28</v>
      </c>
      <c r="E5845" t="s">
        <v>128</v>
      </c>
      <c r="F5845" t="s">
        <v>129</v>
      </c>
      <c r="G5845" t="s">
        <v>78</v>
      </c>
      <c r="H5845" s="1">
        <v>45157</v>
      </c>
    </row>
    <row r="5846" spans="1:8">
      <c r="A5846" t="s">
        <v>11659</v>
      </c>
      <c r="B5846" t="s">
        <v>11660</v>
      </c>
      <c r="C5846" t="s">
        <v>10</v>
      </c>
      <c r="D5846">
        <v>60</v>
      </c>
      <c r="E5846" t="s">
        <v>69</v>
      </c>
      <c r="F5846" t="s">
        <v>69</v>
      </c>
      <c r="G5846" t="s">
        <v>12</v>
      </c>
      <c r="H5846" s="1">
        <v>45811</v>
      </c>
    </row>
    <row r="5847" spans="1:8">
      <c r="A5847" t="s">
        <v>11661</v>
      </c>
      <c r="B5847" t="s">
        <v>11662</v>
      </c>
      <c r="C5847" t="s">
        <v>10</v>
      </c>
      <c r="D5847">
        <v>64</v>
      </c>
      <c r="E5847" t="s">
        <v>91</v>
      </c>
      <c r="F5847" t="s">
        <v>92</v>
      </c>
      <c r="G5847" t="s">
        <v>78</v>
      </c>
      <c r="H5847" s="1">
        <v>45177</v>
      </c>
    </row>
    <row r="5848" spans="1:8">
      <c r="A5848" t="s">
        <v>11663</v>
      </c>
      <c r="B5848" t="s">
        <v>11664</v>
      </c>
      <c r="C5848" t="s">
        <v>31</v>
      </c>
      <c r="D5848">
        <v>52</v>
      </c>
      <c r="E5848" t="s">
        <v>60</v>
      </c>
      <c r="F5848" t="s">
        <v>21</v>
      </c>
      <c r="G5848" t="s">
        <v>22</v>
      </c>
      <c r="H5848" s="1">
        <v>45976</v>
      </c>
    </row>
    <row r="5849" spans="1:8">
      <c r="A5849" t="s">
        <v>11665</v>
      </c>
      <c r="B5849" t="s">
        <v>11666</v>
      </c>
      <c r="C5849" t="s">
        <v>31</v>
      </c>
      <c r="D5849">
        <v>69</v>
      </c>
      <c r="E5849" t="s">
        <v>15</v>
      </c>
      <c r="F5849" t="s">
        <v>16</v>
      </c>
      <c r="G5849" t="s">
        <v>17</v>
      </c>
      <c r="H5849" s="1">
        <v>45187</v>
      </c>
    </row>
    <row r="5850" spans="1:8">
      <c r="A5850" t="s">
        <v>11667</v>
      </c>
      <c r="B5850" t="s">
        <v>11668</v>
      </c>
      <c r="C5850" t="s">
        <v>10</v>
      </c>
      <c r="D5850">
        <v>52</v>
      </c>
      <c r="E5850" t="s">
        <v>15</v>
      </c>
      <c r="F5850" t="s">
        <v>16</v>
      </c>
      <c r="G5850" t="s">
        <v>17</v>
      </c>
      <c r="H5850" s="1">
        <v>45782</v>
      </c>
    </row>
    <row r="5851" spans="1:8">
      <c r="A5851" t="s">
        <v>11669</v>
      </c>
      <c r="B5851" t="s">
        <v>10352</v>
      </c>
      <c r="C5851" t="s">
        <v>10</v>
      </c>
      <c r="D5851">
        <v>21</v>
      </c>
      <c r="E5851" t="s">
        <v>41</v>
      </c>
      <c r="F5851" t="s">
        <v>42</v>
      </c>
      <c r="G5851" t="s">
        <v>17</v>
      </c>
      <c r="H5851" s="1">
        <v>44900</v>
      </c>
    </row>
    <row r="5852" spans="1:8">
      <c r="A5852" t="s">
        <v>11670</v>
      </c>
      <c r="B5852" t="s">
        <v>11671</v>
      </c>
      <c r="C5852" t="s">
        <v>10</v>
      </c>
      <c r="D5852">
        <v>54</v>
      </c>
      <c r="E5852" t="s">
        <v>37</v>
      </c>
      <c r="F5852" t="s">
        <v>38</v>
      </c>
      <c r="G5852" t="s">
        <v>22</v>
      </c>
      <c r="H5852" s="1">
        <v>44914</v>
      </c>
    </row>
    <row r="5853" spans="1:8">
      <c r="A5853" t="s">
        <v>11672</v>
      </c>
      <c r="B5853" t="s">
        <v>11673</v>
      </c>
      <c r="C5853" t="s">
        <v>10</v>
      </c>
      <c r="D5853">
        <v>65</v>
      </c>
      <c r="E5853" t="s">
        <v>41</v>
      </c>
      <c r="F5853" t="s">
        <v>42</v>
      </c>
      <c r="G5853" t="s">
        <v>17</v>
      </c>
      <c r="H5853" s="1">
        <v>45477</v>
      </c>
    </row>
    <row r="5854" spans="1:8">
      <c r="A5854" t="s">
        <v>11674</v>
      </c>
      <c r="B5854" t="s">
        <v>11675</v>
      </c>
      <c r="C5854" t="s">
        <v>31</v>
      </c>
      <c r="D5854">
        <v>35</v>
      </c>
      <c r="E5854" t="s">
        <v>101</v>
      </c>
      <c r="F5854" t="s">
        <v>21</v>
      </c>
      <c r="G5854" t="s">
        <v>22</v>
      </c>
      <c r="H5854" s="1">
        <v>45770</v>
      </c>
    </row>
    <row r="5855" spans="1:8">
      <c r="A5855" t="s">
        <v>11676</v>
      </c>
      <c r="B5855" t="s">
        <v>11677</v>
      </c>
      <c r="C5855" t="s">
        <v>10</v>
      </c>
      <c r="D5855">
        <v>33</v>
      </c>
      <c r="E5855" t="s">
        <v>49</v>
      </c>
      <c r="F5855" t="s">
        <v>28</v>
      </c>
      <c r="G5855" t="s">
        <v>12</v>
      </c>
      <c r="H5855" s="1">
        <v>45927</v>
      </c>
    </row>
    <row r="5856" spans="1:8">
      <c r="A5856" t="s">
        <v>11678</v>
      </c>
      <c r="B5856" t="s">
        <v>11679</v>
      </c>
      <c r="C5856" t="s">
        <v>31</v>
      </c>
      <c r="D5856">
        <v>26</v>
      </c>
      <c r="E5856" t="s">
        <v>20</v>
      </c>
      <c r="F5856" t="s">
        <v>21</v>
      </c>
      <c r="G5856" t="s">
        <v>22</v>
      </c>
      <c r="H5856" s="1">
        <v>44691</v>
      </c>
    </row>
    <row r="5857" spans="1:8">
      <c r="A5857" t="s">
        <v>11680</v>
      </c>
      <c r="B5857" t="s">
        <v>11681</v>
      </c>
      <c r="C5857" t="s">
        <v>31</v>
      </c>
      <c r="D5857">
        <v>20</v>
      </c>
      <c r="E5857" t="s">
        <v>37</v>
      </c>
      <c r="F5857" t="s">
        <v>38</v>
      </c>
      <c r="G5857" t="s">
        <v>22</v>
      </c>
      <c r="H5857" s="1">
        <v>44787</v>
      </c>
    </row>
    <row r="5858" spans="1:8">
      <c r="A5858" t="s">
        <v>11682</v>
      </c>
      <c r="B5858" t="s">
        <v>11683</v>
      </c>
      <c r="C5858" t="s">
        <v>31</v>
      </c>
      <c r="D5858">
        <v>19</v>
      </c>
      <c r="E5858" t="s">
        <v>11</v>
      </c>
      <c r="F5858" t="s">
        <v>11</v>
      </c>
      <c r="G5858" t="s">
        <v>12</v>
      </c>
      <c r="H5858" s="1">
        <v>45176</v>
      </c>
    </row>
    <row r="5859" spans="1:8">
      <c r="A5859" t="s">
        <v>11684</v>
      </c>
      <c r="B5859" t="s">
        <v>11685</v>
      </c>
      <c r="C5859" t="s">
        <v>31</v>
      </c>
      <c r="D5859">
        <v>31</v>
      </c>
      <c r="E5859" t="s">
        <v>27</v>
      </c>
      <c r="F5859" t="s">
        <v>28</v>
      </c>
      <c r="G5859" t="s">
        <v>12</v>
      </c>
      <c r="H5859" s="1">
        <v>44754</v>
      </c>
    </row>
    <row r="5860" spans="1:8">
      <c r="A5860" t="s">
        <v>11686</v>
      </c>
      <c r="B5860" t="s">
        <v>11687</v>
      </c>
      <c r="C5860" t="s">
        <v>31</v>
      </c>
      <c r="D5860">
        <v>56</v>
      </c>
      <c r="E5860" t="s">
        <v>20</v>
      </c>
      <c r="F5860" t="s">
        <v>21</v>
      </c>
      <c r="G5860" t="s">
        <v>22</v>
      </c>
      <c r="H5860" s="1">
        <v>44847</v>
      </c>
    </row>
    <row r="5861" spans="1:8">
      <c r="A5861" t="s">
        <v>11688</v>
      </c>
      <c r="B5861" t="s">
        <v>11689</v>
      </c>
      <c r="C5861" t="s">
        <v>31</v>
      </c>
      <c r="D5861">
        <v>57</v>
      </c>
      <c r="E5861" t="s">
        <v>34</v>
      </c>
      <c r="F5861" t="s">
        <v>16</v>
      </c>
      <c r="G5861" t="s">
        <v>17</v>
      </c>
      <c r="H5861" s="1">
        <v>45020</v>
      </c>
    </row>
    <row r="5862" spans="1:8">
      <c r="A5862" t="s">
        <v>11690</v>
      </c>
      <c r="B5862" t="s">
        <v>11691</v>
      </c>
      <c r="C5862" t="s">
        <v>10</v>
      </c>
      <c r="D5862">
        <v>69</v>
      </c>
      <c r="E5862" t="s">
        <v>91</v>
      </c>
      <c r="F5862" t="s">
        <v>92</v>
      </c>
      <c r="G5862" t="s">
        <v>78</v>
      </c>
      <c r="H5862" s="1">
        <v>44947</v>
      </c>
    </row>
    <row r="5863" spans="1:8">
      <c r="A5863" t="s">
        <v>11692</v>
      </c>
      <c r="B5863" t="s">
        <v>11693</v>
      </c>
      <c r="C5863" t="s">
        <v>10</v>
      </c>
      <c r="D5863">
        <v>33</v>
      </c>
      <c r="E5863" t="s">
        <v>11</v>
      </c>
      <c r="F5863" t="s">
        <v>11</v>
      </c>
      <c r="G5863" t="s">
        <v>12</v>
      </c>
      <c r="H5863" s="1">
        <v>44790</v>
      </c>
    </row>
    <row r="5864" spans="1:8">
      <c r="A5864" t="s">
        <v>11694</v>
      </c>
      <c r="B5864" t="s">
        <v>11695</v>
      </c>
      <c r="C5864" t="s">
        <v>31</v>
      </c>
      <c r="D5864">
        <v>28</v>
      </c>
      <c r="E5864" t="s">
        <v>27</v>
      </c>
      <c r="F5864" t="s">
        <v>28</v>
      </c>
      <c r="G5864" t="s">
        <v>12</v>
      </c>
      <c r="H5864" s="1">
        <v>44621</v>
      </c>
    </row>
    <row r="5865" spans="1:8">
      <c r="A5865" t="s">
        <v>11696</v>
      </c>
      <c r="B5865" t="s">
        <v>11697</v>
      </c>
      <c r="C5865" t="s">
        <v>31</v>
      </c>
      <c r="D5865">
        <v>27</v>
      </c>
      <c r="E5865" t="s">
        <v>101</v>
      </c>
      <c r="F5865" t="s">
        <v>21</v>
      </c>
      <c r="G5865" t="s">
        <v>22</v>
      </c>
      <c r="H5865" s="1">
        <v>45505</v>
      </c>
    </row>
    <row r="5866" spans="1:8">
      <c r="A5866" t="s">
        <v>11698</v>
      </c>
      <c r="B5866" t="s">
        <v>11699</v>
      </c>
      <c r="C5866" t="s">
        <v>31</v>
      </c>
      <c r="D5866">
        <v>25</v>
      </c>
      <c r="E5866" t="s">
        <v>149</v>
      </c>
      <c r="F5866" t="s">
        <v>38</v>
      </c>
      <c r="G5866" t="s">
        <v>22</v>
      </c>
      <c r="H5866" s="1">
        <v>44937</v>
      </c>
    </row>
    <row r="5867" spans="1:8">
      <c r="A5867" t="s">
        <v>11700</v>
      </c>
      <c r="B5867" t="s">
        <v>11701</v>
      </c>
      <c r="C5867" t="s">
        <v>31</v>
      </c>
      <c r="D5867">
        <v>32</v>
      </c>
      <c r="E5867" t="s">
        <v>27</v>
      </c>
      <c r="F5867" t="s">
        <v>28</v>
      </c>
      <c r="G5867" t="s">
        <v>12</v>
      </c>
      <c r="H5867" s="1">
        <v>45306</v>
      </c>
    </row>
    <row r="5868" spans="1:8">
      <c r="A5868" t="s">
        <v>11702</v>
      </c>
      <c r="B5868" t="s">
        <v>11703</v>
      </c>
      <c r="C5868" t="s">
        <v>31</v>
      </c>
      <c r="D5868">
        <v>40</v>
      </c>
      <c r="E5868" t="s">
        <v>60</v>
      </c>
      <c r="F5868" t="s">
        <v>21</v>
      </c>
      <c r="G5868" t="s">
        <v>22</v>
      </c>
      <c r="H5868" s="1">
        <v>45948</v>
      </c>
    </row>
    <row r="5869" spans="1:8">
      <c r="A5869" t="s">
        <v>11704</v>
      </c>
      <c r="B5869" t="s">
        <v>5212</v>
      </c>
      <c r="C5869" t="s">
        <v>31</v>
      </c>
      <c r="D5869">
        <v>20</v>
      </c>
      <c r="E5869" t="s">
        <v>15</v>
      </c>
      <c r="F5869" t="s">
        <v>16</v>
      </c>
      <c r="G5869" t="s">
        <v>17</v>
      </c>
      <c r="H5869" s="1">
        <v>45093</v>
      </c>
    </row>
    <row r="5870" spans="1:8">
      <c r="A5870" t="s">
        <v>11705</v>
      </c>
      <c r="B5870" t="s">
        <v>11706</v>
      </c>
      <c r="C5870" t="s">
        <v>10</v>
      </c>
      <c r="D5870">
        <v>38</v>
      </c>
      <c r="E5870" t="s">
        <v>11</v>
      </c>
      <c r="F5870" t="s">
        <v>11</v>
      </c>
      <c r="G5870" t="s">
        <v>12</v>
      </c>
      <c r="H5870" s="1">
        <v>45759</v>
      </c>
    </row>
    <row r="5871" spans="1:8">
      <c r="A5871" t="s">
        <v>11707</v>
      </c>
      <c r="B5871" t="s">
        <v>11708</v>
      </c>
      <c r="C5871" t="s">
        <v>31</v>
      </c>
      <c r="D5871">
        <v>40</v>
      </c>
      <c r="E5871" t="s">
        <v>41</v>
      </c>
      <c r="F5871" t="s">
        <v>42</v>
      </c>
      <c r="G5871" t="s">
        <v>17</v>
      </c>
      <c r="H5871" s="1">
        <v>45925</v>
      </c>
    </row>
    <row r="5872" spans="1:8">
      <c r="A5872" t="s">
        <v>11709</v>
      </c>
      <c r="B5872" t="s">
        <v>11710</v>
      </c>
      <c r="C5872" t="s">
        <v>10</v>
      </c>
      <c r="D5872">
        <v>62</v>
      </c>
      <c r="E5872" t="s">
        <v>91</v>
      </c>
      <c r="F5872" t="s">
        <v>92</v>
      </c>
      <c r="G5872" t="s">
        <v>78</v>
      </c>
      <c r="H5872" s="1">
        <v>45963</v>
      </c>
    </row>
    <row r="5873" spans="1:8">
      <c r="A5873" t="s">
        <v>11711</v>
      </c>
      <c r="B5873" t="s">
        <v>11712</v>
      </c>
      <c r="C5873" t="s">
        <v>10</v>
      </c>
      <c r="D5873">
        <v>48</v>
      </c>
      <c r="E5873" t="s">
        <v>20</v>
      </c>
      <c r="F5873" t="s">
        <v>21</v>
      </c>
      <c r="G5873" t="s">
        <v>22</v>
      </c>
      <c r="H5873" s="1">
        <v>45417</v>
      </c>
    </row>
    <row r="5874" spans="1:8">
      <c r="A5874" t="s">
        <v>11713</v>
      </c>
      <c r="B5874" t="s">
        <v>11714</v>
      </c>
      <c r="C5874" t="s">
        <v>31</v>
      </c>
      <c r="D5874">
        <v>30</v>
      </c>
      <c r="E5874" t="s">
        <v>15</v>
      </c>
      <c r="F5874" t="s">
        <v>16</v>
      </c>
      <c r="G5874" t="s">
        <v>17</v>
      </c>
      <c r="H5874" s="1">
        <v>45413</v>
      </c>
    </row>
    <row r="5875" spans="1:8">
      <c r="A5875" t="s">
        <v>11715</v>
      </c>
      <c r="B5875" t="s">
        <v>11716</v>
      </c>
      <c r="C5875" t="s">
        <v>10</v>
      </c>
      <c r="D5875">
        <v>26</v>
      </c>
      <c r="E5875" t="s">
        <v>45</v>
      </c>
      <c r="F5875" t="s">
        <v>46</v>
      </c>
      <c r="G5875" t="s">
        <v>17</v>
      </c>
      <c r="H5875" s="1">
        <v>45351</v>
      </c>
    </row>
    <row r="5876" spans="1:8">
      <c r="A5876" t="s">
        <v>11717</v>
      </c>
      <c r="B5876" t="s">
        <v>11718</v>
      </c>
      <c r="C5876" t="s">
        <v>31</v>
      </c>
      <c r="D5876">
        <v>45</v>
      </c>
      <c r="E5876" t="s">
        <v>91</v>
      </c>
      <c r="F5876" t="s">
        <v>92</v>
      </c>
      <c r="G5876" t="s">
        <v>78</v>
      </c>
      <c r="H5876" s="1">
        <v>45536</v>
      </c>
    </row>
    <row r="5877" spans="1:8">
      <c r="A5877" t="s">
        <v>11719</v>
      </c>
      <c r="B5877" t="s">
        <v>11720</v>
      </c>
      <c r="C5877" t="s">
        <v>31</v>
      </c>
      <c r="D5877">
        <v>24</v>
      </c>
      <c r="E5877" t="s">
        <v>63</v>
      </c>
      <c r="F5877" t="s">
        <v>64</v>
      </c>
      <c r="G5877" t="s">
        <v>12</v>
      </c>
      <c r="H5877" s="1">
        <v>45433</v>
      </c>
    </row>
    <row r="5878" spans="1:8">
      <c r="A5878" t="s">
        <v>11721</v>
      </c>
      <c r="B5878" t="s">
        <v>11722</v>
      </c>
      <c r="C5878" t="s">
        <v>31</v>
      </c>
      <c r="D5878">
        <v>51</v>
      </c>
      <c r="E5878" t="s">
        <v>41</v>
      </c>
      <c r="F5878" t="s">
        <v>42</v>
      </c>
      <c r="G5878" t="s">
        <v>17</v>
      </c>
      <c r="H5878" s="1">
        <v>44620</v>
      </c>
    </row>
    <row r="5879" spans="1:8">
      <c r="A5879" t="s">
        <v>11723</v>
      </c>
      <c r="B5879" t="s">
        <v>11724</v>
      </c>
      <c r="C5879" t="s">
        <v>10</v>
      </c>
      <c r="D5879">
        <v>18</v>
      </c>
      <c r="E5879" t="s">
        <v>41</v>
      </c>
      <c r="F5879" t="s">
        <v>42</v>
      </c>
      <c r="G5879" t="s">
        <v>17</v>
      </c>
      <c r="H5879" s="1">
        <v>45365</v>
      </c>
    </row>
    <row r="5880" spans="1:8">
      <c r="A5880" t="s">
        <v>11725</v>
      </c>
      <c r="B5880" t="s">
        <v>11726</v>
      </c>
      <c r="C5880" t="s">
        <v>10</v>
      </c>
      <c r="D5880">
        <v>23</v>
      </c>
      <c r="E5880" t="s">
        <v>11</v>
      </c>
      <c r="F5880" t="s">
        <v>11</v>
      </c>
      <c r="G5880" t="s">
        <v>12</v>
      </c>
      <c r="H5880" s="1">
        <v>45430</v>
      </c>
    </row>
    <row r="5881" spans="1:8">
      <c r="A5881" t="s">
        <v>11727</v>
      </c>
      <c r="B5881" t="s">
        <v>11728</v>
      </c>
      <c r="C5881" t="s">
        <v>10</v>
      </c>
      <c r="D5881">
        <v>68</v>
      </c>
      <c r="E5881" t="s">
        <v>69</v>
      </c>
      <c r="F5881" t="s">
        <v>69</v>
      </c>
      <c r="G5881" t="s">
        <v>12</v>
      </c>
      <c r="H5881" s="1">
        <v>45054</v>
      </c>
    </row>
    <row r="5882" spans="1:8">
      <c r="A5882" t="s">
        <v>11729</v>
      </c>
      <c r="B5882" t="s">
        <v>11730</v>
      </c>
      <c r="C5882" t="s">
        <v>31</v>
      </c>
      <c r="D5882">
        <v>22</v>
      </c>
      <c r="E5882" t="s">
        <v>128</v>
      </c>
      <c r="F5882" t="s">
        <v>129</v>
      </c>
      <c r="G5882" t="s">
        <v>78</v>
      </c>
      <c r="H5882" s="1">
        <v>45786</v>
      </c>
    </row>
    <row r="5883" spans="1:8">
      <c r="A5883" t="s">
        <v>11731</v>
      </c>
      <c r="B5883" t="s">
        <v>11732</v>
      </c>
      <c r="C5883" t="s">
        <v>31</v>
      </c>
      <c r="D5883">
        <v>39</v>
      </c>
      <c r="E5883" t="s">
        <v>149</v>
      </c>
      <c r="F5883" t="s">
        <v>38</v>
      </c>
      <c r="G5883" t="s">
        <v>22</v>
      </c>
      <c r="H5883" s="1">
        <v>44683</v>
      </c>
    </row>
    <row r="5884" spans="1:8">
      <c r="A5884" t="s">
        <v>11733</v>
      </c>
      <c r="B5884" t="s">
        <v>11734</v>
      </c>
      <c r="C5884" t="s">
        <v>10</v>
      </c>
      <c r="D5884">
        <v>70</v>
      </c>
      <c r="E5884" t="s">
        <v>45</v>
      </c>
      <c r="F5884" t="s">
        <v>46</v>
      </c>
      <c r="G5884" t="s">
        <v>17</v>
      </c>
      <c r="H5884" s="1">
        <v>45822</v>
      </c>
    </row>
    <row r="5885" spans="1:8">
      <c r="A5885" t="s">
        <v>11735</v>
      </c>
      <c r="B5885" t="s">
        <v>11736</v>
      </c>
      <c r="C5885" t="s">
        <v>10</v>
      </c>
      <c r="D5885">
        <v>61</v>
      </c>
      <c r="E5885" t="s">
        <v>41</v>
      </c>
      <c r="F5885" t="s">
        <v>42</v>
      </c>
      <c r="G5885" t="s">
        <v>17</v>
      </c>
      <c r="H5885" s="1">
        <v>45464</v>
      </c>
    </row>
    <row r="5886" spans="1:8">
      <c r="A5886" t="s">
        <v>11737</v>
      </c>
      <c r="B5886" t="s">
        <v>11738</v>
      </c>
      <c r="C5886" t="s">
        <v>31</v>
      </c>
      <c r="D5886">
        <v>68</v>
      </c>
      <c r="E5886" t="s">
        <v>63</v>
      </c>
      <c r="F5886" t="s">
        <v>64</v>
      </c>
      <c r="G5886" t="s">
        <v>12</v>
      </c>
      <c r="H5886" s="1">
        <v>45002</v>
      </c>
    </row>
    <row r="5887" spans="1:8">
      <c r="A5887" t="s">
        <v>11739</v>
      </c>
      <c r="B5887" t="s">
        <v>11740</v>
      </c>
      <c r="C5887" t="s">
        <v>10</v>
      </c>
      <c r="D5887">
        <v>37</v>
      </c>
      <c r="E5887" t="s">
        <v>218</v>
      </c>
      <c r="F5887" t="s">
        <v>219</v>
      </c>
      <c r="G5887" t="s">
        <v>17</v>
      </c>
      <c r="H5887" s="1">
        <v>45700</v>
      </c>
    </row>
    <row r="5888" spans="1:8">
      <c r="A5888" t="s">
        <v>11741</v>
      </c>
      <c r="B5888" t="s">
        <v>11742</v>
      </c>
      <c r="C5888" t="s">
        <v>31</v>
      </c>
      <c r="D5888">
        <v>59</v>
      </c>
      <c r="E5888" t="s">
        <v>20</v>
      </c>
      <c r="F5888" t="s">
        <v>21</v>
      </c>
      <c r="G5888" t="s">
        <v>22</v>
      </c>
      <c r="H5888" s="1">
        <v>45908</v>
      </c>
    </row>
    <row r="5889" spans="1:8">
      <c r="A5889" t="s">
        <v>11743</v>
      </c>
      <c r="B5889" t="s">
        <v>11744</v>
      </c>
      <c r="C5889" t="s">
        <v>10</v>
      </c>
      <c r="D5889">
        <v>43</v>
      </c>
      <c r="E5889" t="s">
        <v>34</v>
      </c>
      <c r="F5889" t="s">
        <v>16</v>
      </c>
      <c r="G5889" t="s">
        <v>17</v>
      </c>
      <c r="H5889" s="1">
        <v>45318</v>
      </c>
    </row>
    <row r="5890" spans="1:8">
      <c r="A5890" t="s">
        <v>11745</v>
      </c>
      <c r="B5890" t="s">
        <v>11746</v>
      </c>
      <c r="C5890" t="s">
        <v>10</v>
      </c>
      <c r="D5890">
        <v>53</v>
      </c>
      <c r="E5890" t="s">
        <v>15</v>
      </c>
      <c r="F5890" t="s">
        <v>16</v>
      </c>
      <c r="G5890" t="s">
        <v>17</v>
      </c>
      <c r="H5890" s="1">
        <v>45953</v>
      </c>
    </row>
    <row r="5891" spans="1:8">
      <c r="A5891" t="s">
        <v>11747</v>
      </c>
      <c r="B5891" t="s">
        <v>11748</v>
      </c>
      <c r="C5891" t="s">
        <v>10</v>
      </c>
      <c r="D5891">
        <v>34</v>
      </c>
      <c r="E5891" t="s">
        <v>34</v>
      </c>
      <c r="F5891" t="s">
        <v>16</v>
      </c>
      <c r="G5891" t="s">
        <v>17</v>
      </c>
      <c r="H5891" s="1">
        <v>44781</v>
      </c>
    </row>
    <row r="5892" spans="1:8">
      <c r="A5892" t="s">
        <v>11749</v>
      </c>
      <c r="B5892" t="s">
        <v>11750</v>
      </c>
      <c r="C5892" t="s">
        <v>31</v>
      </c>
      <c r="D5892">
        <v>42</v>
      </c>
      <c r="E5892" t="s">
        <v>45</v>
      </c>
      <c r="F5892" t="s">
        <v>46</v>
      </c>
      <c r="G5892" t="s">
        <v>17</v>
      </c>
      <c r="H5892" s="1">
        <v>45321</v>
      </c>
    </row>
    <row r="5893" spans="1:8">
      <c r="A5893" t="s">
        <v>11751</v>
      </c>
      <c r="B5893" t="s">
        <v>11752</v>
      </c>
      <c r="C5893" t="s">
        <v>10</v>
      </c>
      <c r="D5893">
        <v>25</v>
      </c>
      <c r="E5893" t="s">
        <v>60</v>
      </c>
      <c r="F5893" t="s">
        <v>21</v>
      </c>
      <c r="G5893" t="s">
        <v>22</v>
      </c>
      <c r="H5893" s="1">
        <v>45810</v>
      </c>
    </row>
    <row r="5894" spans="1:8">
      <c r="A5894" t="s">
        <v>11753</v>
      </c>
      <c r="B5894" t="s">
        <v>11754</v>
      </c>
      <c r="C5894" t="s">
        <v>10</v>
      </c>
      <c r="D5894">
        <v>65</v>
      </c>
      <c r="E5894" t="s">
        <v>134</v>
      </c>
      <c r="F5894" t="s">
        <v>28</v>
      </c>
      <c r="G5894" t="s">
        <v>12</v>
      </c>
      <c r="H5894" s="1">
        <v>45771</v>
      </c>
    </row>
    <row r="5895" spans="1:8">
      <c r="A5895" t="s">
        <v>11755</v>
      </c>
      <c r="B5895" t="s">
        <v>11756</v>
      </c>
      <c r="C5895" t="s">
        <v>10</v>
      </c>
      <c r="D5895">
        <v>51</v>
      </c>
      <c r="E5895" t="s">
        <v>45</v>
      </c>
      <c r="F5895" t="s">
        <v>46</v>
      </c>
      <c r="G5895" t="s">
        <v>17</v>
      </c>
      <c r="H5895" s="1">
        <v>44959</v>
      </c>
    </row>
    <row r="5896" spans="1:8">
      <c r="A5896" t="s">
        <v>11757</v>
      </c>
      <c r="B5896" t="s">
        <v>11758</v>
      </c>
      <c r="C5896" t="s">
        <v>31</v>
      </c>
      <c r="D5896">
        <v>33</v>
      </c>
      <c r="E5896" t="s">
        <v>76</v>
      </c>
      <c r="F5896" t="s">
        <v>77</v>
      </c>
      <c r="G5896" t="s">
        <v>78</v>
      </c>
      <c r="H5896" s="1">
        <v>45886</v>
      </c>
    </row>
    <row r="5897" spans="1:8">
      <c r="A5897" t="s">
        <v>11759</v>
      </c>
      <c r="B5897" t="s">
        <v>11760</v>
      </c>
      <c r="C5897" t="s">
        <v>10</v>
      </c>
      <c r="D5897">
        <v>68</v>
      </c>
      <c r="E5897" t="s">
        <v>60</v>
      </c>
      <c r="F5897" t="s">
        <v>21</v>
      </c>
      <c r="G5897" t="s">
        <v>22</v>
      </c>
      <c r="H5897" s="1">
        <v>45324</v>
      </c>
    </row>
    <row r="5898" spans="1:8">
      <c r="A5898" t="s">
        <v>11761</v>
      </c>
      <c r="B5898" t="s">
        <v>11762</v>
      </c>
      <c r="C5898" t="s">
        <v>10</v>
      </c>
      <c r="D5898">
        <v>60</v>
      </c>
      <c r="E5898" t="s">
        <v>15</v>
      </c>
      <c r="F5898" t="s">
        <v>16</v>
      </c>
      <c r="G5898" t="s">
        <v>17</v>
      </c>
      <c r="H5898" s="1">
        <v>45966</v>
      </c>
    </row>
    <row r="5899" spans="1:8">
      <c r="A5899" t="s">
        <v>11763</v>
      </c>
      <c r="B5899" t="s">
        <v>11764</v>
      </c>
      <c r="C5899" t="s">
        <v>10</v>
      </c>
      <c r="D5899">
        <v>61</v>
      </c>
      <c r="E5899" t="s">
        <v>112</v>
      </c>
      <c r="F5899" t="s">
        <v>113</v>
      </c>
      <c r="G5899" t="s">
        <v>78</v>
      </c>
      <c r="H5899" s="1">
        <v>45552</v>
      </c>
    </row>
    <row r="5900" spans="1:8">
      <c r="A5900" t="s">
        <v>11765</v>
      </c>
      <c r="B5900" t="s">
        <v>11766</v>
      </c>
      <c r="C5900" t="s">
        <v>31</v>
      </c>
      <c r="D5900">
        <v>27</v>
      </c>
      <c r="E5900" t="s">
        <v>134</v>
      </c>
      <c r="F5900" t="s">
        <v>28</v>
      </c>
      <c r="G5900" t="s">
        <v>12</v>
      </c>
      <c r="H5900" s="1">
        <v>44594</v>
      </c>
    </row>
    <row r="5901" spans="1:8">
      <c r="A5901" t="s">
        <v>11767</v>
      </c>
      <c r="B5901" t="s">
        <v>11768</v>
      </c>
      <c r="C5901" t="s">
        <v>31</v>
      </c>
      <c r="D5901">
        <v>56</v>
      </c>
      <c r="E5901" t="s">
        <v>11</v>
      </c>
      <c r="F5901" t="s">
        <v>11</v>
      </c>
      <c r="G5901" t="s">
        <v>12</v>
      </c>
      <c r="H5901" s="1">
        <v>45940</v>
      </c>
    </row>
    <row r="5902" spans="1:8">
      <c r="A5902" t="s">
        <v>11769</v>
      </c>
      <c r="B5902" t="s">
        <v>11770</v>
      </c>
      <c r="C5902" t="s">
        <v>31</v>
      </c>
      <c r="D5902">
        <v>31</v>
      </c>
      <c r="E5902" t="s">
        <v>45</v>
      </c>
      <c r="F5902" t="s">
        <v>46</v>
      </c>
      <c r="G5902" t="s">
        <v>17</v>
      </c>
      <c r="H5902" s="1">
        <v>44693</v>
      </c>
    </row>
    <row r="5903" spans="1:8">
      <c r="A5903" t="s">
        <v>11771</v>
      </c>
      <c r="B5903" t="s">
        <v>11772</v>
      </c>
      <c r="C5903" t="s">
        <v>31</v>
      </c>
      <c r="D5903">
        <v>27</v>
      </c>
      <c r="E5903" t="s">
        <v>128</v>
      </c>
      <c r="F5903" t="s">
        <v>129</v>
      </c>
      <c r="G5903" t="s">
        <v>78</v>
      </c>
      <c r="H5903" s="1">
        <v>44790</v>
      </c>
    </row>
    <row r="5904" spans="1:8">
      <c r="A5904" t="s">
        <v>11773</v>
      </c>
      <c r="B5904" t="s">
        <v>11774</v>
      </c>
      <c r="C5904" t="s">
        <v>31</v>
      </c>
      <c r="D5904">
        <v>32</v>
      </c>
      <c r="E5904" t="s">
        <v>11</v>
      </c>
      <c r="F5904" t="s">
        <v>11</v>
      </c>
      <c r="G5904" t="s">
        <v>12</v>
      </c>
      <c r="H5904" s="1">
        <v>44671</v>
      </c>
    </row>
    <row r="5905" spans="1:8">
      <c r="A5905" t="s">
        <v>11775</v>
      </c>
      <c r="B5905" t="s">
        <v>11776</v>
      </c>
      <c r="C5905" t="s">
        <v>10</v>
      </c>
      <c r="D5905">
        <v>55</v>
      </c>
      <c r="E5905" t="s">
        <v>76</v>
      </c>
      <c r="F5905" t="s">
        <v>77</v>
      </c>
      <c r="G5905" t="s">
        <v>78</v>
      </c>
      <c r="H5905" s="1">
        <v>44882</v>
      </c>
    </row>
    <row r="5906" spans="1:8">
      <c r="A5906" t="s">
        <v>11777</v>
      </c>
      <c r="B5906" t="s">
        <v>11778</v>
      </c>
      <c r="C5906" t="s">
        <v>10</v>
      </c>
      <c r="D5906">
        <v>68</v>
      </c>
      <c r="E5906" t="s">
        <v>149</v>
      </c>
      <c r="F5906" t="s">
        <v>38</v>
      </c>
      <c r="G5906" t="s">
        <v>22</v>
      </c>
      <c r="H5906" s="1">
        <v>45723</v>
      </c>
    </row>
    <row r="5907" spans="1:8">
      <c r="A5907" t="s">
        <v>11779</v>
      </c>
      <c r="B5907" t="s">
        <v>11780</v>
      </c>
      <c r="C5907" t="s">
        <v>31</v>
      </c>
      <c r="D5907">
        <v>45</v>
      </c>
      <c r="E5907" t="s">
        <v>101</v>
      </c>
      <c r="F5907" t="s">
        <v>21</v>
      </c>
      <c r="G5907" t="s">
        <v>22</v>
      </c>
      <c r="H5907" s="1">
        <v>45953</v>
      </c>
    </row>
    <row r="5908" spans="1:8">
      <c r="A5908" t="s">
        <v>11781</v>
      </c>
      <c r="B5908" t="s">
        <v>11782</v>
      </c>
      <c r="C5908" t="s">
        <v>31</v>
      </c>
      <c r="D5908">
        <v>26</v>
      </c>
      <c r="E5908" t="s">
        <v>11</v>
      </c>
      <c r="F5908" t="s">
        <v>11</v>
      </c>
      <c r="G5908" t="s">
        <v>12</v>
      </c>
      <c r="H5908" s="1">
        <v>44617</v>
      </c>
    </row>
    <row r="5909" spans="1:8">
      <c r="A5909" t="s">
        <v>11783</v>
      </c>
      <c r="B5909" t="s">
        <v>11784</v>
      </c>
      <c r="C5909" t="s">
        <v>10</v>
      </c>
      <c r="D5909">
        <v>46</v>
      </c>
      <c r="E5909" t="s">
        <v>149</v>
      </c>
      <c r="F5909" t="s">
        <v>38</v>
      </c>
      <c r="G5909" t="s">
        <v>22</v>
      </c>
      <c r="H5909" s="1">
        <v>45560</v>
      </c>
    </row>
    <row r="5910" spans="1:8">
      <c r="A5910" t="s">
        <v>11785</v>
      </c>
      <c r="B5910" t="s">
        <v>11786</v>
      </c>
      <c r="C5910" t="s">
        <v>10</v>
      </c>
      <c r="D5910">
        <v>41</v>
      </c>
      <c r="E5910" t="s">
        <v>134</v>
      </c>
      <c r="F5910" t="s">
        <v>28</v>
      </c>
      <c r="G5910" t="s">
        <v>12</v>
      </c>
      <c r="H5910" s="1">
        <v>45780</v>
      </c>
    </row>
    <row r="5911" spans="1:8">
      <c r="A5911" t="s">
        <v>11787</v>
      </c>
      <c r="B5911" t="s">
        <v>11788</v>
      </c>
      <c r="C5911" t="s">
        <v>31</v>
      </c>
      <c r="D5911">
        <v>38</v>
      </c>
      <c r="E5911" t="s">
        <v>87</v>
      </c>
      <c r="F5911" t="s">
        <v>88</v>
      </c>
      <c r="G5911" t="s">
        <v>78</v>
      </c>
      <c r="H5911" s="1">
        <v>45082</v>
      </c>
    </row>
    <row r="5912" spans="1:8">
      <c r="A5912" t="s">
        <v>11789</v>
      </c>
      <c r="B5912" t="s">
        <v>11790</v>
      </c>
      <c r="C5912" t="s">
        <v>10</v>
      </c>
      <c r="D5912">
        <v>67</v>
      </c>
      <c r="E5912" t="s">
        <v>34</v>
      </c>
      <c r="F5912" t="s">
        <v>16</v>
      </c>
      <c r="G5912" t="s">
        <v>17</v>
      </c>
      <c r="H5912" s="1">
        <v>44574</v>
      </c>
    </row>
    <row r="5913" spans="1:8">
      <c r="A5913" t="s">
        <v>11791</v>
      </c>
      <c r="B5913" t="s">
        <v>11792</v>
      </c>
      <c r="C5913" t="s">
        <v>31</v>
      </c>
      <c r="D5913">
        <v>53</v>
      </c>
      <c r="E5913" t="s">
        <v>27</v>
      </c>
      <c r="F5913" t="s">
        <v>28</v>
      </c>
      <c r="G5913" t="s">
        <v>12</v>
      </c>
      <c r="H5913" s="1">
        <v>45061</v>
      </c>
    </row>
    <row r="5914" spans="1:8">
      <c r="A5914" t="s">
        <v>11793</v>
      </c>
      <c r="B5914" t="s">
        <v>11794</v>
      </c>
      <c r="C5914" t="s">
        <v>31</v>
      </c>
      <c r="D5914">
        <v>21</v>
      </c>
      <c r="E5914" t="s">
        <v>63</v>
      </c>
      <c r="F5914" t="s">
        <v>64</v>
      </c>
      <c r="G5914" t="s">
        <v>12</v>
      </c>
      <c r="H5914" s="1">
        <v>45196</v>
      </c>
    </row>
    <row r="5915" spans="1:8">
      <c r="A5915" t="s">
        <v>11795</v>
      </c>
      <c r="B5915" t="s">
        <v>11796</v>
      </c>
      <c r="C5915" t="s">
        <v>31</v>
      </c>
      <c r="D5915">
        <v>46</v>
      </c>
      <c r="E5915" t="s">
        <v>45</v>
      </c>
      <c r="F5915" t="s">
        <v>46</v>
      </c>
      <c r="G5915" t="s">
        <v>17</v>
      </c>
      <c r="H5915" s="1">
        <v>45592</v>
      </c>
    </row>
    <row r="5916" spans="1:8">
      <c r="A5916" t="s">
        <v>11797</v>
      </c>
      <c r="B5916" t="s">
        <v>11798</v>
      </c>
      <c r="C5916" t="s">
        <v>10</v>
      </c>
      <c r="D5916">
        <v>35</v>
      </c>
      <c r="E5916" t="s">
        <v>11</v>
      </c>
      <c r="F5916" t="s">
        <v>11</v>
      </c>
      <c r="G5916" t="s">
        <v>12</v>
      </c>
      <c r="H5916" s="1">
        <v>45048</v>
      </c>
    </row>
    <row r="5917" spans="1:8">
      <c r="A5917" t="s">
        <v>11799</v>
      </c>
      <c r="B5917" t="s">
        <v>11800</v>
      </c>
      <c r="C5917" t="s">
        <v>31</v>
      </c>
      <c r="D5917">
        <v>61</v>
      </c>
      <c r="E5917" t="s">
        <v>34</v>
      </c>
      <c r="F5917" t="s">
        <v>16</v>
      </c>
      <c r="G5917" t="s">
        <v>17</v>
      </c>
      <c r="H5917" s="1">
        <v>45121</v>
      </c>
    </row>
    <row r="5918" spans="1:8">
      <c r="A5918" t="s">
        <v>11801</v>
      </c>
      <c r="B5918" t="s">
        <v>11802</v>
      </c>
      <c r="C5918" t="s">
        <v>10</v>
      </c>
      <c r="D5918">
        <v>52</v>
      </c>
      <c r="E5918" t="s">
        <v>134</v>
      </c>
      <c r="F5918" t="s">
        <v>28</v>
      </c>
      <c r="G5918" t="s">
        <v>12</v>
      </c>
      <c r="H5918" s="1">
        <v>45171</v>
      </c>
    </row>
    <row r="5919" spans="1:8">
      <c r="A5919" t="s">
        <v>11803</v>
      </c>
      <c r="B5919" t="s">
        <v>11804</v>
      </c>
      <c r="C5919" t="s">
        <v>31</v>
      </c>
      <c r="D5919">
        <v>52</v>
      </c>
      <c r="E5919" t="s">
        <v>63</v>
      </c>
      <c r="F5919" t="s">
        <v>64</v>
      </c>
      <c r="G5919" t="s">
        <v>12</v>
      </c>
      <c r="H5919" s="1">
        <v>45053</v>
      </c>
    </row>
    <row r="5920" spans="1:8">
      <c r="A5920" t="s">
        <v>11805</v>
      </c>
      <c r="B5920" t="s">
        <v>11806</v>
      </c>
      <c r="C5920" t="s">
        <v>10</v>
      </c>
      <c r="D5920">
        <v>53</v>
      </c>
      <c r="E5920" t="s">
        <v>20</v>
      </c>
      <c r="F5920" t="s">
        <v>21</v>
      </c>
      <c r="G5920" t="s">
        <v>22</v>
      </c>
      <c r="H5920" s="1">
        <v>44716</v>
      </c>
    </row>
    <row r="5921" spans="1:8">
      <c r="A5921" t="s">
        <v>11807</v>
      </c>
      <c r="B5921" t="s">
        <v>11808</v>
      </c>
      <c r="C5921" t="s">
        <v>10</v>
      </c>
      <c r="D5921">
        <v>21</v>
      </c>
      <c r="E5921" t="s">
        <v>69</v>
      </c>
      <c r="F5921" t="s">
        <v>69</v>
      </c>
      <c r="G5921" t="s">
        <v>12</v>
      </c>
      <c r="H5921" s="1">
        <v>44915</v>
      </c>
    </row>
    <row r="5922" spans="1:8">
      <c r="A5922" t="s">
        <v>11809</v>
      </c>
      <c r="B5922" t="s">
        <v>11810</v>
      </c>
      <c r="C5922" t="s">
        <v>10</v>
      </c>
      <c r="D5922">
        <v>33</v>
      </c>
      <c r="E5922" t="s">
        <v>91</v>
      </c>
      <c r="F5922" t="s">
        <v>92</v>
      </c>
      <c r="G5922" t="s">
        <v>78</v>
      </c>
      <c r="H5922" s="1">
        <v>44767</v>
      </c>
    </row>
    <row r="5923" spans="1:8">
      <c r="A5923" t="s">
        <v>11811</v>
      </c>
      <c r="B5923" t="s">
        <v>11812</v>
      </c>
      <c r="C5923" t="s">
        <v>31</v>
      </c>
      <c r="D5923">
        <v>28</v>
      </c>
      <c r="E5923" t="s">
        <v>15</v>
      </c>
      <c r="F5923" t="s">
        <v>16</v>
      </c>
      <c r="G5923" t="s">
        <v>17</v>
      </c>
      <c r="H5923" s="1">
        <v>44767</v>
      </c>
    </row>
    <row r="5924" spans="1:8">
      <c r="A5924" t="s">
        <v>11813</v>
      </c>
      <c r="B5924" t="s">
        <v>11814</v>
      </c>
      <c r="C5924" t="s">
        <v>10</v>
      </c>
      <c r="D5924">
        <v>41</v>
      </c>
      <c r="E5924" t="s">
        <v>15</v>
      </c>
      <c r="F5924" t="s">
        <v>16</v>
      </c>
      <c r="G5924" t="s">
        <v>17</v>
      </c>
      <c r="H5924" s="1">
        <v>45043</v>
      </c>
    </row>
    <row r="5925" spans="1:8">
      <c r="A5925" t="s">
        <v>11815</v>
      </c>
      <c r="B5925" t="s">
        <v>11816</v>
      </c>
      <c r="C5925" t="s">
        <v>10</v>
      </c>
      <c r="D5925">
        <v>61</v>
      </c>
      <c r="E5925" t="s">
        <v>63</v>
      </c>
      <c r="F5925" t="s">
        <v>64</v>
      </c>
      <c r="G5925" t="s">
        <v>12</v>
      </c>
      <c r="H5925" s="1">
        <v>44626</v>
      </c>
    </row>
    <row r="5926" spans="1:8">
      <c r="A5926" t="s">
        <v>11817</v>
      </c>
      <c r="B5926" t="s">
        <v>11818</v>
      </c>
      <c r="C5926" t="s">
        <v>10</v>
      </c>
      <c r="D5926">
        <v>64</v>
      </c>
      <c r="E5926" t="s">
        <v>69</v>
      </c>
      <c r="F5926" t="s">
        <v>69</v>
      </c>
      <c r="G5926" t="s">
        <v>12</v>
      </c>
      <c r="H5926" s="1">
        <v>45633</v>
      </c>
    </row>
    <row r="5927" spans="1:8">
      <c r="A5927" t="s">
        <v>11819</v>
      </c>
      <c r="B5927" t="s">
        <v>11820</v>
      </c>
      <c r="C5927" t="s">
        <v>31</v>
      </c>
      <c r="D5927">
        <v>18</v>
      </c>
      <c r="E5927" t="s">
        <v>69</v>
      </c>
      <c r="F5927" t="s">
        <v>69</v>
      </c>
      <c r="G5927" t="s">
        <v>12</v>
      </c>
      <c r="H5927" s="1">
        <v>45017</v>
      </c>
    </row>
    <row r="5928" spans="1:8">
      <c r="A5928" t="s">
        <v>11821</v>
      </c>
      <c r="B5928" t="s">
        <v>11822</v>
      </c>
      <c r="C5928" t="s">
        <v>10</v>
      </c>
      <c r="D5928">
        <v>59</v>
      </c>
      <c r="E5928" t="s">
        <v>218</v>
      </c>
      <c r="F5928" t="s">
        <v>219</v>
      </c>
      <c r="G5928" t="s">
        <v>17</v>
      </c>
      <c r="H5928" s="1">
        <v>45947</v>
      </c>
    </row>
    <row r="5929" spans="1:8">
      <c r="A5929" t="s">
        <v>11823</v>
      </c>
      <c r="B5929" t="s">
        <v>11824</v>
      </c>
      <c r="C5929" t="s">
        <v>31</v>
      </c>
      <c r="D5929">
        <v>56</v>
      </c>
      <c r="E5929" t="s">
        <v>112</v>
      </c>
      <c r="F5929" t="s">
        <v>113</v>
      </c>
      <c r="G5929" t="s">
        <v>78</v>
      </c>
      <c r="H5929" s="1">
        <v>45064</v>
      </c>
    </row>
    <row r="5930" spans="1:8">
      <c r="A5930" t="s">
        <v>11825</v>
      </c>
      <c r="B5930" t="s">
        <v>11826</v>
      </c>
      <c r="C5930" t="s">
        <v>31</v>
      </c>
      <c r="D5930">
        <v>59</v>
      </c>
      <c r="E5930" t="s">
        <v>218</v>
      </c>
      <c r="F5930" t="s">
        <v>219</v>
      </c>
      <c r="G5930" t="s">
        <v>17</v>
      </c>
      <c r="H5930" s="1">
        <v>45775</v>
      </c>
    </row>
    <row r="5931" spans="1:8">
      <c r="A5931" t="s">
        <v>11827</v>
      </c>
      <c r="B5931" t="s">
        <v>11828</v>
      </c>
      <c r="C5931" t="s">
        <v>10</v>
      </c>
      <c r="D5931">
        <v>20</v>
      </c>
      <c r="E5931" t="s">
        <v>149</v>
      </c>
      <c r="F5931" t="s">
        <v>38</v>
      </c>
      <c r="G5931" t="s">
        <v>22</v>
      </c>
      <c r="H5931" s="1">
        <v>44939</v>
      </c>
    </row>
    <row r="5932" spans="1:8">
      <c r="A5932" t="s">
        <v>11829</v>
      </c>
      <c r="B5932" t="s">
        <v>11830</v>
      </c>
      <c r="C5932" t="s">
        <v>31</v>
      </c>
      <c r="D5932">
        <v>62</v>
      </c>
      <c r="E5932" t="s">
        <v>34</v>
      </c>
      <c r="F5932" t="s">
        <v>16</v>
      </c>
      <c r="G5932" t="s">
        <v>17</v>
      </c>
      <c r="H5932" s="1">
        <v>44727</v>
      </c>
    </row>
    <row r="5933" spans="1:8">
      <c r="A5933" t="s">
        <v>11831</v>
      </c>
      <c r="B5933" t="s">
        <v>11832</v>
      </c>
      <c r="C5933" t="s">
        <v>10</v>
      </c>
      <c r="D5933">
        <v>47</v>
      </c>
      <c r="E5933" t="s">
        <v>11</v>
      </c>
      <c r="F5933" t="s">
        <v>11</v>
      </c>
      <c r="G5933" t="s">
        <v>12</v>
      </c>
      <c r="H5933" s="1">
        <v>45532</v>
      </c>
    </row>
    <row r="5934" spans="1:8">
      <c r="A5934" t="s">
        <v>11833</v>
      </c>
      <c r="B5934" t="s">
        <v>11834</v>
      </c>
      <c r="C5934" t="s">
        <v>31</v>
      </c>
      <c r="D5934">
        <v>68</v>
      </c>
      <c r="E5934" t="s">
        <v>34</v>
      </c>
      <c r="F5934" t="s">
        <v>16</v>
      </c>
      <c r="G5934" t="s">
        <v>17</v>
      </c>
      <c r="H5934" s="1">
        <v>45112</v>
      </c>
    </row>
    <row r="5935" spans="1:8">
      <c r="A5935" t="s">
        <v>11835</v>
      </c>
      <c r="B5935" t="s">
        <v>11836</v>
      </c>
      <c r="C5935" t="s">
        <v>31</v>
      </c>
      <c r="D5935">
        <v>24</v>
      </c>
      <c r="E5935" t="s">
        <v>218</v>
      </c>
      <c r="F5935" t="s">
        <v>219</v>
      </c>
      <c r="G5935" t="s">
        <v>17</v>
      </c>
      <c r="H5935" s="1">
        <v>45804</v>
      </c>
    </row>
    <row r="5936" spans="1:8">
      <c r="A5936" t="s">
        <v>11837</v>
      </c>
      <c r="B5936" t="s">
        <v>11838</v>
      </c>
      <c r="C5936" t="s">
        <v>31</v>
      </c>
      <c r="D5936">
        <v>23</v>
      </c>
      <c r="E5936" t="s">
        <v>41</v>
      </c>
      <c r="F5936" t="s">
        <v>42</v>
      </c>
      <c r="G5936" t="s">
        <v>17</v>
      </c>
      <c r="H5936" s="1">
        <v>44575</v>
      </c>
    </row>
    <row r="5937" spans="1:8">
      <c r="A5937" t="s">
        <v>11839</v>
      </c>
      <c r="B5937" t="s">
        <v>11840</v>
      </c>
      <c r="C5937" t="s">
        <v>31</v>
      </c>
      <c r="D5937">
        <v>69</v>
      </c>
      <c r="E5937" t="s">
        <v>27</v>
      </c>
      <c r="F5937" t="s">
        <v>28</v>
      </c>
      <c r="G5937" t="s">
        <v>12</v>
      </c>
      <c r="H5937" s="1">
        <v>44726</v>
      </c>
    </row>
    <row r="5938" spans="1:8">
      <c r="A5938" t="s">
        <v>11841</v>
      </c>
      <c r="B5938" t="s">
        <v>11842</v>
      </c>
      <c r="C5938" t="s">
        <v>31</v>
      </c>
      <c r="D5938">
        <v>44</v>
      </c>
      <c r="E5938" t="s">
        <v>134</v>
      </c>
      <c r="F5938" t="s">
        <v>28</v>
      </c>
      <c r="G5938" t="s">
        <v>12</v>
      </c>
      <c r="H5938" s="1">
        <v>45093</v>
      </c>
    </row>
    <row r="5939" spans="1:8">
      <c r="A5939" t="s">
        <v>11843</v>
      </c>
      <c r="B5939" t="s">
        <v>11844</v>
      </c>
      <c r="C5939" t="s">
        <v>31</v>
      </c>
      <c r="D5939">
        <v>40</v>
      </c>
      <c r="E5939" t="s">
        <v>63</v>
      </c>
      <c r="F5939" t="s">
        <v>64</v>
      </c>
      <c r="G5939" t="s">
        <v>12</v>
      </c>
      <c r="H5939" s="1">
        <v>45825</v>
      </c>
    </row>
    <row r="5940" spans="1:8">
      <c r="A5940" t="s">
        <v>11845</v>
      </c>
      <c r="B5940" t="s">
        <v>11846</v>
      </c>
      <c r="C5940" t="s">
        <v>10</v>
      </c>
      <c r="D5940">
        <v>47</v>
      </c>
      <c r="E5940" t="s">
        <v>20</v>
      </c>
      <c r="F5940" t="s">
        <v>21</v>
      </c>
      <c r="G5940" t="s">
        <v>22</v>
      </c>
      <c r="H5940" s="1">
        <v>45790</v>
      </c>
    </row>
    <row r="5941" spans="1:8">
      <c r="A5941" t="s">
        <v>11847</v>
      </c>
      <c r="B5941" t="s">
        <v>11848</v>
      </c>
      <c r="C5941" t="s">
        <v>31</v>
      </c>
      <c r="D5941">
        <v>46</v>
      </c>
      <c r="E5941" t="s">
        <v>20</v>
      </c>
      <c r="F5941" t="s">
        <v>21</v>
      </c>
      <c r="G5941" t="s">
        <v>22</v>
      </c>
      <c r="H5941" s="1">
        <v>45045</v>
      </c>
    </row>
    <row r="5942" spans="1:8">
      <c r="A5942" t="s">
        <v>11849</v>
      </c>
      <c r="B5942" t="s">
        <v>11850</v>
      </c>
      <c r="C5942" t="s">
        <v>31</v>
      </c>
      <c r="D5942">
        <v>66</v>
      </c>
      <c r="E5942" t="s">
        <v>11</v>
      </c>
      <c r="F5942" t="s">
        <v>11</v>
      </c>
      <c r="G5942" t="s">
        <v>12</v>
      </c>
      <c r="H5942" s="1">
        <v>45971</v>
      </c>
    </row>
    <row r="5943" spans="1:8">
      <c r="A5943" t="s">
        <v>11851</v>
      </c>
      <c r="B5943" t="s">
        <v>11852</v>
      </c>
      <c r="C5943" t="s">
        <v>31</v>
      </c>
      <c r="D5943">
        <v>43</v>
      </c>
      <c r="E5943" t="s">
        <v>41</v>
      </c>
      <c r="F5943" t="s">
        <v>42</v>
      </c>
      <c r="G5943" t="s">
        <v>17</v>
      </c>
      <c r="H5943" s="1">
        <v>45054</v>
      </c>
    </row>
    <row r="5944" spans="1:8">
      <c r="A5944" t="s">
        <v>11853</v>
      </c>
      <c r="B5944" t="s">
        <v>11854</v>
      </c>
      <c r="C5944" t="s">
        <v>31</v>
      </c>
      <c r="D5944">
        <v>52</v>
      </c>
      <c r="E5944" t="s">
        <v>41</v>
      </c>
      <c r="F5944" t="s">
        <v>42</v>
      </c>
      <c r="G5944" t="s">
        <v>17</v>
      </c>
      <c r="H5944" s="1">
        <v>45343</v>
      </c>
    </row>
    <row r="5945" spans="1:8">
      <c r="A5945" t="s">
        <v>11855</v>
      </c>
      <c r="B5945" t="s">
        <v>11856</v>
      </c>
      <c r="C5945" t="s">
        <v>31</v>
      </c>
      <c r="D5945">
        <v>49</v>
      </c>
      <c r="E5945" t="s">
        <v>15</v>
      </c>
      <c r="F5945" t="s">
        <v>16</v>
      </c>
      <c r="G5945" t="s">
        <v>17</v>
      </c>
      <c r="H5945" s="1">
        <v>45324</v>
      </c>
    </row>
    <row r="5946" spans="1:8">
      <c r="A5946" t="s">
        <v>11857</v>
      </c>
      <c r="B5946" t="s">
        <v>11858</v>
      </c>
      <c r="C5946" t="s">
        <v>31</v>
      </c>
      <c r="D5946">
        <v>65</v>
      </c>
      <c r="E5946" t="s">
        <v>15</v>
      </c>
      <c r="F5946" t="s">
        <v>16</v>
      </c>
      <c r="G5946" t="s">
        <v>17</v>
      </c>
      <c r="H5946" s="1">
        <v>44962</v>
      </c>
    </row>
    <row r="5947" spans="1:8">
      <c r="A5947" t="s">
        <v>11859</v>
      </c>
      <c r="B5947" t="s">
        <v>11860</v>
      </c>
      <c r="C5947" t="s">
        <v>10</v>
      </c>
      <c r="D5947">
        <v>31</v>
      </c>
      <c r="E5947" t="s">
        <v>15</v>
      </c>
      <c r="F5947" t="s">
        <v>16</v>
      </c>
      <c r="G5947" t="s">
        <v>17</v>
      </c>
      <c r="H5947" s="1">
        <v>44901</v>
      </c>
    </row>
    <row r="5948" spans="1:8">
      <c r="A5948" t="s">
        <v>11861</v>
      </c>
      <c r="B5948" t="s">
        <v>11862</v>
      </c>
      <c r="C5948" t="s">
        <v>31</v>
      </c>
      <c r="D5948">
        <v>22</v>
      </c>
      <c r="E5948" t="s">
        <v>134</v>
      </c>
      <c r="F5948" t="s">
        <v>28</v>
      </c>
      <c r="G5948" t="s">
        <v>12</v>
      </c>
      <c r="H5948" s="1">
        <v>45928</v>
      </c>
    </row>
    <row r="5949" spans="1:8">
      <c r="A5949" t="s">
        <v>11863</v>
      </c>
      <c r="B5949" t="s">
        <v>11864</v>
      </c>
      <c r="C5949" t="s">
        <v>10</v>
      </c>
      <c r="D5949">
        <v>49</v>
      </c>
      <c r="E5949" t="s">
        <v>149</v>
      </c>
      <c r="F5949" t="s">
        <v>38</v>
      </c>
      <c r="G5949" t="s">
        <v>22</v>
      </c>
      <c r="H5949" s="1">
        <v>45342</v>
      </c>
    </row>
    <row r="5950" spans="1:8">
      <c r="A5950" t="s">
        <v>11865</v>
      </c>
      <c r="B5950" t="s">
        <v>11866</v>
      </c>
      <c r="C5950" t="s">
        <v>31</v>
      </c>
      <c r="D5950">
        <v>61</v>
      </c>
      <c r="E5950" t="s">
        <v>101</v>
      </c>
      <c r="F5950" t="s">
        <v>21</v>
      </c>
      <c r="G5950" t="s">
        <v>22</v>
      </c>
      <c r="H5950" s="1">
        <v>44563</v>
      </c>
    </row>
    <row r="5951" spans="1:8">
      <c r="A5951" t="s">
        <v>11867</v>
      </c>
      <c r="B5951" t="s">
        <v>11868</v>
      </c>
      <c r="C5951" t="s">
        <v>10</v>
      </c>
      <c r="D5951">
        <v>61</v>
      </c>
      <c r="E5951" t="s">
        <v>41</v>
      </c>
      <c r="F5951" t="s">
        <v>42</v>
      </c>
      <c r="G5951" t="s">
        <v>17</v>
      </c>
      <c r="H5951" s="1">
        <v>45414</v>
      </c>
    </row>
    <row r="5952" spans="1:8">
      <c r="A5952" t="s">
        <v>11869</v>
      </c>
      <c r="B5952" t="s">
        <v>11870</v>
      </c>
      <c r="C5952" t="s">
        <v>10</v>
      </c>
      <c r="D5952">
        <v>36</v>
      </c>
      <c r="E5952" t="s">
        <v>15</v>
      </c>
      <c r="F5952" t="s">
        <v>16</v>
      </c>
      <c r="G5952" t="s">
        <v>17</v>
      </c>
      <c r="H5952" s="1">
        <v>45329</v>
      </c>
    </row>
    <row r="5953" spans="1:8">
      <c r="A5953" t="s">
        <v>11871</v>
      </c>
      <c r="B5953" t="s">
        <v>11872</v>
      </c>
      <c r="C5953" t="s">
        <v>31</v>
      </c>
      <c r="D5953">
        <v>52</v>
      </c>
      <c r="E5953" t="s">
        <v>20</v>
      </c>
      <c r="F5953" t="s">
        <v>21</v>
      </c>
      <c r="G5953" t="s">
        <v>22</v>
      </c>
      <c r="H5953" s="1">
        <v>45792</v>
      </c>
    </row>
    <row r="5954" spans="1:8">
      <c r="A5954" t="s">
        <v>11873</v>
      </c>
      <c r="B5954" t="s">
        <v>11874</v>
      </c>
      <c r="C5954" t="s">
        <v>31</v>
      </c>
      <c r="D5954">
        <v>48</v>
      </c>
      <c r="E5954" t="s">
        <v>63</v>
      </c>
      <c r="F5954" t="s">
        <v>64</v>
      </c>
      <c r="G5954" t="s">
        <v>12</v>
      </c>
      <c r="H5954" s="1">
        <v>45413</v>
      </c>
    </row>
    <row r="5955" spans="1:8">
      <c r="A5955" t="s">
        <v>11875</v>
      </c>
      <c r="B5955" t="s">
        <v>11876</v>
      </c>
      <c r="C5955" t="s">
        <v>31</v>
      </c>
      <c r="D5955">
        <v>42</v>
      </c>
      <c r="E5955" t="s">
        <v>45</v>
      </c>
      <c r="F5955" t="s">
        <v>46</v>
      </c>
      <c r="G5955" t="s">
        <v>17</v>
      </c>
      <c r="H5955" s="1">
        <v>45357</v>
      </c>
    </row>
    <row r="5956" spans="1:8">
      <c r="A5956" t="s">
        <v>11877</v>
      </c>
      <c r="B5956" t="s">
        <v>11878</v>
      </c>
      <c r="C5956" t="s">
        <v>31</v>
      </c>
      <c r="D5956">
        <v>19</v>
      </c>
      <c r="E5956" t="s">
        <v>60</v>
      </c>
      <c r="F5956" t="s">
        <v>21</v>
      </c>
      <c r="G5956" t="s">
        <v>22</v>
      </c>
      <c r="H5956" s="1">
        <v>45355</v>
      </c>
    </row>
    <row r="5957" spans="1:8">
      <c r="A5957" t="s">
        <v>11879</v>
      </c>
      <c r="B5957" t="s">
        <v>11880</v>
      </c>
      <c r="C5957" t="s">
        <v>10</v>
      </c>
      <c r="D5957">
        <v>18</v>
      </c>
      <c r="E5957" t="s">
        <v>218</v>
      </c>
      <c r="F5957" t="s">
        <v>219</v>
      </c>
      <c r="G5957" t="s">
        <v>17</v>
      </c>
      <c r="H5957" s="1">
        <v>45706</v>
      </c>
    </row>
    <row r="5958" spans="1:8">
      <c r="A5958" t="s">
        <v>11881</v>
      </c>
      <c r="B5958" t="s">
        <v>11706</v>
      </c>
      <c r="C5958" t="s">
        <v>31</v>
      </c>
      <c r="D5958">
        <v>61</v>
      </c>
      <c r="E5958" t="s">
        <v>218</v>
      </c>
      <c r="F5958" t="s">
        <v>219</v>
      </c>
      <c r="G5958" t="s">
        <v>17</v>
      </c>
      <c r="H5958" s="1">
        <v>45012</v>
      </c>
    </row>
    <row r="5959" spans="1:8">
      <c r="A5959" t="s">
        <v>11882</v>
      </c>
      <c r="B5959" t="s">
        <v>11883</v>
      </c>
      <c r="C5959" t="s">
        <v>10</v>
      </c>
      <c r="D5959">
        <v>62</v>
      </c>
      <c r="E5959" t="s">
        <v>63</v>
      </c>
      <c r="F5959" t="s">
        <v>64</v>
      </c>
      <c r="G5959" t="s">
        <v>12</v>
      </c>
      <c r="H5959" s="1">
        <v>45384</v>
      </c>
    </row>
    <row r="5960" spans="1:8">
      <c r="A5960" t="s">
        <v>11884</v>
      </c>
      <c r="B5960" t="s">
        <v>11885</v>
      </c>
      <c r="C5960" t="s">
        <v>10</v>
      </c>
      <c r="D5960">
        <v>65</v>
      </c>
      <c r="E5960" t="s">
        <v>91</v>
      </c>
      <c r="F5960" t="s">
        <v>92</v>
      </c>
      <c r="G5960" t="s">
        <v>78</v>
      </c>
      <c r="H5960" s="1">
        <v>45742</v>
      </c>
    </row>
    <row r="5961" spans="1:8">
      <c r="A5961" t="s">
        <v>11886</v>
      </c>
      <c r="B5961" t="s">
        <v>11887</v>
      </c>
      <c r="C5961" t="s">
        <v>10</v>
      </c>
      <c r="D5961">
        <v>48</v>
      </c>
      <c r="E5961" t="s">
        <v>128</v>
      </c>
      <c r="F5961" t="s">
        <v>129</v>
      </c>
      <c r="G5961" t="s">
        <v>78</v>
      </c>
      <c r="H5961" s="1">
        <v>44794</v>
      </c>
    </row>
    <row r="5962" spans="1:8">
      <c r="A5962" t="s">
        <v>11888</v>
      </c>
      <c r="B5962" t="s">
        <v>11889</v>
      </c>
      <c r="C5962" t="s">
        <v>10</v>
      </c>
      <c r="D5962">
        <v>35</v>
      </c>
      <c r="E5962" t="s">
        <v>112</v>
      </c>
      <c r="F5962" t="s">
        <v>113</v>
      </c>
      <c r="G5962" t="s">
        <v>78</v>
      </c>
      <c r="H5962" s="1">
        <v>45237</v>
      </c>
    </row>
    <row r="5963" spans="1:8">
      <c r="A5963" t="s">
        <v>11890</v>
      </c>
      <c r="B5963" t="s">
        <v>11891</v>
      </c>
      <c r="C5963" t="s">
        <v>31</v>
      </c>
      <c r="D5963">
        <v>65</v>
      </c>
      <c r="E5963" t="s">
        <v>45</v>
      </c>
      <c r="F5963" t="s">
        <v>46</v>
      </c>
      <c r="G5963" t="s">
        <v>17</v>
      </c>
      <c r="H5963" s="1">
        <v>44664</v>
      </c>
    </row>
    <row r="5964" spans="1:8">
      <c r="A5964" t="s">
        <v>11892</v>
      </c>
      <c r="B5964" t="s">
        <v>11893</v>
      </c>
      <c r="C5964" t="s">
        <v>10</v>
      </c>
      <c r="D5964">
        <v>23</v>
      </c>
      <c r="E5964" t="s">
        <v>76</v>
      </c>
      <c r="F5964" t="s">
        <v>77</v>
      </c>
      <c r="G5964" t="s">
        <v>78</v>
      </c>
      <c r="H5964" s="1">
        <v>45747</v>
      </c>
    </row>
    <row r="5965" spans="1:8">
      <c r="A5965" t="s">
        <v>11894</v>
      </c>
      <c r="B5965" t="s">
        <v>11895</v>
      </c>
      <c r="C5965" t="s">
        <v>10</v>
      </c>
      <c r="D5965">
        <v>35</v>
      </c>
      <c r="E5965" t="s">
        <v>101</v>
      </c>
      <c r="F5965" t="s">
        <v>21</v>
      </c>
      <c r="G5965" t="s">
        <v>22</v>
      </c>
      <c r="H5965" s="1">
        <v>44824</v>
      </c>
    </row>
    <row r="5966" spans="1:8">
      <c r="A5966" t="s">
        <v>11896</v>
      </c>
      <c r="B5966" t="s">
        <v>11897</v>
      </c>
      <c r="C5966" t="s">
        <v>10</v>
      </c>
      <c r="D5966">
        <v>23</v>
      </c>
      <c r="E5966" t="s">
        <v>60</v>
      </c>
      <c r="F5966" t="s">
        <v>21</v>
      </c>
      <c r="G5966" t="s">
        <v>22</v>
      </c>
      <c r="H5966" s="1">
        <v>44956</v>
      </c>
    </row>
    <row r="5967" spans="1:8">
      <c r="A5967" t="s">
        <v>11898</v>
      </c>
      <c r="B5967" t="s">
        <v>11899</v>
      </c>
      <c r="C5967" t="s">
        <v>31</v>
      </c>
      <c r="D5967">
        <v>59</v>
      </c>
      <c r="E5967" t="s">
        <v>149</v>
      </c>
      <c r="F5967" t="s">
        <v>38</v>
      </c>
      <c r="G5967" t="s">
        <v>22</v>
      </c>
      <c r="H5967" s="1">
        <v>45988</v>
      </c>
    </row>
    <row r="5968" spans="1:8">
      <c r="A5968" t="s">
        <v>11900</v>
      </c>
      <c r="B5968" t="s">
        <v>11901</v>
      </c>
      <c r="C5968" t="s">
        <v>31</v>
      </c>
      <c r="D5968">
        <v>51</v>
      </c>
      <c r="E5968" t="s">
        <v>41</v>
      </c>
      <c r="F5968" t="s">
        <v>42</v>
      </c>
      <c r="G5968" t="s">
        <v>17</v>
      </c>
      <c r="H5968" s="1">
        <v>45247</v>
      </c>
    </row>
    <row r="5969" spans="1:8">
      <c r="A5969" t="s">
        <v>11902</v>
      </c>
      <c r="B5969" t="s">
        <v>11903</v>
      </c>
      <c r="C5969" t="s">
        <v>31</v>
      </c>
      <c r="D5969">
        <v>54</v>
      </c>
      <c r="E5969" t="s">
        <v>27</v>
      </c>
      <c r="F5969" t="s">
        <v>28</v>
      </c>
      <c r="G5969" t="s">
        <v>12</v>
      </c>
      <c r="H5969" s="1">
        <v>45905</v>
      </c>
    </row>
    <row r="5970" spans="1:8">
      <c r="A5970" t="s">
        <v>11904</v>
      </c>
      <c r="B5970" t="s">
        <v>11905</v>
      </c>
      <c r="C5970" t="s">
        <v>31</v>
      </c>
      <c r="D5970">
        <v>57</v>
      </c>
      <c r="E5970" t="s">
        <v>37</v>
      </c>
      <c r="F5970" t="s">
        <v>38</v>
      </c>
      <c r="G5970" t="s">
        <v>22</v>
      </c>
      <c r="H5970" s="1">
        <v>45753</v>
      </c>
    </row>
    <row r="5971" spans="1:8">
      <c r="A5971" t="s">
        <v>11906</v>
      </c>
      <c r="B5971" t="s">
        <v>11907</v>
      </c>
      <c r="C5971" t="s">
        <v>10</v>
      </c>
      <c r="D5971">
        <v>24</v>
      </c>
      <c r="E5971" t="s">
        <v>134</v>
      </c>
      <c r="F5971" t="s">
        <v>28</v>
      </c>
      <c r="G5971" t="s">
        <v>12</v>
      </c>
      <c r="H5971" s="1">
        <v>44892</v>
      </c>
    </row>
    <row r="5972" spans="1:8">
      <c r="A5972" t="s">
        <v>11908</v>
      </c>
      <c r="B5972" t="s">
        <v>11909</v>
      </c>
      <c r="C5972" t="s">
        <v>31</v>
      </c>
      <c r="D5972">
        <v>68</v>
      </c>
      <c r="E5972" t="s">
        <v>20</v>
      </c>
      <c r="F5972" t="s">
        <v>21</v>
      </c>
      <c r="G5972" t="s">
        <v>22</v>
      </c>
      <c r="H5972" s="1">
        <v>45133</v>
      </c>
    </row>
    <row r="5973" spans="1:8">
      <c r="A5973" t="s">
        <v>11910</v>
      </c>
      <c r="B5973" t="s">
        <v>11911</v>
      </c>
      <c r="C5973" t="s">
        <v>10</v>
      </c>
      <c r="D5973">
        <v>53</v>
      </c>
      <c r="E5973" t="s">
        <v>149</v>
      </c>
      <c r="F5973" t="s">
        <v>38</v>
      </c>
      <c r="G5973" t="s">
        <v>22</v>
      </c>
      <c r="H5973" s="1">
        <v>45290</v>
      </c>
    </row>
    <row r="5974" spans="1:8">
      <c r="A5974" t="s">
        <v>11912</v>
      </c>
      <c r="B5974" t="s">
        <v>11913</v>
      </c>
      <c r="C5974" t="s">
        <v>31</v>
      </c>
      <c r="D5974">
        <v>22</v>
      </c>
      <c r="E5974" t="s">
        <v>11</v>
      </c>
      <c r="F5974" t="s">
        <v>11</v>
      </c>
      <c r="G5974" t="s">
        <v>12</v>
      </c>
      <c r="H5974" s="1">
        <v>44581</v>
      </c>
    </row>
    <row r="5975" spans="1:8">
      <c r="A5975" t="s">
        <v>11914</v>
      </c>
      <c r="B5975" t="s">
        <v>11915</v>
      </c>
      <c r="C5975" t="s">
        <v>10</v>
      </c>
      <c r="D5975">
        <v>24</v>
      </c>
      <c r="E5975" t="s">
        <v>37</v>
      </c>
      <c r="F5975" t="s">
        <v>38</v>
      </c>
      <c r="G5975" t="s">
        <v>22</v>
      </c>
      <c r="H5975" s="1">
        <v>45394</v>
      </c>
    </row>
    <row r="5976" spans="1:8">
      <c r="A5976" t="s">
        <v>11916</v>
      </c>
      <c r="B5976" t="s">
        <v>11917</v>
      </c>
      <c r="C5976" t="s">
        <v>10</v>
      </c>
      <c r="D5976">
        <v>56</v>
      </c>
      <c r="E5976" t="s">
        <v>76</v>
      </c>
      <c r="F5976" t="s">
        <v>77</v>
      </c>
      <c r="G5976" t="s">
        <v>78</v>
      </c>
      <c r="H5976" s="1">
        <v>44754</v>
      </c>
    </row>
    <row r="5977" spans="1:8">
      <c r="A5977" t="s">
        <v>11918</v>
      </c>
      <c r="B5977" t="s">
        <v>11919</v>
      </c>
      <c r="C5977" t="s">
        <v>31</v>
      </c>
      <c r="D5977">
        <v>70</v>
      </c>
      <c r="E5977" t="s">
        <v>37</v>
      </c>
      <c r="F5977" t="s">
        <v>38</v>
      </c>
      <c r="G5977" t="s">
        <v>22</v>
      </c>
      <c r="H5977" s="1">
        <v>45283</v>
      </c>
    </row>
    <row r="5978" spans="1:8">
      <c r="A5978" t="s">
        <v>11920</v>
      </c>
      <c r="B5978" t="s">
        <v>11921</v>
      </c>
      <c r="C5978" t="s">
        <v>31</v>
      </c>
      <c r="D5978">
        <v>56</v>
      </c>
      <c r="E5978" t="s">
        <v>41</v>
      </c>
      <c r="F5978" t="s">
        <v>42</v>
      </c>
      <c r="G5978" t="s">
        <v>17</v>
      </c>
      <c r="H5978" s="1">
        <v>44773</v>
      </c>
    </row>
    <row r="5979" spans="1:8">
      <c r="A5979" t="s">
        <v>11922</v>
      </c>
      <c r="B5979" t="s">
        <v>11923</v>
      </c>
      <c r="C5979" t="s">
        <v>31</v>
      </c>
      <c r="D5979">
        <v>53</v>
      </c>
      <c r="E5979" t="s">
        <v>149</v>
      </c>
      <c r="F5979" t="s">
        <v>38</v>
      </c>
      <c r="G5979" t="s">
        <v>22</v>
      </c>
      <c r="H5979" s="1">
        <v>45008</v>
      </c>
    </row>
    <row r="5980" spans="1:8">
      <c r="A5980" t="s">
        <v>11924</v>
      </c>
      <c r="B5980" t="s">
        <v>11925</v>
      </c>
      <c r="C5980" t="s">
        <v>10</v>
      </c>
      <c r="D5980">
        <v>51</v>
      </c>
      <c r="E5980" t="s">
        <v>20</v>
      </c>
      <c r="F5980" t="s">
        <v>21</v>
      </c>
      <c r="G5980" t="s">
        <v>22</v>
      </c>
      <c r="H5980" s="1">
        <v>45737</v>
      </c>
    </row>
    <row r="5981" spans="1:8">
      <c r="A5981" t="s">
        <v>11926</v>
      </c>
      <c r="B5981" t="s">
        <v>11927</v>
      </c>
      <c r="C5981" t="s">
        <v>10</v>
      </c>
      <c r="D5981">
        <v>43</v>
      </c>
      <c r="E5981" t="s">
        <v>128</v>
      </c>
      <c r="F5981" t="s">
        <v>129</v>
      </c>
      <c r="G5981" t="s">
        <v>78</v>
      </c>
      <c r="H5981" s="1">
        <v>45889</v>
      </c>
    </row>
    <row r="5982" spans="1:8">
      <c r="A5982" t="s">
        <v>11928</v>
      </c>
      <c r="B5982" t="s">
        <v>11929</v>
      </c>
      <c r="C5982" t="s">
        <v>10</v>
      </c>
      <c r="D5982">
        <v>25</v>
      </c>
      <c r="E5982" t="s">
        <v>101</v>
      </c>
      <c r="F5982" t="s">
        <v>21</v>
      </c>
      <c r="G5982" t="s">
        <v>22</v>
      </c>
      <c r="H5982" s="1">
        <v>45990</v>
      </c>
    </row>
    <row r="5983" spans="1:8">
      <c r="A5983" t="s">
        <v>11930</v>
      </c>
      <c r="B5983" t="s">
        <v>11931</v>
      </c>
      <c r="C5983" t="s">
        <v>10</v>
      </c>
      <c r="D5983">
        <v>45</v>
      </c>
      <c r="E5983" t="s">
        <v>11</v>
      </c>
      <c r="F5983" t="s">
        <v>11</v>
      </c>
      <c r="G5983" t="s">
        <v>12</v>
      </c>
      <c r="H5983" s="1">
        <v>45585</v>
      </c>
    </row>
    <row r="5984" spans="1:8">
      <c r="A5984" t="s">
        <v>11932</v>
      </c>
      <c r="B5984" t="s">
        <v>11933</v>
      </c>
      <c r="C5984" t="s">
        <v>10</v>
      </c>
      <c r="D5984">
        <v>25</v>
      </c>
      <c r="E5984" t="s">
        <v>91</v>
      </c>
      <c r="F5984" t="s">
        <v>92</v>
      </c>
      <c r="G5984" t="s">
        <v>78</v>
      </c>
      <c r="H5984" s="1">
        <v>44948</v>
      </c>
    </row>
    <row r="5985" spans="1:8">
      <c r="A5985" t="s">
        <v>11934</v>
      </c>
      <c r="B5985" t="s">
        <v>5930</v>
      </c>
      <c r="C5985" t="s">
        <v>10</v>
      </c>
      <c r="D5985">
        <v>69</v>
      </c>
      <c r="E5985" t="s">
        <v>101</v>
      </c>
      <c r="F5985" t="s">
        <v>21</v>
      </c>
      <c r="G5985" t="s">
        <v>22</v>
      </c>
      <c r="H5985" s="1">
        <v>45425</v>
      </c>
    </row>
    <row r="5986" spans="1:8">
      <c r="A5986" t="s">
        <v>11935</v>
      </c>
      <c r="B5986" t="s">
        <v>11397</v>
      </c>
      <c r="C5986" t="s">
        <v>31</v>
      </c>
      <c r="D5986">
        <v>35</v>
      </c>
      <c r="E5986" t="s">
        <v>87</v>
      </c>
      <c r="F5986" t="s">
        <v>88</v>
      </c>
      <c r="G5986" t="s">
        <v>78</v>
      </c>
      <c r="H5986" s="1">
        <v>45524</v>
      </c>
    </row>
    <row r="5987" spans="1:8">
      <c r="A5987" t="s">
        <v>11936</v>
      </c>
      <c r="B5987" t="s">
        <v>11937</v>
      </c>
      <c r="C5987" t="s">
        <v>10</v>
      </c>
      <c r="D5987">
        <v>33</v>
      </c>
      <c r="E5987" t="s">
        <v>20</v>
      </c>
      <c r="F5987" t="s">
        <v>21</v>
      </c>
      <c r="G5987" t="s">
        <v>22</v>
      </c>
      <c r="H5987" s="1">
        <v>45197</v>
      </c>
    </row>
    <row r="5988" spans="1:8">
      <c r="A5988" t="s">
        <v>11938</v>
      </c>
      <c r="B5988" t="s">
        <v>11939</v>
      </c>
      <c r="C5988" t="s">
        <v>31</v>
      </c>
      <c r="D5988">
        <v>65</v>
      </c>
      <c r="E5988" t="s">
        <v>101</v>
      </c>
      <c r="F5988" t="s">
        <v>21</v>
      </c>
      <c r="G5988" t="s">
        <v>22</v>
      </c>
      <c r="H5988" s="1">
        <v>45793</v>
      </c>
    </row>
    <row r="5989" spans="1:8">
      <c r="A5989" t="s">
        <v>11940</v>
      </c>
      <c r="B5989" t="s">
        <v>11941</v>
      </c>
      <c r="C5989" t="s">
        <v>10</v>
      </c>
      <c r="D5989">
        <v>39</v>
      </c>
      <c r="E5989" t="s">
        <v>218</v>
      </c>
      <c r="F5989" t="s">
        <v>219</v>
      </c>
      <c r="G5989" t="s">
        <v>17</v>
      </c>
      <c r="H5989" s="1">
        <v>45243</v>
      </c>
    </row>
    <row r="5990" spans="1:8">
      <c r="A5990" t="s">
        <v>11942</v>
      </c>
      <c r="B5990" t="s">
        <v>11943</v>
      </c>
      <c r="C5990" t="s">
        <v>10</v>
      </c>
      <c r="D5990">
        <v>27</v>
      </c>
      <c r="E5990" t="s">
        <v>63</v>
      </c>
      <c r="F5990" t="s">
        <v>64</v>
      </c>
      <c r="G5990" t="s">
        <v>12</v>
      </c>
      <c r="H5990" s="1">
        <v>45954</v>
      </c>
    </row>
    <row r="5991" spans="1:8">
      <c r="A5991" t="s">
        <v>11944</v>
      </c>
      <c r="B5991" t="s">
        <v>11945</v>
      </c>
      <c r="C5991" t="s">
        <v>10</v>
      </c>
      <c r="D5991">
        <v>27</v>
      </c>
      <c r="E5991" t="s">
        <v>37</v>
      </c>
      <c r="F5991" t="s">
        <v>38</v>
      </c>
      <c r="G5991" t="s">
        <v>22</v>
      </c>
      <c r="H5991" s="1">
        <v>45008</v>
      </c>
    </row>
    <row r="5992" spans="1:8">
      <c r="A5992" t="s">
        <v>11946</v>
      </c>
      <c r="B5992" t="s">
        <v>11947</v>
      </c>
      <c r="C5992" t="s">
        <v>31</v>
      </c>
      <c r="D5992">
        <v>69</v>
      </c>
      <c r="E5992" t="s">
        <v>91</v>
      </c>
      <c r="F5992" t="s">
        <v>92</v>
      </c>
      <c r="G5992" t="s">
        <v>78</v>
      </c>
      <c r="H5992" s="1">
        <v>44778</v>
      </c>
    </row>
    <row r="5993" spans="1:8">
      <c r="A5993" t="s">
        <v>11948</v>
      </c>
      <c r="B5993" t="s">
        <v>11949</v>
      </c>
      <c r="C5993" t="s">
        <v>10</v>
      </c>
      <c r="D5993">
        <v>38</v>
      </c>
      <c r="E5993" t="s">
        <v>218</v>
      </c>
      <c r="F5993" t="s">
        <v>219</v>
      </c>
      <c r="G5993" t="s">
        <v>17</v>
      </c>
      <c r="H5993" s="1">
        <v>45996</v>
      </c>
    </row>
    <row r="5994" spans="1:8">
      <c r="A5994" t="s">
        <v>11950</v>
      </c>
      <c r="B5994" t="s">
        <v>11951</v>
      </c>
      <c r="C5994" t="s">
        <v>31</v>
      </c>
      <c r="D5994">
        <v>49</v>
      </c>
      <c r="E5994" t="s">
        <v>20</v>
      </c>
      <c r="F5994" t="s">
        <v>21</v>
      </c>
      <c r="G5994" t="s">
        <v>22</v>
      </c>
      <c r="H5994" s="1">
        <v>45850</v>
      </c>
    </row>
    <row r="5995" spans="1:8">
      <c r="A5995" t="s">
        <v>11952</v>
      </c>
      <c r="B5995" t="s">
        <v>11953</v>
      </c>
      <c r="C5995" t="s">
        <v>10</v>
      </c>
      <c r="D5995">
        <v>63</v>
      </c>
      <c r="E5995" t="s">
        <v>76</v>
      </c>
      <c r="F5995" t="s">
        <v>77</v>
      </c>
      <c r="G5995" t="s">
        <v>78</v>
      </c>
      <c r="H5995" s="1">
        <v>44779</v>
      </c>
    </row>
    <row r="5996" spans="1:8">
      <c r="A5996" t="s">
        <v>11954</v>
      </c>
      <c r="B5996" t="s">
        <v>11955</v>
      </c>
      <c r="C5996" t="s">
        <v>31</v>
      </c>
      <c r="D5996">
        <v>32</v>
      </c>
      <c r="E5996" t="s">
        <v>15</v>
      </c>
      <c r="F5996" t="s">
        <v>16</v>
      </c>
      <c r="G5996" t="s">
        <v>17</v>
      </c>
      <c r="H5996" s="1">
        <v>44810</v>
      </c>
    </row>
    <row r="5997" spans="1:8">
      <c r="A5997" t="s">
        <v>11956</v>
      </c>
      <c r="B5997" t="s">
        <v>11957</v>
      </c>
      <c r="C5997" t="s">
        <v>31</v>
      </c>
      <c r="D5997">
        <v>24</v>
      </c>
      <c r="E5997" t="s">
        <v>37</v>
      </c>
      <c r="F5997" t="s">
        <v>38</v>
      </c>
      <c r="G5997" t="s">
        <v>22</v>
      </c>
      <c r="H5997" s="1">
        <v>45295</v>
      </c>
    </row>
    <row r="5998" spans="1:8">
      <c r="A5998" t="s">
        <v>11958</v>
      </c>
      <c r="B5998" t="s">
        <v>11959</v>
      </c>
      <c r="C5998" t="s">
        <v>31</v>
      </c>
      <c r="D5998">
        <v>32</v>
      </c>
      <c r="E5998" t="s">
        <v>128</v>
      </c>
      <c r="F5998" t="s">
        <v>129</v>
      </c>
      <c r="G5998" t="s">
        <v>78</v>
      </c>
      <c r="H5998" s="1">
        <v>45077</v>
      </c>
    </row>
    <row r="5999" spans="1:8">
      <c r="A5999" t="s">
        <v>11960</v>
      </c>
      <c r="B5999" t="s">
        <v>11961</v>
      </c>
      <c r="C5999" t="s">
        <v>10</v>
      </c>
      <c r="D5999">
        <v>56</v>
      </c>
      <c r="E5999" t="s">
        <v>41</v>
      </c>
      <c r="F5999" t="s">
        <v>42</v>
      </c>
      <c r="G5999" t="s">
        <v>17</v>
      </c>
      <c r="H5999" s="1">
        <v>45007</v>
      </c>
    </row>
    <row r="6000" spans="1:8">
      <c r="A6000" t="s">
        <v>11962</v>
      </c>
      <c r="B6000" t="s">
        <v>11963</v>
      </c>
      <c r="C6000" t="s">
        <v>31</v>
      </c>
      <c r="D6000">
        <v>51</v>
      </c>
      <c r="E6000" t="s">
        <v>41</v>
      </c>
      <c r="F6000" t="s">
        <v>42</v>
      </c>
      <c r="G6000" t="s">
        <v>17</v>
      </c>
      <c r="H6000" s="1">
        <v>45786</v>
      </c>
    </row>
    <row r="6001" spans="1:8">
      <c r="A6001" t="s">
        <v>11964</v>
      </c>
      <c r="B6001" t="s">
        <v>11965</v>
      </c>
      <c r="C6001" t="s">
        <v>10</v>
      </c>
      <c r="D6001">
        <v>59</v>
      </c>
      <c r="E6001" t="s">
        <v>134</v>
      </c>
      <c r="F6001" t="s">
        <v>28</v>
      </c>
      <c r="G6001" t="s">
        <v>12</v>
      </c>
      <c r="H6001" s="1">
        <v>45835</v>
      </c>
    </row>
    <row r="6002" spans="1:8">
      <c r="A6002" t="s">
        <v>11966</v>
      </c>
      <c r="B6002" t="s">
        <v>11967</v>
      </c>
      <c r="C6002" t="s">
        <v>31</v>
      </c>
      <c r="D6002">
        <v>26</v>
      </c>
      <c r="E6002" t="s">
        <v>134</v>
      </c>
      <c r="F6002" t="s">
        <v>28</v>
      </c>
      <c r="G6002" t="s">
        <v>12</v>
      </c>
      <c r="H6002" s="1">
        <v>45304</v>
      </c>
    </row>
    <row r="6003" spans="1:8">
      <c r="A6003" t="s">
        <v>11968</v>
      </c>
      <c r="B6003" t="s">
        <v>11969</v>
      </c>
      <c r="C6003" t="s">
        <v>10</v>
      </c>
      <c r="D6003">
        <v>62</v>
      </c>
      <c r="E6003" t="s">
        <v>11</v>
      </c>
      <c r="F6003" t="s">
        <v>11</v>
      </c>
      <c r="G6003" t="s">
        <v>12</v>
      </c>
      <c r="H6003" s="1">
        <v>45713</v>
      </c>
    </row>
    <row r="6004" spans="1:8">
      <c r="A6004" t="s">
        <v>11970</v>
      </c>
      <c r="B6004" t="s">
        <v>11971</v>
      </c>
      <c r="C6004" t="s">
        <v>10</v>
      </c>
      <c r="D6004">
        <v>39</v>
      </c>
      <c r="E6004" t="s">
        <v>41</v>
      </c>
      <c r="F6004" t="s">
        <v>42</v>
      </c>
      <c r="G6004" t="s">
        <v>17</v>
      </c>
      <c r="H6004" s="1">
        <v>45864</v>
      </c>
    </row>
    <row r="6005" spans="1:8">
      <c r="A6005" t="s">
        <v>11972</v>
      </c>
      <c r="B6005" t="s">
        <v>11973</v>
      </c>
      <c r="C6005" t="s">
        <v>31</v>
      </c>
      <c r="D6005">
        <v>50</v>
      </c>
      <c r="E6005" t="s">
        <v>11</v>
      </c>
      <c r="F6005" t="s">
        <v>11</v>
      </c>
      <c r="G6005" t="s">
        <v>12</v>
      </c>
      <c r="H6005" s="1">
        <v>45419</v>
      </c>
    </row>
    <row r="6006" spans="1:8">
      <c r="A6006" t="s">
        <v>11974</v>
      </c>
      <c r="B6006" t="s">
        <v>11975</v>
      </c>
      <c r="C6006" t="s">
        <v>31</v>
      </c>
      <c r="D6006">
        <v>30</v>
      </c>
      <c r="E6006" t="s">
        <v>34</v>
      </c>
      <c r="F6006" t="s">
        <v>16</v>
      </c>
      <c r="G6006" t="s">
        <v>17</v>
      </c>
      <c r="H6006" s="1">
        <v>45003</v>
      </c>
    </row>
    <row r="6007" spans="1:8">
      <c r="A6007" t="s">
        <v>11976</v>
      </c>
      <c r="B6007" t="s">
        <v>11977</v>
      </c>
      <c r="C6007" t="s">
        <v>31</v>
      </c>
      <c r="D6007">
        <v>62</v>
      </c>
      <c r="E6007" t="s">
        <v>112</v>
      </c>
      <c r="F6007" t="s">
        <v>113</v>
      </c>
      <c r="G6007" t="s">
        <v>78</v>
      </c>
      <c r="H6007" s="1">
        <v>44620</v>
      </c>
    </row>
    <row r="6008" spans="1:8">
      <c r="A6008" t="s">
        <v>11978</v>
      </c>
      <c r="B6008" t="s">
        <v>11979</v>
      </c>
      <c r="C6008" t="s">
        <v>10</v>
      </c>
      <c r="D6008">
        <v>63</v>
      </c>
      <c r="E6008" t="s">
        <v>41</v>
      </c>
      <c r="F6008" t="s">
        <v>42</v>
      </c>
      <c r="G6008" t="s">
        <v>17</v>
      </c>
      <c r="H6008" s="1">
        <v>45907</v>
      </c>
    </row>
    <row r="6009" spans="1:8">
      <c r="A6009" t="s">
        <v>11980</v>
      </c>
      <c r="B6009" t="s">
        <v>11981</v>
      </c>
      <c r="C6009" t="s">
        <v>10</v>
      </c>
      <c r="D6009">
        <v>37</v>
      </c>
      <c r="E6009" t="s">
        <v>15</v>
      </c>
      <c r="F6009" t="s">
        <v>16</v>
      </c>
      <c r="G6009" t="s">
        <v>17</v>
      </c>
      <c r="H6009" s="1">
        <v>46008</v>
      </c>
    </row>
    <row r="6010" spans="1:8">
      <c r="A6010" t="s">
        <v>11982</v>
      </c>
      <c r="B6010" t="s">
        <v>11983</v>
      </c>
      <c r="C6010" t="s">
        <v>10</v>
      </c>
      <c r="D6010">
        <v>65</v>
      </c>
      <c r="E6010" t="s">
        <v>34</v>
      </c>
      <c r="F6010" t="s">
        <v>16</v>
      </c>
      <c r="G6010" t="s">
        <v>17</v>
      </c>
      <c r="H6010" s="1">
        <v>45885</v>
      </c>
    </row>
    <row r="6011" spans="1:8">
      <c r="A6011" t="s">
        <v>11984</v>
      </c>
      <c r="B6011" t="s">
        <v>11985</v>
      </c>
      <c r="C6011" t="s">
        <v>10</v>
      </c>
      <c r="D6011">
        <v>69</v>
      </c>
      <c r="E6011" t="s">
        <v>91</v>
      </c>
      <c r="F6011" t="s">
        <v>92</v>
      </c>
      <c r="G6011" t="s">
        <v>78</v>
      </c>
      <c r="H6011" s="1">
        <v>44754</v>
      </c>
    </row>
    <row r="6012" spans="1:8">
      <c r="A6012" t="s">
        <v>11986</v>
      </c>
      <c r="B6012" t="s">
        <v>11987</v>
      </c>
      <c r="C6012" t="s">
        <v>10</v>
      </c>
      <c r="D6012">
        <v>29</v>
      </c>
      <c r="E6012" t="s">
        <v>69</v>
      </c>
      <c r="F6012" t="s">
        <v>69</v>
      </c>
      <c r="G6012" t="s">
        <v>12</v>
      </c>
      <c r="H6012" s="1">
        <v>45941</v>
      </c>
    </row>
    <row r="6013" spans="1:8">
      <c r="A6013" t="s">
        <v>11988</v>
      </c>
      <c r="B6013" t="s">
        <v>11989</v>
      </c>
      <c r="C6013" t="s">
        <v>31</v>
      </c>
      <c r="D6013">
        <v>18</v>
      </c>
      <c r="E6013" t="s">
        <v>69</v>
      </c>
      <c r="F6013" t="s">
        <v>69</v>
      </c>
      <c r="G6013" t="s">
        <v>12</v>
      </c>
      <c r="H6013" s="1">
        <v>45202</v>
      </c>
    </row>
    <row r="6014" spans="1:8">
      <c r="A6014" t="s">
        <v>11990</v>
      </c>
      <c r="B6014" t="s">
        <v>11991</v>
      </c>
      <c r="C6014" t="s">
        <v>31</v>
      </c>
      <c r="D6014">
        <v>36</v>
      </c>
      <c r="E6014" t="s">
        <v>218</v>
      </c>
      <c r="F6014" t="s">
        <v>219</v>
      </c>
      <c r="G6014" t="s">
        <v>17</v>
      </c>
      <c r="H6014" s="1">
        <v>44766</v>
      </c>
    </row>
    <row r="6015" spans="1:8">
      <c r="A6015" t="s">
        <v>11992</v>
      </c>
      <c r="B6015" t="s">
        <v>11993</v>
      </c>
      <c r="C6015" t="s">
        <v>31</v>
      </c>
      <c r="D6015">
        <v>27</v>
      </c>
      <c r="E6015" t="s">
        <v>45</v>
      </c>
      <c r="F6015" t="s">
        <v>46</v>
      </c>
      <c r="G6015" t="s">
        <v>17</v>
      </c>
      <c r="H6015" s="1">
        <v>45694</v>
      </c>
    </row>
    <row r="6016" spans="1:8">
      <c r="A6016" t="s">
        <v>11994</v>
      </c>
      <c r="B6016" t="s">
        <v>11995</v>
      </c>
      <c r="C6016" t="s">
        <v>31</v>
      </c>
      <c r="D6016">
        <v>33</v>
      </c>
      <c r="E6016" t="s">
        <v>11</v>
      </c>
      <c r="F6016" t="s">
        <v>11</v>
      </c>
      <c r="G6016" t="s">
        <v>12</v>
      </c>
      <c r="H6016" s="1">
        <v>44884</v>
      </c>
    </row>
    <row r="6017" spans="1:8">
      <c r="A6017" t="s">
        <v>11996</v>
      </c>
      <c r="B6017" t="s">
        <v>11997</v>
      </c>
      <c r="C6017" t="s">
        <v>31</v>
      </c>
      <c r="D6017">
        <v>46</v>
      </c>
      <c r="E6017" t="s">
        <v>134</v>
      </c>
      <c r="F6017" t="s">
        <v>28</v>
      </c>
      <c r="G6017" t="s">
        <v>12</v>
      </c>
      <c r="H6017" s="1">
        <v>44576</v>
      </c>
    </row>
    <row r="6018" spans="1:8">
      <c r="A6018" t="s">
        <v>11998</v>
      </c>
      <c r="B6018" t="s">
        <v>11999</v>
      </c>
      <c r="C6018" t="s">
        <v>31</v>
      </c>
      <c r="D6018">
        <v>60</v>
      </c>
      <c r="E6018" t="s">
        <v>20</v>
      </c>
      <c r="F6018" t="s">
        <v>21</v>
      </c>
      <c r="G6018" t="s">
        <v>22</v>
      </c>
      <c r="H6018" s="1">
        <v>44803</v>
      </c>
    </row>
    <row r="6019" spans="1:8">
      <c r="A6019" t="s">
        <v>12000</v>
      </c>
      <c r="B6019" t="s">
        <v>12001</v>
      </c>
      <c r="C6019" t="s">
        <v>31</v>
      </c>
      <c r="D6019">
        <v>18</v>
      </c>
      <c r="E6019" t="s">
        <v>45</v>
      </c>
      <c r="F6019" t="s">
        <v>46</v>
      </c>
      <c r="G6019" t="s">
        <v>17</v>
      </c>
      <c r="H6019" s="1">
        <v>45415</v>
      </c>
    </row>
    <row r="6020" spans="1:8">
      <c r="A6020" t="s">
        <v>12002</v>
      </c>
      <c r="B6020" t="s">
        <v>12003</v>
      </c>
      <c r="C6020" t="s">
        <v>10</v>
      </c>
      <c r="D6020">
        <v>37</v>
      </c>
      <c r="E6020" t="s">
        <v>27</v>
      </c>
      <c r="F6020" t="s">
        <v>28</v>
      </c>
      <c r="G6020" t="s">
        <v>12</v>
      </c>
      <c r="H6020" s="1">
        <v>45145</v>
      </c>
    </row>
    <row r="6021" spans="1:8">
      <c r="A6021" t="s">
        <v>12004</v>
      </c>
      <c r="B6021" t="s">
        <v>12005</v>
      </c>
      <c r="C6021" t="s">
        <v>10</v>
      </c>
      <c r="D6021">
        <v>30</v>
      </c>
      <c r="E6021" t="s">
        <v>101</v>
      </c>
      <c r="F6021" t="s">
        <v>21</v>
      </c>
      <c r="G6021" t="s">
        <v>22</v>
      </c>
      <c r="H6021" s="1">
        <v>45833</v>
      </c>
    </row>
    <row r="6022" spans="1:8">
      <c r="A6022" t="s">
        <v>12006</v>
      </c>
      <c r="B6022" t="s">
        <v>12007</v>
      </c>
      <c r="C6022" t="s">
        <v>10</v>
      </c>
      <c r="D6022">
        <v>37</v>
      </c>
      <c r="E6022" t="s">
        <v>37</v>
      </c>
      <c r="F6022" t="s">
        <v>38</v>
      </c>
      <c r="G6022" t="s">
        <v>22</v>
      </c>
      <c r="H6022" s="1">
        <v>45199</v>
      </c>
    </row>
    <row r="6023" spans="1:8">
      <c r="A6023" t="s">
        <v>12008</v>
      </c>
      <c r="B6023" t="s">
        <v>12009</v>
      </c>
      <c r="C6023" t="s">
        <v>10</v>
      </c>
      <c r="D6023">
        <v>50</v>
      </c>
      <c r="E6023" t="s">
        <v>87</v>
      </c>
      <c r="F6023" t="s">
        <v>88</v>
      </c>
      <c r="G6023" t="s">
        <v>78</v>
      </c>
      <c r="H6023" s="1">
        <v>45963</v>
      </c>
    </row>
    <row r="6024" spans="1:8">
      <c r="A6024" t="s">
        <v>12010</v>
      </c>
      <c r="B6024" t="s">
        <v>12011</v>
      </c>
      <c r="C6024" t="s">
        <v>10</v>
      </c>
      <c r="D6024">
        <v>60</v>
      </c>
      <c r="E6024" t="s">
        <v>76</v>
      </c>
      <c r="F6024" t="s">
        <v>77</v>
      </c>
      <c r="G6024" t="s">
        <v>78</v>
      </c>
      <c r="H6024" s="1">
        <v>45351</v>
      </c>
    </row>
    <row r="6025" spans="1:8">
      <c r="A6025" t="s">
        <v>12012</v>
      </c>
      <c r="B6025" t="s">
        <v>12013</v>
      </c>
      <c r="C6025" t="s">
        <v>10</v>
      </c>
      <c r="D6025">
        <v>38</v>
      </c>
      <c r="E6025" t="s">
        <v>87</v>
      </c>
      <c r="F6025" t="s">
        <v>88</v>
      </c>
      <c r="G6025" t="s">
        <v>78</v>
      </c>
      <c r="H6025" s="1">
        <v>44617</v>
      </c>
    </row>
    <row r="6026" spans="1:8">
      <c r="A6026" t="s">
        <v>12014</v>
      </c>
      <c r="B6026" t="s">
        <v>12015</v>
      </c>
      <c r="C6026" t="s">
        <v>10</v>
      </c>
      <c r="D6026">
        <v>65</v>
      </c>
      <c r="E6026" t="s">
        <v>60</v>
      </c>
      <c r="F6026" t="s">
        <v>21</v>
      </c>
      <c r="G6026" t="s">
        <v>22</v>
      </c>
      <c r="H6026" s="1">
        <v>45109</v>
      </c>
    </row>
    <row r="6027" spans="1:8">
      <c r="A6027" t="s">
        <v>12016</v>
      </c>
      <c r="B6027" t="s">
        <v>12017</v>
      </c>
      <c r="C6027" t="s">
        <v>10</v>
      </c>
      <c r="D6027">
        <v>33</v>
      </c>
      <c r="E6027" t="s">
        <v>101</v>
      </c>
      <c r="F6027" t="s">
        <v>21</v>
      </c>
      <c r="G6027" t="s">
        <v>22</v>
      </c>
      <c r="H6027" s="1">
        <v>44634</v>
      </c>
    </row>
    <row r="6028" spans="1:8">
      <c r="A6028" t="s">
        <v>12018</v>
      </c>
      <c r="B6028" t="s">
        <v>12019</v>
      </c>
      <c r="C6028" t="s">
        <v>31</v>
      </c>
      <c r="D6028">
        <v>56</v>
      </c>
      <c r="E6028" t="s">
        <v>149</v>
      </c>
      <c r="F6028" t="s">
        <v>38</v>
      </c>
      <c r="G6028" t="s">
        <v>22</v>
      </c>
      <c r="H6028" s="1">
        <v>45448</v>
      </c>
    </row>
    <row r="6029" spans="1:8">
      <c r="A6029" t="s">
        <v>12020</v>
      </c>
      <c r="B6029" t="s">
        <v>12021</v>
      </c>
      <c r="C6029" t="s">
        <v>31</v>
      </c>
      <c r="D6029">
        <v>32</v>
      </c>
      <c r="E6029" t="s">
        <v>34</v>
      </c>
      <c r="F6029" t="s">
        <v>16</v>
      </c>
      <c r="G6029" t="s">
        <v>17</v>
      </c>
      <c r="H6029" s="1">
        <v>45729</v>
      </c>
    </row>
    <row r="6030" spans="1:8">
      <c r="A6030" t="s">
        <v>12022</v>
      </c>
      <c r="B6030" t="s">
        <v>12023</v>
      </c>
      <c r="C6030" t="s">
        <v>31</v>
      </c>
      <c r="D6030">
        <v>23</v>
      </c>
      <c r="E6030" t="s">
        <v>41</v>
      </c>
      <c r="F6030" t="s">
        <v>42</v>
      </c>
      <c r="G6030" t="s">
        <v>17</v>
      </c>
      <c r="H6030" s="1">
        <v>44753</v>
      </c>
    </row>
    <row r="6031" spans="1:8">
      <c r="A6031" t="s">
        <v>12024</v>
      </c>
      <c r="B6031" t="s">
        <v>12025</v>
      </c>
      <c r="C6031" t="s">
        <v>10</v>
      </c>
      <c r="D6031">
        <v>57</v>
      </c>
      <c r="E6031" t="s">
        <v>128</v>
      </c>
      <c r="F6031" t="s">
        <v>129</v>
      </c>
      <c r="G6031" t="s">
        <v>78</v>
      </c>
      <c r="H6031" s="1">
        <v>44954</v>
      </c>
    </row>
    <row r="6032" spans="1:8">
      <c r="A6032" t="s">
        <v>12026</v>
      </c>
      <c r="B6032" t="s">
        <v>12027</v>
      </c>
      <c r="C6032" t="s">
        <v>31</v>
      </c>
      <c r="D6032">
        <v>59</v>
      </c>
      <c r="E6032" t="s">
        <v>134</v>
      </c>
      <c r="F6032" t="s">
        <v>28</v>
      </c>
      <c r="G6032" t="s">
        <v>12</v>
      </c>
      <c r="H6032" s="1">
        <v>44821</v>
      </c>
    </row>
    <row r="6033" spans="1:8">
      <c r="A6033" t="s">
        <v>12028</v>
      </c>
      <c r="B6033" t="s">
        <v>12029</v>
      </c>
      <c r="C6033" t="s">
        <v>10</v>
      </c>
      <c r="D6033">
        <v>42</v>
      </c>
      <c r="E6033" t="s">
        <v>63</v>
      </c>
      <c r="F6033" t="s">
        <v>64</v>
      </c>
      <c r="G6033" t="s">
        <v>12</v>
      </c>
      <c r="H6033" s="1">
        <v>45164</v>
      </c>
    </row>
    <row r="6034" spans="1:8">
      <c r="A6034" t="s">
        <v>12030</v>
      </c>
      <c r="B6034" t="s">
        <v>12031</v>
      </c>
      <c r="C6034" t="s">
        <v>10</v>
      </c>
      <c r="D6034">
        <v>35</v>
      </c>
      <c r="E6034" t="s">
        <v>101</v>
      </c>
      <c r="F6034" t="s">
        <v>21</v>
      </c>
      <c r="G6034" t="s">
        <v>22</v>
      </c>
      <c r="H6034" s="1">
        <v>45611</v>
      </c>
    </row>
    <row r="6035" spans="1:8">
      <c r="A6035" t="s">
        <v>12032</v>
      </c>
      <c r="B6035" t="s">
        <v>12033</v>
      </c>
      <c r="C6035" t="s">
        <v>10</v>
      </c>
      <c r="D6035">
        <v>33</v>
      </c>
      <c r="E6035" t="s">
        <v>101</v>
      </c>
      <c r="F6035" t="s">
        <v>21</v>
      </c>
      <c r="G6035" t="s">
        <v>22</v>
      </c>
      <c r="H6035" s="1">
        <v>45176</v>
      </c>
    </row>
    <row r="6036" spans="1:8">
      <c r="A6036" t="s">
        <v>12034</v>
      </c>
      <c r="B6036" t="s">
        <v>12035</v>
      </c>
      <c r="C6036" t="s">
        <v>10</v>
      </c>
      <c r="D6036">
        <v>65</v>
      </c>
      <c r="E6036" t="s">
        <v>41</v>
      </c>
      <c r="F6036" t="s">
        <v>42</v>
      </c>
      <c r="G6036" t="s">
        <v>17</v>
      </c>
      <c r="H6036" s="1">
        <v>45321</v>
      </c>
    </row>
    <row r="6037" spans="1:8">
      <c r="A6037" t="s">
        <v>12036</v>
      </c>
      <c r="B6037" t="s">
        <v>12037</v>
      </c>
      <c r="C6037" t="s">
        <v>31</v>
      </c>
      <c r="D6037">
        <v>64</v>
      </c>
      <c r="E6037" t="s">
        <v>149</v>
      </c>
      <c r="F6037" t="s">
        <v>38</v>
      </c>
      <c r="G6037" t="s">
        <v>22</v>
      </c>
      <c r="H6037" s="1">
        <v>45815</v>
      </c>
    </row>
    <row r="6038" spans="1:8">
      <c r="A6038" t="s">
        <v>12038</v>
      </c>
      <c r="B6038" t="s">
        <v>12039</v>
      </c>
      <c r="C6038" t="s">
        <v>31</v>
      </c>
      <c r="D6038">
        <v>29</v>
      </c>
      <c r="E6038" t="s">
        <v>41</v>
      </c>
      <c r="F6038" t="s">
        <v>42</v>
      </c>
      <c r="G6038" t="s">
        <v>17</v>
      </c>
      <c r="H6038" s="1">
        <v>45303</v>
      </c>
    </row>
    <row r="6039" spans="1:8">
      <c r="A6039" t="s">
        <v>12040</v>
      </c>
      <c r="B6039" t="s">
        <v>12041</v>
      </c>
      <c r="C6039" t="s">
        <v>31</v>
      </c>
      <c r="D6039">
        <v>57</v>
      </c>
      <c r="E6039" t="s">
        <v>218</v>
      </c>
      <c r="F6039" t="s">
        <v>219</v>
      </c>
      <c r="G6039" t="s">
        <v>17</v>
      </c>
      <c r="H6039" s="1">
        <v>44923</v>
      </c>
    </row>
    <row r="6040" spans="1:8">
      <c r="A6040" t="s">
        <v>12042</v>
      </c>
      <c r="B6040" t="s">
        <v>12043</v>
      </c>
      <c r="C6040" t="s">
        <v>31</v>
      </c>
      <c r="D6040">
        <v>19</v>
      </c>
      <c r="E6040" t="s">
        <v>128</v>
      </c>
      <c r="F6040" t="s">
        <v>129</v>
      </c>
      <c r="G6040" t="s">
        <v>78</v>
      </c>
      <c r="H6040" s="1">
        <v>45237</v>
      </c>
    </row>
    <row r="6041" spans="1:8">
      <c r="A6041" t="s">
        <v>12044</v>
      </c>
      <c r="B6041" t="s">
        <v>12045</v>
      </c>
      <c r="C6041" t="s">
        <v>10</v>
      </c>
      <c r="D6041">
        <v>54</v>
      </c>
      <c r="E6041" t="s">
        <v>101</v>
      </c>
      <c r="F6041" t="s">
        <v>21</v>
      </c>
      <c r="G6041" t="s">
        <v>22</v>
      </c>
      <c r="H6041" s="1">
        <v>45258</v>
      </c>
    </row>
    <row r="6042" spans="1:8">
      <c r="A6042" t="s">
        <v>12046</v>
      </c>
      <c r="B6042" t="s">
        <v>12047</v>
      </c>
      <c r="C6042" t="s">
        <v>31</v>
      </c>
      <c r="D6042">
        <v>56</v>
      </c>
      <c r="E6042" t="s">
        <v>76</v>
      </c>
      <c r="F6042" t="s">
        <v>77</v>
      </c>
      <c r="G6042" t="s">
        <v>78</v>
      </c>
      <c r="H6042" s="1">
        <v>45707</v>
      </c>
    </row>
    <row r="6043" spans="1:8">
      <c r="A6043" t="s">
        <v>12048</v>
      </c>
      <c r="B6043" t="s">
        <v>12049</v>
      </c>
      <c r="C6043" t="s">
        <v>10</v>
      </c>
      <c r="D6043">
        <v>33</v>
      </c>
      <c r="E6043" t="s">
        <v>41</v>
      </c>
      <c r="F6043" t="s">
        <v>42</v>
      </c>
      <c r="G6043" t="s">
        <v>17</v>
      </c>
      <c r="H6043" s="1">
        <v>45855</v>
      </c>
    </row>
    <row r="6044" spans="1:8">
      <c r="A6044" t="s">
        <v>12050</v>
      </c>
      <c r="B6044" t="s">
        <v>12051</v>
      </c>
      <c r="C6044" t="s">
        <v>31</v>
      </c>
      <c r="D6044">
        <v>38</v>
      </c>
      <c r="E6044" t="s">
        <v>60</v>
      </c>
      <c r="F6044" t="s">
        <v>21</v>
      </c>
      <c r="G6044" t="s">
        <v>22</v>
      </c>
      <c r="H6044" s="1">
        <v>45426</v>
      </c>
    </row>
    <row r="6045" spans="1:8">
      <c r="A6045" t="s">
        <v>12052</v>
      </c>
      <c r="B6045" t="s">
        <v>12053</v>
      </c>
      <c r="C6045" t="s">
        <v>31</v>
      </c>
      <c r="D6045">
        <v>43</v>
      </c>
      <c r="E6045" t="s">
        <v>218</v>
      </c>
      <c r="F6045" t="s">
        <v>219</v>
      </c>
      <c r="G6045" t="s">
        <v>17</v>
      </c>
      <c r="H6045" s="1">
        <v>44758</v>
      </c>
    </row>
    <row r="6046" spans="1:8">
      <c r="A6046" t="s">
        <v>12054</v>
      </c>
      <c r="B6046" t="s">
        <v>12055</v>
      </c>
      <c r="C6046" t="s">
        <v>10</v>
      </c>
      <c r="D6046">
        <v>69</v>
      </c>
      <c r="E6046" t="s">
        <v>37</v>
      </c>
      <c r="F6046" t="s">
        <v>38</v>
      </c>
      <c r="G6046" t="s">
        <v>22</v>
      </c>
      <c r="H6046" s="1">
        <v>45499</v>
      </c>
    </row>
    <row r="6047" spans="1:8">
      <c r="A6047" t="s">
        <v>12056</v>
      </c>
      <c r="B6047" t="s">
        <v>12057</v>
      </c>
      <c r="C6047" t="s">
        <v>10</v>
      </c>
      <c r="D6047">
        <v>66</v>
      </c>
      <c r="E6047" t="s">
        <v>101</v>
      </c>
      <c r="F6047" t="s">
        <v>21</v>
      </c>
      <c r="G6047" t="s">
        <v>22</v>
      </c>
      <c r="H6047" s="1">
        <v>44571</v>
      </c>
    </row>
    <row r="6048" spans="1:8">
      <c r="A6048" t="s">
        <v>12058</v>
      </c>
      <c r="B6048" t="s">
        <v>12059</v>
      </c>
      <c r="C6048" t="s">
        <v>31</v>
      </c>
      <c r="D6048">
        <v>26</v>
      </c>
      <c r="E6048" t="s">
        <v>27</v>
      </c>
      <c r="F6048" t="s">
        <v>28</v>
      </c>
      <c r="G6048" t="s">
        <v>12</v>
      </c>
      <c r="H6048" s="1">
        <v>45258</v>
      </c>
    </row>
    <row r="6049" spans="1:8">
      <c r="A6049" t="s">
        <v>12060</v>
      </c>
      <c r="B6049" t="s">
        <v>12061</v>
      </c>
      <c r="C6049" t="s">
        <v>31</v>
      </c>
      <c r="D6049">
        <v>36</v>
      </c>
      <c r="E6049" t="s">
        <v>149</v>
      </c>
      <c r="F6049" t="s">
        <v>38</v>
      </c>
      <c r="G6049" t="s">
        <v>22</v>
      </c>
      <c r="H6049" s="1">
        <v>44996</v>
      </c>
    </row>
    <row r="6050" spans="1:8">
      <c r="A6050" t="s">
        <v>12062</v>
      </c>
      <c r="B6050" t="s">
        <v>12063</v>
      </c>
      <c r="C6050" t="s">
        <v>31</v>
      </c>
      <c r="D6050">
        <v>60</v>
      </c>
      <c r="E6050" t="s">
        <v>27</v>
      </c>
      <c r="F6050" t="s">
        <v>28</v>
      </c>
      <c r="G6050" t="s">
        <v>12</v>
      </c>
      <c r="H6050" s="1">
        <v>45883</v>
      </c>
    </row>
    <row r="6051" spans="1:8">
      <c r="A6051" t="s">
        <v>12064</v>
      </c>
      <c r="B6051" t="s">
        <v>12065</v>
      </c>
      <c r="C6051" t="s">
        <v>31</v>
      </c>
      <c r="D6051">
        <v>55</v>
      </c>
      <c r="E6051" t="s">
        <v>149</v>
      </c>
      <c r="F6051" t="s">
        <v>38</v>
      </c>
      <c r="G6051" t="s">
        <v>22</v>
      </c>
      <c r="H6051" s="1">
        <v>45442</v>
      </c>
    </row>
    <row r="6052" spans="1:8">
      <c r="A6052" t="s">
        <v>12066</v>
      </c>
      <c r="B6052" t="s">
        <v>12067</v>
      </c>
      <c r="C6052" t="s">
        <v>31</v>
      </c>
      <c r="D6052">
        <v>19</v>
      </c>
      <c r="E6052" t="s">
        <v>60</v>
      </c>
      <c r="F6052" t="s">
        <v>21</v>
      </c>
      <c r="G6052" t="s">
        <v>22</v>
      </c>
      <c r="H6052" s="1">
        <v>45090</v>
      </c>
    </row>
    <row r="6053" spans="1:8">
      <c r="A6053" t="s">
        <v>12068</v>
      </c>
      <c r="B6053" t="s">
        <v>6039</v>
      </c>
      <c r="C6053" t="s">
        <v>10</v>
      </c>
      <c r="D6053">
        <v>45</v>
      </c>
      <c r="E6053" t="s">
        <v>20</v>
      </c>
      <c r="F6053" t="s">
        <v>21</v>
      </c>
      <c r="G6053" t="s">
        <v>22</v>
      </c>
      <c r="H6053" s="1">
        <v>45499</v>
      </c>
    </row>
    <row r="6054" spans="1:8">
      <c r="A6054" t="s">
        <v>12069</v>
      </c>
      <c r="B6054" t="s">
        <v>12070</v>
      </c>
      <c r="C6054" t="s">
        <v>31</v>
      </c>
      <c r="D6054">
        <v>23</v>
      </c>
      <c r="E6054" t="s">
        <v>11</v>
      </c>
      <c r="F6054" t="s">
        <v>11</v>
      </c>
      <c r="G6054" t="s">
        <v>12</v>
      </c>
      <c r="H6054" s="1">
        <v>45096</v>
      </c>
    </row>
    <row r="6055" spans="1:8">
      <c r="A6055" t="s">
        <v>12071</v>
      </c>
      <c r="B6055" t="s">
        <v>12072</v>
      </c>
      <c r="C6055" t="s">
        <v>31</v>
      </c>
      <c r="D6055">
        <v>68</v>
      </c>
      <c r="E6055" t="s">
        <v>34</v>
      </c>
      <c r="F6055" t="s">
        <v>16</v>
      </c>
      <c r="G6055" t="s">
        <v>17</v>
      </c>
      <c r="H6055" s="1">
        <v>45634</v>
      </c>
    </row>
    <row r="6056" spans="1:8">
      <c r="A6056" t="s">
        <v>12073</v>
      </c>
      <c r="B6056" t="s">
        <v>12074</v>
      </c>
      <c r="C6056" t="s">
        <v>31</v>
      </c>
      <c r="D6056">
        <v>43</v>
      </c>
      <c r="E6056" t="s">
        <v>112</v>
      </c>
      <c r="F6056" t="s">
        <v>113</v>
      </c>
      <c r="G6056" t="s">
        <v>78</v>
      </c>
      <c r="H6056" s="1">
        <v>44772</v>
      </c>
    </row>
    <row r="6057" spans="1:8">
      <c r="A6057" t="s">
        <v>12075</v>
      </c>
      <c r="B6057" t="s">
        <v>12076</v>
      </c>
      <c r="C6057" t="s">
        <v>31</v>
      </c>
      <c r="D6057">
        <v>64</v>
      </c>
      <c r="E6057" t="s">
        <v>37</v>
      </c>
      <c r="F6057" t="s">
        <v>38</v>
      </c>
      <c r="G6057" t="s">
        <v>22</v>
      </c>
      <c r="H6057" s="1">
        <v>45419</v>
      </c>
    </row>
    <row r="6058" spans="1:8">
      <c r="A6058" t="s">
        <v>12077</v>
      </c>
      <c r="B6058" t="s">
        <v>12078</v>
      </c>
      <c r="C6058" t="s">
        <v>31</v>
      </c>
      <c r="D6058">
        <v>19</v>
      </c>
      <c r="E6058" t="s">
        <v>37</v>
      </c>
      <c r="F6058" t="s">
        <v>38</v>
      </c>
      <c r="G6058" t="s">
        <v>22</v>
      </c>
      <c r="H6058" s="1">
        <v>44718</v>
      </c>
    </row>
    <row r="6059" spans="1:8">
      <c r="A6059" t="s">
        <v>12079</v>
      </c>
      <c r="B6059" t="s">
        <v>12080</v>
      </c>
      <c r="C6059" t="s">
        <v>31</v>
      </c>
      <c r="D6059">
        <v>34</v>
      </c>
      <c r="E6059" t="s">
        <v>69</v>
      </c>
      <c r="F6059" t="s">
        <v>69</v>
      </c>
      <c r="G6059" t="s">
        <v>12</v>
      </c>
      <c r="H6059" s="1">
        <v>45568</v>
      </c>
    </row>
    <row r="6060" spans="1:8">
      <c r="A6060" t="s">
        <v>12081</v>
      </c>
      <c r="B6060" t="s">
        <v>12082</v>
      </c>
      <c r="C6060" t="s">
        <v>31</v>
      </c>
      <c r="D6060">
        <v>62</v>
      </c>
      <c r="E6060" t="s">
        <v>101</v>
      </c>
      <c r="F6060" t="s">
        <v>21</v>
      </c>
      <c r="G6060" t="s">
        <v>22</v>
      </c>
      <c r="H6060" s="1">
        <v>44980</v>
      </c>
    </row>
    <row r="6061" spans="1:8">
      <c r="A6061" t="s">
        <v>12083</v>
      </c>
      <c r="B6061" t="s">
        <v>12084</v>
      </c>
      <c r="C6061" t="s">
        <v>31</v>
      </c>
      <c r="D6061">
        <v>54</v>
      </c>
      <c r="E6061" t="s">
        <v>45</v>
      </c>
      <c r="F6061" t="s">
        <v>46</v>
      </c>
      <c r="G6061" t="s">
        <v>17</v>
      </c>
      <c r="H6061" s="1">
        <v>45812</v>
      </c>
    </row>
    <row r="6062" spans="1:8">
      <c r="A6062" t="s">
        <v>12085</v>
      </c>
      <c r="B6062" t="s">
        <v>12086</v>
      </c>
      <c r="C6062" t="s">
        <v>31</v>
      </c>
      <c r="D6062">
        <v>66</v>
      </c>
      <c r="E6062" t="s">
        <v>20</v>
      </c>
      <c r="F6062" t="s">
        <v>21</v>
      </c>
      <c r="G6062" t="s">
        <v>22</v>
      </c>
      <c r="H6062" s="1">
        <v>45131</v>
      </c>
    </row>
    <row r="6063" spans="1:8">
      <c r="A6063" t="s">
        <v>12087</v>
      </c>
      <c r="B6063" t="s">
        <v>12088</v>
      </c>
      <c r="C6063" t="s">
        <v>31</v>
      </c>
      <c r="D6063">
        <v>63</v>
      </c>
      <c r="E6063" t="s">
        <v>91</v>
      </c>
      <c r="F6063" t="s">
        <v>92</v>
      </c>
      <c r="G6063" t="s">
        <v>78</v>
      </c>
      <c r="H6063" s="1">
        <v>45399</v>
      </c>
    </row>
    <row r="6064" spans="1:8">
      <c r="A6064" t="s">
        <v>12089</v>
      </c>
      <c r="B6064" t="s">
        <v>12090</v>
      </c>
      <c r="C6064" t="s">
        <v>31</v>
      </c>
      <c r="D6064">
        <v>37</v>
      </c>
      <c r="E6064" t="s">
        <v>101</v>
      </c>
      <c r="F6064" t="s">
        <v>21</v>
      </c>
      <c r="G6064" t="s">
        <v>22</v>
      </c>
      <c r="H6064" s="1">
        <v>45554</v>
      </c>
    </row>
    <row r="6065" spans="1:8">
      <c r="A6065" t="s">
        <v>12091</v>
      </c>
      <c r="B6065" t="s">
        <v>12092</v>
      </c>
      <c r="C6065" t="s">
        <v>31</v>
      </c>
      <c r="D6065">
        <v>22</v>
      </c>
      <c r="E6065" t="s">
        <v>45</v>
      </c>
      <c r="F6065" t="s">
        <v>46</v>
      </c>
      <c r="G6065" t="s">
        <v>17</v>
      </c>
      <c r="H6065" s="1">
        <v>44926</v>
      </c>
    </row>
    <row r="6066" spans="1:8">
      <c r="A6066" t="s">
        <v>12093</v>
      </c>
      <c r="B6066" t="s">
        <v>12094</v>
      </c>
      <c r="C6066" t="s">
        <v>10</v>
      </c>
      <c r="D6066">
        <v>39</v>
      </c>
      <c r="E6066" t="s">
        <v>60</v>
      </c>
      <c r="F6066" t="s">
        <v>21</v>
      </c>
      <c r="G6066" t="s">
        <v>22</v>
      </c>
      <c r="H6066" s="1">
        <v>45765</v>
      </c>
    </row>
    <row r="6067" spans="1:8">
      <c r="A6067" t="s">
        <v>12095</v>
      </c>
      <c r="B6067" t="s">
        <v>12096</v>
      </c>
      <c r="C6067" t="s">
        <v>10</v>
      </c>
      <c r="D6067">
        <v>26</v>
      </c>
      <c r="E6067" t="s">
        <v>11</v>
      </c>
      <c r="F6067" t="s">
        <v>11</v>
      </c>
      <c r="G6067" t="s">
        <v>12</v>
      </c>
      <c r="H6067" s="1">
        <v>45177</v>
      </c>
    </row>
    <row r="6068" spans="1:8">
      <c r="A6068" t="s">
        <v>12097</v>
      </c>
      <c r="B6068" t="s">
        <v>12098</v>
      </c>
      <c r="C6068" t="s">
        <v>31</v>
      </c>
      <c r="D6068">
        <v>63</v>
      </c>
      <c r="E6068" t="s">
        <v>101</v>
      </c>
      <c r="F6068" t="s">
        <v>21</v>
      </c>
      <c r="G6068" t="s">
        <v>22</v>
      </c>
      <c r="H6068" s="1">
        <v>45665</v>
      </c>
    </row>
    <row r="6069" spans="1:8">
      <c r="A6069" t="s">
        <v>12099</v>
      </c>
      <c r="B6069" t="s">
        <v>12100</v>
      </c>
      <c r="C6069" t="s">
        <v>31</v>
      </c>
      <c r="D6069">
        <v>37</v>
      </c>
      <c r="E6069" t="s">
        <v>112</v>
      </c>
      <c r="F6069" t="s">
        <v>113</v>
      </c>
      <c r="G6069" t="s">
        <v>78</v>
      </c>
      <c r="H6069" s="1">
        <v>44915</v>
      </c>
    </row>
    <row r="6070" spans="1:8">
      <c r="A6070" t="s">
        <v>12101</v>
      </c>
      <c r="B6070" t="s">
        <v>12102</v>
      </c>
      <c r="C6070" t="s">
        <v>31</v>
      </c>
      <c r="D6070">
        <v>66</v>
      </c>
      <c r="E6070" t="s">
        <v>20</v>
      </c>
      <c r="F6070" t="s">
        <v>21</v>
      </c>
      <c r="G6070" t="s">
        <v>22</v>
      </c>
      <c r="H6070" s="1">
        <v>45850</v>
      </c>
    </row>
    <row r="6071" spans="1:8">
      <c r="A6071" t="s">
        <v>12103</v>
      </c>
      <c r="B6071" t="s">
        <v>12104</v>
      </c>
      <c r="C6071" t="s">
        <v>31</v>
      </c>
      <c r="D6071">
        <v>54</v>
      </c>
      <c r="E6071" t="s">
        <v>27</v>
      </c>
      <c r="F6071" t="s">
        <v>28</v>
      </c>
      <c r="G6071" t="s">
        <v>12</v>
      </c>
      <c r="H6071" s="1">
        <v>45886</v>
      </c>
    </row>
    <row r="6072" spans="1:8">
      <c r="A6072" t="s">
        <v>12105</v>
      </c>
      <c r="B6072" t="s">
        <v>12106</v>
      </c>
      <c r="C6072" t="s">
        <v>10</v>
      </c>
      <c r="D6072">
        <v>60</v>
      </c>
      <c r="E6072" t="s">
        <v>41</v>
      </c>
      <c r="F6072" t="s">
        <v>42</v>
      </c>
      <c r="G6072" t="s">
        <v>17</v>
      </c>
      <c r="H6072" s="1">
        <v>45707</v>
      </c>
    </row>
    <row r="6073" spans="1:8">
      <c r="A6073" t="s">
        <v>12107</v>
      </c>
      <c r="B6073" t="s">
        <v>12108</v>
      </c>
      <c r="C6073" t="s">
        <v>31</v>
      </c>
      <c r="D6073">
        <v>32</v>
      </c>
      <c r="E6073" t="s">
        <v>37</v>
      </c>
      <c r="F6073" t="s">
        <v>38</v>
      </c>
      <c r="G6073" t="s">
        <v>22</v>
      </c>
      <c r="H6073" s="1">
        <v>45610</v>
      </c>
    </row>
    <row r="6074" spans="1:8">
      <c r="A6074" t="s">
        <v>12109</v>
      </c>
      <c r="B6074" t="s">
        <v>12110</v>
      </c>
      <c r="C6074" t="s">
        <v>10</v>
      </c>
      <c r="D6074">
        <v>66</v>
      </c>
      <c r="E6074" t="s">
        <v>15</v>
      </c>
      <c r="F6074" t="s">
        <v>16</v>
      </c>
      <c r="G6074" t="s">
        <v>17</v>
      </c>
      <c r="H6074" s="1">
        <v>44606</v>
      </c>
    </row>
    <row r="6075" spans="1:8">
      <c r="A6075" t="s">
        <v>12111</v>
      </c>
      <c r="B6075" t="s">
        <v>12112</v>
      </c>
      <c r="C6075" t="s">
        <v>31</v>
      </c>
      <c r="D6075">
        <v>56</v>
      </c>
      <c r="E6075" t="s">
        <v>218</v>
      </c>
      <c r="F6075" t="s">
        <v>219</v>
      </c>
      <c r="G6075" t="s">
        <v>17</v>
      </c>
      <c r="H6075" s="1">
        <v>45745</v>
      </c>
    </row>
    <row r="6076" spans="1:8">
      <c r="A6076" t="s">
        <v>12113</v>
      </c>
      <c r="B6076" t="s">
        <v>12114</v>
      </c>
      <c r="C6076" t="s">
        <v>10</v>
      </c>
      <c r="D6076">
        <v>18</v>
      </c>
      <c r="E6076" t="s">
        <v>60</v>
      </c>
      <c r="F6076" t="s">
        <v>21</v>
      </c>
      <c r="G6076" t="s">
        <v>22</v>
      </c>
      <c r="H6076" s="1">
        <v>45890</v>
      </c>
    </row>
    <row r="6077" spans="1:8">
      <c r="A6077" t="s">
        <v>12115</v>
      </c>
      <c r="B6077" t="s">
        <v>12116</v>
      </c>
      <c r="C6077" t="s">
        <v>10</v>
      </c>
      <c r="D6077">
        <v>63</v>
      </c>
      <c r="E6077" t="s">
        <v>27</v>
      </c>
      <c r="F6077" t="s">
        <v>28</v>
      </c>
      <c r="G6077" t="s">
        <v>12</v>
      </c>
      <c r="H6077" s="1">
        <v>45317</v>
      </c>
    </row>
    <row r="6078" spans="1:8">
      <c r="A6078" t="s">
        <v>12117</v>
      </c>
      <c r="B6078" t="s">
        <v>12118</v>
      </c>
      <c r="C6078" t="s">
        <v>31</v>
      </c>
      <c r="D6078">
        <v>66</v>
      </c>
      <c r="E6078" t="s">
        <v>37</v>
      </c>
      <c r="F6078" t="s">
        <v>38</v>
      </c>
      <c r="G6078" t="s">
        <v>22</v>
      </c>
      <c r="H6078" s="1">
        <v>45635</v>
      </c>
    </row>
    <row r="6079" spans="1:8">
      <c r="A6079" t="s">
        <v>12119</v>
      </c>
      <c r="B6079" t="s">
        <v>12120</v>
      </c>
      <c r="C6079" t="s">
        <v>31</v>
      </c>
      <c r="D6079">
        <v>44</v>
      </c>
      <c r="E6079" t="s">
        <v>101</v>
      </c>
      <c r="F6079" t="s">
        <v>21</v>
      </c>
      <c r="G6079" t="s">
        <v>22</v>
      </c>
      <c r="H6079" s="1">
        <v>45355</v>
      </c>
    </row>
    <row r="6080" spans="1:8">
      <c r="A6080" t="s">
        <v>12121</v>
      </c>
      <c r="B6080" t="s">
        <v>12122</v>
      </c>
      <c r="C6080" t="s">
        <v>10</v>
      </c>
      <c r="D6080">
        <v>34</v>
      </c>
      <c r="E6080" t="s">
        <v>34</v>
      </c>
      <c r="F6080" t="s">
        <v>16</v>
      </c>
      <c r="G6080" t="s">
        <v>17</v>
      </c>
      <c r="H6080" s="1">
        <v>45427</v>
      </c>
    </row>
    <row r="6081" spans="1:8">
      <c r="A6081" t="s">
        <v>12123</v>
      </c>
      <c r="B6081" t="s">
        <v>12124</v>
      </c>
      <c r="C6081" t="s">
        <v>31</v>
      </c>
      <c r="D6081">
        <v>43</v>
      </c>
      <c r="E6081" t="s">
        <v>37</v>
      </c>
      <c r="F6081" t="s">
        <v>38</v>
      </c>
      <c r="G6081" t="s">
        <v>22</v>
      </c>
      <c r="H6081" s="1">
        <v>44994</v>
      </c>
    </row>
    <row r="6082" spans="1:8">
      <c r="A6082" t="s">
        <v>12125</v>
      </c>
      <c r="B6082" t="s">
        <v>12126</v>
      </c>
      <c r="C6082" t="s">
        <v>10</v>
      </c>
      <c r="D6082">
        <v>32</v>
      </c>
      <c r="E6082" t="s">
        <v>60</v>
      </c>
      <c r="F6082" t="s">
        <v>21</v>
      </c>
      <c r="G6082" t="s">
        <v>22</v>
      </c>
      <c r="H6082" s="1">
        <v>45335</v>
      </c>
    </row>
    <row r="6083" spans="1:8">
      <c r="A6083" t="s">
        <v>12127</v>
      </c>
      <c r="B6083" t="s">
        <v>12128</v>
      </c>
      <c r="C6083" t="s">
        <v>10</v>
      </c>
      <c r="D6083">
        <v>30</v>
      </c>
      <c r="E6083" t="s">
        <v>15</v>
      </c>
      <c r="F6083" t="s">
        <v>16</v>
      </c>
      <c r="G6083" t="s">
        <v>17</v>
      </c>
      <c r="H6083" s="1">
        <v>45942</v>
      </c>
    </row>
    <row r="6084" spans="1:8">
      <c r="A6084" t="s">
        <v>12129</v>
      </c>
      <c r="B6084" t="s">
        <v>12130</v>
      </c>
      <c r="C6084" t="s">
        <v>31</v>
      </c>
      <c r="D6084">
        <v>23</v>
      </c>
      <c r="E6084" t="s">
        <v>41</v>
      </c>
      <c r="F6084" t="s">
        <v>42</v>
      </c>
      <c r="G6084" t="s">
        <v>17</v>
      </c>
      <c r="H6084" s="1">
        <v>45953</v>
      </c>
    </row>
    <row r="6085" spans="1:8">
      <c r="A6085" t="s">
        <v>12131</v>
      </c>
      <c r="B6085" t="s">
        <v>12132</v>
      </c>
      <c r="C6085" t="s">
        <v>10</v>
      </c>
      <c r="D6085">
        <v>25</v>
      </c>
      <c r="E6085" t="s">
        <v>20</v>
      </c>
      <c r="F6085" t="s">
        <v>21</v>
      </c>
      <c r="G6085" t="s">
        <v>22</v>
      </c>
      <c r="H6085" s="1">
        <v>45480</v>
      </c>
    </row>
    <row r="6086" spans="1:8">
      <c r="A6086" t="s">
        <v>12133</v>
      </c>
      <c r="B6086" t="s">
        <v>12134</v>
      </c>
      <c r="C6086" t="s">
        <v>31</v>
      </c>
      <c r="D6086">
        <v>47</v>
      </c>
      <c r="E6086" t="s">
        <v>91</v>
      </c>
      <c r="F6086" t="s">
        <v>92</v>
      </c>
      <c r="G6086" t="s">
        <v>78</v>
      </c>
      <c r="H6086" s="1">
        <v>45135</v>
      </c>
    </row>
    <row r="6087" spans="1:8">
      <c r="A6087" t="s">
        <v>12135</v>
      </c>
      <c r="B6087" t="s">
        <v>12136</v>
      </c>
      <c r="C6087" t="s">
        <v>31</v>
      </c>
      <c r="D6087">
        <v>26</v>
      </c>
      <c r="E6087" t="s">
        <v>149</v>
      </c>
      <c r="F6087" t="s">
        <v>38</v>
      </c>
      <c r="G6087" t="s">
        <v>22</v>
      </c>
      <c r="H6087" s="1">
        <v>44916</v>
      </c>
    </row>
    <row r="6088" spans="1:8">
      <c r="A6088" t="s">
        <v>12137</v>
      </c>
      <c r="B6088" t="s">
        <v>12138</v>
      </c>
      <c r="C6088" t="s">
        <v>31</v>
      </c>
      <c r="D6088">
        <v>62</v>
      </c>
      <c r="E6088" t="s">
        <v>149</v>
      </c>
      <c r="F6088" t="s">
        <v>38</v>
      </c>
      <c r="G6088" t="s">
        <v>22</v>
      </c>
      <c r="H6088" s="1">
        <v>45472</v>
      </c>
    </row>
    <row r="6089" spans="1:8">
      <c r="A6089" t="s">
        <v>12139</v>
      </c>
      <c r="B6089" t="s">
        <v>12140</v>
      </c>
      <c r="C6089" t="s">
        <v>31</v>
      </c>
      <c r="D6089">
        <v>70</v>
      </c>
      <c r="E6089" t="s">
        <v>218</v>
      </c>
      <c r="F6089" t="s">
        <v>219</v>
      </c>
      <c r="G6089" t="s">
        <v>17</v>
      </c>
      <c r="H6089" s="1">
        <v>45697</v>
      </c>
    </row>
    <row r="6090" spans="1:8">
      <c r="A6090" t="s">
        <v>12141</v>
      </c>
      <c r="B6090" t="s">
        <v>12142</v>
      </c>
      <c r="C6090" t="s">
        <v>31</v>
      </c>
      <c r="D6090">
        <v>61</v>
      </c>
      <c r="E6090" t="s">
        <v>149</v>
      </c>
      <c r="F6090" t="s">
        <v>38</v>
      </c>
      <c r="G6090" t="s">
        <v>22</v>
      </c>
      <c r="H6090" s="1">
        <v>45328</v>
      </c>
    </row>
    <row r="6091" spans="1:8">
      <c r="A6091" t="s">
        <v>12143</v>
      </c>
      <c r="B6091" t="s">
        <v>12144</v>
      </c>
      <c r="C6091" t="s">
        <v>31</v>
      </c>
      <c r="D6091">
        <v>26</v>
      </c>
      <c r="E6091" t="s">
        <v>34</v>
      </c>
      <c r="F6091" t="s">
        <v>16</v>
      </c>
      <c r="G6091" t="s">
        <v>17</v>
      </c>
      <c r="H6091" s="1">
        <v>45146</v>
      </c>
    </row>
    <row r="6092" spans="1:8">
      <c r="A6092" t="s">
        <v>12145</v>
      </c>
      <c r="B6092" t="s">
        <v>12146</v>
      </c>
      <c r="C6092" t="s">
        <v>31</v>
      </c>
      <c r="D6092">
        <v>68</v>
      </c>
      <c r="E6092" t="s">
        <v>63</v>
      </c>
      <c r="F6092" t="s">
        <v>64</v>
      </c>
      <c r="G6092" t="s">
        <v>12</v>
      </c>
      <c r="H6092" s="1">
        <v>45475</v>
      </c>
    </row>
    <row r="6093" spans="1:8">
      <c r="A6093" t="s">
        <v>12147</v>
      </c>
      <c r="B6093" t="s">
        <v>12148</v>
      </c>
      <c r="C6093" t="s">
        <v>31</v>
      </c>
      <c r="D6093">
        <v>42</v>
      </c>
      <c r="E6093" t="s">
        <v>15</v>
      </c>
      <c r="F6093" t="s">
        <v>16</v>
      </c>
      <c r="G6093" t="s">
        <v>17</v>
      </c>
      <c r="H6093" s="1">
        <v>45053</v>
      </c>
    </row>
    <row r="6094" spans="1:8">
      <c r="A6094" t="s">
        <v>12149</v>
      </c>
      <c r="B6094" t="s">
        <v>12150</v>
      </c>
      <c r="C6094" t="s">
        <v>31</v>
      </c>
      <c r="D6094">
        <v>19</v>
      </c>
      <c r="E6094" t="s">
        <v>60</v>
      </c>
      <c r="F6094" t="s">
        <v>21</v>
      </c>
      <c r="G6094" t="s">
        <v>22</v>
      </c>
      <c r="H6094" s="1">
        <v>45535</v>
      </c>
    </row>
    <row r="6095" spans="1:8">
      <c r="A6095" t="s">
        <v>12151</v>
      </c>
      <c r="B6095" t="s">
        <v>12152</v>
      </c>
      <c r="C6095" t="s">
        <v>31</v>
      </c>
      <c r="D6095">
        <v>44</v>
      </c>
      <c r="E6095" t="s">
        <v>34</v>
      </c>
      <c r="F6095" t="s">
        <v>16</v>
      </c>
      <c r="G6095" t="s">
        <v>17</v>
      </c>
      <c r="H6095" s="1">
        <v>44608</v>
      </c>
    </row>
    <row r="6096" spans="1:8">
      <c r="A6096" t="s">
        <v>12153</v>
      </c>
      <c r="B6096" t="s">
        <v>12154</v>
      </c>
      <c r="C6096" t="s">
        <v>31</v>
      </c>
      <c r="D6096">
        <v>40</v>
      </c>
      <c r="E6096" t="s">
        <v>20</v>
      </c>
      <c r="F6096" t="s">
        <v>21</v>
      </c>
      <c r="G6096" t="s">
        <v>22</v>
      </c>
      <c r="H6096" s="1">
        <v>45193</v>
      </c>
    </row>
    <row r="6097" spans="1:8">
      <c r="A6097" t="s">
        <v>12155</v>
      </c>
      <c r="B6097" t="s">
        <v>12156</v>
      </c>
      <c r="C6097" t="s">
        <v>31</v>
      </c>
      <c r="D6097">
        <v>66</v>
      </c>
      <c r="E6097" t="s">
        <v>15</v>
      </c>
      <c r="F6097" t="s">
        <v>16</v>
      </c>
      <c r="G6097" t="s">
        <v>17</v>
      </c>
      <c r="H6097" s="1">
        <v>44717</v>
      </c>
    </row>
    <row r="6098" spans="1:8">
      <c r="A6098" t="s">
        <v>12157</v>
      </c>
      <c r="B6098" t="s">
        <v>12158</v>
      </c>
      <c r="C6098" t="s">
        <v>10</v>
      </c>
      <c r="D6098">
        <v>21</v>
      </c>
      <c r="E6098" t="s">
        <v>101</v>
      </c>
      <c r="F6098" t="s">
        <v>21</v>
      </c>
      <c r="G6098" t="s">
        <v>22</v>
      </c>
      <c r="H6098" s="1">
        <v>45896</v>
      </c>
    </row>
    <row r="6099" spans="1:8">
      <c r="A6099" t="s">
        <v>12159</v>
      </c>
      <c r="B6099" t="s">
        <v>12160</v>
      </c>
      <c r="C6099" t="s">
        <v>10</v>
      </c>
      <c r="D6099">
        <v>54</v>
      </c>
      <c r="E6099" t="s">
        <v>11</v>
      </c>
      <c r="F6099" t="s">
        <v>11</v>
      </c>
      <c r="G6099" t="s">
        <v>12</v>
      </c>
      <c r="H6099" s="1">
        <v>44628</v>
      </c>
    </row>
    <row r="6100" spans="1:8">
      <c r="A6100" t="s">
        <v>12161</v>
      </c>
      <c r="B6100" t="s">
        <v>12162</v>
      </c>
      <c r="C6100" t="s">
        <v>31</v>
      </c>
      <c r="D6100">
        <v>43</v>
      </c>
      <c r="E6100" t="s">
        <v>87</v>
      </c>
      <c r="F6100" t="s">
        <v>88</v>
      </c>
      <c r="G6100" t="s">
        <v>78</v>
      </c>
      <c r="H6100" s="1">
        <v>45399</v>
      </c>
    </row>
    <row r="6101" spans="1:8">
      <c r="A6101" t="s">
        <v>12163</v>
      </c>
      <c r="B6101" t="s">
        <v>12164</v>
      </c>
      <c r="C6101" t="s">
        <v>10</v>
      </c>
      <c r="D6101">
        <v>65</v>
      </c>
      <c r="E6101" t="s">
        <v>60</v>
      </c>
      <c r="F6101" t="s">
        <v>21</v>
      </c>
      <c r="G6101" t="s">
        <v>22</v>
      </c>
      <c r="H6101" s="1">
        <v>44869</v>
      </c>
    </row>
    <row r="6102" spans="1:8">
      <c r="A6102" t="s">
        <v>12165</v>
      </c>
      <c r="B6102" t="s">
        <v>12166</v>
      </c>
      <c r="C6102" t="s">
        <v>10</v>
      </c>
      <c r="D6102">
        <v>51</v>
      </c>
      <c r="E6102" t="s">
        <v>45</v>
      </c>
      <c r="F6102" t="s">
        <v>46</v>
      </c>
      <c r="G6102" t="s">
        <v>17</v>
      </c>
      <c r="H6102" s="1">
        <v>45265</v>
      </c>
    </row>
    <row r="6103" spans="1:8">
      <c r="A6103" t="s">
        <v>12167</v>
      </c>
      <c r="B6103" t="s">
        <v>12168</v>
      </c>
      <c r="C6103" t="s">
        <v>31</v>
      </c>
      <c r="D6103">
        <v>41</v>
      </c>
      <c r="E6103" t="s">
        <v>91</v>
      </c>
      <c r="F6103" t="s">
        <v>92</v>
      </c>
      <c r="G6103" t="s">
        <v>78</v>
      </c>
      <c r="H6103" s="1">
        <v>45902</v>
      </c>
    </row>
    <row r="6104" spans="1:8">
      <c r="A6104" t="s">
        <v>12169</v>
      </c>
      <c r="B6104" t="s">
        <v>12170</v>
      </c>
      <c r="C6104" t="s">
        <v>10</v>
      </c>
      <c r="D6104">
        <v>44</v>
      </c>
      <c r="E6104" t="s">
        <v>34</v>
      </c>
      <c r="F6104" t="s">
        <v>16</v>
      </c>
      <c r="G6104" t="s">
        <v>17</v>
      </c>
      <c r="H6104" s="1">
        <v>44972</v>
      </c>
    </row>
    <row r="6105" spans="1:8">
      <c r="A6105" t="s">
        <v>12171</v>
      </c>
      <c r="B6105" t="s">
        <v>12172</v>
      </c>
      <c r="C6105" t="s">
        <v>10</v>
      </c>
      <c r="D6105">
        <v>20</v>
      </c>
      <c r="E6105" t="s">
        <v>20</v>
      </c>
      <c r="F6105" t="s">
        <v>21</v>
      </c>
      <c r="G6105" t="s">
        <v>22</v>
      </c>
      <c r="H6105" s="1">
        <v>45854</v>
      </c>
    </row>
    <row r="6106" spans="1:8">
      <c r="A6106" t="s">
        <v>12173</v>
      </c>
      <c r="B6106" t="s">
        <v>12174</v>
      </c>
      <c r="C6106" t="s">
        <v>10</v>
      </c>
      <c r="D6106">
        <v>22</v>
      </c>
      <c r="E6106" t="s">
        <v>15</v>
      </c>
      <c r="F6106" t="s">
        <v>16</v>
      </c>
      <c r="G6106" t="s">
        <v>17</v>
      </c>
      <c r="H6106" s="1">
        <v>45730</v>
      </c>
    </row>
    <row r="6107" spans="1:8">
      <c r="A6107" t="s">
        <v>12175</v>
      </c>
      <c r="B6107" t="s">
        <v>12176</v>
      </c>
      <c r="C6107" t="s">
        <v>31</v>
      </c>
      <c r="D6107">
        <v>70</v>
      </c>
      <c r="E6107" t="s">
        <v>34</v>
      </c>
      <c r="F6107" t="s">
        <v>16</v>
      </c>
      <c r="G6107" t="s">
        <v>17</v>
      </c>
      <c r="H6107" s="1">
        <v>45192</v>
      </c>
    </row>
    <row r="6108" spans="1:8">
      <c r="A6108" t="s">
        <v>12177</v>
      </c>
      <c r="B6108" t="s">
        <v>12178</v>
      </c>
      <c r="C6108" t="s">
        <v>31</v>
      </c>
      <c r="D6108">
        <v>38</v>
      </c>
      <c r="E6108" t="s">
        <v>20</v>
      </c>
      <c r="F6108" t="s">
        <v>21</v>
      </c>
      <c r="G6108" t="s">
        <v>22</v>
      </c>
      <c r="H6108" s="1">
        <v>45790</v>
      </c>
    </row>
    <row r="6109" spans="1:8">
      <c r="A6109" t="s">
        <v>12179</v>
      </c>
      <c r="B6109" t="s">
        <v>12180</v>
      </c>
      <c r="C6109" t="s">
        <v>10</v>
      </c>
      <c r="D6109">
        <v>61</v>
      </c>
      <c r="E6109" t="s">
        <v>87</v>
      </c>
      <c r="F6109" t="s">
        <v>88</v>
      </c>
      <c r="G6109" t="s">
        <v>78</v>
      </c>
      <c r="H6109" s="1">
        <v>45683</v>
      </c>
    </row>
    <row r="6110" spans="1:8">
      <c r="A6110" t="s">
        <v>12181</v>
      </c>
      <c r="B6110" t="s">
        <v>12182</v>
      </c>
      <c r="C6110" t="s">
        <v>31</v>
      </c>
      <c r="D6110">
        <v>68</v>
      </c>
      <c r="E6110" t="s">
        <v>128</v>
      </c>
      <c r="F6110" t="s">
        <v>129</v>
      </c>
      <c r="G6110" t="s">
        <v>78</v>
      </c>
      <c r="H6110" s="1">
        <v>45002</v>
      </c>
    </row>
    <row r="6111" spans="1:8">
      <c r="A6111" t="s">
        <v>12183</v>
      </c>
      <c r="B6111" t="s">
        <v>12184</v>
      </c>
      <c r="C6111" t="s">
        <v>10</v>
      </c>
      <c r="D6111">
        <v>37</v>
      </c>
      <c r="E6111" t="s">
        <v>112</v>
      </c>
      <c r="F6111" t="s">
        <v>113</v>
      </c>
      <c r="G6111" t="s">
        <v>78</v>
      </c>
      <c r="H6111" s="1">
        <v>45435</v>
      </c>
    </row>
    <row r="6112" spans="1:8">
      <c r="A6112" t="s">
        <v>12185</v>
      </c>
      <c r="B6112" t="s">
        <v>12186</v>
      </c>
      <c r="C6112" t="s">
        <v>31</v>
      </c>
      <c r="D6112">
        <v>23</v>
      </c>
      <c r="E6112" t="s">
        <v>69</v>
      </c>
      <c r="F6112" t="s">
        <v>69</v>
      </c>
      <c r="G6112" t="s">
        <v>12</v>
      </c>
      <c r="H6112" s="1">
        <v>45480</v>
      </c>
    </row>
    <row r="6113" spans="1:8">
      <c r="A6113" t="s">
        <v>12187</v>
      </c>
      <c r="B6113" t="s">
        <v>12188</v>
      </c>
      <c r="C6113" t="s">
        <v>31</v>
      </c>
      <c r="D6113">
        <v>60</v>
      </c>
      <c r="E6113" t="s">
        <v>149</v>
      </c>
      <c r="F6113" t="s">
        <v>38</v>
      </c>
      <c r="G6113" t="s">
        <v>22</v>
      </c>
      <c r="H6113" s="1">
        <v>45608</v>
      </c>
    </row>
    <row r="6114" spans="1:8">
      <c r="A6114" t="s">
        <v>12189</v>
      </c>
      <c r="B6114" t="s">
        <v>12190</v>
      </c>
      <c r="C6114" t="s">
        <v>31</v>
      </c>
      <c r="D6114">
        <v>43</v>
      </c>
      <c r="E6114" t="s">
        <v>41</v>
      </c>
      <c r="F6114" t="s">
        <v>42</v>
      </c>
      <c r="G6114" t="s">
        <v>17</v>
      </c>
      <c r="H6114" s="1">
        <v>45757</v>
      </c>
    </row>
    <row r="6115" spans="1:8">
      <c r="A6115" t="s">
        <v>12191</v>
      </c>
      <c r="B6115" t="s">
        <v>12192</v>
      </c>
      <c r="C6115" t="s">
        <v>10</v>
      </c>
      <c r="D6115">
        <v>63</v>
      </c>
      <c r="E6115" t="s">
        <v>69</v>
      </c>
      <c r="F6115" t="s">
        <v>69</v>
      </c>
      <c r="G6115" t="s">
        <v>12</v>
      </c>
      <c r="H6115" s="1">
        <v>45683</v>
      </c>
    </row>
    <row r="6116" spans="1:8">
      <c r="A6116" t="s">
        <v>12193</v>
      </c>
      <c r="B6116" t="s">
        <v>12194</v>
      </c>
      <c r="C6116" t="s">
        <v>10</v>
      </c>
      <c r="D6116">
        <v>41</v>
      </c>
      <c r="E6116" t="s">
        <v>134</v>
      </c>
      <c r="F6116" t="s">
        <v>28</v>
      </c>
      <c r="G6116" t="s">
        <v>12</v>
      </c>
      <c r="H6116" s="1">
        <v>46020</v>
      </c>
    </row>
    <row r="6117" spans="1:8">
      <c r="A6117" t="s">
        <v>12195</v>
      </c>
      <c r="B6117" t="s">
        <v>12196</v>
      </c>
      <c r="C6117" t="s">
        <v>31</v>
      </c>
      <c r="D6117">
        <v>19</v>
      </c>
      <c r="E6117" t="s">
        <v>60</v>
      </c>
      <c r="F6117" t="s">
        <v>21</v>
      </c>
      <c r="G6117" t="s">
        <v>22</v>
      </c>
      <c r="H6117" s="1">
        <v>45762</v>
      </c>
    </row>
    <row r="6118" spans="1:8">
      <c r="A6118" t="s">
        <v>12197</v>
      </c>
      <c r="B6118" t="s">
        <v>12198</v>
      </c>
      <c r="C6118" t="s">
        <v>31</v>
      </c>
      <c r="D6118">
        <v>63</v>
      </c>
      <c r="E6118" t="s">
        <v>60</v>
      </c>
      <c r="F6118" t="s">
        <v>21</v>
      </c>
      <c r="G6118" t="s">
        <v>22</v>
      </c>
      <c r="H6118" s="1">
        <v>44700</v>
      </c>
    </row>
    <row r="6119" spans="1:8">
      <c r="A6119" t="s">
        <v>12199</v>
      </c>
      <c r="B6119" t="s">
        <v>12200</v>
      </c>
      <c r="C6119" t="s">
        <v>10</v>
      </c>
      <c r="D6119">
        <v>18</v>
      </c>
      <c r="E6119" t="s">
        <v>34</v>
      </c>
      <c r="F6119" t="s">
        <v>16</v>
      </c>
      <c r="G6119" t="s">
        <v>17</v>
      </c>
      <c r="H6119" s="1">
        <v>45978</v>
      </c>
    </row>
    <row r="6120" spans="1:8">
      <c r="A6120" t="s">
        <v>12201</v>
      </c>
      <c r="B6120" t="s">
        <v>12202</v>
      </c>
      <c r="C6120" t="s">
        <v>10</v>
      </c>
      <c r="D6120">
        <v>49</v>
      </c>
      <c r="E6120" t="s">
        <v>27</v>
      </c>
      <c r="F6120" t="s">
        <v>28</v>
      </c>
      <c r="G6120" t="s">
        <v>12</v>
      </c>
      <c r="H6120" s="1">
        <v>46004</v>
      </c>
    </row>
    <row r="6121" spans="1:8">
      <c r="A6121" t="s">
        <v>12203</v>
      </c>
      <c r="B6121" t="s">
        <v>12204</v>
      </c>
      <c r="C6121" t="s">
        <v>31</v>
      </c>
      <c r="D6121">
        <v>35</v>
      </c>
      <c r="E6121" t="s">
        <v>37</v>
      </c>
      <c r="F6121" t="s">
        <v>38</v>
      </c>
      <c r="G6121" t="s">
        <v>22</v>
      </c>
      <c r="H6121" s="1">
        <v>44597</v>
      </c>
    </row>
    <row r="6122" spans="1:8">
      <c r="A6122" t="s">
        <v>12205</v>
      </c>
      <c r="B6122" t="s">
        <v>12206</v>
      </c>
      <c r="C6122" t="s">
        <v>31</v>
      </c>
      <c r="D6122">
        <v>29</v>
      </c>
      <c r="E6122" t="s">
        <v>76</v>
      </c>
      <c r="F6122" t="s">
        <v>77</v>
      </c>
      <c r="G6122" t="s">
        <v>78</v>
      </c>
      <c r="H6122" s="1">
        <v>45838</v>
      </c>
    </row>
    <row r="6123" spans="1:8">
      <c r="A6123" t="s">
        <v>12207</v>
      </c>
      <c r="B6123" t="s">
        <v>12208</v>
      </c>
      <c r="C6123" t="s">
        <v>10</v>
      </c>
      <c r="D6123">
        <v>40</v>
      </c>
      <c r="E6123" t="s">
        <v>87</v>
      </c>
      <c r="F6123" t="s">
        <v>88</v>
      </c>
      <c r="G6123" t="s">
        <v>78</v>
      </c>
      <c r="H6123" s="1">
        <v>45080</v>
      </c>
    </row>
    <row r="6124" spans="1:8">
      <c r="A6124" t="s">
        <v>12209</v>
      </c>
      <c r="B6124" t="s">
        <v>12210</v>
      </c>
      <c r="C6124" t="s">
        <v>31</v>
      </c>
      <c r="D6124">
        <v>42</v>
      </c>
      <c r="E6124" t="s">
        <v>15</v>
      </c>
      <c r="F6124" t="s">
        <v>16</v>
      </c>
      <c r="G6124" t="s">
        <v>17</v>
      </c>
      <c r="H6124" s="1">
        <v>45651</v>
      </c>
    </row>
    <row r="6125" spans="1:8">
      <c r="A6125" t="s">
        <v>12211</v>
      </c>
      <c r="B6125" t="s">
        <v>12212</v>
      </c>
      <c r="C6125" t="s">
        <v>31</v>
      </c>
      <c r="D6125">
        <v>33</v>
      </c>
      <c r="E6125" t="s">
        <v>41</v>
      </c>
      <c r="F6125" t="s">
        <v>42</v>
      </c>
      <c r="G6125" t="s">
        <v>17</v>
      </c>
      <c r="H6125" s="1">
        <v>45191</v>
      </c>
    </row>
    <row r="6126" spans="1:8">
      <c r="A6126" t="s">
        <v>12213</v>
      </c>
      <c r="B6126" t="s">
        <v>12214</v>
      </c>
      <c r="C6126" t="s">
        <v>31</v>
      </c>
      <c r="D6126">
        <v>47</v>
      </c>
      <c r="E6126" t="s">
        <v>218</v>
      </c>
      <c r="F6126" t="s">
        <v>219</v>
      </c>
      <c r="G6126" t="s">
        <v>17</v>
      </c>
      <c r="H6126" s="1">
        <v>44746</v>
      </c>
    </row>
    <row r="6127" spans="1:8">
      <c r="A6127" t="s">
        <v>12215</v>
      </c>
      <c r="B6127" t="s">
        <v>12216</v>
      </c>
      <c r="C6127" t="s">
        <v>10</v>
      </c>
      <c r="D6127">
        <v>34</v>
      </c>
      <c r="E6127" t="s">
        <v>27</v>
      </c>
      <c r="F6127" t="s">
        <v>28</v>
      </c>
      <c r="G6127" t="s">
        <v>12</v>
      </c>
      <c r="H6127" s="1">
        <v>45257</v>
      </c>
    </row>
    <row r="6128" spans="1:8">
      <c r="A6128" t="s">
        <v>12217</v>
      </c>
      <c r="B6128" t="s">
        <v>12218</v>
      </c>
      <c r="C6128" t="s">
        <v>10</v>
      </c>
      <c r="D6128">
        <v>30</v>
      </c>
      <c r="E6128" t="s">
        <v>37</v>
      </c>
      <c r="F6128" t="s">
        <v>38</v>
      </c>
      <c r="G6128" t="s">
        <v>22</v>
      </c>
      <c r="H6128" s="1">
        <v>44824</v>
      </c>
    </row>
    <row r="6129" spans="1:8">
      <c r="A6129" t="s">
        <v>12219</v>
      </c>
      <c r="B6129" t="s">
        <v>12220</v>
      </c>
      <c r="C6129" t="s">
        <v>10</v>
      </c>
      <c r="D6129">
        <v>19</v>
      </c>
      <c r="E6129" t="s">
        <v>37</v>
      </c>
      <c r="F6129" t="s">
        <v>38</v>
      </c>
      <c r="G6129" t="s">
        <v>22</v>
      </c>
      <c r="H6129" s="1">
        <v>45139</v>
      </c>
    </row>
    <row r="6130" spans="1:8">
      <c r="A6130" t="s">
        <v>12221</v>
      </c>
      <c r="B6130" t="s">
        <v>12222</v>
      </c>
      <c r="C6130" t="s">
        <v>31</v>
      </c>
      <c r="D6130">
        <v>59</v>
      </c>
      <c r="E6130" t="s">
        <v>76</v>
      </c>
      <c r="F6130" t="s">
        <v>77</v>
      </c>
      <c r="G6130" t="s">
        <v>78</v>
      </c>
      <c r="H6130" s="1">
        <v>45024</v>
      </c>
    </row>
    <row r="6131" spans="1:8">
      <c r="A6131" t="s">
        <v>12223</v>
      </c>
      <c r="B6131" t="s">
        <v>12224</v>
      </c>
      <c r="C6131" t="s">
        <v>31</v>
      </c>
      <c r="D6131">
        <v>44</v>
      </c>
      <c r="E6131" t="s">
        <v>45</v>
      </c>
      <c r="F6131" t="s">
        <v>46</v>
      </c>
      <c r="G6131" t="s">
        <v>17</v>
      </c>
      <c r="H6131" s="1">
        <v>44730</v>
      </c>
    </row>
    <row r="6132" spans="1:8">
      <c r="A6132" t="s">
        <v>12225</v>
      </c>
      <c r="B6132" t="s">
        <v>12226</v>
      </c>
      <c r="C6132" t="s">
        <v>31</v>
      </c>
      <c r="D6132">
        <v>24</v>
      </c>
      <c r="E6132" t="s">
        <v>149</v>
      </c>
      <c r="F6132" t="s">
        <v>38</v>
      </c>
      <c r="G6132" t="s">
        <v>22</v>
      </c>
      <c r="H6132" s="1">
        <v>45543</v>
      </c>
    </row>
    <row r="6133" spans="1:8">
      <c r="A6133" t="s">
        <v>12227</v>
      </c>
      <c r="B6133" t="s">
        <v>12228</v>
      </c>
      <c r="C6133" t="s">
        <v>10</v>
      </c>
      <c r="D6133">
        <v>50</v>
      </c>
      <c r="E6133" t="s">
        <v>34</v>
      </c>
      <c r="F6133" t="s">
        <v>16</v>
      </c>
      <c r="G6133" t="s">
        <v>17</v>
      </c>
      <c r="H6133" s="1">
        <v>45312</v>
      </c>
    </row>
    <row r="6134" spans="1:8">
      <c r="A6134" t="s">
        <v>12229</v>
      </c>
      <c r="B6134" t="s">
        <v>12230</v>
      </c>
      <c r="C6134" t="s">
        <v>31</v>
      </c>
      <c r="D6134">
        <v>50</v>
      </c>
      <c r="E6134" t="s">
        <v>11</v>
      </c>
      <c r="F6134" t="s">
        <v>11</v>
      </c>
      <c r="G6134" t="s">
        <v>12</v>
      </c>
      <c r="H6134" s="1">
        <v>44851</v>
      </c>
    </row>
    <row r="6135" spans="1:8">
      <c r="A6135" t="s">
        <v>12231</v>
      </c>
      <c r="B6135" t="s">
        <v>12232</v>
      </c>
      <c r="C6135" t="s">
        <v>31</v>
      </c>
      <c r="D6135">
        <v>52</v>
      </c>
      <c r="E6135" t="s">
        <v>37</v>
      </c>
      <c r="F6135" t="s">
        <v>38</v>
      </c>
      <c r="G6135" t="s">
        <v>22</v>
      </c>
      <c r="H6135" s="1">
        <v>45418</v>
      </c>
    </row>
    <row r="6136" spans="1:8">
      <c r="A6136" t="s">
        <v>12233</v>
      </c>
      <c r="B6136" t="s">
        <v>12234</v>
      </c>
      <c r="C6136" t="s">
        <v>31</v>
      </c>
      <c r="D6136">
        <v>58</v>
      </c>
      <c r="E6136" t="s">
        <v>134</v>
      </c>
      <c r="F6136" t="s">
        <v>28</v>
      </c>
      <c r="G6136" t="s">
        <v>12</v>
      </c>
      <c r="H6136" s="1">
        <v>44992</v>
      </c>
    </row>
    <row r="6137" spans="1:8">
      <c r="A6137" t="s">
        <v>12235</v>
      </c>
      <c r="B6137" t="s">
        <v>12236</v>
      </c>
      <c r="C6137" t="s">
        <v>31</v>
      </c>
      <c r="D6137">
        <v>39</v>
      </c>
      <c r="E6137" t="s">
        <v>15</v>
      </c>
      <c r="F6137" t="s">
        <v>16</v>
      </c>
      <c r="G6137" t="s">
        <v>17</v>
      </c>
      <c r="H6137" s="1">
        <v>45563</v>
      </c>
    </row>
    <row r="6138" spans="1:8">
      <c r="A6138" t="s">
        <v>12237</v>
      </c>
      <c r="B6138" t="s">
        <v>12238</v>
      </c>
      <c r="C6138" t="s">
        <v>31</v>
      </c>
      <c r="D6138">
        <v>63</v>
      </c>
      <c r="E6138" t="s">
        <v>128</v>
      </c>
      <c r="F6138" t="s">
        <v>129</v>
      </c>
      <c r="G6138" t="s">
        <v>78</v>
      </c>
      <c r="H6138" s="1">
        <v>44680</v>
      </c>
    </row>
    <row r="6139" spans="1:8">
      <c r="A6139" t="s">
        <v>12239</v>
      </c>
      <c r="B6139" t="s">
        <v>12240</v>
      </c>
      <c r="C6139" t="s">
        <v>31</v>
      </c>
      <c r="D6139">
        <v>39</v>
      </c>
      <c r="E6139" t="s">
        <v>87</v>
      </c>
      <c r="F6139" t="s">
        <v>88</v>
      </c>
      <c r="G6139" t="s">
        <v>78</v>
      </c>
      <c r="H6139" s="1">
        <v>44911</v>
      </c>
    </row>
    <row r="6140" spans="1:8">
      <c r="A6140" t="s">
        <v>12241</v>
      </c>
      <c r="B6140" t="s">
        <v>12242</v>
      </c>
      <c r="C6140" t="s">
        <v>31</v>
      </c>
      <c r="D6140">
        <v>47</v>
      </c>
      <c r="E6140" t="s">
        <v>60</v>
      </c>
      <c r="F6140" t="s">
        <v>21</v>
      </c>
      <c r="G6140" t="s">
        <v>22</v>
      </c>
      <c r="H6140" s="1">
        <v>44788</v>
      </c>
    </row>
    <row r="6141" spans="1:8">
      <c r="A6141" t="s">
        <v>12243</v>
      </c>
      <c r="B6141" t="s">
        <v>12244</v>
      </c>
      <c r="C6141" t="s">
        <v>10</v>
      </c>
      <c r="D6141">
        <v>52</v>
      </c>
      <c r="E6141" t="s">
        <v>60</v>
      </c>
      <c r="F6141" t="s">
        <v>21</v>
      </c>
      <c r="G6141" t="s">
        <v>22</v>
      </c>
      <c r="H6141" s="1">
        <v>44926</v>
      </c>
    </row>
    <row r="6142" spans="1:8">
      <c r="A6142" t="s">
        <v>12245</v>
      </c>
      <c r="B6142" t="s">
        <v>12246</v>
      </c>
      <c r="C6142" t="s">
        <v>10</v>
      </c>
      <c r="D6142">
        <v>37</v>
      </c>
      <c r="E6142" t="s">
        <v>15</v>
      </c>
      <c r="F6142" t="s">
        <v>16</v>
      </c>
      <c r="G6142" t="s">
        <v>17</v>
      </c>
      <c r="H6142" s="1">
        <v>45765</v>
      </c>
    </row>
    <row r="6143" spans="1:8">
      <c r="A6143" t="s">
        <v>12247</v>
      </c>
      <c r="B6143" t="s">
        <v>12248</v>
      </c>
      <c r="C6143" t="s">
        <v>10</v>
      </c>
      <c r="D6143">
        <v>64</v>
      </c>
      <c r="E6143" t="s">
        <v>60</v>
      </c>
      <c r="F6143" t="s">
        <v>21</v>
      </c>
      <c r="G6143" t="s">
        <v>22</v>
      </c>
      <c r="H6143" s="1">
        <v>44749</v>
      </c>
    </row>
    <row r="6144" spans="1:8">
      <c r="A6144" t="s">
        <v>12249</v>
      </c>
      <c r="B6144" t="s">
        <v>12250</v>
      </c>
      <c r="C6144" t="s">
        <v>10</v>
      </c>
      <c r="D6144">
        <v>70</v>
      </c>
      <c r="E6144" t="s">
        <v>34</v>
      </c>
      <c r="F6144" t="s">
        <v>16</v>
      </c>
      <c r="G6144" t="s">
        <v>17</v>
      </c>
      <c r="H6144" s="1">
        <v>45653</v>
      </c>
    </row>
    <row r="6145" spans="1:8">
      <c r="A6145" t="s">
        <v>12251</v>
      </c>
      <c r="B6145" t="s">
        <v>12252</v>
      </c>
      <c r="C6145" t="s">
        <v>31</v>
      </c>
      <c r="D6145">
        <v>26</v>
      </c>
      <c r="E6145" t="s">
        <v>41</v>
      </c>
      <c r="F6145" t="s">
        <v>42</v>
      </c>
      <c r="G6145" t="s">
        <v>17</v>
      </c>
      <c r="H6145" s="1">
        <v>44949</v>
      </c>
    </row>
    <row r="6146" spans="1:8">
      <c r="A6146" t="s">
        <v>12253</v>
      </c>
      <c r="B6146" t="s">
        <v>12254</v>
      </c>
      <c r="C6146" t="s">
        <v>10</v>
      </c>
      <c r="D6146">
        <v>24</v>
      </c>
      <c r="E6146" t="s">
        <v>63</v>
      </c>
      <c r="F6146" t="s">
        <v>64</v>
      </c>
      <c r="G6146" t="s">
        <v>12</v>
      </c>
      <c r="H6146" s="1">
        <v>45200</v>
      </c>
    </row>
    <row r="6147" spans="1:8">
      <c r="A6147" t="s">
        <v>12255</v>
      </c>
      <c r="B6147" t="s">
        <v>12256</v>
      </c>
      <c r="C6147" t="s">
        <v>31</v>
      </c>
      <c r="D6147">
        <v>65</v>
      </c>
      <c r="E6147" t="s">
        <v>134</v>
      </c>
      <c r="F6147" t="s">
        <v>28</v>
      </c>
      <c r="G6147" t="s">
        <v>12</v>
      </c>
      <c r="H6147" s="1">
        <v>45738</v>
      </c>
    </row>
    <row r="6148" spans="1:8">
      <c r="A6148" t="s">
        <v>12257</v>
      </c>
      <c r="B6148" t="s">
        <v>12258</v>
      </c>
      <c r="C6148" t="s">
        <v>10</v>
      </c>
      <c r="D6148">
        <v>29</v>
      </c>
      <c r="E6148" t="s">
        <v>87</v>
      </c>
      <c r="F6148" t="s">
        <v>88</v>
      </c>
      <c r="G6148" t="s">
        <v>78</v>
      </c>
      <c r="H6148" s="1">
        <v>45765</v>
      </c>
    </row>
    <row r="6149" spans="1:8">
      <c r="A6149" t="s">
        <v>12259</v>
      </c>
      <c r="B6149" t="s">
        <v>12260</v>
      </c>
      <c r="C6149" t="s">
        <v>31</v>
      </c>
      <c r="D6149">
        <v>30</v>
      </c>
      <c r="E6149" t="s">
        <v>45</v>
      </c>
      <c r="F6149" t="s">
        <v>46</v>
      </c>
      <c r="G6149" t="s">
        <v>17</v>
      </c>
      <c r="H6149" s="1">
        <v>44878</v>
      </c>
    </row>
    <row r="6150" spans="1:8">
      <c r="A6150" t="s">
        <v>12261</v>
      </c>
      <c r="B6150" t="s">
        <v>12262</v>
      </c>
      <c r="C6150" t="s">
        <v>31</v>
      </c>
      <c r="D6150">
        <v>23</v>
      </c>
      <c r="E6150" t="s">
        <v>15</v>
      </c>
      <c r="F6150" t="s">
        <v>16</v>
      </c>
      <c r="G6150" t="s">
        <v>17</v>
      </c>
      <c r="H6150" s="1">
        <v>45167</v>
      </c>
    </row>
    <row r="6151" spans="1:8">
      <c r="A6151" t="s">
        <v>12263</v>
      </c>
      <c r="B6151" t="s">
        <v>12264</v>
      </c>
      <c r="C6151" t="s">
        <v>31</v>
      </c>
      <c r="D6151">
        <v>41</v>
      </c>
      <c r="E6151" t="s">
        <v>15</v>
      </c>
      <c r="F6151" t="s">
        <v>16</v>
      </c>
      <c r="G6151" t="s">
        <v>17</v>
      </c>
      <c r="H6151" s="1">
        <v>45242</v>
      </c>
    </row>
    <row r="6152" spans="1:8">
      <c r="A6152" t="s">
        <v>12265</v>
      </c>
      <c r="B6152" t="s">
        <v>12266</v>
      </c>
      <c r="C6152" t="s">
        <v>31</v>
      </c>
      <c r="D6152">
        <v>32</v>
      </c>
      <c r="E6152" t="s">
        <v>15</v>
      </c>
      <c r="F6152" t="s">
        <v>16</v>
      </c>
      <c r="G6152" t="s">
        <v>17</v>
      </c>
      <c r="H6152" s="1">
        <v>44690</v>
      </c>
    </row>
    <row r="6153" spans="1:8">
      <c r="A6153" t="s">
        <v>12267</v>
      </c>
      <c r="B6153" t="s">
        <v>12268</v>
      </c>
      <c r="C6153" t="s">
        <v>31</v>
      </c>
      <c r="D6153">
        <v>18</v>
      </c>
      <c r="E6153" t="s">
        <v>15</v>
      </c>
      <c r="F6153" t="s">
        <v>16</v>
      </c>
      <c r="G6153" t="s">
        <v>17</v>
      </c>
      <c r="H6153" s="1">
        <v>45191</v>
      </c>
    </row>
    <row r="6154" spans="1:8">
      <c r="A6154" t="s">
        <v>12269</v>
      </c>
      <c r="B6154" t="s">
        <v>12270</v>
      </c>
      <c r="C6154" t="s">
        <v>10</v>
      </c>
      <c r="D6154">
        <v>21</v>
      </c>
      <c r="E6154" t="s">
        <v>60</v>
      </c>
      <c r="F6154" t="s">
        <v>21</v>
      </c>
      <c r="G6154" t="s">
        <v>22</v>
      </c>
      <c r="H6154" s="1">
        <v>44742</v>
      </c>
    </row>
    <row r="6155" spans="1:8">
      <c r="A6155" t="s">
        <v>12271</v>
      </c>
      <c r="B6155" t="s">
        <v>12272</v>
      </c>
      <c r="C6155" t="s">
        <v>31</v>
      </c>
      <c r="D6155">
        <v>60</v>
      </c>
      <c r="E6155" t="s">
        <v>69</v>
      </c>
      <c r="F6155" t="s">
        <v>69</v>
      </c>
      <c r="G6155" t="s">
        <v>12</v>
      </c>
      <c r="H6155" s="1">
        <v>45300</v>
      </c>
    </row>
    <row r="6156" spans="1:8">
      <c r="A6156" t="s">
        <v>12273</v>
      </c>
      <c r="B6156" t="s">
        <v>12274</v>
      </c>
      <c r="C6156" t="s">
        <v>31</v>
      </c>
      <c r="D6156">
        <v>65</v>
      </c>
      <c r="E6156" t="s">
        <v>134</v>
      </c>
      <c r="F6156" t="s">
        <v>28</v>
      </c>
      <c r="G6156" t="s">
        <v>12</v>
      </c>
      <c r="H6156" s="1">
        <v>45497</v>
      </c>
    </row>
    <row r="6157" spans="1:8">
      <c r="A6157" t="s">
        <v>12275</v>
      </c>
      <c r="B6157" t="s">
        <v>12276</v>
      </c>
      <c r="C6157" t="s">
        <v>31</v>
      </c>
      <c r="D6157">
        <v>38</v>
      </c>
      <c r="E6157" t="s">
        <v>112</v>
      </c>
      <c r="F6157" t="s">
        <v>113</v>
      </c>
      <c r="G6157" t="s">
        <v>78</v>
      </c>
      <c r="H6157" s="1">
        <v>45048</v>
      </c>
    </row>
    <row r="6158" spans="1:8">
      <c r="A6158" t="s">
        <v>12277</v>
      </c>
      <c r="B6158" t="s">
        <v>12278</v>
      </c>
      <c r="C6158" t="s">
        <v>10</v>
      </c>
      <c r="D6158">
        <v>56</v>
      </c>
      <c r="E6158" t="s">
        <v>91</v>
      </c>
      <c r="F6158" t="s">
        <v>92</v>
      </c>
      <c r="G6158" t="s">
        <v>78</v>
      </c>
      <c r="H6158" s="1">
        <v>44807</v>
      </c>
    </row>
    <row r="6159" spans="1:8">
      <c r="A6159" t="s">
        <v>12279</v>
      </c>
      <c r="B6159" t="s">
        <v>12280</v>
      </c>
      <c r="C6159" t="s">
        <v>31</v>
      </c>
      <c r="D6159">
        <v>39</v>
      </c>
      <c r="E6159" t="s">
        <v>63</v>
      </c>
      <c r="F6159" t="s">
        <v>64</v>
      </c>
      <c r="G6159" t="s">
        <v>12</v>
      </c>
      <c r="H6159" s="1">
        <v>45394</v>
      </c>
    </row>
    <row r="6160" spans="1:8">
      <c r="A6160" t="s">
        <v>12281</v>
      </c>
      <c r="B6160" t="s">
        <v>12282</v>
      </c>
      <c r="C6160" t="s">
        <v>10</v>
      </c>
      <c r="D6160">
        <v>57</v>
      </c>
      <c r="E6160" t="s">
        <v>41</v>
      </c>
      <c r="F6160" t="s">
        <v>42</v>
      </c>
      <c r="G6160" t="s">
        <v>17</v>
      </c>
      <c r="H6160" s="1">
        <v>45190</v>
      </c>
    </row>
    <row r="6161" spans="1:8">
      <c r="A6161" t="s">
        <v>12283</v>
      </c>
      <c r="B6161" t="s">
        <v>12284</v>
      </c>
      <c r="C6161" t="s">
        <v>31</v>
      </c>
      <c r="D6161">
        <v>24</v>
      </c>
      <c r="E6161" t="s">
        <v>87</v>
      </c>
      <c r="F6161" t="s">
        <v>88</v>
      </c>
      <c r="G6161" t="s">
        <v>78</v>
      </c>
      <c r="H6161" s="1">
        <v>44608</v>
      </c>
    </row>
    <row r="6162" spans="1:8">
      <c r="A6162" t="s">
        <v>12285</v>
      </c>
      <c r="B6162" t="s">
        <v>12286</v>
      </c>
      <c r="C6162" t="s">
        <v>31</v>
      </c>
      <c r="D6162">
        <v>62</v>
      </c>
      <c r="E6162" t="s">
        <v>112</v>
      </c>
      <c r="F6162" t="s">
        <v>113</v>
      </c>
      <c r="G6162" t="s">
        <v>78</v>
      </c>
      <c r="H6162" s="1">
        <v>45874</v>
      </c>
    </row>
    <row r="6163" spans="1:8">
      <c r="A6163" t="s">
        <v>12287</v>
      </c>
      <c r="B6163" t="s">
        <v>12288</v>
      </c>
      <c r="C6163" t="s">
        <v>10</v>
      </c>
      <c r="D6163">
        <v>28</v>
      </c>
      <c r="E6163" t="s">
        <v>11</v>
      </c>
      <c r="F6163" t="s">
        <v>11</v>
      </c>
      <c r="G6163" t="s">
        <v>12</v>
      </c>
      <c r="H6163" s="1">
        <v>44682</v>
      </c>
    </row>
    <row r="6164" spans="1:8">
      <c r="A6164" t="s">
        <v>12289</v>
      </c>
      <c r="B6164" t="s">
        <v>12290</v>
      </c>
      <c r="C6164" t="s">
        <v>31</v>
      </c>
      <c r="D6164">
        <v>52</v>
      </c>
      <c r="E6164" t="s">
        <v>63</v>
      </c>
      <c r="F6164" t="s">
        <v>64</v>
      </c>
      <c r="G6164" t="s">
        <v>12</v>
      </c>
      <c r="H6164" s="1">
        <v>44814</v>
      </c>
    </row>
    <row r="6165" spans="1:8">
      <c r="A6165" t="s">
        <v>12291</v>
      </c>
      <c r="B6165" t="s">
        <v>12292</v>
      </c>
      <c r="C6165" t="s">
        <v>10</v>
      </c>
      <c r="D6165">
        <v>61</v>
      </c>
      <c r="E6165" t="s">
        <v>218</v>
      </c>
      <c r="F6165" t="s">
        <v>219</v>
      </c>
      <c r="G6165" t="s">
        <v>17</v>
      </c>
      <c r="H6165" s="1">
        <v>44819</v>
      </c>
    </row>
    <row r="6166" spans="1:8">
      <c r="A6166" t="s">
        <v>12293</v>
      </c>
      <c r="B6166" t="s">
        <v>12294</v>
      </c>
      <c r="C6166" t="s">
        <v>31</v>
      </c>
      <c r="D6166">
        <v>28</v>
      </c>
      <c r="E6166" t="s">
        <v>41</v>
      </c>
      <c r="F6166" t="s">
        <v>42</v>
      </c>
      <c r="G6166" t="s">
        <v>17</v>
      </c>
      <c r="H6166" s="1">
        <v>45290</v>
      </c>
    </row>
    <row r="6167" spans="1:8">
      <c r="A6167" t="s">
        <v>12295</v>
      </c>
      <c r="B6167" t="s">
        <v>12296</v>
      </c>
      <c r="C6167" t="s">
        <v>31</v>
      </c>
      <c r="D6167">
        <v>27</v>
      </c>
      <c r="E6167" t="s">
        <v>69</v>
      </c>
      <c r="F6167" t="s">
        <v>69</v>
      </c>
      <c r="G6167" t="s">
        <v>12</v>
      </c>
      <c r="H6167" s="1">
        <v>45828</v>
      </c>
    </row>
    <row r="6168" spans="1:8">
      <c r="A6168" t="s">
        <v>12297</v>
      </c>
      <c r="B6168" t="s">
        <v>12298</v>
      </c>
      <c r="C6168" t="s">
        <v>31</v>
      </c>
      <c r="D6168">
        <v>49</v>
      </c>
      <c r="E6168" t="s">
        <v>34</v>
      </c>
      <c r="F6168" t="s">
        <v>16</v>
      </c>
      <c r="G6168" t="s">
        <v>17</v>
      </c>
      <c r="H6168" s="1">
        <v>45855</v>
      </c>
    </row>
    <row r="6169" spans="1:8">
      <c r="A6169" t="s">
        <v>12299</v>
      </c>
      <c r="B6169" t="s">
        <v>12300</v>
      </c>
      <c r="C6169" t="s">
        <v>10</v>
      </c>
      <c r="D6169">
        <v>40</v>
      </c>
      <c r="E6169" t="s">
        <v>20</v>
      </c>
      <c r="F6169" t="s">
        <v>21</v>
      </c>
      <c r="G6169" t="s">
        <v>22</v>
      </c>
      <c r="H6169" s="1">
        <v>44569</v>
      </c>
    </row>
    <row r="6170" spans="1:8">
      <c r="A6170" t="s">
        <v>12301</v>
      </c>
      <c r="B6170" t="s">
        <v>12302</v>
      </c>
      <c r="C6170" t="s">
        <v>31</v>
      </c>
      <c r="D6170">
        <v>49</v>
      </c>
      <c r="E6170" t="s">
        <v>101</v>
      </c>
      <c r="F6170" t="s">
        <v>21</v>
      </c>
      <c r="G6170" t="s">
        <v>22</v>
      </c>
      <c r="H6170" s="1">
        <v>45917</v>
      </c>
    </row>
    <row r="6171" spans="1:8">
      <c r="A6171" t="s">
        <v>12303</v>
      </c>
      <c r="B6171" t="s">
        <v>12304</v>
      </c>
      <c r="C6171" t="s">
        <v>31</v>
      </c>
      <c r="D6171">
        <v>21</v>
      </c>
      <c r="E6171" t="s">
        <v>34</v>
      </c>
      <c r="F6171" t="s">
        <v>16</v>
      </c>
      <c r="G6171" t="s">
        <v>17</v>
      </c>
      <c r="H6171" s="1">
        <v>45690</v>
      </c>
    </row>
    <row r="6172" spans="1:8">
      <c r="A6172" t="s">
        <v>12305</v>
      </c>
      <c r="B6172" t="s">
        <v>12306</v>
      </c>
      <c r="C6172" t="s">
        <v>10</v>
      </c>
      <c r="D6172">
        <v>20</v>
      </c>
      <c r="E6172" t="s">
        <v>63</v>
      </c>
      <c r="F6172" t="s">
        <v>64</v>
      </c>
      <c r="G6172" t="s">
        <v>12</v>
      </c>
      <c r="H6172" s="1">
        <v>44860</v>
      </c>
    </row>
    <row r="6173" spans="1:8">
      <c r="A6173" t="s">
        <v>12307</v>
      </c>
      <c r="B6173" t="s">
        <v>12308</v>
      </c>
      <c r="C6173" t="s">
        <v>31</v>
      </c>
      <c r="D6173">
        <v>57</v>
      </c>
      <c r="E6173" t="s">
        <v>112</v>
      </c>
      <c r="F6173" t="s">
        <v>113</v>
      </c>
      <c r="G6173" t="s">
        <v>78</v>
      </c>
      <c r="H6173" s="1">
        <v>45109</v>
      </c>
    </row>
    <row r="6174" spans="1:8">
      <c r="A6174" t="s">
        <v>12309</v>
      </c>
      <c r="B6174" t="s">
        <v>12310</v>
      </c>
      <c r="C6174" t="s">
        <v>10</v>
      </c>
      <c r="D6174">
        <v>53</v>
      </c>
      <c r="E6174" t="s">
        <v>101</v>
      </c>
      <c r="F6174" t="s">
        <v>21</v>
      </c>
      <c r="G6174" t="s">
        <v>22</v>
      </c>
      <c r="H6174" s="1">
        <v>45082</v>
      </c>
    </row>
    <row r="6175" spans="1:8">
      <c r="A6175" t="s">
        <v>12311</v>
      </c>
      <c r="B6175" t="s">
        <v>12312</v>
      </c>
      <c r="C6175" t="s">
        <v>31</v>
      </c>
      <c r="D6175">
        <v>23</v>
      </c>
      <c r="E6175" t="s">
        <v>20</v>
      </c>
      <c r="F6175" t="s">
        <v>21</v>
      </c>
      <c r="G6175" t="s">
        <v>22</v>
      </c>
      <c r="H6175" s="1">
        <v>44858</v>
      </c>
    </row>
    <row r="6176" spans="1:8">
      <c r="A6176" t="s">
        <v>12313</v>
      </c>
      <c r="B6176" t="s">
        <v>12314</v>
      </c>
      <c r="C6176" t="s">
        <v>31</v>
      </c>
      <c r="D6176">
        <v>61</v>
      </c>
      <c r="E6176" t="s">
        <v>34</v>
      </c>
      <c r="F6176" t="s">
        <v>16</v>
      </c>
      <c r="G6176" t="s">
        <v>17</v>
      </c>
      <c r="H6176" s="1">
        <v>44653</v>
      </c>
    </row>
    <row r="6177" spans="1:8">
      <c r="A6177" t="s">
        <v>12315</v>
      </c>
      <c r="B6177" t="s">
        <v>12316</v>
      </c>
      <c r="C6177" t="s">
        <v>10</v>
      </c>
      <c r="D6177">
        <v>58</v>
      </c>
      <c r="E6177" t="s">
        <v>87</v>
      </c>
      <c r="F6177" t="s">
        <v>88</v>
      </c>
      <c r="G6177" t="s">
        <v>78</v>
      </c>
      <c r="H6177" s="1">
        <v>46008</v>
      </c>
    </row>
    <row r="6178" spans="1:8">
      <c r="A6178" t="s">
        <v>12317</v>
      </c>
      <c r="B6178" t="s">
        <v>573</v>
      </c>
      <c r="C6178" t="s">
        <v>31</v>
      </c>
      <c r="D6178">
        <v>20</v>
      </c>
      <c r="E6178" t="s">
        <v>112</v>
      </c>
      <c r="F6178" t="s">
        <v>113</v>
      </c>
      <c r="G6178" t="s">
        <v>78</v>
      </c>
      <c r="H6178" s="1">
        <v>44594</v>
      </c>
    </row>
    <row r="6179" spans="1:8">
      <c r="A6179" t="s">
        <v>12318</v>
      </c>
      <c r="B6179" t="s">
        <v>12319</v>
      </c>
      <c r="C6179" t="s">
        <v>10</v>
      </c>
      <c r="D6179">
        <v>34</v>
      </c>
      <c r="E6179" t="s">
        <v>15</v>
      </c>
      <c r="F6179" t="s">
        <v>16</v>
      </c>
      <c r="G6179" t="s">
        <v>17</v>
      </c>
      <c r="H6179" s="1">
        <v>44917</v>
      </c>
    </row>
    <row r="6180" spans="1:8">
      <c r="A6180" t="s">
        <v>12320</v>
      </c>
      <c r="B6180" t="s">
        <v>12321</v>
      </c>
      <c r="C6180" t="s">
        <v>31</v>
      </c>
      <c r="D6180">
        <v>34</v>
      </c>
      <c r="E6180" t="s">
        <v>45</v>
      </c>
      <c r="F6180" t="s">
        <v>46</v>
      </c>
      <c r="G6180" t="s">
        <v>17</v>
      </c>
      <c r="H6180" s="1">
        <v>45177</v>
      </c>
    </row>
    <row r="6181" spans="1:8">
      <c r="A6181" t="s">
        <v>12322</v>
      </c>
      <c r="B6181" t="s">
        <v>12323</v>
      </c>
      <c r="C6181" t="s">
        <v>31</v>
      </c>
      <c r="D6181">
        <v>20</v>
      </c>
      <c r="E6181" t="s">
        <v>149</v>
      </c>
      <c r="F6181" t="s">
        <v>38</v>
      </c>
      <c r="G6181" t="s">
        <v>22</v>
      </c>
      <c r="H6181" s="1">
        <v>45980</v>
      </c>
    </row>
    <row r="6182" spans="1:8">
      <c r="A6182" t="s">
        <v>12324</v>
      </c>
      <c r="B6182" t="s">
        <v>12325</v>
      </c>
      <c r="C6182" t="s">
        <v>10</v>
      </c>
      <c r="D6182">
        <v>58</v>
      </c>
      <c r="E6182" t="s">
        <v>11</v>
      </c>
      <c r="F6182" t="s">
        <v>11</v>
      </c>
      <c r="G6182" t="s">
        <v>12</v>
      </c>
      <c r="H6182" s="1">
        <v>45088</v>
      </c>
    </row>
    <row r="6183" spans="1:8">
      <c r="A6183" t="s">
        <v>12326</v>
      </c>
      <c r="B6183" t="s">
        <v>12327</v>
      </c>
      <c r="C6183" t="s">
        <v>31</v>
      </c>
      <c r="D6183">
        <v>45</v>
      </c>
      <c r="E6183" t="s">
        <v>60</v>
      </c>
      <c r="F6183" t="s">
        <v>21</v>
      </c>
      <c r="G6183" t="s">
        <v>22</v>
      </c>
      <c r="H6183" s="1">
        <v>45596</v>
      </c>
    </row>
    <row r="6184" spans="1:8">
      <c r="A6184" t="s">
        <v>12328</v>
      </c>
      <c r="B6184" t="s">
        <v>12329</v>
      </c>
      <c r="C6184" t="s">
        <v>10</v>
      </c>
      <c r="D6184">
        <v>24</v>
      </c>
      <c r="E6184" t="s">
        <v>37</v>
      </c>
      <c r="F6184" t="s">
        <v>38</v>
      </c>
      <c r="G6184" t="s">
        <v>22</v>
      </c>
      <c r="H6184" s="1">
        <v>44980</v>
      </c>
    </row>
    <row r="6185" spans="1:8">
      <c r="A6185" t="s">
        <v>12330</v>
      </c>
      <c r="B6185" t="s">
        <v>12331</v>
      </c>
      <c r="C6185" t="s">
        <v>31</v>
      </c>
      <c r="D6185">
        <v>45</v>
      </c>
      <c r="E6185" t="s">
        <v>91</v>
      </c>
      <c r="F6185" t="s">
        <v>92</v>
      </c>
      <c r="G6185" t="s">
        <v>78</v>
      </c>
      <c r="H6185" s="1">
        <v>45846</v>
      </c>
    </row>
    <row r="6186" spans="1:8">
      <c r="A6186" t="s">
        <v>12332</v>
      </c>
      <c r="B6186" t="s">
        <v>12333</v>
      </c>
      <c r="C6186" t="s">
        <v>31</v>
      </c>
      <c r="D6186">
        <v>51</v>
      </c>
      <c r="E6186" t="s">
        <v>63</v>
      </c>
      <c r="F6186" t="s">
        <v>64</v>
      </c>
      <c r="G6186" t="s">
        <v>12</v>
      </c>
      <c r="H6186" s="1">
        <v>45616</v>
      </c>
    </row>
    <row r="6187" spans="1:8">
      <c r="A6187" t="s">
        <v>12334</v>
      </c>
      <c r="B6187" t="s">
        <v>12335</v>
      </c>
      <c r="C6187" t="s">
        <v>31</v>
      </c>
      <c r="D6187">
        <v>40</v>
      </c>
      <c r="E6187" t="s">
        <v>60</v>
      </c>
      <c r="F6187" t="s">
        <v>21</v>
      </c>
      <c r="G6187" t="s">
        <v>22</v>
      </c>
      <c r="H6187" s="1">
        <v>45468</v>
      </c>
    </row>
    <row r="6188" spans="1:8">
      <c r="A6188" t="s">
        <v>12336</v>
      </c>
      <c r="B6188" t="s">
        <v>12337</v>
      </c>
      <c r="C6188" t="s">
        <v>10</v>
      </c>
      <c r="D6188">
        <v>22</v>
      </c>
      <c r="E6188" t="s">
        <v>60</v>
      </c>
      <c r="F6188" t="s">
        <v>21</v>
      </c>
      <c r="G6188" t="s">
        <v>22</v>
      </c>
      <c r="H6188" s="1">
        <v>45838</v>
      </c>
    </row>
    <row r="6189" spans="1:8">
      <c r="A6189" t="s">
        <v>12338</v>
      </c>
      <c r="B6189" t="s">
        <v>12339</v>
      </c>
      <c r="C6189" t="s">
        <v>10</v>
      </c>
      <c r="D6189">
        <v>26</v>
      </c>
      <c r="E6189" t="s">
        <v>15</v>
      </c>
      <c r="F6189" t="s">
        <v>16</v>
      </c>
      <c r="G6189" t="s">
        <v>17</v>
      </c>
      <c r="H6189" s="1">
        <v>45415</v>
      </c>
    </row>
    <row r="6190" spans="1:8">
      <c r="A6190" t="s">
        <v>12340</v>
      </c>
      <c r="B6190" t="s">
        <v>12341</v>
      </c>
      <c r="C6190" t="s">
        <v>10</v>
      </c>
      <c r="D6190">
        <v>69</v>
      </c>
      <c r="E6190" t="s">
        <v>87</v>
      </c>
      <c r="F6190" t="s">
        <v>88</v>
      </c>
      <c r="G6190" t="s">
        <v>78</v>
      </c>
      <c r="H6190" s="1">
        <v>44742</v>
      </c>
    </row>
    <row r="6191" spans="1:8">
      <c r="A6191" t="s">
        <v>12342</v>
      </c>
      <c r="B6191" t="s">
        <v>12343</v>
      </c>
      <c r="C6191" t="s">
        <v>31</v>
      </c>
      <c r="D6191">
        <v>18</v>
      </c>
      <c r="E6191" t="s">
        <v>63</v>
      </c>
      <c r="F6191" t="s">
        <v>64</v>
      </c>
      <c r="G6191" t="s">
        <v>12</v>
      </c>
      <c r="H6191" s="1">
        <v>45700</v>
      </c>
    </row>
    <row r="6192" spans="1:8">
      <c r="A6192" t="s">
        <v>12344</v>
      </c>
      <c r="B6192" t="s">
        <v>12345</v>
      </c>
      <c r="C6192" t="s">
        <v>31</v>
      </c>
      <c r="D6192">
        <v>60</v>
      </c>
      <c r="E6192" t="s">
        <v>112</v>
      </c>
      <c r="F6192" t="s">
        <v>113</v>
      </c>
      <c r="G6192" t="s">
        <v>78</v>
      </c>
      <c r="H6192" s="1">
        <v>45768</v>
      </c>
    </row>
    <row r="6193" spans="1:8">
      <c r="A6193" t="s">
        <v>12346</v>
      </c>
      <c r="B6193" t="s">
        <v>12347</v>
      </c>
      <c r="C6193" t="s">
        <v>10</v>
      </c>
      <c r="D6193">
        <v>31</v>
      </c>
      <c r="E6193" t="s">
        <v>11</v>
      </c>
      <c r="F6193" t="s">
        <v>11</v>
      </c>
      <c r="G6193" t="s">
        <v>12</v>
      </c>
      <c r="H6193" s="1">
        <v>45744</v>
      </c>
    </row>
    <row r="6194" spans="1:8">
      <c r="A6194" t="s">
        <v>12348</v>
      </c>
      <c r="B6194" t="s">
        <v>12349</v>
      </c>
      <c r="C6194" t="s">
        <v>10</v>
      </c>
      <c r="D6194">
        <v>66</v>
      </c>
      <c r="E6194" t="s">
        <v>101</v>
      </c>
      <c r="F6194" t="s">
        <v>21</v>
      </c>
      <c r="G6194" t="s">
        <v>22</v>
      </c>
      <c r="H6194" s="1">
        <v>45236</v>
      </c>
    </row>
    <row r="6195" spans="1:8">
      <c r="A6195" t="s">
        <v>12350</v>
      </c>
      <c r="B6195" t="s">
        <v>12351</v>
      </c>
      <c r="C6195" t="s">
        <v>31</v>
      </c>
      <c r="D6195">
        <v>64</v>
      </c>
      <c r="E6195" t="s">
        <v>134</v>
      </c>
      <c r="F6195" t="s">
        <v>28</v>
      </c>
      <c r="G6195" t="s">
        <v>12</v>
      </c>
      <c r="H6195" s="1">
        <v>45629</v>
      </c>
    </row>
    <row r="6196" spans="1:8">
      <c r="A6196" t="s">
        <v>12352</v>
      </c>
      <c r="B6196" t="s">
        <v>12353</v>
      </c>
      <c r="C6196" t="s">
        <v>31</v>
      </c>
      <c r="D6196">
        <v>37</v>
      </c>
      <c r="E6196" t="s">
        <v>34</v>
      </c>
      <c r="F6196" t="s">
        <v>16</v>
      </c>
      <c r="G6196" t="s">
        <v>17</v>
      </c>
      <c r="H6196" s="1">
        <v>45728</v>
      </c>
    </row>
    <row r="6197" spans="1:8">
      <c r="A6197" t="s">
        <v>12354</v>
      </c>
      <c r="B6197" t="s">
        <v>12355</v>
      </c>
      <c r="C6197" t="s">
        <v>31</v>
      </c>
      <c r="D6197">
        <v>69</v>
      </c>
      <c r="E6197" t="s">
        <v>15</v>
      </c>
      <c r="F6197" t="s">
        <v>16</v>
      </c>
      <c r="G6197" t="s">
        <v>17</v>
      </c>
      <c r="H6197" s="1">
        <v>45093</v>
      </c>
    </row>
    <row r="6198" spans="1:8">
      <c r="A6198" t="s">
        <v>12356</v>
      </c>
      <c r="B6198" t="s">
        <v>12357</v>
      </c>
      <c r="C6198" t="s">
        <v>10</v>
      </c>
      <c r="D6198">
        <v>37</v>
      </c>
      <c r="E6198" t="s">
        <v>20</v>
      </c>
      <c r="F6198" t="s">
        <v>21</v>
      </c>
      <c r="G6198" t="s">
        <v>22</v>
      </c>
      <c r="H6198" s="1">
        <v>45302</v>
      </c>
    </row>
    <row r="6199" spans="1:8">
      <c r="A6199" t="s">
        <v>12358</v>
      </c>
      <c r="B6199" t="s">
        <v>12359</v>
      </c>
      <c r="C6199" t="s">
        <v>31</v>
      </c>
      <c r="D6199">
        <v>23</v>
      </c>
      <c r="E6199" t="s">
        <v>60</v>
      </c>
      <c r="F6199" t="s">
        <v>21</v>
      </c>
      <c r="G6199" t="s">
        <v>22</v>
      </c>
      <c r="H6199" s="1">
        <v>45052</v>
      </c>
    </row>
    <row r="6200" spans="1:8">
      <c r="A6200" t="s">
        <v>12360</v>
      </c>
      <c r="B6200" t="s">
        <v>12361</v>
      </c>
      <c r="C6200" t="s">
        <v>10</v>
      </c>
      <c r="D6200">
        <v>58</v>
      </c>
      <c r="E6200" t="s">
        <v>112</v>
      </c>
      <c r="F6200" t="s">
        <v>113</v>
      </c>
      <c r="G6200" t="s">
        <v>78</v>
      </c>
      <c r="H6200" s="1">
        <v>45533</v>
      </c>
    </row>
    <row r="6201" spans="1:8">
      <c r="A6201" t="s">
        <v>12362</v>
      </c>
      <c r="B6201" t="s">
        <v>12363</v>
      </c>
      <c r="C6201" t="s">
        <v>10</v>
      </c>
      <c r="D6201">
        <v>26</v>
      </c>
      <c r="E6201" t="s">
        <v>218</v>
      </c>
      <c r="F6201" t="s">
        <v>219</v>
      </c>
      <c r="G6201" t="s">
        <v>17</v>
      </c>
      <c r="H6201" s="1">
        <v>45240</v>
      </c>
    </row>
    <row r="6202" spans="1:8">
      <c r="A6202" t="s">
        <v>12364</v>
      </c>
      <c r="B6202" t="s">
        <v>12365</v>
      </c>
      <c r="C6202" t="s">
        <v>10</v>
      </c>
      <c r="D6202">
        <v>69</v>
      </c>
      <c r="E6202" t="s">
        <v>69</v>
      </c>
      <c r="F6202" t="s">
        <v>69</v>
      </c>
      <c r="G6202" t="s">
        <v>12</v>
      </c>
      <c r="H6202" s="1">
        <v>45572</v>
      </c>
    </row>
    <row r="6203" spans="1:8">
      <c r="A6203" t="s">
        <v>12366</v>
      </c>
      <c r="B6203" t="s">
        <v>12367</v>
      </c>
      <c r="C6203" t="s">
        <v>31</v>
      </c>
      <c r="D6203">
        <v>70</v>
      </c>
      <c r="E6203" t="s">
        <v>60</v>
      </c>
      <c r="F6203" t="s">
        <v>21</v>
      </c>
      <c r="G6203" t="s">
        <v>22</v>
      </c>
      <c r="H6203" s="1">
        <v>45620</v>
      </c>
    </row>
    <row r="6204" spans="1:8">
      <c r="A6204" t="s">
        <v>12368</v>
      </c>
      <c r="B6204" t="s">
        <v>12369</v>
      </c>
      <c r="C6204" t="s">
        <v>31</v>
      </c>
      <c r="D6204">
        <v>62</v>
      </c>
      <c r="E6204" t="s">
        <v>69</v>
      </c>
      <c r="F6204" t="s">
        <v>69</v>
      </c>
      <c r="G6204" t="s">
        <v>12</v>
      </c>
      <c r="H6204" s="1">
        <v>45241</v>
      </c>
    </row>
    <row r="6205" spans="1:8">
      <c r="A6205" t="s">
        <v>12370</v>
      </c>
      <c r="B6205" t="s">
        <v>12371</v>
      </c>
      <c r="C6205" t="s">
        <v>31</v>
      </c>
      <c r="D6205">
        <v>67</v>
      </c>
      <c r="E6205" t="s">
        <v>27</v>
      </c>
      <c r="F6205" t="s">
        <v>28</v>
      </c>
      <c r="G6205" t="s">
        <v>12</v>
      </c>
      <c r="H6205" s="1">
        <v>44903</v>
      </c>
    </row>
    <row r="6206" spans="1:8">
      <c r="A6206" t="s">
        <v>12372</v>
      </c>
      <c r="B6206" t="s">
        <v>12373</v>
      </c>
      <c r="C6206" t="s">
        <v>10</v>
      </c>
      <c r="D6206">
        <v>28</v>
      </c>
      <c r="E6206" t="s">
        <v>27</v>
      </c>
      <c r="F6206" t="s">
        <v>28</v>
      </c>
      <c r="G6206" t="s">
        <v>12</v>
      </c>
      <c r="H6206" s="1">
        <v>45920</v>
      </c>
    </row>
    <row r="6207" spans="1:8">
      <c r="A6207" t="s">
        <v>12374</v>
      </c>
      <c r="B6207" t="s">
        <v>12375</v>
      </c>
      <c r="C6207" t="s">
        <v>10</v>
      </c>
      <c r="D6207">
        <v>66</v>
      </c>
      <c r="E6207" t="s">
        <v>101</v>
      </c>
      <c r="F6207" t="s">
        <v>21</v>
      </c>
      <c r="G6207" t="s">
        <v>22</v>
      </c>
      <c r="H6207" s="1">
        <v>45660</v>
      </c>
    </row>
    <row r="6208" spans="1:8">
      <c r="A6208" t="s">
        <v>12376</v>
      </c>
      <c r="B6208" t="s">
        <v>12377</v>
      </c>
      <c r="C6208" t="s">
        <v>10</v>
      </c>
      <c r="D6208">
        <v>33</v>
      </c>
      <c r="E6208" t="s">
        <v>27</v>
      </c>
      <c r="F6208" t="s">
        <v>28</v>
      </c>
      <c r="G6208" t="s">
        <v>12</v>
      </c>
      <c r="H6208" s="1">
        <v>45009</v>
      </c>
    </row>
    <row r="6209" spans="1:8">
      <c r="A6209" t="s">
        <v>12378</v>
      </c>
      <c r="B6209" t="s">
        <v>12379</v>
      </c>
      <c r="C6209" t="s">
        <v>31</v>
      </c>
      <c r="D6209">
        <v>45</v>
      </c>
      <c r="E6209" t="s">
        <v>20</v>
      </c>
      <c r="F6209" t="s">
        <v>21</v>
      </c>
      <c r="G6209" t="s">
        <v>22</v>
      </c>
      <c r="H6209" s="1">
        <v>45456</v>
      </c>
    </row>
    <row r="6210" spans="1:8">
      <c r="A6210" t="s">
        <v>12380</v>
      </c>
      <c r="B6210" t="s">
        <v>12381</v>
      </c>
      <c r="C6210" t="s">
        <v>31</v>
      </c>
      <c r="D6210">
        <v>49</v>
      </c>
      <c r="E6210" t="s">
        <v>37</v>
      </c>
      <c r="F6210" t="s">
        <v>38</v>
      </c>
      <c r="G6210" t="s">
        <v>22</v>
      </c>
      <c r="H6210" s="1">
        <v>45957</v>
      </c>
    </row>
    <row r="6211" spans="1:8">
      <c r="A6211" t="s">
        <v>12382</v>
      </c>
      <c r="B6211" t="s">
        <v>12383</v>
      </c>
      <c r="C6211" t="s">
        <v>10</v>
      </c>
      <c r="D6211">
        <v>57</v>
      </c>
      <c r="E6211" t="s">
        <v>112</v>
      </c>
      <c r="F6211" t="s">
        <v>113</v>
      </c>
      <c r="G6211" t="s">
        <v>78</v>
      </c>
      <c r="H6211" s="1">
        <v>45590</v>
      </c>
    </row>
    <row r="6212" spans="1:8">
      <c r="A6212" t="s">
        <v>12384</v>
      </c>
      <c r="B6212" t="s">
        <v>12385</v>
      </c>
      <c r="C6212" t="s">
        <v>10</v>
      </c>
      <c r="D6212">
        <v>48</v>
      </c>
      <c r="E6212" t="s">
        <v>91</v>
      </c>
      <c r="F6212" t="s">
        <v>92</v>
      </c>
      <c r="G6212" t="s">
        <v>78</v>
      </c>
      <c r="H6212" s="1">
        <v>45225</v>
      </c>
    </row>
    <row r="6213" spans="1:8">
      <c r="A6213" t="s">
        <v>12386</v>
      </c>
      <c r="B6213" t="s">
        <v>12387</v>
      </c>
      <c r="C6213" t="s">
        <v>31</v>
      </c>
      <c r="D6213">
        <v>54</v>
      </c>
      <c r="E6213" t="s">
        <v>91</v>
      </c>
      <c r="F6213" t="s">
        <v>92</v>
      </c>
      <c r="G6213" t="s">
        <v>78</v>
      </c>
      <c r="H6213" s="1">
        <v>45738</v>
      </c>
    </row>
    <row r="6214" spans="1:8">
      <c r="A6214" t="s">
        <v>12388</v>
      </c>
      <c r="B6214" t="s">
        <v>12389</v>
      </c>
      <c r="C6214" t="s">
        <v>10</v>
      </c>
      <c r="D6214">
        <v>40</v>
      </c>
      <c r="E6214" t="s">
        <v>101</v>
      </c>
      <c r="F6214" t="s">
        <v>21</v>
      </c>
      <c r="G6214" t="s">
        <v>22</v>
      </c>
      <c r="H6214" s="1">
        <v>44724</v>
      </c>
    </row>
    <row r="6215" spans="1:8">
      <c r="A6215" t="s">
        <v>12390</v>
      </c>
      <c r="B6215" t="s">
        <v>12391</v>
      </c>
      <c r="C6215" t="s">
        <v>31</v>
      </c>
      <c r="D6215">
        <v>40</v>
      </c>
      <c r="E6215" t="s">
        <v>11</v>
      </c>
      <c r="F6215" t="s">
        <v>11</v>
      </c>
      <c r="G6215" t="s">
        <v>12</v>
      </c>
      <c r="H6215" s="1">
        <v>45540</v>
      </c>
    </row>
    <row r="6216" spans="1:8">
      <c r="A6216" t="s">
        <v>12392</v>
      </c>
      <c r="B6216" t="s">
        <v>12393</v>
      </c>
      <c r="C6216" t="s">
        <v>10</v>
      </c>
      <c r="D6216">
        <v>50</v>
      </c>
      <c r="E6216" t="s">
        <v>134</v>
      </c>
      <c r="F6216" t="s">
        <v>28</v>
      </c>
      <c r="G6216" t="s">
        <v>12</v>
      </c>
      <c r="H6216" s="1">
        <v>45790</v>
      </c>
    </row>
    <row r="6217" spans="1:8">
      <c r="A6217" t="s">
        <v>12394</v>
      </c>
      <c r="B6217" t="s">
        <v>12395</v>
      </c>
      <c r="C6217" t="s">
        <v>31</v>
      </c>
      <c r="D6217">
        <v>35</v>
      </c>
      <c r="E6217" t="s">
        <v>69</v>
      </c>
      <c r="F6217" t="s">
        <v>69</v>
      </c>
      <c r="G6217" t="s">
        <v>12</v>
      </c>
      <c r="H6217" s="1">
        <v>45124</v>
      </c>
    </row>
    <row r="6218" spans="1:8">
      <c r="A6218" t="s">
        <v>12396</v>
      </c>
      <c r="B6218" t="s">
        <v>12397</v>
      </c>
      <c r="C6218" t="s">
        <v>31</v>
      </c>
      <c r="D6218">
        <v>51</v>
      </c>
      <c r="E6218" t="s">
        <v>15</v>
      </c>
      <c r="F6218" t="s">
        <v>16</v>
      </c>
      <c r="G6218" t="s">
        <v>17</v>
      </c>
      <c r="H6218" s="1">
        <v>46007</v>
      </c>
    </row>
    <row r="6219" spans="1:8">
      <c r="A6219" t="s">
        <v>12398</v>
      </c>
      <c r="B6219" t="s">
        <v>12399</v>
      </c>
      <c r="C6219" t="s">
        <v>31</v>
      </c>
      <c r="D6219">
        <v>38</v>
      </c>
      <c r="E6219" t="s">
        <v>101</v>
      </c>
      <c r="F6219" t="s">
        <v>21</v>
      </c>
      <c r="G6219" t="s">
        <v>22</v>
      </c>
      <c r="H6219" s="1">
        <v>45439</v>
      </c>
    </row>
    <row r="6220" spans="1:8">
      <c r="A6220" t="s">
        <v>12400</v>
      </c>
      <c r="B6220" t="s">
        <v>12401</v>
      </c>
      <c r="C6220" t="s">
        <v>31</v>
      </c>
      <c r="D6220">
        <v>45</v>
      </c>
      <c r="E6220" t="s">
        <v>11</v>
      </c>
      <c r="F6220" t="s">
        <v>11</v>
      </c>
      <c r="G6220" t="s">
        <v>12</v>
      </c>
      <c r="H6220" s="1">
        <v>45825</v>
      </c>
    </row>
    <row r="6221" spans="1:8">
      <c r="A6221" t="s">
        <v>12402</v>
      </c>
      <c r="B6221" t="s">
        <v>12403</v>
      </c>
      <c r="C6221" t="s">
        <v>31</v>
      </c>
      <c r="D6221">
        <v>40</v>
      </c>
      <c r="E6221" t="s">
        <v>34</v>
      </c>
      <c r="F6221" t="s">
        <v>16</v>
      </c>
      <c r="G6221" t="s">
        <v>17</v>
      </c>
      <c r="H6221" s="1">
        <v>45111</v>
      </c>
    </row>
    <row r="6222" spans="1:8">
      <c r="A6222" t="s">
        <v>12404</v>
      </c>
      <c r="B6222" t="s">
        <v>12405</v>
      </c>
      <c r="C6222" t="s">
        <v>31</v>
      </c>
      <c r="D6222">
        <v>37</v>
      </c>
      <c r="E6222" t="s">
        <v>11</v>
      </c>
      <c r="F6222" t="s">
        <v>11</v>
      </c>
      <c r="G6222" t="s">
        <v>12</v>
      </c>
      <c r="H6222" s="1">
        <v>45295</v>
      </c>
    </row>
    <row r="6223" spans="1:8">
      <c r="A6223" t="s">
        <v>12406</v>
      </c>
      <c r="B6223" t="s">
        <v>12407</v>
      </c>
      <c r="C6223" t="s">
        <v>31</v>
      </c>
      <c r="D6223">
        <v>51</v>
      </c>
      <c r="E6223" t="s">
        <v>128</v>
      </c>
      <c r="F6223" t="s">
        <v>129</v>
      </c>
      <c r="G6223" t="s">
        <v>78</v>
      </c>
      <c r="H6223" s="1">
        <v>45387</v>
      </c>
    </row>
    <row r="6224" spans="1:8">
      <c r="A6224" t="s">
        <v>12408</v>
      </c>
      <c r="B6224" t="s">
        <v>12409</v>
      </c>
      <c r="C6224" t="s">
        <v>10</v>
      </c>
      <c r="D6224">
        <v>54</v>
      </c>
      <c r="E6224" t="s">
        <v>63</v>
      </c>
      <c r="F6224" t="s">
        <v>64</v>
      </c>
      <c r="G6224" t="s">
        <v>12</v>
      </c>
      <c r="H6224" s="1">
        <v>44578</v>
      </c>
    </row>
    <row r="6225" spans="1:8">
      <c r="A6225" t="s">
        <v>12410</v>
      </c>
      <c r="B6225" t="s">
        <v>12411</v>
      </c>
      <c r="C6225" t="s">
        <v>10</v>
      </c>
      <c r="D6225">
        <v>21</v>
      </c>
      <c r="E6225" t="s">
        <v>91</v>
      </c>
      <c r="F6225" t="s">
        <v>92</v>
      </c>
      <c r="G6225" t="s">
        <v>78</v>
      </c>
      <c r="H6225" s="1">
        <v>45594</v>
      </c>
    </row>
    <row r="6226" spans="1:8">
      <c r="A6226" t="s">
        <v>12412</v>
      </c>
      <c r="B6226" t="s">
        <v>12413</v>
      </c>
      <c r="C6226" t="s">
        <v>10</v>
      </c>
      <c r="D6226">
        <v>23</v>
      </c>
      <c r="E6226" t="s">
        <v>112</v>
      </c>
      <c r="F6226" t="s">
        <v>113</v>
      </c>
      <c r="G6226" t="s">
        <v>78</v>
      </c>
      <c r="H6226" s="1">
        <v>44954</v>
      </c>
    </row>
    <row r="6227" spans="1:8">
      <c r="A6227" t="s">
        <v>12414</v>
      </c>
      <c r="B6227" t="s">
        <v>12415</v>
      </c>
      <c r="C6227" t="s">
        <v>31</v>
      </c>
      <c r="D6227">
        <v>59</v>
      </c>
      <c r="E6227" t="s">
        <v>134</v>
      </c>
      <c r="F6227" t="s">
        <v>28</v>
      </c>
      <c r="G6227" t="s">
        <v>12</v>
      </c>
      <c r="H6227" s="1">
        <v>45740</v>
      </c>
    </row>
    <row r="6228" spans="1:8">
      <c r="A6228" t="s">
        <v>12416</v>
      </c>
      <c r="B6228" t="s">
        <v>12417</v>
      </c>
      <c r="C6228" t="s">
        <v>10</v>
      </c>
      <c r="D6228">
        <v>26</v>
      </c>
      <c r="E6228" t="s">
        <v>63</v>
      </c>
      <c r="F6228" t="s">
        <v>64</v>
      </c>
      <c r="G6228" t="s">
        <v>12</v>
      </c>
      <c r="H6228" s="1">
        <v>45137</v>
      </c>
    </row>
    <row r="6229" spans="1:8">
      <c r="A6229" t="s">
        <v>12418</v>
      </c>
      <c r="B6229" t="s">
        <v>12419</v>
      </c>
      <c r="C6229" t="s">
        <v>31</v>
      </c>
      <c r="D6229">
        <v>67</v>
      </c>
      <c r="E6229" t="s">
        <v>60</v>
      </c>
      <c r="F6229" t="s">
        <v>21</v>
      </c>
      <c r="G6229" t="s">
        <v>22</v>
      </c>
      <c r="H6229" s="1">
        <v>45002</v>
      </c>
    </row>
    <row r="6230" spans="1:8">
      <c r="A6230" t="s">
        <v>12420</v>
      </c>
      <c r="B6230" t="s">
        <v>12421</v>
      </c>
      <c r="C6230" t="s">
        <v>31</v>
      </c>
      <c r="D6230">
        <v>44</v>
      </c>
      <c r="E6230" t="s">
        <v>63</v>
      </c>
      <c r="F6230" t="s">
        <v>64</v>
      </c>
      <c r="G6230" t="s">
        <v>12</v>
      </c>
      <c r="H6230" s="1">
        <v>45544</v>
      </c>
    </row>
    <row r="6231" spans="1:8">
      <c r="A6231" t="s">
        <v>12422</v>
      </c>
      <c r="B6231" t="s">
        <v>12423</v>
      </c>
      <c r="C6231" t="s">
        <v>31</v>
      </c>
      <c r="D6231">
        <v>45</v>
      </c>
      <c r="E6231" t="s">
        <v>60</v>
      </c>
      <c r="F6231" t="s">
        <v>21</v>
      </c>
      <c r="G6231" t="s">
        <v>22</v>
      </c>
      <c r="H6231" s="1">
        <v>45849</v>
      </c>
    </row>
    <row r="6232" spans="1:8">
      <c r="A6232" t="s">
        <v>12424</v>
      </c>
      <c r="B6232" t="s">
        <v>12425</v>
      </c>
      <c r="C6232" t="s">
        <v>10</v>
      </c>
      <c r="D6232">
        <v>35</v>
      </c>
      <c r="E6232" t="s">
        <v>11</v>
      </c>
      <c r="F6232" t="s">
        <v>11</v>
      </c>
      <c r="G6232" t="s">
        <v>12</v>
      </c>
      <c r="H6232" s="1">
        <v>44731</v>
      </c>
    </row>
    <row r="6233" spans="1:8">
      <c r="A6233" t="s">
        <v>12426</v>
      </c>
      <c r="B6233" t="s">
        <v>12427</v>
      </c>
      <c r="C6233" t="s">
        <v>31</v>
      </c>
      <c r="D6233">
        <v>53</v>
      </c>
      <c r="E6233" t="s">
        <v>34</v>
      </c>
      <c r="F6233" t="s">
        <v>16</v>
      </c>
      <c r="G6233" t="s">
        <v>17</v>
      </c>
      <c r="H6233" s="1">
        <v>44964</v>
      </c>
    </row>
    <row r="6234" spans="1:8">
      <c r="A6234" t="s">
        <v>12428</v>
      </c>
      <c r="B6234" t="s">
        <v>12429</v>
      </c>
      <c r="C6234" t="s">
        <v>31</v>
      </c>
      <c r="D6234">
        <v>65</v>
      </c>
      <c r="E6234" t="s">
        <v>45</v>
      </c>
      <c r="F6234" t="s">
        <v>46</v>
      </c>
      <c r="G6234" t="s">
        <v>17</v>
      </c>
      <c r="H6234" s="1">
        <v>45010</v>
      </c>
    </row>
    <row r="6235" spans="1:8">
      <c r="A6235" t="s">
        <v>12430</v>
      </c>
      <c r="B6235" t="s">
        <v>12431</v>
      </c>
      <c r="C6235" t="s">
        <v>31</v>
      </c>
      <c r="D6235">
        <v>65</v>
      </c>
      <c r="E6235" t="s">
        <v>218</v>
      </c>
      <c r="F6235" t="s">
        <v>219</v>
      </c>
      <c r="G6235" t="s">
        <v>17</v>
      </c>
      <c r="H6235" s="1">
        <v>45379</v>
      </c>
    </row>
    <row r="6236" spans="1:8">
      <c r="A6236" t="s">
        <v>12432</v>
      </c>
      <c r="B6236" t="s">
        <v>12433</v>
      </c>
      <c r="C6236" t="s">
        <v>31</v>
      </c>
      <c r="D6236">
        <v>35</v>
      </c>
      <c r="E6236" t="s">
        <v>37</v>
      </c>
      <c r="F6236" t="s">
        <v>38</v>
      </c>
      <c r="G6236" t="s">
        <v>22</v>
      </c>
      <c r="H6236" s="1">
        <v>45230</v>
      </c>
    </row>
    <row r="6237" spans="1:8">
      <c r="A6237" t="s">
        <v>12434</v>
      </c>
      <c r="B6237" t="s">
        <v>12435</v>
      </c>
      <c r="C6237" t="s">
        <v>10</v>
      </c>
      <c r="D6237">
        <v>55</v>
      </c>
      <c r="E6237" t="s">
        <v>20</v>
      </c>
      <c r="F6237" t="s">
        <v>21</v>
      </c>
      <c r="G6237" t="s">
        <v>22</v>
      </c>
      <c r="H6237" s="1">
        <v>45268</v>
      </c>
    </row>
    <row r="6238" spans="1:8">
      <c r="A6238" t="s">
        <v>12436</v>
      </c>
      <c r="B6238" t="s">
        <v>9651</v>
      </c>
      <c r="C6238" t="s">
        <v>31</v>
      </c>
      <c r="D6238">
        <v>49</v>
      </c>
      <c r="E6238" t="s">
        <v>41</v>
      </c>
      <c r="F6238" t="s">
        <v>42</v>
      </c>
      <c r="G6238" t="s">
        <v>17</v>
      </c>
      <c r="H6238" s="1">
        <v>44645</v>
      </c>
    </row>
    <row r="6239" spans="1:8">
      <c r="A6239" t="s">
        <v>12437</v>
      </c>
      <c r="B6239" t="s">
        <v>12438</v>
      </c>
      <c r="C6239" t="s">
        <v>10</v>
      </c>
      <c r="D6239">
        <v>49</v>
      </c>
      <c r="E6239" t="s">
        <v>112</v>
      </c>
      <c r="F6239" t="s">
        <v>113</v>
      </c>
      <c r="G6239" t="s">
        <v>78</v>
      </c>
      <c r="H6239" s="1">
        <v>45858</v>
      </c>
    </row>
    <row r="6240" spans="1:8">
      <c r="A6240" t="s">
        <v>12439</v>
      </c>
      <c r="B6240" t="s">
        <v>12440</v>
      </c>
      <c r="C6240" t="s">
        <v>31</v>
      </c>
      <c r="D6240">
        <v>62</v>
      </c>
      <c r="E6240" t="s">
        <v>45</v>
      </c>
      <c r="F6240" t="s">
        <v>46</v>
      </c>
      <c r="G6240" t="s">
        <v>17</v>
      </c>
      <c r="H6240" s="1">
        <v>44984</v>
      </c>
    </row>
    <row r="6241" spans="1:8">
      <c r="A6241" t="s">
        <v>12441</v>
      </c>
      <c r="B6241" t="s">
        <v>12442</v>
      </c>
      <c r="C6241" t="s">
        <v>10</v>
      </c>
      <c r="D6241">
        <v>24</v>
      </c>
      <c r="E6241" t="s">
        <v>91</v>
      </c>
      <c r="F6241" t="s">
        <v>92</v>
      </c>
      <c r="G6241" t="s">
        <v>78</v>
      </c>
      <c r="H6241" s="1">
        <v>45840</v>
      </c>
    </row>
    <row r="6242" spans="1:8">
      <c r="A6242" t="s">
        <v>12443</v>
      </c>
      <c r="B6242" t="s">
        <v>12444</v>
      </c>
      <c r="C6242" t="s">
        <v>31</v>
      </c>
      <c r="D6242">
        <v>44</v>
      </c>
      <c r="E6242" t="s">
        <v>63</v>
      </c>
      <c r="F6242" t="s">
        <v>64</v>
      </c>
      <c r="G6242" t="s">
        <v>12</v>
      </c>
      <c r="H6242" s="1">
        <v>46017</v>
      </c>
    </row>
    <row r="6243" spans="1:8">
      <c r="A6243" t="s">
        <v>12445</v>
      </c>
      <c r="B6243" t="s">
        <v>12446</v>
      </c>
      <c r="C6243" t="s">
        <v>31</v>
      </c>
      <c r="D6243">
        <v>65</v>
      </c>
      <c r="E6243" t="s">
        <v>101</v>
      </c>
      <c r="F6243" t="s">
        <v>21</v>
      </c>
      <c r="G6243" t="s">
        <v>22</v>
      </c>
      <c r="H6243" s="1">
        <v>45588</v>
      </c>
    </row>
    <row r="6244" spans="1:8">
      <c r="A6244" t="s">
        <v>12447</v>
      </c>
      <c r="B6244" t="s">
        <v>12448</v>
      </c>
      <c r="C6244" t="s">
        <v>31</v>
      </c>
      <c r="D6244">
        <v>64</v>
      </c>
      <c r="E6244" t="s">
        <v>15</v>
      </c>
      <c r="F6244" t="s">
        <v>16</v>
      </c>
      <c r="G6244" t="s">
        <v>17</v>
      </c>
      <c r="H6244" s="1">
        <v>45293</v>
      </c>
    </row>
    <row r="6245" spans="1:8">
      <c r="A6245" t="s">
        <v>12449</v>
      </c>
      <c r="B6245" t="s">
        <v>12450</v>
      </c>
      <c r="C6245" t="s">
        <v>10</v>
      </c>
      <c r="D6245">
        <v>19</v>
      </c>
      <c r="E6245" t="s">
        <v>76</v>
      </c>
      <c r="F6245" t="s">
        <v>77</v>
      </c>
      <c r="G6245" t="s">
        <v>78</v>
      </c>
      <c r="H6245" s="1">
        <v>45702</v>
      </c>
    </row>
    <row r="6246" spans="1:8">
      <c r="A6246" t="s">
        <v>12451</v>
      </c>
      <c r="B6246" t="s">
        <v>12452</v>
      </c>
      <c r="C6246" t="s">
        <v>31</v>
      </c>
      <c r="D6246">
        <v>53</v>
      </c>
      <c r="E6246" t="s">
        <v>69</v>
      </c>
      <c r="F6246" t="s">
        <v>69</v>
      </c>
      <c r="G6246" t="s">
        <v>12</v>
      </c>
      <c r="H6246" s="1">
        <v>45258</v>
      </c>
    </row>
    <row r="6247" spans="1:8">
      <c r="A6247" t="s">
        <v>12453</v>
      </c>
      <c r="B6247" t="s">
        <v>12454</v>
      </c>
      <c r="C6247" t="s">
        <v>10</v>
      </c>
      <c r="D6247">
        <v>44</v>
      </c>
      <c r="E6247" t="s">
        <v>34</v>
      </c>
      <c r="F6247" t="s">
        <v>16</v>
      </c>
      <c r="G6247" t="s">
        <v>17</v>
      </c>
      <c r="H6247" s="1">
        <v>45353</v>
      </c>
    </row>
    <row r="6248" spans="1:8">
      <c r="A6248" t="s">
        <v>12455</v>
      </c>
      <c r="B6248" t="s">
        <v>12456</v>
      </c>
      <c r="C6248" t="s">
        <v>31</v>
      </c>
      <c r="D6248">
        <v>48</v>
      </c>
      <c r="E6248" t="s">
        <v>218</v>
      </c>
      <c r="F6248" t="s">
        <v>219</v>
      </c>
      <c r="G6248" t="s">
        <v>17</v>
      </c>
      <c r="H6248" s="1">
        <v>45321</v>
      </c>
    </row>
    <row r="6249" spans="1:8">
      <c r="A6249" t="s">
        <v>12457</v>
      </c>
      <c r="B6249" t="s">
        <v>12458</v>
      </c>
      <c r="C6249" t="s">
        <v>31</v>
      </c>
      <c r="D6249">
        <v>18</v>
      </c>
      <c r="E6249" t="s">
        <v>134</v>
      </c>
      <c r="F6249" t="s">
        <v>28</v>
      </c>
      <c r="G6249" t="s">
        <v>12</v>
      </c>
      <c r="H6249" s="1">
        <v>45152</v>
      </c>
    </row>
    <row r="6250" spans="1:8">
      <c r="A6250" t="s">
        <v>12459</v>
      </c>
      <c r="B6250" t="s">
        <v>12460</v>
      </c>
      <c r="C6250" t="s">
        <v>31</v>
      </c>
      <c r="D6250">
        <v>39</v>
      </c>
      <c r="E6250" t="s">
        <v>60</v>
      </c>
      <c r="F6250" t="s">
        <v>21</v>
      </c>
      <c r="G6250" t="s">
        <v>22</v>
      </c>
      <c r="H6250" s="1">
        <v>44607</v>
      </c>
    </row>
    <row r="6251" spans="1:8">
      <c r="A6251" t="s">
        <v>12461</v>
      </c>
      <c r="B6251" t="s">
        <v>12462</v>
      </c>
      <c r="C6251" t="s">
        <v>10</v>
      </c>
      <c r="D6251">
        <v>56</v>
      </c>
      <c r="E6251" t="s">
        <v>218</v>
      </c>
      <c r="F6251" t="s">
        <v>219</v>
      </c>
      <c r="G6251" t="s">
        <v>17</v>
      </c>
      <c r="H6251" s="1">
        <v>45989</v>
      </c>
    </row>
    <row r="6252" spans="1:8">
      <c r="A6252" t="s">
        <v>12463</v>
      </c>
      <c r="B6252" t="s">
        <v>12464</v>
      </c>
      <c r="C6252" t="s">
        <v>31</v>
      </c>
      <c r="D6252">
        <v>41</v>
      </c>
      <c r="E6252" t="s">
        <v>149</v>
      </c>
      <c r="F6252" t="s">
        <v>38</v>
      </c>
      <c r="G6252" t="s">
        <v>22</v>
      </c>
      <c r="H6252" s="1">
        <v>45551</v>
      </c>
    </row>
    <row r="6253" spans="1:8">
      <c r="A6253" t="s">
        <v>12465</v>
      </c>
      <c r="B6253" t="s">
        <v>12466</v>
      </c>
      <c r="C6253" t="s">
        <v>31</v>
      </c>
      <c r="D6253">
        <v>37</v>
      </c>
      <c r="E6253" t="s">
        <v>218</v>
      </c>
      <c r="F6253" t="s">
        <v>219</v>
      </c>
      <c r="G6253" t="s">
        <v>17</v>
      </c>
      <c r="H6253" s="1">
        <v>45949</v>
      </c>
    </row>
    <row r="6254" spans="1:8">
      <c r="A6254" t="s">
        <v>12467</v>
      </c>
      <c r="B6254" t="s">
        <v>12468</v>
      </c>
      <c r="C6254" t="s">
        <v>10</v>
      </c>
      <c r="D6254">
        <v>39</v>
      </c>
      <c r="E6254" t="s">
        <v>45</v>
      </c>
      <c r="F6254" t="s">
        <v>46</v>
      </c>
      <c r="G6254" t="s">
        <v>17</v>
      </c>
      <c r="H6254" s="1">
        <v>45799</v>
      </c>
    </row>
    <row r="6255" spans="1:8">
      <c r="A6255" t="s">
        <v>12469</v>
      </c>
      <c r="B6255" t="s">
        <v>12470</v>
      </c>
      <c r="C6255" t="s">
        <v>31</v>
      </c>
      <c r="D6255">
        <v>57</v>
      </c>
      <c r="E6255" t="s">
        <v>15</v>
      </c>
      <c r="F6255" t="s">
        <v>16</v>
      </c>
      <c r="G6255" t="s">
        <v>17</v>
      </c>
      <c r="H6255" s="1">
        <v>45441</v>
      </c>
    </row>
    <row r="6256" spans="1:8">
      <c r="A6256" t="s">
        <v>12471</v>
      </c>
      <c r="B6256" t="s">
        <v>12472</v>
      </c>
      <c r="C6256" t="s">
        <v>10</v>
      </c>
      <c r="D6256">
        <v>51</v>
      </c>
      <c r="E6256" t="s">
        <v>60</v>
      </c>
      <c r="F6256" t="s">
        <v>21</v>
      </c>
      <c r="G6256" t="s">
        <v>22</v>
      </c>
      <c r="H6256" s="1">
        <v>45940</v>
      </c>
    </row>
    <row r="6257" spans="1:8">
      <c r="A6257" t="s">
        <v>12473</v>
      </c>
      <c r="B6257" t="s">
        <v>12474</v>
      </c>
      <c r="C6257" t="s">
        <v>31</v>
      </c>
      <c r="D6257">
        <v>35</v>
      </c>
      <c r="E6257" t="s">
        <v>134</v>
      </c>
      <c r="F6257" t="s">
        <v>28</v>
      </c>
      <c r="G6257" t="s">
        <v>12</v>
      </c>
      <c r="H6257" s="1">
        <v>45919</v>
      </c>
    </row>
    <row r="6258" spans="1:8">
      <c r="A6258" t="s">
        <v>12475</v>
      </c>
      <c r="B6258" t="s">
        <v>12476</v>
      </c>
      <c r="C6258" t="s">
        <v>31</v>
      </c>
      <c r="D6258">
        <v>67</v>
      </c>
      <c r="E6258" t="s">
        <v>149</v>
      </c>
      <c r="F6258" t="s">
        <v>38</v>
      </c>
      <c r="G6258" t="s">
        <v>22</v>
      </c>
      <c r="H6258" s="1">
        <v>45279</v>
      </c>
    </row>
    <row r="6259" spans="1:8">
      <c r="A6259" t="s">
        <v>12477</v>
      </c>
      <c r="B6259" t="s">
        <v>12478</v>
      </c>
      <c r="C6259" t="s">
        <v>10</v>
      </c>
      <c r="D6259">
        <v>41</v>
      </c>
      <c r="E6259" t="s">
        <v>20</v>
      </c>
      <c r="F6259" t="s">
        <v>21</v>
      </c>
      <c r="G6259" t="s">
        <v>22</v>
      </c>
      <c r="H6259" s="1">
        <v>45547</v>
      </c>
    </row>
    <row r="6260" spans="1:8">
      <c r="A6260" t="s">
        <v>12479</v>
      </c>
      <c r="B6260" t="s">
        <v>12480</v>
      </c>
      <c r="C6260" t="s">
        <v>10</v>
      </c>
      <c r="D6260">
        <v>58</v>
      </c>
      <c r="E6260" t="s">
        <v>60</v>
      </c>
      <c r="F6260" t="s">
        <v>21</v>
      </c>
      <c r="G6260" t="s">
        <v>22</v>
      </c>
      <c r="H6260" s="1">
        <v>45101</v>
      </c>
    </row>
    <row r="6261" spans="1:8">
      <c r="A6261" t="s">
        <v>12481</v>
      </c>
      <c r="B6261" t="s">
        <v>12482</v>
      </c>
      <c r="C6261" t="s">
        <v>31</v>
      </c>
      <c r="D6261">
        <v>60</v>
      </c>
      <c r="E6261" t="s">
        <v>76</v>
      </c>
      <c r="F6261" t="s">
        <v>77</v>
      </c>
      <c r="G6261" t="s">
        <v>78</v>
      </c>
      <c r="H6261" s="1">
        <v>45446</v>
      </c>
    </row>
    <row r="6262" spans="1:8">
      <c r="A6262" t="s">
        <v>12483</v>
      </c>
      <c r="B6262" t="s">
        <v>12484</v>
      </c>
      <c r="C6262" t="s">
        <v>10</v>
      </c>
      <c r="D6262">
        <v>27</v>
      </c>
      <c r="E6262" t="s">
        <v>37</v>
      </c>
      <c r="F6262" t="s">
        <v>38</v>
      </c>
      <c r="G6262" t="s">
        <v>22</v>
      </c>
      <c r="H6262" s="1">
        <v>45402</v>
      </c>
    </row>
    <row r="6263" spans="1:8">
      <c r="A6263" t="s">
        <v>12485</v>
      </c>
      <c r="B6263" t="s">
        <v>12486</v>
      </c>
      <c r="C6263" t="s">
        <v>10</v>
      </c>
      <c r="D6263">
        <v>49</v>
      </c>
      <c r="E6263" t="s">
        <v>27</v>
      </c>
      <c r="F6263" t="s">
        <v>28</v>
      </c>
      <c r="G6263" t="s">
        <v>12</v>
      </c>
      <c r="H6263" s="1">
        <v>45106</v>
      </c>
    </row>
    <row r="6264" spans="1:8">
      <c r="A6264" t="s">
        <v>12487</v>
      </c>
      <c r="B6264" t="s">
        <v>12488</v>
      </c>
      <c r="C6264" t="s">
        <v>10</v>
      </c>
      <c r="D6264">
        <v>40</v>
      </c>
      <c r="E6264" t="s">
        <v>101</v>
      </c>
      <c r="F6264" t="s">
        <v>21</v>
      </c>
      <c r="G6264" t="s">
        <v>22</v>
      </c>
      <c r="H6264" s="1">
        <v>45173</v>
      </c>
    </row>
    <row r="6265" spans="1:8">
      <c r="A6265" t="s">
        <v>12489</v>
      </c>
      <c r="B6265" t="s">
        <v>12490</v>
      </c>
      <c r="C6265" t="s">
        <v>31</v>
      </c>
      <c r="D6265">
        <v>25</v>
      </c>
      <c r="E6265" t="s">
        <v>218</v>
      </c>
      <c r="F6265" t="s">
        <v>219</v>
      </c>
      <c r="G6265" t="s">
        <v>17</v>
      </c>
      <c r="H6265" s="1">
        <v>45511</v>
      </c>
    </row>
    <row r="6266" spans="1:8">
      <c r="A6266" t="s">
        <v>12491</v>
      </c>
      <c r="B6266" t="s">
        <v>12492</v>
      </c>
      <c r="C6266" t="s">
        <v>10</v>
      </c>
      <c r="D6266">
        <v>39</v>
      </c>
      <c r="E6266" t="s">
        <v>87</v>
      </c>
      <c r="F6266" t="s">
        <v>88</v>
      </c>
      <c r="G6266" t="s">
        <v>78</v>
      </c>
      <c r="H6266" s="1">
        <v>44786</v>
      </c>
    </row>
    <row r="6267" spans="1:8">
      <c r="A6267" t="s">
        <v>12493</v>
      </c>
      <c r="B6267" t="s">
        <v>12494</v>
      </c>
      <c r="C6267" t="s">
        <v>10</v>
      </c>
      <c r="D6267">
        <v>67</v>
      </c>
      <c r="E6267" t="s">
        <v>69</v>
      </c>
      <c r="F6267" t="s">
        <v>69</v>
      </c>
      <c r="G6267" t="s">
        <v>12</v>
      </c>
      <c r="H6267" s="1">
        <v>45493</v>
      </c>
    </row>
    <row r="6268" spans="1:8">
      <c r="A6268" t="s">
        <v>12495</v>
      </c>
      <c r="B6268" t="s">
        <v>12496</v>
      </c>
      <c r="C6268" t="s">
        <v>10</v>
      </c>
      <c r="D6268">
        <v>70</v>
      </c>
      <c r="E6268" t="s">
        <v>45</v>
      </c>
      <c r="F6268" t="s">
        <v>46</v>
      </c>
      <c r="G6268" t="s">
        <v>17</v>
      </c>
      <c r="H6268" s="1">
        <v>45054</v>
      </c>
    </row>
    <row r="6269" spans="1:8">
      <c r="A6269" t="s">
        <v>12497</v>
      </c>
      <c r="B6269" t="s">
        <v>12498</v>
      </c>
      <c r="C6269" t="s">
        <v>31</v>
      </c>
      <c r="D6269">
        <v>26</v>
      </c>
      <c r="E6269" t="s">
        <v>91</v>
      </c>
      <c r="F6269" t="s">
        <v>92</v>
      </c>
      <c r="G6269" t="s">
        <v>78</v>
      </c>
      <c r="H6269" s="1">
        <v>45983</v>
      </c>
    </row>
    <row r="6270" spans="1:8">
      <c r="A6270" t="s">
        <v>12499</v>
      </c>
      <c r="B6270" t="s">
        <v>12500</v>
      </c>
      <c r="C6270" t="s">
        <v>31</v>
      </c>
      <c r="D6270">
        <v>43</v>
      </c>
      <c r="E6270" t="s">
        <v>45</v>
      </c>
      <c r="F6270" t="s">
        <v>46</v>
      </c>
      <c r="G6270" t="s">
        <v>17</v>
      </c>
      <c r="H6270" s="1">
        <v>45521</v>
      </c>
    </row>
    <row r="6271" spans="1:8">
      <c r="A6271" t="s">
        <v>12501</v>
      </c>
      <c r="B6271" t="s">
        <v>12502</v>
      </c>
      <c r="C6271" t="s">
        <v>31</v>
      </c>
      <c r="D6271">
        <v>59</v>
      </c>
      <c r="E6271" t="s">
        <v>34</v>
      </c>
      <c r="F6271" t="s">
        <v>16</v>
      </c>
      <c r="G6271" t="s">
        <v>17</v>
      </c>
      <c r="H6271" s="1">
        <v>45263</v>
      </c>
    </row>
    <row r="6272" spans="1:8">
      <c r="A6272" t="s">
        <v>12503</v>
      </c>
      <c r="B6272" t="s">
        <v>12504</v>
      </c>
      <c r="C6272" t="s">
        <v>10</v>
      </c>
      <c r="D6272">
        <v>43</v>
      </c>
      <c r="E6272" t="s">
        <v>112</v>
      </c>
      <c r="F6272" t="s">
        <v>113</v>
      </c>
      <c r="G6272" t="s">
        <v>78</v>
      </c>
      <c r="H6272" s="1">
        <v>45194</v>
      </c>
    </row>
    <row r="6273" spans="1:8">
      <c r="A6273" t="s">
        <v>12505</v>
      </c>
      <c r="B6273" t="s">
        <v>12506</v>
      </c>
      <c r="C6273" t="s">
        <v>10</v>
      </c>
      <c r="D6273">
        <v>57</v>
      </c>
      <c r="E6273" t="s">
        <v>37</v>
      </c>
      <c r="F6273" t="s">
        <v>38</v>
      </c>
      <c r="G6273" t="s">
        <v>22</v>
      </c>
      <c r="H6273" s="1">
        <v>45519</v>
      </c>
    </row>
    <row r="6274" spans="1:8">
      <c r="A6274" t="s">
        <v>12507</v>
      </c>
      <c r="B6274" t="s">
        <v>12508</v>
      </c>
      <c r="C6274" t="s">
        <v>10</v>
      </c>
      <c r="D6274">
        <v>52</v>
      </c>
      <c r="E6274" t="s">
        <v>63</v>
      </c>
      <c r="F6274" t="s">
        <v>64</v>
      </c>
      <c r="G6274" t="s">
        <v>12</v>
      </c>
      <c r="H6274" s="1">
        <v>45048</v>
      </c>
    </row>
    <row r="6275" spans="1:8">
      <c r="A6275" t="s">
        <v>12509</v>
      </c>
      <c r="B6275" t="s">
        <v>12510</v>
      </c>
      <c r="C6275" t="s">
        <v>10</v>
      </c>
      <c r="D6275">
        <v>67</v>
      </c>
      <c r="E6275" t="s">
        <v>37</v>
      </c>
      <c r="F6275" t="s">
        <v>38</v>
      </c>
      <c r="G6275" t="s">
        <v>22</v>
      </c>
      <c r="H6275" s="1">
        <v>45277</v>
      </c>
    </row>
    <row r="6276" spans="1:8">
      <c r="A6276" t="s">
        <v>12511</v>
      </c>
      <c r="B6276" t="s">
        <v>12512</v>
      </c>
      <c r="C6276" t="s">
        <v>31</v>
      </c>
      <c r="D6276">
        <v>65</v>
      </c>
      <c r="E6276" t="s">
        <v>27</v>
      </c>
      <c r="F6276" t="s">
        <v>28</v>
      </c>
      <c r="G6276" t="s">
        <v>12</v>
      </c>
      <c r="H6276" s="1">
        <v>45266</v>
      </c>
    </row>
    <row r="6277" spans="1:8">
      <c r="A6277" t="s">
        <v>12513</v>
      </c>
      <c r="B6277" t="s">
        <v>12514</v>
      </c>
      <c r="C6277" t="s">
        <v>10</v>
      </c>
      <c r="D6277">
        <v>59</v>
      </c>
      <c r="E6277" t="s">
        <v>69</v>
      </c>
      <c r="F6277" t="s">
        <v>69</v>
      </c>
      <c r="G6277" t="s">
        <v>12</v>
      </c>
      <c r="H6277" s="1">
        <v>45303</v>
      </c>
    </row>
    <row r="6278" spans="1:8">
      <c r="A6278" t="s">
        <v>12515</v>
      </c>
      <c r="B6278" t="s">
        <v>12516</v>
      </c>
      <c r="C6278" t="s">
        <v>31</v>
      </c>
      <c r="D6278">
        <v>58</v>
      </c>
      <c r="E6278" t="s">
        <v>20</v>
      </c>
      <c r="F6278" t="s">
        <v>21</v>
      </c>
      <c r="G6278" t="s">
        <v>22</v>
      </c>
      <c r="H6278" s="1">
        <v>44880</v>
      </c>
    </row>
    <row r="6279" spans="1:8">
      <c r="A6279" t="s">
        <v>12517</v>
      </c>
      <c r="B6279" t="s">
        <v>12518</v>
      </c>
      <c r="C6279" t="s">
        <v>10</v>
      </c>
      <c r="D6279">
        <v>33</v>
      </c>
      <c r="E6279" t="s">
        <v>63</v>
      </c>
      <c r="F6279" t="s">
        <v>64</v>
      </c>
      <c r="G6279" t="s">
        <v>12</v>
      </c>
      <c r="H6279" s="1">
        <v>45402</v>
      </c>
    </row>
    <row r="6280" spans="1:8">
      <c r="A6280" t="s">
        <v>12519</v>
      </c>
      <c r="B6280" t="s">
        <v>12520</v>
      </c>
      <c r="C6280" t="s">
        <v>10</v>
      </c>
      <c r="D6280">
        <v>37</v>
      </c>
      <c r="E6280" t="s">
        <v>45</v>
      </c>
      <c r="F6280" t="s">
        <v>46</v>
      </c>
      <c r="G6280" t="s">
        <v>17</v>
      </c>
      <c r="H6280" s="1">
        <v>45471</v>
      </c>
    </row>
    <row r="6281" spans="1:8">
      <c r="A6281" t="s">
        <v>12521</v>
      </c>
      <c r="B6281" t="s">
        <v>12522</v>
      </c>
      <c r="C6281" t="s">
        <v>31</v>
      </c>
      <c r="D6281">
        <v>69</v>
      </c>
      <c r="E6281" t="s">
        <v>15</v>
      </c>
      <c r="F6281" t="s">
        <v>16</v>
      </c>
      <c r="G6281" t="s">
        <v>17</v>
      </c>
      <c r="H6281" s="1">
        <v>45077</v>
      </c>
    </row>
    <row r="6282" spans="1:8">
      <c r="A6282" t="s">
        <v>12523</v>
      </c>
      <c r="B6282" t="s">
        <v>12524</v>
      </c>
      <c r="C6282" t="s">
        <v>10</v>
      </c>
      <c r="D6282">
        <v>34</v>
      </c>
      <c r="E6282" t="s">
        <v>69</v>
      </c>
      <c r="F6282" t="s">
        <v>69</v>
      </c>
      <c r="G6282" t="s">
        <v>12</v>
      </c>
      <c r="H6282" s="1">
        <v>45859</v>
      </c>
    </row>
    <row r="6283" spans="1:8">
      <c r="A6283" t="s">
        <v>12525</v>
      </c>
      <c r="B6283" t="s">
        <v>12526</v>
      </c>
      <c r="C6283" t="s">
        <v>31</v>
      </c>
      <c r="D6283">
        <v>64</v>
      </c>
      <c r="E6283" t="s">
        <v>69</v>
      </c>
      <c r="F6283" t="s">
        <v>69</v>
      </c>
      <c r="G6283" t="s">
        <v>12</v>
      </c>
      <c r="H6283" s="1">
        <v>45933</v>
      </c>
    </row>
    <row r="6284" spans="1:8">
      <c r="A6284" t="s">
        <v>12527</v>
      </c>
      <c r="B6284" t="s">
        <v>12528</v>
      </c>
      <c r="C6284" t="s">
        <v>10</v>
      </c>
      <c r="D6284">
        <v>53</v>
      </c>
      <c r="E6284" t="s">
        <v>63</v>
      </c>
      <c r="F6284" t="s">
        <v>64</v>
      </c>
      <c r="G6284" t="s">
        <v>12</v>
      </c>
      <c r="H6284" s="1">
        <v>45157</v>
      </c>
    </row>
    <row r="6285" spans="1:8">
      <c r="A6285" t="s">
        <v>12529</v>
      </c>
      <c r="B6285" t="s">
        <v>12530</v>
      </c>
      <c r="C6285" t="s">
        <v>31</v>
      </c>
      <c r="D6285">
        <v>20</v>
      </c>
      <c r="E6285" t="s">
        <v>37</v>
      </c>
      <c r="F6285" t="s">
        <v>38</v>
      </c>
      <c r="G6285" t="s">
        <v>22</v>
      </c>
      <c r="H6285" s="1">
        <v>45733</v>
      </c>
    </row>
    <row r="6286" spans="1:8">
      <c r="A6286" t="s">
        <v>12531</v>
      </c>
      <c r="B6286" t="s">
        <v>12532</v>
      </c>
      <c r="C6286" t="s">
        <v>31</v>
      </c>
      <c r="D6286">
        <v>41</v>
      </c>
      <c r="E6286" t="s">
        <v>101</v>
      </c>
      <c r="F6286" t="s">
        <v>21</v>
      </c>
      <c r="G6286" t="s">
        <v>22</v>
      </c>
      <c r="H6286" s="1">
        <v>45584</v>
      </c>
    </row>
    <row r="6287" spans="1:8">
      <c r="A6287" t="s">
        <v>12533</v>
      </c>
      <c r="B6287" t="s">
        <v>12534</v>
      </c>
      <c r="C6287" t="s">
        <v>10</v>
      </c>
      <c r="D6287">
        <v>47</v>
      </c>
      <c r="E6287" t="s">
        <v>69</v>
      </c>
      <c r="F6287" t="s">
        <v>69</v>
      </c>
      <c r="G6287" t="s">
        <v>12</v>
      </c>
      <c r="H6287" s="1">
        <v>44637</v>
      </c>
    </row>
    <row r="6288" spans="1:8">
      <c r="A6288" t="s">
        <v>12535</v>
      </c>
      <c r="B6288" t="s">
        <v>12536</v>
      </c>
      <c r="C6288" t="s">
        <v>10</v>
      </c>
      <c r="D6288">
        <v>19</v>
      </c>
      <c r="E6288" t="s">
        <v>218</v>
      </c>
      <c r="F6288" t="s">
        <v>219</v>
      </c>
      <c r="G6288" t="s">
        <v>17</v>
      </c>
      <c r="H6288" s="1">
        <v>45357</v>
      </c>
    </row>
    <row r="6289" spans="1:8">
      <c r="A6289" t="s">
        <v>12537</v>
      </c>
      <c r="B6289" t="s">
        <v>12538</v>
      </c>
      <c r="C6289" t="s">
        <v>10</v>
      </c>
      <c r="D6289">
        <v>60</v>
      </c>
      <c r="E6289" t="s">
        <v>45</v>
      </c>
      <c r="F6289" t="s">
        <v>46</v>
      </c>
      <c r="G6289" t="s">
        <v>17</v>
      </c>
      <c r="H6289" s="1">
        <v>45823</v>
      </c>
    </row>
    <row r="6290" spans="1:8">
      <c r="A6290" t="s">
        <v>12539</v>
      </c>
      <c r="B6290" t="s">
        <v>12540</v>
      </c>
      <c r="C6290" t="s">
        <v>10</v>
      </c>
      <c r="D6290">
        <v>42</v>
      </c>
      <c r="E6290" t="s">
        <v>87</v>
      </c>
      <c r="F6290" t="s">
        <v>88</v>
      </c>
      <c r="G6290" t="s">
        <v>78</v>
      </c>
      <c r="H6290" s="1">
        <v>45459</v>
      </c>
    </row>
    <row r="6291" spans="1:8">
      <c r="A6291" t="s">
        <v>12541</v>
      </c>
      <c r="B6291" t="s">
        <v>12542</v>
      </c>
      <c r="C6291" t="s">
        <v>10</v>
      </c>
      <c r="D6291">
        <v>49</v>
      </c>
      <c r="E6291" t="s">
        <v>37</v>
      </c>
      <c r="F6291" t="s">
        <v>38</v>
      </c>
      <c r="G6291" t="s">
        <v>22</v>
      </c>
      <c r="H6291" s="1">
        <v>45738</v>
      </c>
    </row>
    <row r="6292" spans="1:8">
      <c r="A6292" t="s">
        <v>12543</v>
      </c>
      <c r="B6292" t="s">
        <v>12544</v>
      </c>
      <c r="C6292" t="s">
        <v>31</v>
      </c>
      <c r="D6292">
        <v>38</v>
      </c>
      <c r="E6292" t="s">
        <v>60</v>
      </c>
      <c r="F6292" t="s">
        <v>21</v>
      </c>
      <c r="G6292" t="s">
        <v>22</v>
      </c>
      <c r="H6292" s="1">
        <v>44926</v>
      </c>
    </row>
    <row r="6293" spans="1:8">
      <c r="A6293" t="s">
        <v>12545</v>
      </c>
      <c r="B6293" t="s">
        <v>12546</v>
      </c>
      <c r="C6293" t="s">
        <v>10</v>
      </c>
      <c r="D6293">
        <v>25</v>
      </c>
      <c r="E6293" t="s">
        <v>69</v>
      </c>
      <c r="F6293" t="s">
        <v>69</v>
      </c>
      <c r="G6293" t="s">
        <v>12</v>
      </c>
      <c r="H6293" s="1">
        <v>46003</v>
      </c>
    </row>
    <row r="6294" spans="1:8">
      <c r="A6294" t="s">
        <v>12547</v>
      </c>
      <c r="B6294" t="s">
        <v>12548</v>
      </c>
      <c r="C6294" t="s">
        <v>10</v>
      </c>
      <c r="D6294">
        <v>60</v>
      </c>
      <c r="E6294" t="s">
        <v>134</v>
      </c>
      <c r="F6294" t="s">
        <v>28</v>
      </c>
      <c r="G6294" t="s">
        <v>12</v>
      </c>
      <c r="H6294" s="1">
        <v>45746</v>
      </c>
    </row>
    <row r="6295" spans="1:8">
      <c r="A6295" t="s">
        <v>12549</v>
      </c>
      <c r="B6295" t="s">
        <v>12550</v>
      </c>
      <c r="C6295" t="s">
        <v>31</v>
      </c>
      <c r="D6295">
        <v>43</v>
      </c>
      <c r="E6295" t="s">
        <v>60</v>
      </c>
      <c r="F6295" t="s">
        <v>21</v>
      </c>
      <c r="G6295" t="s">
        <v>22</v>
      </c>
      <c r="H6295" s="1">
        <v>45430</v>
      </c>
    </row>
    <row r="6296" spans="1:8">
      <c r="A6296" t="s">
        <v>12551</v>
      </c>
      <c r="B6296" t="s">
        <v>12552</v>
      </c>
      <c r="C6296" t="s">
        <v>31</v>
      </c>
      <c r="D6296">
        <v>49</v>
      </c>
      <c r="E6296" t="s">
        <v>134</v>
      </c>
      <c r="F6296" t="s">
        <v>28</v>
      </c>
      <c r="G6296" t="s">
        <v>12</v>
      </c>
      <c r="H6296" s="1">
        <v>44967</v>
      </c>
    </row>
    <row r="6297" spans="1:8">
      <c r="A6297" t="s">
        <v>12553</v>
      </c>
      <c r="B6297" t="s">
        <v>12554</v>
      </c>
      <c r="C6297" t="s">
        <v>31</v>
      </c>
      <c r="D6297">
        <v>63</v>
      </c>
      <c r="E6297" t="s">
        <v>91</v>
      </c>
      <c r="F6297" t="s">
        <v>92</v>
      </c>
      <c r="G6297" t="s">
        <v>78</v>
      </c>
      <c r="H6297" s="1">
        <v>45941</v>
      </c>
    </row>
    <row r="6298" spans="1:8">
      <c r="A6298" t="s">
        <v>12555</v>
      </c>
      <c r="B6298" t="s">
        <v>12556</v>
      </c>
      <c r="C6298" t="s">
        <v>31</v>
      </c>
      <c r="D6298">
        <v>21</v>
      </c>
      <c r="E6298" t="s">
        <v>149</v>
      </c>
      <c r="F6298" t="s">
        <v>38</v>
      </c>
      <c r="G6298" t="s">
        <v>22</v>
      </c>
      <c r="H6298" s="1">
        <v>44655</v>
      </c>
    </row>
    <row r="6299" spans="1:8">
      <c r="A6299" t="s">
        <v>12557</v>
      </c>
      <c r="B6299" t="s">
        <v>12558</v>
      </c>
      <c r="C6299" t="s">
        <v>10</v>
      </c>
      <c r="D6299">
        <v>35</v>
      </c>
      <c r="E6299" t="s">
        <v>101</v>
      </c>
      <c r="F6299" t="s">
        <v>21</v>
      </c>
      <c r="G6299" t="s">
        <v>22</v>
      </c>
      <c r="H6299" s="1">
        <v>45655</v>
      </c>
    </row>
    <row r="6300" spans="1:8">
      <c r="A6300" t="s">
        <v>12559</v>
      </c>
      <c r="B6300" t="s">
        <v>12560</v>
      </c>
      <c r="C6300" t="s">
        <v>31</v>
      </c>
      <c r="D6300">
        <v>70</v>
      </c>
      <c r="E6300" t="s">
        <v>63</v>
      </c>
      <c r="F6300" t="s">
        <v>64</v>
      </c>
      <c r="G6300" t="s">
        <v>12</v>
      </c>
      <c r="H6300" s="1">
        <v>45034</v>
      </c>
    </row>
    <row r="6301" spans="1:8">
      <c r="A6301" t="s">
        <v>12561</v>
      </c>
      <c r="B6301" t="s">
        <v>12562</v>
      </c>
      <c r="C6301" t="s">
        <v>10</v>
      </c>
      <c r="D6301">
        <v>22</v>
      </c>
      <c r="E6301" t="s">
        <v>34</v>
      </c>
      <c r="F6301" t="s">
        <v>16</v>
      </c>
      <c r="G6301" t="s">
        <v>17</v>
      </c>
      <c r="H6301" s="1">
        <v>45815</v>
      </c>
    </row>
    <row r="6302" spans="1:8">
      <c r="A6302" t="s">
        <v>12563</v>
      </c>
      <c r="B6302" t="s">
        <v>12564</v>
      </c>
      <c r="C6302" t="s">
        <v>31</v>
      </c>
      <c r="D6302">
        <v>37</v>
      </c>
      <c r="E6302" t="s">
        <v>15</v>
      </c>
      <c r="F6302" t="s">
        <v>16</v>
      </c>
      <c r="G6302" t="s">
        <v>17</v>
      </c>
      <c r="H6302" s="1">
        <v>45798</v>
      </c>
    </row>
    <row r="6303" spans="1:8">
      <c r="A6303" t="s">
        <v>12565</v>
      </c>
      <c r="B6303" t="s">
        <v>12566</v>
      </c>
      <c r="C6303" t="s">
        <v>10</v>
      </c>
      <c r="D6303">
        <v>45</v>
      </c>
      <c r="E6303" t="s">
        <v>45</v>
      </c>
      <c r="F6303" t="s">
        <v>46</v>
      </c>
      <c r="G6303" t="s">
        <v>17</v>
      </c>
      <c r="H6303" s="1">
        <v>45820</v>
      </c>
    </row>
    <row r="6304" spans="1:8">
      <c r="A6304" t="s">
        <v>12567</v>
      </c>
      <c r="B6304" t="s">
        <v>12568</v>
      </c>
      <c r="C6304" t="s">
        <v>31</v>
      </c>
      <c r="D6304">
        <v>63</v>
      </c>
      <c r="E6304" t="s">
        <v>101</v>
      </c>
      <c r="F6304" t="s">
        <v>21</v>
      </c>
      <c r="G6304" t="s">
        <v>22</v>
      </c>
      <c r="H6304" s="1">
        <v>45204</v>
      </c>
    </row>
    <row r="6305" spans="1:8">
      <c r="A6305" t="s">
        <v>12569</v>
      </c>
      <c r="B6305" t="s">
        <v>12570</v>
      </c>
      <c r="C6305" t="s">
        <v>31</v>
      </c>
      <c r="D6305">
        <v>67</v>
      </c>
      <c r="E6305" t="s">
        <v>27</v>
      </c>
      <c r="F6305" t="s">
        <v>28</v>
      </c>
      <c r="G6305" t="s">
        <v>12</v>
      </c>
      <c r="H6305" s="1">
        <v>45409</v>
      </c>
    </row>
    <row r="6306" spans="1:8">
      <c r="A6306" t="s">
        <v>12571</v>
      </c>
      <c r="B6306" t="s">
        <v>12572</v>
      </c>
      <c r="C6306" t="s">
        <v>31</v>
      </c>
      <c r="D6306">
        <v>51</v>
      </c>
      <c r="E6306" t="s">
        <v>87</v>
      </c>
      <c r="F6306" t="s">
        <v>88</v>
      </c>
      <c r="G6306" t="s">
        <v>78</v>
      </c>
      <c r="H6306" s="1">
        <v>45984</v>
      </c>
    </row>
    <row r="6307" spans="1:8">
      <c r="A6307" t="s">
        <v>12573</v>
      </c>
      <c r="B6307" t="s">
        <v>12574</v>
      </c>
      <c r="C6307" t="s">
        <v>10</v>
      </c>
      <c r="D6307">
        <v>60</v>
      </c>
      <c r="E6307" t="s">
        <v>76</v>
      </c>
      <c r="F6307" t="s">
        <v>77</v>
      </c>
      <c r="G6307" t="s">
        <v>78</v>
      </c>
      <c r="H6307" s="1">
        <v>46002</v>
      </c>
    </row>
    <row r="6308" spans="1:8">
      <c r="A6308" t="s">
        <v>12575</v>
      </c>
      <c r="B6308" t="s">
        <v>12576</v>
      </c>
      <c r="C6308" t="s">
        <v>10</v>
      </c>
      <c r="D6308">
        <v>69</v>
      </c>
      <c r="E6308" t="s">
        <v>41</v>
      </c>
      <c r="F6308" t="s">
        <v>42</v>
      </c>
      <c r="G6308" t="s">
        <v>17</v>
      </c>
      <c r="H6308" s="1">
        <v>45941</v>
      </c>
    </row>
    <row r="6309" spans="1:8">
      <c r="A6309" t="s">
        <v>12577</v>
      </c>
      <c r="B6309" t="s">
        <v>12578</v>
      </c>
      <c r="C6309" t="s">
        <v>10</v>
      </c>
      <c r="D6309">
        <v>42</v>
      </c>
      <c r="E6309" t="s">
        <v>149</v>
      </c>
      <c r="F6309" t="s">
        <v>38</v>
      </c>
      <c r="G6309" t="s">
        <v>22</v>
      </c>
      <c r="H6309" s="1">
        <v>45309</v>
      </c>
    </row>
    <row r="6310" spans="1:8">
      <c r="A6310" t="s">
        <v>12579</v>
      </c>
      <c r="B6310" t="s">
        <v>12580</v>
      </c>
      <c r="C6310" t="s">
        <v>31</v>
      </c>
      <c r="D6310">
        <v>29</v>
      </c>
      <c r="E6310" t="s">
        <v>128</v>
      </c>
      <c r="F6310" t="s">
        <v>129</v>
      </c>
      <c r="G6310" t="s">
        <v>78</v>
      </c>
      <c r="H6310" s="1">
        <v>44918</v>
      </c>
    </row>
    <row r="6311" spans="1:8">
      <c r="A6311" t="s">
        <v>12581</v>
      </c>
      <c r="B6311" t="s">
        <v>12582</v>
      </c>
      <c r="C6311" t="s">
        <v>31</v>
      </c>
      <c r="D6311">
        <v>69</v>
      </c>
      <c r="E6311" t="s">
        <v>112</v>
      </c>
      <c r="F6311" t="s">
        <v>113</v>
      </c>
      <c r="G6311" t="s">
        <v>78</v>
      </c>
      <c r="H6311" s="1">
        <v>45047</v>
      </c>
    </row>
    <row r="6312" spans="1:8">
      <c r="A6312" t="s">
        <v>12583</v>
      </c>
      <c r="B6312" t="s">
        <v>12584</v>
      </c>
      <c r="C6312" t="s">
        <v>10</v>
      </c>
      <c r="D6312">
        <v>27</v>
      </c>
      <c r="E6312" t="s">
        <v>134</v>
      </c>
      <c r="F6312" t="s">
        <v>28</v>
      </c>
      <c r="G6312" t="s">
        <v>12</v>
      </c>
      <c r="H6312" s="1">
        <v>46011</v>
      </c>
    </row>
    <row r="6313" spans="1:8">
      <c r="A6313" t="s">
        <v>12585</v>
      </c>
      <c r="B6313" t="s">
        <v>12586</v>
      </c>
      <c r="C6313" t="s">
        <v>31</v>
      </c>
      <c r="D6313">
        <v>55</v>
      </c>
      <c r="E6313" t="s">
        <v>128</v>
      </c>
      <c r="F6313" t="s">
        <v>129</v>
      </c>
      <c r="G6313" t="s">
        <v>78</v>
      </c>
      <c r="H6313" s="1">
        <v>45361</v>
      </c>
    </row>
    <row r="6314" spans="1:8">
      <c r="A6314" t="s">
        <v>12587</v>
      </c>
      <c r="B6314" t="s">
        <v>12588</v>
      </c>
      <c r="C6314" t="s">
        <v>10</v>
      </c>
      <c r="D6314">
        <v>30</v>
      </c>
      <c r="E6314" t="s">
        <v>34</v>
      </c>
      <c r="F6314" t="s">
        <v>16</v>
      </c>
      <c r="G6314" t="s">
        <v>17</v>
      </c>
      <c r="H6314" s="1">
        <v>45938</v>
      </c>
    </row>
    <row r="6315" spans="1:8">
      <c r="A6315" t="s">
        <v>12589</v>
      </c>
      <c r="B6315" t="s">
        <v>12590</v>
      </c>
      <c r="C6315" t="s">
        <v>31</v>
      </c>
      <c r="D6315">
        <v>58</v>
      </c>
      <c r="E6315" t="s">
        <v>63</v>
      </c>
      <c r="F6315" t="s">
        <v>64</v>
      </c>
      <c r="G6315" t="s">
        <v>12</v>
      </c>
      <c r="H6315" s="1">
        <v>44716</v>
      </c>
    </row>
    <row r="6316" spans="1:8">
      <c r="A6316" t="s">
        <v>12591</v>
      </c>
      <c r="B6316" t="s">
        <v>12592</v>
      </c>
      <c r="C6316" t="s">
        <v>31</v>
      </c>
      <c r="D6316">
        <v>23</v>
      </c>
      <c r="E6316" t="s">
        <v>134</v>
      </c>
      <c r="F6316" t="s">
        <v>28</v>
      </c>
      <c r="G6316" t="s">
        <v>12</v>
      </c>
      <c r="H6316" s="1">
        <v>44887</v>
      </c>
    </row>
    <row r="6317" spans="1:8">
      <c r="A6317" t="s">
        <v>12593</v>
      </c>
      <c r="B6317" t="s">
        <v>12594</v>
      </c>
      <c r="C6317" t="s">
        <v>10</v>
      </c>
      <c r="D6317">
        <v>39</v>
      </c>
      <c r="E6317" t="s">
        <v>128</v>
      </c>
      <c r="F6317" t="s">
        <v>129</v>
      </c>
      <c r="G6317" t="s">
        <v>78</v>
      </c>
      <c r="H6317" s="1">
        <v>45563</v>
      </c>
    </row>
    <row r="6318" spans="1:8">
      <c r="A6318" t="s">
        <v>12595</v>
      </c>
      <c r="B6318" t="s">
        <v>12596</v>
      </c>
      <c r="C6318" t="s">
        <v>31</v>
      </c>
      <c r="D6318">
        <v>46</v>
      </c>
      <c r="E6318" t="s">
        <v>134</v>
      </c>
      <c r="F6318" t="s">
        <v>28</v>
      </c>
      <c r="G6318" t="s">
        <v>12</v>
      </c>
      <c r="H6318" s="1">
        <v>45369</v>
      </c>
    </row>
    <row r="6319" spans="1:8">
      <c r="A6319" t="s">
        <v>12597</v>
      </c>
      <c r="B6319" t="s">
        <v>12598</v>
      </c>
      <c r="C6319" t="s">
        <v>31</v>
      </c>
      <c r="D6319">
        <v>62</v>
      </c>
      <c r="E6319" t="s">
        <v>91</v>
      </c>
      <c r="F6319" t="s">
        <v>92</v>
      </c>
      <c r="G6319" t="s">
        <v>78</v>
      </c>
      <c r="H6319" s="1">
        <v>45335</v>
      </c>
    </row>
    <row r="6320" spans="1:8">
      <c r="A6320" t="s">
        <v>12599</v>
      </c>
      <c r="B6320" t="s">
        <v>12600</v>
      </c>
      <c r="C6320" t="s">
        <v>31</v>
      </c>
      <c r="D6320">
        <v>35</v>
      </c>
      <c r="E6320" t="s">
        <v>45</v>
      </c>
      <c r="F6320" t="s">
        <v>46</v>
      </c>
      <c r="G6320" t="s">
        <v>17</v>
      </c>
      <c r="H6320" s="1">
        <v>45967</v>
      </c>
    </row>
    <row r="6321" spans="1:8">
      <c r="A6321" t="s">
        <v>12601</v>
      </c>
      <c r="B6321" t="s">
        <v>12602</v>
      </c>
      <c r="C6321" t="s">
        <v>10</v>
      </c>
      <c r="D6321">
        <v>69</v>
      </c>
      <c r="E6321" t="s">
        <v>15</v>
      </c>
      <c r="F6321" t="s">
        <v>16</v>
      </c>
      <c r="G6321" t="s">
        <v>17</v>
      </c>
      <c r="H6321" s="1">
        <v>44786</v>
      </c>
    </row>
    <row r="6322" spans="1:8">
      <c r="A6322" t="s">
        <v>12603</v>
      </c>
      <c r="B6322" t="s">
        <v>12604</v>
      </c>
      <c r="C6322" t="s">
        <v>31</v>
      </c>
      <c r="D6322">
        <v>23</v>
      </c>
      <c r="E6322" t="s">
        <v>27</v>
      </c>
      <c r="F6322" t="s">
        <v>28</v>
      </c>
      <c r="G6322" t="s">
        <v>12</v>
      </c>
      <c r="H6322" s="1">
        <v>45925</v>
      </c>
    </row>
    <row r="6323" spans="1:8">
      <c r="A6323" t="s">
        <v>12605</v>
      </c>
      <c r="B6323" t="s">
        <v>12606</v>
      </c>
      <c r="C6323" t="s">
        <v>10</v>
      </c>
      <c r="D6323">
        <v>61</v>
      </c>
      <c r="E6323" t="s">
        <v>41</v>
      </c>
      <c r="F6323" t="s">
        <v>42</v>
      </c>
      <c r="G6323" t="s">
        <v>17</v>
      </c>
      <c r="H6323" s="1">
        <v>44946</v>
      </c>
    </row>
    <row r="6324" spans="1:8">
      <c r="A6324" t="s">
        <v>12607</v>
      </c>
      <c r="B6324" t="s">
        <v>12608</v>
      </c>
      <c r="C6324" t="s">
        <v>10</v>
      </c>
      <c r="D6324">
        <v>62</v>
      </c>
      <c r="E6324" t="s">
        <v>20</v>
      </c>
      <c r="F6324" t="s">
        <v>21</v>
      </c>
      <c r="G6324" t="s">
        <v>22</v>
      </c>
      <c r="H6324" s="1">
        <v>44984</v>
      </c>
    </row>
    <row r="6325" spans="1:8">
      <c r="A6325" t="s">
        <v>12609</v>
      </c>
      <c r="B6325" t="s">
        <v>12610</v>
      </c>
      <c r="C6325" t="s">
        <v>31</v>
      </c>
      <c r="D6325">
        <v>67</v>
      </c>
      <c r="E6325" t="s">
        <v>69</v>
      </c>
      <c r="F6325" t="s">
        <v>69</v>
      </c>
      <c r="G6325" t="s">
        <v>12</v>
      </c>
      <c r="H6325" s="1">
        <v>45440</v>
      </c>
    </row>
    <row r="6326" spans="1:8">
      <c r="A6326" t="s">
        <v>12611</v>
      </c>
      <c r="B6326" t="s">
        <v>12612</v>
      </c>
      <c r="C6326" t="s">
        <v>10</v>
      </c>
      <c r="D6326">
        <v>34</v>
      </c>
      <c r="E6326" t="s">
        <v>45</v>
      </c>
      <c r="F6326" t="s">
        <v>46</v>
      </c>
      <c r="G6326" t="s">
        <v>17</v>
      </c>
      <c r="H6326" s="1">
        <v>45579</v>
      </c>
    </row>
    <row r="6327" spans="1:8">
      <c r="A6327" t="s">
        <v>12613</v>
      </c>
      <c r="B6327" t="s">
        <v>11712</v>
      </c>
      <c r="C6327" t="s">
        <v>10</v>
      </c>
      <c r="D6327">
        <v>22</v>
      </c>
      <c r="E6327" t="s">
        <v>101</v>
      </c>
      <c r="F6327" t="s">
        <v>21</v>
      </c>
      <c r="G6327" t="s">
        <v>22</v>
      </c>
      <c r="H6327" s="1">
        <v>44901</v>
      </c>
    </row>
    <row r="6328" spans="1:8">
      <c r="A6328" t="s">
        <v>12614</v>
      </c>
      <c r="B6328" t="s">
        <v>12615</v>
      </c>
      <c r="C6328" t="s">
        <v>10</v>
      </c>
      <c r="D6328">
        <v>33</v>
      </c>
      <c r="E6328" t="s">
        <v>218</v>
      </c>
      <c r="F6328" t="s">
        <v>219</v>
      </c>
      <c r="G6328" t="s">
        <v>17</v>
      </c>
      <c r="H6328" s="1">
        <v>45061</v>
      </c>
    </row>
    <row r="6329" spans="1:8">
      <c r="A6329" t="s">
        <v>12616</v>
      </c>
      <c r="B6329" t="s">
        <v>12617</v>
      </c>
      <c r="C6329" t="s">
        <v>10</v>
      </c>
      <c r="D6329">
        <v>29</v>
      </c>
      <c r="E6329" t="s">
        <v>20</v>
      </c>
      <c r="F6329" t="s">
        <v>21</v>
      </c>
      <c r="G6329" t="s">
        <v>22</v>
      </c>
      <c r="H6329" s="1">
        <v>44761</v>
      </c>
    </row>
    <row r="6330" spans="1:8">
      <c r="A6330" t="s">
        <v>12618</v>
      </c>
      <c r="B6330" t="s">
        <v>12619</v>
      </c>
      <c r="C6330" t="s">
        <v>31</v>
      </c>
      <c r="D6330">
        <v>18</v>
      </c>
      <c r="E6330" t="s">
        <v>60</v>
      </c>
      <c r="F6330" t="s">
        <v>21</v>
      </c>
      <c r="G6330" t="s">
        <v>22</v>
      </c>
      <c r="H6330" s="1">
        <v>44986</v>
      </c>
    </row>
    <row r="6331" spans="1:8">
      <c r="A6331" t="s">
        <v>12620</v>
      </c>
      <c r="B6331" t="s">
        <v>12621</v>
      </c>
      <c r="C6331" t="s">
        <v>31</v>
      </c>
      <c r="D6331">
        <v>36</v>
      </c>
      <c r="E6331" t="s">
        <v>218</v>
      </c>
      <c r="F6331" t="s">
        <v>219</v>
      </c>
      <c r="G6331" t="s">
        <v>17</v>
      </c>
      <c r="H6331" s="1">
        <v>45548</v>
      </c>
    </row>
    <row r="6332" spans="1:8">
      <c r="A6332" t="s">
        <v>12622</v>
      </c>
      <c r="B6332" t="s">
        <v>12623</v>
      </c>
      <c r="C6332" t="s">
        <v>10</v>
      </c>
      <c r="D6332">
        <v>44</v>
      </c>
      <c r="E6332" t="s">
        <v>149</v>
      </c>
      <c r="F6332" t="s">
        <v>38</v>
      </c>
      <c r="G6332" t="s">
        <v>22</v>
      </c>
      <c r="H6332" s="1">
        <v>44656</v>
      </c>
    </row>
    <row r="6333" spans="1:8">
      <c r="A6333" t="s">
        <v>12624</v>
      </c>
      <c r="B6333" t="s">
        <v>12625</v>
      </c>
      <c r="C6333" t="s">
        <v>10</v>
      </c>
      <c r="D6333">
        <v>52</v>
      </c>
      <c r="E6333" t="s">
        <v>69</v>
      </c>
      <c r="F6333" t="s">
        <v>69</v>
      </c>
      <c r="G6333" t="s">
        <v>12</v>
      </c>
      <c r="H6333" s="1">
        <v>45453</v>
      </c>
    </row>
    <row r="6334" spans="1:8">
      <c r="A6334" t="s">
        <v>12626</v>
      </c>
      <c r="B6334" t="s">
        <v>12627</v>
      </c>
      <c r="C6334" t="s">
        <v>10</v>
      </c>
      <c r="D6334">
        <v>65</v>
      </c>
      <c r="E6334" t="s">
        <v>41</v>
      </c>
      <c r="F6334" t="s">
        <v>42</v>
      </c>
      <c r="G6334" t="s">
        <v>17</v>
      </c>
      <c r="H6334" s="1">
        <v>45334</v>
      </c>
    </row>
    <row r="6335" spans="1:8">
      <c r="A6335" t="s">
        <v>12628</v>
      </c>
      <c r="B6335" t="s">
        <v>12629</v>
      </c>
      <c r="C6335" t="s">
        <v>31</v>
      </c>
      <c r="D6335">
        <v>59</v>
      </c>
      <c r="E6335" t="s">
        <v>11</v>
      </c>
      <c r="F6335" t="s">
        <v>11</v>
      </c>
      <c r="G6335" t="s">
        <v>12</v>
      </c>
      <c r="H6335" s="1">
        <v>45551</v>
      </c>
    </row>
    <row r="6336" spans="1:8">
      <c r="A6336" t="s">
        <v>12630</v>
      </c>
      <c r="B6336" t="s">
        <v>12631</v>
      </c>
      <c r="C6336" t="s">
        <v>31</v>
      </c>
      <c r="D6336">
        <v>29</v>
      </c>
      <c r="E6336" t="s">
        <v>20</v>
      </c>
      <c r="F6336" t="s">
        <v>21</v>
      </c>
      <c r="G6336" t="s">
        <v>22</v>
      </c>
      <c r="H6336" s="1">
        <v>45865</v>
      </c>
    </row>
    <row r="6337" spans="1:8">
      <c r="A6337" t="s">
        <v>12632</v>
      </c>
      <c r="B6337" t="s">
        <v>12633</v>
      </c>
      <c r="C6337" t="s">
        <v>10</v>
      </c>
      <c r="D6337">
        <v>36</v>
      </c>
      <c r="E6337" t="s">
        <v>112</v>
      </c>
      <c r="F6337" t="s">
        <v>113</v>
      </c>
      <c r="G6337" t="s">
        <v>78</v>
      </c>
      <c r="H6337" s="1">
        <v>44863</v>
      </c>
    </row>
    <row r="6338" spans="1:8">
      <c r="A6338" t="s">
        <v>12634</v>
      </c>
      <c r="B6338" t="s">
        <v>12635</v>
      </c>
      <c r="C6338" t="s">
        <v>10</v>
      </c>
      <c r="D6338">
        <v>60</v>
      </c>
      <c r="E6338" t="s">
        <v>60</v>
      </c>
      <c r="F6338" t="s">
        <v>21</v>
      </c>
      <c r="G6338" t="s">
        <v>22</v>
      </c>
      <c r="H6338" s="1">
        <v>45370</v>
      </c>
    </row>
    <row r="6339" spans="1:8">
      <c r="A6339" t="s">
        <v>12636</v>
      </c>
      <c r="B6339" t="s">
        <v>12637</v>
      </c>
      <c r="C6339" t="s">
        <v>10</v>
      </c>
      <c r="D6339">
        <v>20</v>
      </c>
      <c r="E6339" t="s">
        <v>218</v>
      </c>
      <c r="F6339" t="s">
        <v>219</v>
      </c>
      <c r="G6339" t="s">
        <v>17</v>
      </c>
      <c r="H6339" s="1">
        <v>45360</v>
      </c>
    </row>
    <row r="6340" spans="1:8">
      <c r="A6340" t="s">
        <v>12638</v>
      </c>
      <c r="B6340" t="s">
        <v>12639</v>
      </c>
      <c r="C6340" t="s">
        <v>31</v>
      </c>
      <c r="D6340">
        <v>59</v>
      </c>
      <c r="E6340" t="s">
        <v>34</v>
      </c>
      <c r="F6340" t="s">
        <v>16</v>
      </c>
      <c r="G6340" t="s">
        <v>17</v>
      </c>
      <c r="H6340" s="1">
        <v>45354</v>
      </c>
    </row>
    <row r="6341" spans="1:8">
      <c r="A6341" t="s">
        <v>12640</v>
      </c>
      <c r="B6341" t="s">
        <v>12641</v>
      </c>
      <c r="C6341" t="s">
        <v>31</v>
      </c>
      <c r="D6341">
        <v>47</v>
      </c>
      <c r="E6341" t="s">
        <v>149</v>
      </c>
      <c r="F6341" t="s">
        <v>38</v>
      </c>
      <c r="G6341" t="s">
        <v>22</v>
      </c>
      <c r="H6341" s="1">
        <v>45087</v>
      </c>
    </row>
    <row r="6342" spans="1:8">
      <c r="A6342" t="s">
        <v>12642</v>
      </c>
      <c r="B6342" t="s">
        <v>12643</v>
      </c>
      <c r="C6342" t="s">
        <v>10</v>
      </c>
      <c r="D6342">
        <v>43</v>
      </c>
      <c r="E6342" t="s">
        <v>218</v>
      </c>
      <c r="F6342" t="s">
        <v>219</v>
      </c>
      <c r="G6342" t="s">
        <v>17</v>
      </c>
      <c r="H6342" s="1">
        <v>45817</v>
      </c>
    </row>
    <row r="6343" spans="1:8">
      <c r="A6343" t="s">
        <v>12644</v>
      </c>
      <c r="B6343" t="s">
        <v>12600</v>
      </c>
      <c r="C6343" t="s">
        <v>10</v>
      </c>
      <c r="D6343">
        <v>42</v>
      </c>
      <c r="E6343" t="s">
        <v>34</v>
      </c>
      <c r="F6343" t="s">
        <v>16</v>
      </c>
      <c r="G6343" t="s">
        <v>17</v>
      </c>
      <c r="H6343" s="1">
        <v>45809</v>
      </c>
    </row>
    <row r="6344" spans="1:8">
      <c r="A6344" t="s">
        <v>12645</v>
      </c>
      <c r="B6344" t="s">
        <v>12646</v>
      </c>
      <c r="C6344" t="s">
        <v>10</v>
      </c>
      <c r="D6344">
        <v>54</v>
      </c>
      <c r="E6344" t="s">
        <v>134</v>
      </c>
      <c r="F6344" t="s">
        <v>28</v>
      </c>
      <c r="G6344" t="s">
        <v>12</v>
      </c>
      <c r="H6344" s="1">
        <v>45727</v>
      </c>
    </row>
    <row r="6345" spans="1:8">
      <c r="A6345" t="s">
        <v>12647</v>
      </c>
      <c r="B6345" t="s">
        <v>12648</v>
      </c>
      <c r="C6345" t="s">
        <v>10</v>
      </c>
      <c r="D6345">
        <v>32</v>
      </c>
      <c r="E6345" t="s">
        <v>69</v>
      </c>
      <c r="F6345" t="s">
        <v>69</v>
      </c>
      <c r="G6345" t="s">
        <v>12</v>
      </c>
      <c r="H6345" s="1">
        <v>45883</v>
      </c>
    </row>
    <row r="6346" spans="1:8">
      <c r="A6346" t="s">
        <v>12649</v>
      </c>
      <c r="B6346" t="s">
        <v>12650</v>
      </c>
      <c r="C6346" t="s">
        <v>10</v>
      </c>
      <c r="D6346">
        <v>63</v>
      </c>
      <c r="E6346" t="s">
        <v>45</v>
      </c>
      <c r="F6346" t="s">
        <v>46</v>
      </c>
      <c r="G6346" t="s">
        <v>17</v>
      </c>
      <c r="H6346" s="1">
        <v>45917</v>
      </c>
    </row>
    <row r="6347" spans="1:8">
      <c r="A6347" t="s">
        <v>12651</v>
      </c>
      <c r="B6347" t="s">
        <v>12652</v>
      </c>
      <c r="C6347" t="s">
        <v>10</v>
      </c>
      <c r="D6347">
        <v>25</v>
      </c>
      <c r="E6347" t="s">
        <v>112</v>
      </c>
      <c r="F6347" t="s">
        <v>113</v>
      </c>
      <c r="G6347" t="s">
        <v>78</v>
      </c>
      <c r="H6347" s="1">
        <v>45960</v>
      </c>
    </row>
    <row r="6348" spans="1:8">
      <c r="A6348" t="s">
        <v>12653</v>
      </c>
      <c r="B6348" t="s">
        <v>12654</v>
      </c>
      <c r="C6348" t="s">
        <v>10</v>
      </c>
      <c r="D6348">
        <v>30</v>
      </c>
      <c r="E6348" t="s">
        <v>37</v>
      </c>
      <c r="F6348" t="s">
        <v>38</v>
      </c>
      <c r="G6348" t="s">
        <v>22</v>
      </c>
      <c r="H6348" s="1">
        <v>45706</v>
      </c>
    </row>
    <row r="6349" spans="1:8">
      <c r="A6349" t="s">
        <v>12655</v>
      </c>
      <c r="B6349" t="s">
        <v>12656</v>
      </c>
      <c r="C6349" t="s">
        <v>31</v>
      </c>
      <c r="D6349">
        <v>47</v>
      </c>
      <c r="E6349" t="s">
        <v>60</v>
      </c>
      <c r="F6349" t="s">
        <v>21</v>
      </c>
      <c r="G6349" t="s">
        <v>22</v>
      </c>
      <c r="H6349" s="1">
        <v>44853</v>
      </c>
    </row>
    <row r="6350" spans="1:8">
      <c r="A6350" t="s">
        <v>12657</v>
      </c>
      <c r="B6350" t="s">
        <v>12658</v>
      </c>
      <c r="C6350" t="s">
        <v>10</v>
      </c>
      <c r="D6350">
        <v>25</v>
      </c>
      <c r="E6350" t="s">
        <v>112</v>
      </c>
      <c r="F6350" t="s">
        <v>113</v>
      </c>
      <c r="G6350" t="s">
        <v>78</v>
      </c>
      <c r="H6350" s="1">
        <v>45129</v>
      </c>
    </row>
    <row r="6351" spans="1:8">
      <c r="A6351" t="s">
        <v>12659</v>
      </c>
      <c r="B6351" t="s">
        <v>12660</v>
      </c>
      <c r="C6351" t="s">
        <v>10</v>
      </c>
      <c r="D6351">
        <v>58</v>
      </c>
      <c r="E6351" t="s">
        <v>76</v>
      </c>
      <c r="F6351" t="s">
        <v>77</v>
      </c>
      <c r="G6351" t="s">
        <v>78</v>
      </c>
      <c r="H6351" s="1">
        <v>44699</v>
      </c>
    </row>
    <row r="6352" spans="1:8">
      <c r="A6352" t="s">
        <v>12661</v>
      </c>
      <c r="B6352" t="s">
        <v>12662</v>
      </c>
      <c r="C6352" t="s">
        <v>10</v>
      </c>
      <c r="D6352">
        <v>43</v>
      </c>
      <c r="E6352" t="s">
        <v>76</v>
      </c>
      <c r="F6352" t="s">
        <v>77</v>
      </c>
      <c r="G6352" t="s">
        <v>78</v>
      </c>
      <c r="H6352" s="1">
        <v>45260</v>
      </c>
    </row>
    <row r="6353" spans="1:8">
      <c r="A6353" t="s">
        <v>12663</v>
      </c>
      <c r="B6353" t="s">
        <v>12664</v>
      </c>
      <c r="C6353" t="s">
        <v>10</v>
      </c>
      <c r="D6353">
        <v>45</v>
      </c>
      <c r="E6353" t="s">
        <v>63</v>
      </c>
      <c r="F6353" t="s">
        <v>64</v>
      </c>
      <c r="G6353" t="s">
        <v>12</v>
      </c>
      <c r="H6353" s="1">
        <v>44918</v>
      </c>
    </row>
    <row r="6354" spans="1:8">
      <c r="A6354" t="s">
        <v>12665</v>
      </c>
      <c r="B6354" t="s">
        <v>12666</v>
      </c>
      <c r="C6354" t="s">
        <v>31</v>
      </c>
      <c r="D6354">
        <v>41</v>
      </c>
      <c r="E6354" t="s">
        <v>20</v>
      </c>
      <c r="F6354" t="s">
        <v>21</v>
      </c>
      <c r="G6354" t="s">
        <v>22</v>
      </c>
      <c r="H6354" s="1">
        <v>45689</v>
      </c>
    </row>
    <row r="6355" spans="1:8">
      <c r="A6355" t="s">
        <v>12667</v>
      </c>
      <c r="B6355" t="s">
        <v>12668</v>
      </c>
      <c r="C6355" t="s">
        <v>10</v>
      </c>
      <c r="D6355">
        <v>56</v>
      </c>
      <c r="E6355" t="s">
        <v>27</v>
      </c>
      <c r="F6355" t="s">
        <v>28</v>
      </c>
      <c r="G6355" t="s">
        <v>12</v>
      </c>
      <c r="H6355" s="1">
        <v>44583</v>
      </c>
    </row>
    <row r="6356" spans="1:8">
      <c r="A6356" t="s">
        <v>12669</v>
      </c>
      <c r="B6356" t="s">
        <v>12670</v>
      </c>
      <c r="C6356" t="s">
        <v>10</v>
      </c>
      <c r="D6356">
        <v>66</v>
      </c>
      <c r="E6356" t="s">
        <v>45</v>
      </c>
      <c r="F6356" t="s">
        <v>46</v>
      </c>
      <c r="G6356" t="s">
        <v>17</v>
      </c>
      <c r="H6356" s="1">
        <v>45678</v>
      </c>
    </row>
    <row r="6357" spans="1:8">
      <c r="A6357" t="s">
        <v>12671</v>
      </c>
      <c r="B6357" t="s">
        <v>12672</v>
      </c>
      <c r="C6357" t="s">
        <v>10</v>
      </c>
      <c r="D6357">
        <v>18</v>
      </c>
      <c r="E6357" t="s">
        <v>37</v>
      </c>
      <c r="F6357" t="s">
        <v>38</v>
      </c>
      <c r="G6357" t="s">
        <v>22</v>
      </c>
      <c r="H6357" s="1">
        <v>44955</v>
      </c>
    </row>
    <row r="6358" spans="1:8">
      <c r="A6358" t="s">
        <v>12673</v>
      </c>
      <c r="B6358" t="s">
        <v>12674</v>
      </c>
      <c r="C6358" t="s">
        <v>31</v>
      </c>
      <c r="D6358">
        <v>23</v>
      </c>
      <c r="E6358" t="s">
        <v>149</v>
      </c>
      <c r="F6358" t="s">
        <v>38</v>
      </c>
      <c r="G6358" t="s">
        <v>22</v>
      </c>
      <c r="H6358" s="1">
        <v>45052</v>
      </c>
    </row>
    <row r="6359" spans="1:8">
      <c r="A6359" t="s">
        <v>12675</v>
      </c>
      <c r="B6359" t="s">
        <v>12676</v>
      </c>
      <c r="C6359" t="s">
        <v>31</v>
      </c>
      <c r="D6359">
        <v>54</v>
      </c>
      <c r="E6359" t="s">
        <v>37</v>
      </c>
      <c r="F6359" t="s">
        <v>38</v>
      </c>
      <c r="G6359" t="s">
        <v>22</v>
      </c>
      <c r="H6359" s="1">
        <v>45081</v>
      </c>
    </row>
    <row r="6360" spans="1:8">
      <c r="A6360" t="s">
        <v>12677</v>
      </c>
      <c r="B6360" t="s">
        <v>12678</v>
      </c>
      <c r="C6360" t="s">
        <v>10</v>
      </c>
      <c r="D6360">
        <v>28</v>
      </c>
      <c r="E6360" t="s">
        <v>45</v>
      </c>
      <c r="F6360" t="s">
        <v>46</v>
      </c>
      <c r="G6360" t="s">
        <v>17</v>
      </c>
      <c r="H6360" s="1">
        <v>44812</v>
      </c>
    </row>
    <row r="6361" spans="1:8">
      <c r="A6361" t="s">
        <v>12679</v>
      </c>
      <c r="B6361" t="s">
        <v>12680</v>
      </c>
      <c r="C6361" t="s">
        <v>10</v>
      </c>
      <c r="D6361">
        <v>27</v>
      </c>
      <c r="E6361" t="s">
        <v>134</v>
      </c>
      <c r="F6361" t="s">
        <v>28</v>
      </c>
      <c r="G6361" t="s">
        <v>12</v>
      </c>
      <c r="H6361" s="1">
        <v>44658</v>
      </c>
    </row>
    <row r="6362" spans="1:8">
      <c r="A6362" t="s">
        <v>12681</v>
      </c>
      <c r="B6362" t="s">
        <v>12682</v>
      </c>
      <c r="C6362" t="s">
        <v>10</v>
      </c>
      <c r="D6362">
        <v>54</v>
      </c>
      <c r="E6362" t="s">
        <v>76</v>
      </c>
      <c r="F6362" t="s">
        <v>77</v>
      </c>
      <c r="G6362" t="s">
        <v>78</v>
      </c>
      <c r="H6362" s="1">
        <v>44949</v>
      </c>
    </row>
    <row r="6363" spans="1:8">
      <c r="A6363" t="s">
        <v>12683</v>
      </c>
      <c r="B6363" t="s">
        <v>12684</v>
      </c>
      <c r="C6363" t="s">
        <v>31</v>
      </c>
      <c r="D6363">
        <v>54</v>
      </c>
      <c r="E6363" t="s">
        <v>60</v>
      </c>
      <c r="F6363" t="s">
        <v>21</v>
      </c>
      <c r="G6363" t="s">
        <v>22</v>
      </c>
      <c r="H6363" s="1">
        <v>45862</v>
      </c>
    </row>
    <row r="6364" spans="1:8">
      <c r="A6364" t="s">
        <v>12685</v>
      </c>
      <c r="B6364" t="s">
        <v>12686</v>
      </c>
      <c r="C6364" t="s">
        <v>31</v>
      </c>
      <c r="D6364">
        <v>24</v>
      </c>
      <c r="E6364" t="s">
        <v>101</v>
      </c>
      <c r="F6364" t="s">
        <v>21</v>
      </c>
      <c r="G6364" t="s">
        <v>22</v>
      </c>
      <c r="H6364" s="1">
        <v>45256</v>
      </c>
    </row>
    <row r="6365" spans="1:8">
      <c r="A6365" t="s">
        <v>12687</v>
      </c>
      <c r="B6365" t="s">
        <v>12688</v>
      </c>
      <c r="C6365" t="s">
        <v>31</v>
      </c>
      <c r="D6365">
        <v>62</v>
      </c>
      <c r="E6365" t="s">
        <v>149</v>
      </c>
      <c r="F6365" t="s">
        <v>38</v>
      </c>
      <c r="G6365" t="s">
        <v>22</v>
      </c>
      <c r="H6365" s="1">
        <v>44728</v>
      </c>
    </row>
    <row r="6366" spans="1:8">
      <c r="A6366" t="s">
        <v>12689</v>
      </c>
      <c r="B6366" t="s">
        <v>12690</v>
      </c>
      <c r="C6366" t="s">
        <v>31</v>
      </c>
      <c r="D6366">
        <v>50</v>
      </c>
      <c r="E6366" t="s">
        <v>15</v>
      </c>
      <c r="F6366" t="s">
        <v>16</v>
      </c>
      <c r="G6366" t="s">
        <v>17</v>
      </c>
      <c r="H6366" s="1">
        <v>45269</v>
      </c>
    </row>
    <row r="6367" spans="1:8">
      <c r="A6367" t="s">
        <v>12691</v>
      </c>
      <c r="B6367" t="s">
        <v>12692</v>
      </c>
      <c r="C6367" t="s">
        <v>31</v>
      </c>
      <c r="D6367">
        <v>22</v>
      </c>
      <c r="E6367" t="s">
        <v>20</v>
      </c>
      <c r="F6367" t="s">
        <v>21</v>
      </c>
      <c r="G6367" t="s">
        <v>22</v>
      </c>
      <c r="H6367" s="1">
        <v>45735</v>
      </c>
    </row>
    <row r="6368" spans="1:8">
      <c r="A6368" t="s">
        <v>12693</v>
      </c>
      <c r="B6368" t="s">
        <v>12694</v>
      </c>
      <c r="C6368" t="s">
        <v>31</v>
      </c>
      <c r="D6368">
        <v>23</v>
      </c>
      <c r="E6368" t="s">
        <v>41</v>
      </c>
      <c r="F6368" t="s">
        <v>42</v>
      </c>
      <c r="G6368" t="s">
        <v>17</v>
      </c>
      <c r="H6368" s="1">
        <v>44571</v>
      </c>
    </row>
    <row r="6369" spans="1:8">
      <c r="A6369" t="s">
        <v>12695</v>
      </c>
      <c r="B6369" t="s">
        <v>12696</v>
      </c>
      <c r="C6369" t="s">
        <v>10</v>
      </c>
      <c r="D6369">
        <v>66</v>
      </c>
      <c r="E6369" t="s">
        <v>91</v>
      </c>
      <c r="F6369" t="s">
        <v>92</v>
      </c>
      <c r="G6369" t="s">
        <v>78</v>
      </c>
      <c r="H6369" s="1">
        <v>45669</v>
      </c>
    </row>
    <row r="6370" spans="1:8">
      <c r="A6370" t="s">
        <v>12697</v>
      </c>
      <c r="B6370" t="s">
        <v>12698</v>
      </c>
      <c r="C6370" t="s">
        <v>31</v>
      </c>
      <c r="D6370">
        <v>31</v>
      </c>
      <c r="E6370" t="s">
        <v>27</v>
      </c>
      <c r="F6370" t="s">
        <v>28</v>
      </c>
      <c r="G6370" t="s">
        <v>12</v>
      </c>
      <c r="H6370" s="1">
        <v>45771</v>
      </c>
    </row>
    <row r="6371" spans="1:8">
      <c r="A6371" t="s">
        <v>12699</v>
      </c>
      <c r="B6371" t="s">
        <v>12700</v>
      </c>
      <c r="C6371" t="s">
        <v>31</v>
      </c>
      <c r="D6371">
        <v>25</v>
      </c>
      <c r="E6371" t="s">
        <v>41</v>
      </c>
      <c r="F6371" t="s">
        <v>42</v>
      </c>
      <c r="G6371" t="s">
        <v>17</v>
      </c>
      <c r="H6371" s="1">
        <v>45706</v>
      </c>
    </row>
    <row r="6372" spans="1:8">
      <c r="A6372" t="s">
        <v>12701</v>
      </c>
      <c r="B6372" t="s">
        <v>12702</v>
      </c>
      <c r="C6372" t="s">
        <v>31</v>
      </c>
      <c r="D6372">
        <v>47</v>
      </c>
      <c r="E6372" t="s">
        <v>69</v>
      </c>
      <c r="F6372" t="s">
        <v>69</v>
      </c>
      <c r="G6372" t="s">
        <v>12</v>
      </c>
      <c r="H6372" s="1">
        <v>45388</v>
      </c>
    </row>
    <row r="6373" spans="1:8">
      <c r="A6373" t="s">
        <v>12703</v>
      </c>
      <c r="B6373" t="s">
        <v>12704</v>
      </c>
      <c r="C6373" t="s">
        <v>10</v>
      </c>
      <c r="D6373">
        <v>42</v>
      </c>
      <c r="E6373" t="s">
        <v>112</v>
      </c>
      <c r="F6373" t="s">
        <v>113</v>
      </c>
      <c r="G6373" t="s">
        <v>78</v>
      </c>
      <c r="H6373" s="1">
        <v>44686</v>
      </c>
    </row>
    <row r="6374" spans="1:8">
      <c r="A6374" t="s">
        <v>12705</v>
      </c>
      <c r="B6374" t="s">
        <v>12706</v>
      </c>
      <c r="C6374" t="s">
        <v>31</v>
      </c>
      <c r="D6374">
        <v>61</v>
      </c>
      <c r="E6374" t="s">
        <v>45</v>
      </c>
      <c r="F6374" t="s">
        <v>46</v>
      </c>
      <c r="G6374" t="s">
        <v>17</v>
      </c>
      <c r="H6374" s="1">
        <v>45226</v>
      </c>
    </row>
    <row r="6375" spans="1:8">
      <c r="A6375" t="s">
        <v>12707</v>
      </c>
      <c r="B6375" t="s">
        <v>12708</v>
      </c>
      <c r="C6375" t="s">
        <v>31</v>
      </c>
      <c r="D6375">
        <v>66</v>
      </c>
      <c r="E6375" t="s">
        <v>63</v>
      </c>
      <c r="F6375" t="s">
        <v>64</v>
      </c>
      <c r="G6375" t="s">
        <v>12</v>
      </c>
      <c r="H6375" s="1">
        <v>44725</v>
      </c>
    </row>
    <row r="6376" spans="1:8">
      <c r="A6376" t="s">
        <v>12709</v>
      </c>
      <c r="B6376" t="s">
        <v>12710</v>
      </c>
      <c r="C6376" t="s">
        <v>10</v>
      </c>
      <c r="D6376">
        <v>34</v>
      </c>
      <c r="E6376" t="s">
        <v>34</v>
      </c>
      <c r="F6376" t="s">
        <v>16</v>
      </c>
      <c r="G6376" t="s">
        <v>17</v>
      </c>
      <c r="H6376" s="1">
        <v>45024</v>
      </c>
    </row>
    <row r="6377" spans="1:8">
      <c r="A6377" t="s">
        <v>12711</v>
      </c>
      <c r="B6377" t="s">
        <v>12712</v>
      </c>
      <c r="C6377" t="s">
        <v>31</v>
      </c>
      <c r="D6377">
        <v>66</v>
      </c>
      <c r="E6377" t="s">
        <v>69</v>
      </c>
      <c r="F6377" t="s">
        <v>69</v>
      </c>
      <c r="G6377" t="s">
        <v>12</v>
      </c>
      <c r="H6377" s="1">
        <v>45486</v>
      </c>
    </row>
    <row r="6378" spans="1:8">
      <c r="A6378" t="s">
        <v>12713</v>
      </c>
      <c r="B6378" t="s">
        <v>12714</v>
      </c>
      <c r="C6378" t="s">
        <v>10</v>
      </c>
      <c r="D6378">
        <v>67</v>
      </c>
      <c r="E6378" t="s">
        <v>91</v>
      </c>
      <c r="F6378" t="s">
        <v>92</v>
      </c>
      <c r="G6378" t="s">
        <v>78</v>
      </c>
      <c r="H6378" s="1">
        <v>45258</v>
      </c>
    </row>
    <row r="6379" spans="1:8">
      <c r="A6379" t="s">
        <v>12715</v>
      </c>
      <c r="B6379" t="s">
        <v>12716</v>
      </c>
      <c r="C6379" t="s">
        <v>10</v>
      </c>
      <c r="D6379">
        <v>55</v>
      </c>
      <c r="E6379" t="s">
        <v>218</v>
      </c>
      <c r="F6379" t="s">
        <v>219</v>
      </c>
      <c r="G6379" t="s">
        <v>17</v>
      </c>
      <c r="H6379" s="1">
        <v>45137</v>
      </c>
    </row>
    <row r="6380" spans="1:8">
      <c r="A6380" t="s">
        <v>12717</v>
      </c>
      <c r="B6380" t="s">
        <v>12718</v>
      </c>
      <c r="C6380" t="s">
        <v>10</v>
      </c>
      <c r="D6380">
        <v>52</v>
      </c>
      <c r="E6380" t="s">
        <v>149</v>
      </c>
      <c r="F6380" t="s">
        <v>38</v>
      </c>
      <c r="G6380" t="s">
        <v>22</v>
      </c>
      <c r="H6380" s="1">
        <v>45006</v>
      </c>
    </row>
    <row r="6381" spans="1:8">
      <c r="A6381" t="s">
        <v>12719</v>
      </c>
      <c r="B6381" t="s">
        <v>12720</v>
      </c>
      <c r="C6381" t="s">
        <v>10</v>
      </c>
      <c r="D6381">
        <v>39</v>
      </c>
      <c r="E6381" t="s">
        <v>45</v>
      </c>
      <c r="F6381" t="s">
        <v>46</v>
      </c>
      <c r="G6381" t="s">
        <v>17</v>
      </c>
      <c r="H6381" s="1">
        <v>45354</v>
      </c>
    </row>
    <row r="6382" spans="1:8">
      <c r="A6382" t="s">
        <v>12721</v>
      </c>
      <c r="B6382" t="s">
        <v>12722</v>
      </c>
      <c r="C6382" t="s">
        <v>10</v>
      </c>
      <c r="D6382">
        <v>47</v>
      </c>
      <c r="E6382" t="s">
        <v>76</v>
      </c>
      <c r="F6382" t="s">
        <v>77</v>
      </c>
      <c r="G6382" t="s">
        <v>78</v>
      </c>
      <c r="H6382" s="1">
        <v>45552</v>
      </c>
    </row>
    <row r="6383" spans="1:8">
      <c r="A6383" t="s">
        <v>12723</v>
      </c>
      <c r="B6383" t="s">
        <v>12724</v>
      </c>
      <c r="C6383" t="s">
        <v>31</v>
      </c>
      <c r="D6383">
        <v>69</v>
      </c>
      <c r="E6383" t="s">
        <v>27</v>
      </c>
      <c r="F6383" t="s">
        <v>28</v>
      </c>
      <c r="G6383" t="s">
        <v>12</v>
      </c>
      <c r="H6383" s="1">
        <v>45299</v>
      </c>
    </row>
    <row r="6384" spans="1:8">
      <c r="A6384" t="s">
        <v>12725</v>
      </c>
      <c r="B6384" t="s">
        <v>12726</v>
      </c>
      <c r="C6384" t="s">
        <v>10</v>
      </c>
      <c r="D6384">
        <v>21</v>
      </c>
      <c r="E6384" t="s">
        <v>20</v>
      </c>
      <c r="F6384" t="s">
        <v>21</v>
      </c>
      <c r="G6384" t="s">
        <v>22</v>
      </c>
      <c r="H6384" s="1">
        <v>44777</v>
      </c>
    </row>
    <row r="6385" spans="1:8">
      <c r="A6385" t="s">
        <v>12727</v>
      </c>
      <c r="B6385" t="s">
        <v>12728</v>
      </c>
      <c r="C6385" t="s">
        <v>31</v>
      </c>
      <c r="D6385">
        <v>37</v>
      </c>
      <c r="E6385" t="s">
        <v>60</v>
      </c>
      <c r="F6385" t="s">
        <v>21</v>
      </c>
      <c r="G6385" t="s">
        <v>22</v>
      </c>
      <c r="H6385" s="1">
        <v>45530</v>
      </c>
    </row>
    <row r="6386" spans="1:8">
      <c r="A6386" t="s">
        <v>12729</v>
      </c>
      <c r="B6386" t="s">
        <v>12730</v>
      </c>
      <c r="C6386" t="s">
        <v>31</v>
      </c>
      <c r="D6386">
        <v>44</v>
      </c>
      <c r="E6386" t="s">
        <v>91</v>
      </c>
      <c r="F6386" t="s">
        <v>92</v>
      </c>
      <c r="G6386" t="s">
        <v>78</v>
      </c>
      <c r="H6386" s="1">
        <v>45155</v>
      </c>
    </row>
    <row r="6387" spans="1:8">
      <c r="A6387" t="s">
        <v>12731</v>
      </c>
      <c r="B6387" t="s">
        <v>12732</v>
      </c>
      <c r="C6387" t="s">
        <v>31</v>
      </c>
      <c r="D6387">
        <v>27</v>
      </c>
      <c r="E6387" t="s">
        <v>101</v>
      </c>
      <c r="F6387" t="s">
        <v>21</v>
      </c>
      <c r="G6387" t="s">
        <v>22</v>
      </c>
      <c r="H6387" s="1">
        <v>45610</v>
      </c>
    </row>
    <row r="6388" spans="1:8">
      <c r="A6388" t="s">
        <v>12733</v>
      </c>
      <c r="B6388" t="s">
        <v>12734</v>
      </c>
      <c r="C6388" t="s">
        <v>31</v>
      </c>
      <c r="D6388">
        <v>50</v>
      </c>
      <c r="E6388" t="s">
        <v>218</v>
      </c>
      <c r="F6388" t="s">
        <v>219</v>
      </c>
      <c r="G6388" t="s">
        <v>17</v>
      </c>
      <c r="H6388" s="1">
        <v>44992</v>
      </c>
    </row>
    <row r="6389" spans="1:8">
      <c r="A6389" t="s">
        <v>12735</v>
      </c>
      <c r="B6389" t="s">
        <v>12736</v>
      </c>
      <c r="C6389" t="s">
        <v>10</v>
      </c>
      <c r="D6389">
        <v>56</v>
      </c>
      <c r="E6389" t="s">
        <v>20</v>
      </c>
      <c r="F6389" t="s">
        <v>21</v>
      </c>
      <c r="G6389" t="s">
        <v>22</v>
      </c>
      <c r="H6389" s="1">
        <v>44978</v>
      </c>
    </row>
    <row r="6390" spans="1:8">
      <c r="A6390" t="s">
        <v>12737</v>
      </c>
      <c r="B6390" t="s">
        <v>12738</v>
      </c>
      <c r="C6390" t="s">
        <v>31</v>
      </c>
      <c r="D6390">
        <v>65</v>
      </c>
      <c r="E6390" t="s">
        <v>149</v>
      </c>
      <c r="F6390" t="s">
        <v>38</v>
      </c>
      <c r="G6390" t="s">
        <v>22</v>
      </c>
      <c r="H6390" s="1">
        <v>45644</v>
      </c>
    </row>
    <row r="6391" spans="1:8">
      <c r="A6391" t="s">
        <v>12739</v>
      </c>
      <c r="B6391" t="s">
        <v>12740</v>
      </c>
      <c r="C6391" t="s">
        <v>10</v>
      </c>
      <c r="D6391">
        <v>59</v>
      </c>
      <c r="E6391" t="s">
        <v>149</v>
      </c>
      <c r="F6391" t="s">
        <v>38</v>
      </c>
      <c r="G6391" t="s">
        <v>22</v>
      </c>
      <c r="H6391" s="1">
        <v>45338</v>
      </c>
    </row>
    <row r="6392" spans="1:8">
      <c r="A6392" t="s">
        <v>12741</v>
      </c>
      <c r="B6392" t="s">
        <v>12742</v>
      </c>
      <c r="C6392" t="s">
        <v>10</v>
      </c>
      <c r="D6392">
        <v>51</v>
      </c>
      <c r="E6392" t="s">
        <v>69</v>
      </c>
      <c r="F6392" t="s">
        <v>69</v>
      </c>
      <c r="G6392" t="s">
        <v>12</v>
      </c>
      <c r="H6392" s="1">
        <v>44700</v>
      </c>
    </row>
    <row r="6393" spans="1:8">
      <c r="A6393" t="s">
        <v>12743</v>
      </c>
      <c r="B6393" t="s">
        <v>12744</v>
      </c>
      <c r="C6393" t="s">
        <v>31</v>
      </c>
      <c r="D6393">
        <v>20</v>
      </c>
      <c r="E6393" t="s">
        <v>41</v>
      </c>
      <c r="F6393" t="s">
        <v>42</v>
      </c>
      <c r="G6393" t="s">
        <v>17</v>
      </c>
      <c r="H6393" s="1">
        <v>45684</v>
      </c>
    </row>
    <row r="6394" spans="1:8">
      <c r="A6394" t="s">
        <v>12745</v>
      </c>
      <c r="B6394" t="s">
        <v>12746</v>
      </c>
      <c r="C6394" t="s">
        <v>31</v>
      </c>
      <c r="D6394">
        <v>46</v>
      </c>
      <c r="E6394" t="s">
        <v>69</v>
      </c>
      <c r="F6394" t="s">
        <v>69</v>
      </c>
      <c r="G6394" t="s">
        <v>12</v>
      </c>
      <c r="H6394" s="1">
        <v>45464</v>
      </c>
    </row>
    <row r="6395" spans="1:8">
      <c r="A6395" t="s">
        <v>12747</v>
      </c>
      <c r="B6395" t="s">
        <v>12748</v>
      </c>
      <c r="C6395" t="s">
        <v>10</v>
      </c>
      <c r="D6395">
        <v>54</v>
      </c>
      <c r="E6395" t="s">
        <v>69</v>
      </c>
      <c r="F6395" t="s">
        <v>69</v>
      </c>
      <c r="G6395" t="s">
        <v>12</v>
      </c>
      <c r="H6395" s="1">
        <v>44645</v>
      </c>
    </row>
    <row r="6396" spans="1:8">
      <c r="A6396" t="s">
        <v>12749</v>
      </c>
      <c r="B6396" t="s">
        <v>12750</v>
      </c>
      <c r="C6396" t="s">
        <v>31</v>
      </c>
      <c r="D6396">
        <v>32</v>
      </c>
      <c r="E6396" t="s">
        <v>149</v>
      </c>
      <c r="F6396" t="s">
        <v>38</v>
      </c>
      <c r="G6396" t="s">
        <v>22</v>
      </c>
      <c r="H6396" s="1">
        <v>44857</v>
      </c>
    </row>
    <row r="6397" spans="1:8">
      <c r="A6397" t="s">
        <v>12751</v>
      </c>
      <c r="B6397" t="s">
        <v>12752</v>
      </c>
      <c r="C6397" t="s">
        <v>31</v>
      </c>
      <c r="D6397">
        <v>22</v>
      </c>
      <c r="E6397" t="s">
        <v>60</v>
      </c>
      <c r="F6397" t="s">
        <v>21</v>
      </c>
      <c r="G6397" t="s">
        <v>22</v>
      </c>
      <c r="H6397" s="1">
        <v>44938</v>
      </c>
    </row>
    <row r="6398" spans="1:8">
      <c r="A6398" t="s">
        <v>12753</v>
      </c>
      <c r="B6398" t="s">
        <v>12754</v>
      </c>
      <c r="C6398" t="s">
        <v>31</v>
      </c>
      <c r="D6398">
        <v>66</v>
      </c>
      <c r="E6398" t="s">
        <v>11</v>
      </c>
      <c r="F6398" t="s">
        <v>11</v>
      </c>
      <c r="G6398" t="s">
        <v>12</v>
      </c>
      <c r="H6398" s="1">
        <v>44674</v>
      </c>
    </row>
    <row r="6399" spans="1:8">
      <c r="A6399" t="s">
        <v>12755</v>
      </c>
      <c r="B6399" t="s">
        <v>12756</v>
      </c>
      <c r="C6399" t="s">
        <v>10</v>
      </c>
      <c r="D6399">
        <v>53</v>
      </c>
      <c r="E6399" t="s">
        <v>45</v>
      </c>
      <c r="F6399" t="s">
        <v>46</v>
      </c>
      <c r="G6399" t="s">
        <v>17</v>
      </c>
      <c r="H6399" s="1">
        <v>44814</v>
      </c>
    </row>
    <row r="6400" spans="1:8">
      <c r="A6400" t="s">
        <v>12757</v>
      </c>
      <c r="B6400" t="s">
        <v>12758</v>
      </c>
      <c r="C6400" t="s">
        <v>10</v>
      </c>
      <c r="D6400">
        <v>44</v>
      </c>
      <c r="E6400" t="s">
        <v>63</v>
      </c>
      <c r="F6400" t="s">
        <v>64</v>
      </c>
      <c r="G6400" t="s">
        <v>12</v>
      </c>
      <c r="H6400" s="1">
        <v>44945</v>
      </c>
    </row>
    <row r="6401" spans="1:8">
      <c r="A6401" t="s">
        <v>12759</v>
      </c>
      <c r="B6401" t="s">
        <v>12760</v>
      </c>
      <c r="C6401" t="s">
        <v>10</v>
      </c>
      <c r="D6401">
        <v>28</v>
      </c>
      <c r="E6401" t="s">
        <v>101</v>
      </c>
      <c r="F6401" t="s">
        <v>21</v>
      </c>
      <c r="G6401" t="s">
        <v>22</v>
      </c>
      <c r="H6401" s="1">
        <v>45150</v>
      </c>
    </row>
    <row r="6402" spans="1:8">
      <c r="A6402" t="s">
        <v>12761</v>
      </c>
      <c r="B6402" t="s">
        <v>12762</v>
      </c>
      <c r="C6402" t="s">
        <v>10</v>
      </c>
      <c r="D6402">
        <v>31</v>
      </c>
      <c r="E6402" t="s">
        <v>34</v>
      </c>
      <c r="F6402" t="s">
        <v>16</v>
      </c>
      <c r="G6402" t="s">
        <v>17</v>
      </c>
      <c r="H6402" s="1">
        <v>44668</v>
      </c>
    </row>
    <row r="6403" spans="1:8">
      <c r="A6403" t="s">
        <v>12763</v>
      </c>
      <c r="B6403" t="s">
        <v>12764</v>
      </c>
      <c r="C6403" t="s">
        <v>31</v>
      </c>
      <c r="D6403">
        <v>42</v>
      </c>
      <c r="E6403" t="s">
        <v>63</v>
      </c>
      <c r="F6403" t="s">
        <v>64</v>
      </c>
      <c r="G6403" t="s">
        <v>12</v>
      </c>
      <c r="H6403" s="1">
        <v>45078</v>
      </c>
    </row>
    <row r="6404" spans="1:8">
      <c r="A6404" t="s">
        <v>12765</v>
      </c>
      <c r="B6404" t="s">
        <v>12766</v>
      </c>
      <c r="C6404" t="s">
        <v>10</v>
      </c>
      <c r="D6404">
        <v>42</v>
      </c>
      <c r="E6404" t="s">
        <v>41</v>
      </c>
      <c r="F6404" t="s">
        <v>42</v>
      </c>
      <c r="G6404" t="s">
        <v>17</v>
      </c>
      <c r="H6404" s="1">
        <v>46012</v>
      </c>
    </row>
    <row r="6405" spans="1:8">
      <c r="A6405" t="s">
        <v>12767</v>
      </c>
      <c r="B6405" t="s">
        <v>12768</v>
      </c>
      <c r="C6405" t="s">
        <v>10</v>
      </c>
      <c r="D6405">
        <v>61</v>
      </c>
      <c r="E6405" t="s">
        <v>37</v>
      </c>
      <c r="F6405" t="s">
        <v>38</v>
      </c>
      <c r="G6405" t="s">
        <v>22</v>
      </c>
      <c r="H6405" s="1">
        <v>46011</v>
      </c>
    </row>
    <row r="6406" spans="1:8">
      <c r="A6406" t="s">
        <v>12769</v>
      </c>
      <c r="B6406" t="s">
        <v>12770</v>
      </c>
      <c r="C6406" t="s">
        <v>31</v>
      </c>
      <c r="D6406">
        <v>59</v>
      </c>
      <c r="E6406" t="s">
        <v>112</v>
      </c>
      <c r="F6406" t="s">
        <v>113</v>
      </c>
      <c r="G6406" t="s">
        <v>78</v>
      </c>
      <c r="H6406" s="1">
        <v>45815</v>
      </c>
    </row>
    <row r="6407" spans="1:8">
      <c r="A6407" t="s">
        <v>12771</v>
      </c>
      <c r="B6407" t="s">
        <v>12772</v>
      </c>
      <c r="C6407" t="s">
        <v>31</v>
      </c>
      <c r="D6407">
        <v>38</v>
      </c>
      <c r="E6407" t="s">
        <v>45</v>
      </c>
      <c r="F6407" t="s">
        <v>46</v>
      </c>
      <c r="G6407" t="s">
        <v>17</v>
      </c>
      <c r="H6407" s="1">
        <v>45458</v>
      </c>
    </row>
    <row r="6408" spans="1:8">
      <c r="A6408" t="s">
        <v>12773</v>
      </c>
      <c r="B6408" t="s">
        <v>12774</v>
      </c>
      <c r="C6408" t="s">
        <v>10</v>
      </c>
      <c r="D6408">
        <v>26</v>
      </c>
      <c r="E6408" t="s">
        <v>27</v>
      </c>
      <c r="F6408" t="s">
        <v>28</v>
      </c>
      <c r="G6408" t="s">
        <v>12</v>
      </c>
      <c r="H6408" s="1">
        <v>45187</v>
      </c>
    </row>
    <row r="6409" spans="1:8">
      <c r="A6409" t="s">
        <v>12775</v>
      </c>
      <c r="B6409" t="s">
        <v>12776</v>
      </c>
      <c r="C6409" t="s">
        <v>10</v>
      </c>
      <c r="D6409">
        <v>20</v>
      </c>
      <c r="E6409" t="s">
        <v>101</v>
      </c>
      <c r="F6409" t="s">
        <v>21</v>
      </c>
      <c r="G6409" t="s">
        <v>22</v>
      </c>
      <c r="H6409" s="1">
        <v>45549</v>
      </c>
    </row>
    <row r="6410" spans="1:8">
      <c r="A6410" t="s">
        <v>12777</v>
      </c>
      <c r="B6410" t="s">
        <v>12778</v>
      </c>
      <c r="C6410" t="s">
        <v>31</v>
      </c>
      <c r="D6410">
        <v>36</v>
      </c>
      <c r="E6410" t="s">
        <v>134</v>
      </c>
      <c r="F6410" t="s">
        <v>28</v>
      </c>
      <c r="G6410" t="s">
        <v>12</v>
      </c>
      <c r="H6410" s="1">
        <v>45081</v>
      </c>
    </row>
    <row r="6411" spans="1:8">
      <c r="A6411" t="s">
        <v>12779</v>
      </c>
      <c r="B6411" t="s">
        <v>12780</v>
      </c>
      <c r="C6411" t="s">
        <v>10</v>
      </c>
      <c r="D6411">
        <v>25</v>
      </c>
      <c r="E6411" t="s">
        <v>37</v>
      </c>
      <c r="F6411" t="s">
        <v>38</v>
      </c>
      <c r="G6411" t="s">
        <v>22</v>
      </c>
      <c r="H6411" s="1">
        <v>45064</v>
      </c>
    </row>
    <row r="6412" spans="1:8">
      <c r="A6412" t="s">
        <v>12781</v>
      </c>
      <c r="B6412" t="s">
        <v>12782</v>
      </c>
      <c r="C6412" t="s">
        <v>31</v>
      </c>
      <c r="D6412">
        <v>28</v>
      </c>
      <c r="E6412" t="s">
        <v>128</v>
      </c>
      <c r="F6412" t="s">
        <v>129</v>
      </c>
      <c r="G6412" t="s">
        <v>78</v>
      </c>
      <c r="H6412" s="1">
        <v>44582</v>
      </c>
    </row>
    <row r="6413" spans="1:8">
      <c r="A6413" t="s">
        <v>12783</v>
      </c>
      <c r="B6413" t="s">
        <v>12784</v>
      </c>
      <c r="C6413" t="s">
        <v>10</v>
      </c>
      <c r="D6413">
        <v>38</v>
      </c>
      <c r="E6413" t="s">
        <v>37</v>
      </c>
      <c r="F6413" t="s">
        <v>38</v>
      </c>
      <c r="G6413" t="s">
        <v>22</v>
      </c>
      <c r="H6413" s="1">
        <v>44855</v>
      </c>
    </row>
    <row r="6414" spans="1:8">
      <c r="A6414" t="s">
        <v>12785</v>
      </c>
      <c r="B6414" t="s">
        <v>12786</v>
      </c>
      <c r="C6414" t="s">
        <v>31</v>
      </c>
      <c r="D6414">
        <v>26</v>
      </c>
      <c r="E6414" t="s">
        <v>41</v>
      </c>
      <c r="F6414" t="s">
        <v>42</v>
      </c>
      <c r="G6414" t="s">
        <v>17</v>
      </c>
      <c r="H6414" s="1">
        <v>45402</v>
      </c>
    </row>
    <row r="6415" spans="1:8">
      <c r="A6415" t="s">
        <v>12787</v>
      </c>
      <c r="B6415" t="s">
        <v>12788</v>
      </c>
      <c r="C6415" t="s">
        <v>31</v>
      </c>
      <c r="D6415">
        <v>53</v>
      </c>
      <c r="E6415" t="s">
        <v>20</v>
      </c>
      <c r="F6415" t="s">
        <v>21</v>
      </c>
      <c r="G6415" t="s">
        <v>22</v>
      </c>
      <c r="H6415" s="1">
        <v>45544</v>
      </c>
    </row>
    <row r="6416" spans="1:8">
      <c r="A6416" t="s">
        <v>12789</v>
      </c>
      <c r="B6416" t="s">
        <v>12790</v>
      </c>
      <c r="C6416" t="s">
        <v>31</v>
      </c>
      <c r="D6416">
        <v>19</v>
      </c>
      <c r="E6416" t="s">
        <v>149</v>
      </c>
      <c r="F6416" t="s">
        <v>38</v>
      </c>
      <c r="G6416" t="s">
        <v>22</v>
      </c>
      <c r="H6416" s="1">
        <v>45676</v>
      </c>
    </row>
    <row r="6417" spans="1:8">
      <c r="A6417" t="s">
        <v>12791</v>
      </c>
      <c r="B6417" t="s">
        <v>12792</v>
      </c>
      <c r="C6417" t="s">
        <v>10</v>
      </c>
      <c r="D6417">
        <v>28</v>
      </c>
      <c r="E6417" t="s">
        <v>11</v>
      </c>
      <c r="F6417" t="s">
        <v>11</v>
      </c>
      <c r="G6417" t="s">
        <v>12</v>
      </c>
      <c r="H6417" s="1">
        <v>45030</v>
      </c>
    </row>
    <row r="6418" spans="1:8">
      <c r="A6418" t="s">
        <v>12793</v>
      </c>
      <c r="B6418" t="s">
        <v>12794</v>
      </c>
      <c r="C6418" t="s">
        <v>10</v>
      </c>
      <c r="D6418">
        <v>23</v>
      </c>
      <c r="E6418" t="s">
        <v>15</v>
      </c>
      <c r="F6418" t="s">
        <v>16</v>
      </c>
      <c r="G6418" t="s">
        <v>17</v>
      </c>
      <c r="H6418" s="1">
        <v>45546</v>
      </c>
    </row>
    <row r="6419" spans="1:8">
      <c r="A6419" t="s">
        <v>12795</v>
      </c>
      <c r="B6419" t="s">
        <v>12796</v>
      </c>
      <c r="C6419" t="s">
        <v>31</v>
      </c>
      <c r="D6419">
        <v>44</v>
      </c>
      <c r="E6419" t="s">
        <v>134</v>
      </c>
      <c r="F6419" t="s">
        <v>28</v>
      </c>
      <c r="G6419" t="s">
        <v>12</v>
      </c>
      <c r="H6419" s="1">
        <v>45709</v>
      </c>
    </row>
    <row r="6420" spans="1:8">
      <c r="A6420" t="s">
        <v>12797</v>
      </c>
      <c r="B6420" t="s">
        <v>12682</v>
      </c>
      <c r="C6420" t="s">
        <v>10</v>
      </c>
      <c r="D6420">
        <v>52</v>
      </c>
      <c r="E6420" t="s">
        <v>128</v>
      </c>
      <c r="F6420" t="s">
        <v>129</v>
      </c>
      <c r="G6420" t="s">
        <v>78</v>
      </c>
      <c r="H6420" s="1">
        <v>45743</v>
      </c>
    </row>
    <row r="6421" spans="1:8">
      <c r="A6421" t="s">
        <v>12798</v>
      </c>
      <c r="B6421" t="s">
        <v>12799</v>
      </c>
      <c r="C6421" t="s">
        <v>31</v>
      </c>
      <c r="D6421">
        <v>28</v>
      </c>
      <c r="E6421" t="s">
        <v>27</v>
      </c>
      <c r="F6421" t="s">
        <v>28</v>
      </c>
      <c r="G6421" t="s">
        <v>12</v>
      </c>
      <c r="H6421" s="1">
        <v>45636</v>
      </c>
    </row>
    <row r="6422" spans="1:8">
      <c r="A6422" t="s">
        <v>12800</v>
      </c>
      <c r="B6422" t="s">
        <v>12801</v>
      </c>
      <c r="C6422" t="s">
        <v>10</v>
      </c>
      <c r="D6422">
        <v>70</v>
      </c>
      <c r="E6422" t="s">
        <v>128</v>
      </c>
      <c r="F6422" t="s">
        <v>129</v>
      </c>
      <c r="G6422" t="s">
        <v>78</v>
      </c>
      <c r="H6422" s="1">
        <v>45579</v>
      </c>
    </row>
    <row r="6423" spans="1:8">
      <c r="A6423" t="s">
        <v>12802</v>
      </c>
      <c r="B6423" t="s">
        <v>12803</v>
      </c>
      <c r="C6423" t="s">
        <v>10</v>
      </c>
      <c r="D6423">
        <v>69</v>
      </c>
      <c r="E6423" t="s">
        <v>11</v>
      </c>
      <c r="F6423" t="s">
        <v>11</v>
      </c>
      <c r="G6423" t="s">
        <v>12</v>
      </c>
      <c r="H6423" s="1">
        <v>45077</v>
      </c>
    </row>
    <row r="6424" spans="1:8">
      <c r="A6424" t="s">
        <v>12804</v>
      </c>
      <c r="B6424" t="s">
        <v>12805</v>
      </c>
      <c r="C6424" t="s">
        <v>10</v>
      </c>
      <c r="D6424">
        <v>54</v>
      </c>
      <c r="E6424" t="s">
        <v>37</v>
      </c>
      <c r="F6424" t="s">
        <v>38</v>
      </c>
      <c r="G6424" t="s">
        <v>22</v>
      </c>
      <c r="H6424" s="1">
        <v>45399</v>
      </c>
    </row>
    <row r="6425" spans="1:8">
      <c r="A6425" t="s">
        <v>12806</v>
      </c>
      <c r="B6425" t="s">
        <v>12807</v>
      </c>
      <c r="C6425" t="s">
        <v>31</v>
      </c>
      <c r="D6425">
        <v>37</v>
      </c>
      <c r="E6425" t="s">
        <v>69</v>
      </c>
      <c r="F6425" t="s">
        <v>69</v>
      </c>
      <c r="G6425" t="s">
        <v>12</v>
      </c>
      <c r="H6425" s="1">
        <v>45927</v>
      </c>
    </row>
    <row r="6426" spans="1:8">
      <c r="A6426" t="s">
        <v>12808</v>
      </c>
      <c r="B6426" t="s">
        <v>12809</v>
      </c>
      <c r="C6426" t="s">
        <v>10</v>
      </c>
      <c r="D6426">
        <v>30</v>
      </c>
      <c r="E6426" t="s">
        <v>149</v>
      </c>
      <c r="F6426" t="s">
        <v>38</v>
      </c>
      <c r="G6426" t="s">
        <v>22</v>
      </c>
      <c r="H6426" s="1">
        <v>44579</v>
      </c>
    </row>
    <row r="6427" spans="1:8">
      <c r="A6427" t="s">
        <v>12810</v>
      </c>
      <c r="B6427" t="s">
        <v>12811</v>
      </c>
      <c r="C6427" t="s">
        <v>10</v>
      </c>
      <c r="D6427">
        <v>48</v>
      </c>
      <c r="E6427" t="s">
        <v>27</v>
      </c>
      <c r="F6427" t="s">
        <v>28</v>
      </c>
      <c r="G6427" t="s">
        <v>12</v>
      </c>
      <c r="H6427" s="1">
        <v>45702</v>
      </c>
    </row>
    <row r="6428" spans="1:8">
      <c r="A6428" t="s">
        <v>12812</v>
      </c>
      <c r="B6428" t="s">
        <v>12813</v>
      </c>
      <c r="C6428" t="s">
        <v>10</v>
      </c>
      <c r="D6428">
        <v>29</v>
      </c>
      <c r="E6428" t="s">
        <v>45</v>
      </c>
      <c r="F6428" t="s">
        <v>46</v>
      </c>
      <c r="G6428" t="s">
        <v>17</v>
      </c>
      <c r="H6428" s="1">
        <v>44722</v>
      </c>
    </row>
    <row r="6429" spans="1:8">
      <c r="A6429" t="s">
        <v>12814</v>
      </c>
      <c r="B6429" t="s">
        <v>12815</v>
      </c>
      <c r="C6429" t="s">
        <v>10</v>
      </c>
      <c r="D6429">
        <v>27</v>
      </c>
      <c r="E6429" t="s">
        <v>37</v>
      </c>
      <c r="F6429" t="s">
        <v>38</v>
      </c>
      <c r="G6429" t="s">
        <v>22</v>
      </c>
      <c r="H6429" s="1">
        <v>45255</v>
      </c>
    </row>
    <row r="6430" spans="1:8">
      <c r="A6430" t="s">
        <v>12816</v>
      </c>
      <c r="B6430" t="s">
        <v>12817</v>
      </c>
      <c r="C6430" t="s">
        <v>10</v>
      </c>
      <c r="D6430">
        <v>64</v>
      </c>
      <c r="E6430" t="s">
        <v>76</v>
      </c>
      <c r="F6430" t="s">
        <v>77</v>
      </c>
      <c r="G6430" t="s">
        <v>78</v>
      </c>
      <c r="H6430" s="1">
        <v>45956</v>
      </c>
    </row>
    <row r="6431" spans="1:8">
      <c r="A6431" t="s">
        <v>12818</v>
      </c>
      <c r="B6431" t="s">
        <v>12819</v>
      </c>
      <c r="C6431" t="s">
        <v>31</v>
      </c>
      <c r="D6431">
        <v>41</v>
      </c>
      <c r="E6431" t="s">
        <v>11</v>
      </c>
      <c r="F6431" t="s">
        <v>11</v>
      </c>
      <c r="G6431" t="s">
        <v>12</v>
      </c>
      <c r="H6431" s="1">
        <v>44730</v>
      </c>
    </row>
    <row r="6432" spans="1:8">
      <c r="A6432" t="s">
        <v>12820</v>
      </c>
      <c r="B6432" t="s">
        <v>12821</v>
      </c>
      <c r="C6432" t="s">
        <v>31</v>
      </c>
      <c r="D6432">
        <v>35</v>
      </c>
      <c r="E6432" t="s">
        <v>45</v>
      </c>
      <c r="F6432" t="s">
        <v>46</v>
      </c>
      <c r="G6432" t="s">
        <v>17</v>
      </c>
      <c r="H6432" s="1">
        <v>44698</v>
      </c>
    </row>
    <row r="6433" spans="1:8">
      <c r="A6433" t="s">
        <v>12822</v>
      </c>
      <c r="B6433" t="s">
        <v>12823</v>
      </c>
      <c r="C6433" t="s">
        <v>10</v>
      </c>
      <c r="D6433">
        <v>21</v>
      </c>
      <c r="E6433" t="s">
        <v>60</v>
      </c>
      <c r="F6433" t="s">
        <v>21</v>
      </c>
      <c r="G6433" t="s">
        <v>22</v>
      </c>
      <c r="H6433" s="1">
        <v>44843</v>
      </c>
    </row>
    <row r="6434" spans="1:8">
      <c r="A6434" t="s">
        <v>12824</v>
      </c>
      <c r="B6434" t="s">
        <v>12825</v>
      </c>
      <c r="C6434" t="s">
        <v>31</v>
      </c>
      <c r="D6434">
        <v>26</v>
      </c>
      <c r="E6434" t="s">
        <v>91</v>
      </c>
      <c r="F6434" t="s">
        <v>92</v>
      </c>
      <c r="G6434" t="s">
        <v>78</v>
      </c>
      <c r="H6434" s="1">
        <v>45393</v>
      </c>
    </row>
    <row r="6435" spans="1:8">
      <c r="A6435" t="s">
        <v>12826</v>
      </c>
      <c r="B6435" t="s">
        <v>12827</v>
      </c>
      <c r="C6435" t="s">
        <v>10</v>
      </c>
      <c r="D6435">
        <v>67</v>
      </c>
      <c r="E6435" t="s">
        <v>91</v>
      </c>
      <c r="F6435" t="s">
        <v>92</v>
      </c>
      <c r="G6435" t="s">
        <v>78</v>
      </c>
      <c r="H6435" s="1">
        <v>45893</v>
      </c>
    </row>
    <row r="6436" spans="1:8">
      <c r="A6436" t="s">
        <v>12828</v>
      </c>
      <c r="B6436" t="s">
        <v>12829</v>
      </c>
      <c r="C6436" t="s">
        <v>31</v>
      </c>
      <c r="D6436">
        <v>34</v>
      </c>
      <c r="E6436" t="s">
        <v>34</v>
      </c>
      <c r="F6436" t="s">
        <v>16</v>
      </c>
      <c r="G6436" t="s">
        <v>17</v>
      </c>
      <c r="H6436" s="1">
        <v>45392</v>
      </c>
    </row>
    <row r="6437" spans="1:8">
      <c r="A6437" t="s">
        <v>12830</v>
      </c>
      <c r="B6437" t="s">
        <v>12831</v>
      </c>
      <c r="C6437" t="s">
        <v>31</v>
      </c>
      <c r="D6437">
        <v>21</v>
      </c>
      <c r="E6437" t="s">
        <v>15</v>
      </c>
      <c r="F6437" t="s">
        <v>16</v>
      </c>
      <c r="G6437" t="s">
        <v>17</v>
      </c>
      <c r="H6437" s="1">
        <v>45032</v>
      </c>
    </row>
    <row r="6438" spans="1:8">
      <c r="A6438" t="s">
        <v>12832</v>
      </c>
      <c r="B6438" t="s">
        <v>12833</v>
      </c>
      <c r="C6438" t="s">
        <v>10</v>
      </c>
      <c r="D6438">
        <v>30</v>
      </c>
      <c r="E6438" t="s">
        <v>37</v>
      </c>
      <c r="F6438" t="s">
        <v>38</v>
      </c>
      <c r="G6438" t="s">
        <v>22</v>
      </c>
      <c r="H6438" s="1">
        <v>45160</v>
      </c>
    </row>
    <row r="6439" spans="1:8">
      <c r="A6439" t="s">
        <v>12834</v>
      </c>
      <c r="B6439" t="s">
        <v>12835</v>
      </c>
      <c r="C6439" t="s">
        <v>31</v>
      </c>
      <c r="D6439">
        <v>27</v>
      </c>
      <c r="E6439" t="s">
        <v>45</v>
      </c>
      <c r="F6439" t="s">
        <v>46</v>
      </c>
      <c r="G6439" t="s">
        <v>17</v>
      </c>
      <c r="H6439" s="1">
        <v>45601</v>
      </c>
    </row>
    <row r="6440" spans="1:8">
      <c r="A6440" t="s">
        <v>12836</v>
      </c>
      <c r="B6440" t="s">
        <v>12837</v>
      </c>
      <c r="C6440" t="s">
        <v>31</v>
      </c>
      <c r="D6440">
        <v>52</v>
      </c>
      <c r="E6440" t="s">
        <v>128</v>
      </c>
      <c r="F6440" t="s">
        <v>129</v>
      </c>
      <c r="G6440" t="s">
        <v>78</v>
      </c>
      <c r="H6440" s="1">
        <v>45004</v>
      </c>
    </row>
    <row r="6441" spans="1:8">
      <c r="A6441" t="s">
        <v>12838</v>
      </c>
      <c r="B6441" t="s">
        <v>12839</v>
      </c>
      <c r="C6441" t="s">
        <v>10</v>
      </c>
      <c r="D6441">
        <v>68</v>
      </c>
      <c r="E6441" t="s">
        <v>11</v>
      </c>
      <c r="F6441" t="s">
        <v>11</v>
      </c>
      <c r="G6441" t="s">
        <v>12</v>
      </c>
      <c r="H6441" s="1">
        <v>45434</v>
      </c>
    </row>
    <row r="6442" spans="1:8">
      <c r="A6442" t="s">
        <v>12840</v>
      </c>
      <c r="B6442" t="s">
        <v>12841</v>
      </c>
      <c r="C6442" t="s">
        <v>31</v>
      </c>
      <c r="D6442">
        <v>56</v>
      </c>
      <c r="E6442" t="s">
        <v>45</v>
      </c>
      <c r="F6442" t="s">
        <v>46</v>
      </c>
      <c r="G6442" t="s">
        <v>17</v>
      </c>
      <c r="H6442" s="1">
        <v>45249</v>
      </c>
    </row>
    <row r="6443" spans="1:8">
      <c r="A6443" t="s">
        <v>12842</v>
      </c>
      <c r="B6443" t="s">
        <v>12843</v>
      </c>
      <c r="C6443" t="s">
        <v>31</v>
      </c>
      <c r="D6443">
        <v>22</v>
      </c>
      <c r="E6443" t="s">
        <v>34</v>
      </c>
      <c r="F6443" t="s">
        <v>16</v>
      </c>
      <c r="G6443" t="s">
        <v>17</v>
      </c>
      <c r="H6443" s="1">
        <v>45383</v>
      </c>
    </row>
    <row r="6444" spans="1:8">
      <c r="A6444" t="s">
        <v>12844</v>
      </c>
      <c r="B6444" t="s">
        <v>12845</v>
      </c>
      <c r="C6444" t="s">
        <v>10</v>
      </c>
      <c r="D6444">
        <v>57</v>
      </c>
      <c r="E6444" t="s">
        <v>218</v>
      </c>
      <c r="F6444" t="s">
        <v>219</v>
      </c>
      <c r="G6444" t="s">
        <v>17</v>
      </c>
      <c r="H6444" s="1">
        <v>45262</v>
      </c>
    </row>
    <row r="6445" spans="1:8">
      <c r="A6445" t="s">
        <v>12846</v>
      </c>
      <c r="B6445" t="s">
        <v>12847</v>
      </c>
      <c r="C6445" t="s">
        <v>31</v>
      </c>
      <c r="D6445">
        <v>20</v>
      </c>
      <c r="E6445" t="s">
        <v>11</v>
      </c>
      <c r="F6445" t="s">
        <v>11</v>
      </c>
      <c r="G6445" t="s">
        <v>12</v>
      </c>
      <c r="H6445" s="1">
        <v>44757</v>
      </c>
    </row>
    <row r="6446" spans="1:8">
      <c r="A6446" t="s">
        <v>12848</v>
      </c>
      <c r="B6446" t="s">
        <v>12849</v>
      </c>
      <c r="C6446" t="s">
        <v>31</v>
      </c>
      <c r="D6446">
        <v>56</v>
      </c>
      <c r="E6446" t="s">
        <v>27</v>
      </c>
      <c r="F6446" t="s">
        <v>28</v>
      </c>
      <c r="G6446" t="s">
        <v>12</v>
      </c>
      <c r="H6446" s="1">
        <v>45447</v>
      </c>
    </row>
    <row r="6447" spans="1:8">
      <c r="A6447" t="s">
        <v>12850</v>
      </c>
      <c r="B6447" t="s">
        <v>12851</v>
      </c>
      <c r="C6447" t="s">
        <v>10</v>
      </c>
      <c r="D6447">
        <v>19</v>
      </c>
      <c r="E6447" t="s">
        <v>112</v>
      </c>
      <c r="F6447" t="s">
        <v>113</v>
      </c>
      <c r="G6447" t="s">
        <v>78</v>
      </c>
      <c r="H6447" s="1">
        <v>45932</v>
      </c>
    </row>
    <row r="6448" spans="1:8">
      <c r="A6448" t="s">
        <v>12852</v>
      </c>
      <c r="B6448" t="s">
        <v>12853</v>
      </c>
      <c r="C6448" t="s">
        <v>10</v>
      </c>
      <c r="D6448">
        <v>20</v>
      </c>
      <c r="E6448" t="s">
        <v>134</v>
      </c>
      <c r="F6448" t="s">
        <v>28</v>
      </c>
      <c r="G6448" t="s">
        <v>12</v>
      </c>
      <c r="H6448" s="1">
        <v>44712</v>
      </c>
    </row>
    <row r="6449" spans="1:8">
      <c r="A6449" t="s">
        <v>12854</v>
      </c>
      <c r="B6449" t="s">
        <v>12855</v>
      </c>
      <c r="C6449" t="s">
        <v>31</v>
      </c>
      <c r="D6449">
        <v>26</v>
      </c>
      <c r="E6449" t="s">
        <v>218</v>
      </c>
      <c r="F6449" t="s">
        <v>219</v>
      </c>
      <c r="G6449" t="s">
        <v>17</v>
      </c>
      <c r="H6449" s="1">
        <v>44878</v>
      </c>
    </row>
    <row r="6450" spans="1:8">
      <c r="A6450" t="s">
        <v>12856</v>
      </c>
      <c r="B6450" t="s">
        <v>12857</v>
      </c>
      <c r="C6450" t="s">
        <v>31</v>
      </c>
      <c r="D6450">
        <v>18</v>
      </c>
      <c r="E6450" t="s">
        <v>34</v>
      </c>
      <c r="F6450" t="s">
        <v>16</v>
      </c>
      <c r="G6450" t="s">
        <v>17</v>
      </c>
      <c r="H6450" s="1">
        <v>45719</v>
      </c>
    </row>
    <row r="6451" spans="1:8">
      <c r="A6451" t="s">
        <v>12858</v>
      </c>
      <c r="B6451" t="s">
        <v>12859</v>
      </c>
      <c r="C6451" t="s">
        <v>10</v>
      </c>
      <c r="D6451">
        <v>66</v>
      </c>
      <c r="E6451" t="s">
        <v>128</v>
      </c>
      <c r="F6451" t="s">
        <v>129</v>
      </c>
      <c r="G6451" t="s">
        <v>78</v>
      </c>
      <c r="H6451" s="1">
        <v>45887</v>
      </c>
    </row>
    <row r="6452" spans="1:8">
      <c r="A6452" t="s">
        <v>12860</v>
      </c>
      <c r="B6452" t="s">
        <v>12861</v>
      </c>
      <c r="C6452" t="s">
        <v>10</v>
      </c>
      <c r="D6452">
        <v>55</v>
      </c>
      <c r="E6452" t="s">
        <v>37</v>
      </c>
      <c r="F6452" t="s">
        <v>38</v>
      </c>
      <c r="G6452" t="s">
        <v>22</v>
      </c>
      <c r="H6452" s="1">
        <v>45597</v>
      </c>
    </row>
    <row r="6453" spans="1:8">
      <c r="A6453" t="s">
        <v>12862</v>
      </c>
      <c r="B6453" t="s">
        <v>12863</v>
      </c>
      <c r="C6453" t="s">
        <v>31</v>
      </c>
      <c r="D6453">
        <v>38</v>
      </c>
      <c r="E6453" t="s">
        <v>91</v>
      </c>
      <c r="F6453" t="s">
        <v>92</v>
      </c>
      <c r="G6453" t="s">
        <v>78</v>
      </c>
      <c r="H6453" s="1">
        <v>45658</v>
      </c>
    </row>
    <row r="6454" spans="1:8">
      <c r="A6454" t="s">
        <v>12864</v>
      </c>
      <c r="B6454" t="s">
        <v>12865</v>
      </c>
      <c r="C6454" t="s">
        <v>10</v>
      </c>
      <c r="D6454">
        <v>69</v>
      </c>
      <c r="E6454" t="s">
        <v>11</v>
      </c>
      <c r="F6454" t="s">
        <v>11</v>
      </c>
      <c r="G6454" t="s">
        <v>12</v>
      </c>
      <c r="H6454" s="1">
        <v>45441</v>
      </c>
    </row>
    <row r="6455" spans="1:8">
      <c r="A6455" t="s">
        <v>12866</v>
      </c>
      <c r="B6455" t="s">
        <v>12867</v>
      </c>
      <c r="C6455" t="s">
        <v>31</v>
      </c>
      <c r="D6455">
        <v>56</v>
      </c>
      <c r="E6455" t="s">
        <v>69</v>
      </c>
      <c r="F6455" t="s">
        <v>69</v>
      </c>
      <c r="G6455" t="s">
        <v>12</v>
      </c>
      <c r="H6455" s="1">
        <v>44732</v>
      </c>
    </row>
    <row r="6456" spans="1:8">
      <c r="A6456" t="s">
        <v>12868</v>
      </c>
      <c r="B6456" t="s">
        <v>12869</v>
      </c>
      <c r="C6456" t="s">
        <v>31</v>
      </c>
      <c r="D6456">
        <v>47</v>
      </c>
      <c r="E6456" t="s">
        <v>15</v>
      </c>
      <c r="F6456" t="s">
        <v>16</v>
      </c>
      <c r="G6456" t="s">
        <v>17</v>
      </c>
      <c r="H6456" s="1">
        <v>45517</v>
      </c>
    </row>
    <row r="6457" spans="1:8">
      <c r="A6457" t="s">
        <v>12870</v>
      </c>
      <c r="B6457" t="s">
        <v>12871</v>
      </c>
      <c r="C6457" t="s">
        <v>10</v>
      </c>
      <c r="D6457">
        <v>37</v>
      </c>
      <c r="E6457" t="s">
        <v>20</v>
      </c>
      <c r="F6457" t="s">
        <v>21</v>
      </c>
      <c r="G6457" t="s">
        <v>22</v>
      </c>
      <c r="H6457" s="1">
        <v>45196</v>
      </c>
    </row>
    <row r="6458" spans="1:8">
      <c r="A6458" t="s">
        <v>12872</v>
      </c>
      <c r="B6458" t="s">
        <v>12873</v>
      </c>
      <c r="C6458" t="s">
        <v>31</v>
      </c>
      <c r="D6458">
        <v>28</v>
      </c>
      <c r="E6458" t="s">
        <v>149</v>
      </c>
      <c r="F6458" t="s">
        <v>38</v>
      </c>
      <c r="G6458" t="s">
        <v>22</v>
      </c>
      <c r="H6458" s="1">
        <v>45049</v>
      </c>
    </row>
    <row r="6459" spans="1:8">
      <c r="A6459" t="s">
        <v>12874</v>
      </c>
      <c r="B6459" t="s">
        <v>12875</v>
      </c>
      <c r="C6459" t="s">
        <v>10</v>
      </c>
      <c r="D6459">
        <v>51</v>
      </c>
      <c r="E6459" t="s">
        <v>37</v>
      </c>
      <c r="F6459" t="s">
        <v>38</v>
      </c>
      <c r="G6459" t="s">
        <v>22</v>
      </c>
      <c r="H6459" s="1">
        <v>45793</v>
      </c>
    </row>
    <row r="6460" spans="1:8">
      <c r="A6460" t="s">
        <v>12876</v>
      </c>
      <c r="B6460" t="s">
        <v>12877</v>
      </c>
      <c r="C6460" t="s">
        <v>10</v>
      </c>
      <c r="D6460">
        <v>29</v>
      </c>
      <c r="E6460" t="s">
        <v>76</v>
      </c>
      <c r="F6460" t="s">
        <v>77</v>
      </c>
      <c r="G6460" t="s">
        <v>78</v>
      </c>
      <c r="H6460" s="1">
        <v>45981</v>
      </c>
    </row>
    <row r="6461" spans="1:8">
      <c r="A6461" t="s">
        <v>12878</v>
      </c>
      <c r="B6461" t="s">
        <v>12879</v>
      </c>
      <c r="C6461" t="s">
        <v>31</v>
      </c>
      <c r="D6461">
        <v>33</v>
      </c>
      <c r="E6461" t="s">
        <v>60</v>
      </c>
      <c r="F6461" t="s">
        <v>21</v>
      </c>
      <c r="G6461" t="s">
        <v>22</v>
      </c>
      <c r="H6461" s="1">
        <v>45524</v>
      </c>
    </row>
    <row r="6462" spans="1:8">
      <c r="A6462" t="s">
        <v>12880</v>
      </c>
      <c r="B6462" t="s">
        <v>12881</v>
      </c>
      <c r="C6462" t="s">
        <v>31</v>
      </c>
      <c r="D6462">
        <v>48</v>
      </c>
      <c r="E6462" t="s">
        <v>69</v>
      </c>
      <c r="F6462" t="s">
        <v>69</v>
      </c>
      <c r="G6462" t="s">
        <v>12</v>
      </c>
      <c r="H6462" s="1">
        <v>46012</v>
      </c>
    </row>
    <row r="6463" spans="1:8">
      <c r="A6463" t="s">
        <v>12882</v>
      </c>
      <c r="B6463" t="s">
        <v>12883</v>
      </c>
      <c r="C6463" t="s">
        <v>10</v>
      </c>
      <c r="D6463">
        <v>58</v>
      </c>
      <c r="E6463" t="s">
        <v>45</v>
      </c>
      <c r="F6463" t="s">
        <v>46</v>
      </c>
      <c r="G6463" t="s">
        <v>17</v>
      </c>
      <c r="H6463" s="1">
        <v>45170</v>
      </c>
    </row>
    <row r="6464" spans="1:8">
      <c r="A6464" t="s">
        <v>12884</v>
      </c>
      <c r="B6464" t="s">
        <v>12885</v>
      </c>
      <c r="C6464" t="s">
        <v>31</v>
      </c>
      <c r="D6464">
        <v>51</v>
      </c>
      <c r="E6464" t="s">
        <v>37</v>
      </c>
      <c r="F6464" t="s">
        <v>38</v>
      </c>
      <c r="G6464" t="s">
        <v>22</v>
      </c>
      <c r="H6464" s="1">
        <v>45185</v>
      </c>
    </row>
    <row r="6465" spans="1:8">
      <c r="A6465" t="s">
        <v>12886</v>
      </c>
      <c r="B6465" t="s">
        <v>12887</v>
      </c>
      <c r="C6465" t="s">
        <v>31</v>
      </c>
      <c r="D6465">
        <v>48</v>
      </c>
      <c r="E6465" t="s">
        <v>60</v>
      </c>
      <c r="F6465" t="s">
        <v>21</v>
      </c>
      <c r="G6465" t="s">
        <v>22</v>
      </c>
      <c r="H6465" s="1">
        <v>45332</v>
      </c>
    </row>
    <row r="6466" spans="1:8">
      <c r="A6466" t="s">
        <v>12888</v>
      </c>
      <c r="B6466" t="s">
        <v>12889</v>
      </c>
      <c r="C6466" t="s">
        <v>31</v>
      </c>
      <c r="D6466">
        <v>32</v>
      </c>
      <c r="E6466" t="s">
        <v>41</v>
      </c>
      <c r="F6466" t="s">
        <v>42</v>
      </c>
      <c r="G6466" t="s">
        <v>17</v>
      </c>
      <c r="H6466" s="1">
        <v>46018</v>
      </c>
    </row>
    <row r="6467" spans="1:8">
      <c r="A6467" t="s">
        <v>12890</v>
      </c>
      <c r="B6467" t="s">
        <v>12891</v>
      </c>
      <c r="C6467" t="s">
        <v>10</v>
      </c>
      <c r="D6467">
        <v>66</v>
      </c>
      <c r="E6467" t="s">
        <v>87</v>
      </c>
      <c r="F6467" t="s">
        <v>88</v>
      </c>
      <c r="G6467" t="s">
        <v>78</v>
      </c>
      <c r="H6467" s="1">
        <v>44882</v>
      </c>
    </row>
    <row r="6468" spans="1:8">
      <c r="A6468" t="s">
        <v>12892</v>
      </c>
      <c r="B6468" t="s">
        <v>12893</v>
      </c>
      <c r="C6468" t="s">
        <v>10</v>
      </c>
      <c r="D6468">
        <v>59</v>
      </c>
      <c r="E6468" t="s">
        <v>134</v>
      </c>
      <c r="F6468" t="s">
        <v>28</v>
      </c>
      <c r="G6468" t="s">
        <v>12</v>
      </c>
      <c r="H6468" s="1">
        <v>45655</v>
      </c>
    </row>
    <row r="6469" spans="1:8">
      <c r="A6469" t="s">
        <v>12894</v>
      </c>
      <c r="B6469" t="s">
        <v>12895</v>
      </c>
      <c r="C6469" t="s">
        <v>31</v>
      </c>
      <c r="D6469">
        <v>21</v>
      </c>
      <c r="E6469" t="s">
        <v>45</v>
      </c>
      <c r="F6469" t="s">
        <v>46</v>
      </c>
      <c r="G6469" t="s">
        <v>17</v>
      </c>
      <c r="H6469" s="1">
        <v>45526</v>
      </c>
    </row>
    <row r="6470" spans="1:8">
      <c r="A6470" t="s">
        <v>12896</v>
      </c>
      <c r="B6470" t="s">
        <v>12897</v>
      </c>
      <c r="C6470" t="s">
        <v>31</v>
      </c>
      <c r="D6470">
        <v>18</v>
      </c>
      <c r="E6470" t="s">
        <v>11</v>
      </c>
      <c r="F6470" t="s">
        <v>11</v>
      </c>
      <c r="G6470" t="s">
        <v>12</v>
      </c>
      <c r="H6470" s="1">
        <v>45724</v>
      </c>
    </row>
    <row r="6471" spans="1:8">
      <c r="A6471" t="s">
        <v>12898</v>
      </c>
      <c r="B6471" t="s">
        <v>12899</v>
      </c>
      <c r="C6471" t="s">
        <v>31</v>
      </c>
      <c r="D6471">
        <v>48</v>
      </c>
      <c r="E6471" t="s">
        <v>69</v>
      </c>
      <c r="F6471" t="s">
        <v>69</v>
      </c>
      <c r="G6471" t="s">
        <v>12</v>
      </c>
      <c r="H6471" s="1">
        <v>45993</v>
      </c>
    </row>
    <row r="6472" spans="1:8">
      <c r="A6472" t="s">
        <v>12900</v>
      </c>
      <c r="B6472" t="s">
        <v>12901</v>
      </c>
      <c r="C6472" t="s">
        <v>31</v>
      </c>
      <c r="D6472">
        <v>28</v>
      </c>
      <c r="E6472" t="s">
        <v>41</v>
      </c>
      <c r="F6472" t="s">
        <v>42</v>
      </c>
      <c r="G6472" t="s">
        <v>17</v>
      </c>
      <c r="H6472" s="1">
        <v>44823</v>
      </c>
    </row>
    <row r="6473" spans="1:8">
      <c r="A6473" t="s">
        <v>12902</v>
      </c>
      <c r="B6473" t="s">
        <v>12903</v>
      </c>
      <c r="C6473" t="s">
        <v>31</v>
      </c>
      <c r="D6473">
        <v>34</v>
      </c>
      <c r="E6473" t="s">
        <v>101</v>
      </c>
      <c r="F6473" t="s">
        <v>21</v>
      </c>
      <c r="G6473" t="s">
        <v>22</v>
      </c>
      <c r="H6473" s="1">
        <v>44819</v>
      </c>
    </row>
    <row r="6474" spans="1:8">
      <c r="A6474" t="s">
        <v>12904</v>
      </c>
      <c r="B6474" t="s">
        <v>12905</v>
      </c>
      <c r="C6474" t="s">
        <v>31</v>
      </c>
      <c r="D6474">
        <v>68</v>
      </c>
      <c r="E6474" t="s">
        <v>11</v>
      </c>
      <c r="F6474" t="s">
        <v>11</v>
      </c>
      <c r="G6474" t="s">
        <v>12</v>
      </c>
      <c r="H6474" s="1">
        <v>45014</v>
      </c>
    </row>
    <row r="6475" spans="1:8">
      <c r="A6475" t="s">
        <v>12906</v>
      </c>
      <c r="B6475" t="s">
        <v>12907</v>
      </c>
      <c r="C6475" t="s">
        <v>10</v>
      </c>
      <c r="D6475">
        <v>63</v>
      </c>
      <c r="E6475" t="s">
        <v>11</v>
      </c>
      <c r="F6475" t="s">
        <v>11</v>
      </c>
      <c r="G6475" t="s">
        <v>12</v>
      </c>
      <c r="H6475" s="1">
        <v>45781</v>
      </c>
    </row>
    <row r="6476" spans="1:8">
      <c r="A6476" t="s">
        <v>12908</v>
      </c>
      <c r="B6476" t="s">
        <v>12909</v>
      </c>
      <c r="C6476" t="s">
        <v>31</v>
      </c>
      <c r="D6476">
        <v>27</v>
      </c>
      <c r="E6476" t="s">
        <v>87</v>
      </c>
      <c r="F6476" t="s">
        <v>88</v>
      </c>
      <c r="G6476" t="s">
        <v>78</v>
      </c>
      <c r="H6476" s="1">
        <v>44767</v>
      </c>
    </row>
    <row r="6477" spans="1:8">
      <c r="A6477" t="s">
        <v>12910</v>
      </c>
      <c r="B6477" t="s">
        <v>12911</v>
      </c>
      <c r="C6477" t="s">
        <v>10</v>
      </c>
      <c r="D6477">
        <v>66</v>
      </c>
      <c r="E6477" t="s">
        <v>20</v>
      </c>
      <c r="F6477" t="s">
        <v>21</v>
      </c>
      <c r="G6477" t="s">
        <v>22</v>
      </c>
      <c r="H6477" s="1">
        <v>46017</v>
      </c>
    </row>
    <row r="6478" spans="1:8">
      <c r="A6478" t="s">
        <v>12912</v>
      </c>
      <c r="B6478" t="s">
        <v>12913</v>
      </c>
      <c r="C6478" t="s">
        <v>31</v>
      </c>
      <c r="D6478">
        <v>22</v>
      </c>
      <c r="E6478" t="s">
        <v>101</v>
      </c>
      <c r="F6478" t="s">
        <v>21</v>
      </c>
      <c r="G6478" t="s">
        <v>22</v>
      </c>
      <c r="H6478" s="1">
        <v>45373</v>
      </c>
    </row>
    <row r="6479" spans="1:8">
      <c r="A6479" t="s">
        <v>12914</v>
      </c>
      <c r="B6479" t="s">
        <v>12915</v>
      </c>
      <c r="C6479" t="s">
        <v>10</v>
      </c>
      <c r="D6479">
        <v>18</v>
      </c>
      <c r="E6479" t="s">
        <v>45</v>
      </c>
      <c r="F6479" t="s">
        <v>46</v>
      </c>
      <c r="G6479" t="s">
        <v>17</v>
      </c>
      <c r="H6479" s="1">
        <v>45424</v>
      </c>
    </row>
    <row r="6480" spans="1:8">
      <c r="A6480" t="s">
        <v>12916</v>
      </c>
      <c r="B6480" t="s">
        <v>12917</v>
      </c>
      <c r="C6480" t="s">
        <v>10</v>
      </c>
      <c r="D6480">
        <v>57</v>
      </c>
      <c r="E6480" t="s">
        <v>27</v>
      </c>
      <c r="F6480" t="s">
        <v>28</v>
      </c>
      <c r="G6480" t="s">
        <v>12</v>
      </c>
      <c r="H6480" s="1">
        <v>45106</v>
      </c>
    </row>
    <row r="6481" spans="1:8">
      <c r="A6481" t="s">
        <v>12918</v>
      </c>
      <c r="B6481" t="s">
        <v>12919</v>
      </c>
      <c r="C6481" t="s">
        <v>31</v>
      </c>
      <c r="D6481">
        <v>46</v>
      </c>
      <c r="E6481" t="s">
        <v>63</v>
      </c>
      <c r="F6481" t="s">
        <v>64</v>
      </c>
      <c r="G6481" t="s">
        <v>12</v>
      </c>
      <c r="H6481" s="1">
        <v>45237</v>
      </c>
    </row>
    <row r="6482" spans="1:8">
      <c r="A6482" t="s">
        <v>12920</v>
      </c>
      <c r="B6482" t="s">
        <v>12921</v>
      </c>
      <c r="C6482" t="s">
        <v>10</v>
      </c>
      <c r="D6482">
        <v>68</v>
      </c>
      <c r="E6482" t="s">
        <v>63</v>
      </c>
      <c r="F6482" t="s">
        <v>64</v>
      </c>
      <c r="G6482" t="s">
        <v>12</v>
      </c>
      <c r="H6482" s="1">
        <v>44885</v>
      </c>
    </row>
    <row r="6483" spans="1:8">
      <c r="A6483" t="s">
        <v>12922</v>
      </c>
      <c r="B6483" t="s">
        <v>12923</v>
      </c>
      <c r="C6483" t="s">
        <v>31</v>
      </c>
      <c r="D6483">
        <v>61</v>
      </c>
      <c r="E6483" t="s">
        <v>91</v>
      </c>
      <c r="F6483" t="s">
        <v>92</v>
      </c>
      <c r="G6483" t="s">
        <v>78</v>
      </c>
      <c r="H6483" s="1">
        <v>45824</v>
      </c>
    </row>
    <row r="6484" spans="1:8">
      <c r="A6484" t="s">
        <v>12924</v>
      </c>
      <c r="B6484" t="s">
        <v>12925</v>
      </c>
      <c r="C6484" t="s">
        <v>10</v>
      </c>
      <c r="D6484">
        <v>40</v>
      </c>
      <c r="E6484" t="s">
        <v>149</v>
      </c>
      <c r="F6484" t="s">
        <v>38</v>
      </c>
      <c r="G6484" t="s">
        <v>22</v>
      </c>
      <c r="H6484" s="1">
        <v>45538</v>
      </c>
    </row>
    <row r="6485" spans="1:8">
      <c r="A6485" t="s">
        <v>12926</v>
      </c>
      <c r="B6485" t="s">
        <v>12927</v>
      </c>
      <c r="C6485" t="s">
        <v>10</v>
      </c>
      <c r="D6485">
        <v>28</v>
      </c>
      <c r="E6485" t="s">
        <v>218</v>
      </c>
      <c r="F6485" t="s">
        <v>219</v>
      </c>
      <c r="G6485" t="s">
        <v>17</v>
      </c>
      <c r="H6485" s="1">
        <v>44602</v>
      </c>
    </row>
    <row r="6486" spans="1:8">
      <c r="A6486" t="s">
        <v>12928</v>
      </c>
      <c r="B6486" t="s">
        <v>12929</v>
      </c>
      <c r="C6486" t="s">
        <v>31</v>
      </c>
      <c r="D6486">
        <v>64</v>
      </c>
      <c r="E6486" t="s">
        <v>101</v>
      </c>
      <c r="F6486" t="s">
        <v>21</v>
      </c>
      <c r="G6486" t="s">
        <v>22</v>
      </c>
      <c r="H6486" s="1">
        <v>45178</v>
      </c>
    </row>
    <row r="6487" spans="1:8">
      <c r="A6487" t="s">
        <v>12930</v>
      </c>
      <c r="B6487" t="s">
        <v>12931</v>
      </c>
      <c r="C6487" t="s">
        <v>10</v>
      </c>
      <c r="D6487">
        <v>20</v>
      </c>
      <c r="E6487" t="s">
        <v>69</v>
      </c>
      <c r="F6487" t="s">
        <v>69</v>
      </c>
      <c r="G6487" t="s">
        <v>12</v>
      </c>
      <c r="H6487" s="1">
        <v>45226</v>
      </c>
    </row>
    <row r="6488" spans="1:8">
      <c r="A6488" t="s">
        <v>12932</v>
      </c>
      <c r="B6488" t="s">
        <v>12933</v>
      </c>
      <c r="C6488" t="s">
        <v>10</v>
      </c>
      <c r="D6488">
        <v>54</v>
      </c>
      <c r="E6488" t="s">
        <v>63</v>
      </c>
      <c r="F6488" t="s">
        <v>64</v>
      </c>
      <c r="G6488" t="s">
        <v>12</v>
      </c>
      <c r="H6488" s="1">
        <v>45801</v>
      </c>
    </row>
    <row r="6489" spans="1:8">
      <c r="A6489" t="s">
        <v>12934</v>
      </c>
      <c r="B6489" t="s">
        <v>12935</v>
      </c>
      <c r="C6489" t="s">
        <v>31</v>
      </c>
      <c r="D6489">
        <v>47</v>
      </c>
      <c r="E6489" t="s">
        <v>15</v>
      </c>
      <c r="F6489" t="s">
        <v>16</v>
      </c>
      <c r="G6489" t="s">
        <v>17</v>
      </c>
      <c r="H6489" s="1">
        <v>45447</v>
      </c>
    </row>
    <row r="6490" spans="1:8">
      <c r="A6490" t="s">
        <v>12936</v>
      </c>
      <c r="B6490" t="s">
        <v>12937</v>
      </c>
      <c r="C6490" t="s">
        <v>10</v>
      </c>
      <c r="D6490">
        <v>46</v>
      </c>
      <c r="E6490" t="s">
        <v>37</v>
      </c>
      <c r="F6490" t="s">
        <v>38</v>
      </c>
      <c r="G6490" t="s">
        <v>22</v>
      </c>
      <c r="H6490" s="1">
        <v>45178</v>
      </c>
    </row>
    <row r="6491" spans="1:8">
      <c r="A6491" t="s">
        <v>12938</v>
      </c>
      <c r="B6491" t="s">
        <v>12939</v>
      </c>
      <c r="C6491" t="s">
        <v>31</v>
      </c>
      <c r="D6491">
        <v>38</v>
      </c>
      <c r="E6491" t="s">
        <v>101</v>
      </c>
      <c r="F6491" t="s">
        <v>21</v>
      </c>
      <c r="G6491" t="s">
        <v>22</v>
      </c>
      <c r="H6491" s="1">
        <v>46007</v>
      </c>
    </row>
    <row r="6492" spans="1:8">
      <c r="A6492" t="s">
        <v>12940</v>
      </c>
      <c r="B6492" t="s">
        <v>12941</v>
      </c>
      <c r="C6492" t="s">
        <v>10</v>
      </c>
      <c r="D6492">
        <v>59</v>
      </c>
      <c r="E6492" t="s">
        <v>15</v>
      </c>
      <c r="F6492" t="s">
        <v>16</v>
      </c>
      <c r="G6492" t="s">
        <v>17</v>
      </c>
      <c r="H6492" s="1">
        <v>45143</v>
      </c>
    </row>
    <row r="6493" spans="1:8">
      <c r="A6493" t="s">
        <v>12942</v>
      </c>
      <c r="B6493" t="s">
        <v>12943</v>
      </c>
      <c r="C6493" t="s">
        <v>31</v>
      </c>
      <c r="D6493">
        <v>56</v>
      </c>
      <c r="E6493" t="s">
        <v>41</v>
      </c>
      <c r="F6493" t="s">
        <v>42</v>
      </c>
      <c r="G6493" t="s">
        <v>17</v>
      </c>
      <c r="H6493" s="1">
        <v>45830</v>
      </c>
    </row>
    <row r="6494" spans="1:8">
      <c r="A6494" t="s">
        <v>12944</v>
      </c>
      <c r="B6494" t="s">
        <v>12945</v>
      </c>
      <c r="C6494" t="s">
        <v>31</v>
      </c>
      <c r="D6494">
        <v>41</v>
      </c>
      <c r="E6494" t="s">
        <v>15</v>
      </c>
      <c r="F6494" t="s">
        <v>16</v>
      </c>
      <c r="G6494" t="s">
        <v>17</v>
      </c>
      <c r="H6494" s="1">
        <v>45448</v>
      </c>
    </row>
    <row r="6495" spans="1:8">
      <c r="A6495" t="s">
        <v>12946</v>
      </c>
      <c r="B6495" t="s">
        <v>12947</v>
      </c>
      <c r="C6495" t="s">
        <v>10</v>
      </c>
      <c r="D6495">
        <v>57</v>
      </c>
      <c r="E6495" t="s">
        <v>134</v>
      </c>
      <c r="F6495" t="s">
        <v>28</v>
      </c>
      <c r="G6495" t="s">
        <v>12</v>
      </c>
      <c r="H6495" s="1">
        <v>45731</v>
      </c>
    </row>
    <row r="6496" spans="1:8">
      <c r="A6496" t="s">
        <v>12948</v>
      </c>
      <c r="B6496" t="s">
        <v>12949</v>
      </c>
      <c r="C6496" t="s">
        <v>31</v>
      </c>
      <c r="D6496">
        <v>55</v>
      </c>
      <c r="E6496" t="s">
        <v>34</v>
      </c>
      <c r="F6496" t="s">
        <v>16</v>
      </c>
      <c r="G6496" t="s">
        <v>17</v>
      </c>
      <c r="H6496" s="1">
        <v>45962</v>
      </c>
    </row>
    <row r="6497" spans="1:8">
      <c r="A6497" t="s">
        <v>12950</v>
      </c>
      <c r="B6497" t="s">
        <v>12951</v>
      </c>
      <c r="C6497" t="s">
        <v>10</v>
      </c>
      <c r="D6497">
        <v>68</v>
      </c>
      <c r="E6497" t="s">
        <v>45</v>
      </c>
      <c r="F6497" t="s">
        <v>46</v>
      </c>
      <c r="G6497" t="s">
        <v>17</v>
      </c>
      <c r="H6497" s="1">
        <v>44996</v>
      </c>
    </row>
    <row r="6498" spans="1:8">
      <c r="A6498" t="s">
        <v>12952</v>
      </c>
      <c r="B6498" t="s">
        <v>12953</v>
      </c>
      <c r="C6498" t="s">
        <v>31</v>
      </c>
      <c r="D6498">
        <v>53</v>
      </c>
      <c r="E6498" t="s">
        <v>91</v>
      </c>
      <c r="F6498" t="s">
        <v>92</v>
      </c>
      <c r="G6498" t="s">
        <v>78</v>
      </c>
      <c r="H6498" s="1">
        <v>44919</v>
      </c>
    </row>
    <row r="6499" spans="1:8">
      <c r="A6499" t="s">
        <v>12954</v>
      </c>
      <c r="B6499" t="s">
        <v>12955</v>
      </c>
      <c r="C6499" t="s">
        <v>10</v>
      </c>
      <c r="D6499">
        <v>33</v>
      </c>
      <c r="E6499" t="s">
        <v>134</v>
      </c>
      <c r="F6499" t="s">
        <v>28</v>
      </c>
      <c r="G6499" t="s">
        <v>12</v>
      </c>
      <c r="H6499" s="1">
        <v>45497</v>
      </c>
    </row>
    <row r="6500" spans="1:8">
      <c r="A6500" t="s">
        <v>12956</v>
      </c>
      <c r="B6500" t="s">
        <v>12957</v>
      </c>
      <c r="C6500" t="s">
        <v>10</v>
      </c>
      <c r="D6500">
        <v>33</v>
      </c>
      <c r="E6500" t="s">
        <v>128</v>
      </c>
      <c r="F6500" t="s">
        <v>129</v>
      </c>
      <c r="G6500" t="s">
        <v>78</v>
      </c>
      <c r="H6500" s="1">
        <v>44763</v>
      </c>
    </row>
    <row r="6501" spans="1:8">
      <c r="A6501" t="s">
        <v>12958</v>
      </c>
      <c r="B6501" t="s">
        <v>12959</v>
      </c>
      <c r="C6501" t="s">
        <v>31</v>
      </c>
      <c r="D6501">
        <v>39</v>
      </c>
      <c r="E6501" t="s">
        <v>41</v>
      </c>
      <c r="F6501" t="s">
        <v>42</v>
      </c>
      <c r="G6501" t="s">
        <v>17</v>
      </c>
      <c r="H6501" s="1">
        <v>45038</v>
      </c>
    </row>
    <row r="6502" spans="1:8">
      <c r="A6502" t="s">
        <v>12960</v>
      </c>
      <c r="B6502" t="s">
        <v>12961</v>
      </c>
      <c r="C6502" t="s">
        <v>10</v>
      </c>
      <c r="D6502">
        <v>32</v>
      </c>
      <c r="E6502" t="s">
        <v>34</v>
      </c>
      <c r="F6502" t="s">
        <v>16</v>
      </c>
      <c r="G6502" t="s">
        <v>17</v>
      </c>
      <c r="H6502" s="1">
        <v>44665</v>
      </c>
    </row>
    <row r="6503" spans="1:8">
      <c r="A6503" t="s">
        <v>12962</v>
      </c>
      <c r="B6503" t="s">
        <v>12963</v>
      </c>
      <c r="C6503" t="s">
        <v>10</v>
      </c>
      <c r="D6503">
        <v>36</v>
      </c>
      <c r="E6503" t="s">
        <v>20</v>
      </c>
      <c r="F6503" t="s">
        <v>21</v>
      </c>
      <c r="G6503" t="s">
        <v>22</v>
      </c>
      <c r="H6503" s="1">
        <v>44928</v>
      </c>
    </row>
    <row r="6504" spans="1:8">
      <c r="A6504" t="s">
        <v>12964</v>
      </c>
      <c r="B6504" t="s">
        <v>12965</v>
      </c>
      <c r="C6504" t="s">
        <v>31</v>
      </c>
      <c r="D6504">
        <v>30</v>
      </c>
      <c r="E6504" t="s">
        <v>134</v>
      </c>
      <c r="F6504" t="s">
        <v>28</v>
      </c>
      <c r="G6504" t="s">
        <v>12</v>
      </c>
      <c r="H6504" s="1">
        <v>44606</v>
      </c>
    </row>
    <row r="6505" spans="1:8">
      <c r="A6505" t="s">
        <v>12966</v>
      </c>
      <c r="B6505" t="s">
        <v>12967</v>
      </c>
      <c r="C6505" t="s">
        <v>10</v>
      </c>
      <c r="D6505">
        <v>33</v>
      </c>
      <c r="E6505" t="s">
        <v>69</v>
      </c>
      <c r="F6505" t="s">
        <v>69</v>
      </c>
      <c r="G6505" t="s">
        <v>12</v>
      </c>
      <c r="H6505" s="1">
        <v>44884</v>
      </c>
    </row>
    <row r="6506" spans="1:8">
      <c r="A6506" t="s">
        <v>12968</v>
      </c>
      <c r="B6506" t="s">
        <v>12969</v>
      </c>
      <c r="C6506" t="s">
        <v>10</v>
      </c>
      <c r="D6506">
        <v>43</v>
      </c>
      <c r="E6506" t="s">
        <v>15</v>
      </c>
      <c r="F6506" t="s">
        <v>16</v>
      </c>
      <c r="G6506" t="s">
        <v>17</v>
      </c>
      <c r="H6506" s="1">
        <v>45225</v>
      </c>
    </row>
    <row r="6507" spans="1:8">
      <c r="A6507" t="s">
        <v>12970</v>
      </c>
      <c r="B6507" t="s">
        <v>12971</v>
      </c>
      <c r="C6507" t="s">
        <v>31</v>
      </c>
      <c r="D6507">
        <v>24</v>
      </c>
      <c r="E6507" t="s">
        <v>34</v>
      </c>
      <c r="F6507" t="s">
        <v>16</v>
      </c>
      <c r="G6507" t="s">
        <v>17</v>
      </c>
      <c r="H6507" s="1">
        <v>44832</v>
      </c>
    </row>
    <row r="6508" spans="1:8">
      <c r="A6508" t="s">
        <v>12972</v>
      </c>
      <c r="B6508" t="s">
        <v>12973</v>
      </c>
      <c r="C6508" t="s">
        <v>10</v>
      </c>
      <c r="D6508">
        <v>41</v>
      </c>
      <c r="E6508" t="s">
        <v>69</v>
      </c>
      <c r="F6508" t="s">
        <v>69</v>
      </c>
      <c r="G6508" t="s">
        <v>12</v>
      </c>
      <c r="H6508" s="1">
        <v>46013</v>
      </c>
    </row>
    <row r="6509" spans="1:8">
      <c r="A6509" t="s">
        <v>12974</v>
      </c>
      <c r="B6509" t="s">
        <v>12975</v>
      </c>
      <c r="C6509" t="s">
        <v>31</v>
      </c>
      <c r="D6509">
        <v>21</v>
      </c>
      <c r="E6509" t="s">
        <v>91</v>
      </c>
      <c r="F6509" t="s">
        <v>92</v>
      </c>
      <c r="G6509" t="s">
        <v>78</v>
      </c>
      <c r="H6509" s="1">
        <v>45656</v>
      </c>
    </row>
    <row r="6510" spans="1:8">
      <c r="A6510" t="s">
        <v>12976</v>
      </c>
      <c r="B6510" t="s">
        <v>12977</v>
      </c>
      <c r="C6510" t="s">
        <v>10</v>
      </c>
      <c r="D6510">
        <v>35</v>
      </c>
      <c r="E6510" t="s">
        <v>134</v>
      </c>
      <c r="F6510" t="s">
        <v>28</v>
      </c>
      <c r="G6510" t="s">
        <v>12</v>
      </c>
      <c r="H6510" s="1">
        <v>45860</v>
      </c>
    </row>
    <row r="6511" spans="1:8">
      <c r="A6511" t="s">
        <v>12978</v>
      </c>
      <c r="B6511" t="s">
        <v>12979</v>
      </c>
      <c r="C6511" t="s">
        <v>31</v>
      </c>
      <c r="D6511">
        <v>37</v>
      </c>
      <c r="E6511" t="s">
        <v>45</v>
      </c>
      <c r="F6511" t="s">
        <v>46</v>
      </c>
      <c r="G6511" t="s">
        <v>17</v>
      </c>
      <c r="H6511" s="1">
        <v>45260</v>
      </c>
    </row>
    <row r="6512" spans="1:8">
      <c r="A6512" t="s">
        <v>12980</v>
      </c>
      <c r="B6512" t="s">
        <v>12981</v>
      </c>
      <c r="C6512" t="s">
        <v>10</v>
      </c>
      <c r="D6512">
        <v>41</v>
      </c>
      <c r="E6512" t="s">
        <v>218</v>
      </c>
      <c r="F6512" t="s">
        <v>219</v>
      </c>
      <c r="G6512" t="s">
        <v>17</v>
      </c>
      <c r="H6512" s="1">
        <v>45833</v>
      </c>
    </row>
    <row r="6513" spans="1:8">
      <c r="A6513" t="s">
        <v>12982</v>
      </c>
      <c r="B6513" t="s">
        <v>12983</v>
      </c>
      <c r="C6513" t="s">
        <v>31</v>
      </c>
      <c r="D6513">
        <v>32</v>
      </c>
      <c r="E6513" t="s">
        <v>11</v>
      </c>
      <c r="F6513" t="s">
        <v>11</v>
      </c>
      <c r="G6513" t="s">
        <v>12</v>
      </c>
      <c r="H6513" s="1">
        <v>44831</v>
      </c>
    </row>
    <row r="6514" spans="1:8">
      <c r="A6514" t="s">
        <v>12984</v>
      </c>
      <c r="B6514" t="s">
        <v>12985</v>
      </c>
      <c r="C6514" t="s">
        <v>10</v>
      </c>
      <c r="D6514">
        <v>55</v>
      </c>
      <c r="E6514" t="s">
        <v>20</v>
      </c>
      <c r="F6514" t="s">
        <v>21</v>
      </c>
      <c r="G6514" t="s">
        <v>22</v>
      </c>
      <c r="H6514" s="1">
        <v>45557</v>
      </c>
    </row>
    <row r="6515" spans="1:8">
      <c r="A6515" t="s">
        <v>12986</v>
      </c>
      <c r="B6515" t="s">
        <v>12987</v>
      </c>
      <c r="C6515" t="s">
        <v>10</v>
      </c>
      <c r="D6515">
        <v>40</v>
      </c>
      <c r="E6515" t="s">
        <v>34</v>
      </c>
      <c r="F6515" t="s">
        <v>16</v>
      </c>
      <c r="G6515" t="s">
        <v>17</v>
      </c>
      <c r="H6515" s="1">
        <v>45269</v>
      </c>
    </row>
    <row r="6516" spans="1:8">
      <c r="A6516" t="s">
        <v>12988</v>
      </c>
      <c r="B6516" t="s">
        <v>12989</v>
      </c>
      <c r="C6516" t="s">
        <v>31</v>
      </c>
      <c r="D6516">
        <v>57</v>
      </c>
      <c r="E6516" t="s">
        <v>63</v>
      </c>
      <c r="F6516" t="s">
        <v>64</v>
      </c>
      <c r="G6516" t="s">
        <v>12</v>
      </c>
      <c r="H6516" s="1">
        <v>45972</v>
      </c>
    </row>
    <row r="6517" spans="1:8">
      <c r="A6517" t="s">
        <v>12990</v>
      </c>
      <c r="B6517" t="s">
        <v>12991</v>
      </c>
      <c r="C6517" t="s">
        <v>31</v>
      </c>
      <c r="D6517">
        <v>25</v>
      </c>
      <c r="E6517" t="s">
        <v>87</v>
      </c>
      <c r="F6517" t="s">
        <v>88</v>
      </c>
      <c r="G6517" t="s">
        <v>78</v>
      </c>
      <c r="H6517" s="1">
        <v>45824</v>
      </c>
    </row>
    <row r="6518" spans="1:8">
      <c r="A6518" t="s">
        <v>12992</v>
      </c>
      <c r="B6518" t="s">
        <v>12993</v>
      </c>
      <c r="C6518" t="s">
        <v>31</v>
      </c>
      <c r="D6518">
        <v>49</v>
      </c>
      <c r="E6518" t="s">
        <v>149</v>
      </c>
      <c r="F6518" t="s">
        <v>38</v>
      </c>
      <c r="G6518" t="s">
        <v>22</v>
      </c>
      <c r="H6518" s="1">
        <v>45205</v>
      </c>
    </row>
    <row r="6519" spans="1:8">
      <c r="A6519" t="s">
        <v>12994</v>
      </c>
      <c r="B6519" t="s">
        <v>12995</v>
      </c>
      <c r="C6519" t="s">
        <v>10</v>
      </c>
      <c r="D6519">
        <v>29</v>
      </c>
      <c r="E6519" t="s">
        <v>112</v>
      </c>
      <c r="F6519" t="s">
        <v>113</v>
      </c>
      <c r="G6519" t="s">
        <v>78</v>
      </c>
      <c r="H6519" s="1">
        <v>45447</v>
      </c>
    </row>
    <row r="6520" spans="1:8">
      <c r="A6520" t="s">
        <v>12996</v>
      </c>
      <c r="B6520" t="s">
        <v>12997</v>
      </c>
      <c r="C6520" t="s">
        <v>31</v>
      </c>
      <c r="D6520">
        <v>33</v>
      </c>
      <c r="E6520" t="s">
        <v>76</v>
      </c>
      <c r="F6520" t="s">
        <v>77</v>
      </c>
      <c r="G6520" t="s">
        <v>78</v>
      </c>
      <c r="H6520" s="1">
        <v>45130</v>
      </c>
    </row>
    <row r="6521" spans="1:8">
      <c r="A6521" t="s">
        <v>12998</v>
      </c>
      <c r="B6521" t="s">
        <v>12999</v>
      </c>
      <c r="C6521" t="s">
        <v>31</v>
      </c>
      <c r="D6521">
        <v>26</v>
      </c>
      <c r="E6521" t="s">
        <v>41</v>
      </c>
      <c r="F6521" t="s">
        <v>42</v>
      </c>
      <c r="G6521" t="s">
        <v>17</v>
      </c>
      <c r="H6521" s="1">
        <v>44808</v>
      </c>
    </row>
    <row r="6522" spans="1:8">
      <c r="A6522" t="s">
        <v>13000</v>
      </c>
      <c r="B6522" t="s">
        <v>13001</v>
      </c>
      <c r="C6522" t="s">
        <v>31</v>
      </c>
      <c r="D6522">
        <v>63</v>
      </c>
      <c r="E6522" t="s">
        <v>87</v>
      </c>
      <c r="F6522" t="s">
        <v>88</v>
      </c>
      <c r="G6522" t="s">
        <v>78</v>
      </c>
      <c r="H6522" s="1">
        <v>45936</v>
      </c>
    </row>
    <row r="6523" spans="1:8">
      <c r="A6523" t="s">
        <v>13002</v>
      </c>
      <c r="B6523" t="s">
        <v>13003</v>
      </c>
      <c r="C6523" t="s">
        <v>10</v>
      </c>
      <c r="D6523">
        <v>67</v>
      </c>
      <c r="E6523" t="s">
        <v>37</v>
      </c>
      <c r="F6523" t="s">
        <v>38</v>
      </c>
      <c r="G6523" t="s">
        <v>22</v>
      </c>
      <c r="H6523" s="1">
        <v>44831</v>
      </c>
    </row>
    <row r="6524" spans="1:8">
      <c r="A6524" t="s">
        <v>13004</v>
      </c>
      <c r="B6524" t="s">
        <v>13005</v>
      </c>
      <c r="C6524" t="s">
        <v>31</v>
      </c>
      <c r="D6524">
        <v>20</v>
      </c>
      <c r="E6524" t="s">
        <v>41</v>
      </c>
      <c r="F6524" t="s">
        <v>42</v>
      </c>
      <c r="G6524" t="s">
        <v>17</v>
      </c>
      <c r="H6524" s="1">
        <v>44711</v>
      </c>
    </row>
    <row r="6525" spans="1:8">
      <c r="A6525" t="s">
        <v>13006</v>
      </c>
      <c r="B6525" t="s">
        <v>13007</v>
      </c>
      <c r="C6525" t="s">
        <v>31</v>
      </c>
      <c r="D6525">
        <v>50</v>
      </c>
      <c r="E6525" t="s">
        <v>15</v>
      </c>
      <c r="F6525" t="s">
        <v>16</v>
      </c>
      <c r="G6525" t="s">
        <v>17</v>
      </c>
      <c r="H6525" s="1">
        <v>45205</v>
      </c>
    </row>
    <row r="6526" spans="1:8">
      <c r="A6526" t="s">
        <v>13008</v>
      </c>
      <c r="B6526" t="s">
        <v>13009</v>
      </c>
      <c r="C6526" t="s">
        <v>31</v>
      </c>
      <c r="D6526">
        <v>47</v>
      </c>
      <c r="E6526" t="s">
        <v>69</v>
      </c>
      <c r="F6526" t="s">
        <v>69</v>
      </c>
      <c r="G6526" t="s">
        <v>12</v>
      </c>
      <c r="H6526" s="1">
        <v>45781</v>
      </c>
    </row>
    <row r="6527" spans="1:8">
      <c r="A6527" t="s">
        <v>13010</v>
      </c>
      <c r="B6527" t="s">
        <v>13011</v>
      </c>
      <c r="C6527" t="s">
        <v>10</v>
      </c>
      <c r="D6527">
        <v>62</v>
      </c>
      <c r="E6527" t="s">
        <v>91</v>
      </c>
      <c r="F6527" t="s">
        <v>92</v>
      </c>
      <c r="G6527" t="s">
        <v>78</v>
      </c>
      <c r="H6527" s="1">
        <v>44950</v>
      </c>
    </row>
    <row r="6528" spans="1:8">
      <c r="A6528" t="s">
        <v>13012</v>
      </c>
      <c r="B6528" t="s">
        <v>13013</v>
      </c>
      <c r="C6528" t="s">
        <v>10</v>
      </c>
      <c r="D6528">
        <v>65</v>
      </c>
      <c r="E6528" t="s">
        <v>87</v>
      </c>
      <c r="F6528" t="s">
        <v>88</v>
      </c>
      <c r="G6528" t="s">
        <v>78</v>
      </c>
      <c r="H6528" s="1">
        <v>45596</v>
      </c>
    </row>
    <row r="6529" spans="1:8">
      <c r="A6529" t="s">
        <v>13014</v>
      </c>
      <c r="B6529" t="s">
        <v>13015</v>
      </c>
      <c r="C6529" t="s">
        <v>10</v>
      </c>
      <c r="D6529">
        <v>23</v>
      </c>
      <c r="E6529" t="s">
        <v>11</v>
      </c>
      <c r="F6529" t="s">
        <v>11</v>
      </c>
      <c r="G6529" t="s">
        <v>12</v>
      </c>
      <c r="H6529" s="1">
        <v>44785</v>
      </c>
    </row>
    <row r="6530" spans="1:8">
      <c r="A6530" t="s">
        <v>13016</v>
      </c>
      <c r="B6530" t="s">
        <v>13017</v>
      </c>
      <c r="C6530" t="s">
        <v>10</v>
      </c>
      <c r="D6530">
        <v>64</v>
      </c>
      <c r="E6530" t="s">
        <v>112</v>
      </c>
      <c r="F6530" t="s">
        <v>113</v>
      </c>
      <c r="G6530" t="s">
        <v>78</v>
      </c>
      <c r="H6530" s="1">
        <v>44758</v>
      </c>
    </row>
    <row r="6531" spans="1:8">
      <c r="A6531" t="s">
        <v>13018</v>
      </c>
      <c r="B6531" t="s">
        <v>13019</v>
      </c>
      <c r="C6531" t="s">
        <v>10</v>
      </c>
      <c r="D6531">
        <v>52</v>
      </c>
      <c r="E6531" t="s">
        <v>34</v>
      </c>
      <c r="F6531" t="s">
        <v>16</v>
      </c>
      <c r="G6531" t="s">
        <v>17</v>
      </c>
      <c r="H6531" s="1">
        <v>45556</v>
      </c>
    </row>
    <row r="6532" spans="1:8">
      <c r="A6532" t="s">
        <v>13020</v>
      </c>
      <c r="B6532" t="s">
        <v>13021</v>
      </c>
      <c r="C6532" t="s">
        <v>31</v>
      </c>
      <c r="D6532">
        <v>60</v>
      </c>
      <c r="E6532" t="s">
        <v>11</v>
      </c>
      <c r="F6532" t="s">
        <v>11</v>
      </c>
      <c r="G6532" t="s">
        <v>12</v>
      </c>
      <c r="H6532" s="1">
        <v>45137</v>
      </c>
    </row>
    <row r="6533" spans="1:8">
      <c r="A6533" t="s">
        <v>13022</v>
      </c>
      <c r="B6533" t="s">
        <v>6474</v>
      </c>
      <c r="C6533" t="s">
        <v>10</v>
      </c>
      <c r="D6533">
        <v>44</v>
      </c>
      <c r="E6533" t="s">
        <v>34</v>
      </c>
      <c r="F6533" t="s">
        <v>16</v>
      </c>
      <c r="G6533" t="s">
        <v>17</v>
      </c>
      <c r="H6533" s="1">
        <v>45698</v>
      </c>
    </row>
    <row r="6534" spans="1:8">
      <c r="A6534" t="s">
        <v>13023</v>
      </c>
      <c r="B6534" t="s">
        <v>13024</v>
      </c>
      <c r="C6534" t="s">
        <v>31</v>
      </c>
      <c r="D6534">
        <v>23</v>
      </c>
      <c r="E6534" t="s">
        <v>112</v>
      </c>
      <c r="F6534" t="s">
        <v>113</v>
      </c>
      <c r="G6534" t="s">
        <v>78</v>
      </c>
      <c r="H6534" s="1">
        <v>46011</v>
      </c>
    </row>
    <row r="6535" spans="1:8">
      <c r="A6535" t="s">
        <v>13025</v>
      </c>
      <c r="B6535" t="s">
        <v>13026</v>
      </c>
      <c r="C6535" t="s">
        <v>10</v>
      </c>
      <c r="D6535">
        <v>40</v>
      </c>
      <c r="E6535" t="s">
        <v>37</v>
      </c>
      <c r="F6535" t="s">
        <v>38</v>
      </c>
      <c r="G6535" t="s">
        <v>22</v>
      </c>
      <c r="H6535" s="1">
        <v>45423</v>
      </c>
    </row>
    <row r="6536" spans="1:8">
      <c r="A6536" t="s">
        <v>13027</v>
      </c>
      <c r="B6536" t="s">
        <v>13028</v>
      </c>
      <c r="C6536" t="s">
        <v>31</v>
      </c>
      <c r="D6536">
        <v>43</v>
      </c>
      <c r="E6536" t="s">
        <v>27</v>
      </c>
      <c r="F6536" t="s">
        <v>28</v>
      </c>
      <c r="G6536" t="s">
        <v>12</v>
      </c>
      <c r="H6536" s="1">
        <v>45343</v>
      </c>
    </row>
    <row r="6537" spans="1:8">
      <c r="A6537" t="s">
        <v>13029</v>
      </c>
      <c r="B6537" t="s">
        <v>13030</v>
      </c>
      <c r="C6537" t="s">
        <v>31</v>
      </c>
      <c r="D6537">
        <v>48</v>
      </c>
      <c r="E6537" t="s">
        <v>27</v>
      </c>
      <c r="F6537" t="s">
        <v>28</v>
      </c>
      <c r="G6537" t="s">
        <v>12</v>
      </c>
      <c r="H6537" s="1">
        <v>44890</v>
      </c>
    </row>
    <row r="6538" spans="1:8">
      <c r="A6538" t="s">
        <v>13031</v>
      </c>
      <c r="B6538" t="s">
        <v>13032</v>
      </c>
      <c r="C6538" t="s">
        <v>31</v>
      </c>
      <c r="D6538">
        <v>27</v>
      </c>
      <c r="E6538" t="s">
        <v>15</v>
      </c>
      <c r="F6538" t="s">
        <v>16</v>
      </c>
      <c r="G6538" t="s">
        <v>17</v>
      </c>
      <c r="H6538" s="1">
        <v>44586</v>
      </c>
    </row>
    <row r="6539" spans="1:8">
      <c r="A6539" t="s">
        <v>13033</v>
      </c>
      <c r="B6539" t="s">
        <v>13034</v>
      </c>
      <c r="C6539" t="s">
        <v>10</v>
      </c>
      <c r="D6539">
        <v>61</v>
      </c>
      <c r="E6539" t="s">
        <v>63</v>
      </c>
      <c r="F6539" t="s">
        <v>64</v>
      </c>
      <c r="G6539" t="s">
        <v>12</v>
      </c>
      <c r="H6539" s="1">
        <v>44565</v>
      </c>
    </row>
    <row r="6540" spans="1:8">
      <c r="A6540" t="s">
        <v>13035</v>
      </c>
      <c r="B6540" t="s">
        <v>13036</v>
      </c>
      <c r="C6540" t="s">
        <v>10</v>
      </c>
      <c r="D6540">
        <v>58</v>
      </c>
      <c r="E6540" t="s">
        <v>134</v>
      </c>
      <c r="F6540" t="s">
        <v>28</v>
      </c>
      <c r="G6540" t="s">
        <v>12</v>
      </c>
      <c r="H6540" s="1">
        <v>45478</v>
      </c>
    </row>
    <row r="6541" spans="1:8">
      <c r="A6541" t="s">
        <v>13037</v>
      </c>
      <c r="B6541" t="s">
        <v>13038</v>
      </c>
      <c r="C6541" t="s">
        <v>31</v>
      </c>
      <c r="D6541">
        <v>36</v>
      </c>
      <c r="E6541" t="s">
        <v>34</v>
      </c>
      <c r="F6541" t="s">
        <v>16</v>
      </c>
      <c r="G6541" t="s">
        <v>17</v>
      </c>
      <c r="H6541" s="1">
        <v>45282</v>
      </c>
    </row>
    <row r="6542" spans="1:8">
      <c r="A6542" t="s">
        <v>13039</v>
      </c>
      <c r="B6542" t="s">
        <v>13040</v>
      </c>
      <c r="C6542" t="s">
        <v>10</v>
      </c>
      <c r="D6542">
        <v>52</v>
      </c>
      <c r="E6542" t="s">
        <v>218</v>
      </c>
      <c r="F6542" t="s">
        <v>219</v>
      </c>
      <c r="G6542" t="s">
        <v>17</v>
      </c>
      <c r="H6542" s="1">
        <v>45019</v>
      </c>
    </row>
    <row r="6543" spans="1:8">
      <c r="A6543" t="s">
        <v>13041</v>
      </c>
      <c r="B6543" t="s">
        <v>13042</v>
      </c>
      <c r="C6543" t="s">
        <v>31</v>
      </c>
      <c r="D6543">
        <v>51</v>
      </c>
      <c r="E6543" t="s">
        <v>41</v>
      </c>
      <c r="F6543" t="s">
        <v>42</v>
      </c>
      <c r="G6543" t="s">
        <v>17</v>
      </c>
      <c r="H6543" s="1">
        <v>45798</v>
      </c>
    </row>
    <row r="6544" spans="1:8">
      <c r="A6544" t="s">
        <v>13043</v>
      </c>
      <c r="B6544" t="s">
        <v>13044</v>
      </c>
      <c r="C6544" t="s">
        <v>31</v>
      </c>
      <c r="D6544">
        <v>24</v>
      </c>
      <c r="E6544" t="s">
        <v>27</v>
      </c>
      <c r="F6544" t="s">
        <v>28</v>
      </c>
      <c r="G6544" t="s">
        <v>12</v>
      </c>
      <c r="H6544" s="1">
        <v>45849</v>
      </c>
    </row>
    <row r="6545" spans="1:8">
      <c r="A6545" t="s">
        <v>13045</v>
      </c>
      <c r="B6545" t="s">
        <v>13046</v>
      </c>
      <c r="C6545" t="s">
        <v>10</v>
      </c>
      <c r="D6545">
        <v>44</v>
      </c>
      <c r="E6545" t="s">
        <v>134</v>
      </c>
      <c r="F6545" t="s">
        <v>28</v>
      </c>
      <c r="G6545" t="s">
        <v>12</v>
      </c>
      <c r="H6545" s="1">
        <v>45143</v>
      </c>
    </row>
    <row r="6546" spans="1:8">
      <c r="A6546" t="s">
        <v>13047</v>
      </c>
      <c r="B6546" t="s">
        <v>13048</v>
      </c>
      <c r="C6546" t="s">
        <v>31</v>
      </c>
      <c r="D6546">
        <v>48</v>
      </c>
      <c r="E6546" t="s">
        <v>20</v>
      </c>
      <c r="F6546" t="s">
        <v>21</v>
      </c>
      <c r="G6546" t="s">
        <v>22</v>
      </c>
      <c r="H6546" s="1">
        <v>45094</v>
      </c>
    </row>
    <row r="6547" spans="1:8">
      <c r="A6547" t="s">
        <v>13049</v>
      </c>
      <c r="B6547" t="s">
        <v>13050</v>
      </c>
      <c r="C6547" t="s">
        <v>31</v>
      </c>
      <c r="D6547">
        <v>51</v>
      </c>
      <c r="E6547" t="s">
        <v>15</v>
      </c>
      <c r="F6547" t="s">
        <v>16</v>
      </c>
      <c r="G6547" t="s">
        <v>17</v>
      </c>
      <c r="H6547" s="1">
        <v>45452</v>
      </c>
    </row>
    <row r="6548" spans="1:8">
      <c r="A6548" t="s">
        <v>13051</v>
      </c>
      <c r="B6548" t="s">
        <v>13052</v>
      </c>
      <c r="C6548" t="s">
        <v>31</v>
      </c>
      <c r="D6548">
        <v>22</v>
      </c>
      <c r="E6548" t="s">
        <v>149</v>
      </c>
      <c r="F6548" t="s">
        <v>38</v>
      </c>
      <c r="G6548" t="s">
        <v>22</v>
      </c>
      <c r="H6548" s="1">
        <v>45482</v>
      </c>
    </row>
    <row r="6549" spans="1:8">
      <c r="A6549" t="s">
        <v>13053</v>
      </c>
      <c r="B6549" t="s">
        <v>13054</v>
      </c>
      <c r="C6549" t="s">
        <v>10</v>
      </c>
      <c r="D6549">
        <v>23</v>
      </c>
      <c r="E6549" t="s">
        <v>91</v>
      </c>
      <c r="F6549" t="s">
        <v>92</v>
      </c>
      <c r="G6549" t="s">
        <v>78</v>
      </c>
      <c r="H6549" s="1">
        <v>45568</v>
      </c>
    </row>
    <row r="6550" spans="1:8">
      <c r="A6550" t="s">
        <v>13055</v>
      </c>
      <c r="B6550" t="s">
        <v>13056</v>
      </c>
      <c r="C6550" t="s">
        <v>10</v>
      </c>
      <c r="D6550">
        <v>40</v>
      </c>
      <c r="E6550" t="s">
        <v>37</v>
      </c>
      <c r="F6550" t="s">
        <v>38</v>
      </c>
      <c r="G6550" t="s">
        <v>22</v>
      </c>
      <c r="H6550" s="1">
        <v>45444</v>
      </c>
    </row>
    <row r="6551" spans="1:8">
      <c r="A6551" t="s">
        <v>13057</v>
      </c>
      <c r="B6551" t="s">
        <v>13058</v>
      </c>
      <c r="C6551" t="s">
        <v>10</v>
      </c>
      <c r="D6551">
        <v>37</v>
      </c>
      <c r="E6551" t="s">
        <v>134</v>
      </c>
      <c r="F6551" t="s">
        <v>28</v>
      </c>
      <c r="G6551" t="s">
        <v>12</v>
      </c>
      <c r="H6551" s="1">
        <v>45385</v>
      </c>
    </row>
    <row r="6552" spans="1:8">
      <c r="A6552" t="s">
        <v>13059</v>
      </c>
      <c r="B6552" t="s">
        <v>13060</v>
      </c>
      <c r="C6552" t="s">
        <v>10</v>
      </c>
      <c r="D6552">
        <v>58</v>
      </c>
      <c r="E6552" t="s">
        <v>15</v>
      </c>
      <c r="F6552" t="s">
        <v>16</v>
      </c>
      <c r="G6552" t="s">
        <v>17</v>
      </c>
      <c r="H6552" s="1">
        <v>45593</v>
      </c>
    </row>
    <row r="6553" spans="1:8">
      <c r="A6553" t="s">
        <v>13061</v>
      </c>
      <c r="B6553" t="s">
        <v>13062</v>
      </c>
      <c r="C6553" t="s">
        <v>10</v>
      </c>
      <c r="D6553">
        <v>19</v>
      </c>
      <c r="E6553" t="s">
        <v>63</v>
      </c>
      <c r="F6553" t="s">
        <v>64</v>
      </c>
      <c r="G6553" t="s">
        <v>12</v>
      </c>
      <c r="H6553" s="1">
        <v>45767</v>
      </c>
    </row>
    <row r="6554" spans="1:8">
      <c r="A6554" t="s">
        <v>13063</v>
      </c>
      <c r="B6554" t="s">
        <v>13064</v>
      </c>
      <c r="C6554" t="s">
        <v>31</v>
      </c>
      <c r="D6554">
        <v>45</v>
      </c>
      <c r="E6554" t="s">
        <v>63</v>
      </c>
      <c r="F6554" t="s">
        <v>64</v>
      </c>
      <c r="G6554" t="s">
        <v>12</v>
      </c>
      <c r="H6554" s="1">
        <v>45277</v>
      </c>
    </row>
    <row r="6555" spans="1:8">
      <c r="A6555" t="s">
        <v>13065</v>
      </c>
      <c r="B6555" t="s">
        <v>13066</v>
      </c>
      <c r="C6555" t="s">
        <v>31</v>
      </c>
      <c r="D6555">
        <v>63</v>
      </c>
      <c r="E6555" t="s">
        <v>101</v>
      </c>
      <c r="F6555" t="s">
        <v>21</v>
      </c>
      <c r="G6555" t="s">
        <v>22</v>
      </c>
      <c r="H6555" s="1">
        <v>45053</v>
      </c>
    </row>
    <row r="6556" spans="1:8">
      <c r="A6556" t="s">
        <v>13067</v>
      </c>
      <c r="B6556" t="s">
        <v>13068</v>
      </c>
      <c r="C6556" t="s">
        <v>10</v>
      </c>
      <c r="D6556">
        <v>24</v>
      </c>
      <c r="E6556" t="s">
        <v>101</v>
      </c>
      <c r="F6556" t="s">
        <v>21</v>
      </c>
      <c r="G6556" t="s">
        <v>22</v>
      </c>
      <c r="H6556" s="1">
        <v>44599</v>
      </c>
    </row>
    <row r="6557" spans="1:8">
      <c r="A6557" t="s">
        <v>13069</v>
      </c>
      <c r="B6557" t="s">
        <v>825</v>
      </c>
      <c r="C6557" t="s">
        <v>10</v>
      </c>
      <c r="D6557">
        <v>55</v>
      </c>
      <c r="E6557" t="s">
        <v>60</v>
      </c>
      <c r="F6557" t="s">
        <v>21</v>
      </c>
      <c r="G6557" t="s">
        <v>22</v>
      </c>
      <c r="H6557" s="1">
        <v>45547</v>
      </c>
    </row>
    <row r="6558" spans="1:8">
      <c r="A6558" t="s">
        <v>13070</v>
      </c>
      <c r="B6558" t="s">
        <v>13071</v>
      </c>
      <c r="C6558" t="s">
        <v>31</v>
      </c>
      <c r="D6558">
        <v>36</v>
      </c>
      <c r="E6558" t="s">
        <v>69</v>
      </c>
      <c r="F6558" t="s">
        <v>69</v>
      </c>
      <c r="G6558" t="s">
        <v>12</v>
      </c>
      <c r="H6558" s="1">
        <v>44782</v>
      </c>
    </row>
    <row r="6559" spans="1:8">
      <c r="A6559" t="s">
        <v>13072</v>
      </c>
      <c r="B6559" t="s">
        <v>13073</v>
      </c>
      <c r="C6559" t="s">
        <v>10</v>
      </c>
      <c r="D6559">
        <v>27</v>
      </c>
      <c r="E6559" t="s">
        <v>101</v>
      </c>
      <c r="F6559" t="s">
        <v>21</v>
      </c>
      <c r="G6559" t="s">
        <v>22</v>
      </c>
      <c r="H6559" s="1">
        <v>44587</v>
      </c>
    </row>
    <row r="6560" spans="1:8">
      <c r="A6560" t="s">
        <v>13074</v>
      </c>
      <c r="B6560" t="s">
        <v>13075</v>
      </c>
      <c r="C6560" t="s">
        <v>31</v>
      </c>
      <c r="D6560">
        <v>70</v>
      </c>
      <c r="E6560" t="s">
        <v>15</v>
      </c>
      <c r="F6560" t="s">
        <v>16</v>
      </c>
      <c r="G6560" t="s">
        <v>17</v>
      </c>
      <c r="H6560" s="1">
        <v>44845</v>
      </c>
    </row>
    <row r="6561" spans="1:8">
      <c r="A6561" t="s">
        <v>13076</v>
      </c>
      <c r="B6561" t="s">
        <v>13077</v>
      </c>
      <c r="C6561" t="s">
        <v>10</v>
      </c>
      <c r="D6561">
        <v>39</v>
      </c>
      <c r="E6561" t="s">
        <v>45</v>
      </c>
      <c r="F6561" t="s">
        <v>46</v>
      </c>
      <c r="G6561" t="s">
        <v>17</v>
      </c>
      <c r="H6561" s="1">
        <v>44610</v>
      </c>
    </row>
    <row r="6562" spans="1:8">
      <c r="A6562" t="s">
        <v>13078</v>
      </c>
      <c r="B6562" t="s">
        <v>13079</v>
      </c>
      <c r="C6562" t="s">
        <v>10</v>
      </c>
      <c r="D6562">
        <v>60</v>
      </c>
      <c r="E6562" t="s">
        <v>15</v>
      </c>
      <c r="F6562" t="s">
        <v>16</v>
      </c>
      <c r="G6562" t="s">
        <v>17</v>
      </c>
      <c r="H6562" s="1">
        <v>45600</v>
      </c>
    </row>
    <row r="6563" spans="1:8">
      <c r="A6563" t="s">
        <v>13080</v>
      </c>
      <c r="B6563" t="s">
        <v>13081</v>
      </c>
      <c r="C6563" t="s">
        <v>31</v>
      </c>
      <c r="D6563">
        <v>43</v>
      </c>
      <c r="E6563" t="s">
        <v>60</v>
      </c>
      <c r="F6563" t="s">
        <v>21</v>
      </c>
      <c r="G6563" t="s">
        <v>22</v>
      </c>
      <c r="H6563" s="1">
        <v>44989</v>
      </c>
    </row>
    <row r="6564" spans="1:8">
      <c r="A6564" t="s">
        <v>13082</v>
      </c>
      <c r="B6564" t="s">
        <v>13083</v>
      </c>
      <c r="C6564" t="s">
        <v>31</v>
      </c>
      <c r="D6564">
        <v>26</v>
      </c>
      <c r="E6564" t="s">
        <v>63</v>
      </c>
      <c r="F6564" t="s">
        <v>64</v>
      </c>
      <c r="G6564" t="s">
        <v>12</v>
      </c>
      <c r="H6564" s="1">
        <v>45627</v>
      </c>
    </row>
    <row r="6565" spans="1:8">
      <c r="A6565" t="s">
        <v>13084</v>
      </c>
      <c r="B6565" t="s">
        <v>13085</v>
      </c>
      <c r="C6565" t="s">
        <v>10</v>
      </c>
      <c r="D6565">
        <v>18</v>
      </c>
      <c r="E6565" t="s">
        <v>20</v>
      </c>
      <c r="F6565" t="s">
        <v>21</v>
      </c>
      <c r="G6565" t="s">
        <v>22</v>
      </c>
      <c r="H6565" s="1">
        <v>45364</v>
      </c>
    </row>
    <row r="6566" spans="1:8">
      <c r="A6566" t="s">
        <v>13086</v>
      </c>
      <c r="B6566" t="s">
        <v>13087</v>
      </c>
      <c r="C6566" t="s">
        <v>10</v>
      </c>
      <c r="D6566">
        <v>67</v>
      </c>
      <c r="E6566" t="s">
        <v>45</v>
      </c>
      <c r="F6566" t="s">
        <v>46</v>
      </c>
      <c r="G6566" t="s">
        <v>17</v>
      </c>
      <c r="H6566" s="1">
        <v>45071</v>
      </c>
    </row>
    <row r="6567" spans="1:8">
      <c r="A6567" t="s">
        <v>13088</v>
      </c>
      <c r="B6567" t="s">
        <v>13089</v>
      </c>
      <c r="C6567" t="s">
        <v>10</v>
      </c>
      <c r="D6567">
        <v>36</v>
      </c>
      <c r="E6567" t="s">
        <v>11</v>
      </c>
      <c r="F6567" t="s">
        <v>11</v>
      </c>
      <c r="G6567" t="s">
        <v>12</v>
      </c>
      <c r="H6567" s="1">
        <v>44623</v>
      </c>
    </row>
    <row r="6568" spans="1:8">
      <c r="A6568" t="s">
        <v>13090</v>
      </c>
      <c r="B6568" t="s">
        <v>13091</v>
      </c>
      <c r="C6568" t="s">
        <v>31</v>
      </c>
      <c r="D6568">
        <v>57</v>
      </c>
      <c r="E6568" t="s">
        <v>34</v>
      </c>
      <c r="F6568" t="s">
        <v>16</v>
      </c>
      <c r="G6568" t="s">
        <v>17</v>
      </c>
      <c r="H6568" s="1">
        <v>45821</v>
      </c>
    </row>
    <row r="6569" spans="1:8">
      <c r="A6569" t="s">
        <v>13092</v>
      </c>
      <c r="B6569" t="s">
        <v>13093</v>
      </c>
      <c r="C6569" t="s">
        <v>31</v>
      </c>
      <c r="D6569">
        <v>24</v>
      </c>
      <c r="E6569" t="s">
        <v>87</v>
      </c>
      <c r="F6569" t="s">
        <v>88</v>
      </c>
      <c r="G6569" t="s">
        <v>78</v>
      </c>
      <c r="H6569" s="1">
        <v>45569</v>
      </c>
    </row>
    <row r="6570" spans="1:8">
      <c r="A6570" t="s">
        <v>13094</v>
      </c>
      <c r="B6570" t="s">
        <v>13095</v>
      </c>
      <c r="C6570" t="s">
        <v>31</v>
      </c>
      <c r="D6570">
        <v>38</v>
      </c>
      <c r="E6570" t="s">
        <v>60</v>
      </c>
      <c r="F6570" t="s">
        <v>21</v>
      </c>
      <c r="G6570" t="s">
        <v>22</v>
      </c>
      <c r="H6570" s="1">
        <v>45721</v>
      </c>
    </row>
    <row r="6571" spans="1:8">
      <c r="A6571" t="s">
        <v>13096</v>
      </c>
      <c r="B6571" t="s">
        <v>13097</v>
      </c>
      <c r="C6571" t="s">
        <v>10</v>
      </c>
      <c r="D6571">
        <v>50</v>
      </c>
      <c r="E6571" t="s">
        <v>112</v>
      </c>
      <c r="F6571" t="s">
        <v>113</v>
      </c>
      <c r="G6571" t="s">
        <v>78</v>
      </c>
      <c r="H6571" s="1">
        <v>45355</v>
      </c>
    </row>
    <row r="6572" spans="1:8">
      <c r="A6572" t="s">
        <v>13098</v>
      </c>
      <c r="B6572" t="s">
        <v>13099</v>
      </c>
      <c r="C6572" t="s">
        <v>10</v>
      </c>
      <c r="D6572">
        <v>51</v>
      </c>
      <c r="E6572" t="s">
        <v>63</v>
      </c>
      <c r="F6572" t="s">
        <v>64</v>
      </c>
      <c r="G6572" t="s">
        <v>12</v>
      </c>
      <c r="H6572" s="1">
        <v>45297</v>
      </c>
    </row>
    <row r="6573" spans="1:8">
      <c r="A6573" t="s">
        <v>13100</v>
      </c>
      <c r="B6573" t="s">
        <v>13101</v>
      </c>
      <c r="C6573" t="s">
        <v>10</v>
      </c>
      <c r="D6573">
        <v>39</v>
      </c>
      <c r="E6573" t="s">
        <v>69</v>
      </c>
      <c r="F6573" t="s">
        <v>69</v>
      </c>
      <c r="G6573" t="s">
        <v>12</v>
      </c>
      <c r="H6573" s="1">
        <v>44883</v>
      </c>
    </row>
    <row r="6574" spans="1:8">
      <c r="A6574" t="s">
        <v>13102</v>
      </c>
      <c r="B6574" t="s">
        <v>13103</v>
      </c>
      <c r="C6574" t="s">
        <v>31</v>
      </c>
      <c r="D6574">
        <v>21</v>
      </c>
      <c r="E6574" t="s">
        <v>45</v>
      </c>
      <c r="F6574" t="s">
        <v>46</v>
      </c>
      <c r="G6574" t="s">
        <v>17</v>
      </c>
      <c r="H6574" s="1">
        <v>45856</v>
      </c>
    </row>
    <row r="6575" spans="1:8">
      <c r="A6575" t="s">
        <v>13104</v>
      </c>
      <c r="B6575" t="s">
        <v>13105</v>
      </c>
      <c r="C6575" t="s">
        <v>10</v>
      </c>
      <c r="D6575">
        <v>26</v>
      </c>
      <c r="E6575" t="s">
        <v>34</v>
      </c>
      <c r="F6575" t="s">
        <v>16</v>
      </c>
      <c r="G6575" t="s">
        <v>17</v>
      </c>
      <c r="H6575" s="1">
        <v>45073</v>
      </c>
    </row>
    <row r="6576" spans="1:8">
      <c r="A6576" t="s">
        <v>13106</v>
      </c>
      <c r="B6576" t="s">
        <v>13107</v>
      </c>
      <c r="C6576" t="s">
        <v>31</v>
      </c>
      <c r="D6576">
        <v>42</v>
      </c>
      <c r="E6576" t="s">
        <v>45</v>
      </c>
      <c r="F6576" t="s">
        <v>46</v>
      </c>
      <c r="G6576" t="s">
        <v>17</v>
      </c>
      <c r="H6576" s="1">
        <v>44641</v>
      </c>
    </row>
    <row r="6577" spans="1:8">
      <c r="A6577" t="s">
        <v>13108</v>
      </c>
      <c r="B6577" t="s">
        <v>13109</v>
      </c>
      <c r="C6577" t="s">
        <v>10</v>
      </c>
      <c r="D6577">
        <v>41</v>
      </c>
      <c r="E6577" t="s">
        <v>69</v>
      </c>
      <c r="F6577" t="s">
        <v>69</v>
      </c>
      <c r="G6577" t="s">
        <v>12</v>
      </c>
      <c r="H6577" s="1">
        <v>44771</v>
      </c>
    </row>
    <row r="6578" spans="1:8">
      <c r="A6578" t="s">
        <v>13110</v>
      </c>
      <c r="B6578" t="s">
        <v>13111</v>
      </c>
      <c r="C6578" t="s">
        <v>10</v>
      </c>
      <c r="D6578">
        <v>70</v>
      </c>
      <c r="E6578" t="s">
        <v>45</v>
      </c>
      <c r="F6578" t="s">
        <v>46</v>
      </c>
      <c r="G6578" t="s">
        <v>17</v>
      </c>
      <c r="H6578" s="1">
        <v>45624</v>
      </c>
    </row>
    <row r="6579" spans="1:8">
      <c r="A6579" t="s">
        <v>13112</v>
      </c>
      <c r="B6579" t="s">
        <v>13113</v>
      </c>
      <c r="C6579" t="s">
        <v>10</v>
      </c>
      <c r="D6579">
        <v>67</v>
      </c>
      <c r="E6579" t="s">
        <v>218</v>
      </c>
      <c r="F6579" t="s">
        <v>219</v>
      </c>
      <c r="G6579" t="s">
        <v>17</v>
      </c>
      <c r="H6579" s="1">
        <v>45850</v>
      </c>
    </row>
    <row r="6580" spans="1:8">
      <c r="A6580" t="s">
        <v>13114</v>
      </c>
      <c r="B6580" t="s">
        <v>13115</v>
      </c>
      <c r="C6580" t="s">
        <v>10</v>
      </c>
      <c r="D6580">
        <v>44</v>
      </c>
      <c r="E6580" t="s">
        <v>87</v>
      </c>
      <c r="F6580" t="s">
        <v>88</v>
      </c>
      <c r="G6580" t="s">
        <v>78</v>
      </c>
      <c r="H6580" s="1">
        <v>45251</v>
      </c>
    </row>
    <row r="6581" spans="1:8">
      <c r="A6581" t="s">
        <v>13116</v>
      </c>
      <c r="B6581" t="s">
        <v>13117</v>
      </c>
      <c r="C6581" t="s">
        <v>10</v>
      </c>
      <c r="D6581">
        <v>29</v>
      </c>
      <c r="E6581" t="s">
        <v>20</v>
      </c>
      <c r="F6581" t="s">
        <v>21</v>
      </c>
      <c r="G6581" t="s">
        <v>22</v>
      </c>
      <c r="H6581" s="1">
        <v>46015</v>
      </c>
    </row>
    <row r="6582" spans="1:8">
      <c r="A6582" t="s">
        <v>13118</v>
      </c>
      <c r="B6582" t="s">
        <v>13119</v>
      </c>
      <c r="C6582" t="s">
        <v>31</v>
      </c>
      <c r="D6582">
        <v>67</v>
      </c>
      <c r="E6582" t="s">
        <v>34</v>
      </c>
      <c r="F6582" t="s">
        <v>16</v>
      </c>
      <c r="G6582" t="s">
        <v>17</v>
      </c>
      <c r="H6582" s="1">
        <v>45561</v>
      </c>
    </row>
    <row r="6583" spans="1:8">
      <c r="A6583" t="s">
        <v>13120</v>
      </c>
      <c r="B6583" t="s">
        <v>13121</v>
      </c>
      <c r="C6583" t="s">
        <v>31</v>
      </c>
      <c r="D6583">
        <v>69</v>
      </c>
      <c r="E6583" t="s">
        <v>218</v>
      </c>
      <c r="F6583" t="s">
        <v>219</v>
      </c>
      <c r="G6583" t="s">
        <v>17</v>
      </c>
      <c r="H6583" s="1">
        <v>44630</v>
      </c>
    </row>
    <row r="6584" spans="1:8">
      <c r="A6584" t="s">
        <v>13122</v>
      </c>
      <c r="B6584" t="s">
        <v>13123</v>
      </c>
      <c r="C6584" t="s">
        <v>10</v>
      </c>
      <c r="D6584">
        <v>48</v>
      </c>
      <c r="E6584" t="s">
        <v>15</v>
      </c>
      <c r="F6584" t="s">
        <v>16</v>
      </c>
      <c r="G6584" t="s">
        <v>17</v>
      </c>
      <c r="H6584" s="1">
        <v>45230</v>
      </c>
    </row>
    <row r="6585" spans="1:8">
      <c r="A6585" t="s">
        <v>13124</v>
      </c>
      <c r="B6585" t="s">
        <v>13125</v>
      </c>
      <c r="C6585" t="s">
        <v>31</v>
      </c>
      <c r="D6585">
        <v>37</v>
      </c>
      <c r="E6585" t="s">
        <v>37</v>
      </c>
      <c r="F6585" t="s">
        <v>38</v>
      </c>
      <c r="G6585" t="s">
        <v>22</v>
      </c>
      <c r="H6585" s="1">
        <v>45691</v>
      </c>
    </row>
    <row r="6586" spans="1:8">
      <c r="A6586" t="s">
        <v>13126</v>
      </c>
      <c r="B6586" t="s">
        <v>13127</v>
      </c>
      <c r="C6586" t="s">
        <v>10</v>
      </c>
      <c r="D6586">
        <v>69</v>
      </c>
      <c r="E6586" t="s">
        <v>20</v>
      </c>
      <c r="F6586" t="s">
        <v>21</v>
      </c>
      <c r="G6586" t="s">
        <v>22</v>
      </c>
      <c r="H6586" s="1">
        <v>44858</v>
      </c>
    </row>
    <row r="6587" spans="1:8">
      <c r="A6587" t="s">
        <v>13128</v>
      </c>
      <c r="B6587" t="s">
        <v>13129</v>
      </c>
      <c r="C6587" t="s">
        <v>31</v>
      </c>
      <c r="D6587">
        <v>52</v>
      </c>
      <c r="E6587" t="s">
        <v>128</v>
      </c>
      <c r="F6587" t="s">
        <v>129</v>
      </c>
      <c r="G6587" t="s">
        <v>78</v>
      </c>
      <c r="H6587" s="1">
        <v>44867</v>
      </c>
    </row>
    <row r="6588" spans="1:8">
      <c r="A6588" t="s">
        <v>13130</v>
      </c>
      <c r="B6588" t="s">
        <v>13131</v>
      </c>
      <c r="C6588" t="s">
        <v>10</v>
      </c>
      <c r="D6588">
        <v>33</v>
      </c>
      <c r="E6588" t="s">
        <v>149</v>
      </c>
      <c r="F6588" t="s">
        <v>38</v>
      </c>
      <c r="G6588" t="s">
        <v>22</v>
      </c>
      <c r="H6588" s="1">
        <v>44953</v>
      </c>
    </row>
    <row r="6589" spans="1:8">
      <c r="A6589" t="s">
        <v>13132</v>
      </c>
      <c r="B6589" t="s">
        <v>13133</v>
      </c>
      <c r="C6589" t="s">
        <v>10</v>
      </c>
      <c r="D6589">
        <v>37</v>
      </c>
      <c r="E6589" t="s">
        <v>76</v>
      </c>
      <c r="F6589" t="s">
        <v>77</v>
      </c>
      <c r="G6589" t="s">
        <v>78</v>
      </c>
      <c r="H6589" s="1">
        <v>45508</v>
      </c>
    </row>
    <row r="6590" spans="1:8">
      <c r="A6590" t="s">
        <v>13134</v>
      </c>
      <c r="B6590" t="s">
        <v>13135</v>
      </c>
      <c r="C6590" t="s">
        <v>10</v>
      </c>
      <c r="D6590">
        <v>52</v>
      </c>
      <c r="E6590" t="s">
        <v>101</v>
      </c>
      <c r="F6590" t="s">
        <v>21</v>
      </c>
      <c r="G6590" t="s">
        <v>22</v>
      </c>
      <c r="H6590" s="1">
        <v>44712</v>
      </c>
    </row>
    <row r="6591" spans="1:8">
      <c r="A6591" t="s">
        <v>13136</v>
      </c>
      <c r="B6591" t="s">
        <v>13137</v>
      </c>
      <c r="C6591" t="s">
        <v>31</v>
      </c>
      <c r="D6591">
        <v>58</v>
      </c>
      <c r="E6591" t="s">
        <v>34</v>
      </c>
      <c r="F6591" t="s">
        <v>16</v>
      </c>
      <c r="G6591" t="s">
        <v>17</v>
      </c>
      <c r="H6591" s="1">
        <v>45340</v>
      </c>
    </row>
    <row r="6592" spans="1:8">
      <c r="A6592" t="s">
        <v>13138</v>
      </c>
      <c r="B6592" t="s">
        <v>13139</v>
      </c>
      <c r="C6592" t="s">
        <v>10</v>
      </c>
      <c r="D6592">
        <v>56</v>
      </c>
      <c r="E6592" t="s">
        <v>11</v>
      </c>
      <c r="F6592" t="s">
        <v>11</v>
      </c>
      <c r="G6592" t="s">
        <v>12</v>
      </c>
      <c r="H6592" s="1">
        <v>45101</v>
      </c>
    </row>
    <row r="6593" spans="1:8">
      <c r="A6593" t="s">
        <v>13140</v>
      </c>
      <c r="B6593" t="s">
        <v>13141</v>
      </c>
      <c r="C6593" t="s">
        <v>10</v>
      </c>
      <c r="D6593">
        <v>42</v>
      </c>
      <c r="E6593" t="s">
        <v>27</v>
      </c>
      <c r="F6593" t="s">
        <v>28</v>
      </c>
      <c r="G6593" t="s">
        <v>12</v>
      </c>
      <c r="H6593" s="1">
        <v>45399</v>
      </c>
    </row>
    <row r="6594" spans="1:8">
      <c r="A6594" t="s">
        <v>13142</v>
      </c>
      <c r="B6594" t="s">
        <v>13143</v>
      </c>
      <c r="C6594" t="s">
        <v>10</v>
      </c>
      <c r="D6594">
        <v>50</v>
      </c>
      <c r="E6594" t="s">
        <v>45</v>
      </c>
      <c r="F6594" t="s">
        <v>46</v>
      </c>
      <c r="G6594" t="s">
        <v>17</v>
      </c>
      <c r="H6594" s="1">
        <v>45492</v>
      </c>
    </row>
    <row r="6595" spans="1:8">
      <c r="A6595" t="s">
        <v>13144</v>
      </c>
      <c r="B6595" t="s">
        <v>13145</v>
      </c>
      <c r="C6595" t="s">
        <v>10</v>
      </c>
      <c r="D6595">
        <v>64</v>
      </c>
      <c r="E6595" t="s">
        <v>20</v>
      </c>
      <c r="F6595" t="s">
        <v>21</v>
      </c>
      <c r="G6595" t="s">
        <v>22</v>
      </c>
      <c r="H6595" s="1">
        <v>44770</v>
      </c>
    </row>
    <row r="6596" spans="1:8">
      <c r="A6596" t="s">
        <v>13146</v>
      </c>
      <c r="B6596" t="s">
        <v>13147</v>
      </c>
      <c r="C6596" t="s">
        <v>10</v>
      </c>
      <c r="D6596">
        <v>37</v>
      </c>
      <c r="E6596" t="s">
        <v>149</v>
      </c>
      <c r="F6596" t="s">
        <v>38</v>
      </c>
      <c r="G6596" t="s">
        <v>22</v>
      </c>
      <c r="H6596" s="1">
        <v>45909</v>
      </c>
    </row>
    <row r="6597" spans="1:8">
      <c r="A6597" t="s">
        <v>13148</v>
      </c>
      <c r="B6597" t="s">
        <v>13149</v>
      </c>
      <c r="C6597" t="s">
        <v>10</v>
      </c>
      <c r="D6597">
        <v>36</v>
      </c>
      <c r="E6597" t="s">
        <v>69</v>
      </c>
      <c r="F6597" t="s">
        <v>69</v>
      </c>
      <c r="G6597" t="s">
        <v>12</v>
      </c>
      <c r="H6597" s="1">
        <v>45709</v>
      </c>
    </row>
    <row r="6598" spans="1:8">
      <c r="A6598" t="s">
        <v>13150</v>
      </c>
      <c r="B6598" t="s">
        <v>13151</v>
      </c>
      <c r="C6598" t="s">
        <v>31</v>
      </c>
      <c r="D6598">
        <v>23</v>
      </c>
      <c r="E6598" t="s">
        <v>15</v>
      </c>
      <c r="F6598" t="s">
        <v>16</v>
      </c>
      <c r="G6598" t="s">
        <v>17</v>
      </c>
      <c r="H6598" s="1">
        <v>45013</v>
      </c>
    </row>
    <row r="6599" spans="1:8">
      <c r="A6599" t="s">
        <v>13152</v>
      </c>
      <c r="B6599" t="s">
        <v>13153</v>
      </c>
      <c r="C6599" t="s">
        <v>10</v>
      </c>
      <c r="D6599">
        <v>25</v>
      </c>
      <c r="E6599" t="s">
        <v>34</v>
      </c>
      <c r="F6599" t="s">
        <v>16</v>
      </c>
      <c r="G6599" t="s">
        <v>17</v>
      </c>
      <c r="H6599" s="1">
        <v>44704</v>
      </c>
    </row>
    <row r="6600" spans="1:8">
      <c r="A6600" t="s">
        <v>13154</v>
      </c>
      <c r="B6600" t="s">
        <v>13155</v>
      </c>
      <c r="C6600" t="s">
        <v>10</v>
      </c>
      <c r="D6600">
        <v>37</v>
      </c>
      <c r="E6600" t="s">
        <v>128</v>
      </c>
      <c r="F6600" t="s">
        <v>129</v>
      </c>
      <c r="G6600" t="s">
        <v>78</v>
      </c>
      <c r="H6600" s="1">
        <v>45859</v>
      </c>
    </row>
    <row r="6601" spans="1:8">
      <c r="A6601" t="s">
        <v>13156</v>
      </c>
      <c r="B6601" t="s">
        <v>13157</v>
      </c>
      <c r="C6601" t="s">
        <v>10</v>
      </c>
      <c r="D6601">
        <v>28</v>
      </c>
      <c r="E6601" t="s">
        <v>45</v>
      </c>
      <c r="F6601" t="s">
        <v>46</v>
      </c>
      <c r="G6601" t="s">
        <v>17</v>
      </c>
      <c r="H6601" s="1">
        <v>44737</v>
      </c>
    </row>
    <row r="6602" spans="1:8">
      <c r="A6602" t="s">
        <v>13158</v>
      </c>
      <c r="B6602" t="s">
        <v>13159</v>
      </c>
      <c r="C6602" t="s">
        <v>10</v>
      </c>
      <c r="D6602">
        <v>37</v>
      </c>
      <c r="E6602" t="s">
        <v>20</v>
      </c>
      <c r="F6602" t="s">
        <v>21</v>
      </c>
      <c r="G6602" t="s">
        <v>22</v>
      </c>
      <c r="H6602" s="1">
        <v>45473</v>
      </c>
    </row>
    <row r="6603" spans="1:8">
      <c r="A6603" t="s">
        <v>13160</v>
      </c>
      <c r="B6603" t="s">
        <v>13161</v>
      </c>
      <c r="C6603" t="s">
        <v>31</v>
      </c>
      <c r="D6603">
        <v>44</v>
      </c>
      <c r="E6603" t="s">
        <v>20</v>
      </c>
      <c r="F6603" t="s">
        <v>21</v>
      </c>
      <c r="G6603" t="s">
        <v>22</v>
      </c>
      <c r="H6603" s="1">
        <v>45590</v>
      </c>
    </row>
    <row r="6604" spans="1:8">
      <c r="A6604" t="s">
        <v>13162</v>
      </c>
      <c r="B6604" t="s">
        <v>13163</v>
      </c>
      <c r="C6604" t="s">
        <v>31</v>
      </c>
      <c r="D6604">
        <v>47</v>
      </c>
      <c r="E6604" t="s">
        <v>45</v>
      </c>
      <c r="F6604" t="s">
        <v>46</v>
      </c>
      <c r="G6604" t="s">
        <v>17</v>
      </c>
      <c r="H6604" s="1">
        <v>44659</v>
      </c>
    </row>
    <row r="6605" spans="1:8">
      <c r="A6605" t="s">
        <v>13164</v>
      </c>
      <c r="B6605" t="s">
        <v>13165</v>
      </c>
      <c r="C6605" t="s">
        <v>10</v>
      </c>
      <c r="D6605">
        <v>22</v>
      </c>
      <c r="E6605" t="s">
        <v>218</v>
      </c>
      <c r="F6605" t="s">
        <v>219</v>
      </c>
      <c r="G6605" t="s">
        <v>17</v>
      </c>
      <c r="H6605" s="1">
        <v>45501</v>
      </c>
    </row>
    <row r="6606" spans="1:8">
      <c r="A6606" t="s">
        <v>13166</v>
      </c>
      <c r="B6606" t="s">
        <v>13167</v>
      </c>
      <c r="C6606" t="s">
        <v>31</v>
      </c>
      <c r="D6606">
        <v>66</v>
      </c>
      <c r="E6606" t="s">
        <v>15</v>
      </c>
      <c r="F6606" t="s">
        <v>16</v>
      </c>
      <c r="G6606" t="s">
        <v>17</v>
      </c>
      <c r="H6606" s="1">
        <v>45099</v>
      </c>
    </row>
    <row r="6607" spans="1:8">
      <c r="A6607" t="s">
        <v>13168</v>
      </c>
      <c r="B6607" t="s">
        <v>13169</v>
      </c>
      <c r="C6607" t="s">
        <v>31</v>
      </c>
      <c r="D6607">
        <v>26</v>
      </c>
      <c r="E6607" t="s">
        <v>91</v>
      </c>
      <c r="F6607" t="s">
        <v>92</v>
      </c>
      <c r="G6607" t="s">
        <v>78</v>
      </c>
      <c r="H6607" s="1">
        <v>45206</v>
      </c>
    </row>
    <row r="6608" spans="1:8">
      <c r="A6608" t="s">
        <v>13170</v>
      </c>
      <c r="B6608" t="s">
        <v>13171</v>
      </c>
      <c r="C6608" t="s">
        <v>31</v>
      </c>
      <c r="D6608">
        <v>60</v>
      </c>
      <c r="E6608" t="s">
        <v>76</v>
      </c>
      <c r="F6608" t="s">
        <v>77</v>
      </c>
      <c r="G6608" t="s">
        <v>78</v>
      </c>
      <c r="H6608" s="1">
        <v>45499</v>
      </c>
    </row>
    <row r="6609" spans="1:8">
      <c r="A6609" t="s">
        <v>13172</v>
      </c>
      <c r="B6609" t="s">
        <v>13173</v>
      </c>
      <c r="C6609" t="s">
        <v>10</v>
      </c>
      <c r="D6609">
        <v>47</v>
      </c>
      <c r="E6609" t="s">
        <v>128</v>
      </c>
      <c r="F6609" t="s">
        <v>129</v>
      </c>
      <c r="G6609" t="s">
        <v>78</v>
      </c>
      <c r="H6609" s="1">
        <v>45112</v>
      </c>
    </row>
    <row r="6610" spans="1:8">
      <c r="A6610" t="s">
        <v>13174</v>
      </c>
      <c r="B6610" t="s">
        <v>13175</v>
      </c>
      <c r="C6610" t="s">
        <v>10</v>
      </c>
      <c r="D6610">
        <v>46</v>
      </c>
      <c r="E6610" t="s">
        <v>11</v>
      </c>
      <c r="F6610" t="s">
        <v>11</v>
      </c>
      <c r="G6610" t="s">
        <v>12</v>
      </c>
      <c r="H6610" s="1">
        <v>45017</v>
      </c>
    </row>
    <row r="6611" spans="1:8">
      <c r="A6611" t="s">
        <v>13176</v>
      </c>
      <c r="B6611" t="s">
        <v>2912</v>
      </c>
      <c r="C6611" t="s">
        <v>31</v>
      </c>
      <c r="D6611">
        <v>18</v>
      </c>
      <c r="E6611" t="s">
        <v>218</v>
      </c>
      <c r="F6611" t="s">
        <v>219</v>
      </c>
      <c r="G6611" t="s">
        <v>17</v>
      </c>
      <c r="H6611" s="1">
        <v>45846</v>
      </c>
    </row>
    <row r="6612" spans="1:8">
      <c r="A6612" t="s">
        <v>13177</v>
      </c>
      <c r="B6612" t="s">
        <v>13178</v>
      </c>
      <c r="C6612" t="s">
        <v>10</v>
      </c>
      <c r="D6612">
        <v>63</v>
      </c>
      <c r="E6612" t="s">
        <v>63</v>
      </c>
      <c r="F6612" t="s">
        <v>64</v>
      </c>
      <c r="G6612" t="s">
        <v>12</v>
      </c>
      <c r="H6612" s="1">
        <v>45067</v>
      </c>
    </row>
    <row r="6613" spans="1:8">
      <c r="A6613" t="s">
        <v>13179</v>
      </c>
      <c r="B6613" t="s">
        <v>13180</v>
      </c>
      <c r="C6613" t="s">
        <v>10</v>
      </c>
      <c r="D6613">
        <v>29</v>
      </c>
      <c r="E6613" t="s">
        <v>218</v>
      </c>
      <c r="F6613" t="s">
        <v>219</v>
      </c>
      <c r="G6613" t="s">
        <v>17</v>
      </c>
      <c r="H6613" s="1">
        <v>45153</v>
      </c>
    </row>
    <row r="6614" spans="1:8">
      <c r="A6614" t="s">
        <v>13181</v>
      </c>
      <c r="B6614" t="s">
        <v>13182</v>
      </c>
      <c r="C6614" t="s">
        <v>10</v>
      </c>
      <c r="D6614">
        <v>18</v>
      </c>
      <c r="E6614" t="s">
        <v>69</v>
      </c>
      <c r="F6614" t="s">
        <v>69</v>
      </c>
      <c r="G6614" t="s">
        <v>12</v>
      </c>
      <c r="H6614" s="1">
        <v>45177</v>
      </c>
    </row>
    <row r="6615" spans="1:8">
      <c r="A6615" t="s">
        <v>13183</v>
      </c>
      <c r="B6615" t="s">
        <v>13184</v>
      </c>
      <c r="C6615" t="s">
        <v>10</v>
      </c>
      <c r="D6615">
        <v>45</v>
      </c>
      <c r="E6615" t="s">
        <v>87</v>
      </c>
      <c r="F6615" t="s">
        <v>88</v>
      </c>
      <c r="G6615" t="s">
        <v>78</v>
      </c>
      <c r="H6615" s="1">
        <v>45021</v>
      </c>
    </row>
    <row r="6616" spans="1:8">
      <c r="A6616" t="s">
        <v>13185</v>
      </c>
      <c r="B6616" t="s">
        <v>13186</v>
      </c>
      <c r="C6616" t="s">
        <v>10</v>
      </c>
      <c r="D6616">
        <v>22</v>
      </c>
      <c r="E6616" t="s">
        <v>69</v>
      </c>
      <c r="F6616" t="s">
        <v>69</v>
      </c>
      <c r="G6616" t="s">
        <v>12</v>
      </c>
      <c r="H6616" s="1">
        <v>45280</v>
      </c>
    </row>
    <row r="6617" spans="1:8">
      <c r="A6617" t="s">
        <v>13187</v>
      </c>
      <c r="B6617" t="s">
        <v>13188</v>
      </c>
      <c r="C6617" t="s">
        <v>31</v>
      </c>
      <c r="D6617">
        <v>49</v>
      </c>
      <c r="E6617" t="s">
        <v>27</v>
      </c>
      <c r="F6617" t="s">
        <v>28</v>
      </c>
      <c r="G6617" t="s">
        <v>12</v>
      </c>
      <c r="H6617" s="1">
        <v>44655</v>
      </c>
    </row>
    <row r="6618" spans="1:8">
      <c r="A6618" t="s">
        <v>13189</v>
      </c>
      <c r="B6618" t="s">
        <v>13190</v>
      </c>
      <c r="C6618" t="s">
        <v>10</v>
      </c>
      <c r="D6618">
        <v>61</v>
      </c>
      <c r="E6618" t="s">
        <v>112</v>
      </c>
      <c r="F6618" t="s">
        <v>113</v>
      </c>
      <c r="G6618" t="s">
        <v>78</v>
      </c>
      <c r="H6618" s="1">
        <v>45056</v>
      </c>
    </row>
    <row r="6619" spans="1:8">
      <c r="A6619" t="s">
        <v>13191</v>
      </c>
      <c r="B6619" t="s">
        <v>13192</v>
      </c>
      <c r="C6619" t="s">
        <v>31</v>
      </c>
      <c r="D6619">
        <v>59</v>
      </c>
      <c r="E6619" t="s">
        <v>87</v>
      </c>
      <c r="F6619" t="s">
        <v>88</v>
      </c>
      <c r="G6619" t="s">
        <v>78</v>
      </c>
      <c r="H6619" s="1">
        <v>44616</v>
      </c>
    </row>
    <row r="6620" spans="1:8">
      <c r="A6620" t="s">
        <v>13193</v>
      </c>
      <c r="B6620" t="s">
        <v>13194</v>
      </c>
      <c r="C6620" t="s">
        <v>10</v>
      </c>
      <c r="D6620">
        <v>38</v>
      </c>
      <c r="E6620" t="s">
        <v>149</v>
      </c>
      <c r="F6620" t="s">
        <v>38</v>
      </c>
      <c r="G6620" t="s">
        <v>22</v>
      </c>
      <c r="H6620" s="1">
        <v>44755</v>
      </c>
    </row>
    <row r="6621" spans="1:8">
      <c r="A6621" t="s">
        <v>13195</v>
      </c>
      <c r="B6621" t="s">
        <v>13196</v>
      </c>
      <c r="C6621" t="s">
        <v>31</v>
      </c>
      <c r="D6621">
        <v>19</v>
      </c>
      <c r="E6621" t="s">
        <v>15</v>
      </c>
      <c r="F6621" t="s">
        <v>16</v>
      </c>
      <c r="G6621" t="s">
        <v>17</v>
      </c>
      <c r="H6621" s="1">
        <v>45357</v>
      </c>
    </row>
    <row r="6622" spans="1:8">
      <c r="A6622" t="s">
        <v>13197</v>
      </c>
      <c r="B6622" t="s">
        <v>7953</v>
      </c>
      <c r="C6622" t="s">
        <v>31</v>
      </c>
      <c r="D6622">
        <v>47</v>
      </c>
      <c r="E6622" t="s">
        <v>41</v>
      </c>
      <c r="F6622" t="s">
        <v>42</v>
      </c>
      <c r="G6622" t="s">
        <v>17</v>
      </c>
      <c r="H6622" s="1">
        <v>45157</v>
      </c>
    </row>
    <row r="6623" spans="1:8">
      <c r="A6623" t="s">
        <v>13198</v>
      </c>
      <c r="B6623" t="s">
        <v>13199</v>
      </c>
      <c r="C6623" t="s">
        <v>31</v>
      </c>
      <c r="D6623">
        <v>50</v>
      </c>
      <c r="E6623" t="s">
        <v>27</v>
      </c>
      <c r="F6623" t="s">
        <v>28</v>
      </c>
      <c r="G6623" t="s">
        <v>12</v>
      </c>
      <c r="H6623" s="1">
        <v>45337</v>
      </c>
    </row>
    <row r="6624" spans="1:8">
      <c r="A6624" t="s">
        <v>13200</v>
      </c>
      <c r="B6624" t="s">
        <v>13201</v>
      </c>
      <c r="C6624" t="s">
        <v>10</v>
      </c>
      <c r="D6624">
        <v>59</v>
      </c>
      <c r="E6624" t="s">
        <v>15</v>
      </c>
      <c r="F6624" t="s">
        <v>16</v>
      </c>
      <c r="G6624" t="s">
        <v>17</v>
      </c>
      <c r="H6624" s="1">
        <v>45519</v>
      </c>
    </row>
    <row r="6625" spans="1:8">
      <c r="A6625" t="s">
        <v>13202</v>
      </c>
      <c r="B6625" t="s">
        <v>13203</v>
      </c>
      <c r="C6625" t="s">
        <v>10</v>
      </c>
      <c r="D6625">
        <v>47</v>
      </c>
      <c r="E6625" t="s">
        <v>15</v>
      </c>
      <c r="F6625" t="s">
        <v>16</v>
      </c>
      <c r="G6625" t="s">
        <v>17</v>
      </c>
      <c r="H6625" s="1">
        <v>44613</v>
      </c>
    </row>
    <row r="6626" spans="1:8">
      <c r="A6626" t="s">
        <v>13204</v>
      </c>
      <c r="B6626" t="s">
        <v>13205</v>
      </c>
      <c r="C6626" t="s">
        <v>31</v>
      </c>
      <c r="D6626">
        <v>49</v>
      </c>
      <c r="E6626" t="s">
        <v>11</v>
      </c>
      <c r="F6626" t="s">
        <v>11</v>
      </c>
      <c r="G6626" t="s">
        <v>12</v>
      </c>
      <c r="H6626" s="1">
        <v>44709</v>
      </c>
    </row>
    <row r="6627" spans="1:8">
      <c r="A6627" t="s">
        <v>13206</v>
      </c>
      <c r="B6627" t="s">
        <v>13207</v>
      </c>
      <c r="C6627" t="s">
        <v>31</v>
      </c>
      <c r="D6627">
        <v>38</v>
      </c>
      <c r="E6627" t="s">
        <v>76</v>
      </c>
      <c r="F6627" t="s">
        <v>77</v>
      </c>
      <c r="G6627" t="s">
        <v>78</v>
      </c>
      <c r="H6627" s="1">
        <v>45901</v>
      </c>
    </row>
    <row r="6628" spans="1:8">
      <c r="A6628" t="s">
        <v>13208</v>
      </c>
      <c r="B6628" t="s">
        <v>7775</v>
      </c>
      <c r="C6628" t="s">
        <v>10</v>
      </c>
      <c r="D6628">
        <v>69</v>
      </c>
      <c r="E6628" t="s">
        <v>37</v>
      </c>
      <c r="F6628" t="s">
        <v>38</v>
      </c>
      <c r="G6628" t="s">
        <v>22</v>
      </c>
      <c r="H6628" s="1">
        <v>45781</v>
      </c>
    </row>
    <row r="6629" spans="1:8">
      <c r="A6629" t="s">
        <v>13209</v>
      </c>
      <c r="B6629" t="s">
        <v>13210</v>
      </c>
      <c r="C6629" t="s">
        <v>10</v>
      </c>
      <c r="D6629">
        <v>25</v>
      </c>
      <c r="E6629" t="s">
        <v>15</v>
      </c>
      <c r="F6629" t="s">
        <v>16</v>
      </c>
      <c r="G6629" t="s">
        <v>17</v>
      </c>
      <c r="H6629" s="1">
        <v>45471</v>
      </c>
    </row>
    <row r="6630" spans="1:8">
      <c r="A6630" t="s">
        <v>13211</v>
      </c>
      <c r="B6630" t="s">
        <v>13212</v>
      </c>
      <c r="C6630" t="s">
        <v>10</v>
      </c>
      <c r="D6630">
        <v>54</v>
      </c>
      <c r="E6630" t="s">
        <v>87</v>
      </c>
      <c r="F6630" t="s">
        <v>88</v>
      </c>
      <c r="G6630" t="s">
        <v>78</v>
      </c>
      <c r="H6630" s="1">
        <v>45467</v>
      </c>
    </row>
    <row r="6631" spans="1:8">
      <c r="A6631" t="s">
        <v>13213</v>
      </c>
      <c r="B6631" t="s">
        <v>13214</v>
      </c>
      <c r="C6631" t="s">
        <v>10</v>
      </c>
      <c r="D6631">
        <v>35</v>
      </c>
      <c r="E6631" t="s">
        <v>69</v>
      </c>
      <c r="F6631" t="s">
        <v>69</v>
      </c>
      <c r="G6631" t="s">
        <v>12</v>
      </c>
      <c r="H6631" s="1">
        <v>44668</v>
      </c>
    </row>
    <row r="6632" spans="1:8">
      <c r="A6632" t="s">
        <v>13215</v>
      </c>
      <c r="B6632" t="s">
        <v>13216</v>
      </c>
      <c r="C6632" t="s">
        <v>31</v>
      </c>
      <c r="D6632">
        <v>36</v>
      </c>
      <c r="E6632" t="s">
        <v>63</v>
      </c>
      <c r="F6632" t="s">
        <v>64</v>
      </c>
      <c r="G6632" t="s">
        <v>12</v>
      </c>
      <c r="H6632" s="1">
        <v>44752</v>
      </c>
    </row>
    <row r="6633" spans="1:8">
      <c r="A6633" t="s">
        <v>13217</v>
      </c>
      <c r="B6633" t="s">
        <v>13218</v>
      </c>
      <c r="C6633" t="s">
        <v>31</v>
      </c>
      <c r="D6633">
        <v>46</v>
      </c>
      <c r="E6633" t="s">
        <v>45</v>
      </c>
      <c r="F6633" t="s">
        <v>46</v>
      </c>
      <c r="G6633" t="s">
        <v>17</v>
      </c>
      <c r="H6633" s="1">
        <v>45246</v>
      </c>
    </row>
    <row r="6634" spans="1:8">
      <c r="A6634" t="s">
        <v>13219</v>
      </c>
      <c r="B6634" t="s">
        <v>13220</v>
      </c>
      <c r="C6634" t="s">
        <v>31</v>
      </c>
      <c r="D6634">
        <v>60</v>
      </c>
      <c r="E6634" t="s">
        <v>34</v>
      </c>
      <c r="F6634" t="s">
        <v>16</v>
      </c>
      <c r="G6634" t="s">
        <v>17</v>
      </c>
      <c r="H6634" s="1">
        <v>45039</v>
      </c>
    </row>
    <row r="6635" spans="1:8">
      <c r="A6635" t="s">
        <v>13221</v>
      </c>
      <c r="B6635" t="s">
        <v>3819</v>
      </c>
      <c r="C6635" t="s">
        <v>31</v>
      </c>
      <c r="D6635">
        <v>41</v>
      </c>
      <c r="E6635" t="s">
        <v>149</v>
      </c>
      <c r="F6635" t="s">
        <v>38</v>
      </c>
      <c r="G6635" t="s">
        <v>22</v>
      </c>
      <c r="H6635" s="1">
        <v>45998</v>
      </c>
    </row>
    <row r="6636" spans="1:8">
      <c r="A6636" t="s">
        <v>13222</v>
      </c>
      <c r="B6636" t="s">
        <v>13223</v>
      </c>
      <c r="C6636" t="s">
        <v>10</v>
      </c>
      <c r="D6636">
        <v>48</v>
      </c>
      <c r="E6636" t="s">
        <v>76</v>
      </c>
      <c r="F6636" t="s">
        <v>77</v>
      </c>
      <c r="G6636" t="s">
        <v>78</v>
      </c>
      <c r="H6636" s="1">
        <v>45724</v>
      </c>
    </row>
    <row r="6637" spans="1:8">
      <c r="A6637" t="s">
        <v>13224</v>
      </c>
      <c r="B6637" t="s">
        <v>13225</v>
      </c>
      <c r="C6637" t="s">
        <v>10</v>
      </c>
      <c r="D6637">
        <v>41</v>
      </c>
      <c r="E6637" t="s">
        <v>11</v>
      </c>
      <c r="F6637" t="s">
        <v>11</v>
      </c>
      <c r="G6637" t="s">
        <v>12</v>
      </c>
      <c r="H6637" s="1">
        <v>44994</v>
      </c>
    </row>
    <row r="6638" spans="1:8">
      <c r="A6638" t="s">
        <v>13226</v>
      </c>
      <c r="B6638" t="s">
        <v>13227</v>
      </c>
      <c r="C6638" t="s">
        <v>31</v>
      </c>
      <c r="D6638">
        <v>57</v>
      </c>
      <c r="E6638" t="s">
        <v>15</v>
      </c>
      <c r="F6638" t="s">
        <v>16</v>
      </c>
      <c r="G6638" t="s">
        <v>17</v>
      </c>
      <c r="H6638" s="1">
        <v>44675</v>
      </c>
    </row>
    <row r="6639" spans="1:8">
      <c r="A6639" t="s">
        <v>13228</v>
      </c>
      <c r="B6639" t="s">
        <v>13229</v>
      </c>
      <c r="C6639" t="s">
        <v>10</v>
      </c>
      <c r="D6639">
        <v>42</v>
      </c>
      <c r="E6639" t="s">
        <v>27</v>
      </c>
      <c r="F6639" t="s">
        <v>28</v>
      </c>
      <c r="G6639" t="s">
        <v>12</v>
      </c>
      <c r="H6639" s="1">
        <v>45757</v>
      </c>
    </row>
    <row r="6640" spans="1:8">
      <c r="A6640" t="s">
        <v>13230</v>
      </c>
      <c r="B6640" t="s">
        <v>13231</v>
      </c>
      <c r="C6640" t="s">
        <v>31</v>
      </c>
      <c r="D6640">
        <v>63</v>
      </c>
      <c r="E6640" t="s">
        <v>134</v>
      </c>
      <c r="F6640" t="s">
        <v>28</v>
      </c>
      <c r="G6640" t="s">
        <v>12</v>
      </c>
      <c r="H6640" s="1">
        <v>45001</v>
      </c>
    </row>
    <row r="6641" spans="1:8">
      <c r="A6641" t="s">
        <v>13232</v>
      </c>
      <c r="B6641" t="s">
        <v>13233</v>
      </c>
      <c r="C6641" t="s">
        <v>31</v>
      </c>
      <c r="D6641">
        <v>33</v>
      </c>
      <c r="E6641" t="s">
        <v>218</v>
      </c>
      <c r="F6641" t="s">
        <v>219</v>
      </c>
      <c r="G6641" t="s">
        <v>17</v>
      </c>
      <c r="H6641" s="1">
        <v>45540</v>
      </c>
    </row>
    <row r="6642" spans="1:8">
      <c r="A6642" t="s">
        <v>13234</v>
      </c>
      <c r="B6642" t="s">
        <v>13235</v>
      </c>
      <c r="C6642" t="s">
        <v>31</v>
      </c>
      <c r="D6642">
        <v>66</v>
      </c>
      <c r="E6642" t="s">
        <v>41</v>
      </c>
      <c r="F6642" t="s">
        <v>42</v>
      </c>
      <c r="G6642" t="s">
        <v>17</v>
      </c>
      <c r="H6642" s="1">
        <v>45005</v>
      </c>
    </row>
    <row r="6643" spans="1:8">
      <c r="A6643" t="s">
        <v>13236</v>
      </c>
      <c r="B6643" t="s">
        <v>13237</v>
      </c>
      <c r="C6643" t="s">
        <v>31</v>
      </c>
      <c r="D6643">
        <v>63</v>
      </c>
      <c r="E6643" t="s">
        <v>101</v>
      </c>
      <c r="F6643" t="s">
        <v>21</v>
      </c>
      <c r="G6643" t="s">
        <v>22</v>
      </c>
      <c r="H6643" s="1">
        <v>45121</v>
      </c>
    </row>
    <row r="6644" spans="1:8">
      <c r="A6644" t="s">
        <v>13238</v>
      </c>
      <c r="B6644" t="s">
        <v>13239</v>
      </c>
      <c r="C6644" t="s">
        <v>31</v>
      </c>
      <c r="D6644">
        <v>51</v>
      </c>
      <c r="E6644" t="s">
        <v>63</v>
      </c>
      <c r="F6644" t="s">
        <v>64</v>
      </c>
      <c r="G6644" t="s">
        <v>12</v>
      </c>
      <c r="H6644" s="1">
        <v>45709</v>
      </c>
    </row>
    <row r="6645" spans="1:8">
      <c r="A6645" t="s">
        <v>13240</v>
      </c>
      <c r="B6645" t="s">
        <v>13241</v>
      </c>
      <c r="C6645" t="s">
        <v>10</v>
      </c>
      <c r="D6645">
        <v>57</v>
      </c>
      <c r="E6645" t="s">
        <v>37</v>
      </c>
      <c r="F6645" t="s">
        <v>38</v>
      </c>
      <c r="G6645" t="s">
        <v>22</v>
      </c>
      <c r="H6645" s="1">
        <v>45916</v>
      </c>
    </row>
    <row r="6646" spans="1:8">
      <c r="A6646" t="s">
        <v>13242</v>
      </c>
      <c r="B6646" t="s">
        <v>13243</v>
      </c>
      <c r="C6646" t="s">
        <v>31</v>
      </c>
      <c r="D6646">
        <v>53</v>
      </c>
      <c r="E6646" t="s">
        <v>41</v>
      </c>
      <c r="F6646" t="s">
        <v>42</v>
      </c>
      <c r="G6646" t="s">
        <v>17</v>
      </c>
      <c r="H6646" s="1">
        <v>45911</v>
      </c>
    </row>
    <row r="6647" spans="1:8">
      <c r="A6647" t="s">
        <v>13244</v>
      </c>
      <c r="B6647" t="s">
        <v>13245</v>
      </c>
      <c r="C6647" t="s">
        <v>10</v>
      </c>
      <c r="D6647">
        <v>33</v>
      </c>
      <c r="E6647" t="s">
        <v>20</v>
      </c>
      <c r="F6647" t="s">
        <v>21</v>
      </c>
      <c r="G6647" t="s">
        <v>22</v>
      </c>
      <c r="H6647" s="1">
        <v>45096</v>
      </c>
    </row>
    <row r="6648" spans="1:8">
      <c r="A6648" t="s">
        <v>13246</v>
      </c>
      <c r="B6648" t="s">
        <v>13247</v>
      </c>
      <c r="C6648" t="s">
        <v>31</v>
      </c>
      <c r="D6648">
        <v>56</v>
      </c>
      <c r="E6648" t="s">
        <v>34</v>
      </c>
      <c r="F6648" t="s">
        <v>16</v>
      </c>
      <c r="G6648" t="s">
        <v>17</v>
      </c>
      <c r="H6648" s="1">
        <v>44816</v>
      </c>
    </row>
    <row r="6649" spans="1:8">
      <c r="A6649" t="s">
        <v>13248</v>
      </c>
      <c r="B6649" t="s">
        <v>13249</v>
      </c>
      <c r="C6649" t="s">
        <v>10</v>
      </c>
      <c r="D6649">
        <v>41</v>
      </c>
      <c r="E6649" t="s">
        <v>20</v>
      </c>
      <c r="F6649" t="s">
        <v>21</v>
      </c>
      <c r="G6649" t="s">
        <v>22</v>
      </c>
      <c r="H6649" s="1">
        <v>45443</v>
      </c>
    </row>
    <row r="6650" spans="1:8">
      <c r="A6650" t="s">
        <v>13250</v>
      </c>
      <c r="B6650" t="s">
        <v>13251</v>
      </c>
      <c r="C6650" t="s">
        <v>10</v>
      </c>
      <c r="D6650">
        <v>70</v>
      </c>
      <c r="E6650" t="s">
        <v>20</v>
      </c>
      <c r="F6650" t="s">
        <v>21</v>
      </c>
      <c r="G6650" t="s">
        <v>22</v>
      </c>
      <c r="H6650" s="1">
        <v>45540</v>
      </c>
    </row>
    <row r="6651" spans="1:8">
      <c r="A6651" t="s">
        <v>13252</v>
      </c>
      <c r="B6651" t="s">
        <v>13253</v>
      </c>
      <c r="C6651" t="s">
        <v>10</v>
      </c>
      <c r="D6651">
        <v>63</v>
      </c>
      <c r="E6651" t="s">
        <v>60</v>
      </c>
      <c r="F6651" t="s">
        <v>21</v>
      </c>
      <c r="G6651" t="s">
        <v>22</v>
      </c>
      <c r="H6651" s="1">
        <v>44818</v>
      </c>
    </row>
    <row r="6652" spans="1:8">
      <c r="A6652" t="s">
        <v>13254</v>
      </c>
      <c r="B6652" t="s">
        <v>13255</v>
      </c>
      <c r="C6652" t="s">
        <v>10</v>
      </c>
      <c r="D6652">
        <v>43</v>
      </c>
      <c r="E6652" t="s">
        <v>34</v>
      </c>
      <c r="F6652" t="s">
        <v>16</v>
      </c>
      <c r="G6652" t="s">
        <v>17</v>
      </c>
      <c r="H6652" s="1">
        <v>45256</v>
      </c>
    </row>
    <row r="6653" spans="1:8">
      <c r="A6653" t="s">
        <v>13256</v>
      </c>
      <c r="B6653" t="s">
        <v>13257</v>
      </c>
      <c r="C6653" t="s">
        <v>10</v>
      </c>
      <c r="D6653">
        <v>41</v>
      </c>
      <c r="E6653" t="s">
        <v>49</v>
      </c>
      <c r="F6653" t="s">
        <v>28</v>
      </c>
      <c r="G6653" t="s">
        <v>12</v>
      </c>
      <c r="H6653" s="1">
        <v>45703</v>
      </c>
    </row>
    <row r="6654" spans="1:8">
      <c r="A6654" t="s">
        <v>13258</v>
      </c>
      <c r="B6654" t="s">
        <v>13259</v>
      </c>
      <c r="C6654" t="s">
        <v>31</v>
      </c>
      <c r="D6654">
        <v>31</v>
      </c>
      <c r="E6654" t="s">
        <v>69</v>
      </c>
      <c r="F6654" t="s">
        <v>69</v>
      </c>
      <c r="G6654" t="s">
        <v>12</v>
      </c>
      <c r="H6654" s="1">
        <v>45181</v>
      </c>
    </row>
    <row r="6655" spans="1:8">
      <c r="A6655" t="s">
        <v>13260</v>
      </c>
      <c r="B6655" t="s">
        <v>13261</v>
      </c>
      <c r="C6655" t="s">
        <v>31</v>
      </c>
      <c r="D6655">
        <v>18</v>
      </c>
      <c r="E6655" t="s">
        <v>27</v>
      </c>
      <c r="F6655" t="s">
        <v>28</v>
      </c>
      <c r="G6655" t="s">
        <v>12</v>
      </c>
      <c r="H6655" s="1">
        <v>45983</v>
      </c>
    </row>
    <row r="6656" spans="1:8">
      <c r="A6656" t="s">
        <v>13262</v>
      </c>
      <c r="B6656" t="s">
        <v>13263</v>
      </c>
      <c r="C6656" t="s">
        <v>31</v>
      </c>
      <c r="D6656">
        <v>41</v>
      </c>
      <c r="E6656" t="s">
        <v>45</v>
      </c>
      <c r="F6656" t="s">
        <v>46</v>
      </c>
      <c r="G6656" t="s">
        <v>17</v>
      </c>
      <c r="H6656" s="1">
        <v>45919</v>
      </c>
    </row>
    <row r="6657" spans="1:8">
      <c r="A6657" t="s">
        <v>13264</v>
      </c>
      <c r="B6657" t="s">
        <v>13265</v>
      </c>
      <c r="C6657" t="s">
        <v>10</v>
      </c>
      <c r="D6657">
        <v>34</v>
      </c>
      <c r="E6657" t="s">
        <v>101</v>
      </c>
      <c r="F6657" t="s">
        <v>21</v>
      </c>
      <c r="G6657" t="s">
        <v>22</v>
      </c>
      <c r="H6657" s="1">
        <v>45789</v>
      </c>
    </row>
    <row r="6658" spans="1:8">
      <c r="A6658" t="s">
        <v>13266</v>
      </c>
      <c r="B6658" t="s">
        <v>13267</v>
      </c>
      <c r="C6658" t="s">
        <v>10</v>
      </c>
      <c r="D6658">
        <v>64</v>
      </c>
      <c r="E6658" t="s">
        <v>69</v>
      </c>
      <c r="F6658" t="s">
        <v>69</v>
      </c>
      <c r="G6658" t="s">
        <v>12</v>
      </c>
      <c r="H6658" s="1">
        <v>45986</v>
      </c>
    </row>
    <row r="6659" spans="1:8">
      <c r="A6659" t="s">
        <v>13268</v>
      </c>
      <c r="B6659" t="s">
        <v>13269</v>
      </c>
      <c r="C6659" t="s">
        <v>10</v>
      </c>
      <c r="D6659">
        <v>41</v>
      </c>
      <c r="E6659" t="s">
        <v>149</v>
      </c>
      <c r="F6659" t="s">
        <v>38</v>
      </c>
      <c r="G6659" t="s">
        <v>22</v>
      </c>
      <c r="H6659" s="1">
        <v>45376</v>
      </c>
    </row>
    <row r="6660" spans="1:8">
      <c r="A6660" t="s">
        <v>13270</v>
      </c>
      <c r="B6660" t="s">
        <v>13271</v>
      </c>
      <c r="C6660" t="s">
        <v>10</v>
      </c>
      <c r="D6660">
        <v>39</v>
      </c>
      <c r="E6660" t="s">
        <v>60</v>
      </c>
      <c r="F6660" t="s">
        <v>21</v>
      </c>
      <c r="G6660" t="s">
        <v>22</v>
      </c>
      <c r="H6660" s="1">
        <v>45890</v>
      </c>
    </row>
    <row r="6661" spans="1:8">
      <c r="A6661" t="s">
        <v>13272</v>
      </c>
      <c r="B6661" t="s">
        <v>13273</v>
      </c>
      <c r="C6661" t="s">
        <v>10</v>
      </c>
      <c r="D6661">
        <v>18</v>
      </c>
      <c r="E6661" t="s">
        <v>34</v>
      </c>
      <c r="F6661" t="s">
        <v>16</v>
      </c>
      <c r="G6661" t="s">
        <v>17</v>
      </c>
      <c r="H6661" s="1">
        <v>45359</v>
      </c>
    </row>
    <row r="6662" spans="1:8">
      <c r="A6662" t="s">
        <v>13274</v>
      </c>
      <c r="B6662" t="s">
        <v>13275</v>
      </c>
      <c r="C6662" t="s">
        <v>10</v>
      </c>
      <c r="D6662">
        <v>23</v>
      </c>
      <c r="E6662" t="s">
        <v>15</v>
      </c>
      <c r="F6662" t="s">
        <v>16</v>
      </c>
      <c r="G6662" t="s">
        <v>17</v>
      </c>
      <c r="H6662" s="1">
        <v>44789</v>
      </c>
    </row>
    <row r="6663" spans="1:8">
      <c r="A6663" t="s">
        <v>13276</v>
      </c>
      <c r="B6663" t="s">
        <v>13277</v>
      </c>
      <c r="C6663" t="s">
        <v>31</v>
      </c>
      <c r="D6663">
        <v>22</v>
      </c>
      <c r="E6663" t="s">
        <v>69</v>
      </c>
      <c r="F6663" t="s">
        <v>69</v>
      </c>
      <c r="G6663" t="s">
        <v>12</v>
      </c>
      <c r="H6663" s="1">
        <v>44713</v>
      </c>
    </row>
    <row r="6664" spans="1:8">
      <c r="A6664" t="s">
        <v>13278</v>
      </c>
      <c r="B6664" t="s">
        <v>13279</v>
      </c>
      <c r="C6664" t="s">
        <v>31</v>
      </c>
      <c r="D6664">
        <v>68</v>
      </c>
      <c r="E6664" t="s">
        <v>112</v>
      </c>
      <c r="F6664" t="s">
        <v>113</v>
      </c>
      <c r="G6664" t="s">
        <v>78</v>
      </c>
      <c r="H6664" s="1">
        <v>44956</v>
      </c>
    </row>
    <row r="6665" spans="1:8">
      <c r="A6665" t="s">
        <v>13280</v>
      </c>
      <c r="B6665" t="s">
        <v>13281</v>
      </c>
      <c r="C6665" t="s">
        <v>10</v>
      </c>
      <c r="D6665">
        <v>26</v>
      </c>
      <c r="E6665" t="s">
        <v>218</v>
      </c>
      <c r="F6665" t="s">
        <v>219</v>
      </c>
      <c r="G6665" t="s">
        <v>17</v>
      </c>
      <c r="H6665" s="1">
        <v>45845</v>
      </c>
    </row>
    <row r="6666" spans="1:8">
      <c r="A6666" t="s">
        <v>13282</v>
      </c>
      <c r="B6666" t="s">
        <v>13283</v>
      </c>
      <c r="C6666" t="s">
        <v>10</v>
      </c>
      <c r="D6666">
        <v>61</v>
      </c>
      <c r="E6666" t="s">
        <v>76</v>
      </c>
      <c r="F6666" t="s">
        <v>77</v>
      </c>
      <c r="G6666" t="s">
        <v>78</v>
      </c>
      <c r="H6666" s="1">
        <v>44564</v>
      </c>
    </row>
    <row r="6667" spans="1:8">
      <c r="A6667" t="s">
        <v>13284</v>
      </c>
      <c r="B6667" t="s">
        <v>13285</v>
      </c>
      <c r="C6667" t="s">
        <v>10</v>
      </c>
      <c r="D6667">
        <v>51</v>
      </c>
      <c r="E6667" t="s">
        <v>27</v>
      </c>
      <c r="F6667" t="s">
        <v>28</v>
      </c>
      <c r="G6667" t="s">
        <v>12</v>
      </c>
      <c r="H6667" s="1">
        <v>44848</v>
      </c>
    </row>
    <row r="6668" spans="1:8">
      <c r="A6668" t="s">
        <v>13286</v>
      </c>
      <c r="B6668" t="s">
        <v>13287</v>
      </c>
      <c r="C6668" t="s">
        <v>10</v>
      </c>
      <c r="D6668">
        <v>66</v>
      </c>
      <c r="E6668" t="s">
        <v>112</v>
      </c>
      <c r="F6668" t="s">
        <v>113</v>
      </c>
      <c r="G6668" t="s">
        <v>78</v>
      </c>
      <c r="H6668" s="1">
        <v>45735</v>
      </c>
    </row>
    <row r="6669" spans="1:8">
      <c r="A6669" t="s">
        <v>13288</v>
      </c>
      <c r="B6669" t="s">
        <v>13289</v>
      </c>
      <c r="C6669" t="s">
        <v>31</v>
      </c>
      <c r="D6669">
        <v>26</v>
      </c>
      <c r="E6669" t="s">
        <v>27</v>
      </c>
      <c r="F6669" t="s">
        <v>28</v>
      </c>
      <c r="G6669" t="s">
        <v>12</v>
      </c>
      <c r="H6669" s="1">
        <v>45391</v>
      </c>
    </row>
    <row r="6670" spans="1:8">
      <c r="A6670" t="s">
        <v>13290</v>
      </c>
      <c r="B6670" t="s">
        <v>13291</v>
      </c>
      <c r="C6670" t="s">
        <v>10</v>
      </c>
      <c r="D6670">
        <v>34</v>
      </c>
      <c r="E6670" t="s">
        <v>34</v>
      </c>
      <c r="F6670" t="s">
        <v>16</v>
      </c>
      <c r="G6670" t="s">
        <v>17</v>
      </c>
      <c r="H6670" s="1">
        <v>44712</v>
      </c>
    </row>
    <row r="6671" spans="1:8">
      <c r="A6671" t="s">
        <v>13292</v>
      </c>
      <c r="B6671" t="s">
        <v>13293</v>
      </c>
      <c r="C6671" t="s">
        <v>31</v>
      </c>
      <c r="D6671">
        <v>61</v>
      </c>
      <c r="E6671" t="s">
        <v>27</v>
      </c>
      <c r="F6671" t="s">
        <v>28</v>
      </c>
      <c r="G6671" t="s">
        <v>12</v>
      </c>
      <c r="H6671" s="1">
        <v>44817</v>
      </c>
    </row>
    <row r="6672" spans="1:8">
      <c r="A6672" t="s">
        <v>13294</v>
      </c>
      <c r="B6672" t="s">
        <v>13295</v>
      </c>
      <c r="C6672" t="s">
        <v>10</v>
      </c>
      <c r="D6672">
        <v>58</v>
      </c>
      <c r="E6672" t="s">
        <v>112</v>
      </c>
      <c r="F6672" t="s">
        <v>113</v>
      </c>
      <c r="G6672" t="s">
        <v>78</v>
      </c>
      <c r="H6672" s="1">
        <v>45848</v>
      </c>
    </row>
    <row r="6673" spans="1:8">
      <c r="A6673" t="s">
        <v>13296</v>
      </c>
      <c r="B6673" t="s">
        <v>13297</v>
      </c>
      <c r="C6673" t="s">
        <v>31</v>
      </c>
      <c r="D6673">
        <v>22</v>
      </c>
      <c r="E6673" t="s">
        <v>91</v>
      </c>
      <c r="F6673" t="s">
        <v>92</v>
      </c>
      <c r="G6673" t="s">
        <v>78</v>
      </c>
      <c r="H6673" s="1">
        <v>45211</v>
      </c>
    </row>
    <row r="6674" spans="1:8">
      <c r="A6674" t="s">
        <v>13298</v>
      </c>
      <c r="B6674" t="s">
        <v>13299</v>
      </c>
      <c r="C6674" t="s">
        <v>10</v>
      </c>
      <c r="D6674">
        <v>26</v>
      </c>
      <c r="E6674" t="s">
        <v>63</v>
      </c>
      <c r="F6674" t="s">
        <v>64</v>
      </c>
      <c r="G6674" t="s">
        <v>12</v>
      </c>
      <c r="H6674" s="1">
        <v>44709</v>
      </c>
    </row>
    <row r="6675" spans="1:8">
      <c r="A6675" t="s">
        <v>13300</v>
      </c>
      <c r="B6675" t="s">
        <v>13301</v>
      </c>
      <c r="C6675" t="s">
        <v>31</v>
      </c>
      <c r="D6675">
        <v>70</v>
      </c>
      <c r="E6675" t="s">
        <v>34</v>
      </c>
      <c r="F6675" t="s">
        <v>16</v>
      </c>
      <c r="G6675" t="s">
        <v>17</v>
      </c>
      <c r="H6675" s="1">
        <v>44729</v>
      </c>
    </row>
    <row r="6676" spans="1:8">
      <c r="A6676" t="s">
        <v>13302</v>
      </c>
      <c r="B6676" t="s">
        <v>13303</v>
      </c>
      <c r="C6676" t="s">
        <v>10</v>
      </c>
      <c r="D6676">
        <v>58</v>
      </c>
      <c r="E6676" t="s">
        <v>41</v>
      </c>
      <c r="F6676" t="s">
        <v>42</v>
      </c>
      <c r="G6676" t="s">
        <v>17</v>
      </c>
      <c r="H6676" s="1">
        <v>45349</v>
      </c>
    </row>
    <row r="6677" spans="1:8">
      <c r="A6677" t="s">
        <v>13304</v>
      </c>
      <c r="B6677" t="s">
        <v>13305</v>
      </c>
      <c r="C6677" t="s">
        <v>10</v>
      </c>
      <c r="D6677">
        <v>30</v>
      </c>
      <c r="E6677" t="s">
        <v>63</v>
      </c>
      <c r="F6677" t="s">
        <v>64</v>
      </c>
      <c r="G6677" t="s">
        <v>12</v>
      </c>
      <c r="H6677" s="1">
        <v>44621</v>
      </c>
    </row>
    <row r="6678" spans="1:8">
      <c r="A6678" t="s">
        <v>13306</v>
      </c>
      <c r="B6678" t="s">
        <v>13307</v>
      </c>
      <c r="C6678" t="s">
        <v>31</v>
      </c>
      <c r="D6678">
        <v>56</v>
      </c>
      <c r="E6678" t="s">
        <v>20</v>
      </c>
      <c r="F6678" t="s">
        <v>21</v>
      </c>
      <c r="G6678" t="s">
        <v>22</v>
      </c>
      <c r="H6678" s="1">
        <v>45975</v>
      </c>
    </row>
    <row r="6679" spans="1:8">
      <c r="A6679" t="s">
        <v>13308</v>
      </c>
      <c r="B6679" t="s">
        <v>13309</v>
      </c>
      <c r="C6679" t="s">
        <v>31</v>
      </c>
      <c r="D6679">
        <v>58</v>
      </c>
      <c r="E6679" t="s">
        <v>218</v>
      </c>
      <c r="F6679" t="s">
        <v>219</v>
      </c>
      <c r="G6679" t="s">
        <v>17</v>
      </c>
      <c r="H6679" s="1">
        <v>44949</v>
      </c>
    </row>
    <row r="6680" spans="1:8">
      <c r="A6680" t="s">
        <v>13310</v>
      </c>
      <c r="B6680" t="s">
        <v>13311</v>
      </c>
      <c r="C6680" t="s">
        <v>31</v>
      </c>
      <c r="D6680">
        <v>45</v>
      </c>
      <c r="E6680" t="s">
        <v>11</v>
      </c>
      <c r="F6680" t="s">
        <v>11</v>
      </c>
      <c r="G6680" t="s">
        <v>12</v>
      </c>
      <c r="H6680" s="1">
        <v>45409</v>
      </c>
    </row>
    <row r="6681" spans="1:8">
      <c r="A6681" t="s">
        <v>13312</v>
      </c>
      <c r="B6681" t="s">
        <v>6407</v>
      </c>
      <c r="C6681" t="s">
        <v>10</v>
      </c>
      <c r="D6681">
        <v>68</v>
      </c>
      <c r="E6681" t="s">
        <v>34</v>
      </c>
      <c r="F6681" t="s">
        <v>16</v>
      </c>
      <c r="G6681" t="s">
        <v>17</v>
      </c>
      <c r="H6681" s="1">
        <v>44863</v>
      </c>
    </row>
    <row r="6682" spans="1:8">
      <c r="A6682" t="s">
        <v>13313</v>
      </c>
      <c r="B6682" t="s">
        <v>13314</v>
      </c>
      <c r="C6682" t="s">
        <v>10</v>
      </c>
      <c r="D6682">
        <v>60</v>
      </c>
      <c r="E6682" t="s">
        <v>20</v>
      </c>
      <c r="F6682" t="s">
        <v>21</v>
      </c>
      <c r="G6682" t="s">
        <v>22</v>
      </c>
      <c r="H6682" s="1">
        <v>46022</v>
      </c>
    </row>
    <row r="6683" spans="1:8">
      <c r="A6683" t="s">
        <v>13315</v>
      </c>
      <c r="B6683" t="s">
        <v>13316</v>
      </c>
      <c r="C6683" t="s">
        <v>10</v>
      </c>
      <c r="D6683">
        <v>58</v>
      </c>
      <c r="E6683" t="s">
        <v>45</v>
      </c>
      <c r="F6683" t="s">
        <v>46</v>
      </c>
      <c r="G6683" t="s">
        <v>17</v>
      </c>
      <c r="H6683" s="1">
        <v>44848</v>
      </c>
    </row>
    <row r="6684" spans="1:8">
      <c r="A6684" t="s">
        <v>13317</v>
      </c>
      <c r="B6684" t="s">
        <v>13318</v>
      </c>
      <c r="C6684" t="s">
        <v>10</v>
      </c>
      <c r="D6684">
        <v>42</v>
      </c>
      <c r="E6684" t="s">
        <v>69</v>
      </c>
      <c r="F6684" t="s">
        <v>69</v>
      </c>
      <c r="G6684" t="s">
        <v>12</v>
      </c>
      <c r="H6684" s="1">
        <v>44770</v>
      </c>
    </row>
    <row r="6685" spans="1:8">
      <c r="A6685" t="s">
        <v>13319</v>
      </c>
      <c r="B6685" t="s">
        <v>13320</v>
      </c>
      <c r="C6685" t="s">
        <v>31</v>
      </c>
      <c r="D6685">
        <v>56</v>
      </c>
      <c r="E6685" t="s">
        <v>76</v>
      </c>
      <c r="F6685" t="s">
        <v>77</v>
      </c>
      <c r="G6685" t="s">
        <v>78</v>
      </c>
      <c r="H6685" s="1">
        <v>45506</v>
      </c>
    </row>
    <row r="6686" spans="1:8">
      <c r="A6686" t="s">
        <v>13321</v>
      </c>
      <c r="B6686" t="s">
        <v>13322</v>
      </c>
      <c r="C6686" t="s">
        <v>10</v>
      </c>
      <c r="D6686">
        <v>29</v>
      </c>
      <c r="E6686" t="s">
        <v>128</v>
      </c>
      <c r="F6686" t="s">
        <v>129</v>
      </c>
      <c r="G6686" t="s">
        <v>78</v>
      </c>
      <c r="H6686" s="1">
        <v>45219</v>
      </c>
    </row>
    <row r="6687" spans="1:8">
      <c r="A6687" t="s">
        <v>13323</v>
      </c>
      <c r="B6687" t="s">
        <v>13324</v>
      </c>
      <c r="C6687" t="s">
        <v>31</v>
      </c>
      <c r="D6687">
        <v>34</v>
      </c>
      <c r="E6687" t="s">
        <v>60</v>
      </c>
      <c r="F6687" t="s">
        <v>21</v>
      </c>
      <c r="G6687" t="s">
        <v>22</v>
      </c>
      <c r="H6687" s="1">
        <v>45410</v>
      </c>
    </row>
    <row r="6688" spans="1:8">
      <c r="A6688" t="s">
        <v>13325</v>
      </c>
      <c r="B6688" t="s">
        <v>13326</v>
      </c>
      <c r="C6688" t="s">
        <v>10</v>
      </c>
      <c r="D6688">
        <v>69</v>
      </c>
      <c r="E6688" t="s">
        <v>60</v>
      </c>
      <c r="F6688" t="s">
        <v>21</v>
      </c>
      <c r="G6688" t="s">
        <v>22</v>
      </c>
      <c r="H6688" s="1">
        <v>45132</v>
      </c>
    </row>
    <row r="6689" spans="1:8">
      <c r="A6689" t="s">
        <v>13327</v>
      </c>
      <c r="B6689" t="s">
        <v>13328</v>
      </c>
      <c r="C6689" t="s">
        <v>31</v>
      </c>
      <c r="D6689">
        <v>50</v>
      </c>
      <c r="E6689" t="s">
        <v>112</v>
      </c>
      <c r="F6689" t="s">
        <v>113</v>
      </c>
      <c r="G6689" t="s">
        <v>78</v>
      </c>
      <c r="H6689" s="1">
        <v>46002</v>
      </c>
    </row>
    <row r="6690" spans="1:8">
      <c r="A6690" t="s">
        <v>13329</v>
      </c>
      <c r="B6690" t="s">
        <v>13330</v>
      </c>
      <c r="C6690" t="s">
        <v>31</v>
      </c>
      <c r="D6690">
        <v>68</v>
      </c>
      <c r="E6690" t="s">
        <v>15</v>
      </c>
      <c r="F6690" t="s">
        <v>16</v>
      </c>
      <c r="G6690" t="s">
        <v>17</v>
      </c>
      <c r="H6690" s="1">
        <v>44714</v>
      </c>
    </row>
    <row r="6691" spans="1:8">
      <c r="A6691" t="s">
        <v>13331</v>
      </c>
      <c r="B6691" t="s">
        <v>13332</v>
      </c>
      <c r="C6691" t="s">
        <v>31</v>
      </c>
      <c r="D6691">
        <v>34</v>
      </c>
      <c r="E6691" t="s">
        <v>76</v>
      </c>
      <c r="F6691" t="s">
        <v>77</v>
      </c>
      <c r="G6691" t="s">
        <v>78</v>
      </c>
      <c r="H6691" s="1">
        <v>44656</v>
      </c>
    </row>
    <row r="6692" spans="1:8">
      <c r="A6692" t="s">
        <v>13333</v>
      </c>
      <c r="B6692" t="s">
        <v>13334</v>
      </c>
      <c r="C6692" t="s">
        <v>31</v>
      </c>
      <c r="D6692">
        <v>53</v>
      </c>
      <c r="E6692" t="s">
        <v>218</v>
      </c>
      <c r="F6692" t="s">
        <v>219</v>
      </c>
      <c r="G6692" t="s">
        <v>17</v>
      </c>
      <c r="H6692" s="1">
        <v>44612</v>
      </c>
    </row>
    <row r="6693" spans="1:8">
      <c r="A6693" t="s">
        <v>13335</v>
      </c>
      <c r="B6693" t="s">
        <v>13336</v>
      </c>
      <c r="C6693" t="s">
        <v>31</v>
      </c>
      <c r="D6693">
        <v>62</v>
      </c>
      <c r="E6693" t="s">
        <v>20</v>
      </c>
      <c r="F6693" t="s">
        <v>21</v>
      </c>
      <c r="G6693" t="s">
        <v>22</v>
      </c>
      <c r="H6693" s="1">
        <v>45245</v>
      </c>
    </row>
    <row r="6694" spans="1:8">
      <c r="A6694" t="s">
        <v>13337</v>
      </c>
      <c r="B6694" t="s">
        <v>13338</v>
      </c>
      <c r="C6694" t="s">
        <v>31</v>
      </c>
      <c r="D6694">
        <v>62</v>
      </c>
      <c r="E6694" t="s">
        <v>20</v>
      </c>
      <c r="F6694" t="s">
        <v>21</v>
      </c>
      <c r="G6694" t="s">
        <v>22</v>
      </c>
      <c r="H6694" s="1">
        <v>45873</v>
      </c>
    </row>
    <row r="6695" spans="1:8">
      <c r="A6695" t="s">
        <v>13339</v>
      </c>
      <c r="B6695" t="s">
        <v>13340</v>
      </c>
      <c r="C6695" t="s">
        <v>31</v>
      </c>
      <c r="D6695">
        <v>57</v>
      </c>
      <c r="E6695" t="s">
        <v>112</v>
      </c>
      <c r="F6695" t="s">
        <v>113</v>
      </c>
      <c r="G6695" t="s">
        <v>78</v>
      </c>
      <c r="H6695" s="1">
        <v>45648</v>
      </c>
    </row>
    <row r="6696" spans="1:8">
      <c r="A6696" t="s">
        <v>13341</v>
      </c>
      <c r="B6696" t="s">
        <v>13342</v>
      </c>
      <c r="C6696" t="s">
        <v>10</v>
      </c>
      <c r="D6696">
        <v>62</v>
      </c>
      <c r="E6696" t="s">
        <v>45</v>
      </c>
      <c r="F6696" t="s">
        <v>46</v>
      </c>
      <c r="G6696" t="s">
        <v>17</v>
      </c>
      <c r="H6696" s="1">
        <v>45743</v>
      </c>
    </row>
    <row r="6697" spans="1:8">
      <c r="A6697" t="s">
        <v>13343</v>
      </c>
      <c r="B6697" t="s">
        <v>13344</v>
      </c>
      <c r="C6697" t="s">
        <v>10</v>
      </c>
      <c r="D6697">
        <v>47</v>
      </c>
      <c r="E6697" t="s">
        <v>45</v>
      </c>
      <c r="F6697" t="s">
        <v>46</v>
      </c>
      <c r="G6697" t="s">
        <v>17</v>
      </c>
      <c r="H6697" s="1">
        <v>45361</v>
      </c>
    </row>
    <row r="6698" spans="1:8">
      <c r="A6698" t="s">
        <v>13345</v>
      </c>
      <c r="B6698" t="s">
        <v>13346</v>
      </c>
      <c r="C6698" t="s">
        <v>31</v>
      </c>
      <c r="D6698">
        <v>43</v>
      </c>
      <c r="E6698" t="s">
        <v>41</v>
      </c>
      <c r="F6698" t="s">
        <v>42</v>
      </c>
      <c r="G6698" t="s">
        <v>17</v>
      </c>
      <c r="H6698" s="1">
        <v>44927</v>
      </c>
    </row>
    <row r="6699" spans="1:8">
      <c r="A6699" t="s">
        <v>13347</v>
      </c>
      <c r="B6699" t="s">
        <v>13348</v>
      </c>
      <c r="C6699" t="s">
        <v>10</v>
      </c>
      <c r="D6699">
        <v>38</v>
      </c>
      <c r="E6699" t="s">
        <v>63</v>
      </c>
      <c r="F6699" t="s">
        <v>64</v>
      </c>
      <c r="G6699" t="s">
        <v>12</v>
      </c>
      <c r="H6699" s="1">
        <v>44860</v>
      </c>
    </row>
    <row r="6700" spans="1:8">
      <c r="A6700" t="s">
        <v>13349</v>
      </c>
      <c r="B6700" t="s">
        <v>13350</v>
      </c>
      <c r="C6700" t="s">
        <v>10</v>
      </c>
      <c r="D6700">
        <v>29</v>
      </c>
      <c r="E6700" t="s">
        <v>20</v>
      </c>
      <c r="F6700" t="s">
        <v>21</v>
      </c>
      <c r="G6700" t="s">
        <v>22</v>
      </c>
      <c r="H6700" s="1">
        <v>45658</v>
      </c>
    </row>
    <row r="6701" spans="1:8">
      <c r="A6701" t="s">
        <v>13351</v>
      </c>
      <c r="B6701" t="s">
        <v>13352</v>
      </c>
      <c r="C6701" t="s">
        <v>31</v>
      </c>
      <c r="D6701">
        <v>47</v>
      </c>
      <c r="E6701" t="s">
        <v>134</v>
      </c>
      <c r="F6701" t="s">
        <v>28</v>
      </c>
      <c r="G6701" t="s">
        <v>12</v>
      </c>
      <c r="H6701" s="1">
        <v>45909</v>
      </c>
    </row>
    <row r="6702" spans="1:8">
      <c r="A6702" t="s">
        <v>13353</v>
      </c>
      <c r="B6702" t="s">
        <v>13354</v>
      </c>
      <c r="C6702" t="s">
        <v>10</v>
      </c>
      <c r="D6702">
        <v>56</v>
      </c>
      <c r="E6702" t="s">
        <v>69</v>
      </c>
      <c r="F6702" t="s">
        <v>69</v>
      </c>
      <c r="G6702" t="s">
        <v>12</v>
      </c>
      <c r="H6702" s="1">
        <v>45731</v>
      </c>
    </row>
    <row r="6703" spans="1:8">
      <c r="A6703" t="s">
        <v>13355</v>
      </c>
      <c r="B6703" t="s">
        <v>13356</v>
      </c>
      <c r="C6703" t="s">
        <v>31</v>
      </c>
      <c r="D6703">
        <v>66</v>
      </c>
      <c r="E6703" t="s">
        <v>112</v>
      </c>
      <c r="F6703" t="s">
        <v>113</v>
      </c>
      <c r="G6703" t="s">
        <v>78</v>
      </c>
      <c r="H6703" s="1">
        <v>45747</v>
      </c>
    </row>
    <row r="6704" spans="1:8">
      <c r="A6704" t="s">
        <v>13357</v>
      </c>
      <c r="B6704" t="s">
        <v>13358</v>
      </c>
      <c r="C6704" t="s">
        <v>10</v>
      </c>
      <c r="D6704">
        <v>34</v>
      </c>
      <c r="E6704" t="s">
        <v>60</v>
      </c>
      <c r="F6704" t="s">
        <v>21</v>
      </c>
      <c r="G6704" t="s">
        <v>22</v>
      </c>
      <c r="H6704" s="1">
        <v>45879</v>
      </c>
    </row>
    <row r="6705" spans="1:8">
      <c r="A6705" t="s">
        <v>13359</v>
      </c>
      <c r="B6705" t="s">
        <v>13360</v>
      </c>
      <c r="C6705" t="s">
        <v>10</v>
      </c>
      <c r="D6705">
        <v>22</v>
      </c>
      <c r="E6705" t="s">
        <v>134</v>
      </c>
      <c r="F6705" t="s">
        <v>28</v>
      </c>
      <c r="G6705" t="s">
        <v>12</v>
      </c>
      <c r="H6705" s="1">
        <v>45959</v>
      </c>
    </row>
    <row r="6706" spans="1:8">
      <c r="A6706" t="s">
        <v>13361</v>
      </c>
      <c r="B6706" t="s">
        <v>13362</v>
      </c>
      <c r="C6706" t="s">
        <v>31</v>
      </c>
      <c r="D6706">
        <v>18</v>
      </c>
      <c r="E6706" t="s">
        <v>34</v>
      </c>
      <c r="F6706" t="s">
        <v>16</v>
      </c>
      <c r="G6706" t="s">
        <v>17</v>
      </c>
      <c r="H6706" s="1">
        <v>45363</v>
      </c>
    </row>
    <row r="6707" spans="1:8">
      <c r="A6707" t="s">
        <v>13363</v>
      </c>
      <c r="B6707" t="s">
        <v>13364</v>
      </c>
      <c r="C6707" t="s">
        <v>10</v>
      </c>
      <c r="D6707">
        <v>40</v>
      </c>
      <c r="E6707" t="s">
        <v>218</v>
      </c>
      <c r="F6707" t="s">
        <v>219</v>
      </c>
      <c r="G6707" t="s">
        <v>17</v>
      </c>
      <c r="H6707" s="1">
        <v>45433</v>
      </c>
    </row>
    <row r="6708" spans="1:8">
      <c r="A6708" t="s">
        <v>13365</v>
      </c>
      <c r="B6708" t="s">
        <v>13366</v>
      </c>
      <c r="C6708" t="s">
        <v>10</v>
      </c>
      <c r="D6708">
        <v>24</v>
      </c>
      <c r="E6708" t="s">
        <v>149</v>
      </c>
      <c r="F6708" t="s">
        <v>38</v>
      </c>
      <c r="G6708" t="s">
        <v>22</v>
      </c>
      <c r="H6708" s="1">
        <v>45444</v>
      </c>
    </row>
    <row r="6709" spans="1:8">
      <c r="A6709" t="s">
        <v>13367</v>
      </c>
      <c r="B6709" t="s">
        <v>13368</v>
      </c>
      <c r="C6709" t="s">
        <v>10</v>
      </c>
      <c r="D6709">
        <v>31</v>
      </c>
      <c r="E6709" t="s">
        <v>218</v>
      </c>
      <c r="F6709" t="s">
        <v>219</v>
      </c>
      <c r="G6709" t="s">
        <v>17</v>
      </c>
      <c r="H6709" s="1">
        <v>45159</v>
      </c>
    </row>
    <row r="6710" spans="1:8">
      <c r="A6710" t="s">
        <v>13369</v>
      </c>
      <c r="B6710" t="s">
        <v>13370</v>
      </c>
      <c r="C6710" t="s">
        <v>10</v>
      </c>
      <c r="D6710">
        <v>41</v>
      </c>
      <c r="E6710" t="s">
        <v>15</v>
      </c>
      <c r="F6710" t="s">
        <v>16</v>
      </c>
      <c r="G6710" t="s">
        <v>17</v>
      </c>
      <c r="H6710" s="1">
        <v>45674</v>
      </c>
    </row>
    <row r="6711" spans="1:8">
      <c r="A6711" t="s">
        <v>13371</v>
      </c>
      <c r="B6711" t="s">
        <v>13372</v>
      </c>
      <c r="C6711" t="s">
        <v>10</v>
      </c>
      <c r="D6711">
        <v>54</v>
      </c>
      <c r="E6711" t="s">
        <v>101</v>
      </c>
      <c r="F6711" t="s">
        <v>21</v>
      </c>
      <c r="G6711" t="s">
        <v>22</v>
      </c>
      <c r="H6711" s="1">
        <v>44627</v>
      </c>
    </row>
    <row r="6712" spans="1:8">
      <c r="A6712" t="s">
        <v>13373</v>
      </c>
      <c r="B6712" t="s">
        <v>13374</v>
      </c>
      <c r="C6712" t="s">
        <v>10</v>
      </c>
      <c r="D6712">
        <v>50</v>
      </c>
      <c r="E6712" t="s">
        <v>91</v>
      </c>
      <c r="F6712" t="s">
        <v>92</v>
      </c>
      <c r="G6712" t="s">
        <v>78</v>
      </c>
      <c r="H6712" s="1">
        <v>45867</v>
      </c>
    </row>
    <row r="6713" spans="1:8">
      <c r="A6713" t="s">
        <v>13375</v>
      </c>
      <c r="B6713" t="s">
        <v>13376</v>
      </c>
      <c r="C6713" t="s">
        <v>10</v>
      </c>
      <c r="D6713">
        <v>48</v>
      </c>
      <c r="E6713" t="s">
        <v>101</v>
      </c>
      <c r="F6713" t="s">
        <v>21</v>
      </c>
      <c r="G6713" t="s">
        <v>22</v>
      </c>
      <c r="H6713" s="1">
        <v>44788</v>
      </c>
    </row>
    <row r="6714" spans="1:8">
      <c r="A6714" t="s">
        <v>13377</v>
      </c>
      <c r="B6714" t="s">
        <v>13378</v>
      </c>
      <c r="C6714" t="s">
        <v>10</v>
      </c>
      <c r="D6714">
        <v>23</v>
      </c>
      <c r="E6714" t="s">
        <v>27</v>
      </c>
      <c r="F6714" t="s">
        <v>28</v>
      </c>
      <c r="G6714" t="s">
        <v>12</v>
      </c>
      <c r="H6714" s="1">
        <v>45636</v>
      </c>
    </row>
    <row r="6715" spans="1:8">
      <c r="A6715" t="s">
        <v>13379</v>
      </c>
      <c r="B6715" t="s">
        <v>13380</v>
      </c>
      <c r="C6715" t="s">
        <v>31</v>
      </c>
      <c r="D6715">
        <v>40</v>
      </c>
      <c r="E6715" t="s">
        <v>41</v>
      </c>
      <c r="F6715" t="s">
        <v>42</v>
      </c>
      <c r="G6715" t="s">
        <v>17</v>
      </c>
      <c r="H6715" s="1">
        <v>45032</v>
      </c>
    </row>
    <row r="6716" spans="1:8">
      <c r="A6716" t="s">
        <v>13381</v>
      </c>
      <c r="B6716" t="s">
        <v>13382</v>
      </c>
      <c r="C6716" t="s">
        <v>31</v>
      </c>
      <c r="D6716">
        <v>27</v>
      </c>
      <c r="E6716" t="s">
        <v>134</v>
      </c>
      <c r="F6716" t="s">
        <v>28</v>
      </c>
      <c r="G6716" t="s">
        <v>12</v>
      </c>
      <c r="H6716" s="1">
        <v>45677</v>
      </c>
    </row>
    <row r="6717" spans="1:8">
      <c r="A6717" t="s">
        <v>13383</v>
      </c>
      <c r="B6717" t="s">
        <v>13384</v>
      </c>
      <c r="C6717" t="s">
        <v>10</v>
      </c>
      <c r="D6717">
        <v>22</v>
      </c>
      <c r="E6717" t="s">
        <v>41</v>
      </c>
      <c r="F6717" t="s">
        <v>42</v>
      </c>
      <c r="G6717" t="s">
        <v>17</v>
      </c>
      <c r="H6717" s="1">
        <v>44835</v>
      </c>
    </row>
    <row r="6718" spans="1:8">
      <c r="A6718" t="s">
        <v>13385</v>
      </c>
      <c r="B6718" t="s">
        <v>13386</v>
      </c>
      <c r="C6718" t="s">
        <v>31</v>
      </c>
      <c r="D6718">
        <v>26</v>
      </c>
      <c r="E6718" t="s">
        <v>11</v>
      </c>
      <c r="F6718" t="s">
        <v>11</v>
      </c>
      <c r="G6718" t="s">
        <v>12</v>
      </c>
      <c r="H6718" s="1">
        <v>45689</v>
      </c>
    </row>
    <row r="6719" spans="1:8">
      <c r="A6719" t="s">
        <v>13387</v>
      </c>
      <c r="B6719" t="s">
        <v>13388</v>
      </c>
      <c r="C6719" t="s">
        <v>10</v>
      </c>
      <c r="D6719">
        <v>45</v>
      </c>
      <c r="E6719" t="s">
        <v>37</v>
      </c>
      <c r="F6719" t="s">
        <v>38</v>
      </c>
      <c r="G6719" t="s">
        <v>22</v>
      </c>
      <c r="H6719" s="1">
        <v>45941</v>
      </c>
    </row>
    <row r="6720" spans="1:8">
      <c r="A6720" t="s">
        <v>13389</v>
      </c>
      <c r="B6720" t="s">
        <v>13390</v>
      </c>
      <c r="C6720" t="s">
        <v>31</v>
      </c>
      <c r="D6720">
        <v>66</v>
      </c>
      <c r="E6720" t="s">
        <v>63</v>
      </c>
      <c r="F6720" t="s">
        <v>64</v>
      </c>
      <c r="G6720" t="s">
        <v>12</v>
      </c>
      <c r="H6720" s="1">
        <v>45565</v>
      </c>
    </row>
    <row r="6721" spans="1:8">
      <c r="A6721" t="s">
        <v>13391</v>
      </c>
      <c r="B6721" t="s">
        <v>13392</v>
      </c>
      <c r="C6721" t="s">
        <v>10</v>
      </c>
      <c r="D6721">
        <v>28</v>
      </c>
      <c r="E6721" t="s">
        <v>112</v>
      </c>
      <c r="F6721" t="s">
        <v>113</v>
      </c>
      <c r="G6721" t="s">
        <v>78</v>
      </c>
      <c r="H6721" s="1">
        <v>45230</v>
      </c>
    </row>
    <row r="6722" spans="1:8">
      <c r="A6722" t="s">
        <v>13393</v>
      </c>
      <c r="B6722" t="s">
        <v>13394</v>
      </c>
      <c r="C6722" t="s">
        <v>31</v>
      </c>
      <c r="D6722">
        <v>23</v>
      </c>
      <c r="E6722" t="s">
        <v>134</v>
      </c>
      <c r="F6722" t="s">
        <v>28</v>
      </c>
      <c r="G6722" t="s">
        <v>12</v>
      </c>
      <c r="H6722" s="1">
        <v>45285</v>
      </c>
    </row>
    <row r="6723" spans="1:8">
      <c r="A6723" t="s">
        <v>13395</v>
      </c>
      <c r="B6723" t="s">
        <v>13396</v>
      </c>
      <c r="C6723" t="s">
        <v>31</v>
      </c>
      <c r="D6723">
        <v>23</v>
      </c>
      <c r="E6723" t="s">
        <v>11</v>
      </c>
      <c r="F6723" t="s">
        <v>11</v>
      </c>
      <c r="G6723" t="s">
        <v>12</v>
      </c>
      <c r="H6723" s="1">
        <v>44599</v>
      </c>
    </row>
    <row r="6724" spans="1:8">
      <c r="A6724" t="s">
        <v>13397</v>
      </c>
      <c r="B6724" t="s">
        <v>13398</v>
      </c>
      <c r="C6724" t="s">
        <v>31</v>
      </c>
      <c r="D6724">
        <v>62</v>
      </c>
      <c r="E6724" t="s">
        <v>15</v>
      </c>
      <c r="F6724" t="s">
        <v>16</v>
      </c>
      <c r="G6724" t="s">
        <v>17</v>
      </c>
      <c r="H6724" s="1">
        <v>45828</v>
      </c>
    </row>
    <row r="6725" spans="1:8">
      <c r="A6725" t="s">
        <v>13399</v>
      </c>
      <c r="B6725" t="s">
        <v>13400</v>
      </c>
      <c r="C6725" t="s">
        <v>10</v>
      </c>
      <c r="D6725">
        <v>26</v>
      </c>
      <c r="E6725" t="s">
        <v>37</v>
      </c>
      <c r="F6725" t="s">
        <v>38</v>
      </c>
      <c r="G6725" t="s">
        <v>22</v>
      </c>
      <c r="H6725" s="1">
        <v>46016</v>
      </c>
    </row>
    <row r="6726" spans="1:8">
      <c r="A6726" t="s">
        <v>13401</v>
      </c>
      <c r="B6726" t="s">
        <v>13402</v>
      </c>
      <c r="C6726" t="s">
        <v>10</v>
      </c>
      <c r="D6726">
        <v>18</v>
      </c>
      <c r="E6726" t="s">
        <v>101</v>
      </c>
      <c r="F6726" t="s">
        <v>21</v>
      </c>
      <c r="G6726" t="s">
        <v>22</v>
      </c>
      <c r="H6726" s="1">
        <v>44987</v>
      </c>
    </row>
    <row r="6727" spans="1:8">
      <c r="A6727" t="s">
        <v>13403</v>
      </c>
      <c r="B6727" t="s">
        <v>13404</v>
      </c>
      <c r="C6727" t="s">
        <v>10</v>
      </c>
      <c r="D6727">
        <v>26</v>
      </c>
      <c r="E6727" t="s">
        <v>15</v>
      </c>
      <c r="F6727" t="s">
        <v>16</v>
      </c>
      <c r="G6727" t="s">
        <v>17</v>
      </c>
      <c r="H6727" s="1">
        <v>45487</v>
      </c>
    </row>
    <row r="6728" spans="1:8">
      <c r="A6728" t="s">
        <v>13405</v>
      </c>
      <c r="B6728" t="s">
        <v>13406</v>
      </c>
      <c r="C6728" t="s">
        <v>10</v>
      </c>
      <c r="D6728">
        <v>18</v>
      </c>
      <c r="E6728" t="s">
        <v>15</v>
      </c>
      <c r="F6728" t="s">
        <v>16</v>
      </c>
      <c r="G6728" t="s">
        <v>17</v>
      </c>
      <c r="H6728" s="1">
        <v>44876</v>
      </c>
    </row>
    <row r="6729" spans="1:8">
      <c r="A6729" t="s">
        <v>13407</v>
      </c>
      <c r="B6729" t="s">
        <v>13408</v>
      </c>
      <c r="C6729" t="s">
        <v>31</v>
      </c>
      <c r="D6729">
        <v>61</v>
      </c>
      <c r="E6729" t="s">
        <v>63</v>
      </c>
      <c r="F6729" t="s">
        <v>64</v>
      </c>
      <c r="G6729" t="s">
        <v>12</v>
      </c>
      <c r="H6729" s="1">
        <v>45933</v>
      </c>
    </row>
    <row r="6730" spans="1:8">
      <c r="A6730" t="s">
        <v>13409</v>
      </c>
      <c r="B6730" t="s">
        <v>13410</v>
      </c>
      <c r="C6730" t="s">
        <v>31</v>
      </c>
      <c r="D6730">
        <v>39</v>
      </c>
      <c r="E6730" t="s">
        <v>45</v>
      </c>
      <c r="F6730" t="s">
        <v>46</v>
      </c>
      <c r="G6730" t="s">
        <v>17</v>
      </c>
      <c r="H6730" s="1">
        <v>44966</v>
      </c>
    </row>
    <row r="6731" spans="1:8">
      <c r="A6731" t="s">
        <v>13411</v>
      </c>
      <c r="B6731" t="s">
        <v>13412</v>
      </c>
      <c r="C6731" t="s">
        <v>31</v>
      </c>
      <c r="D6731">
        <v>67</v>
      </c>
      <c r="E6731" t="s">
        <v>27</v>
      </c>
      <c r="F6731" t="s">
        <v>28</v>
      </c>
      <c r="G6731" t="s">
        <v>12</v>
      </c>
      <c r="H6731" s="1">
        <v>44796</v>
      </c>
    </row>
    <row r="6732" spans="1:8">
      <c r="A6732" t="s">
        <v>13413</v>
      </c>
      <c r="B6732" t="s">
        <v>13414</v>
      </c>
      <c r="C6732" t="s">
        <v>10</v>
      </c>
      <c r="D6732">
        <v>44</v>
      </c>
      <c r="E6732" t="s">
        <v>60</v>
      </c>
      <c r="F6732" t="s">
        <v>21</v>
      </c>
      <c r="G6732" t="s">
        <v>22</v>
      </c>
      <c r="H6732" s="1">
        <v>44623</v>
      </c>
    </row>
    <row r="6733" spans="1:8">
      <c r="A6733" t="s">
        <v>13415</v>
      </c>
      <c r="B6733" t="s">
        <v>13416</v>
      </c>
      <c r="C6733" t="s">
        <v>31</v>
      </c>
      <c r="D6733">
        <v>68</v>
      </c>
      <c r="E6733" t="s">
        <v>63</v>
      </c>
      <c r="F6733" t="s">
        <v>64</v>
      </c>
      <c r="G6733" t="s">
        <v>12</v>
      </c>
      <c r="H6733" s="1">
        <v>44815</v>
      </c>
    </row>
    <row r="6734" spans="1:8">
      <c r="A6734" t="s">
        <v>13417</v>
      </c>
      <c r="B6734" t="s">
        <v>13418</v>
      </c>
      <c r="C6734" t="s">
        <v>31</v>
      </c>
      <c r="D6734">
        <v>64</v>
      </c>
      <c r="E6734" t="s">
        <v>149</v>
      </c>
      <c r="F6734" t="s">
        <v>38</v>
      </c>
      <c r="G6734" t="s">
        <v>22</v>
      </c>
      <c r="H6734" s="1">
        <v>45705</v>
      </c>
    </row>
    <row r="6735" spans="1:8">
      <c r="A6735" t="s">
        <v>13419</v>
      </c>
      <c r="B6735" t="s">
        <v>13420</v>
      </c>
      <c r="C6735" t="s">
        <v>10</v>
      </c>
      <c r="D6735">
        <v>18</v>
      </c>
      <c r="E6735" t="s">
        <v>11</v>
      </c>
      <c r="F6735" t="s">
        <v>11</v>
      </c>
      <c r="G6735" t="s">
        <v>12</v>
      </c>
      <c r="H6735" s="1">
        <v>45071</v>
      </c>
    </row>
    <row r="6736" spans="1:8">
      <c r="A6736" t="s">
        <v>13421</v>
      </c>
      <c r="B6736" t="s">
        <v>13422</v>
      </c>
      <c r="C6736" t="s">
        <v>10</v>
      </c>
      <c r="D6736">
        <v>19</v>
      </c>
      <c r="E6736" t="s">
        <v>45</v>
      </c>
      <c r="F6736" t="s">
        <v>46</v>
      </c>
      <c r="G6736" t="s">
        <v>17</v>
      </c>
      <c r="H6736" s="1">
        <v>45079</v>
      </c>
    </row>
    <row r="6737" spans="1:8">
      <c r="A6737" t="s">
        <v>13423</v>
      </c>
      <c r="B6737" t="s">
        <v>13424</v>
      </c>
      <c r="C6737" t="s">
        <v>31</v>
      </c>
      <c r="D6737">
        <v>55</v>
      </c>
      <c r="E6737" t="s">
        <v>149</v>
      </c>
      <c r="F6737" t="s">
        <v>38</v>
      </c>
      <c r="G6737" t="s">
        <v>22</v>
      </c>
      <c r="H6737" s="1">
        <v>45362</v>
      </c>
    </row>
    <row r="6738" spans="1:8">
      <c r="A6738" t="s">
        <v>13425</v>
      </c>
      <c r="B6738" t="s">
        <v>13426</v>
      </c>
      <c r="C6738" t="s">
        <v>31</v>
      </c>
      <c r="D6738">
        <v>36</v>
      </c>
      <c r="E6738" t="s">
        <v>20</v>
      </c>
      <c r="F6738" t="s">
        <v>21</v>
      </c>
      <c r="G6738" t="s">
        <v>22</v>
      </c>
      <c r="H6738" s="1">
        <v>45966</v>
      </c>
    </row>
    <row r="6739" spans="1:8">
      <c r="A6739" t="s">
        <v>13427</v>
      </c>
      <c r="B6739" t="s">
        <v>13428</v>
      </c>
      <c r="C6739" t="s">
        <v>10</v>
      </c>
      <c r="D6739">
        <v>24</v>
      </c>
      <c r="E6739" t="s">
        <v>134</v>
      </c>
      <c r="F6739" t="s">
        <v>28</v>
      </c>
      <c r="G6739" t="s">
        <v>12</v>
      </c>
      <c r="H6739" s="1">
        <v>45693</v>
      </c>
    </row>
    <row r="6740" spans="1:8">
      <c r="A6740" t="s">
        <v>13429</v>
      </c>
      <c r="B6740" t="s">
        <v>13430</v>
      </c>
      <c r="C6740" t="s">
        <v>31</v>
      </c>
      <c r="D6740">
        <v>37</v>
      </c>
      <c r="E6740" t="s">
        <v>20</v>
      </c>
      <c r="F6740" t="s">
        <v>21</v>
      </c>
      <c r="G6740" t="s">
        <v>22</v>
      </c>
      <c r="H6740" s="1">
        <v>45565</v>
      </c>
    </row>
    <row r="6741" spans="1:8">
      <c r="A6741" t="s">
        <v>13431</v>
      </c>
      <c r="B6741" t="s">
        <v>13432</v>
      </c>
      <c r="C6741" t="s">
        <v>10</v>
      </c>
      <c r="D6741">
        <v>51</v>
      </c>
      <c r="E6741" t="s">
        <v>41</v>
      </c>
      <c r="F6741" t="s">
        <v>42</v>
      </c>
      <c r="G6741" t="s">
        <v>17</v>
      </c>
      <c r="H6741" s="1">
        <v>45981</v>
      </c>
    </row>
    <row r="6742" spans="1:8">
      <c r="A6742" t="s">
        <v>13433</v>
      </c>
      <c r="B6742" t="s">
        <v>13434</v>
      </c>
      <c r="C6742" t="s">
        <v>10</v>
      </c>
      <c r="D6742">
        <v>25</v>
      </c>
      <c r="E6742" t="s">
        <v>34</v>
      </c>
      <c r="F6742" t="s">
        <v>16</v>
      </c>
      <c r="G6742" t="s">
        <v>17</v>
      </c>
      <c r="H6742" s="1">
        <v>45167</v>
      </c>
    </row>
    <row r="6743" spans="1:8">
      <c r="A6743" t="s">
        <v>13435</v>
      </c>
      <c r="B6743" t="s">
        <v>13436</v>
      </c>
      <c r="C6743" t="s">
        <v>31</v>
      </c>
      <c r="D6743">
        <v>57</v>
      </c>
      <c r="E6743" t="s">
        <v>37</v>
      </c>
      <c r="F6743" t="s">
        <v>38</v>
      </c>
      <c r="G6743" t="s">
        <v>22</v>
      </c>
      <c r="H6743" s="1">
        <v>44599</v>
      </c>
    </row>
    <row r="6744" spans="1:8">
      <c r="A6744" t="s">
        <v>13437</v>
      </c>
      <c r="B6744" t="s">
        <v>13438</v>
      </c>
      <c r="C6744" t="s">
        <v>10</v>
      </c>
      <c r="D6744">
        <v>25</v>
      </c>
      <c r="E6744" t="s">
        <v>149</v>
      </c>
      <c r="F6744" t="s">
        <v>38</v>
      </c>
      <c r="G6744" t="s">
        <v>22</v>
      </c>
      <c r="H6744" s="1">
        <v>44764</v>
      </c>
    </row>
    <row r="6745" spans="1:8">
      <c r="A6745" t="s">
        <v>13439</v>
      </c>
      <c r="B6745" t="s">
        <v>13440</v>
      </c>
      <c r="C6745" t="s">
        <v>31</v>
      </c>
      <c r="D6745">
        <v>41</v>
      </c>
      <c r="E6745" t="s">
        <v>101</v>
      </c>
      <c r="F6745" t="s">
        <v>21</v>
      </c>
      <c r="G6745" t="s">
        <v>22</v>
      </c>
      <c r="H6745" s="1">
        <v>46012</v>
      </c>
    </row>
    <row r="6746" spans="1:8">
      <c r="A6746" t="s">
        <v>13441</v>
      </c>
      <c r="B6746" t="s">
        <v>13442</v>
      </c>
      <c r="C6746" t="s">
        <v>10</v>
      </c>
      <c r="D6746">
        <v>26</v>
      </c>
      <c r="E6746" t="s">
        <v>34</v>
      </c>
      <c r="F6746" t="s">
        <v>16</v>
      </c>
      <c r="G6746" t="s">
        <v>17</v>
      </c>
      <c r="H6746" s="1">
        <v>45988</v>
      </c>
    </row>
    <row r="6747" spans="1:8">
      <c r="A6747" t="s">
        <v>13443</v>
      </c>
      <c r="B6747" t="s">
        <v>13444</v>
      </c>
      <c r="C6747" t="s">
        <v>31</v>
      </c>
      <c r="D6747">
        <v>50</v>
      </c>
      <c r="E6747" t="s">
        <v>27</v>
      </c>
      <c r="F6747" t="s">
        <v>28</v>
      </c>
      <c r="G6747" t="s">
        <v>12</v>
      </c>
      <c r="H6747" s="1">
        <v>44660</v>
      </c>
    </row>
    <row r="6748" spans="1:8">
      <c r="A6748" t="s">
        <v>13445</v>
      </c>
      <c r="B6748" t="s">
        <v>13446</v>
      </c>
      <c r="C6748" t="s">
        <v>31</v>
      </c>
      <c r="D6748">
        <v>58</v>
      </c>
      <c r="E6748" t="s">
        <v>76</v>
      </c>
      <c r="F6748" t="s">
        <v>77</v>
      </c>
      <c r="G6748" t="s">
        <v>78</v>
      </c>
      <c r="H6748" s="1">
        <v>45495</v>
      </c>
    </row>
    <row r="6749" spans="1:8">
      <c r="A6749" t="s">
        <v>13447</v>
      </c>
      <c r="B6749" t="s">
        <v>13448</v>
      </c>
      <c r="C6749" t="s">
        <v>10</v>
      </c>
      <c r="D6749">
        <v>62</v>
      </c>
      <c r="E6749" t="s">
        <v>37</v>
      </c>
      <c r="F6749" t="s">
        <v>38</v>
      </c>
      <c r="G6749" t="s">
        <v>22</v>
      </c>
      <c r="H6749" s="1">
        <v>45117</v>
      </c>
    </row>
    <row r="6750" spans="1:8">
      <c r="A6750" t="s">
        <v>13449</v>
      </c>
      <c r="B6750" t="s">
        <v>13450</v>
      </c>
      <c r="C6750" t="s">
        <v>31</v>
      </c>
      <c r="D6750">
        <v>29</v>
      </c>
      <c r="E6750" t="s">
        <v>91</v>
      </c>
      <c r="F6750" t="s">
        <v>92</v>
      </c>
      <c r="G6750" t="s">
        <v>78</v>
      </c>
      <c r="H6750" s="1">
        <v>45579</v>
      </c>
    </row>
    <row r="6751" spans="1:8">
      <c r="A6751" t="s">
        <v>13451</v>
      </c>
      <c r="B6751" t="s">
        <v>13452</v>
      </c>
      <c r="C6751" t="s">
        <v>31</v>
      </c>
      <c r="D6751">
        <v>20</v>
      </c>
      <c r="E6751" t="s">
        <v>76</v>
      </c>
      <c r="F6751" t="s">
        <v>77</v>
      </c>
      <c r="G6751" t="s">
        <v>78</v>
      </c>
      <c r="H6751" s="1">
        <v>45782</v>
      </c>
    </row>
    <row r="6752" spans="1:8">
      <c r="A6752" t="s">
        <v>13453</v>
      </c>
      <c r="B6752" t="s">
        <v>13454</v>
      </c>
      <c r="C6752" t="s">
        <v>31</v>
      </c>
      <c r="D6752">
        <v>67</v>
      </c>
      <c r="E6752" t="s">
        <v>11</v>
      </c>
      <c r="F6752" t="s">
        <v>11</v>
      </c>
      <c r="G6752" t="s">
        <v>12</v>
      </c>
      <c r="H6752" s="1">
        <v>44799</v>
      </c>
    </row>
    <row r="6753" spans="1:8">
      <c r="A6753" t="s">
        <v>13455</v>
      </c>
      <c r="B6753" t="s">
        <v>13456</v>
      </c>
      <c r="C6753" t="s">
        <v>31</v>
      </c>
      <c r="D6753">
        <v>29</v>
      </c>
      <c r="E6753" t="s">
        <v>45</v>
      </c>
      <c r="F6753" t="s">
        <v>46</v>
      </c>
      <c r="G6753" t="s">
        <v>17</v>
      </c>
      <c r="H6753" s="1">
        <v>45216</v>
      </c>
    </row>
    <row r="6754" spans="1:8">
      <c r="A6754" t="s">
        <v>13457</v>
      </c>
      <c r="B6754" t="s">
        <v>13458</v>
      </c>
      <c r="C6754" t="s">
        <v>10</v>
      </c>
      <c r="D6754">
        <v>43</v>
      </c>
      <c r="E6754" t="s">
        <v>60</v>
      </c>
      <c r="F6754" t="s">
        <v>21</v>
      </c>
      <c r="G6754" t="s">
        <v>22</v>
      </c>
      <c r="H6754" s="1">
        <v>45692</v>
      </c>
    </row>
    <row r="6755" spans="1:8">
      <c r="A6755" t="s">
        <v>13459</v>
      </c>
      <c r="B6755" t="s">
        <v>13460</v>
      </c>
      <c r="C6755" t="s">
        <v>31</v>
      </c>
      <c r="D6755">
        <v>52</v>
      </c>
      <c r="E6755" t="s">
        <v>15</v>
      </c>
      <c r="F6755" t="s">
        <v>16</v>
      </c>
      <c r="G6755" t="s">
        <v>17</v>
      </c>
      <c r="H6755" s="1">
        <v>45473</v>
      </c>
    </row>
    <row r="6756" spans="1:8">
      <c r="A6756" t="s">
        <v>13461</v>
      </c>
      <c r="B6756" t="s">
        <v>13462</v>
      </c>
      <c r="C6756" t="s">
        <v>31</v>
      </c>
      <c r="D6756">
        <v>40</v>
      </c>
      <c r="E6756" t="s">
        <v>63</v>
      </c>
      <c r="F6756" t="s">
        <v>64</v>
      </c>
      <c r="G6756" t="s">
        <v>12</v>
      </c>
      <c r="H6756" s="1">
        <v>44602</v>
      </c>
    </row>
    <row r="6757" spans="1:8">
      <c r="A6757" t="s">
        <v>13463</v>
      </c>
      <c r="B6757" t="s">
        <v>13464</v>
      </c>
      <c r="C6757" t="s">
        <v>10</v>
      </c>
      <c r="D6757">
        <v>63</v>
      </c>
      <c r="E6757" t="s">
        <v>27</v>
      </c>
      <c r="F6757" t="s">
        <v>28</v>
      </c>
      <c r="G6757" t="s">
        <v>12</v>
      </c>
      <c r="H6757" s="1">
        <v>45601</v>
      </c>
    </row>
    <row r="6758" spans="1:8">
      <c r="A6758" t="s">
        <v>13465</v>
      </c>
      <c r="B6758" t="s">
        <v>13466</v>
      </c>
      <c r="C6758" t="s">
        <v>31</v>
      </c>
      <c r="D6758">
        <v>22</v>
      </c>
      <c r="E6758" t="s">
        <v>69</v>
      </c>
      <c r="F6758" t="s">
        <v>69</v>
      </c>
      <c r="G6758" t="s">
        <v>12</v>
      </c>
      <c r="H6758" s="1">
        <v>44803</v>
      </c>
    </row>
    <row r="6759" spans="1:8">
      <c r="A6759" t="s">
        <v>13467</v>
      </c>
      <c r="B6759" t="s">
        <v>13468</v>
      </c>
      <c r="C6759" t="s">
        <v>10</v>
      </c>
      <c r="D6759">
        <v>56</v>
      </c>
      <c r="E6759" t="s">
        <v>134</v>
      </c>
      <c r="F6759" t="s">
        <v>28</v>
      </c>
      <c r="G6759" t="s">
        <v>12</v>
      </c>
      <c r="H6759" s="1">
        <v>44830</v>
      </c>
    </row>
    <row r="6760" spans="1:8">
      <c r="A6760" t="s">
        <v>13469</v>
      </c>
      <c r="B6760" t="s">
        <v>13470</v>
      </c>
      <c r="C6760" t="s">
        <v>31</v>
      </c>
      <c r="D6760">
        <v>62</v>
      </c>
      <c r="E6760" t="s">
        <v>76</v>
      </c>
      <c r="F6760" t="s">
        <v>77</v>
      </c>
      <c r="G6760" t="s">
        <v>78</v>
      </c>
      <c r="H6760" s="1">
        <v>45315</v>
      </c>
    </row>
    <row r="6761" spans="1:8">
      <c r="A6761" t="s">
        <v>13471</v>
      </c>
      <c r="B6761" t="s">
        <v>13472</v>
      </c>
      <c r="C6761" t="s">
        <v>10</v>
      </c>
      <c r="D6761">
        <v>20</v>
      </c>
      <c r="E6761" t="s">
        <v>134</v>
      </c>
      <c r="F6761" t="s">
        <v>28</v>
      </c>
      <c r="G6761" t="s">
        <v>12</v>
      </c>
      <c r="H6761" s="1">
        <v>45783</v>
      </c>
    </row>
    <row r="6762" spans="1:8">
      <c r="A6762" t="s">
        <v>13473</v>
      </c>
      <c r="B6762" t="s">
        <v>13474</v>
      </c>
      <c r="C6762" t="s">
        <v>31</v>
      </c>
      <c r="D6762">
        <v>46</v>
      </c>
      <c r="E6762" t="s">
        <v>37</v>
      </c>
      <c r="F6762" t="s">
        <v>38</v>
      </c>
      <c r="G6762" t="s">
        <v>22</v>
      </c>
      <c r="H6762" s="1">
        <v>45716</v>
      </c>
    </row>
    <row r="6763" spans="1:8">
      <c r="A6763" t="s">
        <v>13475</v>
      </c>
      <c r="B6763" t="s">
        <v>13476</v>
      </c>
      <c r="C6763" t="s">
        <v>10</v>
      </c>
      <c r="D6763">
        <v>24</v>
      </c>
      <c r="E6763" t="s">
        <v>149</v>
      </c>
      <c r="F6763" t="s">
        <v>38</v>
      </c>
      <c r="G6763" t="s">
        <v>22</v>
      </c>
      <c r="H6763" s="1">
        <v>45789</v>
      </c>
    </row>
    <row r="6764" spans="1:8">
      <c r="A6764" t="s">
        <v>13477</v>
      </c>
      <c r="B6764" t="s">
        <v>13478</v>
      </c>
      <c r="C6764" t="s">
        <v>10</v>
      </c>
      <c r="D6764">
        <v>19</v>
      </c>
      <c r="E6764" t="s">
        <v>69</v>
      </c>
      <c r="F6764" t="s">
        <v>69</v>
      </c>
      <c r="G6764" t="s">
        <v>12</v>
      </c>
      <c r="H6764" s="1">
        <v>45775</v>
      </c>
    </row>
    <row r="6765" spans="1:8">
      <c r="A6765" t="s">
        <v>13479</v>
      </c>
      <c r="B6765" t="s">
        <v>13480</v>
      </c>
      <c r="C6765" t="s">
        <v>31</v>
      </c>
      <c r="D6765">
        <v>27</v>
      </c>
      <c r="E6765" t="s">
        <v>134</v>
      </c>
      <c r="F6765" t="s">
        <v>28</v>
      </c>
      <c r="G6765" t="s">
        <v>12</v>
      </c>
      <c r="H6765" s="1">
        <v>45519</v>
      </c>
    </row>
    <row r="6766" spans="1:8">
      <c r="A6766" t="s">
        <v>13481</v>
      </c>
      <c r="B6766" t="s">
        <v>13482</v>
      </c>
      <c r="C6766" t="s">
        <v>10</v>
      </c>
      <c r="D6766">
        <v>23</v>
      </c>
      <c r="E6766" t="s">
        <v>37</v>
      </c>
      <c r="F6766" t="s">
        <v>38</v>
      </c>
      <c r="G6766" t="s">
        <v>22</v>
      </c>
      <c r="H6766" s="1">
        <v>45227</v>
      </c>
    </row>
    <row r="6767" spans="1:8">
      <c r="A6767" t="s">
        <v>13483</v>
      </c>
      <c r="B6767" t="s">
        <v>13484</v>
      </c>
      <c r="C6767" t="s">
        <v>31</v>
      </c>
      <c r="D6767">
        <v>51</v>
      </c>
      <c r="E6767" t="s">
        <v>87</v>
      </c>
      <c r="F6767" t="s">
        <v>88</v>
      </c>
      <c r="G6767" t="s">
        <v>78</v>
      </c>
      <c r="H6767" s="1">
        <v>45687</v>
      </c>
    </row>
    <row r="6768" spans="1:8">
      <c r="A6768" t="s">
        <v>13485</v>
      </c>
      <c r="B6768" t="s">
        <v>13486</v>
      </c>
      <c r="C6768" t="s">
        <v>31</v>
      </c>
      <c r="D6768">
        <v>60</v>
      </c>
      <c r="E6768" t="s">
        <v>20</v>
      </c>
      <c r="F6768" t="s">
        <v>21</v>
      </c>
      <c r="G6768" t="s">
        <v>22</v>
      </c>
      <c r="H6768" s="1">
        <v>44785</v>
      </c>
    </row>
    <row r="6769" spans="1:8">
      <c r="A6769" t="s">
        <v>13487</v>
      </c>
      <c r="B6769" t="s">
        <v>13488</v>
      </c>
      <c r="C6769" t="s">
        <v>10</v>
      </c>
      <c r="D6769">
        <v>67</v>
      </c>
      <c r="E6769" t="s">
        <v>76</v>
      </c>
      <c r="F6769" t="s">
        <v>77</v>
      </c>
      <c r="G6769" t="s">
        <v>78</v>
      </c>
      <c r="H6769" s="1">
        <v>44933</v>
      </c>
    </row>
    <row r="6770" spans="1:8">
      <c r="A6770" t="s">
        <v>13489</v>
      </c>
      <c r="B6770" t="s">
        <v>13490</v>
      </c>
      <c r="C6770" t="s">
        <v>31</v>
      </c>
      <c r="D6770">
        <v>21</v>
      </c>
      <c r="E6770" t="s">
        <v>41</v>
      </c>
      <c r="F6770" t="s">
        <v>42</v>
      </c>
      <c r="G6770" t="s">
        <v>17</v>
      </c>
      <c r="H6770" s="1">
        <v>46014</v>
      </c>
    </row>
    <row r="6771" spans="1:8">
      <c r="A6771" t="s">
        <v>13491</v>
      </c>
      <c r="B6771" t="s">
        <v>13492</v>
      </c>
      <c r="C6771" t="s">
        <v>31</v>
      </c>
      <c r="D6771">
        <v>47</v>
      </c>
      <c r="E6771" t="s">
        <v>218</v>
      </c>
      <c r="F6771" t="s">
        <v>219</v>
      </c>
      <c r="G6771" t="s">
        <v>17</v>
      </c>
      <c r="H6771" s="1">
        <v>44962</v>
      </c>
    </row>
    <row r="6772" spans="1:8">
      <c r="A6772" t="s">
        <v>13493</v>
      </c>
      <c r="B6772" t="s">
        <v>13494</v>
      </c>
      <c r="C6772" t="s">
        <v>10</v>
      </c>
      <c r="D6772">
        <v>18</v>
      </c>
      <c r="E6772" t="s">
        <v>20</v>
      </c>
      <c r="F6772" t="s">
        <v>21</v>
      </c>
      <c r="G6772" t="s">
        <v>22</v>
      </c>
      <c r="H6772" s="1">
        <v>44828</v>
      </c>
    </row>
    <row r="6773" spans="1:8">
      <c r="A6773" t="s">
        <v>13495</v>
      </c>
      <c r="B6773" t="s">
        <v>13496</v>
      </c>
      <c r="C6773" t="s">
        <v>31</v>
      </c>
      <c r="D6773">
        <v>24</v>
      </c>
      <c r="E6773" t="s">
        <v>69</v>
      </c>
      <c r="F6773" t="s">
        <v>69</v>
      </c>
      <c r="G6773" t="s">
        <v>12</v>
      </c>
      <c r="H6773" s="1">
        <v>45137</v>
      </c>
    </row>
    <row r="6774" spans="1:8">
      <c r="A6774" t="s">
        <v>13497</v>
      </c>
      <c r="B6774" t="s">
        <v>13498</v>
      </c>
      <c r="C6774" t="s">
        <v>31</v>
      </c>
      <c r="D6774">
        <v>54</v>
      </c>
      <c r="E6774" t="s">
        <v>63</v>
      </c>
      <c r="F6774" t="s">
        <v>64</v>
      </c>
      <c r="G6774" t="s">
        <v>12</v>
      </c>
      <c r="H6774" s="1">
        <v>45733</v>
      </c>
    </row>
    <row r="6775" spans="1:8">
      <c r="A6775" t="s">
        <v>13499</v>
      </c>
      <c r="B6775" t="s">
        <v>13500</v>
      </c>
      <c r="C6775" t="s">
        <v>31</v>
      </c>
      <c r="D6775">
        <v>24</v>
      </c>
      <c r="E6775" t="s">
        <v>128</v>
      </c>
      <c r="F6775" t="s">
        <v>129</v>
      </c>
      <c r="G6775" t="s">
        <v>78</v>
      </c>
      <c r="H6775" s="1">
        <v>44821</v>
      </c>
    </row>
    <row r="6776" spans="1:8">
      <c r="A6776" t="s">
        <v>13501</v>
      </c>
      <c r="B6776" t="s">
        <v>13502</v>
      </c>
      <c r="C6776" t="s">
        <v>31</v>
      </c>
      <c r="D6776">
        <v>21</v>
      </c>
      <c r="E6776" t="s">
        <v>134</v>
      </c>
      <c r="F6776" t="s">
        <v>28</v>
      </c>
      <c r="G6776" t="s">
        <v>12</v>
      </c>
      <c r="H6776" s="1">
        <v>45987</v>
      </c>
    </row>
    <row r="6777" spans="1:8">
      <c r="A6777" t="s">
        <v>13503</v>
      </c>
      <c r="B6777" t="s">
        <v>13504</v>
      </c>
      <c r="C6777" t="s">
        <v>31</v>
      </c>
      <c r="D6777">
        <v>65</v>
      </c>
      <c r="E6777" t="s">
        <v>76</v>
      </c>
      <c r="F6777" t="s">
        <v>77</v>
      </c>
      <c r="G6777" t="s">
        <v>78</v>
      </c>
      <c r="H6777" s="1">
        <v>44994</v>
      </c>
    </row>
    <row r="6778" spans="1:8">
      <c r="A6778" t="s">
        <v>13505</v>
      </c>
      <c r="B6778" t="s">
        <v>13506</v>
      </c>
      <c r="C6778" t="s">
        <v>31</v>
      </c>
      <c r="D6778">
        <v>27</v>
      </c>
      <c r="E6778" t="s">
        <v>60</v>
      </c>
      <c r="F6778" t="s">
        <v>21</v>
      </c>
      <c r="G6778" t="s">
        <v>22</v>
      </c>
      <c r="H6778" s="1">
        <v>45947</v>
      </c>
    </row>
    <row r="6779" spans="1:8">
      <c r="A6779" t="s">
        <v>13507</v>
      </c>
      <c r="B6779" t="s">
        <v>13508</v>
      </c>
      <c r="C6779" t="s">
        <v>31</v>
      </c>
      <c r="D6779">
        <v>50</v>
      </c>
      <c r="E6779" t="s">
        <v>60</v>
      </c>
      <c r="F6779" t="s">
        <v>21</v>
      </c>
      <c r="G6779" t="s">
        <v>22</v>
      </c>
      <c r="H6779" s="1">
        <v>45821</v>
      </c>
    </row>
    <row r="6780" spans="1:8">
      <c r="A6780" t="s">
        <v>13509</v>
      </c>
      <c r="B6780" t="s">
        <v>13510</v>
      </c>
      <c r="C6780" t="s">
        <v>10</v>
      </c>
      <c r="D6780">
        <v>54</v>
      </c>
      <c r="E6780" t="s">
        <v>27</v>
      </c>
      <c r="F6780" t="s">
        <v>28</v>
      </c>
      <c r="G6780" t="s">
        <v>12</v>
      </c>
      <c r="H6780" s="1">
        <v>45090</v>
      </c>
    </row>
    <row r="6781" spans="1:8">
      <c r="A6781" t="s">
        <v>13511</v>
      </c>
      <c r="B6781" t="s">
        <v>13512</v>
      </c>
      <c r="C6781" t="s">
        <v>10</v>
      </c>
      <c r="D6781">
        <v>59</v>
      </c>
      <c r="E6781" t="s">
        <v>101</v>
      </c>
      <c r="F6781" t="s">
        <v>21</v>
      </c>
      <c r="G6781" t="s">
        <v>22</v>
      </c>
      <c r="H6781" s="1">
        <v>44666</v>
      </c>
    </row>
    <row r="6782" spans="1:8">
      <c r="A6782" t="s">
        <v>13513</v>
      </c>
      <c r="B6782" t="s">
        <v>13514</v>
      </c>
      <c r="C6782" t="s">
        <v>31</v>
      </c>
      <c r="D6782">
        <v>57</v>
      </c>
      <c r="E6782" t="s">
        <v>34</v>
      </c>
      <c r="F6782" t="s">
        <v>16</v>
      </c>
      <c r="G6782" t="s">
        <v>17</v>
      </c>
      <c r="H6782" s="1">
        <v>45578</v>
      </c>
    </row>
    <row r="6783" spans="1:8">
      <c r="A6783" t="s">
        <v>13515</v>
      </c>
      <c r="B6783" t="s">
        <v>13516</v>
      </c>
      <c r="C6783" t="s">
        <v>31</v>
      </c>
      <c r="D6783">
        <v>68</v>
      </c>
      <c r="E6783" t="s">
        <v>27</v>
      </c>
      <c r="F6783" t="s">
        <v>28</v>
      </c>
      <c r="G6783" t="s">
        <v>12</v>
      </c>
      <c r="H6783" s="1">
        <v>45900</v>
      </c>
    </row>
    <row r="6784" spans="1:8">
      <c r="A6784" t="s">
        <v>13517</v>
      </c>
      <c r="B6784" t="s">
        <v>13518</v>
      </c>
      <c r="C6784" t="s">
        <v>31</v>
      </c>
      <c r="D6784">
        <v>69</v>
      </c>
      <c r="E6784" t="s">
        <v>41</v>
      </c>
      <c r="F6784" t="s">
        <v>42</v>
      </c>
      <c r="G6784" t="s">
        <v>17</v>
      </c>
      <c r="H6784" s="1">
        <v>45962</v>
      </c>
    </row>
    <row r="6785" spans="1:8">
      <c r="A6785" t="s">
        <v>13519</v>
      </c>
      <c r="B6785" t="s">
        <v>13520</v>
      </c>
      <c r="C6785" t="s">
        <v>31</v>
      </c>
      <c r="D6785">
        <v>43</v>
      </c>
      <c r="E6785" t="s">
        <v>20</v>
      </c>
      <c r="F6785" t="s">
        <v>21</v>
      </c>
      <c r="G6785" t="s">
        <v>22</v>
      </c>
      <c r="H6785" s="1">
        <v>44650</v>
      </c>
    </row>
    <row r="6786" spans="1:8">
      <c r="A6786" t="s">
        <v>13521</v>
      </c>
      <c r="B6786" t="s">
        <v>13522</v>
      </c>
      <c r="C6786" t="s">
        <v>10</v>
      </c>
      <c r="D6786">
        <v>42</v>
      </c>
      <c r="E6786" t="s">
        <v>63</v>
      </c>
      <c r="F6786" t="s">
        <v>64</v>
      </c>
      <c r="G6786" t="s">
        <v>12</v>
      </c>
      <c r="H6786" s="1">
        <v>45434</v>
      </c>
    </row>
    <row r="6787" spans="1:8">
      <c r="A6787" t="s">
        <v>13523</v>
      </c>
      <c r="B6787" t="s">
        <v>13524</v>
      </c>
      <c r="C6787" t="s">
        <v>10</v>
      </c>
      <c r="D6787">
        <v>37</v>
      </c>
      <c r="E6787" t="s">
        <v>134</v>
      </c>
      <c r="F6787" t="s">
        <v>28</v>
      </c>
      <c r="G6787" t="s">
        <v>12</v>
      </c>
      <c r="H6787" s="1">
        <v>45145</v>
      </c>
    </row>
    <row r="6788" spans="1:8">
      <c r="A6788" t="s">
        <v>13525</v>
      </c>
      <c r="B6788" t="s">
        <v>13526</v>
      </c>
      <c r="C6788" t="s">
        <v>10</v>
      </c>
      <c r="D6788">
        <v>62</v>
      </c>
      <c r="E6788" t="s">
        <v>134</v>
      </c>
      <c r="F6788" t="s">
        <v>28</v>
      </c>
      <c r="G6788" t="s">
        <v>12</v>
      </c>
      <c r="H6788" s="1">
        <v>45725</v>
      </c>
    </row>
    <row r="6789" spans="1:8">
      <c r="A6789" t="s">
        <v>13527</v>
      </c>
      <c r="B6789" t="s">
        <v>13528</v>
      </c>
      <c r="C6789" t="s">
        <v>31</v>
      </c>
      <c r="D6789">
        <v>55</v>
      </c>
      <c r="E6789" t="s">
        <v>37</v>
      </c>
      <c r="F6789" t="s">
        <v>38</v>
      </c>
      <c r="G6789" t="s">
        <v>22</v>
      </c>
      <c r="H6789" s="1">
        <v>45072</v>
      </c>
    </row>
    <row r="6790" spans="1:8">
      <c r="A6790" t="s">
        <v>13529</v>
      </c>
      <c r="B6790" t="s">
        <v>13530</v>
      </c>
      <c r="C6790" t="s">
        <v>31</v>
      </c>
      <c r="D6790">
        <v>58</v>
      </c>
      <c r="E6790" t="s">
        <v>27</v>
      </c>
      <c r="F6790" t="s">
        <v>28</v>
      </c>
      <c r="G6790" t="s">
        <v>12</v>
      </c>
      <c r="H6790" s="1">
        <v>44990</v>
      </c>
    </row>
    <row r="6791" spans="1:8">
      <c r="A6791" t="s">
        <v>13531</v>
      </c>
      <c r="B6791" t="s">
        <v>13532</v>
      </c>
      <c r="C6791" t="s">
        <v>31</v>
      </c>
      <c r="D6791">
        <v>69</v>
      </c>
      <c r="E6791" t="s">
        <v>27</v>
      </c>
      <c r="F6791" t="s">
        <v>28</v>
      </c>
      <c r="G6791" t="s">
        <v>12</v>
      </c>
      <c r="H6791" s="1">
        <v>44672</v>
      </c>
    </row>
    <row r="6792" spans="1:8">
      <c r="A6792" t="s">
        <v>13533</v>
      </c>
      <c r="B6792" t="s">
        <v>13534</v>
      </c>
      <c r="C6792" t="s">
        <v>31</v>
      </c>
      <c r="D6792">
        <v>50</v>
      </c>
      <c r="E6792" t="s">
        <v>27</v>
      </c>
      <c r="F6792" t="s">
        <v>28</v>
      </c>
      <c r="G6792" t="s">
        <v>12</v>
      </c>
      <c r="H6792" s="1">
        <v>45440</v>
      </c>
    </row>
    <row r="6793" spans="1:8">
      <c r="A6793" t="s">
        <v>13535</v>
      </c>
      <c r="B6793" t="s">
        <v>13536</v>
      </c>
      <c r="C6793" t="s">
        <v>10</v>
      </c>
      <c r="D6793">
        <v>61</v>
      </c>
      <c r="E6793" t="s">
        <v>112</v>
      </c>
      <c r="F6793" t="s">
        <v>113</v>
      </c>
      <c r="G6793" t="s">
        <v>78</v>
      </c>
      <c r="H6793" s="1">
        <v>45601</v>
      </c>
    </row>
    <row r="6794" spans="1:8">
      <c r="A6794" t="s">
        <v>13537</v>
      </c>
      <c r="B6794" t="s">
        <v>13538</v>
      </c>
      <c r="C6794" t="s">
        <v>10</v>
      </c>
      <c r="D6794">
        <v>42</v>
      </c>
      <c r="E6794" t="s">
        <v>149</v>
      </c>
      <c r="F6794" t="s">
        <v>38</v>
      </c>
      <c r="G6794" t="s">
        <v>22</v>
      </c>
      <c r="H6794" s="1">
        <v>45925</v>
      </c>
    </row>
    <row r="6795" spans="1:8">
      <c r="A6795" t="s">
        <v>13539</v>
      </c>
      <c r="B6795" t="s">
        <v>13540</v>
      </c>
      <c r="C6795" t="s">
        <v>31</v>
      </c>
      <c r="D6795">
        <v>61</v>
      </c>
      <c r="E6795" t="s">
        <v>37</v>
      </c>
      <c r="F6795" t="s">
        <v>38</v>
      </c>
      <c r="G6795" t="s">
        <v>22</v>
      </c>
      <c r="H6795" s="1">
        <v>45008</v>
      </c>
    </row>
    <row r="6796" spans="1:8">
      <c r="A6796" t="s">
        <v>13541</v>
      </c>
      <c r="B6796" t="s">
        <v>13542</v>
      </c>
      <c r="C6796" t="s">
        <v>31</v>
      </c>
      <c r="D6796">
        <v>59</v>
      </c>
      <c r="E6796" t="s">
        <v>34</v>
      </c>
      <c r="F6796" t="s">
        <v>16</v>
      </c>
      <c r="G6796" t="s">
        <v>17</v>
      </c>
      <c r="H6796" s="1">
        <v>44678</v>
      </c>
    </row>
    <row r="6797" spans="1:8">
      <c r="A6797" t="s">
        <v>13543</v>
      </c>
      <c r="B6797" t="s">
        <v>13544</v>
      </c>
      <c r="C6797" t="s">
        <v>31</v>
      </c>
      <c r="D6797">
        <v>24</v>
      </c>
      <c r="E6797" t="s">
        <v>69</v>
      </c>
      <c r="F6797" t="s">
        <v>69</v>
      </c>
      <c r="G6797" t="s">
        <v>12</v>
      </c>
      <c r="H6797" s="1">
        <v>45515</v>
      </c>
    </row>
    <row r="6798" spans="1:8">
      <c r="A6798" t="s">
        <v>13545</v>
      </c>
      <c r="B6798" t="s">
        <v>13546</v>
      </c>
      <c r="C6798" t="s">
        <v>10</v>
      </c>
      <c r="D6798">
        <v>59</v>
      </c>
      <c r="E6798" t="s">
        <v>76</v>
      </c>
      <c r="F6798" t="s">
        <v>77</v>
      </c>
      <c r="G6798" t="s">
        <v>78</v>
      </c>
      <c r="H6798" s="1">
        <v>45209</v>
      </c>
    </row>
    <row r="6799" spans="1:8">
      <c r="A6799" t="s">
        <v>13547</v>
      </c>
      <c r="B6799" t="s">
        <v>13548</v>
      </c>
      <c r="C6799" t="s">
        <v>10</v>
      </c>
      <c r="D6799">
        <v>42</v>
      </c>
      <c r="E6799" t="s">
        <v>69</v>
      </c>
      <c r="F6799" t="s">
        <v>69</v>
      </c>
      <c r="G6799" t="s">
        <v>12</v>
      </c>
      <c r="H6799" s="1">
        <v>45602</v>
      </c>
    </row>
    <row r="6800" spans="1:8">
      <c r="A6800" t="s">
        <v>13549</v>
      </c>
      <c r="B6800" t="s">
        <v>13550</v>
      </c>
      <c r="C6800" t="s">
        <v>10</v>
      </c>
      <c r="D6800">
        <v>63</v>
      </c>
      <c r="E6800" t="s">
        <v>63</v>
      </c>
      <c r="F6800" t="s">
        <v>64</v>
      </c>
      <c r="G6800" t="s">
        <v>12</v>
      </c>
      <c r="H6800" s="1">
        <v>44952</v>
      </c>
    </row>
    <row r="6801" spans="1:8">
      <c r="A6801" t="s">
        <v>13551</v>
      </c>
      <c r="B6801" t="s">
        <v>13552</v>
      </c>
      <c r="C6801" t="s">
        <v>10</v>
      </c>
      <c r="D6801">
        <v>33</v>
      </c>
      <c r="E6801" t="s">
        <v>134</v>
      </c>
      <c r="F6801" t="s">
        <v>28</v>
      </c>
      <c r="G6801" t="s">
        <v>12</v>
      </c>
      <c r="H6801" s="1">
        <v>45140</v>
      </c>
    </row>
    <row r="6802" spans="1:8">
      <c r="A6802" t="s">
        <v>13553</v>
      </c>
      <c r="B6802" t="s">
        <v>13554</v>
      </c>
      <c r="C6802" t="s">
        <v>31</v>
      </c>
      <c r="D6802">
        <v>26</v>
      </c>
      <c r="E6802" t="s">
        <v>112</v>
      </c>
      <c r="F6802" t="s">
        <v>113</v>
      </c>
      <c r="G6802" t="s">
        <v>78</v>
      </c>
      <c r="H6802" s="1">
        <v>45753</v>
      </c>
    </row>
    <row r="6803" spans="1:8">
      <c r="A6803" t="s">
        <v>13555</v>
      </c>
      <c r="B6803" t="s">
        <v>13556</v>
      </c>
      <c r="C6803" t="s">
        <v>10</v>
      </c>
      <c r="D6803">
        <v>64</v>
      </c>
      <c r="E6803" t="s">
        <v>91</v>
      </c>
      <c r="F6803" t="s">
        <v>92</v>
      </c>
      <c r="G6803" t="s">
        <v>78</v>
      </c>
      <c r="H6803" s="1">
        <v>45958</v>
      </c>
    </row>
    <row r="6804" spans="1:8">
      <c r="A6804" t="s">
        <v>13557</v>
      </c>
      <c r="B6804" t="s">
        <v>13558</v>
      </c>
      <c r="C6804" t="s">
        <v>31</v>
      </c>
      <c r="D6804">
        <v>38</v>
      </c>
      <c r="E6804" t="s">
        <v>15</v>
      </c>
      <c r="F6804" t="s">
        <v>16</v>
      </c>
      <c r="G6804" t="s">
        <v>17</v>
      </c>
      <c r="H6804" s="1">
        <v>44845</v>
      </c>
    </row>
    <row r="6805" spans="1:8">
      <c r="A6805" t="s">
        <v>13559</v>
      </c>
      <c r="B6805" t="s">
        <v>13560</v>
      </c>
      <c r="C6805" t="s">
        <v>31</v>
      </c>
      <c r="D6805">
        <v>62</v>
      </c>
      <c r="E6805" t="s">
        <v>41</v>
      </c>
      <c r="F6805" t="s">
        <v>42</v>
      </c>
      <c r="G6805" t="s">
        <v>17</v>
      </c>
      <c r="H6805" s="1">
        <v>45049</v>
      </c>
    </row>
    <row r="6806" spans="1:8">
      <c r="A6806" t="s">
        <v>13561</v>
      </c>
      <c r="B6806" t="s">
        <v>13562</v>
      </c>
      <c r="C6806" t="s">
        <v>31</v>
      </c>
      <c r="D6806">
        <v>57</v>
      </c>
      <c r="E6806" t="s">
        <v>134</v>
      </c>
      <c r="F6806" t="s">
        <v>28</v>
      </c>
      <c r="G6806" t="s">
        <v>12</v>
      </c>
      <c r="H6806" s="1">
        <v>44805</v>
      </c>
    </row>
    <row r="6807" spans="1:8">
      <c r="A6807" t="s">
        <v>13563</v>
      </c>
      <c r="B6807" t="s">
        <v>13564</v>
      </c>
      <c r="C6807" t="s">
        <v>10</v>
      </c>
      <c r="D6807">
        <v>30</v>
      </c>
      <c r="E6807" t="s">
        <v>37</v>
      </c>
      <c r="F6807" t="s">
        <v>38</v>
      </c>
      <c r="G6807" t="s">
        <v>22</v>
      </c>
      <c r="H6807" s="1">
        <v>45778</v>
      </c>
    </row>
    <row r="6808" spans="1:8">
      <c r="A6808" t="s">
        <v>13565</v>
      </c>
      <c r="B6808" t="s">
        <v>13566</v>
      </c>
      <c r="C6808" t="s">
        <v>31</v>
      </c>
      <c r="D6808">
        <v>48</v>
      </c>
      <c r="E6808" t="s">
        <v>34</v>
      </c>
      <c r="F6808" t="s">
        <v>16</v>
      </c>
      <c r="G6808" t="s">
        <v>17</v>
      </c>
      <c r="H6808" s="1">
        <v>45065</v>
      </c>
    </row>
    <row r="6809" spans="1:8">
      <c r="A6809" t="s">
        <v>13567</v>
      </c>
      <c r="B6809" t="s">
        <v>13568</v>
      </c>
      <c r="C6809" t="s">
        <v>31</v>
      </c>
      <c r="D6809">
        <v>20</v>
      </c>
      <c r="E6809" t="s">
        <v>37</v>
      </c>
      <c r="F6809" t="s">
        <v>38</v>
      </c>
      <c r="G6809" t="s">
        <v>22</v>
      </c>
      <c r="H6809" s="1">
        <v>45430</v>
      </c>
    </row>
    <row r="6810" spans="1:8">
      <c r="A6810" t="s">
        <v>13569</v>
      </c>
      <c r="B6810" t="s">
        <v>13570</v>
      </c>
      <c r="C6810" t="s">
        <v>31</v>
      </c>
      <c r="D6810">
        <v>40</v>
      </c>
      <c r="E6810" t="s">
        <v>134</v>
      </c>
      <c r="F6810" t="s">
        <v>28</v>
      </c>
      <c r="G6810" t="s">
        <v>12</v>
      </c>
      <c r="H6810" s="1">
        <v>45204</v>
      </c>
    </row>
    <row r="6811" spans="1:8">
      <c r="A6811" t="s">
        <v>13571</v>
      </c>
      <c r="B6811" t="s">
        <v>13572</v>
      </c>
      <c r="C6811" t="s">
        <v>10</v>
      </c>
      <c r="D6811">
        <v>20</v>
      </c>
      <c r="E6811" t="s">
        <v>11</v>
      </c>
      <c r="F6811" t="s">
        <v>11</v>
      </c>
      <c r="G6811" t="s">
        <v>12</v>
      </c>
      <c r="H6811" s="1">
        <v>44866</v>
      </c>
    </row>
    <row r="6812" spans="1:8">
      <c r="A6812" t="s">
        <v>13573</v>
      </c>
      <c r="B6812" t="s">
        <v>13574</v>
      </c>
      <c r="C6812" t="s">
        <v>10</v>
      </c>
      <c r="D6812">
        <v>30</v>
      </c>
      <c r="E6812" t="s">
        <v>149</v>
      </c>
      <c r="F6812" t="s">
        <v>38</v>
      </c>
      <c r="G6812" t="s">
        <v>22</v>
      </c>
      <c r="H6812" s="1">
        <v>45077</v>
      </c>
    </row>
    <row r="6813" spans="1:8">
      <c r="A6813" t="s">
        <v>13575</v>
      </c>
      <c r="B6813" t="s">
        <v>13576</v>
      </c>
      <c r="C6813" t="s">
        <v>31</v>
      </c>
      <c r="D6813">
        <v>54</v>
      </c>
      <c r="E6813" t="s">
        <v>37</v>
      </c>
      <c r="F6813" t="s">
        <v>38</v>
      </c>
      <c r="G6813" t="s">
        <v>22</v>
      </c>
      <c r="H6813" s="1">
        <v>45105</v>
      </c>
    </row>
    <row r="6814" spans="1:8">
      <c r="A6814" t="s">
        <v>13577</v>
      </c>
      <c r="B6814" t="s">
        <v>13578</v>
      </c>
      <c r="C6814" t="s">
        <v>10</v>
      </c>
      <c r="D6814">
        <v>67</v>
      </c>
      <c r="E6814" t="s">
        <v>41</v>
      </c>
      <c r="F6814" t="s">
        <v>42</v>
      </c>
      <c r="G6814" t="s">
        <v>17</v>
      </c>
      <c r="H6814" s="1">
        <v>45364</v>
      </c>
    </row>
    <row r="6815" spans="1:8">
      <c r="A6815" t="s">
        <v>13579</v>
      </c>
      <c r="B6815" t="s">
        <v>13580</v>
      </c>
      <c r="C6815" t="s">
        <v>10</v>
      </c>
      <c r="D6815">
        <v>60</v>
      </c>
      <c r="E6815" t="s">
        <v>218</v>
      </c>
      <c r="F6815" t="s">
        <v>219</v>
      </c>
      <c r="G6815" t="s">
        <v>17</v>
      </c>
      <c r="H6815" s="1">
        <v>45716</v>
      </c>
    </row>
    <row r="6816" spans="1:8">
      <c r="A6816" t="s">
        <v>13581</v>
      </c>
      <c r="B6816" t="s">
        <v>13582</v>
      </c>
      <c r="C6816" t="s">
        <v>10</v>
      </c>
      <c r="D6816">
        <v>44</v>
      </c>
      <c r="E6816" t="s">
        <v>63</v>
      </c>
      <c r="F6816" t="s">
        <v>64</v>
      </c>
      <c r="G6816" t="s">
        <v>12</v>
      </c>
      <c r="H6816" s="1">
        <v>45540</v>
      </c>
    </row>
    <row r="6817" spans="1:8">
      <c r="A6817" t="s">
        <v>13583</v>
      </c>
      <c r="B6817" t="s">
        <v>13584</v>
      </c>
      <c r="C6817" t="s">
        <v>10</v>
      </c>
      <c r="D6817">
        <v>27</v>
      </c>
      <c r="E6817" t="s">
        <v>149</v>
      </c>
      <c r="F6817" t="s">
        <v>38</v>
      </c>
      <c r="G6817" t="s">
        <v>22</v>
      </c>
      <c r="H6817" s="1">
        <v>45391</v>
      </c>
    </row>
    <row r="6818" spans="1:8">
      <c r="A6818" t="s">
        <v>13585</v>
      </c>
      <c r="B6818" t="s">
        <v>13586</v>
      </c>
      <c r="C6818" t="s">
        <v>10</v>
      </c>
      <c r="D6818">
        <v>59</v>
      </c>
      <c r="E6818" t="s">
        <v>34</v>
      </c>
      <c r="F6818" t="s">
        <v>16</v>
      </c>
      <c r="G6818" t="s">
        <v>17</v>
      </c>
      <c r="H6818" s="1">
        <v>45670</v>
      </c>
    </row>
    <row r="6819" spans="1:8">
      <c r="A6819" t="s">
        <v>13587</v>
      </c>
      <c r="B6819" t="s">
        <v>13588</v>
      </c>
      <c r="C6819" t="s">
        <v>31</v>
      </c>
      <c r="D6819">
        <v>36</v>
      </c>
      <c r="E6819" t="s">
        <v>11</v>
      </c>
      <c r="F6819" t="s">
        <v>11</v>
      </c>
      <c r="G6819" t="s">
        <v>12</v>
      </c>
      <c r="H6819" s="1">
        <v>45308</v>
      </c>
    </row>
    <row r="6820" spans="1:8">
      <c r="A6820" t="s">
        <v>13589</v>
      </c>
      <c r="B6820" t="s">
        <v>13590</v>
      </c>
      <c r="C6820" t="s">
        <v>31</v>
      </c>
      <c r="D6820">
        <v>33</v>
      </c>
      <c r="E6820" t="s">
        <v>218</v>
      </c>
      <c r="F6820" t="s">
        <v>219</v>
      </c>
      <c r="G6820" t="s">
        <v>17</v>
      </c>
      <c r="H6820" s="1">
        <v>45985</v>
      </c>
    </row>
    <row r="6821" spans="1:8">
      <c r="A6821" t="s">
        <v>13591</v>
      </c>
      <c r="B6821" t="s">
        <v>13592</v>
      </c>
      <c r="C6821" t="s">
        <v>31</v>
      </c>
      <c r="D6821">
        <v>38</v>
      </c>
      <c r="E6821" t="s">
        <v>134</v>
      </c>
      <c r="F6821" t="s">
        <v>28</v>
      </c>
      <c r="G6821" t="s">
        <v>12</v>
      </c>
      <c r="H6821" s="1">
        <v>45321</v>
      </c>
    </row>
    <row r="6822" spans="1:8">
      <c r="A6822" t="s">
        <v>13593</v>
      </c>
      <c r="B6822" t="s">
        <v>13594</v>
      </c>
      <c r="C6822" t="s">
        <v>31</v>
      </c>
      <c r="D6822">
        <v>21</v>
      </c>
      <c r="E6822" t="s">
        <v>134</v>
      </c>
      <c r="F6822" t="s">
        <v>28</v>
      </c>
      <c r="G6822" t="s">
        <v>12</v>
      </c>
      <c r="H6822" s="1">
        <v>45751</v>
      </c>
    </row>
    <row r="6823" spans="1:8">
      <c r="A6823" t="s">
        <v>13595</v>
      </c>
      <c r="B6823" t="s">
        <v>13596</v>
      </c>
      <c r="C6823" t="s">
        <v>31</v>
      </c>
      <c r="D6823">
        <v>45</v>
      </c>
      <c r="E6823" t="s">
        <v>41</v>
      </c>
      <c r="F6823" t="s">
        <v>42</v>
      </c>
      <c r="G6823" t="s">
        <v>17</v>
      </c>
      <c r="H6823" s="1">
        <v>44996</v>
      </c>
    </row>
    <row r="6824" spans="1:8">
      <c r="A6824" t="s">
        <v>13597</v>
      </c>
      <c r="B6824" t="s">
        <v>13598</v>
      </c>
      <c r="C6824" t="s">
        <v>31</v>
      </c>
      <c r="D6824">
        <v>68</v>
      </c>
      <c r="E6824" t="s">
        <v>41</v>
      </c>
      <c r="F6824" t="s">
        <v>42</v>
      </c>
      <c r="G6824" t="s">
        <v>17</v>
      </c>
      <c r="H6824" s="1">
        <v>45559</v>
      </c>
    </row>
    <row r="6825" spans="1:8">
      <c r="A6825" t="s">
        <v>13599</v>
      </c>
      <c r="B6825" t="s">
        <v>13600</v>
      </c>
      <c r="C6825" t="s">
        <v>31</v>
      </c>
      <c r="D6825">
        <v>30</v>
      </c>
      <c r="E6825" t="s">
        <v>34</v>
      </c>
      <c r="F6825" t="s">
        <v>16</v>
      </c>
      <c r="G6825" t="s">
        <v>17</v>
      </c>
      <c r="H6825" s="1">
        <v>45561</v>
      </c>
    </row>
    <row r="6826" spans="1:8">
      <c r="A6826" t="s">
        <v>13601</v>
      </c>
      <c r="B6826" t="s">
        <v>13602</v>
      </c>
      <c r="C6826" t="s">
        <v>31</v>
      </c>
      <c r="D6826">
        <v>61</v>
      </c>
      <c r="E6826" t="s">
        <v>60</v>
      </c>
      <c r="F6826" t="s">
        <v>21</v>
      </c>
      <c r="G6826" t="s">
        <v>22</v>
      </c>
      <c r="H6826" s="1">
        <v>44688</v>
      </c>
    </row>
    <row r="6827" spans="1:8">
      <c r="A6827" t="s">
        <v>13603</v>
      </c>
      <c r="B6827" t="s">
        <v>13604</v>
      </c>
      <c r="C6827" t="s">
        <v>10</v>
      </c>
      <c r="D6827">
        <v>62</v>
      </c>
      <c r="E6827" t="s">
        <v>87</v>
      </c>
      <c r="F6827" t="s">
        <v>88</v>
      </c>
      <c r="G6827" t="s">
        <v>78</v>
      </c>
      <c r="H6827" s="1">
        <v>44621</v>
      </c>
    </row>
    <row r="6828" spans="1:8">
      <c r="A6828" t="s">
        <v>13605</v>
      </c>
      <c r="B6828" t="s">
        <v>13606</v>
      </c>
      <c r="C6828" t="s">
        <v>31</v>
      </c>
      <c r="D6828">
        <v>64</v>
      </c>
      <c r="E6828" t="s">
        <v>63</v>
      </c>
      <c r="F6828" t="s">
        <v>64</v>
      </c>
      <c r="G6828" t="s">
        <v>12</v>
      </c>
      <c r="H6828" s="1">
        <v>45381</v>
      </c>
    </row>
    <row r="6829" spans="1:8">
      <c r="A6829" t="s">
        <v>13607</v>
      </c>
      <c r="B6829" t="s">
        <v>13608</v>
      </c>
      <c r="C6829" t="s">
        <v>10</v>
      </c>
      <c r="D6829">
        <v>29</v>
      </c>
      <c r="E6829" t="s">
        <v>63</v>
      </c>
      <c r="F6829" t="s">
        <v>64</v>
      </c>
      <c r="G6829" t="s">
        <v>12</v>
      </c>
      <c r="H6829" s="1">
        <v>45430</v>
      </c>
    </row>
    <row r="6830" spans="1:8">
      <c r="A6830" t="s">
        <v>13609</v>
      </c>
      <c r="B6830" t="s">
        <v>13610</v>
      </c>
      <c r="C6830" t="s">
        <v>10</v>
      </c>
      <c r="D6830">
        <v>54</v>
      </c>
      <c r="E6830" t="s">
        <v>76</v>
      </c>
      <c r="F6830" t="s">
        <v>77</v>
      </c>
      <c r="G6830" t="s">
        <v>78</v>
      </c>
      <c r="H6830" s="1">
        <v>44868</v>
      </c>
    </row>
    <row r="6831" spans="1:8">
      <c r="A6831" t="s">
        <v>13611</v>
      </c>
      <c r="B6831" t="s">
        <v>13612</v>
      </c>
      <c r="C6831" t="s">
        <v>10</v>
      </c>
      <c r="D6831">
        <v>43</v>
      </c>
      <c r="E6831" t="s">
        <v>37</v>
      </c>
      <c r="F6831" t="s">
        <v>38</v>
      </c>
      <c r="G6831" t="s">
        <v>22</v>
      </c>
      <c r="H6831" s="1">
        <v>45947</v>
      </c>
    </row>
    <row r="6832" spans="1:8">
      <c r="A6832" t="s">
        <v>13613</v>
      </c>
      <c r="B6832" t="s">
        <v>13614</v>
      </c>
      <c r="C6832" t="s">
        <v>31</v>
      </c>
      <c r="D6832">
        <v>59</v>
      </c>
      <c r="E6832" t="s">
        <v>218</v>
      </c>
      <c r="F6832" t="s">
        <v>219</v>
      </c>
      <c r="G6832" t="s">
        <v>17</v>
      </c>
      <c r="H6832" s="1">
        <v>44638</v>
      </c>
    </row>
    <row r="6833" spans="1:8">
      <c r="A6833" t="s">
        <v>13615</v>
      </c>
      <c r="B6833" t="s">
        <v>13616</v>
      </c>
      <c r="C6833" t="s">
        <v>10</v>
      </c>
      <c r="D6833">
        <v>39</v>
      </c>
      <c r="E6833" t="s">
        <v>112</v>
      </c>
      <c r="F6833" t="s">
        <v>113</v>
      </c>
      <c r="G6833" t="s">
        <v>78</v>
      </c>
      <c r="H6833" s="1">
        <v>44610</v>
      </c>
    </row>
    <row r="6834" spans="1:8">
      <c r="A6834" t="s">
        <v>13617</v>
      </c>
      <c r="B6834" t="s">
        <v>13618</v>
      </c>
      <c r="C6834" t="s">
        <v>10</v>
      </c>
      <c r="D6834">
        <v>31</v>
      </c>
      <c r="E6834" t="s">
        <v>63</v>
      </c>
      <c r="F6834" t="s">
        <v>64</v>
      </c>
      <c r="G6834" t="s">
        <v>12</v>
      </c>
      <c r="H6834" s="1">
        <v>44641</v>
      </c>
    </row>
    <row r="6835" spans="1:8">
      <c r="A6835" t="s">
        <v>13619</v>
      </c>
      <c r="B6835" t="s">
        <v>13620</v>
      </c>
      <c r="C6835" t="s">
        <v>31</v>
      </c>
      <c r="D6835">
        <v>57</v>
      </c>
      <c r="E6835" t="s">
        <v>63</v>
      </c>
      <c r="F6835" t="s">
        <v>64</v>
      </c>
      <c r="G6835" t="s">
        <v>12</v>
      </c>
      <c r="H6835" s="1">
        <v>45079</v>
      </c>
    </row>
    <row r="6836" spans="1:8">
      <c r="A6836" t="s">
        <v>13621</v>
      </c>
      <c r="B6836" t="s">
        <v>13622</v>
      </c>
      <c r="C6836" t="s">
        <v>31</v>
      </c>
      <c r="D6836">
        <v>28</v>
      </c>
      <c r="E6836" t="s">
        <v>41</v>
      </c>
      <c r="F6836" t="s">
        <v>42</v>
      </c>
      <c r="G6836" t="s">
        <v>17</v>
      </c>
      <c r="H6836" s="1">
        <v>45789</v>
      </c>
    </row>
    <row r="6837" spans="1:8">
      <c r="A6837" t="s">
        <v>13623</v>
      </c>
      <c r="B6837" t="s">
        <v>13624</v>
      </c>
      <c r="C6837" t="s">
        <v>10</v>
      </c>
      <c r="D6837">
        <v>53</v>
      </c>
      <c r="E6837" t="s">
        <v>112</v>
      </c>
      <c r="F6837" t="s">
        <v>113</v>
      </c>
      <c r="G6837" t="s">
        <v>78</v>
      </c>
      <c r="H6837" s="1">
        <v>44935</v>
      </c>
    </row>
    <row r="6838" spans="1:8">
      <c r="A6838" t="s">
        <v>13625</v>
      </c>
      <c r="B6838" t="s">
        <v>13626</v>
      </c>
      <c r="C6838" t="s">
        <v>10</v>
      </c>
      <c r="D6838">
        <v>55</v>
      </c>
      <c r="E6838" t="s">
        <v>63</v>
      </c>
      <c r="F6838" t="s">
        <v>64</v>
      </c>
      <c r="G6838" t="s">
        <v>12</v>
      </c>
      <c r="H6838" s="1">
        <v>45967</v>
      </c>
    </row>
    <row r="6839" spans="1:8">
      <c r="A6839" t="s">
        <v>13627</v>
      </c>
      <c r="B6839" t="s">
        <v>13628</v>
      </c>
      <c r="C6839" t="s">
        <v>10</v>
      </c>
      <c r="D6839">
        <v>54</v>
      </c>
      <c r="E6839" t="s">
        <v>11</v>
      </c>
      <c r="F6839" t="s">
        <v>11</v>
      </c>
      <c r="G6839" t="s">
        <v>12</v>
      </c>
      <c r="H6839" s="1">
        <v>45783</v>
      </c>
    </row>
    <row r="6840" spans="1:8">
      <c r="A6840" t="s">
        <v>13629</v>
      </c>
      <c r="B6840" t="s">
        <v>13630</v>
      </c>
      <c r="C6840" t="s">
        <v>10</v>
      </c>
      <c r="D6840">
        <v>18</v>
      </c>
      <c r="E6840" t="s">
        <v>128</v>
      </c>
      <c r="F6840" t="s">
        <v>129</v>
      </c>
      <c r="G6840" t="s">
        <v>78</v>
      </c>
      <c r="H6840" s="1">
        <v>44862</v>
      </c>
    </row>
    <row r="6841" spans="1:8">
      <c r="A6841" t="s">
        <v>13631</v>
      </c>
      <c r="B6841" t="s">
        <v>13632</v>
      </c>
      <c r="C6841" t="s">
        <v>31</v>
      </c>
      <c r="D6841">
        <v>23</v>
      </c>
      <c r="E6841" t="s">
        <v>76</v>
      </c>
      <c r="F6841" t="s">
        <v>77</v>
      </c>
      <c r="G6841" t="s">
        <v>78</v>
      </c>
      <c r="H6841" s="1">
        <v>44612</v>
      </c>
    </row>
    <row r="6842" spans="1:8">
      <c r="A6842" t="s">
        <v>13633</v>
      </c>
      <c r="B6842" t="s">
        <v>13634</v>
      </c>
      <c r="C6842" t="s">
        <v>10</v>
      </c>
      <c r="D6842">
        <v>53</v>
      </c>
      <c r="E6842" t="s">
        <v>41</v>
      </c>
      <c r="F6842" t="s">
        <v>42</v>
      </c>
      <c r="G6842" t="s">
        <v>17</v>
      </c>
      <c r="H6842" s="1">
        <v>44648</v>
      </c>
    </row>
    <row r="6843" spans="1:8">
      <c r="A6843" t="s">
        <v>13635</v>
      </c>
      <c r="B6843" t="s">
        <v>13636</v>
      </c>
      <c r="C6843" t="s">
        <v>10</v>
      </c>
      <c r="D6843">
        <v>59</v>
      </c>
      <c r="E6843" t="s">
        <v>34</v>
      </c>
      <c r="F6843" t="s">
        <v>16</v>
      </c>
      <c r="G6843" t="s">
        <v>17</v>
      </c>
      <c r="H6843" s="1">
        <v>45608</v>
      </c>
    </row>
    <row r="6844" spans="1:8">
      <c r="A6844" t="s">
        <v>13637</v>
      </c>
      <c r="B6844" t="s">
        <v>13638</v>
      </c>
      <c r="C6844" t="s">
        <v>31</v>
      </c>
      <c r="D6844">
        <v>67</v>
      </c>
      <c r="E6844" t="s">
        <v>37</v>
      </c>
      <c r="F6844" t="s">
        <v>38</v>
      </c>
      <c r="G6844" t="s">
        <v>22</v>
      </c>
      <c r="H6844" s="1">
        <v>44934</v>
      </c>
    </row>
    <row r="6845" spans="1:8">
      <c r="A6845" t="s">
        <v>13639</v>
      </c>
      <c r="B6845" t="s">
        <v>13640</v>
      </c>
      <c r="C6845" t="s">
        <v>31</v>
      </c>
      <c r="D6845">
        <v>49</v>
      </c>
      <c r="E6845" t="s">
        <v>45</v>
      </c>
      <c r="F6845" t="s">
        <v>46</v>
      </c>
      <c r="G6845" t="s">
        <v>17</v>
      </c>
      <c r="H6845" s="1">
        <v>45832</v>
      </c>
    </row>
    <row r="6846" spans="1:8">
      <c r="A6846" t="s">
        <v>13641</v>
      </c>
      <c r="B6846" t="s">
        <v>13642</v>
      </c>
      <c r="C6846" t="s">
        <v>10</v>
      </c>
      <c r="D6846">
        <v>53</v>
      </c>
      <c r="E6846" t="s">
        <v>27</v>
      </c>
      <c r="F6846" t="s">
        <v>28</v>
      </c>
      <c r="G6846" t="s">
        <v>12</v>
      </c>
      <c r="H6846" s="1">
        <v>45473</v>
      </c>
    </row>
    <row r="6847" spans="1:8">
      <c r="A6847" t="s">
        <v>13643</v>
      </c>
      <c r="B6847" t="s">
        <v>13644</v>
      </c>
      <c r="C6847" t="s">
        <v>10</v>
      </c>
      <c r="D6847">
        <v>27</v>
      </c>
      <c r="E6847" t="s">
        <v>87</v>
      </c>
      <c r="F6847" t="s">
        <v>88</v>
      </c>
      <c r="G6847" t="s">
        <v>78</v>
      </c>
      <c r="H6847" s="1">
        <v>45381</v>
      </c>
    </row>
    <row r="6848" spans="1:8">
      <c r="A6848" t="s">
        <v>13645</v>
      </c>
      <c r="B6848" t="s">
        <v>13646</v>
      </c>
      <c r="C6848" t="s">
        <v>10</v>
      </c>
      <c r="D6848">
        <v>23</v>
      </c>
      <c r="E6848" t="s">
        <v>218</v>
      </c>
      <c r="F6848" t="s">
        <v>219</v>
      </c>
      <c r="G6848" t="s">
        <v>17</v>
      </c>
      <c r="H6848" s="1">
        <v>45982</v>
      </c>
    </row>
    <row r="6849" spans="1:8">
      <c r="A6849" t="s">
        <v>13647</v>
      </c>
      <c r="B6849" t="s">
        <v>13648</v>
      </c>
      <c r="C6849" t="s">
        <v>10</v>
      </c>
      <c r="D6849">
        <v>36</v>
      </c>
      <c r="E6849" t="s">
        <v>76</v>
      </c>
      <c r="F6849" t="s">
        <v>77</v>
      </c>
      <c r="G6849" t="s">
        <v>78</v>
      </c>
      <c r="H6849" s="1">
        <v>45425</v>
      </c>
    </row>
    <row r="6850" spans="1:8">
      <c r="A6850" t="s">
        <v>13649</v>
      </c>
      <c r="B6850" t="s">
        <v>13650</v>
      </c>
      <c r="C6850" t="s">
        <v>31</v>
      </c>
      <c r="D6850">
        <v>26</v>
      </c>
      <c r="E6850" t="s">
        <v>41</v>
      </c>
      <c r="F6850" t="s">
        <v>42</v>
      </c>
      <c r="G6850" t="s">
        <v>17</v>
      </c>
      <c r="H6850" s="1">
        <v>45310</v>
      </c>
    </row>
    <row r="6851" spans="1:8">
      <c r="A6851" t="s">
        <v>13651</v>
      </c>
      <c r="B6851" t="s">
        <v>13652</v>
      </c>
      <c r="C6851" t="s">
        <v>31</v>
      </c>
      <c r="D6851">
        <v>18</v>
      </c>
      <c r="E6851" t="s">
        <v>134</v>
      </c>
      <c r="F6851" t="s">
        <v>28</v>
      </c>
      <c r="G6851" t="s">
        <v>12</v>
      </c>
      <c r="H6851" s="1">
        <v>45567</v>
      </c>
    </row>
    <row r="6852" spans="1:8">
      <c r="A6852" t="s">
        <v>13653</v>
      </c>
      <c r="B6852" t="s">
        <v>13654</v>
      </c>
      <c r="C6852" t="s">
        <v>10</v>
      </c>
      <c r="D6852">
        <v>59</v>
      </c>
      <c r="E6852" t="s">
        <v>112</v>
      </c>
      <c r="F6852" t="s">
        <v>113</v>
      </c>
      <c r="G6852" t="s">
        <v>78</v>
      </c>
      <c r="H6852" s="1">
        <v>45980</v>
      </c>
    </row>
    <row r="6853" spans="1:8">
      <c r="A6853" t="s">
        <v>13655</v>
      </c>
      <c r="B6853" t="s">
        <v>13656</v>
      </c>
      <c r="C6853" t="s">
        <v>10</v>
      </c>
      <c r="D6853">
        <v>62</v>
      </c>
      <c r="E6853" t="s">
        <v>37</v>
      </c>
      <c r="F6853" t="s">
        <v>38</v>
      </c>
      <c r="G6853" t="s">
        <v>22</v>
      </c>
      <c r="H6853" s="1">
        <v>45463</v>
      </c>
    </row>
    <row r="6854" spans="1:8">
      <c r="A6854" t="s">
        <v>13657</v>
      </c>
      <c r="B6854" t="s">
        <v>13658</v>
      </c>
      <c r="C6854" t="s">
        <v>31</v>
      </c>
      <c r="D6854">
        <v>47</v>
      </c>
      <c r="E6854" t="s">
        <v>49</v>
      </c>
      <c r="F6854" t="s">
        <v>28</v>
      </c>
      <c r="G6854" t="s">
        <v>12</v>
      </c>
      <c r="H6854" s="1">
        <v>44924</v>
      </c>
    </row>
    <row r="6855" spans="1:8">
      <c r="A6855" t="s">
        <v>13659</v>
      </c>
      <c r="B6855" t="s">
        <v>13660</v>
      </c>
      <c r="C6855" t="s">
        <v>31</v>
      </c>
      <c r="D6855">
        <v>48</v>
      </c>
      <c r="E6855" t="s">
        <v>218</v>
      </c>
      <c r="F6855" t="s">
        <v>219</v>
      </c>
      <c r="G6855" t="s">
        <v>17</v>
      </c>
      <c r="H6855" s="1">
        <v>45515</v>
      </c>
    </row>
    <row r="6856" spans="1:8">
      <c r="A6856" t="s">
        <v>13661</v>
      </c>
      <c r="B6856" t="s">
        <v>13662</v>
      </c>
      <c r="C6856" t="s">
        <v>10</v>
      </c>
      <c r="D6856">
        <v>46</v>
      </c>
      <c r="E6856" t="s">
        <v>60</v>
      </c>
      <c r="F6856" t="s">
        <v>21</v>
      </c>
      <c r="G6856" t="s">
        <v>22</v>
      </c>
      <c r="H6856" s="1">
        <v>45096</v>
      </c>
    </row>
    <row r="6857" spans="1:8">
      <c r="A6857" t="s">
        <v>13663</v>
      </c>
      <c r="B6857" t="s">
        <v>13664</v>
      </c>
      <c r="C6857" t="s">
        <v>31</v>
      </c>
      <c r="D6857">
        <v>38</v>
      </c>
      <c r="E6857" t="s">
        <v>218</v>
      </c>
      <c r="F6857" t="s">
        <v>219</v>
      </c>
      <c r="G6857" t="s">
        <v>17</v>
      </c>
      <c r="H6857" s="1">
        <v>45120</v>
      </c>
    </row>
    <row r="6858" spans="1:8">
      <c r="A6858" t="s">
        <v>13665</v>
      </c>
      <c r="B6858" t="s">
        <v>13666</v>
      </c>
      <c r="C6858" t="s">
        <v>31</v>
      </c>
      <c r="D6858">
        <v>23</v>
      </c>
      <c r="E6858" t="s">
        <v>149</v>
      </c>
      <c r="F6858" t="s">
        <v>38</v>
      </c>
      <c r="G6858" t="s">
        <v>22</v>
      </c>
      <c r="H6858" s="1">
        <v>44670</v>
      </c>
    </row>
    <row r="6859" spans="1:8">
      <c r="A6859" t="s">
        <v>13667</v>
      </c>
      <c r="B6859" t="s">
        <v>13668</v>
      </c>
      <c r="C6859" t="s">
        <v>31</v>
      </c>
      <c r="D6859">
        <v>27</v>
      </c>
      <c r="E6859" t="s">
        <v>218</v>
      </c>
      <c r="F6859" t="s">
        <v>219</v>
      </c>
      <c r="G6859" t="s">
        <v>17</v>
      </c>
      <c r="H6859" s="1">
        <v>45614</v>
      </c>
    </row>
    <row r="6860" spans="1:8">
      <c r="A6860" t="s">
        <v>13669</v>
      </c>
      <c r="B6860" t="s">
        <v>13670</v>
      </c>
      <c r="C6860" t="s">
        <v>10</v>
      </c>
      <c r="D6860">
        <v>68</v>
      </c>
      <c r="E6860" t="s">
        <v>101</v>
      </c>
      <c r="F6860" t="s">
        <v>21</v>
      </c>
      <c r="G6860" t="s">
        <v>22</v>
      </c>
      <c r="H6860" s="1">
        <v>45378</v>
      </c>
    </row>
    <row r="6861" spans="1:8">
      <c r="A6861" t="s">
        <v>13671</v>
      </c>
      <c r="B6861" t="s">
        <v>13672</v>
      </c>
      <c r="C6861" t="s">
        <v>31</v>
      </c>
      <c r="D6861">
        <v>61</v>
      </c>
      <c r="E6861" t="s">
        <v>27</v>
      </c>
      <c r="F6861" t="s">
        <v>28</v>
      </c>
      <c r="G6861" t="s">
        <v>12</v>
      </c>
      <c r="H6861" s="1">
        <v>44862</v>
      </c>
    </row>
    <row r="6862" spans="1:8">
      <c r="A6862" t="s">
        <v>13673</v>
      </c>
      <c r="B6862" t="s">
        <v>13674</v>
      </c>
      <c r="C6862" t="s">
        <v>10</v>
      </c>
      <c r="D6862">
        <v>46</v>
      </c>
      <c r="E6862" t="s">
        <v>69</v>
      </c>
      <c r="F6862" t="s">
        <v>69</v>
      </c>
      <c r="G6862" t="s">
        <v>12</v>
      </c>
      <c r="H6862" s="1">
        <v>45088</v>
      </c>
    </row>
    <row r="6863" spans="1:8">
      <c r="A6863" t="s">
        <v>13675</v>
      </c>
      <c r="B6863" t="s">
        <v>13676</v>
      </c>
      <c r="C6863" t="s">
        <v>31</v>
      </c>
      <c r="D6863">
        <v>22</v>
      </c>
      <c r="E6863" t="s">
        <v>45</v>
      </c>
      <c r="F6863" t="s">
        <v>46</v>
      </c>
      <c r="G6863" t="s">
        <v>17</v>
      </c>
      <c r="H6863" s="1">
        <v>44963</v>
      </c>
    </row>
    <row r="6864" spans="1:8">
      <c r="A6864" t="s">
        <v>13677</v>
      </c>
      <c r="B6864" t="s">
        <v>13678</v>
      </c>
      <c r="C6864" t="s">
        <v>31</v>
      </c>
      <c r="D6864">
        <v>42</v>
      </c>
      <c r="E6864" t="s">
        <v>69</v>
      </c>
      <c r="F6864" t="s">
        <v>69</v>
      </c>
      <c r="G6864" t="s">
        <v>12</v>
      </c>
      <c r="H6864" s="1">
        <v>44630</v>
      </c>
    </row>
    <row r="6865" spans="1:8">
      <c r="A6865" t="s">
        <v>13679</v>
      </c>
      <c r="B6865" t="s">
        <v>13680</v>
      </c>
      <c r="C6865" t="s">
        <v>10</v>
      </c>
      <c r="D6865">
        <v>68</v>
      </c>
      <c r="E6865" t="s">
        <v>69</v>
      </c>
      <c r="F6865" t="s">
        <v>69</v>
      </c>
      <c r="G6865" t="s">
        <v>12</v>
      </c>
      <c r="H6865" s="1">
        <v>45673</v>
      </c>
    </row>
    <row r="6866" spans="1:8">
      <c r="A6866" t="s">
        <v>13681</v>
      </c>
      <c r="B6866" t="s">
        <v>13682</v>
      </c>
      <c r="C6866" t="s">
        <v>31</v>
      </c>
      <c r="D6866">
        <v>48</v>
      </c>
      <c r="E6866" t="s">
        <v>41</v>
      </c>
      <c r="F6866" t="s">
        <v>42</v>
      </c>
      <c r="G6866" t="s">
        <v>17</v>
      </c>
      <c r="H6866" s="1">
        <v>45336</v>
      </c>
    </row>
    <row r="6867" spans="1:8">
      <c r="A6867" t="s">
        <v>13683</v>
      </c>
      <c r="B6867" t="s">
        <v>13684</v>
      </c>
      <c r="C6867" t="s">
        <v>10</v>
      </c>
      <c r="D6867">
        <v>27</v>
      </c>
      <c r="E6867" t="s">
        <v>128</v>
      </c>
      <c r="F6867" t="s">
        <v>129</v>
      </c>
      <c r="G6867" t="s">
        <v>78</v>
      </c>
      <c r="H6867" s="1">
        <v>45315</v>
      </c>
    </row>
    <row r="6868" spans="1:8">
      <c r="A6868" t="s">
        <v>13685</v>
      </c>
      <c r="B6868" t="s">
        <v>13686</v>
      </c>
      <c r="C6868" t="s">
        <v>10</v>
      </c>
      <c r="D6868">
        <v>29</v>
      </c>
      <c r="E6868" t="s">
        <v>60</v>
      </c>
      <c r="F6868" t="s">
        <v>21</v>
      </c>
      <c r="G6868" t="s">
        <v>22</v>
      </c>
      <c r="H6868" s="1">
        <v>44952</v>
      </c>
    </row>
    <row r="6869" spans="1:8">
      <c r="A6869" t="s">
        <v>13687</v>
      </c>
      <c r="B6869" t="s">
        <v>13688</v>
      </c>
      <c r="C6869" t="s">
        <v>31</v>
      </c>
      <c r="D6869">
        <v>33</v>
      </c>
      <c r="E6869" t="s">
        <v>134</v>
      </c>
      <c r="F6869" t="s">
        <v>28</v>
      </c>
      <c r="G6869" t="s">
        <v>12</v>
      </c>
      <c r="H6869" s="1">
        <v>44835</v>
      </c>
    </row>
    <row r="6870" spans="1:8">
      <c r="A6870" t="s">
        <v>13689</v>
      </c>
      <c r="B6870" t="s">
        <v>13690</v>
      </c>
      <c r="C6870" t="s">
        <v>31</v>
      </c>
      <c r="D6870">
        <v>68</v>
      </c>
      <c r="E6870" t="s">
        <v>91</v>
      </c>
      <c r="F6870" t="s">
        <v>92</v>
      </c>
      <c r="G6870" t="s">
        <v>78</v>
      </c>
      <c r="H6870" s="1">
        <v>44732</v>
      </c>
    </row>
    <row r="6871" spans="1:8">
      <c r="A6871" t="s">
        <v>13691</v>
      </c>
      <c r="B6871" t="s">
        <v>13692</v>
      </c>
      <c r="C6871" t="s">
        <v>10</v>
      </c>
      <c r="D6871">
        <v>57</v>
      </c>
      <c r="E6871" t="s">
        <v>218</v>
      </c>
      <c r="F6871" t="s">
        <v>219</v>
      </c>
      <c r="G6871" t="s">
        <v>17</v>
      </c>
      <c r="H6871" s="1">
        <v>45798</v>
      </c>
    </row>
    <row r="6872" spans="1:8">
      <c r="A6872" t="s">
        <v>13693</v>
      </c>
      <c r="B6872" t="s">
        <v>13694</v>
      </c>
      <c r="C6872" t="s">
        <v>10</v>
      </c>
      <c r="D6872">
        <v>51</v>
      </c>
      <c r="E6872" t="s">
        <v>37</v>
      </c>
      <c r="F6872" t="s">
        <v>38</v>
      </c>
      <c r="G6872" t="s">
        <v>22</v>
      </c>
      <c r="H6872" s="1">
        <v>45701</v>
      </c>
    </row>
    <row r="6873" spans="1:8">
      <c r="A6873" t="s">
        <v>13695</v>
      </c>
      <c r="B6873" t="s">
        <v>13696</v>
      </c>
      <c r="C6873" t="s">
        <v>10</v>
      </c>
      <c r="D6873">
        <v>62</v>
      </c>
      <c r="E6873" t="s">
        <v>20</v>
      </c>
      <c r="F6873" t="s">
        <v>21</v>
      </c>
      <c r="G6873" t="s">
        <v>22</v>
      </c>
      <c r="H6873" s="1">
        <v>45527</v>
      </c>
    </row>
    <row r="6874" spans="1:8">
      <c r="A6874" t="s">
        <v>13697</v>
      </c>
      <c r="B6874" t="s">
        <v>13698</v>
      </c>
      <c r="C6874" t="s">
        <v>10</v>
      </c>
      <c r="D6874">
        <v>41</v>
      </c>
      <c r="E6874" t="s">
        <v>149</v>
      </c>
      <c r="F6874" t="s">
        <v>38</v>
      </c>
      <c r="G6874" t="s">
        <v>22</v>
      </c>
      <c r="H6874" s="1">
        <v>45557</v>
      </c>
    </row>
    <row r="6875" spans="1:8">
      <c r="A6875" t="s">
        <v>13699</v>
      </c>
      <c r="B6875" t="s">
        <v>13700</v>
      </c>
      <c r="C6875" t="s">
        <v>10</v>
      </c>
      <c r="D6875">
        <v>64</v>
      </c>
      <c r="E6875" t="s">
        <v>41</v>
      </c>
      <c r="F6875" t="s">
        <v>42</v>
      </c>
      <c r="G6875" t="s">
        <v>17</v>
      </c>
      <c r="H6875" s="1">
        <v>45519</v>
      </c>
    </row>
    <row r="6876" spans="1:8">
      <c r="A6876" t="s">
        <v>13701</v>
      </c>
      <c r="B6876" t="s">
        <v>13702</v>
      </c>
      <c r="C6876" t="s">
        <v>10</v>
      </c>
      <c r="D6876">
        <v>36</v>
      </c>
      <c r="E6876" t="s">
        <v>112</v>
      </c>
      <c r="F6876" t="s">
        <v>113</v>
      </c>
      <c r="G6876" t="s">
        <v>78</v>
      </c>
      <c r="H6876" s="1">
        <v>45146</v>
      </c>
    </row>
    <row r="6877" spans="1:8">
      <c r="A6877" t="s">
        <v>13703</v>
      </c>
      <c r="B6877" t="s">
        <v>13704</v>
      </c>
      <c r="C6877" t="s">
        <v>31</v>
      </c>
      <c r="D6877">
        <v>64</v>
      </c>
      <c r="E6877" t="s">
        <v>41</v>
      </c>
      <c r="F6877" t="s">
        <v>42</v>
      </c>
      <c r="G6877" t="s">
        <v>17</v>
      </c>
      <c r="H6877" s="1">
        <v>45684</v>
      </c>
    </row>
    <row r="6878" spans="1:8">
      <c r="A6878" t="s">
        <v>13705</v>
      </c>
      <c r="B6878" t="s">
        <v>13706</v>
      </c>
      <c r="C6878" t="s">
        <v>10</v>
      </c>
      <c r="D6878">
        <v>59</v>
      </c>
      <c r="E6878" t="s">
        <v>149</v>
      </c>
      <c r="F6878" t="s">
        <v>38</v>
      </c>
      <c r="G6878" t="s">
        <v>22</v>
      </c>
      <c r="H6878" s="1">
        <v>45489</v>
      </c>
    </row>
    <row r="6879" spans="1:8">
      <c r="A6879" t="s">
        <v>13707</v>
      </c>
      <c r="B6879" t="s">
        <v>13708</v>
      </c>
      <c r="C6879" t="s">
        <v>10</v>
      </c>
      <c r="D6879">
        <v>38</v>
      </c>
      <c r="E6879" t="s">
        <v>112</v>
      </c>
      <c r="F6879" t="s">
        <v>113</v>
      </c>
      <c r="G6879" t="s">
        <v>78</v>
      </c>
      <c r="H6879" s="1">
        <v>44732</v>
      </c>
    </row>
    <row r="6880" spans="1:8">
      <c r="A6880" t="s">
        <v>13709</v>
      </c>
      <c r="B6880" t="s">
        <v>13710</v>
      </c>
      <c r="C6880" t="s">
        <v>10</v>
      </c>
      <c r="D6880">
        <v>21</v>
      </c>
      <c r="E6880" t="s">
        <v>87</v>
      </c>
      <c r="F6880" t="s">
        <v>88</v>
      </c>
      <c r="G6880" t="s">
        <v>78</v>
      </c>
      <c r="H6880" s="1">
        <v>44633</v>
      </c>
    </row>
    <row r="6881" spans="1:8">
      <c r="A6881" t="s">
        <v>13711</v>
      </c>
      <c r="B6881" t="s">
        <v>13712</v>
      </c>
      <c r="C6881" t="s">
        <v>31</v>
      </c>
      <c r="D6881">
        <v>53</v>
      </c>
      <c r="E6881" t="s">
        <v>11</v>
      </c>
      <c r="F6881" t="s">
        <v>11</v>
      </c>
      <c r="G6881" t="s">
        <v>12</v>
      </c>
      <c r="H6881" s="1">
        <v>44779</v>
      </c>
    </row>
    <row r="6882" spans="1:8">
      <c r="A6882" t="s">
        <v>13713</v>
      </c>
      <c r="B6882" t="s">
        <v>13714</v>
      </c>
      <c r="C6882" t="s">
        <v>10</v>
      </c>
      <c r="D6882">
        <v>41</v>
      </c>
      <c r="E6882" t="s">
        <v>11</v>
      </c>
      <c r="F6882" t="s">
        <v>11</v>
      </c>
      <c r="G6882" t="s">
        <v>12</v>
      </c>
      <c r="H6882" s="1">
        <v>44923</v>
      </c>
    </row>
    <row r="6883" spans="1:8">
      <c r="A6883" t="s">
        <v>13715</v>
      </c>
      <c r="B6883" t="s">
        <v>13716</v>
      </c>
      <c r="C6883" t="s">
        <v>31</v>
      </c>
      <c r="D6883">
        <v>54</v>
      </c>
      <c r="E6883" t="s">
        <v>45</v>
      </c>
      <c r="F6883" t="s">
        <v>46</v>
      </c>
      <c r="G6883" t="s">
        <v>17</v>
      </c>
      <c r="H6883" s="1">
        <v>45924</v>
      </c>
    </row>
    <row r="6884" spans="1:8">
      <c r="A6884" t="s">
        <v>13717</v>
      </c>
      <c r="B6884" t="s">
        <v>13718</v>
      </c>
      <c r="C6884" t="s">
        <v>10</v>
      </c>
      <c r="D6884">
        <v>20</v>
      </c>
      <c r="E6884" t="s">
        <v>101</v>
      </c>
      <c r="F6884" t="s">
        <v>21</v>
      </c>
      <c r="G6884" t="s">
        <v>22</v>
      </c>
      <c r="H6884" s="1">
        <v>46002</v>
      </c>
    </row>
    <row r="6885" spans="1:8">
      <c r="A6885" t="s">
        <v>13719</v>
      </c>
      <c r="B6885" t="s">
        <v>13720</v>
      </c>
      <c r="C6885" t="s">
        <v>31</v>
      </c>
      <c r="D6885">
        <v>41</v>
      </c>
      <c r="E6885" t="s">
        <v>34</v>
      </c>
      <c r="F6885" t="s">
        <v>16</v>
      </c>
      <c r="G6885" t="s">
        <v>17</v>
      </c>
      <c r="H6885" s="1">
        <v>45831</v>
      </c>
    </row>
    <row r="6886" spans="1:8">
      <c r="A6886" t="s">
        <v>13721</v>
      </c>
      <c r="B6886" t="s">
        <v>13722</v>
      </c>
      <c r="C6886" t="s">
        <v>31</v>
      </c>
      <c r="D6886">
        <v>59</v>
      </c>
      <c r="E6886" t="s">
        <v>128</v>
      </c>
      <c r="F6886" t="s">
        <v>129</v>
      </c>
      <c r="G6886" t="s">
        <v>78</v>
      </c>
      <c r="H6886" s="1">
        <v>45531</v>
      </c>
    </row>
    <row r="6887" spans="1:8">
      <c r="A6887" t="s">
        <v>13723</v>
      </c>
      <c r="B6887" t="s">
        <v>13724</v>
      </c>
      <c r="C6887" t="s">
        <v>10</v>
      </c>
      <c r="D6887">
        <v>56</v>
      </c>
      <c r="E6887" t="s">
        <v>37</v>
      </c>
      <c r="F6887" t="s">
        <v>38</v>
      </c>
      <c r="G6887" t="s">
        <v>22</v>
      </c>
      <c r="H6887" s="1">
        <v>45872</v>
      </c>
    </row>
    <row r="6888" spans="1:8">
      <c r="A6888" t="s">
        <v>13725</v>
      </c>
      <c r="B6888" t="s">
        <v>13726</v>
      </c>
      <c r="C6888" t="s">
        <v>31</v>
      </c>
      <c r="D6888">
        <v>34</v>
      </c>
      <c r="E6888" t="s">
        <v>60</v>
      </c>
      <c r="F6888" t="s">
        <v>21</v>
      </c>
      <c r="G6888" t="s">
        <v>22</v>
      </c>
      <c r="H6888" s="1">
        <v>45486</v>
      </c>
    </row>
    <row r="6889" spans="1:8">
      <c r="A6889" t="s">
        <v>13727</v>
      </c>
      <c r="B6889" t="s">
        <v>13728</v>
      </c>
      <c r="C6889" t="s">
        <v>10</v>
      </c>
      <c r="D6889">
        <v>42</v>
      </c>
      <c r="E6889" t="s">
        <v>76</v>
      </c>
      <c r="F6889" t="s">
        <v>77</v>
      </c>
      <c r="G6889" t="s">
        <v>78</v>
      </c>
      <c r="H6889" s="1">
        <v>45271</v>
      </c>
    </row>
    <row r="6890" spans="1:8">
      <c r="A6890" t="s">
        <v>13729</v>
      </c>
      <c r="B6890" t="s">
        <v>13730</v>
      </c>
      <c r="C6890" t="s">
        <v>10</v>
      </c>
      <c r="D6890">
        <v>21</v>
      </c>
      <c r="E6890" t="s">
        <v>27</v>
      </c>
      <c r="F6890" t="s">
        <v>28</v>
      </c>
      <c r="G6890" t="s">
        <v>12</v>
      </c>
      <c r="H6890" s="1">
        <v>45090</v>
      </c>
    </row>
    <row r="6891" spans="1:8">
      <c r="A6891" t="s">
        <v>13731</v>
      </c>
      <c r="B6891" t="s">
        <v>13732</v>
      </c>
      <c r="C6891" t="s">
        <v>10</v>
      </c>
      <c r="D6891">
        <v>40</v>
      </c>
      <c r="E6891" t="s">
        <v>41</v>
      </c>
      <c r="F6891" t="s">
        <v>42</v>
      </c>
      <c r="G6891" t="s">
        <v>17</v>
      </c>
      <c r="H6891" s="1">
        <v>45144</v>
      </c>
    </row>
    <row r="6892" spans="1:8">
      <c r="A6892" t="s">
        <v>13733</v>
      </c>
      <c r="B6892" t="s">
        <v>13734</v>
      </c>
      <c r="C6892" t="s">
        <v>31</v>
      </c>
      <c r="D6892">
        <v>20</v>
      </c>
      <c r="E6892" t="s">
        <v>63</v>
      </c>
      <c r="F6892" t="s">
        <v>64</v>
      </c>
      <c r="G6892" t="s">
        <v>12</v>
      </c>
      <c r="H6892" s="1">
        <v>45464</v>
      </c>
    </row>
    <row r="6893" spans="1:8">
      <c r="A6893" t="s">
        <v>13735</v>
      </c>
      <c r="B6893" t="s">
        <v>13736</v>
      </c>
      <c r="C6893" t="s">
        <v>10</v>
      </c>
      <c r="D6893">
        <v>33</v>
      </c>
      <c r="E6893" t="s">
        <v>91</v>
      </c>
      <c r="F6893" t="s">
        <v>92</v>
      </c>
      <c r="G6893" t="s">
        <v>78</v>
      </c>
      <c r="H6893" s="1">
        <v>44752</v>
      </c>
    </row>
    <row r="6894" spans="1:8">
      <c r="A6894" t="s">
        <v>13737</v>
      </c>
      <c r="B6894" t="s">
        <v>13738</v>
      </c>
      <c r="C6894" t="s">
        <v>31</v>
      </c>
      <c r="D6894">
        <v>68</v>
      </c>
      <c r="E6894" t="s">
        <v>60</v>
      </c>
      <c r="F6894" t="s">
        <v>21</v>
      </c>
      <c r="G6894" t="s">
        <v>22</v>
      </c>
      <c r="H6894" s="1">
        <v>45032</v>
      </c>
    </row>
    <row r="6895" spans="1:8">
      <c r="A6895" t="s">
        <v>13739</v>
      </c>
      <c r="B6895" t="s">
        <v>13740</v>
      </c>
      <c r="C6895" t="s">
        <v>31</v>
      </c>
      <c r="D6895">
        <v>42</v>
      </c>
      <c r="E6895" t="s">
        <v>149</v>
      </c>
      <c r="F6895" t="s">
        <v>38</v>
      </c>
      <c r="G6895" t="s">
        <v>22</v>
      </c>
      <c r="H6895" s="1">
        <v>45736</v>
      </c>
    </row>
    <row r="6896" spans="1:8">
      <c r="A6896" t="s">
        <v>13741</v>
      </c>
      <c r="B6896" t="s">
        <v>13742</v>
      </c>
      <c r="C6896" t="s">
        <v>31</v>
      </c>
      <c r="D6896">
        <v>39</v>
      </c>
      <c r="E6896" t="s">
        <v>149</v>
      </c>
      <c r="F6896" t="s">
        <v>38</v>
      </c>
      <c r="G6896" t="s">
        <v>22</v>
      </c>
      <c r="H6896" s="1">
        <v>44571</v>
      </c>
    </row>
    <row r="6897" spans="1:8">
      <c r="A6897" t="s">
        <v>13743</v>
      </c>
      <c r="B6897" t="s">
        <v>13744</v>
      </c>
      <c r="C6897" t="s">
        <v>31</v>
      </c>
      <c r="D6897">
        <v>56</v>
      </c>
      <c r="E6897" t="s">
        <v>20</v>
      </c>
      <c r="F6897" t="s">
        <v>21</v>
      </c>
      <c r="G6897" t="s">
        <v>22</v>
      </c>
      <c r="H6897" s="1">
        <v>45499</v>
      </c>
    </row>
    <row r="6898" spans="1:8">
      <c r="A6898" t="s">
        <v>13745</v>
      </c>
      <c r="B6898" t="s">
        <v>13746</v>
      </c>
      <c r="C6898" t="s">
        <v>31</v>
      </c>
      <c r="D6898">
        <v>57</v>
      </c>
      <c r="E6898" t="s">
        <v>134</v>
      </c>
      <c r="F6898" t="s">
        <v>28</v>
      </c>
      <c r="G6898" t="s">
        <v>12</v>
      </c>
      <c r="H6898" s="1">
        <v>45628</v>
      </c>
    </row>
    <row r="6899" spans="1:8">
      <c r="A6899" t="s">
        <v>13747</v>
      </c>
      <c r="B6899" t="s">
        <v>13748</v>
      </c>
      <c r="C6899" t="s">
        <v>10</v>
      </c>
      <c r="D6899">
        <v>35</v>
      </c>
      <c r="E6899" t="s">
        <v>27</v>
      </c>
      <c r="F6899" t="s">
        <v>28</v>
      </c>
      <c r="G6899" t="s">
        <v>12</v>
      </c>
      <c r="H6899" s="1">
        <v>45604</v>
      </c>
    </row>
    <row r="6900" spans="1:8">
      <c r="A6900" t="s">
        <v>13749</v>
      </c>
      <c r="B6900" t="s">
        <v>13750</v>
      </c>
      <c r="C6900" t="s">
        <v>10</v>
      </c>
      <c r="D6900">
        <v>31</v>
      </c>
      <c r="E6900" t="s">
        <v>218</v>
      </c>
      <c r="F6900" t="s">
        <v>219</v>
      </c>
      <c r="G6900" t="s">
        <v>17</v>
      </c>
      <c r="H6900" s="1">
        <v>44633</v>
      </c>
    </row>
    <row r="6901" spans="1:8">
      <c r="A6901" t="s">
        <v>13751</v>
      </c>
      <c r="B6901" t="s">
        <v>13752</v>
      </c>
      <c r="C6901" t="s">
        <v>31</v>
      </c>
      <c r="D6901">
        <v>28</v>
      </c>
      <c r="E6901" t="s">
        <v>91</v>
      </c>
      <c r="F6901" t="s">
        <v>92</v>
      </c>
      <c r="G6901" t="s">
        <v>78</v>
      </c>
      <c r="H6901" s="1">
        <v>45592</v>
      </c>
    </row>
    <row r="6902" spans="1:8">
      <c r="A6902" t="s">
        <v>13753</v>
      </c>
      <c r="B6902" t="s">
        <v>13754</v>
      </c>
      <c r="C6902" t="s">
        <v>31</v>
      </c>
      <c r="D6902">
        <v>46</v>
      </c>
      <c r="E6902" t="s">
        <v>15</v>
      </c>
      <c r="F6902" t="s">
        <v>16</v>
      </c>
      <c r="G6902" t="s">
        <v>17</v>
      </c>
      <c r="H6902" s="1">
        <v>45942</v>
      </c>
    </row>
    <row r="6903" spans="1:8">
      <c r="A6903" t="s">
        <v>13755</v>
      </c>
      <c r="B6903" t="s">
        <v>13756</v>
      </c>
      <c r="C6903" t="s">
        <v>31</v>
      </c>
      <c r="D6903">
        <v>31</v>
      </c>
      <c r="E6903" t="s">
        <v>45</v>
      </c>
      <c r="F6903" t="s">
        <v>46</v>
      </c>
      <c r="G6903" t="s">
        <v>17</v>
      </c>
      <c r="H6903" s="1">
        <v>44616</v>
      </c>
    </row>
    <row r="6904" spans="1:8">
      <c r="A6904" t="s">
        <v>13757</v>
      </c>
      <c r="B6904" t="s">
        <v>13758</v>
      </c>
      <c r="C6904" t="s">
        <v>31</v>
      </c>
      <c r="D6904">
        <v>27</v>
      </c>
      <c r="E6904" t="s">
        <v>45</v>
      </c>
      <c r="F6904" t="s">
        <v>46</v>
      </c>
      <c r="G6904" t="s">
        <v>17</v>
      </c>
      <c r="H6904" s="1">
        <v>45060</v>
      </c>
    </row>
    <row r="6905" spans="1:8">
      <c r="A6905" t="s">
        <v>13759</v>
      </c>
      <c r="B6905" t="s">
        <v>13760</v>
      </c>
      <c r="C6905" t="s">
        <v>10</v>
      </c>
      <c r="D6905">
        <v>25</v>
      </c>
      <c r="E6905" t="s">
        <v>128</v>
      </c>
      <c r="F6905" t="s">
        <v>129</v>
      </c>
      <c r="G6905" t="s">
        <v>78</v>
      </c>
      <c r="H6905" s="1">
        <v>44785</v>
      </c>
    </row>
    <row r="6906" spans="1:8">
      <c r="A6906" t="s">
        <v>13761</v>
      </c>
      <c r="B6906" t="s">
        <v>13762</v>
      </c>
      <c r="C6906" t="s">
        <v>31</v>
      </c>
      <c r="D6906">
        <v>69</v>
      </c>
      <c r="E6906" t="s">
        <v>15</v>
      </c>
      <c r="F6906" t="s">
        <v>16</v>
      </c>
      <c r="G6906" t="s">
        <v>17</v>
      </c>
      <c r="H6906" s="1">
        <v>45997</v>
      </c>
    </row>
    <row r="6907" spans="1:8">
      <c r="A6907" t="s">
        <v>13763</v>
      </c>
      <c r="B6907" t="s">
        <v>13764</v>
      </c>
      <c r="C6907" t="s">
        <v>31</v>
      </c>
      <c r="D6907">
        <v>44</v>
      </c>
      <c r="E6907" t="s">
        <v>11</v>
      </c>
      <c r="F6907" t="s">
        <v>11</v>
      </c>
      <c r="G6907" t="s">
        <v>12</v>
      </c>
      <c r="H6907" s="1">
        <v>45656</v>
      </c>
    </row>
    <row r="6908" spans="1:8">
      <c r="A6908" t="s">
        <v>13765</v>
      </c>
      <c r="B6908" t="s">
        <v>13766</v>
      </c>
      <c r="C6908" t="s">
        <v>31</v>
      </c>
      <c r="D6908">
        <v>56</v>
      </c>
      <c r="E6908" t="s">
        <v>27</v>
      </c>
      <c r="F6908" t="s">
        <v>28</v>
      </c>
      <c r="G6908" t="s">
        <v>12</v>
      </c>
      <c r="H6908" s="1">
        <v>45810</v>
      </c>
    </row>
    <row r="6909" spans="1:8">
      <c r="A6909" t="s">
        <v>13767</v>
      </c>
      <c r="B6909" t="s">
        <v>13768</v>
      </c>
      <c r="C6909" t="s">
        <v>10</v>
      </c>
      <c r="D6909">
        <v>40</v>
      </c>
      <c r="E6909" t="s">
        <v>34</v>
      </c>
      <c r="F6909" t="s">
        <v>16</v>
      </c>
      <c r="G6909" t="s">
        <v>17</v>
      </c>
      <c r="H6909" s="1">
        <v>44718</v>
      </c>
    </row>
    <row r="6910" spans="1:8">
      <c r="A6910" t="s">
        <v>13769</v>
      </c>
      <c r="B6910" t="s">
        <v>13770</v>
      </c>
      <c r="C6910" t="s">
        <v>10</v>
      </c>
      <c r="D6910">
        <v>21</v>
      </c>
      <c r="E6910" t="s">
        <v>112</v>
      </c>
      <c r="F6910" t="s">
        <v>113</v>
      </c>
      <c r="G6910" t="s">
        <v>78</v>
      </c>
      <c r="H6910" s="1">
        <v>44803</v>
      </c>
    </row>
    <row r="6911" spans="1:8">
      <c r="A6911" t="s">
        <v>13771</v>
      </c>
      <c r="B6911" t="s">
        <v>13772</v>
      </c>
      <c r="C6911" t="s">
        <v>10</v>
      </c>
      <c r="D6911">
        <v>59</v>
      </c>
      <c r="E6911" t="s">
        <v>69</v>
      </c>
      <c r="F6911" t="s">
        <v>69</v>
      </c>
      <c r="G6911" t="s">
        <v>12</v>
      </c>
      <c r="H6911" s="1">
        <v>45984</v>
      </c>
    </row>
    <row r="6912" spans="1:8">
      <c r="A6912" t="s">
        <v>13773</v>
      </c>
      <c r="B6912" t="s">
        <v>13774</v>
      </c>
      <c r="C6912" t="s">
        <v>10</v>
      </c>
      <c r="D6912">
        <v>27</v>
      </c>
      <c r="E6912" t="s">
        <v>218</v>
      </c>
      <c r="F6912" t="s">
        <v>219</v>
      </c>
      <c r="G6912" t="s">
        <v>17</v>
      </c>
      <c r="H6912" s="1">
        <v>44579</v>
      </c>
    </row>
    <row r="6913" spans="1:8">
      <c r="A6913" t="s">
        <v>13775</v>
      </c>
      <c r="B6913" t="s">
        <v>13776</v>
      </c>
      <c r="C6913" t="s">
        <v>10</v>
      </c>
      <c r="D6913">
        <v>40</v>
      </c>
      <c r="E6913" t="s">
        <v>41</v>
      </c>
      <c r="F6913" t="s">
        <v>42</v>
      </c>
      <c r="G6913" t="s">
        <v>17</v>
      </c>
      <c r="H6913" s="1">
        <v>45104</v>
      </c>
    </row>
    <row r="6914" spans="1:8">
      <c r="A6914" t="s">
        <v>13777</v>
      </c>
      <c r="B6914" t="s">
        <v>13778</v>
      </c>
      <c r="C6914" t="s">
        <v>10</v>
      </c>
      <c r="D6914">
        <v>18</v>
      </c>
      <c r="E6914" t="s">
        <v>69</v>
      </c>
      <c r="F6914" t="s">
        <v>69</v>
      </c>
      <c r="G6914" t="s">
        <v>12</v>
      </c>
      <c r="H6914" s="1">
        <v>45919</v>
      </c>
    </row>
    <row r="6915" spans="1:8">
      <c r="A6915" t="s">
        <v>13779</v>
      </c>
      <c r="B6915" t="s">
        <v>13780</v>
      </c>
      <c r="C6915" t="s">
        <v>10</v>
      </c>
      <c r="D6915">
        <v>70</v>
      </c>
      <c r="E6915" t="s">
        <v>37</v>
      </c>
      <c r="F6915" t="s">
        <v>38</v>
      </c>
      <c r="G6915" t="s">
        <v>22</v>
      </c>
      <c r="H6915" s="1">
        <v>45169</v>
      </c>
    </row>
    <row r="6916" spans="1:8">
      <c r="A6916" t="s">
        <v>13781</v>
      </c>
      <c r="B6916" t="s">
        <v>13782</v>
      </c>
      <c r="C6916" t="s">
        <v>10</v>
      </c>
      <c r="D6916">
        <v>63</v>
      </c>
      <c r="E6916" t="s">
        <v>149</v>
      </c>
      <c r="F6916" t="s">
        <v>38</v>
      </c>
      <c r="G6916" t="s">
        <v>22</v>
      </c>
      <c r="H6916" s="1">
        <v>45684</v>
      </c>
    </row>
    <row r="6917" spans="1:8">
      <c r="A6917" t="s">
        <v>13783</v>
      </c>
      <c r="B6917" t="s">
        <v>13784</v>
      </c>
      <c r="C6917" t="s">
        <v>31</v>
      </c>
      <c r="D6917">
        <v>61</v>
      </c>
      <c r="E6917" t="s">
        <v>11</v>
      </c>
      <c r="F6917" t="s">
        <v>11</v>
      </c>
      <c r="G6917" t="s">
        <v>12</v>
      </c>
      <c r="H6917" s="1">
        <v>45139</v>
      </c>
    </row>
    <row r="6918" spans="1:8">
      <c r="A6918" t="s">
        <v>13785</v>
      </c>
      <c r="B6918" t="s">
        <v>4227</v>
      </c>
      <c r="C6918" t="s">
        <v>31</v>
      </c>
      <c r="D6918">
        <v>37</v>
      </c>
      <c r="E6918" t="s">
        <v>218</v>
      </c>
      <c r="F6918" t="s">
        <v>219</v>
      </c>
      <c r="G6918" t="s">
        <v>17</v>
      </c>
      <c r="H6918" s="1">
        <v>45135</v>
      </c>
    </row>
    <row r="6919" spans="1:8">
      <c r="A6919" t="s">
        <v>13786</v>
      </c>
      <c r="B6919" t="s">
        <v>13787</v>
      </c>
      <c r="C6919" t="s">
        <v>10</v>
      </c>
      <c r="D6919">
        <v>47</v>
      </c>
      <c r="E6919" t="s">
        <v>37</v>
      </c>
      <c r="F6919" t="s">
        <v>38</v>
      </c>
      <c r="G6919" t="s">
        <v>22</v>
      </c>
      <c r="H6919" s="1">
        <v>44919</v>
      </c>
    </row>
    <row r="6920" spans="1:8">
      <c r="A6920" t="s">
        <v>13788</v>
      </c>
      <c r="B6920" t="s">
        <v>13789</v>
      </c>
      <c r="C6920" t="s">
        <v>31</v>
      </c>
      <c r="D6920">
        <v>61</v>
      </c>
      <c r="E6920" t="s">
        <v>112</v>
      </c>
      <c r="F6920" t="s">
        <v>113</v>
      </c>
      <c r="G6920" t="s">
        <v>78</v>
      </c>
      <c r="H6920" s="1">
        <v>45683</v>
      </c>
    </row>
    <row r="6921" spans="1:8">
      <c r="A6921" t="s">
        <v>13790</v>
      </c>
      <c r="B6921" t="s">
        <v>13791</v>
      </c>
      <c r="C6921" t="s">
        <v>31</v>
      </c>
      <c r="D6921">
        <v>45</v>
      </c>
      <c r="E6921" t="s">
        <v>101</v>
      </c>
      <c r="F6921" t="s">
        <v>21</v>
      </c>
      <c r="G6921" t="s">
        <v>22</v>
      </c>
      <c r="H6921" s="1">
        <v>44727</v>
      </c>
    </row>
    <row r="6922" spans="1:8">
      <c r="A6922" t="s">
        <v>13792</v>
      </c>
      <c r="B6922" t="s">
        <v>13793</v>
      </c>
      <c r="C6922" t="s">
        <v>31</v>
      </c>
      <c r="D6922">
        <v>52</v>
      </c>
      <c r="E6922" t="s">
        <v>34</v>
      </c>
      <c r="F6922" t="s">
        <v>16</v>
      </c>
      <c r="G6922" t="s">
        <v>17</v>
      </c>
      <c r="H6922" s="1">
        <v>45584</v>
      </c>
    </row>
    <row r="6923" spans="1:8">
      <c r="A6923" t="s">
        <v>13794</v>
      </c>
      <c r="B6923" t="s">
        <v>13795</v>
      </c>
      <c r="C6923" t="s">
        <v>10</v>
      </c>
      <c r="D6923">
        <v>57</v>
      </c>
      <c r="E6923" t="s">
        <v>45</v>
      </c>
      <c r="F6923" t="s">
        <v>46</v>
      </c>
      <c r="G6923" t="s">
        <v>17</v>
      </c>
      <c r="H6923" s="1">
        <v>45266</v>
      </c>
    </row>
    <row r="6924" spans="1:8">
      <c r="A6924" t="s">
        <v>13796</v>
      </c>
      <c r="B6924" t="s">
        <v>13797</v>
      </c>
      <c r="C6924" t="s">
        <v>31</v>
      </c>
      <c r="D6924">
        <v>45</v>
      </c>
      <c r="E6924" t="s">
        <v>76</v>
      </c>
      <c r="F6924" t="s">
        <v>77</v>
      </c>
      <c r="G6924" t="s">
        <v>78</v>
      </c>
      <c r="H6924" s="1">
        <v>45429</v>
      </c>
    </row>
    <row r="6925" spans="1:8">
      <c r="A6925" t="s">
        <v>13798</v>
      </c>
      <c r="B6925" t="s">
        <v>13799</v>
      </c>
      <c r="C6925" t="s">
        <v>31</v>
      </c>
      <c r="D6925">
        <v>55</v>
      </c>
      <c r="E6925" t="s">
        <v>27</v>
      </c>
      <c r="F6925" t="s">
        <v>28</v>
      </c>
      <c r="G6925" t="s">
        <v>12</v>
      </c>
      <c r="H6925" s="1">
        <v>45623</v>
      </c>
    </row>
    <row r="6926" spans="1:8">
      <c r="A6926" t="s">
        <v>13800</v>
      </c>
      <c r="B6926" t="s">
        <v>13801</v>
      </c>
      <c r="C6926" t="s">
        <v>31</v>
      </c>
      <c r="D6926">
        <v>39</v>
      </c>
      <c r="E6926" t="s">
        <v>128</v>
      </c>
      <c r="F6926" t="s">
        <v>129</v>
      </c>
      <c r="G6926" t="s">
        <v>78</v>
      </c>
      <c r="H6926" s="1">
        <v>45506</v>
      </c>
    </row>
    <row r="6927" spans="1:8">
      <c r="A6927" t="s">
        <v>13802</v>
      </c>
      <c r="B6927" t="s">
        <v>13803</v>
      </c>
      <c r="C6927" t="s">
        <v>31</v>
      </c>
      <c r="D6927">
        <v>46</v>
      </c>
      <c r="E6927" t="s">
        <v>45</v>
      </c>
      <c r="F6927" t="s">
        <v>46</v>
      </c>
      <c r="G6927" t="s">
        <v>17</v>
      </c>
      <c r="H6927" s="1">
        <v>45612</v>
      </c>
    </row>
    <row r="6928" spans="1:8">
      <c r="A6928" t="s">
        <v>13804</v>
      </c>
      <c r="B6928" t="s">
        <v>13805</v>
      </c>
      <c r="C6928" t="s">
        <v>31</v>
      </c>
      <c r="D6928">
        <v>18</v>
      </c>
      <c r="E6928" t="s">
        <v>11</v>
      </c>
      <c r="F6928" t="s">
        <v>11</v>
      </c>
      <c r="G6928" t="s">
        <v>12</v>
      </c>
      <c r="H6928" s="1">
        <v>45044</v>
      </c>
    </row>
    <row r="6929" spans="1:8">
      <c r="A6929" t="s">
        <v>13806</v>
      </c>
      <c r="B6929" t="s">
        <v>13807</v>
      </c>
      <c r="C6929" t="s">
        <v>10</v>
      </c>
      <c r="D6929">
        <v>44</v>
      </c>
      <c r="E6929" t="s">
        <v>218</v>
      </c>
      <c r="F6929" t="s">
        <v>219</v>
      </c>
      <c r="G6929" t="s">
        <v>17</v>
      </c>
      <c r="H6929" s="1">
        <v>44840</v>
      </c>
    </row>
    <row r="6930" spans="1:8">
      <c r="A6930" t="s">
        <v>13808</v>
      </c>
      <c r="B6930" t="s">
        <v>13809</v>
      </c>
      <c r="C6930" t="s">
        <v>31</v>
      </c>
      <c r="D6930">
        <v>56</v>
      </c>
      <c r="E6930" t="s">
        <v>87</v>
      </c>
      <c r="F6930" t="s">
        <v>88</v>
      </c>
      <c r="G6930" t="s">
        <v>78</v>
      </c>
      <c r="H6930" s="1">
        <v>45977</v>
      </c>
    </row>
    <row r="6931" spans="1:8">
      <c r="A6931" t="s">
        <v>13810</v>
      </c>
      <c r="B6931" t="s">
        <v>13811</v>
      </c>
      <c r="C6931" t="s">
        <v>10</v>
      </c>
      <c r="D6931">
        <v>62</v>
      </c>
      <c r="E6931" t="s">
        <v>149</v>
      </c>
      <c r="F6931" t="s">
        <v>38</v>
      </c>
      <c r="G6931" t="s">
        <v>22</v>
      </c>
      <c r="H6931" s="1">
        <v>45243</v>
      </c>
    </row>
    <row r="6932" spans="1:8">
      <c r="A6932" t="s">
        <v>13812</v>
      </c>
      <c r="B6932" t="s">
        <v>13813</v>
      </c>
      <c r="C6932" t="s">
        <v>10</v>
      </c>
      <c r="D6932">
        <v>51</v>
      </c>
      <c r="E6932" t="s">
        <v>134</v>
      </c>
      <c r="F6932" t="s">
        <v>28</v>
      </c>
      <c r="G6932" t="s">
        <v>12</v>
      </c>
      <c r="H6932" s="1">
        <v>45333</v>
      </c>
    </row>
    <row r="6933" spans="1:8">
      <c r="A6933" t="s">
        <v>13814</v>
      </c>
      <c r="B6933" t="s">
        <v>13815</v>
      </c>
      <c r="C6933" t="s">
        <v>31</v>
      </c>
      <c r="D6933">
        <v>51</v>
      </c>
      <c r="E6933" t="s">
        <v>11</v>
      </c>
      <c r="F6933" t="s">
        <v>11</v>
      </c>
      <c r="G6933" t="s">
        <v>12</v>
      </c>
      <c r="H6933" s="1">
        <v>44875</v>
      </c>
    </row>
    <row r="6934" spans="1:8">
      <c r="A6934" t="s">
        <v>13816</v>
      </c>
      <c r="B6934" t="s">
        <v>13817</v>
      </c>
      <c r="C6934" t="s">
        <v>10</v>
      </c>
      <c r="D6934">
        <v>45</v>
      </c>
      <c r="E6934" t="s">
        <v>45</v>
      </c>
      <c r="F6934" t="s">
        <v>46</v>
      </c>
      <c r="G6934" t="s">
        <v>17</v>
      </c>
      <c r="H6934" s="1">
        <v>45542</v>
      </c>
    </row>
    <row r="6935" spans="1:8">
      <c r="A6935" t="s">
        <v>13818</v>
      </c>
      <c r="B6935" t="s">
        <v>13819</v>
      </c>
      <c r="C6935" t="s">
        <v>10</v>
      </c>
      <c r="D6935">
        <v>22</v>
      </c>
      <c r="E6935" t="s">
        <v>134</v>
      </c>
      <c r="F6935" t="s">
        <v>28</v>
      </c>
      <c r="G6935" t="s">
        <v>12</v>
      </c>
      <c r="H6935" s="1">
        <v>45395</v>
      </c>
    </row>
    <row r="6936" spans="1:8">
      <c r="A6936" t="s">
        <v>13820</v>
      </c>
      <c r="B6936" t="s">
        <v>13821</v>
      </c>
      <c r="C6936" t="s">
        <v>31</v>
      </c>
      <c r="D6936">
        <v>26</v>
      </c>
      <c r="E6936" t="s">
        <v>112</v>
      </c>
      <c r="F6936" t="s">
        <v>113</v>
      </c>
      <c r="G6936" t="s">
        <v>78</v>
      </c>
      <c r="H6936" s="1">
        <v>45697</v>
      </c>
    </row>
    <row r="6937" spans="1:8">
      <c r="A6937" t="s">
        <v>13822</v>
      </c>
      <c r="B6937" t="s">
        <v>13823</v>
      </c>
      <c r="C6937" t="s">
        <v>31</v>
      </c>
      <c r="D6937">
        <v>19</v>
      </c>
      <c r="E6937" t="s">
        <v>63</v>
      </c>
      <c r="F6937" t="s">
        <v>64</v>
      </c>
      <c r="G6937" t="s">
        <v>12</v>
      </c>
      <c r="H6937" s="1">
        <v>44689</v>
      </c>
    </row>
    <row r="6938" spans="1:8">
      <c r="A6938" t="s">
        <v>13824</v>
      </c>
      <c r="B6938" t="s">
        <v>13825</v>
      </c>
      <c r="C6938" t="s">
        <v>31</v>
      </c>
      <c r="D6938">
        <v>51</v>
      </c>
      <c r="E6938" t="s">
        <v>134</v>
      </c>
      <c r="F6938" t="s">
        <v>28</v>
      </c>
      <c r="G6938" t="s">
        <v>12</v>
      </c>
      <c r="H6938" s="1">
        <v>45818</v>
      </c>
    </row>
    <row r="6939" spans="1:8">
      <c r="A6939" t="s">
        <v>13826</v>
      </c>
      <c r="B6939" t="s">
        <v>13827</v>
      </c>
      <c r="C6939" t="s">
        <v>10</v>
      </c>
      <c r="D6939">
        <v>42</v>
      </c>
      <c r="E6939" t="s">
        <v>45</v>
      </c>
      <c r="F6939" t="s">
        <v>46</v>
      </c>
      <c r="G6939" t="s">
        <v>17</v>
      </c>
      <c r="H6939" s="1">
        <v>45037</v>
      </c>
    </row>
    <row r="6940" spans="1:8">
      <c r="A6940" t="s">
        <v>13828</v>
      </c>
      <c r="B6940" t="s">
        <v>13829</v>
      </c>
      <c r="C6940" t="s">
        <v>31</v>
      </c>
      <c r="D6940">
        <v>33</v>
      </c>
      <c r="E6940" t="s">
        <v>34</v>
      </c>
      <c r="F6940" t="s">
        <v>16</v>
      </c>
      <c r="G6940" t="s">
        <v>17</v>
      </c>
      <c r="H6940" s="1">
        <v>45482</v>
      </c>
    </row>
    <row r="6941" spans="1:8">
      <c r="A6941" t="s">
        <v>13830</v>
      </c>
      <c r="B6941" t="s">
        <v>13831</v>
      </c>
      <c r="C6941" t="s">
        <v>10</v>
      </c>
      <c r="D6941">
        <v>69</v>
      </c>
      <c r="E6941" t="s">
        <v>34</v>
      </c>
      <c r="F6941" t="s">
        <v>16</v>
      </c>
      <c r="G6941" t="s">
        <v>17</v>
      </c>
      <c r="H6941" s="1">
        <v>45463</v>
      </c>
    </row>
    <row r="6942" spans="1:8">
      <c r="A6942" t="s">
        <v>13832</v>
      </c>
      <c r="B6942" t="s">
        <v>13833</v>
      </c>
      <c r="C6942" t="s">
        <v>31</v>
      </c>
      <c r="D6942">
        <v>58</v>
      </c>
      <c r="E6942" t="s">
        <v>112</v>
      </c>
      <c r="F6942" t="s">
        <v>113</v>
      </c>
      <c r="G6942" t="s">
        <v>78</v>
      </c>
      <c r="H6942" s="1">
        <v>44700</v>
      </c>
    </row>
    <row r="6943" spans="1:8">
      <c r="A6943" t="s">
        <v>13834</v>
      </c>
      <c r="B6943" t="s">
        <v>13835</v>
      </c>
      <c r="C6943" t="s">
        <v>31</v>
      </c>
      <c r="D6943">
        <v>40</v>
      </c>
      <c r="E6943" t="s">
        <v>134</v>
      </c>
      <c r="F6943" t="s">
        <v>28</v>
      </c>
      <c r="G6943" t="s">
        <v>12</v>
      </c>
      <c r="H6943" s="1">
        <v>45172</v>
      </c>
    </row>
    <row r="6944" spans="1:8">
      <c r="A6944" t="s">
        <v>13836</v>
      </c>
      <c r="B6944" t="s">
        <v>13837</v>
      </c>
      <c r="C6944" t="s">
        <v>10</v>
      </c>
      <c r="D6944">
        <v>58</v>
      </c>
      <c r="E6944" t="s">
        <v>20</v>
      </c>
      <c r="F6944" t="s">
        <v>21</v>
      </c>
      <c r="G6944" t="s">
        <v>22</v>
      </c>
      <c r="H6944" s="1">
        <v>44777</v>
      </c>
    </row>
    <row r="6945" spans="1:8">
      <c r="A6945" t="s">
        <v>13838</v>
      </c>
      <c r="B6945" t="s">
        <v>13839</v>
      </c>
      <c r="C6945" t="s">
        <v>10</v>
      </c>
      <c r="D6945">
        <v>49</v>
      </c>
      <c r="E6945" t="s">
        <v>218</v>
      </c>
      <c r="F6945" t="s">
        <v>219</v>
      </c>
      <c r="G6945" t="s">
        <v>17</v>
      </c>
      <c r="H6945" s="1">
        <v>45992</v>
      </c>
    </row>
    <row r="6946" spans="1:8">
      <c r="A6946" t="s">
        <v>13840</v>
      </c>
      <c r="B6946" t="s">
        <v>13841</v>
      </c>
      <c r="C6946" t="s">
        <v>31</v>
      </c>
      <c r="D6946">
        <v>52</v>
      </c>
      <c r="E6946" t="s">
        <v>101</v>
      </c>
      <c r="F6946" t="s">
        <v>21</v>
      </c>
      <c r="G6946" t="s">
        <v>22</v>
      </c>
      <c r="H6946" s="1">
        <v>45703</v>
      </c>
    </row>
    <row r="6947" spans="1:8">
      <c r="A6947" t="s">
        <v>13842</v>
      </c>
      <c r="B6947" t="s">
        <v>13843</v>
      </c>
      <c r="C6947" t="s">
        <v>31</v>
      </c>
      <c r="D6947">
        <v>22</v>
      </c>
      <c r="E6947" t="s">
        <v>11</v>
      </c>
      <c r="F6947" t="s">
        <v>11</v>
      </c>
      <c r="G6947" t="s">
        <v>12</v>
      </c>
      <c r="H6947" s="1">
        <v>45371</v>
      </c>
    </row>
    <row r="6948" spans="1:8">
      <c r="A6948" t="s">
        <v>13844</v>
      </c>
      <c r="B6948" t="s">
        <v>13845</v>
      </c>
      <c r="C6948" t="s">
        <v>31</v>
      </c>
      <c r="D6948">
        <v>50</v>
      </c>
      <c r="E6948" t="s">
        <v>37</v>
      </c>
      <c r="F6948" t="s">
        <v>38</v>
      </c>
      <c r="G6948" t="s">
        <v>22</v>
      </c>
      <c r="H6948" s="1">
        <v>45272</v>
      </c>
    </row>
    <row r="6949" spans="1:8">
      <c r="A6949" t="s">
        <v>13846</v>
      </c>
      <c r="B6949" t="s">
        <v>13847</v>
      </c>
      <c r="C6949" t="s">
        <v>31</v>
      </c>
      <c r="D6949">
        <v>38</v>
      </c>
      <c r="E6949" t="s">
        <v>101</v>
      </c>
      <c r="F6949" t="s">
        <v>21</v>
      </c>
      <c r="G6949" t="s">
        <v>22</v>
      </c>
      <c r="H6949" s="1">
        <v>45286</v>
      </c>
    </row>
    <row r="6950" spans="1:8">
      <c r="A6950" t="s">
        <v>13848</v>
      </c>
      <c r="B6950" t="s">
        <v>13849</v>
      </c>
      <c r="C6950" t="s">
        <v>10</v>
      </c>
      <c r="D6950">
        <v>28</v>
      </c>
      <c r="E6950" t="s">
        <v>134</v>
      </c>
      <c r="F6950" t="s">
        <v>28</v>
      </c>
      <c r="G6950" t="s">
        <v>12</v>
      </c>
      <c r="H6950" s="1">
        <v>44725</v>
      </c>
    </row>
    <row r="6951" spans="1:8">
      <c r="A6951" t="s">
        <v>13850</v>
      </c>
      <c r="B6951" t="s">
        <v>13851</v>
      </c>
      <c r="C6951" t="s">
        <v>10</v>
      </c>
      <c r="D6951">
        <v>39</v>
      </c>
      <c r="E6951" t="s">
        <v>27</v>
      </c>
      <c r="F6951" t="s">
        <v>28</v>
      </c>
      <c r="G6951" t="s">
        <v>12</v>
      </c>
      <c r="H6951" s="1">
        <v>45955</v>
      </c>
    </row>
    <row r="6952" spans="1:8">
      <c r="A6952" t="s">
        <v>13852</v>
      </c>
      <c r="B6952" t="s">
        <v>13853</v>
      </c>
      <c r="C6952" t="s">
        <v>31</v>
      </c>
      <c r="D6952">
        <v>45</v>
      </c>
      <c r="E6952" t="s">
        <v>34</v>
      </c>
      <c r="F6952" t="s">
        <v>16</v>
      </c>
      <c r="G6952" t="s">
        <v>17</v>
      </c>
      <c r="H6952" s="1">
        <v>45919</v>
      </c>
    </row>
    <row r="6953" spans="1:8">
      <c r="A6953" t="s">
        <v>13854</v>
      </c>
      <c r="B6953" t="s">
        <v>13855</v>
      </c>
      <c r="C6953" t="s">
        <v>31</v>
      </c>
      <c r="D6953">
        <v>42</v>
      </c>
      <c r="E6953" t="s">
        <v>134</v>
      </c>
      <c r="F6953" t="s">
        <v>28</v>
      </c>
      <c r="G6953" t="s">
        <v>12</v>
      </c>
      <c r="H6953" s="1">
        <v>45818</v>
      </c>
    </row>
    <row r="6954" spans="1:8">
      <c r="A6954" t="s">
        <v>13856</v>
      </c>
      <c r="B6954" t="s">
        <v>13857</v>
      </c>
      <c r="C6954" t="s">
        <v>31</v>
      </c>
      <c r="D6954">
        <v>29</v>
      </c>
      <c r="E6954" t="s">
        <v>27</v>
      </c>
      <c r="F6954" t="s">
        <v>28</v>
      </c>
      <c r="G6954" t="s">
        <v>12</v>
      </c>
      <c r="H6954" s="1">
        <v>45639</v>
      </c>
    </row>
    <row r="6955" spans="1:8">
      <c r="A6955" t="s">
        <v>13858</v>
      </c>
      <c r="B6955" t="s">
        <v>13859</v>
      </c>
      <c r="C6955" t="s">
        <v>31</v>
      </c>
      <c r="D6955">
        <v>46</v>
      </c>
      <c r="E6955" t="s">
        <v>101</v>
      </c>
      <c r="F6955" t="s">
        <v>21</v>
      </c>
      <c r="G6955" t="s">
        <v>22</v>
      </c>
      <c r="H6955" s="1">
        <v>45980</v>
      </c>
    </row>
    <row r="6956" spans="1:8">
      <c r="A6956" t="s">
        <v>13860</v>
      </c>
      <c r="B6956" t="s">
        <v>13861</v>
      </c>
      <c r="C6956" t="s">
        <v>10</v>
      </c>
      <c r="D6956">
        <v>33</v>
      </c>
      <c r="E6956" t="s">
        <v>91</v>
      </c>
      <c r="F6956" t="s">
        <v>92</v>
      </c>
      <c r="G6956" t="s">
        <v>78</v>
      </c>
      <c r="H6956" s="1">
        <v>44877</v>
      </c>
    </row>
    <row r="6957" spans="1:8">
      <c r="A6957" t="s">
        <v>13862</v>
      </c>
      <c r="B6957" t="s">
        <v>13863</v>
      </c>
      <c r="C6957" t="s">
        <v>10</v>
      </c>
      <c r="D6957">
        <v>70</v>
      </c>
      <c r="E6957" t="s">
        <v>49</v>
      </c>
      <c r="F6957" t="s">
        <v>16</v>
      </c>
      <c r="G6957" t="s">
        <v>17</v>
      </c>
      <c r="H6957" s="1">
        <v>45943</v>
      </c>
    </row>
    <row r="6958" spans="1:8">
      <c r="A6958" t="s">
        <v>13864</v>
      </c>
      <c r="B6958" t="s">
        <v>13865</v>
      </c>
      <c r="C6958" t="s">
        <v>10</v>
      </c>
      <c r="D6958">
        <v>68</v>
      </c>
      <c r="E6958" t="s">
        <v>27</v>
      </c>
      <c r="F6958" t="s">
        <v>28</v>
      </c>
      <c r="G6958" t="s">
        <v>12</v>
      </c>
      <c r="H6958" s="1">
        <v>45504</v>
      </c>
    </row>
    <row r="6959" spans="1:8">
      <c r="A6959" t="s">
        <v>13866</v>
      </c>
      <c r="B6959" t="s">
        <v>9266</v>
      </c>
      <c r="C6959" t="s">
        <v>10</v>
      </c>
      <c r="D6959">
        <v>19</v>
      </c>
      <c r="E6959" t="s">
        <v>63</v>
      </c>
      <c r="F6959" t="s">
        <v>64</v>
      </c>
      <c r="G6959" t="s">
        <v>12</v>
      </c>
      <c r="H6959" s="1">
        <v>44991</v>
      </c>
    </row>
    <row r="6960" spans="1:8">
      <c r="A6960" t="s">
        <v>13867</v>
      </c>
      <c r="B6960" t="s">
        <v>13868</v>
      </c>
      <c r="C6960" t="s">
        <v>31</v>
      </c>
      <c r="D6960">
        <v>36</v>
      </c>
      <c r="E6960" t="s">
        <v>41</v>
      </c>
      <c r="F6960" t="s">
        <v>42</v>
      </c>
      <c r="G6960" t="s">
        <v>17</v>
      </c>
      <c r="H6960" s="1">
        <v>45343</v>
      </c>
    </row>
    <row r="6961" spans="1:8">
      <c r="A6961" t="s">
        <v>13869</v>
      </c>
      <c r="B6961" t="s">
        <v>13870</v>
      </c>
      <c r="C6961" t="s">
        <v>31</v>
      </c>
      <c r="D6961">
        <v>26</v>
      </c>
      <c r="E6961" t="s">
        <v>41</v>
      </c>
      <c r="F6961" t="s">
        <v>42</v>
      </c>
      <c r="G6961" t="s">
        <v>17</v>
      </c>
      <c r="H6961" s="1">
        <v>45546</v>
      </c>
    </row>
    <row r="6962" spans="1:8">
      <c r="A6962" t="s">
        <v>13871</v>
      </c>
      <c r="B6962" t="s">
        <v>13872</v>
      </c>
      <c r="C6962" t="s">
        <v>31</v>
      </c>
      <c r="D6962">
        <v>29</v>
      </c>
      <c r="E6962" t="s">
        <v>60</v>
      </c>
      <c r="F6962" t="s">
        <v>21</v>
      </c>
      <c r="G6962" t="s">
        <v>22</v>
      </c>
      <c r="H6962" s="1">
        <v>46000</v>
      </c>
    </row>
    <row r="6963" spans="1:8">
      <c r="A6963" t="s">
        <v>13873</v>
      </c>
      <c r="B6963" t="s">
        <v>13874</v>
      </c>
      <c r="C6963" t="s">
        <v>31</v>
      </c>
      <c r="D6963">
        <v>19</v>
      </c>
      <c r="E6963" t="s">
        <v>60</v>
      </c>
      <c r="F6963" t="s">
        <v>21</v>
      </c>
      <c r="G6963" t="s">
        <v>22</v>
      </c>
      <c r="H6963" s="1">
        <v>45509</v>
      </c>
    </row>
    <row r="6964" spans="1:8">
      <c r="A6964" t="s">
        <v>13875</v>
      </c>
      <c r="B6964" t="s">
        <v>13876</v>
      </c>
      <c r="C6964" t="s">
        <v>31</v>
      </c>
      <c r="D6964">
        <v>46</v>
      </c>
      <c r="E6964" t="s">
        <v>63</v>
      </c>
      <c r="F6964" t="s">
        <v>64</v>
      </c>
      <c r="G6964" t="s">
        <v>12</v>
      </c>
      <c r="H6964" s="1">
        <v>44574</v>
      </c>
    </row>
    <row r="6965" spans="1:8">
      <c r="A6965" t="s">
        <v>13877</v>
      </c>
      <c r="B6965" t="s">
        <v>13878</v>
      </c>
      <c r="C6965" t="s">
        <v>10</v>
      </c>
      <c r="D6965">
        <v>65</v>
      </c>
      <c r="E6965" t="s">
        <v>37</v>
      </c>
      <c r="F6965" t="s">
        <v>38</v>
      </c>
      <c r="G6965" t="s">
        <v>22</v>
      </c>
      <c r="H6965" s="1">
        <v>45458</v>
      </c>
    </row>
    <row r="6966" spans="1:8">
      <c r="A6966" t="s">
        <v>13879</v>
      </c>
      <c r="B6966" t="s">
        <v>13880</v>
      </c>
      <c r="C6966" t="s">
        <v>10</v>
      </c>
      <c r="D6966">
        <v>70</v>
      </c>
      <c r="E6966" t="s">
        <v>34</v>
      </c>
      <c r="F6966" t="s">
        <v>16</v>
      </c>
      <c r="G6966" t="s">
        <v>17</v>
      </c>
      <c r="H6966" s="1">
        <v>45925</v>
      </c>
    </row>
    <row r="6967" spans="1:8">
      <c r="A6967" t="s">
        <v>13881</v>
      </c>
      <c r="B6967" t="s">
        <v>13882</v>
      </c>
      <c r="C6967" t="s">
        <v>31</v>
      </c>
      <c r="D6967">
        <v>48</v>
      </c>
      <c r="E6967" t="s">
        <v>45</v>
      </c>
      <c r="F6967" t="s">
        <v>46</v>
      </c>
      <c r="G6967" t="s">
        <v>17</v>
      </c>
      <c r="H6967" s="1">
        <v>45865</v>
      </c>
    </row>
    <row r="6968" spans="1:8">
      <c r="A6968" t="s">
        <v>13883</v>
      </c>
      <c r="B6968" t="s">
        <v>13884</v>
      </c>
      <c r="C6968" t="s">
        <v>10</v>
      </c>
      <c r="D6968">
        <v>59</v>
      </c>
      <c r="E6968" t="s">
        <v>41</v>
      </c>
      <c r="F6968" t="s">
        <v>42</v>
      </c>
      <c r="G6968" t="s">
        <v>17</v>
      </c>
      <c r="H6968" s="1">
        <v>44917</v>
      </c>
    </row>
    <row r="6969" spans="1:8">
      <c r="A6969" t="s">
        <v>13885</v>
      </c>
      <c r="B6969" t="s">
        <v>13886</v>
      </c>
      <c r="C6969" t="s">
        <v>10</v>
      </c>
      <c r="D6969">
        <v>21</v>
      </c>
      <c r="E6969" t="s">
        <v>41</v>
      </c>
      <c r="F6969" t="s">
        <v>42</v>
      </c>
      <c r="G6969" t="s">
        <v>17</v>
      </c>
      <c r="H6969" s="1">
        <v>45585</v>
      </c>
    </row>
    <row r="6970" spans="1:8">
      <c r="A6970" t="s">
        <v>13887</v>
      </c>
      <c r="B6970" t="s">
        <v>13888</v>
      </c>
      <c r="C6970" t="s">
        <v>31</v>
      </c>
      <c r="D6970">
        <v>63</v>
      </c>
      <c r="E6970" t="s">
        <v>34</v>
      </c>
      <c r="F6970" t="s">
        <v>16</v>
      </c>
      <c r="G6970" t="s">
        <v>17</v>
      </c>
      <c r="H6970" s="1">
        <v>45257</v>
      </c>
    </row>
    <row r="6971" spans="1:8">
      <c r="A6971" t="s">
        <v>13889</v>
      </c>
      <c r="B6971" t="s">
        <v>13890</v>
      </c>
      <c r="C6971" t="s">
        <v>10</v>
      </c>
      <c r="D6971">
        <v>67</v>
      </c>
      <c r="E6971" t="s">
        <v>63</v>
      </c>
      <c r="F6971" t="s">
        <v>64</v>
      </c>
      <c r="G6971" t="s">
        <v>12</v>
      </c>
      <c r="H6971" s="1">
        <v>44686</v>
      </c>
    </row>
    <row r="6972" spans="1:8">
      <c r="A6972" t="s">
        <v>13891</v>
      </c>
      <c r="B6972" t="s">
        <v>13892</v>
      </c>
      <c r="C6972" t="s">
        <v>31</v>
      </c>
      <c r="D6972">
        <v>70</v>
      </c>
      <c r="E6972" t="s">
        <v>101</v>
      </c>
      <c r="F6972" t="s">
        <v>21</v>
      </c>
      <c r="G6972" t="s">
        <v>22</v>
      </c>
      <c r="H6972" s="1">
        <v>44910</v>
      </c>
    </row>
    <row r="6973" spans="1:8">
      <c r="A6973" t="s">
        <v>13893</v>
      </c>
      <c r="B6973" t="s">
        <v>13894</v>
      </c>
      <c r="C6973" t="s">
        <v>31</v>
      </c>
      <c r="D6973">
        <v>63</v>
      </c>
      <c r="E6973" t="s">
        <v>112</v>
      </c>
      <c r="F6973" t="s">
        <v>113</v>
      </c>
      <c r="G6973" t="s">
        <v>78</v>
      </c>
      <c r="H6973" s="1">
        <v>44608</v>
      </c>
    </row>
    <row r="6974" spans="1:8">
      <c r="A6974" t="s">
        <v>13895</v>
      </c>
      <c r="B6974" t="s">
        <v>6966</v>
      </c>
      <c r="C6974" t="s">
        <v>10</v>
      </c>
      <c r="D6974">
        <v>39</v>
      </c>
      <c r="E6974" t="s">
        <v>45</v>
      </c>
      <c r="F6974" t="s">
        <v>46</v>
      </c>
      <c r="G6974" t="s">
        <v>17</v>
      </c>
      <c r="H6974" s="1">
        <v>44647</v>
      </c>
    </row>
    <row r="6975" spans="1:8">
      <c r="A6975" t="s">
        <v>13896</v>
      </c>
      <c r="B6975" t="s">
        <v>13897</v>
      </c>
      <c r="C6975" t="s">
        <v>10</v>
      </c>
      <c r="D6975">
        <v>55</v>
      </c>
      <c r="E6975" t="s">
        <v>37</v>
      </c>
      <c r="F6975" t="s">
        <v>38</v>
      </c>
      <c r="G6975" t="s">
        <v>22</v>
      </c>
      <c r="H6975" s="1">
        <v>45402</v>
      </c>
    </row>
    <row r="6976" spans="1:8">
      <c r="A6976" t="s">
        <v>13898</v>
      </c>
      <c r="B6976" t="s">
        <v>13899</v>
      </c>
      <c r="C6976" t="s">
        <v>10</v>
      </c>
      <c r="D6976">
        <v>36</v>
      </c>
      <c r="E6976" t="s">
        <v>69</v>
      </c>
      <c r="F6976" t="s">
        <v>69</v>
      </c>
      <c r="G6976" t="s">
        <v>12</v>
      </c>
      <c r="H6976" s="1">
        <v>45891</v>
      </c>
    </row>
    <row r="6977" spans="1:8">
      <c r="A6977" t="s">
        <v>13900</v>
      </c>
      <c r="B6977" t="s">
        <v>13901</v>
      </c>
      <c r="C6977" t="s">
        <v>10</v>
      </c>
      <c r="D6977">
        <v>41</v>
      </c>
      <c r="E6977" t="s">
        <v>41</v>
      </c>
      <c r="F6977" t="s">
        <v>42</v>
      </c>
      <c r="G6977" t="s">
        <v>17</v>
      </c>
      <c r="H6977" s="1">
        <v>45538</v>
      </c>
    </row>
    <row r="6978" spans="1:8">
      <c r="A6978" t="s">
        <v>13902</v>
      </c>
      <c r="B6978" t="s">
        <v>2146</v>
      </c>
      <c r="C6978" t="s">
        <v>31</v>
      </c>
      <c r="D6978">
        <v>43</v>
      </c>
      <c r="E6978" t="s">
        <v>69</v>
      </c>
      <c r="F6978" t="s">
        <v>69</v>
      </c>
      <c r="G6978" t="s">
        <v>12</v>
      </c>
      <c r="H6978" s="1">
        <v>45867</v>
      </c>
    </row>
    <row r="6979" spans="1:8">
      <c r="A6979" t="s">
        <v>13903</v>
      </c>
      <c r="B6979" t="s">
        <v>13904</v>
      </c>
      <c r="C6979" t="s">
        <v>31</v>
      </c>
      <c r="D6979">
        <v>68</v>
      </c>
      <c r="E6979" t="s">
        <v>112</v>
      </c>
      <c r="F6979" t="s">
        <v>113</v>
      </c>
      <c r="G6979" t="s">
        <v>78</v>
      </c>
      <c r="H6979" s="1">
        <v>45038</v>
      </c>
    </row>
    <row r="6980" spans="1:8">
      <c r="A6980" t="s">
        <v>13905</v>
      </c>
      <c r="B6980" t="s">
        <v>13906</v>
      </c>
      <c r="C6980" t="s">
        <v>10</v>
      </c>
      <c r="D6980">
        <v>37</v>
      </c>
      <c r="E6980" t="s">
        <v>91</v>
      </c>
      <c r="F6980" t="s">
        <v>92</v>
      </c>
      <c r="G6980" t="s">
        <v>78</v>
      </c>
      <c r="H6980" s="1">
        <v>45340</v>
      </c>
    </row>
    <row r="6981" spans="1:8">
      <c r="A6981" t="s">
        <v>13907</v>
      </c>
      <c r="B6981" t="s">
        <v>13908</v>
      </c>
      <c r="C6981" t="s">
        <v>31</v>
      </c>
      <c r="D6981">
        <v>65</v>
      </c>
      <c r="E6981" t="s">
        <v>91</v>
      </c>
      <c r="F6981" t="s">
        <v>92</v>
      </c>
      <c r="G6981" t="s">
        <v>78</v>
      </c>
      <c r="H6981" s="1">
        <v>45616</v>
      </c>
    </row>
    <row r="6982" spans="1:8">
      <c r="A6982" t="s">
        <v>13909</v>
      </c>
      <c r="B6982" t="s">
        <v>13910</v>
      </c>
      <c r="C6982" t="s">
        <v>10</v>
      </c>
      <c r="D6982">
        <v>29</v>
      </c>
      <c r="E6982" t="s">
        <v>69</v>
      </c>
      <c r="F6982" t="s">
        <v>69</v>
      </c>
      <c r="G6982" t="s">
        <v>12</v>
      </c>
      <c r="H6982" s="1">
        <v>45029</v>
      </c>
    </row>
    <row r="6983" spans="1:8">
      <c r="A6983" t="s">
        <v>13911</v>
      </c>
      <c r="B6983" t="s">
        <v>13912</v>
      </c>
      <c r="C6983" t="s">
        <v>10</v>
      </c>
      <c r="D6983">
        <v>36</v>
      </c>
      <c r="E6983" t="s">
        <v>27</v>
      </c>
      <c r="F6983" t="s">
        <v>28</v>
      </c>
      <c r="G6983" t="s">
        <v>12</v>
      </c>
      <c r="H6983" s="1">
        <v>44706</v>
      </c>
    </row>
    <row r="6984" spans="1:8">
      <c r="A6984" t="s">
        <v>13913</v>
      </c>
      <c r="B6984" t="s">
        <v>13914</v>
      </c>
      <c r="C6984" t="s">
        <v>31</v>
      </c>
      <c r="D6984">
        <v>62</v>
      </c>
      <c r="E6984" t="s">
        <v>37</v>
      </c>
      <c r="F6984" t="s">
        <v>38</v>
      </c>
      <c r="G6984" t="s">
        <v>22</v>
      </c>
      <c r="H6984" s="1">
        <v>45283</v>
      </c>
    </row>
    <row r="6985" spans="1:8">
      <c r="A6985" t="s">
        <v>13915</v>
      </c>
      <c r="B6985" t="s">
        <v>13916</v>
      </c>
      <c r="C6985" t="s">
        <v>31</v>
      </c>
      <c r="D6985">
        <v>28</v>
      </c>
      <c r="E6985" t="s">
        <v>20</v>
      </c>
      <c r="F6985" t="s">
        <v>21</v>
      </c>
      <c r="G6985" t="s">
        <v>22</v>
      </c>
      <c r="H6985" s="1">
        <v>45912</v>
      </c>
    </row>
    <row r="6986" spans="1:8">
      <c r="A6986" t="s">
        <v>13917</v>
      </c>
      <c r="B6986" t="s">
        <v>13918</v>
      </c>
      <c r="C6986" t="s">
        <v>31</v>
      </c>
      <c r="D6986">
        <v>55</v>
      </c>
      <c r="E6986" t="s">
        <v>49</v>
      </c>
      <c r="F6986" t="s">
        <v>219</v>
      </c>
      <c r="G6986" t="s">
        <v>17</v>
      </c>
      <c r="H6986" s="1">
        <v>45098</v>
      </c>
    </row>
    <row r="6987" spans="1:8">
      <c r="A6987" t="s">
        <v>13919</v>
      </c>
      <c r="B6987" t="s">
        <v>13920</v>
      </c>
      <c r="C6987" t="s">
        <v>31</v>
      </c>
      <c r="D6987">
        <v>35</v>
      </c>
      <c r="E6987" t="s">
        <v>91</v>
      </c>
      <c r="F6987" t="s">
        <v>92</v>
      </c>
      <c r="G6987" t="s">
        <v>78</v>
      </c>
      <c r="H6987" s="1">
        <v>44888</v>
      </c>
    </row>
    <row r="6988" spans="1:8">
      <c r="A6988" t="s">
        <v>13921</v>
      </c>
      <c r="B6988" t="s">
        <v>13922</v>
      </c>
      <c r="C6988" t="s">
        <v>31</v>
      </c>
      <c r="D6988">
        <v>31</v>
      </c>
      <c r="E6988" t="s">
        <v>41</v>
      </c>
      <c r="F6988" t="s">
        <v>42</v>
      </c>
      <c r="G6988" t="s">
        <v>17</v>
      </c>
      <c r="H6988" s="1">
        <v>44611</v>
      </c>
    </row>
    <row r="6989" spans="1:8">
      <c r="A6989" t="s">
        <v>13923</v>
      </c>
      <c r="B6989" t="s">
        <v>13924</v>
      </c>
      <c r="C6989" t="s">
        <v>10</v>
      </c>
      <c r="D6989">
        <v>33</v>
      </c>
      <c r="E6989" t="s">
        <v>34</v>
      </c>
      <c r="F6989" t="s">
        <v>16</v>
      </c>
      <c r="G6989" t="s">
        <v>17</v>
      </c>
      <c r="H6989" s="1">
        <v>44658</v>
      </c>
    </row>
    <row r="6990" spans="1:8">
      <c r="A6990" t="s">
        <v>13925</v>
      </c>
      <c r="B6990" t="s">
        <v>13926</v>
      </c>
      <c r="C6990" t="s">
        <v>10</v>
      </c>
      <c r="D6990">
        <v>33</v>
      </c>
      <c r="E6990" t="s">
        <v>20</v>
      </c>
      <c r="F6990" t="s">
        <v>21</v>
      </c>
      <c r="G6990" t="s">
        <v>22</v>
      </c>
      <c r="H6990" s="1">
        <v>45982</v>
      </c>
    </row>
    <row r="6991" spans="1:8">
      <c r="A6991" t="s">
        <v>13927</v>
      </c>
      <c r="B6991" t="s">
        <v>13928</v>
      </c>
      <c r="C6991" t="s">
        <v>10</v>
      </c>
      <c r="D6991">
        <v>66</v>
      </c>
      <c r="E6991" t="s">
        <v>27</v>
      </c>
      <c r="F6991" t="s">
        <v>28</v>
      </c>
      <c r="G6991" t="s">
        <v>12</v>
      </c>
      <c r="H6991" s="1">
        <v>45583</v>
      </c>
    </row>
    <row r="6992" spans="1:8">
      <c r="A6992" t="s">
        <v>13929</v>
      </c>
      <c r="B6992" t="s">
        <v>13930</v>
      </c>
      <c r="C6992" t="s">
        <v>10</v>
      </c>
      <c r="D6992">
        <v>40</v>
      </c>
      <c r="E6992" t="s">
        <v>60</v>
      </c>
      <c r="F6992" t="s">
        <v>21</v>
      </c>
      <c r="G6992" t="s">
        <v>22</v>
      </c>
      <c r="H6992" s="1">
        <v>45020</v>
      </c>
    </row>
    <row r="6993" spans="1:8">
      <c r="A6993" t="s">
        <v>13931</v>
      </c>
      <c r="B6993" t="s">
        <v>13932</v>
      </c>
      <c r="C6993" t="s">
        <v>31</v>
      </c>
      <c r="D6993">
        <v>53</v>
      </c>
      <c r="E6993" t="s">
        <v>60</v>
      </c>
      <c r="F6993" t="s">
        <v>21</v>
      </c>
      <c r="G6993" t="s">
        <v>22</v>
      </c>
      <c r="H6993" s="1">
        <v>44671</v>
      </c>
    </row>
    <row r="6994" spans="1:8">
      <c r="A6994" t="s">
        <v>13933</v>
      </c>
      <c r="B6994" t="s">
        <v>13934</v>
      </c>
      <c r="C6994" t="s">
        <v>10</v>
      </c>
      <c r="D6994">
        <v>25</v>
      </c>
      <c r="E6994" t="s">
        <v>11</v>
      </c>
      <c r="F6994" t="s">
        <v>11</v>
      </c>
      <c r="G6994" t="s">
        <v>12</v>
      </c>
      <c r="H6994" s="1">
        <v>44640</v>
      </c>
    </row>
    <row r="6995" spans="1:8">
      <c r="A6995" t="s">
        <v>13935</v>
      </c>
      <c r="B6995" t="s">
        <v>13936</v>
      </c>
      <c r="C6995" t="s">
        <v>31</v>
      </c>
      <c r="D6995">
        <v>35</v>
      </c>
      <c r="E6995" t="s">
        <v>101</v>
      </c>
      <c r="F6995" t="s">
        <v>21</v>
      </c>
      <c r="G6995" t="s">
        <v>22</v>
      </c>
      <c r="H6995" s="1">
        <v>44985</v>
      </c>
    </row>
    <row r="6996" spans="1:8">
      <c r="A6996" t="s">
        <v>13937</v>
      </c>
      <c r="B6996" t="s">
        <v>13938</v>
      </c>
      <c r="C6996" t="s">
        <v>31</v>
      </c>
      <c r="D6996">
        <v>47</v>
      </c>
      <c r="E6996" t="s">
        <v>76</v>
      </c>
      <c r="F6996" t="s">
        <v>77</v>
      </c>
      <c r="G6996" t="s">
        <v>78</v>
      </c>
      <c r="H6996" s="1">
        <v>45229</v>
      </c>
    </row>
    <row r="6997" spans="1:8">
      <c r="A6997" t="s">
        <v>13939</v>
      </c>
      <c r="B6997" t="s">
        <v>13940</v>
      </c>
      <c r="C6997" t="s">
        <v>10</v>
      </c>
      <c r="D6997">
        <v>50</v>
      </c>
      <c r="E6997" t="s">
        <v>41</v>
      </c>
      <c r="F6997" t="s">
        <v>42</v>
      </c>
      <c r="G6997" t="s">
        <v>17</v>
      </c>
      <c r="H6997" s="1">
        <v>45567</v>
      </c>
    </row>
    <row r="6998" spans="1:8">
      <c r="A6998" t="s">
        <v>13941</v>
      </c>
      <c r="B6998" t="s">
        <v>13942</v>
      </c>
      <c r="C6998" t="s">
        <v>31</v>
      </c>
      <c r="D6998">
        <v>41</v>
      </c>
      <c r="E6998" t="s">
        <v>11</v>
      </c>
      <c r="F6998" t="s">
        <v>11</v>
      </c>
      <c r="G6998" t="s">
        <v>12</v>
      </c>
      <c r="H6998" s="1">
        <v>45214</v>
      </c>
    </row>
    <row r="6999" spans="1:8">
      <c r="A6999" t="s">
        <v>13943</v>
      </c>
      <c r="B6999" t="s">
        <v>13944</v>
      </c>
      <c r="C6999" t="s">
        <v>31</v>
      </c>
      <c r="D6999">
        <v>62</v>
      </c>
      <c r="E6999" t="s">
        <v>27</v>
      </c>
      <c r="F6999" t="s">
        <v>28</v>
      </c>
      <c r="G6999" t="s">
        <v>12</v>
      </c>
      <c r="H6999" s="1">
        <v>45315</v>
      </c>
    </row>
    <row r="7000" spans="1:8">
      <c r="A7000" t="s">
        <v>13945</v>
      </c>
      <c r="B7000" t="s">
        <v>13946</v>
      </c>
      <c r="C7000" t="s">
        <v>31</v>
      </c>
      <c r="D7000">
        <v>39</v>
      </c>
      <c r="E7000" t="s">
        <v>91</v>
      </c>
      <c r="F7000" t="s">
        <v>92</v>
      </c>
      <c r="G7000" t="s">
        <v>78</v>
      </c>
      <c r="H7000" s="1">
        <v>45285</v>
      </c>
    </row>
    <row r="7001" spans="1:8">
      <c r="A7001" t="s">
        <v>13947</v>
      </c>
      <c r="B7001" t="s">
        <v>13948</v>
      </c>
      <c r="C7001" t="s">
        <v>31</v>
      </c>
      <c r="D7001">
        <v>41</v>
      </c>
      <c r="E7001" t="s">
        <v>60</v>
      </c>
      <c r="F7001" t="s">
        <v>21</v>
      </c>
      <c r="G7001" t="s">
        <v>22</v>
      </c>
      <c r="H7001" s="1">
        <v>45729</v>
      </c>
    </row>
    <row r="7002" spans="1:8">
      <c r="A7002" t="s">
        <v>13949</v>
      </c>
      <c r="B7002" t="s">
        <v>13950</v>
      </c>
      <c r="C7002" t="s">
        <v>10</v>
      </c>
      <c r="D7002">
        <v>62</v>
      </c>
      <c r="E7002" t="s">
        <v>45</v>
      </c>
      <c r="F7002" t="s">
        <v>46</v>
      </c>
      <c r="G7002" t="s">
        <v>17</v>
      </c>
      <c r="H7002" s="1">
        <v>45225</v>
      </c>
    </row>
    <row r="7003" spans="1:8">
      <c r="A7003" t="s">
        <v>13951</v>
      </c>
      <c r="B7003" t="s">
        <v>13952</v>
      </c>
      <c r="C7003" t="s">
        <v>10</v>
      </c>
      <c r="D7003">
        <v>46</v>
      </c>
      <c r="E7003" t="s">
        <v>63</v>
      </c>
      <c r="F7003" t="s">
        <v>64</v>
      </c>
      <c r="G7003" t="s">
        <v>12</v>
      </c>
      <c r="H7003" s="1">
        <v>45715</v>
      </c>
    </row>
    <row r="7004" spans="1:8">
      <c r="A7004" t="s">
        <v>13953</v>
      </c>
      <c r="B7004" t="s">
        <v>13954</v>
      </c>
      <c r="C7004" t="s">
        <v>31</v>
      </c>
      <c r="D7004">
        <v>22</v>
      </c>
      <c r="E7004" t="s">
        <v>218</v>
      </c>
      <c r="F7004" t="s">
        <v>219</v>
      </c>
      <c r="G7004" t="s">
        <v>17</v>
      </c>
      <c r="H7004" s="1">
        <v>45308</v>
      </c>
    </row>
    <row r="7005" spans="1:8">
      <c r="A7005" t="s">
        <v>13955</v>
      </c>
      <c r="B7005" t="s">
        <v>13956</v>
      </c>
      <c r="C7005" t="s">
        <v>10</v>
      </c>
      <c r="D7005">
        <v>62</v>
      </c>
      <c r="E7005" t="s">
        <v>60</v>
      </c>
      <c r="F7005" t="s">
        <v>21</v>
      </c>
      <c r="G7005" t="s">
        <v>22</v>
      </c>
      <c r="H7005" s="1">
        <v>45268</v>
      </c>
    </row>
    <row r="7006" spans="1:8">
      <c r="A7006" t="s">
        <v>13957</v>
      </c>
      <c r="B7006" t="s">
        <v>13958</v>
      </c>
      <c r="C7006" t="s">
        <v>10</v>
      </c>
      <c r="D7006">
        <v>47</v>
      </c>
      <c r="E7006" t="s">
        <v>37</v>
      </c>
      <c r="F7006" t="s">
        <v>38</v>
      </c>
      <c r="G7006" t="s">
        <v>22</v>
      </c>
      <c r="H7006" s="1">
        <v>44855</v>
      </c>
    </row>
    <row r="7007" spans="1:8">
      <c r="A7007" t="s">
        <v>13959</v>
      </c>
      <c r="B7007" t="s">
        <v>13960</v>
      </c>
      <c r="C7007" t="s">
        <v>10</v>
      </c>
      <c r="D7007">
        <v>67</v>
      </c>
      <c r="E7007" t="s">
        <v>128</v>
      </c>
      <c r="F7007" t="s">
        <v>129</v>
      </c>
      <c r="G7007" t="s">
        <v>78</v>
      </c>
      <c r="H7007" s="1">
        <v>45883</v>
      </c>
    </row>
    <row r="7008" spans="1:8">
      <c r="A7008" t="s">
        <v>13961</v>
      </c>
      <c r="B7008" t="s">
        <v>13962</v>
      </c>
      <c r="C7008" t="s">
        <v>31</v>
      </c>
      <c r="D7008">
        <v>24</v>
      </c>
      <c r="E7008" t="s">
        <v>69</v>
      </c>
      <c r="F7008" t="s">
        <v>69</v>
      </c>
      <c r="G7008" t="s">
        <v>12</v>
      </c>
      <c r="H7008" s="1">
        <v>45893</v>
      </c>
    </row>
    <row r="7009" spans="1:8">
      <c r="A7009" t="s">
        <v>13963</v>
      </c>
      <c r="B7009" t="s">
        <v>13964</v>
      </c>
      <c r="C7009" t="s">
        <v>10</v>
      </c>
      <c r="D7009">
        <v>23</v>
      </c>
      <c r="E7009" t="s">
        <v>128</v>
      </c>
      <c r="F7009" t="s">
        <v>129</v>
      </c>
      <c r="G7009" t="s">
        <v>78</v>
      </c>
      <c r="H7009" s="1">
        <v>45850</v>
      </c>
    </row>
    <row r="7010" spans="1:8">
      <c r="A7010" t="s">
        <v>13965</v>
      </c>
      <c r="B7010" t="s">
        <v>13966</v>
      </c>
      <c r="C7010" t="s">
        <v>31</v>
      </c>
      <c r="D7010">
        <v>63</v>
      </c>
      <c r="E7010" t="s">
        <v>45</v>
      </c>
      <c r="F7010" t="s">
        <v>46</v>
      </c>
      <c r="G7010" t="s">
        <v>17</v>
      </c>
      <c r="H7010" s="1">
        <v>45568</v>
      </c>
    </row>
    <row r="7011" spans="1:8">
      <c r="A7011" t="s">
        <v>13967</v>
      </c>
      <c r="B7011" t="s">
        <v>13968</v>
      </c>
      <c r="C7011" t="s">
        <v>10</v>
      </c>
      <c r="D7011">
        <v>20</v>
      </c>
      <c r="E7011" t="s">
        <v>34</v>
      </c>
      <c r="F7011" t="s">
        <v>16</v>
      </c>
      <c r="G7011" t="s">
        <v>17</v>
      </c>
      <c r="H7011" s="1">
        <v>44684</v>
      </c>
    </row>
    <row r="7012" spans="1:8">
      <c r="A7012" t="s">
        <v>13969</v>
      </c>
      <c r="B7012" t="s">
        <v>13970</v>
      </c>
      <c r="C7012" t="s">
        <v>31</v>
      </c>
      <c r="D7012">
        <v>66</v>
      </c>
      <c r="E7012" t="s">
        <v>63</v>
      </c>
      <c r="F7012" t="s">
        <v>64</v>
      </c>
      <c r="G7012" t="s">
        <v>12</v>
      </c>
      <c r="H7012" s="1">
        <v>45531</v>
      </c>
    </row>
    <row r="7013" spans="1:8">
      <c r="A7013" t="s">
        <v>13971</v>
      </c>
      <c r="B7013" t="s">
        <v>13972</v>
      </c>
      <c r="C7013" t="s">
        <v>10</v>
      </c>
      <c r="D7013">
        <v>19</v>
      </c>
      <c r="E7013" t="s">
        <v>134</v>
      </c>
      <c r="F7013" t="s">
        <v>28</v>
      </c>
      <c r="G7013" t="s">
        <v>12</v>
      </c>
      <c r="H7013" s="1">
        <v>45510</v>
      </c>
    </row>
    <row r="7014" spans="1:8">
      <c r="A7014" t="s">
        <v>13973</v>
      </c>
      <c r="B7014" t="s">
        <v>13974</v>
      </c>
      <c r="C7014" t="s">
        <v>31</v>
      </c>
      <c r="D7014">
        <v>21</v>
      </c>
      <c r="E7014" t="s">
        <v>60</v>
      </c>
      <c r="F7014" t="s">
        <v>21</v>
      </c>
      <c r="G7014" t="s">
        <v>22</v>
      </c>
      <c r="H7014" s="1">
        <v>44851</v>
      </c>
    </row>
    <row r="7015" spans="1:8">
      <c r="A7015" t="s">
        <v>13975</v>
      </c>
      <c r="B7015" t="s">
        <v>13976</v>
      </c>
      <c r="C7015" t="s">
        <v>10</v>
      </c>
      <c r="D7015">
        <v>29</v>
      </c>
      <c r="E7015" t="s">
        <v>45</v>
      </c>
      <c r="F7015" t="s">
        <v>46</v>
      </c>
      <c r="G7015" t="s">
        <v>17</v>
      </c>
      <c r="H7015" s="1">
        <v>45961</v>
      </c>
    </row>
    <row r="7016" spans="1:8">
      <c r="A7016" t="s">
        <v>13977</v>
      </c>
      <c r="B7016" t="s">
        <v>13978</v>
      </c>
      <c r="C7016" t="s">
        <v>31</v>
      </c>
      <c r="D7016">
        <v>36</v>
      </c>
      <c r="E7016" t="s">
        <v>11</v>
      </c>
      <c r="F7016" t="s">
        <v>11</v>
      </c>
      <c r="G7016" t="s">
        <v>12</v>
      </c>
      <c r="H7016" s="1">
        <v>44907</v>
      </c>
    </row>
    <row r="7017" spans="1:8">
      <c r="A7017" t="s">
        <v>13979</v>
      </c>
      <c r="B7017" t="s">
        <v>13980</v>
      </c>
      <c r="C7017" t="s">
        <v>10</v>
      </c>
      <c r="D7017">
        <v>67</v>
      </c>
      <c r="E7017" t="s">
        <v>34</v>
      </c>
      <c r="F7017" t="s">
        <v>16</v>
      </c>
      <c r="G7017" t="s">
        <v>17</v>
      </c>
      <c r="H7017" s="1">
        <v>45755</v>
      </c>
    </row>
    <row r="7018" spans="1:8">
      <c r="A7018" t="s">
        <v>13981</v>
      </c>
      <c r="B7018" t="s">
        <v>13982</v>
      </c>
      <c r="C7018" t="s">
        <v>10</v>
      </c>
      <c r="D7018">
        <v>54</v>
      </c>
      <c r="E7018" t="s">
        <v>37</v>
      </c>
      <c r="F7018" t="s">
        <v>38</v>
      </c>
      <c r="G7018" t="s">
        <v>22</v>
      </c>
      <c r="H7018" s="1">
        <v>45880</v>
      </c>
    </row>
    <row r="7019" spans="1:8">
      <c r="A7019" t="s">
        <v>13983</v>
      </c>
      <c r="B7019" t="s">
        <v>13984</v>
      </c>
      <c r="C7019" t="s">
        <v>10</v>
      </c>
      <c r="D7019">
        <v>41</v>
      </c>
      <c r="E7019" t="s">
        <v>34</v>
      </c>
      <c r="F7019" t="s">
        <v>16</v>
      </c>
      <c r="G7019" t="s">
        <v>17</v>
      </c>
      <c r="H7019" s="1">
        <v>44743</v>
      </c>
    </row>
    <row r="7020" spans="1:8">
      <c r="A7020" t="s">
        <v>13985</v>
      </c>
      <c r="B7020" t="s">
        <v>13986</v>
      </c>
      <c r="C7020" t="s">
        <v>31</v>
      </c>
      <c r="D7020">
        <v>54</v>
      </c>
      <c r="E7020" t="s">
        <v>63</v>
      </c>
      <c r="F7020" t="s">
        <v>64</v>
      </c>
      <c r="G7020" t="s">
        <v>12</v>
      </c>
      <c r="H7020" s="1">
        <v>45286</v>
      </c>
    </row>
    <row r="7021" spans="1:8">
      <c r="A7021" t="s">
        <v>13987</v>
      </c>
      <c r="B7021" t="s">
        <v>13988</v>
      </c>
      <c r="C7021" t="s">
        <v>10</v>
      </c>
      <c r="D7021">
        <v>36</v>
      </c>
      <c r="E7021" t="s">
        <v>60</v>
      </c>
      <c r="F7021" t="s">
        <v>21</v>
      </c>
      <c r="G7021" t="s">
        <v>22</v>
      </c>
      <c r="H7021" s="1">
        <v>44687</v>
      </c>
    </row>
    <row r="7022" spans="1:8">
      <c r="A7022" t="s">
        <v>13989</v>
      </c>
      <c r="B7022" t="s">
        <v>13990</v>
      </c>
      <c r="C7022" t="s">
        <v>31</v>
      </c>
      <c r="D7022">
        <v>23</v>
      </c>
      <c r="E7022" t="s">
        <v>112</v>
      </c>
      <c r="F7022" t="s">
        <v>113</v>
      </c>
      <c r="G7022" t="s">
        <v>78</v>
      </c>
      <c r="H7022" s="1">
        <v>45806</v>
      </c>
    </row>
    <row r="7023" spans="1:8">
      <c r="A7023" t="s">
        <v>13991</v>
      </c>
      <c r="B7023" t="s">
        <v>2170</v>
      </c>
      <c r="C7023" t="s">
        <v>31</v>
      </c>
      <c r="D7023">
        <v>37</v>
      </c>
      <c r="E7023" t="s">
        <v>34</v>
      </c>
      <c r="F7023" t="s">
        <v>16</v>
      </c>
      <c r="G7023" t="s">
        <v>17</v>
      </c>
      <c r="H7023" s="1">
        <v>44877</v>
      </c>
    </row>
    <row r="7024" spans="1:8">
      <c r="A7024" t="s">
        <v>13992</v>
      </c>
      <c r="B7024" t="s">
        <v>13993</v>
      </c>
      <c r="C7024" t="s">
        <v>10</v>
      </c>
      <c r="D7024">
        <v>68</v>
      </c>
      <c r="E7024" t="s">
        <v>20</v>
      </c>
      <c r="F7024" t="s">
        <v>21</v>
      </c>
      <c r="G7024" t="s">
        <v>22</v>
      </c>
      <c r="H7024" s="1">
        <v>45695</v>
      </c>
    </row>
    <row r="7025" spans="1:8">
      <c r="A7025" t="s">
        <v>13994</v>
      </c>
      <c r="B7025" t="s">
        <v>13995</v>
      </c>
      <c r="C7025" t="s">
        <v>31</v>
      </c>
      <c r="D7025">
        <v>69</v>
      </c>
      <c r="E7025" t="s">
        <v>45</v>
      </c>
      <c r="F7025" t="s">
        <v>46</v>
      </c>
      <c r="G7025" t="s">
        <v>17</v>
      </c>
      <c r="H7025" s="1">
        <v>45039</v>
      </c>
    </row>
    <row r="7026" spans="1:8">
      <c r="A7026" t="s">
        <v>13996</v>
      </c>
      <c r="B7026" t="s">
        <v>13997</v>
      </c>
      <c r="C7026" t="s">
        <v>10</v>
      </c>
      <c r="D7026">
        <v>30</v>
      </c>
      <c r="E7026" t="s">
        <v>37</v>
      </c>
      <c r="F7026" t="s">
        <v>38</v>
      </c>
      <c r="G7026" t="s">
        <v>22</v>
      </c>
      <c r="H7026" s="1">
        <v>45530</v>
      </c>
    </row>
    <row r="7027" spans="1:8">
      <c r="A7027" t="s">
        <v>13998</v>
      </c>
      <c r="B7027" t="s">
        <v>13999</v>
      </c>
      <c r="C7027" t="s">
        <v>10</v>
      </c>
      <c r="D7027">
        <v>47</v>
      </c>
      <c r="E7027" t="s">
        <v>218</v>
      </c>
      <c r="F7027" t="s">
        <v>219</v>
      </c>
      <c r="G7027" t="s">
        <v>17</v>
      </c>
      <c r="H7027" s="1">
        <v>45447</v>
      </c>
    </row>
    <row r="7028" spans="1:8">
      <c r="A7028" t="s">
        <v>14000</v>
      </c>
      <c r="B7028" t="s">
        <v>14001</v>
      </c>
      <c r="C7028" t="s">
        <v>10</v>
      </c>
      <c r="D7028">
        <v>49</v>
      </c>
      <c r="E7028" t="s">
        <v>149</v>
      </c>
      <c r="F7028" t="s">
        <v>38</v>
      </c>
      <c r="G7028" t="s">
        <v>22</v>
      </c>
      <c r="H7028" s="1">
        <v>44740</v>
      </c>
    </row>
    <row r="7029" spans="1:8">
      <c r="A7029" t="s">
        <v>14002</v>
      </c>
      <c r="B7029" t="s">
        <v>14003</v>
      </c>
      <c r="C7029" t="s">
        <v>10</v>
      </c>
      <c r="D7029">
        <v>27</v>
      </c>
      <c r="E7029" t="s">
        <v>34</v>
      </c>
      <c r="F7029" t="s">
        <v>16</v>
      </c>
      <c r="G7029" t="s">
        <v>17</v>
      </c>
      <c r="H7029" s="1">
        <v>44799</v>
      </c>
    </row>
    <row r="7030" spans="1:8">
      <c r="A7030" t="s">
        <v>14004</v>
      </c>
      <c r="B7030" t="s">
        <v>14005</v>
      </c>
      <c r="C7030" t="s">
        <v>10</v>
      </c>
      <c r="D7030">
        <v>62</v>
      </c>
      <c r="E7030" t="s">
        <v>34</v>
      </c>
      <c r="F7030" t="s">
        <v>16</v>
      </c>
      <c r="G7030" t="s">
        <v>17</v>
      </c>
      <c r="H7030" s="1">
        <v>45830</v>
      </c>
    </row>
    <row r="7031" spans="1:8">
      <c r="A7031" t="s">
        <v>14006</v>
      </c>
      <c r="B7031" t="s">
        <v>14007</v>
      </c>
      <c r="C7031" t="s">
        <v>10</v>
      </c>
      <c r="D7031">
        <v>20</v>
      </c>
      <c r="E7031" t="s">
        <v>27</v>
      </c>
      <c r="F7031" t="s">
        <v>28</v>
      </c>
      <c r="G7031" t="s">
        <v>12</v>
      </c>
      <c r="H7031" s="1">
        <v>44733</v>
      </c>
    </row>
    <row r="7032" spans="1:8">
      <c r="A7032" t="s">
        <v>14008</v>
      </c>
      <c r="B7032" t="s">
        <v>14009</v>
      </c>
      <c r="C7032" t="s">
        <v>10</v>
      </c>
      <c r="D7032">
        <v>28</v>
      </c>
      <c r="E7032" t="s">
        <v>218</v>
      </c>
      <c r="F7032" t="s">
        <v>219</v>
      </c>
      <c r="G7032" t="s">
        <v>17</v>
      </c>
      <c r="H7032" s="1">
        <v>45187</v>
      </c>
    </row>
    <row r="7033" spans="1:8">
      <c r="A7033" t="s">
        <v>14010</v>
      </c>
      <c r="B7033" t="s">
        <v>14011</v>
      </c>
      <c r="C7033" t="s">
        <v>10</v>
      </c>
      <c r="D7033">
        <v>55</v>
      </c>
      <c r="E7033" t="s">
        <v>27</v>
      </c>
      <c r="F7033" t="s">
        <v>28</v>
      </c>
      <c r="G7033" t="s">
        <v>12</v>
      </c>
      <c r="H7033" s="1">
        <v>44665</v>
      </c>
    </row>
    <row r="7034" spans="1:8">
      <c r="A7034" t="s">
        <v>14012</v>
      </c>
      <c r="B7034" t="s">
        <v>14013</v>
      </c>
      <c r="C7034" t="s">
        <v>31</v>
      </c>
      <c r="D7034">
        <v>28</v>
      </c>
      <c r="E7034" t="s">
        <v>149</v>
      </c>
      <c r="F7034" t="s">
        <v>38</v>
      </c>
      <c r="G7034" t="s">
        <v>22</v>
      </c>
      <c r="H7034" s="1">
        <v>45180</v>
      </c>
    </row>
    <row r="7035" spans="1:8">
      <c r="A7035" t="s">
        <v>14014</v>
      </c>
      <c r="B7035" t="s">
        <v>14015</v>
      </c>
      <c r="C7035" t="s">
        <v>10</v>
      </c>
      <c r="D7035">
        <v>50</v>
      </c>
      <c r="E7035" t="s">
        <v>218</v>
      </c>
      <c r="F7035" t="s">
        <v>219</v>
      </c>
      <c r="G7035" t="s">
        <v>17</v>
      </c>
      <c r="H7035" s="1">
        <v>44782</v>
      </c>
    </row>
    <row r="7036" spans="1:8">
      <c r="A7036" t="s">
        <v>14016</v>
      </c>
      <c r="B7036" t="s">
        <v>14017</v>
      </c>
      <c r="C7036" t="s">
        <v>31</v>
      </c>
      <c r="D7036">
        <v>43</v>
      </c>
      <c r="E7036" t="s">
        <v>34</v>
      </c>
      <c r="F7036" t="s">
        <v>16</v>
      </c>
      <c r="G7036" t="s">
        <v>17</v>
      </c>
      <c r="H7036" s="1">
        <v>44955</v>
      </c>
    </row>
    <row r="7037" spans="1:8">
      <c r="A7037" t="s">
        <v>14018</v>
      </c>
      <c r="B7037" t="s">
        <v>14019</v>
      </c>
      <c r="C7037" t="s">
        <v>31</v>
      </c>
      <c r="D7037">
        <v>27</v>
      </c>
      <c r="E7037" t="s">
        <v>76</v>
      </c>
      <c r="F7037" t="s">
        <v>77</v>
      </c>
      <c r="G7037" t="s">
        <v>78</v>
      </c>
      <c r="H7037" s="1">
        <v>44754</v>
      </c>
    </row>
    <row r="7038" spans="1:8">
      <c r="A7038" t="s">
        <v>14020</v>
      </c>
      <c r="B7038" t="s">
        <v>14021</v>
      </c>
      <c r="C7038" t="s">
        <v>31</v>
      </c>
      <c r="D7038">
        <v>49</v>
      </c>
      <c r="E7038" t="s">
        <v>41</v>
      </c>
      <c r="F7038" t="s">
        <v>42</v>
      </c>
      <c r="G7038" t="s">
        <v>17</v>
      </c>
      <c r="H7038" s="1">
        <v>45844</v>
      </c>
    </row>
    <row r="7039" spans="1:8">
      <c r="A7039" t="s">
        <v>14022</v>
      </c>
      <c r="B7039" t="s">
        <v>14023</v>
      </c>
      <c r="C7039" t="s">
        <v>10</v>
      </c>
      <c r="D7039">
        <v>48</v>
      </c>
      <c r="E7039" t="s">
        <v>45</v>
      </c>
      <c r="F7039" t="s">
        <v>46</v>
      </c>
      <c r="G7039" t="s">
        <v>17</v>
      </c>
      <c r="H7039" s="1">
        <v>46019</v>
      </c>
    </row>
    <row r="7040" spans="1:8">
      <c r="A7040" t="s">
        <v>14024</v>
      </c>
      <c r="B7040" t="s">
        <v>14025</v>
      </c>
      <c r="C7040" t="s">
        <v>10</v>
      </c>
      <c r="D7040">
        <v>57</v>
      </c>
      <c r="E7040" t="s">
        <v>34</v>
      </c>
      <c r="F7040" t="s">
        <v>16</v>
      </c>
      <c r="G7040" t="s">
        <v>17</v>
      </c>
      <c r="H7040" s="1">
        <v>45976</v>
      </c>
    </row>
    <row r="7041" spans="1:8">
      <c r="A7041" t="s">
        <v>14026</v>
      </c>
      <c r="B7041" t="s">
        <v>14027</v>
      </c>
      <c r="C7041" t="s">
        <v>31</v>
      </c>
      <c r="D7041">
        <v>20</v>
      </c>
      <c r="E7041" t="s">
        <v>218</v>
      </c>
      <c r="F7041" t="s">
        <v>219</v>
      </c>
      <c r="G7041" t="s">
        <v>17</v>
      </c>
      <c r="H7041" s="1">
        <v>45543</v>
      </c>
    </row>
    <row r="7042" spans="1:8">
      <c r="A7042" t="s">
        <v>14028</v>
      </c>
      <c r="B7042" t="s">
        <v>14029</v>
      </c>
      <c r="C7042" t="s">
        <v>10</v>
      </c>
      <c r="D7042">
        <v>64</v>
      </c>
      <c r="E7042" t="s">
        <v>20</v>
      </c>
      <c r="F7042" t="s">
        <v>21</v>
      </c>
      <c r="G7042" t="s">
        <v>22</v>
      </c>
      <c r="H7042" s="1">
        <v>44791</v>
      </c>
    </row>
    <row r="7043" spans="1:8">
      <c r="A7043" t="s">
        <v>14030</v>
      </c>
      <c r="B7043" t="s">
        <v>6407</v>
      </c>
      <c r="C7043" t="s">
        <v>10</v>
      </c>
      <c r="D7043">
        <v>35</v>
      </c>
      <c r="E7043" t="s">
        <v>34</v>
      </c>
      <c r="F7043" t="s">
        <v>16</v>
      </c>
      <c r="G7043" t="s">
        <v>17</v>
      </c>
      <c r="H7043" s="1">
        <v>44608</v>
      </c>
    </row>
    <row r="7044" spans="1:8">
      <c r="A7044" t="s">
        <v>14031</v>
      </c>
      <c r="B7044" t="s">
        <v>14032</v>
      </c>
      <c r="C7044" t="s">
        <v>31</v>
      </c>
      <c r="D7044">
        <v>45</v>
      </c>
      <c r="E7044" t="s">
        <v>91</v>
      </c>
      <c r="F7044" t="s">
        <v>92</v>
      </c>
      <c r="G7044" t="s">
        <v>78</v>
      </c>
      <c r="H7044" s="1">
        <v>45775</v>
      </c>
    </row>
    <row r="7045" spans="1:8">
      <c r="A7045" t="s">
        <v>14033</v>
      </c>
      <c r="B7045" t="s">
        <v>14034</v>
      </c>
      <c r="C7045" t="s">
        <v>31</v>
      </c>
      <c r="D7045">
        <v>51</v>
      </c>
      <c r="E7045" t="s">
        <v>41</v>
      </c>
      <c r="F7045" t="s">
        <v>42</v>
      </c>
      <c r="G7045" t="s">
        <v>17</v>
      </c>
      <c r="H7045" s="1">
        <v>44718</v>
      </c>
    </row>
    <row r="7046" spans="1:8">
      <c r="A7046" t="s">
        <v>14035</v>
      </c>
      <c r="B7046" t="s">
        <v>14036</v>
      </c>
      <c r="C7046" t="s">
        <v>10</v>
      </c>
      <c r="D7046">
        <v>70</v>
      </c>
      <c r="E7046" t="s">
        <v>149</v>
      </c>
      <c r="F7046" t="s">
        <v>38</v>
      </c>
      <c r="G7046" t="s">
        <v>22</v>
      </c>
      <c r="H7046" s="1">
        <v>45268</v>
      </c>
    </row>
    <row r="7047" spans="1:8">
      <c r="A7047" t="s">
        <v>14037</v>
      </c>
      <c r="B7047" t="s">
        <v>14038</v>
      </c>
      <c r="C7047" t="s">
        <v>10</v>
      </c>
      <c r="D7047">
        <v>40</v>
      </c>
      <c r="E7047" t="s">
        <v>69</v>
      </c>
      <c r="F7047" t="s">
        <v>69</v>
      </c>
      <c r="G7047" t="s">
        <v>12</v>
      </c>
      <c r="H7047" s="1">
        <v>45272</v>
      </c>
    </row>
    <row r="7048" spans="1:8">
      <c r="A7048" t="s">
        <v>14039</v>
      </c>
      <c r="B7048" t="s">
        <v>14040</v>
      </c>
      <c r="C7048" t="s">
        <v>10</v>
      </c>
      <c r="D7048">
        <v>22</v>
      </c>
      <c r="E7048" t="s">
        <v>69</v>
      </c>
      <c r="F7048" t="s">
        <v>69</v>
      </c>
      <c r="G7048" t="s">
        <v>12</v>
      </c>
      <c r="H7048" s="1">
        <v>44873</v>
      </c>
    </row>
    <row r="7049" spans="1:8">
      <c r="A7049" t="s">
        <v>14041</v>
      </c>
      <c r="B7049" t="s">
        <v>14042</v>
      </c>
      <c r="C7049" t="s">
        <v>31</v>
      </c>
      <c r="D7049">
        <v>19</v>
      </c>
      <c r="E7049" t="s">
        <v>76</v>
      </c>
      <c r="F7049" t="s">
        <v>77</v>
      </c>
      <c r="G7049" t="s">
        <v>78</v>
      </c>
      <c r="H7049" s="1">
        <v>44802</v>
      </c>
    </row>
    <row r="7050" spans="1:8">
      <c r="A7050" t="s">
        <v>14043</v>
      </c>
      <c r="B7050" t="s">
        <v>14044</v>
      </c>
      <c r="C7050" t="s">
        <v>10</v>
      </c>
      <c r="D7050">
        <v>23</v>
      </c>
      <c r="E7050" t="s">
        <v>112</v>
      </c>
      <c r="F7050" t="s">
        <v>113</v>
      </c>
      <c r="G7050" t="s">
        <v>78</v>
      </c>
      <c r="H7050" s="1">
        <v>45877</v>
      </c>
    </row>
    <row r="7051" spans="1:8">
      <c r="A7051" t="s">
        <v>14045</v>
      </c>
      <c r="B7051" t="s">
        <v>14046</v>
      </c>
      <c r="C7051" t="s">
        <v>31</v>
      </c>
      <c r="D7051">
        <v>19</v>
      </c>
      <c r="E7051" t="s">
        <v>11</v>
      </c>
      <c r="F7051" t="s">
        <v>11</v>
      </c>
      <c r="G7051" t="s">
        <v>12</v>
      </c>
      <c r="H7051" s="1">
        <v>45208</v>
      </c>
    </row>
    <row r="7052" spans="1:8">
      <c r="A7052" t="s">
        <v>14047</v>
      </c>
      <c r="B7052" t="s">
        <v>14048</v>
      </c>
      <c r="C7052" t="s">
        <v>31</v>
      </c>
      <c r="D7052">
        <v>67</v>
      </c>
      <c r="E7052" t="s">
        <v>128</v>
      </c>
      <c r="F7052" t="s">
        <v>129</v>
      </c>
      <c r="G7052" t="s">
        <v>78</v>
      </c>
      <c r="H7052" s="1">
        <v>45815</v>
      </c>
    </row>
    <row r="7053" spans="1:8">
      <c r="A7053" t="s">
        <v>14049</v>
      </c>
      <c r="B7053" t="s">
        <v>14050</v>
      </c>
      <c r="C7053" t="s">
        <v>31</v>
      </c>
      <c r="D7053">
        <v>19</v>
      </c>
      <c r="E7053" t="s">
        <v>41</v>
      </c>
      <c r="F7053" t="s">
        <v>42</v>
      </c>
      <c r="G7053" t="s">
        <v>17</v>
      </c>
      <c r="H7053" s="1">
        <v>45379</v>
      </c>
    </row>
    <row r="7054" spans="1:8">
      <c r="A7054" t="s">
        <v>14051</v>
      </c>
      <c r="B7054" t="s">
        <v>14052</v>
      </c>
      <c r="C7054" t="s">
        <v>31</v>
      </c>
      <c r="D7054">
        <v>43</v>
      </c>
      <c r="E7054" t="s">
        <v>218</v>
      </c>
      <c r="F7054" t="s">
        <v>219</v>
      </c>
      <c r="G7054" t="s">
        <v>17</v>
      </c>
      <c r="H7054" s="1">
        <v>45806</v>
      </c>
    </row>
    <row r="7055" spans="1:8">
      <c r="A7055" t="s">
        <v>14053</v>
      </c>
      <c r="B7055" t="s">
        <v>14054</v>
      </c>
      <c r="C7055" t="s">
        <v>10</v>
      </c>
      <c r="D7055">
        <v>63</v>
      </c>
      <c r="E7055" t="s">
        <v>112</v>
      </c>
      <c r="F7055" t="s">
        <v>113</v>
      </c>
      <c r="G7055" t="s">
        <v>78</v>
      </c>
      <c r="H7055" s="1">
        <v>45375</v>
      </c>
    </row>
    <row r="7056" spans="1:8">
      <c r="A7056" t="s">
        <v>14055</v>
      </c>
      <c r="B7056" t="s">
        <v>14056</v>
      </c>
      <c r="C7056" t="s">
        <v>31</v>
      </c>
      <c r="D7056">
        <v>21</v>
      </c>
      <c r="E7056" t="s">
        <v>34</v>
      </c>
      <c r="F7056" t="s">
        <v>16</v>
      </c>
      <c r="G7056" t="s">
        <v>17</v>
      </c>
      <c r="H7056" s="1">
        <v>45008</v>
      </c>
    </row>
    <row r="7057" spans="1:8">
      <c r="A7057" t="s">
        <v>14057</v>
      </c>
      <c r="B7057" t="s">
        <v>14058</v>
      </c>
      <c r="C7057" t="s">
        <v>31</v>
      </c>
      <c r="D7057">
        <v>51</v>
      </c>
      <c r="E7057" t="s">
        <v>15</v>
      </c>
      <c r="F7057" t="s">
        <v>16</v>
      </c>
      <c r="G7057" t="s">
        <v>17</v>
      </c>
      <c r="H7057" s="1">
        <v>45957</v>
      </c>
    </row>
    <row r="7058" spans="1:8">
      <c r="A7058" t="s">
        <v>14059</v>
      </c>
      <c r="B7058" t="s">
        <v>14060</v>
      </c>
      <c r="C7058" t="s">
        <v>31</v>
      </c>
      <c r="D7058">
        <v>22</v>
      </c>
      <c r="E7058" t="s">
        <v>11</v>
      </c>
      <c r="F7058" t="s">
        <v>11</v>
      </c>
      <c r="G7058" t="s">
        <v>12</v>
      </c>
      <c r="H7058" s="1">
        <v>45749</v>
      </c>
    </row>
    <row r="7059" spans="1:8">
      <c r="A7059" t="s">
        <v>14061</v>
      </c>
      <c r="B7059" t="s">
        <v>14062</v>
      </c>
      <c r="C7059" t="s">
        <v>31</v>
      </c>
      <c r="D7059">
        <v>30</v>
      </c>
      <c r="E7059" t="s">
        <v>15</v>
      </c>
      <c r="F7059" t="s">
        <v>16</v>
      </c>
      <c r="G7059" t="s">
        <v>17</v>
      </c>
      <c r="H7059" s="1">
        <v>45707</v>
      </c>
    </row>
    <row r="7060" spans="1:8">
      <c r="A7060" t="s">
        <v>14063</v>
      </c>
      <c r="B7060" t="s">
        <v>14064</v>
      </c>
      <c r="C7060" t="s">
        <v>10</v>
      </c>
      <c r="D7060">
        <v>19</v>
      </c>
      <c r="E7060" t="s">
        <v>34</v>
      </c>
      <c r="F7060" t="s">
        <v>16</v>
      </c>
      <c r="G7060" t="s">
        <v>17</v>
      </c>
      <c r="H7060" s="1">
        <v>45172</v>
      </c>
    </row>
    <row r="7061" spans="1:8">
      <c r="A7061" t="s">
        <v>14065</v>
      </c>
      <c r="B7061" t="s">
        <v>14066</v>
      </c>
      <c r="C7061" t="s">
        <v>31</v>
      </c>
      <c r="D7061">
        <v>36</v>
      </c>
      <c r="E7061" t="s">
        <v>69</v>
      </c>
      <c r="F7061" t="s">
        <v>69</v>
      </c>
      <c r="G7061" t="s">
        <v>12</v>
      </c>
      <c r="H7061" s="1">
        <v>45253</v>
      </c>
    </row>
    <row r="7062" spans="1:8">
      <c r="A7062" t="s">
        <v>14067</v>
      </c>
      <c r="B7062" t="s">
        <v>14068</v>
      </c>
      <c r="C7062" t="s">
        <v>10</v>
      </c>
      <c r="D7062">
        <v>57</v>
      </c>
      <c r="E7062" t="s">
        <v>218</v>
      </c>
      <c r="F7062" t="s">
        <v>219</v>
      </c>
      <c r="G7062" t="s">
        <v>17</v>
      </c>
      <c r="H7062" s="1">
        <v>45982</v>
      </c>
    </row>
    <row r="7063" spans="1:8">
      <c r="A7063" t="s">
        <v>14069</v>
      </c>
      <c r="B7063" t="s">
        <v>14070</v>
      </c>
      <c r="C7063" t="s">
        <v>31</v>
      </c>
      <c r="D7063">
        <v>39</v>
      </c>
      <c r="E7063" t="s">
        <v>76</v>
      </c>
      <c r="F7063" t="s">
        <v>77</v>
      </c>
      <c r="G7063" t="s">
        <v>78</v>
      </c>
      <c r="H7063" s="1">
        <v>45060</v>
      </c>
    </row>
    <row r="7064" spans="1:8">
      <c r="A7064" t="s">
        <v>14071</v>
      </c>
      <c r="B7064" t="s">
        <v>14072</v>
      </c>
      <c r="C7064" t="s">
        <v>31</v>
      </c>
      <c r="D7064">
        <v>29</v>
      </c>
      <c r="E7064" t="s">
        <v>11</v>
      </c>
      <c r="F7064" t="s">
        <v>11</v>
      </c>
      <c r="G7064" t="s">
        <v>12</v>
      </c>
      <c r="H7064" s="1">
        <v>45745</v>
      </c>
    </row>
    <row r="7065" spans="1:8">
      <c r="A7065" t="s">
        <v>14073</v>
      </c>
      <c r="B7065" t="s">
        <v>14074</v>
      </c>
      <c r="C7065" t="s">
        <v>10</v>
      </c>
      <c r="D7065">
        <v>61</v>
      </c>
      <c r="E7065" t="s">
        <v>49</v>
      </c>
      <c r="F7065" t="s">
        <v>46</v>
      </c>
      <c r="G7065" t="s">
        <v>17</v>
      </c>
      <c r="H7065" s="1">
        <v>45671</v>
      </c>
    </row>
    <row r="7066" spans="1:8">
      <c r="A7066" t="s">
        <v>14075</v>
      </c>
      <c r="B7066" t="s">
        <v>14076</v>
      </c>
      <c r="C7066" t="s">
        <v>31</v>
      </c>
      <c r="D7066">
        <v>38</v>
      </c>
      <c r="E7066" t="s">
        <v>37</v>
      </c>
      <c r="F7066" t="s">
        <v>38</v>
      </c>
      <c r="G7066" t="s">
        <v>22</v>
      </c>
      <c r="H7066" s="1">
        <v>45123</v>
      </c>
    </row>
    <row r="7067" spans="1:8">
      <c r="A7067" t="s">
        <v>14077</v>
      </c>
      <c r="B7067" t="s">
        <v>14078</v>
      </c>
      <c r="C7067" t="s">
        <v>10</v>
      </c>
      <c r="D7067">
        <v>54</v>
      </c>
      <c r="E7067" t="s">
        <v>87</v>
      </c>
      <c r="F7067" t="s">
        <v>88</v>
      </c>
      <c r="G7067" t="s">
        <v>78</v>
      </c>
      <c r="H7067" s="1">
        <v>44995</v>
      </c>
    </row>
    <row r="7068" spans="1:8">
      <c r="A7068" t="s">
        <v>14079</v>
      </c>
      <c r="B7068" t="s">
        <v>14080</v>
      </c>
      <c r="C7068" t="s">
        <v>31</v>
      </c>
      <c r="D7068">
        <v>51</v>
      </c>
      <c r="E7068" t="s">
        <v>87</v>
      </c>
      <c r="F7068" t="s">
        <v>88</v>
      </c>
      <c r="G7068" t="s">
        <v>78</v>
      </c>
      <c r="H7068" s="1">
        <v>45001</v>
      </c>
    </row>
    <row r="7069" spans="1:8">
      <c r="A7069" t="s">
        <v>14081</v>
      </c>
      <c r="B7069" t="s">
        <v>14082</v>
      </c>
      <c r="C7069" t="s">
        <v>31</v>
      </c>
      <c r="D7069">
        <v>52</v>
      </c>
      <c r="E7069" t="s">
        <v>76</v>
      </c>
      <c r="F7069" t="s">
        <v>77</v>
      </c>
      <c r="G7069" t="s">
        <v>78</v>
      </c>
      <c r="H7069" s="1">
        <v>45439</v>
      </c>
    </row>
    <row r="7070" spans="1:8">
      <c r="A7070" t="s">
        <v>14083</v>
      </c>
      <c r="B7070" t="s">
        <v>14084</v>
      </c>
      <c r="C7070" t="s">
        <v>31</v>
      </c>
      <c r="D7070">
        <v>30</v>
      </c>
      <c r="E7070" t="s">
        <v>101</v>
      </c>
      <c r="F7070" t="s">
        <v>21</v>
      </c>
      <c r="G7070" t="s">
        <v>22</v>
      </c>
      <c r="H7070" s="1">
        <v>45683</v>
      </c>
    </row>
    <row r="7071" spans="1:8">
      <c r="A7071" t="s">
        <v>14085</v>
      </c>
      <c r="B7071" t="s">
        <v>14086</v>
      </c>
      <c r="C7071" t="s">
        <v>10</v>
      </c>
      <c r="D7071">
        <v>27</v>
      </c>
      <c r="E7071" t="s">
        <v>60</v>
      </c>
      <c r="F7071" t="s">
        <v>21</v>
      </c>
      <c r="G7071" t="s">
        <v>22</v>
      </c>
      <c r="H7071" s="1">
        <v>45862</v>
      </c>
    </row>
    <row r="7072" spans="1:8">
      <c r="A7072" t="s">
        <v>14087</v>
      </c>
      <c r="B7072" t="s">
        <v>14088</v>
      </c>
      <c r="C7072" t="s">
        <v>10</v>
      </c>
      <c r="D7072">
        <v>34</v>
      </c>
      <c r="E7072" t="s">
        <v>128</v>
      </c>
      <c r="F7072" t="s">
        <v>129</v>
      </c>
      <c r="G7072" t="s">
        <v>78</v>
      </c>
      <c r="H7072" s="1">
        <v>44596</v>
      </c>
    </row>
    <row r="7073" spans="1:8">
      <c r="A7073" t="s">
        <v>14089</v>
      </c>
      <c r="B7073" t="s">
        <v>14090</v>
      </c>
      <c r="C7073" t="s">
        <v>31</v>
      </c>
      <c r="D7073">
        <v>41</v>
      </c>
      <c r="E7073" t="s">
        <v>69</v>
      </c>
      <c r="F7073" t="s">
        <v>69</v>
      </c>
      <c r="G7073" t="s">
        <v>12</v>
      </c>
      <c r="H7073" s="1">
        <v>45084</v>
      </c>
    </row>
    <row r="7074" spans="1:8">
      <c r="A7074" t="s">
        <v>14091</v>
      </c>
      <c r="B7074" t="s">
        <v>14092</v>
      </c>
      <c r="C7074" t="s">
        <v>31</v>
      </c>
      <c r="D7074">
        <v>51</v>
      </c>
      <c r="E7074" t="s">
        <v>149</v>
      </c>
      <c r="F7074" t="s">
        <v>38</v>
      </c>
      <c r="G7074" t="s">
        <v>22</v>
      </c>
      <c r="H7074" s="1">
        <v>45424</v>
      </c>
    </row>
    <row r="7075" spans="1:8">
      <c r="A7075" t="s">
        <v>14093</v>
      </c>
      <c r="B7075" t="s">
        <v>14094</v>
      </c>
      <c r="C7075" t="s">
        <v>31</v>
      </c>
      <c r="D7075">
        <v>24</v>
      </c>
      <c r="E7075" t="s">
        <v>149</v>
      </c>
      <c r="F7075" t="s">
        <v>38</v>
      </c>
      <c r="G7075" t="s">
        <v>22</v>
      </c>
      <c r="H7075" s="1">
        <v>46019</v>
      </c>
    </row>
    <row r="7076" spans="1:8">
      <c r="A7076" t="s">
        <v>14095</v>
      </c>
      <c r="B7076" t="s">
        <v>1393</v>
      </c>
      <c r="C7076" t="s">
        <v>10</v>
      </c>
      <c r="D7076">
        <v>20</v>
      </c>
      <c r="E7076" t="s">
        <v>149</v>
      </c>
      <c r="F7076" t="s">
        <v>38</v>
      </c>
      <c r="G7076" t="s">
        <v>22</v>
      </c>
      <c r="H7076" s="1">
        <v>44742</v>
      </c>
    </row>
    <row r="7077" spans="1:8">
      <c r="A7077" t="s">
        <v>14096</v>
      </c>
      <c r="B7077" t="s">
        <v>14097</v>
      </c>
      <c r="C7077" t="s">
        <v>31</v>
      </c>
      <c r="D7077">
        <v>40</v>
      </c>
      <c r="E7077" t="s">
        <v>20</v>
      </c>
      <c r="F7077" t="s">
        <v>21</v>
      </c>
      <c r="G7077" t="s">
        <v>22</v>
      </c>
      <c r="H7077" s="1">
        <v>45498</v>
      </c>
    </row>
    <row r="7078" spans="1:8">
      <c r="A7078" t="s">
        <v>14098</v>
      </c>
      <c r="B7078" t="s">
        <v>14099</v>
      </c>
      <c r="C7078" t="s">
        <v>31</v>
      </c>
      <c r="D7078">
        <v>43</v>
      </c>
      <c r="E7078" t="s">
        <v>128</v>
      </c>
      <c r="F7078" t="s">
        <v>129</v>
      </c>
      <c r="G7078" t="s">
        <v>78</v>
      </c>
      <c r="H7078" s="1">
        <v>45467</v>
      </c>
    </row>
    <row r="7079" spans="1:8">
      <c r="A7079" t="s">
        <v>14100</v>
      </c>
      <c r="B7079" t="s">
        <v>14101</v>
      </c>
      <c r="C7079" t="s">
        <v>31</v>
      </c>
      <c r="D7079">
        <v>18</v>
      </c>
      <c r="E7079" t="s">
        <v>45</v>
      </c>
      <c r="F7079" t="s">
        <v>46</v>
      </c>
      <c r="G7079" t="s">
        <v>17</v>
      </c>
      <c r="H7079" s="1">
        <v>45295</v>
      </c>
    </row>
    <row r="7080" spans="1:8">
      <c r="A7080" t="s">
        <v>14102</v>
      </c>
      <c r="B7080" t="s">
        <v>14103</v>
      </c>
      <c r="C7080" t="s">
        <v>31</v>
      </c>
      <c r="D7080">
        <v>69</v>
      </c>
      <c r="E7080" t="s">
        <v>20</v>
      </c>
      <c r="F7080" t="s">
        <v>21</v>
      </c>
      <c r="G7080" t="s">
        <v>22</v>
      </c>
      <c r="H7080" s="1">
        <v>45113</v>
      </c>
    </row>
    <row r="7081" spans="1:8">
      <c r="A7081" t="s">
        <v>14104</v>
      </c>
      <c r="B7081" t="s">
        <v>14105</v>
      </c>
      <c r="C7081" t="s">
        <v>10</v>
      </c>
      <c r="D7081">
        <v>63</v>
      </c>
      <c r="E7081" t="s">
        <v>41</v>
      </c>
      <c r="F7081" t="s">
        <v>42</v>
      </c>
      <c r="G7081" t="s">
        <v>17</v>
      </c>
      <c r="H7081" s="1">
        <v>44927</v>
      </c>
    </row>
    <row r="7082" spans="1:8">
      <c r="A7082" t="s">
        <v>14106</v>
      </c>
      <c r="B7082" t="s">
        <v>14107</v>
      </c>
      <c r="C7082" t="s">
        <v>31</v>
      </c>
      <c r="D7082">
        <v>22</v>
      </c>
      <c r="E7082" t="s">
        <v>101</v>
      </c>
      <c r="F7082" t="s">
        <v>21</v>
      </c>
      <c r="G7082" t="s">
        <v>22</v>
      </c>
      <c r="H7082" s="1">
        <v>46001</v>
      </c>
    </row>
    <row r="7083" spans="1:8">
      <c r="A7083" t="s">
        <v>14108</v>
      </c>
      <c r="B7083" t="s">
        <v>14109</v>
      </c>
      <c r="C7083" t="s">
        <v>10</v>
      </c>
      <c r="D7083">
        <v>24</v>
      </c>
      <c r="E7083" t="s">
        <v>218</v>
      </c>
      <c r="F7083" t="s">
        <v>219</v>
      </c>
      <c r="G7083" t="s">
        <v>17</v>
      </c>
      <c r="H7083" s="1">
        <v>45342</v>
      </c>
    </row>
    <row r="7084" spans="1:8">
      <c r="A7084" t="s">
        <v>14110</v>
      </c>
      <c r="B7084" t="s">
        <v>14111</v>
      </c>
      <c r="C7084" t="s">
        <v>31</v>
      </c>
      <c r="D7084">
        <v>22</v>
      </c>
      <c r="E7084" t="s">
        <v>20</v>
      </c>
      <c r="F7084" t="s">
        <v>21</v>
      </c>
      <c r="G7084" t="s">
        <v>22</v>
      </c>
      <c r="H7084" s="1">
        <v>44968</v>
      </c>
    </row>
    <row r="7085" spans="1:8">
      <c r="A7085" t="s">
        <v>14112</v>
      </c>
      <c r="B7085" t="s">
        <v>14113</v>
      </c>
      <c r="C7085" t="s">
        <v>31</v>
      </c>
      <c r="D7085">
        <v>65</v>
      </c>
      <c r="E7085" t="s">
        <v>218</v>
      </c>
      <c r="F7085" t="s">
        <v>219</v>
      </c>
      <c r="G7085" t="s">
        <v>17</v>
      </c>
      <c r="H7085" s="1">
        <v>44902</v>
      </c>
    </row>
    <row r="7086" spans="1:8">
      <c r="A7086" t="s">
        <v>14114</v>
      </c>
      <c r="B7086" t="s">
        <v>14115</v>
      </c>
      <c r="C7086" t="s">
        <v>31</v>
      </c>
      <c r="D7086">
        <v>63</v>
      </c>
      <c r="E7086" t="s">
        <v>134</v>
      </c>
      <c r="F7086" t="s">
        <v>28</v>
      </c>
      <c r="G7086" t="s">
        <v>12</v>
      </c>
      <c r="H7086" s="1">
        <v>45261</v>
      </c>
    </row>
    <row r="7087" spans="1:8">
      <c r="A7087" t="s">
        <v>14116</v>
      </c>
      <c r="B7087" t="s">
        <v>14117</v>
      </c>
      <c r="C7087" t="s">
        <v>31</v>
      </c>
      <c r="D7087">
        <v>29</v>
      </c>
      <c r="E7087" t="s">
        <v>69</v>
      </c>
      <c r="F7087" t="s">
        <v>69</v>
      </c>
      <c r="G7087" t="s">
        <v>12</v>
      </c>
      <c r="H7087" s="1">
        <v>45280</v>
      </c>
    </row>
    <row r="7088" spans="1:8">
      <c r="A7088" t="s">
        <v>14118</v>
      </c>
      <c r="B7088" t="s">
        <v>14119</v>
      </c>
      <c r="C7088" t="s">
        <v>31</v>
      </c>
      <c r="D7088">
        <v>50</v>
      </c>
      <c r="E7088" t="s">
        <v>27</v>
      </c>
      <c r="F7088" t="s">
        <v>28</v>
      </c>
      <c r="G7088" t="s">
        <v>12</v>
      </c>
      <c r="H7088" s="1">
        <v>45067</v>
      </c>
    </row>
    <row r="7089" spans="1:8">
      <c r="A7089" t="s">
        <v>14120</v>
      </c>
      <c r="B7089" t="s">
        <v>14121</v>
      </c>
      <c r="C7089" t="s">
        <v>31</v>
      </c>
      <c r="D7089">
        <v>23</v>
      </c>
      <c r="E7089" t="s">
        <v>63</v>
      </c>
      <c r="F7089" t="s">
        <v>64</v>
      </c>
      <c r="G7089" t="s">
        <v>12</v>
      </c>
      <c r="H7089" s="1">
        <v>45585</v>
      </c>
    </row>
    <row r="7090" spans="1:8">
      <c r="A7090" t="s">
        <v>14122</v>
      </c>
      <c r="B7090" t="s">
        <v>14123</v>
      </c>
      <c r="C7090" t="s">
        <v>31</v>
      </c>
      <c r="D7090">
        <v>69</v>
      </c>
      <c r="E7090" t="s">
        <v>87</v>
      </c>
      <c r="F7090" t="s">
        <v>88</v>
      </c>
      <c r="G7090" t="s">
        <v>78</v>
      </c>
      <c r="H7090" s="1">
        <v>44968</v>
      </c>
    </row>
    <row r="7091" spans="1:8">
      <c r="A7091" t="s">
        <v>14124</v>
      </c>
      <c r="B7091" t="s">
        <v>14125</v>
      </c>
      <c r="C7091" t="s">
        <v>31</v>
      </c>
      <c r="D7091">
        <v>54</v>
      </c>
      <c r="E7091" t="s">
        <v>134</v>
      </c>
      <c r="F7091" t="s">
        <v>28</v>
      </c>
      <c r="G7091" t="s">
        <v>12</v>
      </c>
      <c r="H7091" s="1">
        <v>45137</v>
      </c>
    </row>
    <row r="7092" spans="1:8">
      <c r="A7092" t="s">
        <v>14126</v>
      </c>
      <c r="B7092" t="s">
        <v>14127</v>
      </c>
      <c r="C7092" t="s">
        <v>10</v>
      </c>
      <c r="D7092">
        <v>18</v>
      </c>
      <c r="E7092" t="s">
        <v>149</v>
      </c>
      <c r="F7092" t="s">
        <v>38</v>
      </c>
      <c r="G7092" t="s">
        <v>22</v>
      </c>
      <c r="H7092" s="1">
        <v>45430</v>
      </c>
    </row>
    <row r="7093" spans="1:8">
      <c r="A7093" t="s">
        <v>14128</v>
      </c>
      <c r="B7093" t="s">
        <v>14129</v>
      </c>
      <c r="C7093" t="s">
        <v>10</v>
      </c>
      <c r="D7093">
        <v>56</v>
      </c>
      <c r="E7093" t="s">
        <v>15</v>
      </c>
      <c r="F7093" t="s">
        <v>16</v>
      </c>
      <c r="G7093" t="s">
        <v>17</v>
      </c>
      <c r="H7093" s="1">
        <v>44738</v>
      </c>
    </row>
    <row r="7094" spans="1:8">
      <c r="A7094" t="s">
        <v>14130</v>
      </c>
      <c r="B7094" t="s">
        <v>1818</v>
      </c>
      <c r="C7094" t="s">
        <v>31</v>
      </c>
      <c r="D7094">
        <v>67</v>
      </c>
      <c r="E7094" t="s">
        <v>76</v>
      </c>
      <c r="F7094" t="s">
        <v>77</v>
      </c>
      <c r="G7094" t="s">
        <v>78</v>
      </c>
      <c r="H7094" s="1">
        <v>44873</v>
      </c>
    </row>
    <row r="7095" spans="1:8">
      <c r="A7095" t="s">
        <v>14131</v>
      </c>
      <c r="B7095" t="s">
        <v>14132</v>
      </c>
      <c r="C7095" t="s">
        <v>31</v>
      </c>
      <c r="D7095">
        <v>69</v>
      </c>
      <c r="E7095" t="s">
        <v>34</v>
      </c>
      <c r="F7095" t="s">
        <v>16</v>
      </c>
      <c r="G7095" t="s">
        <v>17</v>
      </c>
      <c r="H7095" s="1">
        <v>45632</v>
      </c>
    </row>
    <row r="7096" spans="1:8">
      <c r="A7096" t="s">
        <v>14133</v>
      </c>
      <c r="B7096" t="s">
        <v>14134</v>
      </c>
      <c r="C7096" t="s">
        <v>10</v>
      </c>
      <c r="D7096">
        <v>62</v>
      </c>
      <c r="E7096" t="s">
        <v>134</v>
      </c>
      <c r="F7096" t="s">
        <v>28</v>
      </c>
      <c r="G7096" t="s">
        <v>12</v>
      </c>
      <c r="H7096" s="1">
        <v>45968</v>
      </c>
    </row>
    <row r="7097" spans="1:8">
      <c r="A7097" t="s">
        <v>14135</v>
      </c>
      <c r="B7097" t="s">
        <v>14136</v>
      </c>
      <c r="C7097" t="s">
        <v>31</v>
      </c>
      <c r="D7097">
        <v>69</v>
      </c>
      <c r="E7097" t="s">
        <v>41</v>
      </c>
      <c r="F7097" t="s">
        <v>42</v>
      </c>
      <c r="G7097" t="s">
        <v>17</v>
      </c>
      <c r="H7097" s="1">
        <v>44987</v>
      </c>
    </row>
    <row r="7098" spans="1:8">
      <c r="A7098" t="s">
        <v>14137</v>
      </c>
      <c r="B7098" t="s">
        <v>14138</v>
      </c>
      <c r="C7098" t="s">
        <v>10</v>
      </c>
      <c r="D7098">
        <v>55</v>
      </c>
      <c r="E7098" t="s">
        <v>60</v>
      </c>
      <c r="F7098" t="s">
        <v>21</v>
      </c>
      <c r="G7098" t="s">
        <v>22</v>
      </c>
      <c r="H7098" s="1">
        <v>45314</v>
      </c>
    </row>
    <row r="7099" spans="1:8">
      <c r="A7099" t="s">
        <v>14139</v>
      </c>
      <c r="B7099" t="s">
        <v>14140</v>
      </c>
      <c r="C7099" t="s">
        <v>10</v>
      </c>
      <c r="D7099">
        <v>34</v>
      </c>
      <c r="E7099" t="s">
        <v>149</v>
      </c>
      <c r="F7099" t="s">
        <v>38</v>
      </c>
      <c r="G7099" t="s">
        <v>22</v>
      </c>
      <c r="H7099" s="1">
        <v>44605</v>
      </c>
    </row>
    <row r="7100" spans="1:8">
      <c r="A7100" t="s">
        <v>14141</v>
      </c>
      <c r="B7100" t="s">
        <v>14142</v>
      </c>
      <c r="C7100" t="s">
        <v>10</v>
      </c>
      <c r="D7100">
        <v>44</v>
      </c>
      <c r="E7100" t="s">
        <v>218</v>
      </c>
      <c r="F7100" t="s">
        <v>219</v>
      </c>
      <c r="G7100" t="s">
        <v>17</v>
      </c>
      <c r="H7100" s="1">
        <v>45736</v>
      </c>
    </row>
    <row r="7101" spans="1:8">
      <c r="A7101" t="s">
        <v>14143</v>
      </c>
      <c r="B7101" t="s">
        <v>14144</v>
      </c>
      <c r="C7101" t="s">
        <v>10</v>
      </c>
      <c r="D7101">
        <v>22</v>
      </c>
      <c r="E7101" t="s">
        <v>134</v>
      </c>
      <c r="F7101" t="s">
        <v>28</v>
      </c>
      <c r="G7101" t="s">
        <v>12</v>
      </c>
      <c r="H7101" s="1">
        <v>44629</v>
      </c>
    </row>
    <row r="7102" spans="1:8">
      <c r="A7102" t="s">
        <v>14145</v>
      </c>
      <c r="B7102" t="s">
        <v>14146</v>
      </c>
      <c r="C7102" t="s">
        <v>10</v>
      </c>
      <c r="D7102">
        <v>35</v>
      </c>
      <c r="E7102" t="s">
        <v>45</v>
      </c>
      <c r="F7102" t="s">
        <v>46</v>
      </c>
      <c r="G7102" t="s">
        <v>17</v>
      </c>
      <c r="H7102" s="1">
        <v>44601</v>
      </c>
    </row>
    <row r="7103" spans="1:8">
      <c r="A7103" t="s">
        <v>14147</v>
      </c>
      <c r="B7103" t="s">
        <v>14148</v>
      </c>
      <c r="C7103" t="s">
        <v>31</v>
      </c>
      <c r="D7103">
        <v>30</v>
      </c>
      <c r="E7103" t="s">
        <v>134</v>
      </c>
      <c r="F7103" t="s">
        <v>28</v>
      </c>
      <c r="G7103" t="s">
        <v>12</v>
      </c>
      <c r="H7103" s="1">
        <v>45712</v>
      </c>
    </row>
    <row r="7104" spans="1:8">
      <c r="A7104" t="s">
        <v>14149</v>
      </c>
      <c r="B7104" t="s">
        <v>14150</v>
      </c>
      <c r="C7104" t="s">
        <v>10</v>
      </c>
      <c r="D7104">
        <v>18</v>
      </c>
      <c r="E7104" t="s">
        <v>112</v>
      </c>
      <c r="F7104" t="s">
        <v>113</v>
      </c>
      <c r="G7104" t="s">
        <v>78</v>
      </c>
      <c r="H7104" s="1">
        <v>45511</v>
      </c>
    </row>
    <row r="7105" spans="1:8">
      <c r="A7105" t="s">
        <v>14151</v>
      </c>
      <c r="B7105" t="s">
        <v>14152</v>
      </c>
      <c r="C7105" t="s">
        <v>31</v>
      </c>
      <c r="D7105">
        <v>63</v>
      </c>
      <c r="E7105" t="s">
        <v>63</v>
      </c>
      <c r="F7105" t="s">
        <v>64</v>
      </c>
      <c r="G7105" t="s">
        <v>12</v>
      </c>
      <c r="H7105" s="1">
        <v>45559</v>
      </c>
    </row>
    <row r="7106" spans="1:8">
      <c r="A7106" t="s">
        <v>14153</v>
      </c>
      <c r="B7106" t="s">
        <v>14154</v>
      </c>
      <c r="C7106" t="s">
        <v>10</v>
      </c>
      <c r="D7106">
        <v>37</v>
      </c>
      <c r="E7106" t="s">
        <v>134</v>
      </c>
      <c r="F7106" t="s">
        <v>28</v>
      </c>
      <c r="G7106" t="s">
        <v>12</v>
      </c>
      <c r="H7106" s="1">
        <v>46015</v>
      </c>
    </row>
    <row r="7107" spans="1:8">
      <c r="A7107" t="s">
        <v>14155</v>
      </c>
      <c r="B7107" t="s">
        <v>14156</v>
      </c>
      <c r="C7107" t="s">
        <v>31</v>
      </c>
      <c r="D7107">
        <v>36</v>
      </c>
      <c r="E7107" t="s">
        <v>27</v>
      </c>
      <c r="F7107" t="s">
        <v>28</v>
      </c>
      <c r="G7107" t="s">
        <v>12</v>
      </c>
      <c r="H7107" s="1">
        <v>45289</v>
      </c>
    </row>
    <row r="7108" spans="1:8">
      <c r="A7108" t="s">
        <v>14157</v>
      </c>
      <c r="B7108" t="s">
        <v>14158</v>
      </c>
      <c r="C7108" t="s">
        <v>31</v>
      </c>
      <c r="D7108">
        <v>36</v>
      </c>
      <c r="E7108" t="s">
        <v>69</v>
      </c>
      <c r="F7108" t="s">
        <v>69</v>
      </c>
      <c r="G7108" t="s">
        <v>12</v>
      </c>
      <c r="H7108" s="1">
        <v>45438</v>
      </c>
    </row>
    <row r="7109" spans="1:8">
      <c r="A7109" t="s">
        <v>14159</v>
      </c>
      <c r="B7109" t="s">
        <v>14160</v>
      </c>
      <c r="C7109" t="s">
        <v>31</v>
      </c>
      <c r="D7109">
        <v>62</v>
      </c>
      <c r="E7109" t="s">
        <v>15</v>
      </c>
      <c r="F7109" t="s">
        <v>16</v>
      </c>
      <c r="G7109" t="s">
        <v>17</v>
      </c>
      <c r="H7109" s="1">
        <v>45988</v>
      </c>
    </row>
    <row r="7110" spans="1:8">
      <c r="A7110" t="s">
        <v>14161</v>
      </c>
      <c r="B7110" t="s">
        <v>14162</v>
      </c>
      <c r="C7110" t="s">
        <v>10</v>
      </c>
      <c r="D7110">
        <v>48</v>
      </c>
      <c r="E7110" t="s">
        <v>134</v>
      </c>
      <c r="F7110" t="s">
        <v>28</v>
      </c>
      <c r="G7110" t="s">
        <v>12</v>
      </c>
      <c r="H7110" s="1">
        <v>45453</v>
      </c>
    </row>
    <row r="7111" spans="1:8">
      <c r="A7111" t="s">
        <v>14163</v>
      </c>
      <c r="B7111" t="s">
        <v>14164</v>
      </c>
      <c r="C7111" t="s">
        <v>10</v>
      </c>
      <c r="D7111">
        <v>25</v>
      </c>
      <c r="E7111" t="s">
        <v>60</v>
      </c>
      <c r="F7111" t="s">
        <v>21</v>
      </c>
      <c r="G7111" t="s">
        <v>22</v>
      </c>
      <c r="H7111" s="1">
        <v>44577</v>
      </c>
    </row>
    <row r="7112" spans="1:8">
      <c r="A7112" t="s">
        <v>14165</v>
      </c>
      <c r="B7112" t="s">
        <v>14166</v>
      </c>
      <c r="C7112" t="s">
        <v>31</v>
      </c>
      <c r="D7112">
        <v>31</v>
      </c>
      <c r="E7112" t="s">
        <v>20</v>
      </c>
      <c r="F7112" t="s">
        <v>21</v>
      </c>
      <c r="G7112" t="s">
        <v>22</v>
      </c>
      <c r="H7112" s="1">
        <v>45889</v>
      </c>
    </row>
    <row r="7113" spans="1:8">
      <c r="A7113" t="s">
        <v>14167</v>
      </c>
      <c r="B7113" t="s">
        <v>5910</v>
      </c>
      <c r="C7113" t="s">
        <v>31</v>
      </c>
      <c r="D7113">
        <v>62</v>
      </c>
      <c r="E7113" t="s">
        <v>41</v>
      </c>
      <c r="F7113" t="s">
        <v>42</v>
      </c>
      <c r="G7113" t="s">
        <v>17</v>
      </c>
      <c r="H7113" s="1">
        <v>45749</v>
      </c>
    </row>
    <row r="7114" spans="1:8">
      <c r="A7114" t="s">
        <v>14168</v>
      </c>
      <c r="B7114" t="s">
        <v>14169</v>
      </c>
      <c r="C7114" t="s">
        <v>10</v>
      </c>
      <c r="D7114">
        <v>38</v>
      </c>
      <c r="E7114" t="s">
        <v>27</v>
      </c>
      <c r="F7114" t="s">
        <v>28</v>
      </c>
      <c r="G7114" t="s">
        <v>12</v>
      </c>
      <c r="H7114" s="1">
        <v>44939</v>
      </c>
    </row>
    <row r="7115" spans="1:8">
      <c r="A7115" t="s">
        <v>14170</v>
      </c>
      <c r="B7115" t="s">
        <v>14171</v>
      </c>
      <c r="C7115" t="s">
        <v>10</v>
      </c>
      <c r="D7115">
        <v>53</v>
      </c>
      <c r="E7115" t="s">
        <v>69</v>
      </c>
      <c r="F7115" t="s">
        <v>69</v>
      </c>
      <c r="G7115" t="s">
        <v>12</v>
      </c>
      <c r="H7115" s="1">
        <v>46019</v>
      </c>
    </row>
    <row r="7116" spans="1:8">
      <c r="A7116" t="s">
        <v>14172</v>
      </c>
      <c r="B7116" t="s">
        <v>14173</v>
      </c>
      <c r="C7116" t="s">
        <v>31</v>
      </c>
      <c r="D7116">
        <v>64</v>
      </c>
      <c r="E7116" t="s">
        <v>34</v>
      </c>
      <c r="F7116" t="s">
        <v>16</v>
      </c>
      <c r="G7116" t="s">
        <v>17</v>
      </c>
      <c r="H7116" s="1">
        <v>45427</v>
      </c>
    </row>
    <row r="7117" spans="1:8">
      <c r="A7117" t="s">
        <v>14174</v>
      </c>
      <c r="B7117" t="s">
        <v>14175</v>
      </c>
      <c r="C7117" t="s">
        <v>10</v>
      </c>
      <c r="D7117">
        <v>21</v>
      </c>
      <c r="E7117" t="s">
        <v>149</v>
      </c>
      <c r="F7117" t="s">
        <v>38</v>
      </c>
      <c r="G7117" t="s">
        <v>22</v>
      </c>
      <c r="H7117" s="1">
        <v>44748</v>
      </c>
    </row>
    <row r="7118" spans="1:8">
      <c r="A7118" t="s">
        <v>14176</v>
      </c>
      <c r="B7118" t="s">
        <v>14177</v>
      </c>
      <c r="C7118" t="s">
        <v>10</v>
      </c>
      <c r="D7118">
        <v>26</v>
      </c>
      <c r="E7118" t="s">
        <v>15</v>
      </c>
      <c r="F7118" t="s">
        <v>16</v>
      </c>
      <c r="G7118" t="s">
        <v>17</v>
      </c>
      <c r="H7118" s="1">
        <v>45514</v>
      </c>
    </row>
    <row r="7119" spans="1:8">
      <c r="A7119" t="s">
        <v>14178</v>
      </c>
      <c r="B7119" t="s">
        <v>14179</v>
      </c>
      <c r="C7119" t="s">
        <v>31</v>
      </c>
      <c r="D7119">
        <v>46</v>
      </c>
      <c r="E7119" t="s">
        <v>27</v>
      </c>
      <c r="F7119" t="s">
        <v>28</v>
      </c>
      <c r="G7119" t="s">
        <v>12</v>
      </c>
      <c r="H7119" s="1">
        <v>45143</v>
      </c>
    </row>
    <row r="7120" spans="1:8">
      <c r="A7120" t="s">
        <v>14180</v>
      </c>
      <c r="B7120" t="s">
        <v>14181</v>
      </c>
      <c r="C7120" t="s">
        <v>10</v>
      </c>
      <c r="D7120">
        <v>35</v>
      </c>
      <c r="E7120" t="s">
        <v>20</v>
      </c>
      <c r="F7120" t="s">
        <v>21</v>
      </c>
      <c r="G7120" t="s">
        <v>22</v>
      </c>
      <c r="H7120" s="1">
        <v>45052</v>
      </c>
    </row>
    <row r="7121" spans="1:8">
      <c r="A7121" t="s">
        <v>14182</v>
      </c>
      <c r="B7121" t="s">
        <v>14183</v>
      </c>
      <c r="C7121" t="s">
        <v>31</v>
      </c>
      <c r="D7121">
        <v>23</v>
      </c>
      <c r="E7121" t="s">
        <v>128</v>
      </c>
      <c r="F7121" t="s">
        <v>129</v>
      </c>
      <c r="G7121" t="s">
        <v>78</v>
      </c>
      <c r="H7121" s="1">
        <v>45179</v>
      </c>
    </row>
    <row r="7122" spans="1:8">
      <c r="A7122" t="s">
        <v>14184</v>
      </c>
      <c r="B7122" t="s">
        <v>14185</v>
      </c>
      <c r="C7122" t="s">
        <v>10</v>
      </c>
      <c r="D7122">
        <v>38</v>
      </c>
      <c r="E7122" t="s">
        <v>134</v>
      </c>
      <c r="F7122" t="s">
        <v>28</v>
      </c>
      <c r="G7122" t="s">
        <v>12</v>
      </c>
      <c r="H7122" s="1">
        <v>44917</v>
      </c>
    </row>
    <row r="7123" spans="1:8">
      <c r="A7123" t="s">
        <v>14186</v>
      </c>
      <c r="B7123" t="s">
        <v>14187</v>
      </c>
      <c r="C7123" t="s">
        <v>10</v>
      </c>
      <c r="D7123">
        <v>58</v>
      </c>
      <c r="E7123" t="s">
        <v>63</v>
      </c>
      <c r="F7123" t="s">
        <v>64</v>
      </c>
      <c r="G7123" t="s">
        <v>12</v>
      </c>
      <c r="H7123" s="1">
        <v>45671</v>
      </c>
    </row>
    <row r="7124" spans="1:8">
      <c r="A7124" t="s">
        <v>14188</v>
      </c>
      <c r="B7124" t="s">
        <v>14189</v>
      </c>
      <c r="C7124" t="s">
        <v>31</v>
      </c>
      <c r="D7124">
        <v>63</v>
      </c>
      <c r="E7124" t="s">
        <v>34</v>
      </c>
      <c r="F7124" t="s">
        <v>16</v>
      </c>
      <c r="G7124" t="s">
        <v>17</v>
      </c>
      <c r="H7124" s="1">
        <v>45943</v>
      </c>
    </row>
    <row r="7125" spans="1:8">
      <c r="A7125" t="s">
        <v>14190</v>
      </c>
      <c r="B7125" t="s">
        <v>14191</v>
      </c>
      <c r="C7125" t="s">
        <v>31</v>
      </c>
      <c r="D7125">
        <v>54</v>
      </c>
      <c r="E7125" t="s">
        <v>149</v>
      </c>
      <c r="F7125" t="s">
        <v>38</v>
      </c>
      <c r="G7125" t="s">
        <v>22</v>
      </c>
      <c r="H7125" s="1">
        <v>45910</v>
      </c>
    </row>
    <row r="7126" spans="1:8">
      <c r="A7126" t="s">
        <v>14192</v>
      </c>
      <c r="B7126" t="s">
        <v>14193</v>
      </c>
      <c r="C7126" t="s">
        <v>10</v>
      </c>
      <c r="D7126">
        <v>21</v>
      </c>
      <c r="E7126" t="s">
        <v>87</v>
      </c>
      <c r="F7126" t="s">
        <v>88</v>
      </c>
      <c r="G7126" t="s">
        <v>78</v>
      </c>
      <c r="H7126" s="1">
        <v>45912</v>
      </c>
    </row>
    <row r="7127" spans="1:8">
      <c r="A7127" t="s">
        <v>14194</v>
      </c>
      <c r="B7127" t="s">
        <v>14195</v>
      </c>
      <c r="C7127" t="s">
        <v>31</v>
      </c>
      <c r="D7127">
        <v>35</v>
      </c>
      <c r="E7127" t="s">
        <v>112</v>
      </c>
      <c r="F7127" t="s">
        <v>113</v>
      </c>
      <c r="G7127" t="s">
        <v>78</v>
      </c>
      <c r="H7127" s="1">
        <v>45229</v>
      </c>
    </row>
    <row r="7128" spans="1:8">
      <c r="A7128" t="s">
        <v>14196</v>
      </c>
      <c r="B7128" t="s">
        <v>14197</v>
      </c>
      <c r="C7128" t="s">
        <v>10</v>
      </c>
      <c r="D7128">
        <v>39</v>
      </c>
      <c r="E7128" t="s">
        <v>69</v>
      </c>
      <c r="F7128" t="s">
        <v>69</v>
      </c>
      <c r="G7128" t="s">
        <v>12</v>
      </c>
      <c r="H7128" s="1">
        <v>44758</v>
      </c>
    </row>
    <row r="7129" spans="1:8">
      <c r="A7129" t="s">
        <v>14198</v>
      </c>
      <c r="B7129" t="s">
        <v>14199</v>
      </c>
      <c r="C7129" t="s">
        <v>31</v>
      </c>
      <c r="D7129">
        <v>20</v>
      </c>
      <c r="E7129" t="s">
        <v>101</v>
      </c>
      <c r="F7129" t="s">
        <v>21</v>
      </c>
      <c r="G7129" t="s">
        <v>22</v>
      </c>
      <c r="H7129" s="1">
        <v>44694</v>
      </c>
    </row>
    <row r="7130" spans="1:8">
      <c r="A7130" t="s">
        <v>14200</v>
      </c>
      <c r="B7130" t="s">
        <v>14201</v>
      </c>
      <c r="C7130" t="s">
        <v>31</v>
      </c>
      <c r="D7130">
        <v>22</v>
      </c>
      <c r="E7130" t="s">
        <v>27</v>
      </c>
      <c r="F7130" t="s">
        <v>28</v>
      </c>
      <c r="G7130" t="s">
        <v>12</v>
      </c>
      <c r="H7130" s="1">
        <v>45779</v>
      </c>
    </row>
    <row r="7131" spans="1:8">
      <c r="A7131" t="s">
        <v>14202</v>
      </c>
      <c r="B7131" t="s">
        <v>14203</v>
      </c>
      <c r="C7131" t="s">
        <v>10</v>
      </c>
      <c r="D7131">
        <v>25</v>
      </c>
      <c r="E7131" t="s">
        <v>87</v>
      </c>
      <c r="F7131" t="s">
        <v>88</v>
      </c>
      <c r="G7131" t="s">
        <v>78</v>
      </c>
      <c r="H7131" s="1">
        <v>45560</v>
      </c>
    </row>
    <row r="7132" spans="1:8">
      <c r="A7132" t="s">
        <v>14204</v>
      </c>
      <c r="B7132" t="s">
        <v>14205</v>
      </c>
      <c r="C7132" t="s">
        <v>31</v>
      </c>
      <c r="D7132">
        <v>43</v>
      </c>
      <c r="E7132" t="s">
        <v>87</v>
      </c>
      <c r="F7132" t="s">
        <v>88</v>
      </c>
      <c r="G7132" t="s">
        <v>78</v>
      </c>
      <c r="H7132" s="1">
        <v>44717</v>
      </c>
    </row>
    <row r="7133" spans="1:8">
      <c r="A7133" t="s">
        <v>14206</v>
      </c>
      <c r="B7133" t="s">
        <v>14207</v>
      </c>
      <c r="C7133" t="s">
        <v>10</v>
      </c>
      <c r="D7133">
        <v>24</v>
      </c>
      <c r="E7133" t="s">
        <v>41</v>
      </c>
      <c r="F7133" t="s">
        <v>42</v>
      </c>
      <c r="G7133" t="s">
        <v>17</v>
      </c>
      <c r="H7133" s="1">
        <v>46021</v>
      </c>
    </row>
    <row r="7134" spans="1:8">
      <c r="A7134" t="s">
        <v>14208</v>
      </c>
      <c r="B7134" t="s">
        <v>14209</v>
      </c>
      <c r="C7134" t="s">
        <v>10</v>
      </c>
      <c r="D7134">
        <v>66</v>
      </c>
      <c r="E7134" t="s">
        <v>128</v>
      </c>
      <c r="F7134" t="s">
        <v>129</v>
      </c>
      <c r="G7134" t="s">
        <v>78</v>
      </c>
      <c r="H7134" s="1">
        <v>45055</v>
      </c>
    </row>
    <row r="7135" spans="1:8">
      <c r="A7135" t="s">
        <v>14210</v>
      </c>
      <c r="B7135" t="s">
        <v>14211</v>
      </c>
      <c r="C7135" t="s">
        <v>10</v>
      </c>
      <c r="D7135">
        <v>64</v>
      </c>
      <c r="E7135" t="s">
        <v>37</v>
      </c>
      <c r="F7135" t="s">
        <v>38</v>
      </c>
      <c r="G7135" t="s">
        <v>22</v>
      </c>
      <c r="H7135" s="1">
        <v>45183</v>
      </c>
    </row>
    <row r="7136" spans="1:8">
      <c r="A7136" t="s">
        <v>14212</v>
      </c>
      <c r="B7136" t="s">
        <v>14213</v>
      </c>
      <c r="C7136" t="s">
        <v>31</v>
      </c>
      <c r="D7136">
        <v>63</v>
      </c>
      <c r="E7136" t="s">
        <v>69</v>
      </c>
      <c r="F7136" t="s">
        <v>69</v>
      </c>
      <c r="G7136" t="s">
        <v>12</v>
      </c>
      <c r="H7136" s="1">
        <v>44997</v>
      </c>
    </row>
    <row r="7137" spans="1:8">
      <c r="A7137" t="s">
        <v>14214</v>
      </c>
      <c r="B7137" t="s">
        <v>14215</v>
      </c>
      <c r="C7137" t="s">
        <v>31</v>
      </c>
      <c r="D7137">
        <v>36</v>
      </c>
      <c r="E7137" t="s">
        <v>41</v>
      </c>
      <c r="F7137" t="s">
        <v>42</v>
      </c>
      <c r="G7137" t="s">
        <v>17</v>
      </c>
      <c r="H7137" s="1">
        <v>45932</v>
      </c>
    </row>
    <row r="7138" spans="1:8">
      <c r="A7138" t="s">
        <v>14216</v>
      </c>
      <c r="B7138" t="s">
        <v>14217</v>
      </c>
      <c r="C7138" t="s">
        <v>10</v>
      </c>
      <c r="D7138">
        <v>21</v>
      </c>
      <c r="E7138" t="s">
        <v>149</v>
      </c>
      <c r="F7138" t="s">
        <v>38</v>
      </c>
      <c r="G7138" t="s">
        <v>22</v>
      </c>
      <c r="H7138" s="1">
        <v>45500</v>
      </c>
    </row>
    <row r="7139" spans="1:8">
      <c r="A7139" t="s">
        <v>14218</v>
      </c>
      <c r="B7139" t="s">
        <v>14219</v>
      </c>
      <c r="C7139" t="s">
        <v>10</v>
      </c>
      <c r="D7139">
        <v>39</v>
      </c>
      <c r="E7139" t="s">
        <v>60</v>
      </c>
      <c r="F7139" t="s">
        <v>21</v>
      </c>
      <c r="G7139" t="s">
        <v>22</v>
      </c>
      <c r="H7139" s="1">
        <v>44809</v>
      </c>
    </row>
    <row r="7140" spans="1:8">
      <c r="A7140" t="s">
        <v>14220</v>
      </c>
      <c r="B7140" t="s">
        <v>14221</v>
      </c>
      <c r="C7140" t="s">
        <v>10</v>
      </c>
      <c r="D7140">
        <v>23</v>
      </c>
      <c r="E7140" t="s">
        <v>45</v>
      </c>
      <c r="F7140" t="s">
        <v>46</v>
      </c>
      <c r="G7140" t="s">
        <v>17</v>
      </c>
      <c r="H7140" s="1">
        <v>44756</v>
      </c>
    </row>
    <row r="7141" spans="1:8">
      <c r="A7141" t="s">
        <v>14222</v>
      </c>
      <c r="B7141" t="s">
        <v>14223</v>
      </c>
      <c r="C7141" t="s">
        <v>10</v>
      </c>
      <c r="D7141">
        <v>66</v>
      </c>
      <c r="E7141" t="s">
        <v>27</v>
      </c>
      <c r="F7141" t="s">
        <v>28</v>
      </c>
      <c r="G7141" t="s">
        <v>12</v>
      </c>
      <c r="H7141" s="1">
        <v>44625</v>
      </c>
    </row>
    <row r="7142" spans="1:8">
      <c r="A7142" t="s">
        <v>14224</v>
      </c>
      <c r="B7142" t="s">
        <v>14225</v>
      </c>
      <c r="C7142" t="s">
        <v>10</v>
      </c>
      <c r="D7142">
        <v>57</v>
      </c>
      <c r="E7142" t="s">
        <v>41</v>
      </c>
      <c r="F7142" t="s">
        <v>42</v>
      </c>
      <c r="G7142" t="s">
        <v>17</v>
      </c>
      <c r="H7142" s="1">
        <v>45732</v>
      </c>
    </row>
    <row r="7143" spans="1:8">
      <c r="A7143" t="s">
        <v>14226</v>
      </c>
      <c r="B7143" t="s">
        <v>14227</v>
      </c>
      <c r="C7143" t="s">
        <v>10</v>
      </c>
      <c r="D7143">
        <v>27</v>
      </c>
      <c r="E7143" t="s">
        <v>149</v>
      </c>
      <c r="F7143" t="s">
        <v>38</v>
      </c>
      <c r="G7143" t="s">
        <v>22</v>
      </c>
      <c r="H7143" s="1">
        <v>45405</v>
      </c>
    </row>
    <row r="7144" spans="1:8">
      <c r="A7144" t="s">
        <v>14228</v>
      </c>
      <c r="B7144" t="s">
        <v>14229</v>
      </c>
      <c r="C7144" t="s">
        <v>10</v>
      </c>
      <c r="D7144">
        <v>54</v>
      </c>
      <c r="E7144" t="s">
        <v>37</v>
      </c>
      <c r="F7144" t="s">
        <v>38</v>
      </c>
      <c r="G7144" t="s">
        <v>22</v>
      </c>
      <c r="H7144" s="1">
        <v>44978</v>
      </c>
    </row>
    <row r="7145" spans="1:8">
      <c r="A7145" t="s">
        <v>14230</v>
      </c>
      <c r="B7145" t="s">
        <v>14231</v>
      </c>
      <c r="C7145" t="s">
        <v>10</v>
      </c>
      <c r="D7145">
        <v>44</v>
      </c>
      <c r="E7145" t="s">
        <v>134</v>
      </c>
      <c r="F7145" t="s">
        <v>28</v>
      </c>
      <c r="G7145" t="s">
        <v>12</v>
      </c>
      <c r="H7145" s="1">
        <v>45502</v>
      </c>
    </row>
    <row r="7146" spans="1:8">
      <c r="A7146" t="s">
        <v>14232</v>
      </c>
      <c r="B7146" t="s">
        <v>14233</v>
      </c>
      <c r="C7146" t="s">
        <v>10</v>
      </c>
      <c r="D7146">
        <v>67</v>
      </c>
      <c r="E7146" t="s">
        <v>60</v>
      </c>
      <c r="F7146" t="s">
        <v>21</v>
      </c>
      <c r="G7146" t="s">
        <v>22</v>
      </c>
      <c r="H7146" s="1">
        <v>44835</v>
      </c>
    </row>
    <row r="7147" spans="1:8">
      <c r="A7147" t="s">
        <v>14234</v>
      </c>
      <c r="B7147" t="s">
        <v>14235</v>
      </c>
      <c r="C7147" t="s">
        <v>31</v>
      </c>
      <c r="D7147">
        <v>18</v>
      </c>
      <c r="E7147" t="s">
        <v>11</v>
      </c>
      <c r="F7147" t="s">
        <v>11</v>
      </c>
      <c r="G7147" t="s">
        <v>12</v>
      </c>
      <c r="H7147" s="1">
        <v>44948</v>
      </c>
    </row>
    <row r="7148" spans="1:8">
      <c r="A7148" t="s">
        <v>14236</v>
      </c>
      <c r="B7148" t="s">
        <v>14237</v>
      </c>
      <c r="C7148" t="s">
        <v>31</v>
      </c>
      <c r="D7148">
        <v>20</v>
      </c>
      <c r="E7148" t="s">
        <v>128</v>
      </c>
      <c r="F7148" t="s">
        <v>129</v>
      </c>
      <c r="G7148" t="s">
        <v>78</v>
      </c>
      <c r="H7148" s="1">
        <v>44605</v>
      </c>
    </row>
    <row r="7149" spans="1:8">
      <c r="A7149" t="s">
        <v>14238</v>
      </c>
      <c r="B7149" t="s">
        <v>14239</v>
      </c>
      <c r="C7149" t="s">
        <v>10</v>
      </c>
      <c r="D7149">
        <v>51</v>
      </c>
      <c r="E7149" t="s">
        <v>69</v>
      </c>
      <c r="F7149" t="s">
        <v>69</v>
      </c>
      <c r="G7149" t="s">
        <v>12</v>
      </c>
      <c r="H7149" s="1">
        <v>45627</v>
      </c>
    </row>
    <row r="7150" spans="1:8">
      <c r="A7150" t="s">
        <v>14240</v>
      </c>
      <c r="B7150" t="s">
        <v>14241</v>
      </c>
      <c r="C7150" t="s">
        <v>31</v>
      </c>
      <c r="D7150">
        <v>66</v>
      </c>
      <c r="E7150" t="s">
        <v>69</v>
      </c>
      <c r="F7150" t="s">
        <v>69</v>
      </c>
      <c r="G7150" t="s">
        <v>12</v>
      </c>
      <c r="H7150" s="1">
        <v>46005</v>
      </c>
    </row>
    <row r="7151" spans="1:8">
      <c r="A7151" t="s">
        <v>14242</v>
      </c>
      <c r="B7151" t="s">
        <v>14243</v>
      </c>
      <c r="C7151" t="s">
        <v>10</v>
      </c>
      <c r="D7151">
        <v>20</v>
      </c>
      <c r="E7151" t="s">
        <v>27</v>
      </c>
      <c r="F7151" t="s">
        <v>28</v>
      </c>
      <c r="G7151" t="s">
        <v>12</v>
      </c>
      <c r="H7151" s="1">
        <v>45022</v>
      </c>
    </row>
    <row r="7152" spans="1:8">
      <c r="A7152" t="s">
        <v>14244</v>
      </c>
      <c r="B7152" t="s">
        <v>14245</v>
      </c>
      <c r="C7152" t="s">
        <v>10</v>
      </c>
      <c r="D7152">
        <v>35</v>
      </c>
      <c r="E7152" t="s">
        <v>20</v>
      </c>
      <c r="F7152" t="s">
        <v>21</v>
      </c>
      <c r="G7152" t="s">
        <v>22</v>
      </c>
      <c r="H7152" s="1">
        <v>45730</v>
      </c>
    </row>
    <row r="7153" spans="1:8">
      <c r="A7153" t="s">
        <v>14246</v>
      </c>
      <c r="B7153" t="s">
        <v>14247</v>
      </c>
      <c r="C7153" t="s">
        <v>31</v>
      </c>
      <c r="D7153">
        <v>49</v>
      </c>
      <c r="E7153" t="s">
        <v>60</v>
      </c>
      <c r="F7153" t="s">
        <v>21</v>
      </c>
      <c r="G7153" t="s">
        <v>22</v>
      </c>
      <c r="H7153" s="1">
        <v>44878</v>
      </c>
    </row>
    <row r="7154" spans="1:8">
      <c r="A7154" t="s">
        <v>14248</v>
      </c>
      <c r="B7154" t="s">
        <v>14249</v>
      </c>
      <c r="C7154" t="s">
        <v>31</v>
      </c>
      <c r="D7154">
        <v>61</v>
      </c>
      <c r="E7154" t="s">
        <v>27</v>
      </c>
      <c r="F7154" t="s">
        <v>28</v>
      </c>
      <c r="G7154" t="s">
        <v>12</v>
      </c>
      <c r="H7154" s="1">
        <v>45463</v>
      </c>
    </row>
    <row r="7155" spans="1:8">
      <c r="A7155" t="s">
        <v>14250</v>
      </c>
      <c r="B7155" t="s">
        <v>14251</v>
      </c>
      <c r="C7155" t="s">
        <v>10</v>
      </c>
      <c r="D7155">
        <v>48</v>
      </c>
      <c r="E7155" t="s">
        <v>41</v>
      </c>
      <c r="F7155" t="s">
        <v>42</v>
      </c>
      <c r="G7155" t="s">
        <v>17</v>
      </c>
      <c r="H7155" s="1">
        <v>45273</v>
      </c>
    </row>
    <row r="7156" spans="1:8">
      <c r="A7156" t="s">
        <v>14252</v>
      </c>
      <c r="B7156" t="s">
        <v>14253</v>
      </c>
      <c r="C7156" t="s">
        <v>31</v>
      </c>
      <c r="D7156">
        <v>38</v>
      </c>
      <c r="E7156" t="s">
        <v>134</v>
      </c>
      <c r="F7156" t="s">
        <v>28</v>
      </c>
      <c r="G7156" t="s">
        <v>12</v>
      </c>
      <c r="H7156" s="1">
        <v>45258</v>
      </c>
    </row>
    <row r="7157" spans="1:8">
      <c r="A7157" t="s">
        <v>14254</v>
      </c>
      <c r="B7157" t="s">
        <v>14255</v>
      </c>
      <c r="C7157" t="s">
        <v>31</v>
      </c>
      <c r="D7157">
        <v>41</v>
      </c>
      <c r="E7157" t="s">
        <v>149</v>
      </c>
      <c r="F7157" t="s">
        <v>38</v>
      </c>
      <c r="G7157" t="s">
        <v>22</v>
      </c>
      <c r="H7157" s="1">
        <v>45526</v>
      </c>
    </row>
    <row r="7158" spans="1:8">
      <c r="A7158" t="s">
        <v>14256</v>
      </c>
      <c r="B7158" t="s">
        <v>14257</v>
      </c>
      <c r="C7158" t="s">
        <v>10</v>
      </c>
      <c r="D7158">
        <v>50</v>
      </c>
      <c r="E7158" t="s">
        <v>11</v>
      </c>
      <c r="F7158" t="s">
        <v>11</v>
      </c>
      <c r="G7158" t="s">
        <v>12</v>
      </c>
      <c r="H7158" s="1">
        <v>45786</v>
      </c>
    </row>
    <row r="7159" spans="1:8">
      <c r="A7159" t="s">
        <v>14258</v>
      </c>
      <c r="B7159" t="s">
        <v>14259</v>
      </c>
      <c r="C7159" t="s">
        <v>31</v>
      </c>
      <c r="D7159">
        <v>48</v>
      </c>
      <c r="E7159" t="s">
        <v>218</v>
      </c>
      <c r="F7159" t="s">
        <v>219</v>
      </c>
      <c r="G7159" t="s">
        <v>17</v>
      </c>
      <c r="H7159" s="1">
        <v>45117</v>
      </c>
    </row>
    <row r="7160" spans="1:8">
      <c r="A7160" t="s">
        <v>14260</v>
      </c>
      <c r="B7160" t="s">
        <v>14261</v>
      </c>
      <c r="C7160" t="s">
        <v>10</v>
      </c>
      <c r="D7160">
        <v>37</v>
      </c>
      <c r="E7160" t="s">
        <v>20</v>
      </c>
      <c r="F7160" t="s">
        <v>21</v>
      </c>
      <c r="G7160" t="s">
        <v>22</v>
      </c>
      <c r="H7160" s="1">
        <v>44644</v>
      </c>
    </row>
    <row r="7161" spans="1:8">
      <c r="A7161" t="s">
        <v>14262</v>
      </c>
      <c r="B7161" t="s">
        <v>14263</v>
      </c>
      <c r="C7161" t="s">
        <v>10</v>
      </c>
      <c r="D7161">
        <v>29</v>
      </c>
      <c r="E7161" t="s">
        <v>101</v>
      </c>
      <c r="F7161" t="s">
        <v>21</v>
      </c>
      <c r="G7161" t="s">
        <v>22</v>
      </c>
      <c r="H7161" s="1">
        <v>44867</v>
      </c>
    </row>
    <row r="7162" spans="1:8">
      <c r="A7162" t="s">
        <v>14264</v>
      </c>
      <c r="B7162" t="s">
        <v>14265</v>
      </c>
      <c r="C7162" t="s">
        <v>10</v>
      </c>
      <c r="D7162">
        <v>21</v>
      </c>
      <c r="E7162" t="s">
        <v>101</v>
      </c>
      <c r="F7162" t="s">
        <v>21</v>
      </c>
      <c r="G7162" t="s">
        <v>22</v>
      </c>
      <c r="H7162" s="1">
        <v>45375</v>
      </c>
    </row>
    <row r="7163" spans="1:8">
      <c r="A7163" t="s">
        <v>14266</v>
      </c>
      <c r="B7163" t="s">
        <v>14267</v>
      </c>
      <c r="C7163" t="s">
        <v>31</v>
      </c>
      <c r="D7163">
        <v>40</v>
      </c>
      <c r="E7163" t="s">
        <v>41</v>
      </c>
      <c r="F7163" t="s">
        <v>42</v>
      </c>
      <c r="G7163" t="s">
        <v>17</v>
      </c>
      <c r="H7163" s="1">
        <v>45920</v>
      </c>
    </row>
    <row r="7164" spans="1:8">
      <c r="A7164" t="s">
        <v>14268</v>
      </c>
      <c r="B7164" t="s">
        <v>14269</v>
      </c>
      <c r="C7164" t="s">
        <v>10</v>
      </c>
      <c r="D7164">
        <v>33</v>
      </c>
      <c r="E7164" t="s">
        <v>45</v>
      </c>
      <c r="F7164" t="s">
        <v>46</v>
      </c>
      <c r="G7164" t="s">
        <v>17</v>
      </c>
      <c r="H7164" s="1">
        <v>45469</v>
      </c>
    </row>
    <row r="7165" spans="1:8">
      <c r="A7165" t="s">
        <v>14270</v>
      </c>
      <c r="B7165" t="s">
        <v>14271</v>
      </c>
      <c r="C7165" t="s">
        <v>31</v>
      </c>
      <c r="D7165">
        <v>67</v>
      </c>
      <c r="E7165" t="s">
        <v>15</v>
      </c>
      <c r="F7165" t="s">
        <v>16</v>
      </c>
      <c r="G7165" t="s">
        <v>17</v>
      </c>
      <c r="H7165" s="1">
        <v>45507</v>
      </c>
    </row>
    <row r="7166" spans="1:8">
      <c r="A7166" t="s">
        <v>14272</v>
      </c>
      <c r="B7166" t="s">
        <v>14273</v>
      </c>
      <c r="C7166" t="s">
        <v>31</v>
      </c>
      <c r="D7166">
        <v>23</v>
      </c>
      <c r="E7166" t="s">
        <v>69</v>
      </c>
      <c r="F7166" t="s">
        <v>69</v>
      </c>
      <c r="G7166" t="s">
        <v>12</v>
      </c>
      <c r="H7166" s="1">
        <v>45027</v>
      </c>
    </row>
    <row r="7167" spans="1:8">
      <c r="A7167" t="s">
        <v>14274</v>
      </c>
      <c r="B7167" t="s">
        <v>14275</v>
      </c>
      <c r="C7167" t="s">
        <v>10</v>
      </c>
      <c r="D7167">
        <v>35</v>
      </c>
      <c r="E7167" t="s">
        <v>37</v>
      </c>
      <c r="F7167" t="s">
        <v>38</v>
      </c>
      <c r="G7167" t="s">
        <v>22</v>
      </c>
      <c r="H7167" s="1">
        <v>44862</v>
      </c>
    </row>
    <row r="7168" spans="1:8">
      <c r="A7168" t="s">
        <v>14276</v>
      </c>
      <c r="B7168" t="s">
        <v>14277</v>
      </c>
      <c r="C7168" t="s">
        <v>10</v>
      </c>
      <c r="D7168">
        <v>26</v>
      </c>
      <c r="E7168" t="s">
        <v>149</v>
      </c>
      <c r="F7168" t="s">
        <v>38</v>
      </c>
      <c r="G7168" t="s">
        <v>22</v>
      </c>
      <c r="H7168" s="1">
        <v>45315</v>
      </c>
    </row>
    <row r="7169" spans="1:8">
      <c r="A7169" t="s">
        <v>14278</v>
      </c>
      <c r="B7169" t="s">
        <v>14279</v>
      </c>
      <c r="C7169" t="s">
        <v>31</v>
      </c>
      <c r="D7169">
        <v>66</v>
      </c>
      <c r="E7169" t="s">
        <v>60</v>
      </c>
      <c r="F7169" t="s">
        <v>21</v>
      </c>
      <c r="G7169" t="s">
        <v>22</v>
      </c>
      <c r="H7169" s="1">
        <v>44971</v>
      </c>
    </row>
    <row r="7170" spans="1:8">
      <c r="A7170" t="s">
        <v>14280</v>
      </c>
      <c r="B7170" t="s">
        <v>14281</v>
      </c>
      <c r="C7170" t="s">
        <v>10</v>
      </c>
      <c r="D7170">
        <v>64</v>
      </c>
      <c r="E7170" t="s">
        <v>27</v>
      </c>
      <c r="F7170" t="s">
        <v>28</v>
      </c>
      <c r="G7170" t="s">
        <v>12</v>
      </c>
      <c r="H7170" s="1">
        <v>44612</v>
      </c>
    </row>
    <row r="7171" spans="1:8">
      <c r="A7171" t="s">
        <v>14282</v>
      </c>
      <c r="B7171" t="s">
        <v>14283</v>
      </c>
      <c r="C7171" t="s">
        <v>31</v>
      </c>
      <c r="D7171">
        <v>56</v>
      </c>
      <c r="E7171" t="s">
        <v>63</v>
      </c>
      <c r="F7171" t="s">
        <v>64</v>
      </c>
      <c r="G7171" t="s">
        <v>12</v>
      </c>
      <c r="H7171" s="1">
        <v>45380</v>
      </c>
    </row>
    <row r="7172" spans="1:8">
      <c r="A7172" t="s">
        <v>14284</v>
      </c>
      <c r="B7172" t="s">
        <v>14285</v>
      </c>
      <c r="C7172" t="s">
        <v>31</v>
      </c>
      <c r="D7172">
        <v>45</v>
      </c>
      <c r="E7172" t="s">
        <v>76</v>
      </c>
      <c r="F7172" t="s">
        <v>77</v>
      </c>
      <c r="G7172" t="s">
        <v>78</v>
      </c>
      <c r="H7172" s="1">
        <v>44840</v>
      </c>
    </row>
    <row r="7173" spans="1:8">
      <c r="A7173" t="s">
        <v>14286</v>
      </c>
      <c r="B7173" t="s">
        <v>14287</v>
      </c>
      <c r="C7173" t="s">
        <v>10</v>
      </c>
      <c r="D7173">
        <v>52</v>
      </c>
      <c r="E7173" t="s">
        <v>45</v>
      </c>
      <c r="F7173" t="s">
        <v>46</v>
      </c>
      <c r="G7173" t="s">
        <v>17</v>
      </c>
      <c r="H7173" s="1">
        <v>44827</v>
      </c>
    </row>
    <row r="7174" spans="1:8">
      <c r="A7174" t="s">
        <v>14288</v>
      </c>
      <c r="B7174" t="s">
        <v>10987</v>
      </c>
      <c r="C7174" t="s">
        <v>10</v>
      </c>
      <c r="D7174">
        <v>47</v>
      </c>
      <c r="E7174" t="s">
        <v>112</v>
      </c>
      <c r="F7174" t="s">
        <v>113</v>
      </c>
      <c r="G7174" t="s">
        <v>78</v>
      </c>
      <c r="H7174" s="1">
        <v>44888</v>
      </c>
    </row>
    <row r="7175" spans="1:8">
      <c r="A7175" t="s">
        <v>14289</v>
      </c>
      <c r="B7175" t="s">
        <v>14290</v>
      </c>
      <c r="C7175" t="s">
        <v>10</v>
      </c>
      <c r="D7175">
        <v>29</v>
      </c>
      <c r="E7175" t="s">
        <v>34</v>
      </c>
      <c r="F7175" t="s">
        <v>16</v>
      </c>
      <c r="G7175" t="s">
        <v>17</v>
      </c>
      <c r="H7175" s="1">
        <v>45580</v>
      </c>
    </row>
    <row r="7176" spans="1:8">
      <c r="A7176" t="s">
        <v>14291</v>
      </c>
      <c r="B7176" t="s">
        <v>14292</v>
      </c>
      <c r="C7176" t="s">
        <v>10</v>
      </c>
      <c r="D7176">
        <v>20</v>
      </c>
      <c r="E7176" t="s">
        <v>60</v>
      </c>
      <c r="F7176" t="s">
        <v>21</v>
      </c>
      <c r="G7176" t="s">
        <v>22</v>
      </c>
      <c r="H7176" s="1">
        <v>44987</v>
      </c>
    </row>
    <row r="7177" spans="1:8">
      <c r="A7177" t="s">
        <v>14293</v>
      </c>
      <c r="B7177" t="s">
        <v>14294</v>
      </c>
      <c r="C7177" t="s">
        <v>10</v>
      </c>
      <c r="D7177">
        <v>18</v>
      </c>
      <c r="E7177" t="s">
        <v>34</v>
      </c>
      <c r="F7177" t="s">
        <v>16</v>
      </c>
      <c r="G7177" t="s">
        <v>17</v>
      </c>
      <c r="H7177" s="1">
        <v>45527</v>
      </c>
    </row>
    <row r="7178" spans="1:8">
      <c r="A7178" t="s">
        <v>14295</v>
      </c>
      <c r="B7178" t="s">
        <v>14296</v>
      </c>
      <c r="C7178" t="s">
        <v>10</v>
      </c>
      <c r="D7178">
        <v>59</v>
      </c>
      <c r="E7178" t="s">
        <v>60</v>
      </c>
      <c r="F7178" t="s">
        <v>21</v>
      </c>
      <c r="G7178" t="s">
        <v>22</v>
      </c>
      <c r="H7178" s="1">
        <v>45201</v>
      </c>
    </row>
    <row r="7179" spans="1:8">
      <c r="A7179" t="s">
        <v>14297</v>
      </c>
      <c r="B7179" t="s">
        <v>14298</v>
      </c>
      <c r="C7179" t="s">
        <v>31</v>
      </c>
      <c r="D7179">
        <v>18</v>
      </c>
      <c r="E7179" t="s">
        <v>15</v>
      </c>
      <c r="F7179" t="s">
        <v>16</v>
      </c>
      <c r="G7179" t="s">
        <v>17</v>
      </c>
      <c r="H7179" s="1">
        <v>44980</v>
      </c>
    </row>
    <row r="7180" spans="1:8">
      <c r="A7180" t="s">
        <v>14299</v>
      </c>
      <c r="B7180" t="s">
        <v>14300</v>
      </c>
      <c r="C7180" t="s">
        <v>10</v>
      </c>
      <c r="D7180">
        <v>61</v>
      </c>
      <c r="E7180" t="s">
        <v>34</v>
      </c>
      <c r="F7180" t="s">
        <v>16</v>
      </c>
      <c r="G7180" t="s">
        <v>17</v>
      </c>
      <c r="H7180" s="1">
        <v>45039</v>
      </c>
    </row>
    <row r="7181" spans="1:8">
      <c r="A7181" t="s">
        <v>14301</v>
      </c>
      <c r="B7181" t="s">
        <v>14302</v>
      </c>
      <c r="C7181" t="s">
        <v>10</v>
      </c>
      <c r="D7181">
        <v>52</v>
      </c>
      <c r="E7181" t="s">
        <v>218</v>
      </c>
      <c r="F7181" t="s">
        <v>219</v>
      </c>
      <c r="G7181" t="s">
        <v>17</v>
      </c>
      <c r="H7181" s="1">
        <v>45615</v>
      </c>
    </row>
    <row r="7182" spans="1:8">
      <c r="A7182" t="s">
        <v>14303</v>
      </c>
      <c r="B7182" t="s">
        <v>14304</v>
      </c>
      <c r="C7182" t="s">
        <v>10</v>
      </c>
      <c r="D7182">
        <v>26</v>
      </c>
      <c r="E7182" t="s">
        <v>41</v>
      </c>
      <c r="F7182" t="s">
        <v>42</v>
      </c>
      <c r="G7182" t="s">
        <v>17</v>
      </c>
      <c r="H7182" s="1">
        <v>45861</v>
      </c>
    </row>
    <row r="7183" spans="1:8">
      <c r="A7183" t="s">
        <v>14305</v>
      </c>
      <c r="B7183" t="s">
        <v>14306</v>
      </c>
      <c r="C7183" t="s">
        <v>10</v>
      </c>
      <c r="D7183">
        <v>35</v>
      </c>
      <c r="E7183" t="s">
        <v>149</v>
      </c>
      <c r="F7183" t="s">
        <v>38</v>
      </c>
      <c r="G7183" t="s">
        <v>22</v>
      </c>
      <c r="H7183" s="1">
        <v>45683</v>
      </c>
    </row>
    <row r="7184" spans="1:8">
      <c r="A7184" t="s">
        <v>14307</v>
      </c>
      <c r="B7184" t="s">
        <v>14308</v>
      </c>
      <c r="C7184" t="s">
        <v>31</v>
      </c>
      <c r="D7184">
        <v>66</v>
      </c>
      <c r="E7184" t="s">
        <v>149</v>
      </c>
      <c r="F7184" t="s">
        <v>38</v>
      </c>
      <c r="G7184" t="s">
        <v>22</v>
      </c>
      <c r="H7184" s="1">
        <v>44768</v>
      </c>
    </row>
    <row r="7185" spans="1:8">
      <c r="A7185" t="s">
        <v>14309</v>
      </c>
      <c r="B7185" t="s">
        <v>14310</v>
      </c>
      <c r="C7185" t="s">
        <v>31</v>
      </c>
      <c r="D7185">
        <v>54</v>
      </c>
      <c r="E7185" t="s">
        <v>87</v>
      </c>
      <c r="F7185" t="s">
        <v>88</v>
      </c>
      <c r="G7185" t="s">
        <v>78</v>
      </c>
      <c r="H7185" s="1">
        <v>45539</v>
      </c>
    </row>
    <row r="7186" spans="1:8">
      <c r="A7186" t="s">
        <v>14311</v>
      </c>
      <c r="B7186" t="s">
        <v>14312</v>
      </c>
      <c r="C7186" t="s">
        <v>31</v>
      </c>
      <c r="D7186">
        <v>36</v>
      </c>
      <c r="E7186" t="s">
        <v>27</v>
      </c>
      <c r="F7186" t="s">
        <v>28</v>
      </c>
      <c r="G7186" t="s">
        <v>12</v>
      </c>
      <c r="H7186" s="1">
        <v>44595</v>
      </c>
    </row>
    <row r="7187" spans="1:8">
      <c r="A7187" t="s">
        <v>14313</v>
      </c>
      <c r="B7187" t="s">
        <v>14314</v>
      </c>
      <c r="C7187" t="s">
        <v>31</v>
      </c>
      <c r="D7187">
        <v>64</v>
      </c>
      <c r="E7187" t="s">
        <v>37</v>
      </c>
      <c r="F7187" t="s">
        <v>38</v>
      </c>
      <c r="G7187" t="s">
        <v>22</v>
      </c>
      <c r="H7187" s="1">
        <v>45191</v>
      </c>
    </row>
    <row r="7188" spans="1:8">
      <c r="A7188" t="s">
        <v>14315</v>
      </c>
      <c r="B7188" t="s">
        <v>14316</v>
      </c>
      <c r="C7188" t="s">
        <v>31</v>
      </c>
      <c r="D7188">
        <v>49</v>
      </c>
      <c r="E7188" t="s">
        <v>76</v>
      </c>
      <c r="F7188" t="s">
        <v>77</v>
      </c>
      <c r="G7188" t="s">
        <v>78</v>
      </c>
      <c r="H7188" s="1">
        <v>44758</v>
      </c>
    </row>
    <row r="7189" spans="1:8">
      <c r="A7189" t="s">
        <v>14317</v>
      </c>
      <c r="B7189" t="s">
        <v>14318</v>
      </c>
      <c r="C7189" t="s">
        <v>31</v>
      </c>
      <c r="D7189">
        <v>57</v>
      </c>
      <c r="E7189" t="s">
        <v>27</v>
      </c>
      <c r="F7189" t="s">
        <v>28</v>
      </c>
      <c r="G7189" t="s">
        <v>12</v>
      </c>
      <c r="H7189" s="1">
        <v>45017</v>
      </c>
    </row>
    <row r="7190" spans="1:8">
      <c r="A7190" t="s">
        <v>14319</v>
      </c>
      <c r="B7190" t="s">
        <v>14320</v>
      </c>
      <c r="C7190" t="s">
        <v>10</v>
      </c>
      <c r="D7190">
        <v>38</v>
      </c>
      <c r="E7190" t="s">
        <v>69</v>
      </c>
      <c r="F7190" t="s">
        <v>69</v>
      </c>
      <c r="G7190" t="s">
        <v>12</v>
      </c>
      <c r="H7190" s="1">
        <v>45154</v>
      </c>
    </row>
    <row r="7191" spans="1:8">
      <c r="A7191" t="s">
        <v>14321</v>
      </c>
      <c r="B7191" t="s">
        <v>14322</v>
      </c>
      <c r="C7191" t="s">
        <v>31</v>
      </c>
      <c r="D7191">
        <v>30</v>
      </c>
      <c r="E7191" t="s">
        <v>34</v>
      </c>
      <c r="F7191" t="s">
        <v>16</v>
      </c>
      <c r="G7191" t="s">
        <v>17</v>
      </c>
      <c r="H7191" s="1">
        <v>45850</v>
      </c>
    </row>
    <row r="7192" spans="1:8">
      <c r="A7192" t="s">
        <v>14323</v>
      </c>
      <c r="B7192" t="s">
        <v>14324</v>
      </c>
      <c r="C7192" t="s">
        <v>31</v>
      </c>
      <c r="D7192">
        <v>57</v>
      </c>
      <c r="E7192" t="s">
        <v>27</v>
      </c>
      <c r="F7192" t="s">
        <v>28</v>
      </c>
      <c r="G7192" t="s">
        <v>12</v>
      </c>
      <c r="H7192" s="1">
        <v>45439</v>
      </c>
    </row>
    <row r="7193" spans="1:8">
      <c r="A7193" t="s">
        <v>14325</v>
      </c>
      <c r="B7193" t="s">
        <v>14326</v>
      </c>
      <c r="C7193" t="s">
        <v>10</v>
      </c>
      <c r="D7193">
        <v>58</v>
      </c>
      <c r="E7193" t="s">
        <v>34</v>
      </c>
      <c r="F7193" t="s">
        <v>16</v>
      </c>
      <c r="G7193" t="s">
        <v>17</v>
      </c>
      <c r="H7193" s="1">
        <v>45639</v>
      </c>
    </row>
    <row r="7194" spans="1:8">
      <c r="A7194" t="s">
        <v>14327</v>
      </c>
      <c r="B7194" t="s">
        <v>14328</v>
      </c>
      <c r="C7194" t="s">
        <v>31</v>
      </c>
      <c r="D7194">
        <v>57</v>
      </c>
      <c r="E7194" t="s">
        <v>11</v>
      </c>
      <c r="F7194" t="s">
        <v>11</v>
      </c>
      <c r="G7194" t="s">
        <v>12</v>
      </c>
      <c r="H7194" s="1">
        <v>45014</v>
      </c>
    </row>
    <row r="7195" spans="1:8">
      <c r="A7195" t="s">
        <v>14329</v>
      </c>
      <c r="B7195" t="s">
        <v>14330</v>
      </c>
      <c r="C7195" t="s">
        <v>10</v>
      </c>
      <c r="D7195">
        <v>61</v>
      </c>
      <c r="E7195" t="s">
        <v>112</v>
      </c>
      <c r="F7195" t="s">
        <v>113</v>
      </c>
      <c r="G7195" t="s">
        <v>78</v>
      </c>
      <c r="H7195" s="1">
        <v>45948</v>
      </c>
    </row>
    <row r="7196" spans="1:8">
      <c r="A7196" t="s">
        <v>14331</v>
      </c>
      <c r="B7196" t="s">
        <v>14332</v>
      </c>
      <c r="C7196" t="s">
        <v>10</v>
      </c>
      <c r="D7196">
        <v>28</v>
      </c>
      <c r="E7196" t="s">
        <v>45</v>
      </c>
      <c r="F7196" t="s">
        <v>46</v>
      </c>
      <c r="G7196" t="s">
        <v>17</v>
      </c>
      <c r="H7196" s="1">
        <v>44608</v>
      </c>
    </row>
    <row r="7197" spans="1:8">
      <c r="A7197" t="s">
        <v>14333</v>
      </c>
      <c r="B7197" t="s">
        <v>14334</v>
      </c>
      <c r="C7197" t="s">
        <v>31</v>
      </c>
      <c r="D7197">
        <v>40</v>
      </c>
      <c r="E7197" t="s">
        <v>218</v>
      </c>
      <c r="F7197" t="s">
        <v>219</v>
      </c>
      <c r="G7197" t="s">
        <v>17</v>
      </c>
      <c r="H7197" s="1">
        <v>45328</v>
      </c>
    </row>
    <row r="7198" spans="1:8">
      <c r="A7198" t="s">
        <v>14335</v>
      </c>
      <c r="B7198" t="s">
        <v>14336</v>
      </c>
      <c r="C7198" t="s">
        <v>10</v>
      </c>
      <c r="D7198">
        <v>26</v>
      </c>
      <c r="E7198" t="s">
        <v>11</v>
      </c>
      <c r="F7198" t="s">
        <v>11</v>
      </c>
      <c r="G7198" t="s">
        <v>12</v>
      </c>
      <c r="H7198" s="1">
        <v>45956</v>
      </c>
    </row>
    <row r="7199" spans="1:8">
      <c r="A7199" t="s">
        <v>14337</v>
      </c>
      <c r="B7199" t="s">
        <v>14338</v>
      </c>
      <c r="C7199" t="s">
        <v>31</v>
      </c>
      <c r="D7199">
        <v>65</v>
      </c>
      <c r="E7199" t="s">
        <v>149</v>
      </c>
      <c r="F7199" t="s">
        <v>38</v>
      </c>
      <c r="G7199" t="s">
        <v>22</v>
      </c>
      <c r="H7199" s="1">
        <v>45454</v>
      </c>
    </row>
    <row r="7200" spans="1:8">
      <c r="A7200" t="s">
        <v>14339</v>
      </c>
      <c r="B7200" t="s">
        <v>14340</v>
      </c>
      <c r="C7200" t="s">
        <v>10</v>
      </c>
      <c r="D7200">
        <v>43</v>
      </c>
      <c r="E7200" t="s">
        <v>69</v>
      </c>
      <c r="F7200" t="s">
        <v>69</v>
      </c>
      <c r="G7200" t="s">
        <v>12</v>
      </c>
      <c r="H7200" s="1">
        <v>45868</v>
      </c>
    </row>
    <row r="7201" spans="1:8">
      <c r="A7201" t="s">
        <v>14341</v>
      </c>
      <c r="B7201" t="s">
        <v>14342</v>
      </c>
      <c r="C7201" t="s">
        <v>31</v>
      </c>
      <c r="D7201">
        <v>44</v>
      </c>
      <c r="E7201" t="s">
        <v>63</v>
      </c>
      <c r="F7201" t="s">
        <v>64</v>
      </c>
      <c r="G7201" t="s">
        <v>12</v>
      </c>
      <c r="H7201" s="1">
        <v>45171</v>
      </c>
    </row>
    <row r="7202" spans="1:8">
      <c r="A7202" t="s">
        <v>14343</v>
      </c>
      <c r="B7202" t="s">
        <v>14344</v>
      </c>
      <c r="C7202" t="s">
        <v>31</v>
      </c>
      <c r="D7202">
        <v>33</v>
      </c>
      <c r="E7202" t="s">
        <v>37</v>
      </c>
      <c r="F7202" t="s">
        <v>38</v>
      </c>
      <c r="G7202" t="s">
        <v>22</v>
      </c>
      <c r="H7202" s="1">
        <v>45725</v>
      </c>
    </row>
    <row r="7203" spans="1:8">
      <c r="A7203" t="s">
        <v>14345</v>
      </c>
      <c r="B7203" t="s">
        <v>14346</v>
      </c>
      <c r="C7203" t="s">
        <v>10</v>
      </c>
      <c r="D7203">
        <v>64</v>
      </c>
      <c r="E7203" t="s">
        <v>218</v>
      </c>
      <c r="F7203" t="s">
        <v>219</v>
      </c>
      <c r="G7203" t="s">
        <v>17</v>
      </c>
      <c r="H7203" s="1">
        <v>45295</v>
      </c>
    </row>
    <row r="7204" spans="1:8">
      <c r="A7204" t="s">
        <v>14347</v>
      </c>
      <c r="B7204" t="s">
        <v>14348</v>
      </c>
      <c r="C7204" t="s">
        <v>10</v>
      </c>
      <c r="D7204">
        <v>37</v>
      </c>
      <c r="E7204" t="s">
        <v>218</v>
      </c>
      <c r="F7204" t="s">
        <v>219</v>
      </c>
      <c r="G7204" t="s">
        <v>17</v>
      </c>
      <c r="H7204" s="1">
        <v>45247</v>
      </c>
    </row>
    <row r="7205" spans="1:8">
      <c r="A7205" t="s">
        <v>14349</v>
      </c>
      <c r="B7205" t="s">
        <v>14350</v>
      </c>
      <c r="C7205" t="s">
        <v>10</v>
      </c>
      <c r="D7205">
        <v>27</v>
      </c>
      <c r="E7205" t="s">
        <v>41</v>
      </c>
      <c r="F7205" t="s">
        <v>42</v>
      </c>
      <c r="G7205" t="s">
        <v>17</v>
      </c>
      <c r="H7205" s="1">
        <v>45342</v>
      </c>
    </row>
    <row r="7206" spans="1:8">
      <c r="A7206" t="s">
        <v>14351</v>
      </c>
      <c r="B7206" t="s">
        <v>14352</v>
      </c>
      <c r="C7206" t="s">
        <v>31</v>
      </c>
      <c r="D7206">
        <v>33</v>
      </c>
      <c r="E7206" t="s">
        <v>45</v>
      </c>
      <c r="F7206" t="s">
        <v>46</v>
      </c>
      <c r="G7206" t="s">
        <v>17</v>
      </c>
      <c r="H7206" s="1">
        <v>45721</v>
      </c>
    </row>
    <row r="7207" spans="1:8">
      <c r="A7207" t="s">
        <v>14353</v>
      </c>
      <c r="B7207" t="s">
        <v>14354</v>
      </c>
      <c r="C7207" t="s">
        <v>10</v>
      </c>
      <c r="D7207">
        <v>54</v>
      </c>
      <c r="E7207" t="s">
        <v>112</v>
      </c>
      <c r="F7207" t="s">
        <v>113</v>
      </c>
      <c r="G7207" t="s">
        <v>78</v>
      </c>
      <c r="H7207" s="1">
        <v>45166</v>
      </c>
    </row>
    <row r="7208" spans="1:8">
      <c r="A7208" t="s">
        <v>14355</v>
      </c>
      <c r="B7208" t="s">
        <v>14356</v>
      </c>
      <c r="C7208" t="s">
        <v>31</v>
      </c>
      <c r="D7208">
        <v>57</v>
      </c>
      <c r="E7208" t="s">
        <v>69</v>
      </c>
      <c r="F7208" t="s">
        <v>69</v>
      </c>
      <c r="G7208" t="s">
        <v>12</v>
      </c>
      <c r="H7208" s="1">
        <v>45028</v>
      </c>
    </row>
    <row r="7209" spans="1:8">
      <c r="A7209" t="s">
        <v>14357</v>
      </c>
      <c r="B7209" t="s">
        <v>14358</v>
      </c>
      <c r="C7209" t="s">
        <v>10</v>
      </c>
      <c r="D7209">
        <v>30</v>
      </c>
      <c r="E7209" t="s">
        <v>60</v>
      </c>
      <c r="F7209" t="s">
        <v>21</v>
      </c>
      <c r="G7209" t="s">
        <v>22</v>
      </c>
      <c r="H7209" s="1">
        <v>45153</v>
      </c>
    </row>
    <row r="7210" spans="1:8">
      <c r="A7210" t="s">
        <v>14359</v>
      </c>
      <c r="B7210" t="s">
        <v>14360</v>
      </c>
      <c r="C7210" t="s">
        <v>31</v>
      </c>
      <c r="D7210">
        <v>44</v>
      </c>
      <c r="E7210" t="s">
        <v>37</v>
      </c>
      <c r="F7210" t="s">
        <v>38</v>
      </c>
      <c r="G7210" t="s">
        <v>22</v>
      </c>
      <c r="H7210" s="1">
        <v>45218</v>
      </c>
    </row>
    <row r="7211" spans="1:8">
      <c r="A7211" t="s">
        <v>14361</v>
      </c>
      <c r="B7211" t="s">
        <v>9977</v>
      </c>
      <c r="C7211" t="s">
        <v>10</v>
      </c>
      <c r="D7211">
        <v>48</v>
      </c>
      <c r="E7211" t="s">
        <v>37</v>
      </c>
      <c r="F7211" t="s">
        <v>38</v>
      </c>
      <c r="G7211" t="s">
        <v>22</v>
      </c>
      <c r="H7211" s="1">
        <v>44968</v>
      </c>
    </row>
    <row r="7212" spans="1:8">
      <c r="A7212" t="s">
        <v>14362</v>
      </c>
      <c r="B7212" t="s">
        <v>14363</v>
      </c>
      <c r="C7212" t="s">
        <v>10</v>
      </c>
      <c r="D7212">
        <v>21</v>
      </c>
      <c r="E7212" t="s">
        <v>41</v>
      </c>
      <c r="F7212" t="s">
        <v>42</v>
      </c>
      <c r="G7212" t="s">
        <v>17</v>
      </c>
      <c r="H7212" s="1">
        <v>45006</v>
      </c>
    </row>
    <row r="7213" spans="1:8">
      <c r="A7213" t="s">
        <v>14364</v>
      </c>
      <c r="B7213" t="s">
        <v>14365</v>
      </c>
      <c r="C7213" t="s">
        <v>10</v>
      </c>
      <c r="D7213">
        <v>65</v>
      </c>
      <c r="E7213" t="s">
        <v>15</v>
      </c>
      <c r="F7213" t="s">
        <v>16</v>
      </c>
      <c r="G7213" t="s">
        <v>17</v>
      </c>
      <c r="H7213" s="1">
        <v>44594</v>
      </c>
    </row>
    <row r="7214" spans="1:8">
      <c r="A7214" t="s">
        <v>14366</v>
      </c>
      <c r="B7214" t="s">
        <v>14367</v>
      </c>
      <c r="C7214" t="s">
        <v>31</v>
      </c>
      <c r="D7214">
        <v>60</v>
      </c>
      <c r="E7214" t="s">
        <v>69</v>
      </c>
      <c r="F7214" t="s">
        <v>69</v>
      </c>
      <c r="G7214" t="s">
        <v>12</v>
      </c>
      <c r="H7214" s="1">
        <v>44979</v>
      </c>
    </row>
    <row r="7215" spans="1:8">
      <c r="A7215" t="s">
        <v>14368</v>
      </c>
      <c r="B7215" t="s">
        <v>14369</v>
      </c>
      <c r="C7215" t="s">
        <v>31</v>
      </c>
      <c r="D7215">
        <v>60</v>
      </c>
      <c r="E7215" t="s">
        <v>101</v>
      </c>
      <c r="F7215" t="s">
        <v>21</v>
      </c>
      <c r="G7215" t="s">
        <v>22</v>
      </c>
      <c r="H7215" s="1">
        <v>45280</v>
      </c>
    </row>
    <row r="7216" spans="1:8">
      <c r="A7216" t="s">
        <v>14370</v>
      </c>
      <c r="B7216" t="s">
        <v>3759</v>
      </c>
      <c r="C7216" t="s">
        <v>10</v>
      </c>
      <c r="D7216">
        <v>28</v>
      </c>
      <c r="E7216" t="s">
        <v>63</v>
      </c>
      <c r="F7216" t="s">
        <v>64</v>
      </c>
      <c r="G7216" t="s">
        <v>12</v>
      </c>
      <c r="H7216" s="1">
        <v>46004</v>
      </c>
    </row>
    <row r="7217" spans="1:8">
      <c r="A7217" t="s">
        <v>14371</v>
      </c>
      <c r="B7217" t="s">
        <v>14372</v>
      </c>
      <c r="C7217" t="s">
        <v>31</v>
      </c>
      <c r="D7217">
        <v>35</v>
      </c>
      <c r="E7217" t="s">
        <v>76</v>
      </c>
      <c r="F7217" t="s">
        <v>77</v>
      </c>
      <c r="G7217" t="s">
        <v>78</v>
      </c>
      <c r="H7217" s="1">
        <v>45145</v>
      </c>
    </row>
    <row r="7218" spans="1:8">
      <c r="A7218" t="s">
        <v>14373</v>
      </c>
      <c r="B7218" t="s">
        <v>14374</v>
      </c>
      <c r="C7218" t="s">
        <v>31</v>
      </c>
      <c r="D7218">
        <v>60</v>
      </c>
      <c r="E7218" t="s">
        <v>60</v>
      </c>
      <c r="F7218" t="s">
        <v>21</v>
      </c>
      <c r="G7218" t="s">
        <v>22</v>
      </c>
      <c r="H7218" s="1">
        <v>44695</v>
      </c>
    </row>
    <row r="7219" spans="1:8">
      <c r="A7219" t="s">
        <v>14375</v>
      </c>
      <c r="B7219" t="s">
        <v>14376</v>
      </c>
      <c r="C7219" t="s">
        <v>10</v>
      </c>
      <c r="D7219">
        <v>20</v>
      </c>
      <c r="E7219" t="s">
        <v>20</v>
      </c>
      <c r="F7219" t="s">
        <v>21</v>
      </c>
      <c r="G7219" t="s">
        <v>22</v>
      </c>
      <c r="H7219" s="1">
        <v>45750</v>
      </c>
    </row>
    <row r="7220" spans="1:8">
      <c r="A7220" t="s">
        <v>14377</v>
      </c>
      <c r="B7220" t="s">
        <v>14378</v>
      </c>
      <c r="C7220" t="s">
        <v>31</v>
      </c>
      <c r="D7220">
        <v>43</v>
      </c>
      <c r="E7220" t="s">
        <v>134</v>
      </c>
      <c r="F7220" t="s">
        <v>28</v>
      </c>
      <c r="G7220" t="s">
        <v>12</v>
      </c>
      <c r="H7220" s="1">
        <v>45685</v>
      </c>
    </row>
    <row r="7221" spans="1:8">
      <c r="A7221" t="s">
        <v>14379</v>
      </c>
      <c r="B7221" t="s">
        <v>14380</v>
      </c>
      <c r="C7221" t="s">
        <v>10</v>
      </c>
      <c r="D7221">
        <v>65</v>
      </c>
      <c r="E7221" t="s">
        <v>11</v>
      </c>
      <c r="F7221" t="s">
        <v>11</v>
      </c>
      <c r="G7221" t="s">
        <v>12</v>
      </c>
      <c r="H7221" s="1">
        <v>45467</v>
      </c>
    </row>
    <row r="7222" spans="1:8">
      <c r="A7222" t="s">
        <v>14381</v>
      </c>
      <c r="B7222" t="s">
        <v>14382</v>
      </c>
      <c r="C7222" t="s">
        <v>31</v>
      </c>
      <c r="D7222">
        <v>67</v>
      </c>
      <c r="E7222" t="s">
        <v>45</v>
      </c>
      <c r="F7222" t="s">
        <v>46</v>
      </c>
      <c r="G7222" t="s">
        <v>17</v>
      </c>
      <c r="H7222" s="1">
        <v>45185</v>
      </c>
    </row>
    <row r="7223" spans="1:8">
      <c r="A7223" t="s">
        <v>14383</v>
      </c>
      <c r="B7223" t="s">
        <v>14384</v>
      </c>
      <c r="C7223" t="s">
        <v>10</v>
      </c>
      <c r="D7223">
        <v>60</v>
      </c>
      <c r="E7223" t="s">
        <v>27</v>
      </c>
      <c r="F7223" t="s">
        <v>28</v>
      </c>
      <c r="G7223" t="s">
        <v>12</v>
      </c>
      <c r="H7223" s="1">
        <v>45848</v>
      </c>
    </row>
    <row r="7224" spans="1:8">
      <c r="A7224" t="s">
        <v>14385</v>
      </c>
      <c r="B7224" t="s">
        <v>14386</v>
      </c>
      <c r="C7224" t="s">
        <v>31</v>
      </c>
      <c r="D7224">
        <v>58</v>
      </c>
      <c r="E7224" t="s">
        <v>37</v>
      </c>
      <c r="F7224" t="s">
        <v>38</v>
      </c>
      <c r="G7224" t="s">
        <v>22</v>
      </c>
      <c r="H7224" s="1">
        <v>45819</v>
      </c>
    </row>
    <row r="7225" spans="1:8">
      <c r="A7225" t="s">
        <v>14387</v>
      </c>
      <c r="B7225" t="s">
        <v>14388</v>
      </c>
      <c r="C7225" t="s">
        <v>31</v>
      </c>
      <c r="D7225">
        <v>68</v>
      </c>
      <c r="E7225" t="s">
        <v>87</v>
      </c>
      <c r="F7225" t="s">
        <v>88</v>
      </c>
      <c r="G7225" t="s">
        <v>78</v>
      </c>
      <c r="H7225" s="1">
        <v>45553</v>
      </c>
    </row>
    <row r="7226" spans="1:8">
      <c r="A7226" t="s">
        <v>14389</v>
      </c>
      <c r="B7226" t="s">
        <v>14390</v>
      </c>
      <c r="C7226" t="s">
        <v>10</v>
      </c>
      <c r="D7226">
        <v>56</v>
      </c>
      <c r="E7226" t="s">
        <v>218</v>
      </c>
      <c r="F7226" t="s">
        <v>219</v>
      </c>
      <c r="G7226" t="s">
        <v>17</v>
      </c>
      <c r="H7226" s="1">
        <v>45935</v>
      </c>
    </row>
    <row r="7227" spans="1:8">
      <c r="A7227" t="s">
        <v>14391</v>
      </c>
      <c r="B7227" t="s">
        <v>14392</v>
      </c>
      <c r="C7227" t="s">
        <v>31</v>
      </c>
      <c r="D7227">
        <v>67</v>
      </c>
      <c r="E7227" t="s">
        <v>15</v>
      </c>
      <c r="F7227" t="s">
        <v>16</v>
      </c>
      <c r="G7227" t="s">
        <v>17</v>
      </c>
      <c r="H7227" s="1">
        <v>45411</v>
      </c>
    </row>
    <row r="7228" spans="1:8">
      <c r="A7228" t="s">
        <v>14393</v>
      </c>
      <c r="B7228" t="s">
        <v>14394</v>
      </c>
      <c r="C7228" t="s">
        <v>10</v>
      </c>
      <c r="D7228">
        <v>18</v>
      </c>
      <c r="E7228" t="s">
        <v>134</v>
      </c>
      <c r="F7228" t="s">
        <v>28</v>
      </c>
      <c r="G7228" t="s">
        <v>12</v>
      </c>
      <c r="H7228" s="1">
        <v>45869</v>
      </c>
    </row>
    <row r="7229" spans="1:8">
      <c r="A7229" t="s">
        <v>14395</v>
      </c>
      <c r="B7229" t="s">
        <v>14396</v>
      </c>
      <c r="C7229" t="s">
        <v>31</v>
      </c>
      <c r="D7229">
        <v>44</v>
      </c>
      <c r="E7229" t="s">
        <v>41</v>
      </c>
      <c r="F7229" t="s">
        <v>42</v>
      </c>
      <c r="G7229" t="s">
        <v>17</v>
      </c>
      <c r="H7229" s="1">
        <v>45067</v>
      </c>
    </row>
    <row r="7230" spans="1:8">
      <c r="A7230" t="s">
        <v>14397</v>
      </c>
      <c r="B7230" t="s">
        <v>14398</v>
      </c>
      <c r="C7230" t="s">
        <v>31</v>
      </c>
      <c r="D7230">
        <v>49</v>
      </c>
      <c r="E7230" t="s">
        <v>60</v>
      </c>
      <c r="F7230" t="s">
        <v>21</v>
      </c>
      <c r="G7230" t="s">
        <v>22</v>
      </c>
      <c r="H7230" s="1">
        <v>45176</v>
      </c>
    </row>
    <row r="7231" spans="1:8">
      <c r="A7231" t="s">
        <v>14399</v>
      </c>
      <c r="B7231" t="s">
        <v>14400</v>
      </c>
      <c r="C7231" t="s">
        <v>31</v>
      </c>
      <c r="D7231">
        <v>67</v>
      </c>
      <c r="E7231" t="s">
        <v>63</v>
      </c>
      <c r="F7231" t="s">
        <v>64</v>
      </c>
      <c r="G7231" t="s">
        <v>12</v>
      </c>
      <c r="H7231" s="1">
        <v>45667</v>
      </c>
    </row>
    <row r="7232" spans="1:8">
      <c r="A7232" t="s">
        <v>14401</v>
      </c>
      <c r="B7232" t="s">
        <v>14402</v>
      </c>
      <c r="C7232" t="s">
        <v>31</v>
      </c>
      <c r="D7232">
        <v>26</v>
      </c>
      <c r="E7232" t="s">
        <v>20</v>
      </c>
      <c r="F7232" t="s">
        <v>21</v>
      </c>
      <c r="G7232" t="s">
        <v>22</v>
      </c>
      <c r="H7232" s="1">
        <v>46019</v>
      </c>
    </row>
    <row r="7233" spans="1:8">
      <c r="A7233" t="s">
        <v>14403</v>
      </c>
      <c r="B7233" t="s">
        <v>14404</v>
      </c>
      <c r="C7233" t="s">
        <v>31</v>
      </c>
      <c r="D7233">
        <v>42</v>
      </c>
      <c r="E7233" t="s">
        <v>60</v>
      </c>
      <c r="F7233" t="s">
        <v>21</v>
      </c>
      <c r="G7233" t="s">
        <v>22</v>
      </c>
      <c r="H7233" s="1">
        <v>44623</v>
      </c>
    </row>
    <row r="7234" spans="1:8">
      <c r="A7234" t="s">
        <v>14405</v>
      </c>
      <c r="B7234" t="s">
        <v>14406</v>
      </c>
      <c r="C7234" t="s">
        <v>10</v>
      </c>
      <c r="D7234">
        <v>46</v>
      </c>
      <c r="E7234" t="s">
        <v>20</v>
      </c>
      <c r="F7234" t="s">
        <v>21</v>
      </c>
      <c r="G7234" t="s">
        <v>22</v>
      </c>
      <c r="H7234" s="1">
        <v>45694</v>
      </c>
    </row>
    <row r="7235" spans="1:8">
      <c r="A7235" t="s">
        <v>14407</v>
      </c>
      <c r="B7235" t="s">
        <v>14408</v>
      </c>
      <c r="C7235" t="s">
        <v>31</v>
      </c>
      <c r="D7235">
        <v>23</v>
      </c>
      <c r="E7235" t="s">
        <v>37</v>
      </c>
      <c r="F7235" t="s">
        <v>38</v>
      </c>
      <c r="G7235" t="s">
        <v>22</v>
      </c>
      <c r="H7235" s="1">
        <v>45482</v>
      </c>
    </row>
    <row r="7236" spans="1:8">
      <c r="A7236" t="s">
        <v>14409</v>
      </c>
      <c r="B7236" t="s">
        <v>14410</v>
      </c>
      <c r="C7236" t="s">
        <v>10</v>
      </c>
      <c r="D7236">
        <v>46</v>
      </c>
      <c r="E7236" t="s">
        <v>27</v>
      </c>
      <c r="F7236" t="s">
        <v>28</v>
      </c>
      <c r="G7236" t="s">
        <v>12</v>
      </c>
      <c r="H7236" s="1">
        <v>45591</v>
      </c>
    </row>
    <row r="7237" spans="1:8">
      <c r="A7237" t="s">
        <v>14411</v>
      </c>
      <c r="B7237" t="s">
        <v>14412</v>
      </c>
      <c r="C7237" t="s">
        <v>10</v>
      </c>
      <c r="D7237">
        <v>56</v>
      </c>
      <c r="E7237" t="s">
        <v>45</v>
      </c>
      <c r="F7237" t="s">
        <v>46</v>
      </c>
      <c r="G7237" t="s">
        <v>17</v>
      </c>
      <c r="H7237" s="1">
        <v>45288</v>
      </c>
    </row>
    <row r="7238" spans="1:8">
      <c r="A7238" t="s">
        <v>14413</v>
      </c>
      <c r="B7238" t="s">
        <v>14414</v>
      </c>
      <c r="C7238" t="s">
        <v>10</v>
      </c>
      <c r="D7238">
        <v>50</v>
      </c>
      <c r="E7238" t="s">
        <v>27</v>
      </c>
      <c r="F7238" t="s">
        <v>28</v>
      </c>
      <c r="G7238" t="s">
        <v>12</v>
      </c>
      <c r="H7238" s="1">
        <v>45215</v>
      </c>
    </row>
    <row r="7239" spans="1:8">
      <c r="A7239" t="s">
        <v>14415</v>
      </c>
      <c r="B7239" t="s">
        <v>14416</v>
      </c>
      <c r="C7239" t="s">
        <v>10</v>
      </c>
      <c r="D7239">
        <v>27</v>
      </c>
      <c r="E7239" t="s">
        <v>34</v>
      </c>
      <c r="F7239" t="s">
        <v>16</v>
      </c>
      <c r="G7239" t="s">
        <v>17</v>
      </c>
      <c r="H7239" s="1">
        <v>45224</v>
      </c>
    </row>
    <row r="7240" spans="1:8">
      <c r="A7240" t="s">
        <v>14417</v>
      </c>
      <c r="B7240" t="s">
        <v>14418</v>
      </c>
      <c r="C7240" t="s">
        <v>31</v>
      </c>
      <c r="D7240">
        <v>35</v>
      </c>
      <c r="E7240" t="s">
        <v>218</v>
      </c>
      <c r="F7240" t="s">
        <v>219</v>
      </c>
      <c r="G7240" t="s">
        <v>17</v>
      </c>
      <c r="H7240" s="1">
        <v>45730</v>
      </c>
    </row>
    <row r="7241" spans="1:8">
      <c r="A7241" t="s">
        <v>14419</v>
      </c>
      <c r="B7241" t="s">
        <v>14420</v>
      </c>
      <c r="C7241" t="s">
        <v>10</v>
      </c>
      <c r="D7241">
        <v>34</v>
      </c>
      <c r="E7241" t="s">
        <v>60</v>
      </c>
      <c r="F7241" t="s">
        <v>21</v>
      </c>
      <c r="G7241" t="s">
        <v>22</v>
      </c>
      <c r="H7241" s="1">
        <v>45872</v>
      </c>
    </row>
    <row r="7242" spans="1:8">
      <c r="A7242" t="s">
        <v>14421</v>
      </c>
      <c r="B7242" t="s">
        <v>14422</v>
      </c>
      <c r="C7242" t="s">
        <v>31</v>
      </c>
      <c r="D7242">
        <v>34</v>
      </c>
      <c r="E7242" t="s">
        <v>91</v>
      </c>
      <c r="F7242" t="s">
        <v>92</v>
      </c>
      <c r="G7242" t="s">
        <v>78</v>
      </c>
      <c r="H7242" s="1">
        <v>45037</v>
      </c>
    </row>
    <row r="7243" spans="1:8">
      <c r="A7243" t="s">
        <v>14423</v>
      </c>
      <c r="B7243" t="s">
        <v>14424</v>
      </c>
      <c r="C7243" t="s">
        <v>10</v>
      </c>
      <c r="D7243">
        <v>25</v>
      </c>
      <c r="E7243" t="s">
        <v>60</v>
      </c>
      <c r="F7243" t="s">
        <v>21</v>
      </c>
      <c r="G7243" t="s">
        <v>22</v>
      </c>
      <c r="H7243" s="1">
        <v>45237</v>
      </c>
    </row>
    <row r="7244" spans="1:8">
      <c r="A7244" t="s">
        <v>14425</v>
      </c>
      <c r="B7244" t="s">
        <v>14426</v>
      </c>
      <c r="C7244" t="s">
        <v>31</v>
      </c>
      <c r="D7244">
        <v>42</v>
      </c>
      <c r="E7244" t="s">
        <v>15</v>
      </c>
      <c r="F7244" t="s">
        <v>16</v>
      </c>
      <c r="G7244" t="s">
        <v>17</v>
      </c>
      <c r="H7244" s="1">
        <v>45966</v>
      </c>
    </row>
    <row r="7245" spans="1:8">
      <c r="A7245" t="s">
        <v>14427</v>
      </c>
      <c r="B7245" t="s">
        <v>14428</v>
      </c>
      <c r="C7245" t="s">
        <v>31</v>
      </c>
      <c r="D7245">
        <v>22</v>
      </c>
      <c r="E7245" t="s">
        <v>34</v>
      </c>
      <c r="F7245" t="s">
        <v>16</v>
      </c>
      <c r="G7245" t="s">
        <v>17</v>
      </c>
      <c r="H7245" s="1">
        <v>45595</v>
      </c>
    </row>
    <row r="7246" spans="1:8">
      <c r="A7246" t="s">
        <v>14429</v>
      </c>
      <c r="B7246" t="s">
        <v>14430</v>
      </c>
      <c r="C7246" t="s">
        <v>10</v>
      </c>
      <c r="D7246">
        <v>39</v>
      </c>
      <c r="E7246" t="s">
        <v>218</v>
      </c>
      <c r="F7246" t="s">
        <v>219</v>
      </c>
      <c r="G7246" t="s">
        <v>17</v>
      </c>
      <c r="H7246" s="1">
        <v>44654</v>
      </c>
    </row>
    <row r="7247" spans="1:8">
      <c r="A7247" t="s">
        <v>14431</v>
      </c>
      <c r="B7247" t="s">
        <v>14432</v>
      </c>
      <c r="C7247" t="s">
        <v>31</v>
      </c>
      <c r="D7247">
        <v>42</v>
      </c>
      <c r="E7247" t="s">
        <v>112</v>
      </c>
      <c r="F7247" t="s">
        <v>113</v>
      </c>
      <c r="G7247" t="s">
        <v>78</v>
      </c>
      <c r="H7247" s="1">
        <v>45835</v>
      </c>
    </row>
    <row r="7248" spans="1:8">
      <c r="A7248" t="s">
        <v>14433</v>
      </c>
      <c r="B7248" t="s">
        <v>14434</v>
      </c>
      <c r="C7248" t="s">
        <v>10</v>
      </c>
      <c r="D7248">
        <v>31</v>
      </c>
      <c r="E7248" t="s">
        <v>37</v>
      </c>
      <c r="F7248" t="s">
        <v>38</v>
      </c>
      <c r="G7248" t="s">
        <v>22</v>
      </c>
      <c r="H7248" s="1">
        <v>45765</v>
      </c>
    </row>
    <row r="7249" spans="1:8">
      <c r="A7249" t="s">
        <v>14435</v>
      </c>
      <c r="B7249" t="s">
        <v>14436</v>
      </c>
      <c r="C7249" t="s">
        <v>31</v>
      </c>
      <c r="D7249">
        <v>47</v>
      </c>
      <c r="E7249" t="s">
        <v>37</v>
      </c>
      <c r="F7249" t="s">
        <v>38</v>
      </c>
      <c r="G7249" t="s">
        <v>22</v>
      </c>
      <c r="H7249" s="1">
        <v>45465</v>
      </c>
    </row>
    <row r="7250" spans="1:8">
      <c r="A7250" t="s">
        <v>14437</v>
      </c>
      <c r="B7250" t="s">
        <v>14438</v>
      </c>
      <c r="C7250" t="s">
        <v>10</v>
      </c>
      <c r="D7250">
        <v>45</v>
      </c>
      <c r="E7250" t="s">
        <v>60</v>
      </c>
      <c r="F7250" t="s">
        <v>21</v>
      </c>
      <c r="G7250" t="s">
        <v>22</v>
      </c>
      <c r="H7250" s="1">
        <v>44812</v>
      </c>
    </row>
    <row r="7251" spans="1:8">
      <c r="A7251" t="s">
        <v>14439</v>
      </c>
      <c r="B7251" t="s">
        <v>14440</v>
      </c>
      <c r="C7251" t="s">
        <v>31</v>
      </c>
      <c r="D7251">
        <v>20</v>
      </c>
      <c r="E7251" t="s">
        <v>34</v>
      </c>
      <c r="F7251" t="s">
        <v>16</v>
      </c>
      <c r="G7251" t="s">
        <v>17</v>
      </c>
      <c r="H7251" s="1">
        <v>44799</v>
      </c>
    </row>
    <row r="7252" spans="1:8">
      <c r="A7252" t="s">
        <v>14441</v>
      </c>
      <c r="B7252" t="s">
        <v>14442</v>
      </c>
      <c r="C7252" t="s">
        <v>31</v>
      </c>
      <c r="D7252">
        <v>62</v>
      </c>
      <c r="E7252" t="s">
        <v>76</v>
      </c>
      <c r="F7252" t="s">
        <v>77</v>
      </c>
      <c r="G7252" t="s">
        <v>78</v>
      </c>
      <c r="H7252" s="1">
        <v>45738</v>
      </c>
    </row>
    <row r="7253" spans="1:8">
      <c r="A7253" t="s">
        <v>14443</v>
      </c>
      <c r="B7253" t="s">
        <v>14444</v>
      </c>
      <c r="C7253" t="s">
        <v>31</v>
      </c>
      <c r="D7253">
        <v>63</v>
      </c>
      <c r="E7253" t="s">
        <v>37</v>
      </c>
      <c r="F7253" t="s">
        <v>38</v>
      </c>
      <c r="G7253" t="s">
        <v>22</v>
      </c>
      <c r="H7253" s="1">
        <v>45690</v>
      </c>
    </row>
    <row r="7254" spans="1:8">
      <c r="A7254" t="s">
        <v>14445</v>
      </c>
      <c r="B7254" t="s">
        <v>14446</v>
      </c>
      <c r="C7254" t="s">
        <v>10</v>
      </c>
      <c r="D7254">
        <v>20</v>
      </c>
      <c r="E7254" t="s">
        <v>20</v>
      </c>
      <c r="F7254" t="s">
        <v>21</v>
      </c>
      <c r="G7254" t="s">
        <v>22</v>
      </c>
      <c r="H7254" s="1">
        <v>45869</v>
      </c>
    </row>
    <row r="7255" spans="1:8">
      <c r="A7255" t="s">
        <v>14447</v>
      </c>
      <c r="B7255" t="s">
        <v>429</v>
      </c>
      <c r="C7255" t="s">
        <v>31</v>
      </c>
      <c r="D7255">
        <v>51</v>
      </c>
      <c r="E7255" t="s">
        <v>134</v>
      </c>
      <c r="F7255" t="s">
        <v>28</v>
      </c>
      <c r="G7255" t="s">
        <v>12</v>
      </c>
      <c r="H7255" s="1">
        <v>44813</v>
      </c>
    </row>
    <row r="7256" spans="1:8">
      <c r="A7256" t="s">
        <v>14448</v>
      </c>
      <c r="B7256" t="s">
        <v>14449</v>
      </c>
      <c r="C7256" t="s">
        <v>31</v>
      </c>
      <c r="D7256">
        <v>26</v>
      </c>
      <c r="E7256" t="s">
        <v>63</v>
      </c>
      <c r="F7256" t="s">
        <v>64</v>
      </c>
      <c r="G7256" t="s">
        <v>12</v>
      </c>
      <c r="H7256" s="1">
        <v>45005</v>
      </c>
    </row>
    <row r="7257" spans="1:8">
      <c r="A7257" t="s">
        <v>14450</v>
      </c>
      <c r="B7257" t="s">
        <v>14451</v>
      </c>
      <c r="C7257" t="s">
        <v>31</v>
      </c>
      <c r="D7257">
        <v>18</v>
      </c>
      <c r="E7257" t="s">
        <v>112</v>
      </c>
      <c r="F7257" t="s">
        <v>113</v>
      </c>
      <c r="G7257" t="s">
        <v>78</v>
      </c>
      <c r="H7257" s="1">
        <v>45916</v>
      </c>
    </row>
    <row r="7258" spans="1:8">
      <c r="A7258" t="s">
        <v>14452</v>
      </c>
      <c r="B7258" t="s">
        <v>14453</v>
      </c>
      <c r="C7258" t="s">
        <v>31</v>
      </c>
      <c r="D7258">
        <v>38</v>
      </c>
      <c r="E7258" t="s">
        <v>34</v>
      </c>
      <c r="F7258" t="s">
        <v>16</v>
      </c>
      <c r="G7258" t="s">
        <v>17</v>
      </c>
      <c r="H7258" s="1">
        <v>45617</v>
      </c>
    </row>
    <row r="7259" spans="1:8">
      <c r="A7259" t="s">
        <v>14454</v>
      </c>
      <c r="B7259" t="s">
        <v>14455</v>
      </c>
      <c r="C7259" t="s">
        <v>31</v>
      </c>
      <c r="D7259">
        <v>68</v>
      </c>
      <c r="E7259" t="s">
        <v>11</v>
      </c>
      <c r="F7259" t="s">
        <v>11</v>
      </c>
      <c r="G7259" t="s">
        <v>12</v>
      </c>
      <c r="H7259" s="1">
        <v>44904</v>
      </c>
    </row>
    <row r="7260" spans="1:8">
      <c r="A7260" t="s">
        <v>14456</v>
      </c>
      <c r="B7260" t="s">
        <v>14457</v>
      </c>
      <c r="C7260" t="s">
        <v>10</v>
      </c>
      <c r="D7260">
        <v>24</v>
      </c>
      <c r="E7260" t="s">
        <v>76</v>
      </c>
      <c r="F7260" t="s">
        <v>77</v>
      </c>
      <c r="G7260" t="s">
        <v>78</v>
      </c>
      <c r="H7260" s="1">
        <v>45624</v>
      </c>
    </row>
    <row r="7261" spans="1:8">
      <c r="A7261" t="s">
        <v>14458</v>
      </c>
      <c r="B7261" t="s">
        <v>9181</v>
      </c>
      <c r="C7261" t="s">
        <v>10</v>
      </c>
      <c r="D7261">
        <v>36</v>
      </c>
      <c r="E7261" t="s">
        <v>87</v>
      </c>
      <c r="F7261" t="s">
        <v>88</v>
      </c>
      <c r="G7261" t="s">
        <v>78</v>
      </c>
      <c r="H7261" s="1">
        <v>44702</v>
      </c>
    </row>
    <row r="7262" spans="1:8">
      <c r="A7262" t="s">
        <v>14459</v>
      </c>
      <c r="B7262" t="s">
        <v>14460</v>
      </c>
      <c r="C7262" t="s">
        <v>10</v>
      </c>
      <c r="D7262">
        <v>41</v>
      </c>
      <c r="E7262" t="s">
        <v>69</v>
      </c>
      <c r="F7262" t="s">
        <v>69</v>
      </c>
      <c r="G7262" t="s">
        <v>12</v>
      </c>
      <c r="H7262" s="1">
        <v>44755</v>
      </c>
    </row>
    <row r="7263" spans="1:8">
      <c r="A7263" t="s">
        <v>14461</v>
      </c>
      <c r="B7263" t="s">
        <v>14462</v>
      </c>
      <c r="C7263" t="s">
        <v>10</v>
      </c>
      <c r="D7263">
        <v>56</v>
      </c>
      <c r="E7263" t="s">
        <v>149</v>
      </c>
      <c r="F7263" t="s">
        <v>38</v>
      </c>
      <c r="G7263" t="s">
        <v>22</v>
      </c>
      <c r="H7263" s="1">
        <v>45901</v>
      </c>
    </row>
    <row r="7264" spans="1:8">
      <c r="A7264" t="s">
        <v>14463</v>
      </c>
      <c r="B7264" t="s">
        <v>14464</v>
      </c>
      <c r="C7264" t="s">
        <v>10</v>
      </c>
      <c r="D7264">
        <v>30</v>
      </c>
      <c r="E7264" t="s">
        <v>218</v>
      </c>
      <c r="F7264" t="s">
        <v>219</v>
      </c>
      <c r="G7264" t="s">
        <v>17</v>
      </c>
      <c r="H7264" s="1">
        <v>45746</v>
      </c>
    </row>
    <row r="7265" spans="1:8">
      <c r="A7265" t="s">
        <v>14465</v>
      </c>
      <c r="B7265" t="s">
        <v>14466</v>
      </c>
      <c r="C7265" t="s">
        <v>31</v>
      </c>
      <c r="D7265">
        <v>39</v>
      </c>
      <c r="E7265" t="s">
        <v>91</v>
      </c>
      <c r="F7265" t="s">
        <v>92</v>
      </c>
      <c r="G7265" t="s">
        <v>78</v>
      </c>
      <c r="H7265" s="1">
        <v>44636</v>
      </c>
    </row>
    <row r="7266" spans="1:8">
      <c r="A7266" t="s">
        <v>14467</v>
      </c>
      <c r="B7266" t="s">
        <v>14468</v>
      </c>
      <c r="C7266" t="s">
        <v>10</v>
      </c>
      <c r="D7266">
        <v>54</v>
      </c>
      <c r="E7266" t="s">
        <v>15</v>
      </c>
      <c r="F7266" t="s">
        <v>16</v>
      </c>
      <c r="G7266" t="s">
        <v>17</v>
      </c>
      <c r="H7266" s="1">
        <v>45937</v>
      </c>
    </row>
    <row r="7267" spans="1:8">
      <c r="A7267" t="s">
        <v>14469</v>
      </c>
      <c r="B7267" t="s">
        <v>14470</v>
      </c>
      <c r="C7267" t="s">
        <v>31</v>
      </c>
      <c r="D7267">
        <v>68</v>
      </c>
      <c r="E7267" t="s">
        <v>149</v>
      </c>
      <c r="F7267" t="s">
        <v>38</v>
      </c>
      <c r="G7267" t="s">
        <v>22</v>
      </c>
      <c r="H7267" s="1">
        <v>44728</v>
      </c>
    </row>
    <row r="7268" spans="1:8">
      <c r="A7268" t="s">
        <v>14471</v>
      </c>
      <c r="B7268" t="s">
        <v>14472</v>
      </c>
      <c r="C7268" t="s">
        <v>10</v>
      </c>
      <c r="D7268">
        <v>52</v>
      </c>
      <c r="E7268" t="s">
        <v>11</v>
      </c>
      <c r="F7268" t="s">
        <v>11</v>
      </c>
      <c r="G7268" t="s">
        <v>12</v>
      </c>
      <c r="H7268" s="1">
        <v>45551</v>
      </c>
    </row>
    <row r="7269" spans="1:8">
      <c r="A7269" t="s">
        <v>14473</v>
      </c>
      <c r="B7269" t="s">
        <v>14474</v>
      </c>
      <c r="C7269" t="s">
        <v>10</v>
      </c>
      <c r="D7269">
        <v>56</v>
      </c>
      <c r="E7269" t="s">
        <v>45</v>
      </c>
      <c r="F7269" t="s">
        <v>46</v>
      </c>
      <c r="G7269" t="s">
        <v>17</v>
      </c>
      <c r="H7269" s="1">
        <v>45811</v>
      </c>
    </row>
    <row r="7270" spans="1:8">
      <c r="A7270" t="s">
        <v>14475</v>
      </c>
      <c r="B7270" t="s">
        <v>14476</v>
      </c>
      <c r="C7270" t="s">
        <v>31</v>
      </c>
      <c r="D7270">
        <v>19</v>
      </c>
      <c r="E7270" t="s">
        <v>76</v>
      </c>
      <c r="F7270" t="s">
        <v>77</v>
      </c>
      <c r="G7270" t="s">
        <v>78</v>
      </c>
      <c r="H7270" s="1">
        <v>45705</v>
      </c>
    </row>
    <row r="7271" spans="1:8">
      <c r="A7271" t="s">
        <v>14477</v>
      </c>
      <c r="B7271" t="s">
        <v>14478</v>
      </c>
      <c r="C7271" t="s">
        <v>31</v>
      </c>
      <c r="D7271">
        <v>23</v>
      </c>
      <c r="E7271" t="s">
        <v>20</v>
      </c>
      <c r="F7271" t="s">
        <v>21</v>
      </c>
      <c r="G7271" t="s">
        <v>22</v>
      </c>
      <c r="H7271" s="1">
        <v>45791</v>
      </c>
    </row>
    <row r="7272" spans="1:8">
      <c r="A7272" t="s">
        <v>14479</v>
      </c>
      <c r="B7272" t="s">
        <v>14480</v>
      </c>
      <c r="C7272" t="s">
        <v>10</v>
      </c>
      <c r="D7272">
        <v>70</v>
      </c>
      <c r="E7272" t="s">
        <v>218</v>
      </c>
      <c r="F7272" t="s">
        <v>219</v>
      </c>
      <c r="G7272" t="s">
        <v>17</v>
      </c>
      <c r="H7272" s="1">
        <v>45012</v>
      </c>
    </row>
    <row r="7273" spans="1:8">
      <c r="A7273" t="s">
        <v>14481</v>
      </c>
      <c r="B7273" t="s">
        <v>14482</v>
      </c>
      <c r="C7273" t="s">
        <v>31</v>
      </c>
      <c r="D7273">
        <v>28</v>
      </c>
      <c r="E7273" t="s">
        <v>49</v>
      </c>
      <c r="F7273" t="s">
        <v>16</v>
      </c>
      <c r="G7273" t="s">
        <v>17</v>
      </c>
      <c r="H7273" s="1">
        <v>45134</v>
      </c>
    </row>
    <row r="7274" spans="1:8">
      <c r="A7274" t="s">
        <v>14483</v>
      </c>
      <c r="B7274" t="s">
        <v>14484</v>
      </c>
      <c r="C7274" t="s">
        <v>31</v>
      </c>
      <c r="D7274">
        <v>20</v>
      </c>
      <c r="E7274" t="s">
        <v>87</v>
      </c>
      <c r="F7274" t="s">
        <v>88</v>
      </c>
      <c r="G7274" t="s">
        <v>78</v>
      </c>
      <c r="H7274" s="1">
        <v>45714</v>
      </c>
    </row>
    <row r="7275" spans="1:8">
      <c r="A7275" t="s">
        <v>14485</v>
      </c>
      <c r="B7275" t="s">
        <v>14486</v>
      </c>
      <c r="C7275" t="s">
        <v>10</v>
      </c>
      <c r="D7275">
        <v>48</v>
      </c>
      <c r="E7275" t="s">
        <v>63</v>
      </c>
      <c r="F7275" t="s">
        <v>64</v>
      </c>
      <c r="G7275" t="s">
        <v>12</v>
      </c>
      <c r="H7275" s="1">
        <v>45540</v>
      </c>
    </row>
    <row r="7276" spans="1:8">
      <c r="A7276" t="s">
        <v>14487</v>
      </c>
      <c r="B7276" t="s">
        <v>14488</v>
      </c>
      <c r="C7276" t="s">
        <v>31</v>
      </c>
      <c r="D7276">
        <v>42</v>
      </c>
      <c r="E7276" t="s">
        <v>60</v>
      </c>
      <c r="F7276" t="s">
        <v>21</v>
      </c>
      <c r="G7276" t="s">
        <v>22</v>
      </c>
      <c r="H7276" s="1">
        <v>45700</v>
      </c>
    </row>
    <row r="7277" spans="1:8">
      <c r="A7277" t="s">
        <v>14489</v>
      </c>
      <c r="B7277" t="s">
        <v>14490</v>
      </c>
      <c r="C7277" t="s">
        <v>10</v>
      </c>
      <c r="D7277">
        <v>42</v>
      </c>
      <c r="E7277" t="s">
        <v>41</v>
      </c>
      <c r="F7277" t="s">
        <v>42</v>
      </c>
      <c r="G7277" t="s">
        <v>17</v>
      </c>
      <c r="H7277" s="1">
        <v>45084</v>
      </c>
    </row>
    <row r="7278" spans="1:8">
      <c r="A7278" t="s">
        <v>14491</v>
      </c>
      <c r="B7278" t="s">
        <v>14492</v>
      </c>
      <c r="C7278" t="s">
        <v>10</v>
      </c>
      <c r="D7278">
        <v>44</v>
      </c>
      <c r="E7278" t="s">
        <v>20</v>
      </c>
      <c r="F7278" t="s">
        <v>21</v>
      </c>
      <c r="G7278" t="s">
        <v>22</v>
      </c>
      <c r="H7278" s="1">
        <v>45976</v>
      </c>
    </row>
    <row r="7279" spans="1:8">
      <c r="A7279" t="s">
        <v>14493</v>
      </c>
      <c r="B7279" t="s">
        <v>14494</v>
      </c>
      <c r="C7279" t="s">
        <v>10</v>
      </c>
      <c r="D7279">
        <v>21</v>
      </c>
      <c r="E7279" t="s">
        <v>63</v>
      </c>
      <c r="F7279" t="s">
        <v>64</v>
      </c>
      <c r="G7279" t="s">
        <v>12</v>
      </c>
      <c r="H7279" s="1">
        <v>44629</v>
      </c>
    </row>
    <row r="7280" spans="1:8">
      <c r="A7280" t="s">
        <v>14495</v>
      </c>
      <c r="B7280" t="s">
        <v>14496</v>
      </c>
      <c r="C7280" t="s">
        <v>10</v>
      </c>
      <c r="D7280">
        <v>45</v>
      </c>
      <c r="E7280" t="s">
        <v>128</v>
      </c>
      <c r="F7280" t="s">
        <v>129</v>
      </c>
      <c r="G7280" t="s">
        <v>78</v>
      </c>
      <c r="H7280" s="1">
        <v>45320</v>
      </c>
    </row>
    <row r="7281" spans="1:8">
      <c r="A7281" t="s">
        <v>14497</v>
      </c>
      <c r="B7281" t="s">
        <v>14498</v>
      </c>
      <c r="C7281" t="s">
        <v>10</v>
      </c>
      <c r="D7281">
        <v>25</v>
      </c>
      <c r="E7281" t="s">
        <v>20</v>
      </c>
      <c r="F7281" t="s">
        <v>21</v>
      </c>
      <c r="G7281" t="s">
        <v>22</v>
      </c>
      <c r="H7281" s="1">
        <v>44906</v>
      </c>
    </row>
    <row r="7282" spans="1:8">
      <c r="A7282" t="s">
        <v>14499</v>
      </c>
      <c r="B7282" t="s">
        <v>14500</v>
      </c>
      <c r="C7282" t="s">
        <v>10</v>
      </c>
      <c r="D7282">
        <v>52</v>
      </c>
      <c r="E7282" t="s">
        <v>20</v>
      </c>
      <c r="F7282" t="s">
        <v>21</v>
      </c>
      <c r="G7282" t="s">
        <v>22</v>
      </c>
      <c r="H7282" s="1">
        <v>45879</v>
      </c>
    </row>
    <row r="7283" spans="1:8">
      <c r="A7283" t="s">
        <v>14501</v>
      </c>
      <c r="B7283" t="s">
        <v>14502</v>
      </c>
      <c r="C7283" t="s">
        <v>10</v>
      </c>
      <c r="D7283">
        <v>60</v>
      </c>
      <c r="E7283" t="s">
        <v>15</v>
      </c>
      <c r="F7283" t="s">
        <v>16</v>
      </c>
      <c r="G7283" t="s">
        <v>17</v>
      </c>
      <c r="H7283" s="1">
        <v>45928</v>
      </c>
    </row>
    <row r="7284" spans="1:8">
      <c r="A7284" t="s">
        <v>14503</v>
      </c>
      <c r="B7284" t="s">
        <v>14504</v>
      </c>
      <c r="C7284" t="s">
        <v>10</v>
      </c>
      <c r="D7284">
        <v>30</v>
      </c>
      <c r="E7284" t="s">
        <v>63</v>
      </c>
      <c r="F7284" t="s">
        <v>64</v>
      </c>
      <c r="G7284" t="s">
        <v>12</v>
      </c>
      <c r="H7284" s="1">
        <v>45953</v>
      </c>
    </row>
    <row r="7285" spans="1:8">
      <c r="A7285" t="s">
        <v>14505</v>
      </c>
      <c r="B7285" t="s">
        <v>14506</v>
      </c>
      <c r="C7285" t="s">
        <v>31</v>
      </c>
      <c r="D7285">
        <v>55</v>
      </c>
      <c r="E7285" t="s">
        <v>45</v>
      </c>
      <c r="F7285" t="s">
        <v>46</v>
      </c>
      <c r="G7285" t="s">
        <v>17</v>
      </c>
      <c r="H7285" s="1">
        <v>45293</v>
      </c>
    </row>
    <row r="7286" spans="1:8">
      <c r="A7286" t="s">
        <v>14507</v>
      </c>
      <c r="B7286" t="s">
        <v>14508</v>
      </c>
      <c r="C7286" t="s">
        <v>31</v>
      </c>
      <c r="D7286">
        <v>68</v>
      </c>
      <c r="E7286" t="s">
        <v>63</v>
      </c>
      <c r="F7286" t="s">
        <v>64</v>
      </c>
      <c r="G7286" t="s">
        <v>12</v>
      </c>
      <c r="H7286" s="1">
        <v>44683</v>
      </c>
    </row>
    <row r="7287" spans="1:8">
      <c r="A7287" t="s">
        <v>14509</v>
      </c>
      <c r="B7287" t="s">
        <v>14510</v>
      </c>
      <c r="C7287" t="s">
        <v>31</v>
      </c>
      <c r="D7287">
        <v>56</v>
      </c>
      <c r="E7287" t="s">
        <v>15</v>
      </c>
      <c r="F7287" t="s">
        <v>16</v>
      </c>
      <c r="G7287" t="s">
        <v>17</v>
      </c>
      <c r="H7287" s="1">
        <v>45144</v>
      </c>
    </row>
    <row r="7288" spans="1:8">
      <c r="A7288" t="s">
        <v>14511</v>
      </c>
      <c r="B7288" t="s">
        <v>14512</v>
      </c>
      <c r="C7288" t="s">
        <v>10</v>
      </c>
      <c r="D7288">
        <v>19</v>
      </c>
      <c r="E7288" t="s">
        <v>60</v>
      </c>
      <c r="F7288" t="s">
        <v>21</v>
      </c>
      <c r="G7288" t="s">
        <v>22</v>
      </c>
      <c r="H7288" s="1">
        <v>45997</v>
      </c>
    </row>
    <row r="7289" spans="1:8">
      <c r="A7289" t="s">
        <v>14513</v>
      </c>
      <c r="B7289" t="s">
        <v>14514</v>
      </c>
      <c r="C7289" t="s">
        <v>10</v>
      </c>
      <c r="D7289">
        <v>54</v>
      </c>
      <c r="E7289" t="s">
        <v>112</v>
      </c>
      <c r="F7289" t="s">
        <v>113</v>
      </c>
      <c r="G7289" t="s">
        <v>78</v>
      </c>
      <c r="H7289" s="1">
        <v>45858</v>
      </c>
    </row>
    <row r="7290" spans="1:8">
      <c r="A7290" t="s">
        <v>14515</v>
      </c>
      <c r="B7290" t="s">
        <v>14516</v>
      </c>
      <c r="C7290" t="s">
        <v>31</v>
      </c>
      <c r="D7290">
        <v>40</v>
      </c>
      <c r="E7290" t="s">
        <v>27</v>
      </c>
      <c r="F7290" t="s">
        <v>28</v>
      </c>
      <c r="G7290" t="s">
        <v>12</v>
      </c>
      <c r="H7290" s="1">
        <v>44661</v>
      </c>
    </row>
    <row r="7291" spans="1:8">
      <c r="A7291" t="s">
        <v>14517</v>
      </c>
      <c r="B7291" t="s">
        <v>14518</v>
      </c>
      <c r="C7291" t="s">
        <v>10</v>
      </c>
      <c r="D7291">
        <v>27</v>
      </c>
      <c r="E7291" t="s">
        <v>34</v>
      </c>
      <c r="F7291" t="s">
        <v>16</v>
      </c>
      <c r="G7291" t="s">
        <v>17</v>
      </c>
      <c r="H7291" s="1">
        <v>44744</v>
      </c>
    </row>
    <row r="7292" spans="1:8">
      <c r="A7292" t="s">
        <v>14519</v>
      </c>
      <c r="B7292" t="s">
        <v>14520</v>
      </c>
      <c r="C7292" t="s">
        <v>10</v>
      </c>
      <c r="D7292">
        <v>51</v>
      </c>
      <c r="E7292" t="s">
        <v>63</v>
      </c>
      <c r="F7292" t="s">
        <v>64</v>
      </c>
      <c r="G7292" t="s">
        <v>12</v>
      </c>
      <c r="H7292" s="1">
        <v>45426</v>
      </c>
    </row>
    <row r="7293" spans="1:8">
      <c r="A7293" t="s">
        <v>14521</v>
      </c>
      <c r="B7293" t="s">
        <v>14522</v>
      </c>
      <c r="C7293" t="s">
        <v>10</v>
      </c>
      <c r="D7293">
        <v>34</v>
      </c>
      <c r="E7293" t="s">
        <v>45</v>
      </c>
      <c r="F7293" t="s">
        <v>46</v>
      </c>
      <c r="G7293" t="s">
        <v>17</v>
      </c>
      <c r="H7293" s="1">
        <v>44773</v>
      </c>
    </row>
    <row r="7294" spans="1:8">
      <c r="A7294" t="s">
        <v>14523</v>
      </c>
      <c r="B7294" t="s">
        <v>14524</v>
      </c>
      <c r="C7294" t="s">
        <v>10</v>
      </c>
      <c r="D7294">
        <v>62</v>
      </c>
      <c r="E7294" t="s">
        <v>41</v>
      </c>
      <c r="F7294" t="s">
        <v>42</v>
      </c>
      <c r="G7294" t="s">
        <v>17</v>
      </c>
      <c r="H7294" s="1">
        <v>44649</v>
      </c>
    </row>
    <row r="7295" spans="1:8">
      <c r="A7295" t="s">
        <v>14525</v>
      </c>
      <c r="B7295" t="s">
        <v>14526</v>
      </c>
      <c r="C7295" t="s">
        <v>10</v>
      </c>
      <c r="D7295">
        <v>69</v>
      </c>
      <c r="E7295" t="s">
        <v>11</v>
      </c>
      <c r="F7295" t="s">
        <v>11</v>
      </c>
      <c r="G7295" t="s">
        <v>12</v>
      </c>
      <c r="H7295" s="1">
        <v>45087</v>
      </c>
    </row>
    <row r="7296" spans="1:8">
      <c r="A7296" t="s">
        <v>14527</v>
      </c>
      <c r="B7296" t="s">
        <v>14528</v>
      </c>
      <c r="C7296" t="s">
        <v>31</v>
      </c>
      <c r="D7296">
        <v>54</v>
      </c>
      <c r="E7296" t="s">
        <v>63</v>
      </c>
      <c r="F7296" t="s">
        <v>64</v>
      </c>
      <c r="G7296" t="s">
        <v>12</v>
      </c>
      <c r="H7296" s="1">
        <v>45121</v>
      </c>
    </row>
    <row r="7297" spans="1:8">
      <c r="A7297" t="s">
        <v>14529</v>
      </c>
      <c r="B7297" t="s">
        <v>14530</v>
      </c>
      <c r="C7297" t="s">
        <v>31</v>
      </c>
      <c r="D7297">
        <v>19</v>
      </c>
      <c r="E7297" t="s">
        <v>37</v>
      </c>
      <c r="F7297" t="s">
        <v>38</v>
      </c>
      <c r="G7297" t="s">
        <v>22</v>
      </c>
      <c r="H7297" s="1">
        <v>45721</v>
      </c>
    </row>
    <row r="7298" spans="1:8">
      <c r="A7298" t="s">
        <v>14531</v>
      </c>
      <c r="B7298" t="s">
        <v>14532</v>
      </c>
      <c r="C7298" t="s">
        <v>31</v>
      </c>
      <c r="D7298">
        <v>50</v>
      </c>
      <c r="E7298" t="s">
        <v>87</v>
      </c>
      <c r="F7298" t="s">
        <v>88</v>
      </c>
      <c r="G7298" t="s">
        <v>78</v>
      </c>
      <c r="H7298" s="1">
        <v>45771</v>
      </c>
    </row>
    <row r="7299" spans="1:8">
      <c r="A7299" t="s">
        <v>14533</v>
      </c>
      <c r="B7299" t="s">
        <v>14534</v>
      </c>
      <c r="C7299" t="s">
        <v>31</v>
      </c>
      <c r="D7299">
        <v>34</v>
      </c>
      <c r="E7299" t="s">
        <v>34</v>
      </c>
      <c r="F7299" t="s">
        <v>16</v>
      </c>
      <c r="G7299" t="s">
        <v>17</v>
      </c>
      <c r="H7299" s="1">
        <v>45979</v>
      </c>
    </row>
    <row r="7300" spans="1:8">
      <c r="A7300" t="s">
        <v>14535</v>
      </c>
      <c r="B7300" t="s">
        <v>14536</v>
      </c>
      <c r="C7300" t="s">
        <v>10</v>
      </c>
      <c r="D7300">
        <v>61</v>
      </c>
      <c r="E7300" t="s">
        <v>149</v>
      </c>
      <c r="F7300" t="s">
        <v>38</v>
      </c>
      <c r="G7300" t="s">
        <v>22</v>
      </c>
      <c r="H7300" s="1">
        <v>45778</v>
      </c>
    </row>
    <row r="7301" spans="1:8">
      <c r="A7301" t="s">
        <v>14537</v>
      </c>
      <c r="B7301" t="s">
        <v>14538</v>
      </c>
      <c r="C7301" t="s">
        <v>10</v>
      </c>
      <c r="D7301">
        <v>49</v>
      </c>
      <c r="E7301" t="s">
        <v>27</v>
      </c>
      <c r="F7301" t="s">
        <v>28</v>
      </c>
      <c r="G7301" t="s">
        <v>12</v>
      </c>
      <c r="H7301" s="1">
        <v>45275</v>
      </c>
    </row>
    <row r="7302" spans="1:8">
      <c r="A7302" t="s">
        <v>14539</v>
      </c>
      <c r="B7302" t="s">
        <v>14540</v>
      </c>
      <c r="C7302" t="s">
        <v>10</v>
      </c>
      <c r="D7302">
        <v>37</v>
      </c>
      <c r="E7302" t="s">
        <v>218</v>
      </c>
      <c r="F7302" t="s">
        <v>219</v>
      </c>
      <c r="G7302" t="s">
        <v>17</v>
      </c>
      <c r="H7302" s="1">
        <v>45123</v>
      </c>
    </row>
    <row r="7303" spans="1:8">
      <c r="A7303" t="s">
        <v>14541</v>
      </c>
      <c r="B7303" t="s">
        <v>14542</v>
      </c>
      <c r="C7303" t="s">
        <v>10</v>
      </c>
      <c r="D7303">
        <v>36</v>
      </c>
      <c r="E7303" t="s">
        <v>218</v>
      </c>
      <c r="F7303" t="s">
        <v>219</v>
      </c>
      <c r="G7303" t="s">
        <v>17</v>
      </c>
      <c r="H7303" s="1">
        <v>45909</v>
      </c>
    </row>
    <row r="7304" spans="1:8">
      <c r="A7304" t="s">
        <v>14543</v>
      </c>
      <c r="B7304" t="s">
        <v>14544</v>
      </c>
      <c r="C7304" t="s">
        <v>31</v>
      </c>
      <c r="D7304">
        <v>45</v>
      </c>
      <c r="E7304" t="s">
        <v>69</v>
      </c>
      <c r="F7304" t="s">
        <v>69</v>
      </c>
      <c r="G7304" t="s">
        <v>12</v>
      </c>
      <c r="H7304" s="1">
        <v>45894</v>
      </c>
    </row>
    <row r="7305" spans="1:8">
      <c r="A7305" t="s">
        <v>14545</v>
      </c>
      <c r="B7305" t="s">
        <v>14546</v>
      </c>
      <c r="C7305" t="s">
        <v>31</v>
      </c>
      <c r="D7305">
        <v>47</v>
      </c>
      <c r="E7305" t="s">
        <v>34</v>
      </c>
      <c r="F7305" t="s">
        <v>16</v>
      </c>
      <c r="G7305" t="s">
        <v>17</v>
      </c>
      <c r="H7305" s="1">
        <v>45943</v>
      </c>
    </row>
    <row r="7306" spans="1:8">
      <c r="A7306" t="s">
        <v>14547</v>
      </c>
      <c r="B7306" t="s">
        <v>14548</v>
      </c>
      <c r="C7306" t="s">
        <v>10</v>
      </c>
      <c r="D7306">
        <v>56</v>
      </c>
      <c r="E7306" t="s">
        <v>149</v>
      </c>
      <c r="F7306" t="s">
        <v>38</v>
      </c>
      <c r="G7306" t="s">
        <v>22</v>
      </c>
      <c r="H7306" s="1">
        <v>45800</v>
      </c>
    </row>
    <row r="7307" spans="1:8">
      <c r="A7307" t="s">
        <v>14549</v>
      </c>
      <c r="B7307" t="s">
        <v>14550</v>
      </c>
      <c r="C7307" t="s">
        <v>10</v>
      </c>
      <c r="D7307">
        <v>43</v>
      </c>
      <c r="E7307" t="s">
        <v>63</v>
      </c>
      <c r="F7307" t="s">
        <v>64</v>
      </c>
      <c r="G7307" t="s">
        <v>12</v>
      </c>
      <c r="H7307" s="1">
        <v>44653</v>
      </c>
    </row>
    <row r="7308" spans="1:8">
      <c r="A7308" t="s">
        <v>14551</v>
      </c>
      <c r="B7308" t="s">
        <v>14552</v>
      </c>
      <c r="C7308" t="s">
        <v>10</v>
      </c>
      <c r="D7308">
        <v>51</v>
      </c>
      <c r="E7308" t="s">
        <v>91</v>
      </c>
      <c r="F7308" t="s">
        <v>92</v>
      </c>
      <c r="G7308" t="s">
        <v>78</v>
      </c>
      <c r="H7308" s="1">
        <v>45576</v>
      </c>
    </row>
    <row r="7309" spans="1:8">
      <c r="A7309" t="s">
        <v>14553</v>
      </c>
      <c r="B7309" t="s">
        <v>14554</v>
      </c>
      <c r="C7309" t="s">
        <v>31</v>
      </c>
      <c r="D7309">
        <v>36</v>
      </c>
      <c r="E7309" t="s">
        <v>112</v>
      </c>
      <c r="F7309" t="s">
        <v>113</v>
      </c>
      <c r="G7309" t="s">
        <v>78</v>
      </c>
      <c r="H7309" s="1">
        <v>44814</v>
      </c>
    </row>
    <row r="7310" spans="1:8">
      <c r="A7310" t="s">
        <v>14555</v>
      </c>
      <c r="B7310" t="s">
        <v>14556</v>
      </c>
      <c r="C7310" t="s">
        <v>31</v>
      </c>
      <c r="D7310">
        <v>55</v>
      </c>
      <c r="E7310" t="s">
        <v>69</v>
      </c>
      <c r="F7310" t="s">
        <v>69</v>
      </c>
      <c r="G7310" t="s">
        <v>12</v>
      </c>
      <c r="H7310" s="1">
        <v>45624</v>
      </c>
    </row>
    <row r="7311" spans="1:8">
      <c r="A7311" t="s">
        <v>14557</v>
      </c>
      <c r="B7311" t="s">
        <v>14558</v>
      </c>
      <c r="C7311" t="s">
        <v>31</v>
      </c>
      <c r="D7311">
        <v>26</v>
      </c>
      <c r="E7311" t="s">
        <v>76</v>
      </c>
      <c r="F7311" t="s">
        <v>77</v>
      </c>
      <c r="G7311" t="s">
        <v>78</v>
      </c>
      <c r="H7311" s="1">
        <v>45967</v>
      </c>
    </row>
    <row r="7312" spans="1:8">
      <c r="A7312" t="s">
        <v>14559</v>
      </c>
      <c r="B7312" t="s">
        <v>14560</v>
      </c>
      <c r="C7312" t="s">
        <v>10</v>
      </c>
      <c r="D7312">
        <v>25</v>
      </c>
      <c r="E7312" t="s">
        <v>69</v>
      </c>
      <c r="F7312" t="s">
        <v>69</v>
      </c>
      <c r="G7312" t="s">
        <v>12</v>
      </c>
      <c r="H7312" s="1">
        <v>45356</v>
      </c>
    </row>
    <row r="7313" spans="1:8">
      <c r="A7313" t="s">
        <v>14561</v>
      </c>
      <c r="B7313" t="s">
        <v>14562</v>
      </c>
      <c r="C7313" t="s">
        <v>31</v>
      </c>
      <c r="D7313">
        <v>45</v>
      </c>
      <c r="E7313" t="s">
        <v>69</v>
      </c>
      <c r="F7313" t="s">
        <v>69</v>
      </c>
      <c r="G7313" t="s">
        <v>12</v>
      </c>
      <c r="H7313" s="1">
        <v>44842</v>
      </c>
    </row>
    <row r="7314" spans="1:8">
      <c r="A7314" t="s">
        <v>14563</v>
      </c>
      <c r="B7314" t="s">
        <v>14564</v>
      </c>
      <c r="C7314" t="s">
        <v>10</v>
      </c>
      <c r="D7314">
        <v>35</v>
      </c>
      <c r="E7314" t="s">
        <v>34</v>
      </c>
      <c r="F7314" t="s">
        <v>16</v>
      </c>
      <c r="G7314" t="s">
        <v>17</v>
      </c>
      <c r="H7314" s="1">
        <v>45193</v>
      </c>
    </row>
    <row r="7315" spans="1:8">
      <c r="A7315" t="s">
        <v>14565</v>
      </c>
      <c r="B7315" t="s">
        <v>14566</v>
      </c>
      <c r="C7315" t="s">
        <v>31</v>
      </c>
      <c r="D7315">
        <v>48</v>
      </c>
      <c r="E7315" t="s">
        <v>69</v>
      </c>
      <c r="F7315" t="s">
        <v>69</v>
      </c>
      <c r="G7315" t="s">
        <v>12</v>
      </c>
      <c r="H7315" s="1">
        <v>45685</v>
      </c>
    </row>
    <row r="7316" spans="1:8">
      <c r="A7316" t="s">
        <v>14567</v>
      </c>
      <c r="B7316" t="s">
        <v>14568</v>
      </c>
      <c r="C7316" t="s">
        <v>31</v>
      </c>
      <c r="D7316">
        <v>42</v>
      </c>
      <c r="E7316" t="s">
        <v>11</v>
      </c>
      <c r="F7316" t="s">
        <v>11</v>
      </c>
      <c r="G7316" t="s">
        <v>12</v>
      </c>
      <c r="H7316" s="1">
        <v>45372</v>
      </c>
    </row>
    <row r="7317" spans="1:8">
      <c r="A7317" t="s">
        <v>14569</v>
      </c>
      <c r="B7317" t="s">
        <v>14570</v>
      </c>
      <c r="C7317" t="s">
        <v>31</v>
      </c>
      <c r="D7317">
        <v>20</v>
      </c>
      <c r="E7317" t="s">
        <v>41</v>
      </c>
      <c r="F7317" t="s">
        <v>42</v>
      </c>
      <c r="G7317" t="s">
        <v>17</v>
      </c>
      <c r="H7317" s="1">
        <v>45567</v>
      </c>
    </row>
    <row r="7318" spans="1:8">
      <c r="A7318" t="s">
        <v>14571</v>
      </c>
      <c r="B7318" t="s">
        <v>14572</v>
      </c>
      <c r="C7318" t="s">
        <v>10</v>
      </c>
      <c r="D7318">
        <v>31</v>
      </c>
      <c r="E7318" t="s">
        <v>45</v>
      </c>
      <c r="F7318" t="s">
        <v>46</v>
      </c>
      <c r="G7318" t="s">
        <v>17</v>
      </c>
      <c r="H7318" s="1">
        <v>45580</v>
      </c>
    </row>
    <row r="7319" spans="1:8">
      <c r="A7319" t="s">
        <v>14573</v>
      </c>
      <c r="B7319" t="s">
        <v>14574</v>
      </c>
      <c r="C7319" t="s">
        <v>10</v>
      </c>
      <c r="D7319">
        <v>35</v>
      </c>
      <c r="E7319" t="s">
        <v>34</v>
      </c>
      <c r="F7319" t="s">
        <v>16</v>
      </c>
      <c r="G7319" t="s">
        <v>17</v>
      </c>
      <c r="H7319" s="1">
        <v>45222</v>
      </c>
    </row>
    <row r="7320" spans="1:8">
      <c r="A7320" t="s">
        <v>14575</v>
      </c>
      <c r="B7320" t="s">
        <v>14576</v>
      </c>
      <c r="C7320" t="s">
        <v>10</v>
      </c>
      <c r="D7320">
        <v>39</v>
      </c>
      <c r="E7320" t="s">
        <v>34</v>
      </c>
      <c r="F7320" t="s">
        <v>16</v>
      </c>
      <c r="G7320" t="s">
        <v>17</v>
      </c>
      <c r="H7320" s="1">
        <v>45258</v>
      </c>
    </row>
    <row r="7321" spans="1:8">
      <c r="A7321" t="s">
        <v>14577</v>
      </c>
      <c r="B7321" t="s">
        <v>14578</v>
      </c>
      <c r="C7321" t="s">
        <v>10</v>
      </c>
      <c r="D7321">
        <v>51</v>
      </c>
      <c r="E7321" t="s">
        <v>112</v>
      </c>
      <c r="F7321" t="s">
        <v>113</v>
      </c>
      <c r="G7321" t="s">
        <v>78</v>
      </c>
      <c r="H7321" s="1">
        <v>44631</v>
      </c>
    </row>
    <row r="7322" spans="1:8">
      <c r="A7322" t="s">
        <v>14579</v>
      </c>
      <c r="B7322" t="s">
        <v>14580</v>
      </c>
      <c r="C7322" t="s">
        <v>31</v>
      </c>
      <c r="D7322">
        <v>56</v>
      </c>
      <c r="E7322" t="s">
        <v>60</v>
      </c>
      <c r="F7322" t="s">
        <v>21</v>
      </c>
      <c r="G7322" t="s">
        <v>22</v>
      </c>
      <c r="H7322" s="1">
        <v>45830</v>
      </c>
    </row>
    <row r="7323" spans="1:8">
      <c r="A7323" t="s">
        <v>14581</v>
      </c>
      <c r="B7323" t="s">
        <v>14582</v>
      </c>
      <c r="C7323" t="s">
        <v>10</v>
      </c>
      <c r="D7323">
        <v>24</v>
      </c>
      <c r="E7323" t="s">
        <v>20</v>
      </c>
      <c r="F7323" t="s">
        <v>21</v>
      </c>
      <c r="G7323" t="s">
        <v>22</v>
      </c>
      <c r="H7323" s="1">
        <v>45488</v>
      </c>
    </row>
    <row r="7324" spans="1:8">
      <c r="A7324" t="s">
        <v>14583</v>
      </c>
      <c r="B7324" t="s">
        <v>14584</v>
      </c>
      <c r="C7324" t="s">
        <v>10</v>
      </c>
      <c r="D7324">
        <v>18</v>
      </c>
      <c r="E7324" t="s">
        <v>20</v>
      </c>
      <c r="F7324" t="s">
        <v>21</v>
      </c>
      <c r="G7324" t="s">
        <v>22</v>
      </c>
      <c r="H7324" s="1">
        <v>45257</v>
      </c>
    </row>
    <row r="7325" spans="1:8">
      <c r="A7325" t="s">
        <v>14585</v>
      </c>
      <c r="B7325" t="s">
        <v>14586</v>
      </c>
      <c r="C7325" t="s">
        <v>10</v>
      </c>
      <c r="D7325">
        <v>67</v>
      </c>
      <c r="E7325" t="s">
        <v>63</v>
      </c>
      <c r="F7325" t="s">
        <v>64</v>
      </c>
      <c r="G7325" t="s">
        <v>12</v>
      </c>
      <c r="H7325" s="1">
        <v>45238</v>
      </c>
    </row>
    <row r="7326" spans="1:8">
      <c r="A7326" t="s">
        <v>14587</v>
      </c>
      <c r="B7326" t="s">
        <v>14588</v>
      </c>
      <c r="C7326" t="s">
        <v>31</v>
      </c>
      <c r="D7326">
        <v>41</v>
      </c>
      <c r="E7326" t="s">
        <v>15</v>
      </c>
      <c r="F7326" t="s">
        <v>16</v>
      </c>
      <c r="G7326" t="s">
        <v>17</v>
      </c>
      <c r="H7326" s="1">
        <v>45616</v>
      </c>
    </row>
    <row r="7327" spans="1:8">
      <c r="A7327" t="s">
        <v>14589</v>
      </c>
      <c r="B7327" t="s">
        <v>14590</v>
      </c>
      <c r="C7327" t="s">
        <v>10</v>
      </c>
      <c r="D7327">
        <v>36</v>
      </c>
      <c r="E7327" t="s">
        <v>87</v>
      </c>
      <c r="F7327" t="s">
        <v>88</v>
      </c>
      <c r="G7327" t="s">
        <v>78</v>
      </c>
      <c r="H7327" s="1">
        <v>45236</v>
      </c>
    </row>
    <row r="7328" spans="1:8">
      <c r="A7328" t="s">
        <v>14591</v>
      </c>
      <c r="B7328" t="s">
        <v>14592</v>
      </c>
      <c r="C7328" t="s">
        <v>10</v>
      </c>
      <c r="D7328">
        <v>64</v>
      </c>
      <c r="E7328" t="s">
        <v>63</v>
      </c>
      <c r="F7328" t="s">
        <v>64</v>
      </c>
      <c r="G7328" t="s">
        <v>12</v>
      </c>
      <c r="H7328" s="1">
        <v>44868</v>
      </c>
    </row>
    <row r="7329" spans="1:8">
      <c r="A7329" t="s">
        <v>14593</v>
      </c>
      <c r="B7329" t="s">
        <v>14594</v>
      </c>
      <c r="C7329" t="s">
        <v>10</v>
      </c>
      <c r="D7329">
        <v>27</v>
      </c>
      <c r="E7329" t="s">
        <v>11</v>
      </c>
      <c r="F7329" t="s">
        <v>11</v>
      </c>
      <c r="G7329" t="s">
        <v>12</v>
      </c>
      <c r="H7329" s="1">
        <v>44575</v>
      </c>
    </row>
    <row r="7330" spans="1:8">
      <c r="A7330" t="s">
        <v>14595</v>
      </c>
      <c r="B7330" t="s">
        <v>14596</v>
      </c>
      <c r="C7330" t="s">
        <v>31</v>
      </c>
      <c r="D7330">
        <v>65</v>
      </c>
      <c r="E7330" t="s">
        <v>128</v>
      </c>
      <c r="F7330" t="s">
        <v>129</v>
      </c>
      <c r="G7330" t="s">
        <v>78</v>
      </c>
      <c r="H7330" s="1">
        <v>45116</v>
      </c>
    </row>
    <row r="7331" spans="1:8">
      <c r="A7331" t="s">
        <v>14597</v>
      </c>
      <c r="B7331" t="s">
        <v>14598</v>
      </c>
      <c r="C7331" t="s">
        <v>10</v>
      </c>
      <c r="D7331">
        <v>35</v>
      </c>
      <c r="E7331" t="s">
        <v>15</v>
      </c>
      <c r="F7331" t="s">
        <v>16</v>
      </c>
      <c r="G7331" t="s">
        <v>17</v>
      </c>
      <c r="H7331" s="1">
        <v>45129</v>
      </c>
    </row>
    <row r="7332" spans="1:8">
      <c r="A7332" t="s">
        <v>14599</v>
      </c>
      <c r="B7332" t="s">
        <v>14600</v>
      </c>
      <c r="C7332" t="s">
        <v>10</v>
      </c>
      <c r="D7332">
        <v>34</v>
      </c>
      <c r="E7332" t="s">
        <v>128</v>
      </c>
      <c r="F7332" t="s">
        <v>129</v>
      </c>
      <c r="G7332" t="s">
        <v>78</v>
      </c>
      <c r="H7332" s="1">
        <v>45556</v>
      </c>
    </row>
    <row r="7333" spans="1:8">
      <c r="A7333" t="s">
        <v>14601</v>
      </c>
      <c r="B7333" t="s">
        <v>14602</v>
      </c>
      <c r="C7333" t="s">
        <v>31</v>
      </c>
      <c r="D7333">
        <v>48</v>
      </c>
      <c r="E7333" t="s">
        <v>63</v>
      </c>
      <c r="F7333" t="s">
        <v>64</v>
      </c>
      <c r="G7333" t="s">
        <v>12</v>
      </c>
      <c r="H7333" s="1">
        <v>45956</v>
      </c>
    </row>
    <row r="7334" spans="1:8">
      <c r="A7334" t="s">
        <v>14603</v>
      </c>
      <c r="B7334" t="s">
        <v>14604</v>
      </c>
      <c r="C7334" t="s">
        <v>31</v>
      </c>
      <c r="D7334">
        <v>20</v>
      </c>
      <c r="E7334" t="s">
        <v>27</v>
      </c>
      <c r="F7334" t="s">
        <v>28</v>
      </c>
      <c r="G7334" t="s">
        <v>12</v>
      </c>
      <c r="H7334" s="1">
        <v>44871</v>
      </c>
    </row>
    <row r="7335" spans="1:8">
      <c r="A7335" t="s">
        <v>14605</v>
      </c>
      <c r="B7335" t="s">
        <v>14606</v>
      </c>
      <c r="C7335" t="s">
        <v>31</v>
      </c>
      <c r="D7335">
        <v>51</v>
      </c>
      <c r="E7335" t="s">
        <v>11</v>
      </c>
      <c r="F7335" t="s">
        <v>11</v>
      </c>
      <c r="G7335" t="s">
        <v>12</v>
      </c>
      <c r="H7335" s="1">
        <v>44797</v>
      </c>
    </row>
    <row r="7336" spans="1:8">
      <c r="A7336" t="s">
        <v>14607</v>
      </c>
      <c r="B7336" t="s">
        <v>14608</v>
      </c>
      <c r="C7336" t="s">
        <v>31</v>
      </c>
      <c r="D7336">
        <v>57</v>
      </c>
      <c r="E7336" t="s">
        <v>15</v>
      </c>
      <c r="F7336" t="s">
        <v>16</v>
      </c>
      <c r="G7336" t="s">
        <v>17</v>
      </c>
      <c r="H7336" s="1">
        <v>45006</v>
      </c>
    </row>
    <row r="7337" spans="1:8">
      <c r="A7337" t="s">
        <v>14609</v>
      </c>
      <c r="B7337" t="s">
        <v>14610</v>
      </c>
      <c r="C7337" t="s">
        <v>10</v>
      </c>
      <c r="D7337">
        <v>59</v>
      </c>
      <c r="E7337" t="s">
        <v>128</v>
      </c>
      <c r="F7337" t="s">
        <v>129</v>
      </c>
      <c r="G7337" t="s">
        <v>78</v>
      </c>
      <c r="H7337" s="1">
        <v>44727</v>
      </c>
    </row>
    <row r="7338" spans="1:8">
      <c r="A7338" t="s">
        <v>14611</v>
      </c>
      <c r="B7338" t="s">
        <v>14612</v>
      </c>
      <c r="C7338" t="s">
        <v>31</v>
      </c>
      <c r="D7338">
        <v>27</v>
      </c>
      <c r="E7338" t="s">
        <v>15</v>
      </c>
      <c r="F7338" t="s">
        <v>16</v>
      </c>
      <c r="G7338" t="s">
        <v>17</v>
      </c>
      <c r="H7338" s="1">
        <v>45956</v>
      </c>
    </row>
    <row r="7339" spans="1:8">
      <c r="A7339" t="s">
        <v>14613</v>
      </c>
      <c r="B7339" t="s">
        <v>14614</v>
      </c>
      <c r="C7339" t="s">
        <v>31</v>
      </c>
      <c r="D7339">
        <v>47</v>
      </c>
      <c r="E7339" t="s">
        <v>76</v>
      </c>
      <c r="F7339" t="s">
        <v>77</v>
      </c>
      <c r="G7339" t="s">
        <v>78</v>
      </c>
      <c r="H7339" s="1">
        <v>45398</v>
      </c>
    </row>
    <row r="7340" spans="1:8">
      <c r="A7340" t="s">
        <v>14615</v>
      </c>
      <c r="B7340" t="s">
        <v>14616</v>
      </c>
      <c r="C7340" t="s">
        <v>10</v>
      </c>
      <c r="D7340">
        <v>61</v>
      </c>
      <c r="E7340" t="s">
        <v>60</v>
      </c>
      <c r="F7340" t="s">
        <v>21</v>
      </c>
      <c r="G7340" t="s">
        <v>22</v>
      </c>
      <c r="H7340" s="1">
        <v>45453</v>
      </c>
    </row>
    <row r="7341" spans="1:8">
      <c r="A7341" t="s">
        <v>14617</v>
      </c>
      <c r="B7341" t="s">
        <v>14618</v>
      </c>
      <c r="C7341" t="s">
        <v>31</v>
      </c>
      <c r="D7341">
        <v>36</v>
      </c>
      <c r="E7341" t="s">
        <v>60</v>
      </c>
      <c r="F7341" t="s">
        <v>21</v>
      </c>
      <c r="G7341" t="s">
        <v>22</v>
      </c>
      <c r="H7341" s="1">
        <v>45531</v>
      </c>
    </row>
    <row r="7342" spans="1:8">
      <c r="A7342" t="s">
        <v>14619</v>
      </c>
      <c r="B7342" t="s">
        <v>14620</v>
      </c>
      <c r="C7342" t="s">
        <v>31</v>
      </c>
      <c r="D7342">
        <v>31</v>
      </c>
      <c r="E7342" t="s">
        <v>134</v>
      </c>
      <c r="F7342" t="s">
        <v>28</v>
      </c>
      <c r="G7342" t="s">
        <v>12</v>
      </c>
      <c r="H7342" s="1">
        <v>44823</v>
      </c>
    </row>
    <row r="7343" spans="1:8">
      <c r="A7343" t="s">
        <v>14621</v>
      </c>
      <c r="B7343" t="s">
        <v>14622</v>
      </c>
      <c r="C7343" t="s">
        <v>10</v>
      </c>
      <c r="D7343">
        <v>30</v>
      </c>
      <c r="E7343" t="s">
        <v>134</v>
      </c>
      <c r="F7343" t="s">
        <v>28</v>
      </c>
      <c r="G7343" t="s">
        <v>12</v>
      </c>
      <c r="H7343" s="1">
        <v>45590</v>
      </c>
    </row>
    <row r="7344" spans="1:8">
      <c r="A7344" t="s">
        <v>14623</v>
      </c>
      <c r="B7344" t="s">
        <v>14624</v>
      </c>
      <c r="C7344" t="s">
        <v>10</v>
      </c>
      <c r="D7344">
        <v>38</v>
      </c>
      <c r="E7344" t="s">
        <v>69</v>
      </c>
      <c r="F7344" t="s">
        <v>69</v>
      </c>
      <c r="G7344" t="s">
        <v>12</v>
      </c>
      <c r="H7344" s="1">
        <v>45845</v>
      </c>
    </row>
    <row r="7345" spans="1:8">
      <c r="A7345" t="s">
        <v>14625</v>
      </c>
      <c r="B7345" t="s">
        <v>14626</v>
      </c>
      <c r="C7345" t="s">
        <v>31</v>
      </c>
      <c r="D7345">
        <v>30</v>
      </c>
      <c r="E7345" t="s">
        <v>101</v>
      </c>
      <c r="F7345" t="s">
        <v>21</v>
      </c>
      <c r="G7345" t="s">
        <v>22</v>
      </c>
      <c r="H7345" s="1">
        <v>44824</v>
      </c>
    </row>
    <row r="7346" spans="1:8">
      <c r="A7346" t="s">
        <v>14627</v>
      </c>
      <c r="B7346" t="s">
        <v>14628</v>
      </c>
      <c r="C7346" t="s">
        <v>10</v>
      </c>
      <c r="D7346">
        <v>53</v>
      </c>
      <c r="E7346" t="s">
        <v>20</v>
      </c>
      <c r="F7346" t="s">
        <v>21</v>
      </c>
      <c r="G7346" t="s">
        <v>22</v>
      </c>
      <c r="H7346" s="1">
        <v>45516</v>
      </c>
    </row>
    <row r="7347" spans="1:8">
      <c r="A7347" t="s">
        <v>14629</v>
      </c>
      <c r="B7347" t="s">
        <v>14630</v>
      </c>
      <c r="C7347" t="s">
        <v>31</v>
      </c>
      <c r="D7347">
        <v>39</v>
      </c>
      <c r="E7347" t="s">
        <v>15</v>
      </c>
      <c r="F7347" t="s">
        <v>16</v>
      </c>
      <c r="G7347" t="s">
        <v>17</v>
      </c>
      <c r="H7347" s="1">
        <v>45073</v>
      </c>
    </row>
    <row r="7348" spans="1:8">
      <c r="A7348" t="s">
        <v>14631</v>
      </c>
      <c r="B7348" t="s">
        <v>14632</v>
      </c>
      <c r="C7348" t="s">
        <v>10</v>
      </c>
      <c r="D7348">
        <v>50</v>
      </c>
      <c r="E7348" t="s">
        <v>60</v>
      </c>
      <c r="F7348" t="s">
        <v>21</v>
      </c>
      <c r="G7348" t="s">
        <v>22</v>
      </c>
      <c r="H7348" s="1">
        <v>45641</v>
      </c>
    </row>
    <row r="7349" spans="1:8">
      <c r="A7349" t="s">
        <v>14633</v>
      </c>
      <c r="B7349" t="s">
        <v>14634</v>
      </c>
      <c r="C7349" t="s">
        <v>31</v>
      </c>
      <c r="D7349">
        <v>46</v>
      </c>
      <c r="E7349" t="s">
        <v>76</v>
      </c>
      <c r="F7349" t="s">
        <v>77</v>
      </c>
      <c r="G7349" t="s">
        <v>78</v>
      </c>
      <c r="H7349" s="1">
        <v>44576</v>
      </c>
    </row>
    <row r="7350" spans="1:8">
      <c r="A7350" t="s">
        <v>14635</v>
      </c>
      <c r="B7350" t="s">
        <v>14636</v>
      </c>
      <c r="C7350" t="s">
        <v>31</v>
      </c>
      <c r="D7350">
        <v>63</v>
      </c>
      <c r="E7350" t="s">
        <v>149</v>
      </c>
      <c r="F7350" t="s">
        <v>38</v>
      </c>
      <c r="G7350" t="s">
        <v>22</v>
      </c>
      <c r="H7350" s="1">
        <v>45339</v>
      </c>
    </row>
    <row r="7351" spans="1:8">
      <c r="A7351" t="s">
        <v>14637</v>
      </c>
      <c r="B7351" t="s">
        <v>14638</v>
      </c>
      <c r="C7351" t="s">
        <v>31</v>
      </c>
      <c r="D7351">
        <v>37</v>
      </c>
      <c r="E7351" t="s">
        <v>34</v>
      </c>
      <c r="F7351" t="s">
        <v>16</v>
      </c>
      <c r="G7351" t="s">
        <v>17</v>
      </c>
      <c r="H7351" s="1">
        <v>45668</v>
      </c>
    </row>
    <row r="7352" spans="1:8">
      <c r="A7352" t="s">
        <v>14639</v>
      </c>
      <c r="B7352" t="s">
        <v>14640</v>
      </c>
      <c r="C7352" t="s">
        <v>10</v>
      </c>
      <c r="D7352">
        <v>64</v>
      </c>
      <c r="E7352" t="s">
        <v>60</v>
      </c>
      <c r="F7352" t="s">
        <v>21</v>
      </c>
      <c r="G7352" t="s">
        <v>22</v>
      </c>
      <c r="H7352" s="1">
        <v>45476</v>
      </c>
    </row>
    <row r="7353" spans="1:8">
      <c r="A7353" t="s">
        <v>14641</v>
      </c>
      <c r="B7353" t="s">
        <v>14642</v>
      </c>
      <c r="C7353" t="s">
        <v>31</v>
      </c>
      <c r="D7353">
        <v>38</v>
      </c>
      <c r="E7353" t="s">
        <v>11</v>
      </c>
      <c r="F7353" t="s">
        <v>11</v>
      </c>
      <c r="G7353" t="s">
        <v>12</v>
      </c>
      <c r="H7353" s="1">
        <v>45843</v>
      </c>
    </row>
    <row r="7354" spans="1:8">
      <c r="A7354" t="s">
        <v>14643</v>
      </c>
      <c r="B7354" t="s">
        <v>14644</v>
      </c>
      <c r="C7354" t="s">
        <v>31</v>
      </c>
      <c r="D7354">
        <v>56</v>
      </c>
      <c r="E7354" t="s">
        <v>34</v>
      </c>
      <c r="F7354" t="s">
        <v>16</v>
      </c>
      <c r="G7354" t="s">
        <v>17</v>
      </c>
      <c r="H7354" s="1">
        <v>45360</v>
      </c>
    </row>
    <row r="7355" spans="1:8">
      <c r="A7355" t="s">
        <v>14645</v>
      </c>
      <c r="B7355" t="s">
        <v>14646</v>
      </c>
      <c r="C7355" t="s">
        <v>10</v>
      </c>
      <c r="D7355">
        <v>43</v>
      </c>
      <c r="E7355" t="s">
        <v>45</v>
      </c>
      <c r="F7355" t="s">
        <v>46</v>
      </c>
      <c r="G7355" t="s">
        <v>17</v>
      </c>
      <c r="H7355" s="1">
        <v>46014</v>
      </c>
    </row>
    <row r="7356" spans="1:8">
      <c r="A7356" t="s">
        <v>14647</v>
      </c>
      <c r="B7356" t="s">
        <v>14648</v>
      </c>
      <c r="C7356" t="s">
        <v>31</v>
      </c>
      <c r="D7356">
        <v>63</v>
      </c>
      <c r="E7356" t="s">
        <v>15</v>
      </c>
      <c r="F7356" t="s">
        <v>16</v>
      </c>
      <c r="G7356" t="s">
        <v>17</v>
      </c>
      <c r="H7356" s="1">
        <v>45546</v>
      </c>
    </row>
    <row r="7357" spans="1:8">
      <c r="A7357" t="s">
        <v>14649</v>
      </c>
      <c r="B7357" t="s">
        <v>14650</v>
      </c>
      <c r="C7357" t="s">
        <v>31</v>
      </c>
      <c r="D7357">
        <v>32</v>
      </c>
      <c r="E7357" t="s">
        <v>87</v>
      </c>
      <c r="F7357" t="s">
        <v>88</v>
      </c>
      <c r="G7357" t="s">
        <v>78</v>
      </c>
      <c r="H7357" s="1">
        <v>45088</v>
      </c>
    </row>
    <row r="7358" spans="1:8">
      <c r="A7358" t="s">
        <v>14651</v>
      </c>
      <c r="B7358" t="s">
        <v>14652</v>
      </c>
      <c r="C7358" t="s">
        <v>31</v>
      </c>
      <c r="D7358">
        <v>23</v>
      </c>
      <c r="E7358" t="s">
        <v>15</v>
      </c>
      <c r="F7358" t="s">
        <v>16</v>
      </c>
      <c r="G7358" t="s">
        <v>17</v>
      </c>
      <c r="H7358" s="1">
        <v>44593</v>
      </c>
    </row>
    <row r="7359" spans="1:8">
      <c r="A7359" t="s">
        <v>14653</v>
      </c>
      <c r="B7359" t="s">
        <v>8465</v>
      </c>
      <c r="C7359" t="s">
        <v>10</v>
      </c>
      <c r="D7359">
        <v>55</v>
      </c>
      <c r="E7359" t="s">
        <v>45</v>
      </c>
      <c r="F7359" t="s">
        <v>46</v>
      </c>
      <c r="G7359" t="s">
        <v>17</v>
      </c>
      <c r="H7359" s="1">
        <v>45290</v>
      </c>
    </row>
    <row r="7360" spans="1:8">
      <c r="A7360" t="s">
        <v>14654</v>
      </c>
      <c r="B7360" t="s">
        <v>14655</v>
      </c>
      <c r="C7360" t="s">
        <v>31</v>
      </c>
      <c r="D7360">
        <v>40</v>
      </c>
      <c r="E7360" t="s">
        <v>27</v>
      </c>
      <c r="F7360" t="s">
        <v>28</v>
      </c>
      <c r="G7360" t="s">
        <v>12</v>
      </c>
      <c r="H7360" s="1">
        <v>45344</v>
      </c>
    </row>
    <row r="7361" spans="1:8">
      <c r="A7361" t="s">
        <v>14656</v>
      </c>
      <c r="B7361" t="s">
        <v>14657</v>
      </c>
      <c r="C7361" t="s">
        <v>10</v>
      </c>
      <c r="D7361">
        <v>31</v>
      </c>
      <c r="E7361" t="s">
        <v>134</v>
      </c>
      <c r="F7361" t="s">
        <v>28</v>
      </c>
      <c r="G7361" t="s">
        <v>12</v>
      </c>
      <c r="H7361" s="1">
        <v>45117</v>
      </c>
    </row>
    <row r="7362" spans="1:8">
      <c r="A7362" t="s">
        <v>14658</v>
      </c>
      <c r="B7362" t="s">
        <v>14659</v>
      </c>
      <c r="C7362" t="s">
        <v>10</v>
      </c>
      <c r="D7362">
        <v>69</v>
      </c>
      <c r="E7362" t="s">
        <v>218</v>
      </c>
      <c r="F7362" t="s">
        <v>219</v>
      </c>
      <c r="G7362" t="s">
        <v>17</v>
      </c>
      <c r="H7362" s="1">
        <v>45542</v>
      </c>
    </row>
    <row r="7363" spans="1:8">
      <c r="A7363" t="s">
        <v>14660</v>
      </c>
      <c r="B7363" t="s">
        <v>14661</v>
      </c>
      <c r="C7363" t="s">
        <v>10</v>
      </c>
      <c r="D7363">
        <v>70</v>
      </c>
      <c r="E7363" t="s">
        <v>45</v>
      </c>
      <c r="F7363" t="s">
        <v>46</v>
      </c>
      <c r="G7363" t="s">
        <v>17</v>
      </c>
      <c r="H7363" s="1">
        <v>45026</v>
      </c>
    </row>
    <row r="7364" spans="1:8">
      <c r="A7364" t="s">
        <v>14662</v>
      </c>
      <c r="B7364" t="s">
        <v>14663</v>
      </c>
      <c r="C7364" t="s">
        <v>31</v>
      </c>
      <c r="D7364">
        <v>28</v>
      </c>
      <c r="E7364" t="s">
        <v>45</v>
      </c>
      <c r="F7364" t="s">
        <v>46</v>
      </c>
      <c r="G7364" t="s">
        <v>17</v>
      </c>
      <c r="H7364" s="1">
        <v>45751</v>
      </c>
    </row>
    <row r="7365" spans="1:8">
      <c r="A7365" t="s">
        <v>14664</v>
      </c>
      <c r="B7365" t="s">
        <v>14665</v>
      </c>
      <c r="C7365" t="s">
        <v>10</v>
      </c>
      <c r="D7365">
        <v>23</v>
      </c>
      <c r="E7365" t="s">
        <v>27</v>
      </c>
      <c r="F7365" t="s">
        <v>28</v>
      </c>
      <c r="G7365" t="s">
        <v>12</v>
      </c>
      <c r="H7365" s="1">
        <v>45519</v>
      </c>
    </row>
    <row r="7366" spans="1:8">
      <c r="A7366" t="s">
        <v>14666</v>
      </c>
      <c r="B7366" t="s">
        <v>14667</v>
      </c>
      <c r="C7366" t="s">
        <v>31</v>
      </c>
      <c r="D7366">
        <v>32</v>
      </c>
      <c r="E7366" t="s">
        <v>15</v>
      </c>
      <c r="F7366" t="s">
        <v>16</v>
      </c>
      <c r="G7366" t="s">
        <v>17</v>
      </c>
      <c r="H7366" s="1">
        <v>44983</v>
      </c>
    </row>
    <row r="7367" spans="1:8">
      <c r="A7367" t="s">
        <v>14668</v>
      </c>
      <c r="B7367" t="s">
        <v>14669</v>
      </c>
      <c r="C7367" t="s">
        <v>31</v>
      </c>
      <c r="D7367">
        <v>41</v>
      </c>
      <c r="E7367" t="s">
        <v>218</v>
      </c>
      <c r="F7367" t="s">
        <v>219</v>
      </c>
      <c r="G7367" t="s">
        <v>17</v>
      </c>
      <c r="H7367" s="1">
        <v>45790</v>
      </c>
    </row>
    <row r="7368" spans="1:8">
      <c r="A7368" t="s">
        <v>14670</v>
      </c>
      <c r="B7368" t="s">
        <v>14671</v>
      </c>
      <c r="C7368" t="s">
        <v>31</v>
      </c>
      <c r="D7368">
        <v>70</v>
      </c>
      <c r="E7368" t="s">
        <v>27</v>
      </c>
      <c r="F7368" t="s">
        <v>28</v>
      </c>
      <c r="G7368" t="s">
        <v>12</v>
      </c>
      <c r="H7368" s="1">
        <v>45997</v>
      </c>
    </row>
    <row r="7369" spans="1:8">
      <c r="A7369" t="s">
        <v>14672</v>
      </c>
      <c r="B7369" t="s">
        <v>14673</v>
      </c>
      <c r="C7369" t="s">
        <v>10</v>
      </c>
      <c r="D7369">
        <v>64</v>
      </c>
      <c r="E7369" t="s">
        <v>149</v>
      </c>
      <c r="F7369" t="s">
        <v>38</v>
      </c>
      <c r="G7369" t="s">
        <v>22</v>
      </c>
      <c r="H7369" s="1">
        <v>45845</v>
      </c>
    </row>
    <row r="7370" spans="1:8">
      <c r="A7370" t="s">
        <v>14674</v>
      </c>
      <c r="B7370" t="s">
        <v>14675</v>
      </c>
      <c r="C7370" t="s">
        <v>31</v>
      </c>
      <c r="D7370">
        <v>50</v>
      </c>
      <c r="E7370" t="s">
        <v>60</v>
      </c>
      <c r="F7370" t="s">
        <v>21</v>
      </c>
      <c r="G7370" t="s">
        <v>22</v>
      </c>
      <c r="H7370" s="1">
        <v>44751</v>
      </c>
    </row>
    <row r="7371" spans="1:8">
      <c r="A7371" t="s">
        <v>14676</v>
      </c>
      <c r="B7371" t="s">
        <v>14677</v>
      </c>
      <c r="C7371" t="s">
        <v>31</v>
      </c>
      <c r="D7371">
        <v>54</v>
      </c>
      <c r="E7371" t="s">
        <v>101</v>
      </c>
      <c r="F7371" t="s">
        <v>21</v>
      </c>
      <c r="G7371" t="s">
        <v>22</v>
      </c>
      <c r="H7371" s="1">
        <v>44798</v>
      </c>
    </row>
    <row r="7372" spans="1:8">
      <c r="A7372" t="s">
        <v>14678</v>
      </c>
      <c r="B7372" t="s">
        <v>14679</v>
      </c>
      <c r="C7372" t="s">
        <v>31</v>
      </c>
      <c r="D7372">
        <v>31</v>
      </c>
      <c r="E7372" t="s">
        <v>69</v>
      </c>
      <c r="F7372" t="s">
        <v>69</v>
      </c>
      <c r="G7372" t="s">
        <v>12</v>
      </c>
      <c r="H7372" s="1">
        <v>45805</v>
      </c>
    </row>
    <row r="7373" spans="1:8">
      <c r="A7373" t="s">
        <v>14680</v>
      </c>
      <c r="B7373" t="s">
        <v>14681</v>
      </c>
      <c r="C7373" t="s">
        <v>10</v>
      </c>
      <c r="D7373">
        <v>49</v>
      </c>
      <c r="E7373" t="s">
        <v>101</v>
      </c>
      <c r="F7373" t="s">
        <v>21</v>
      </c>
      <c r="G7373" t="s">
        <v>22</v>
      </c>
      <c r="H7373" s="1">
        <v>45616</v>
      </c>
    </row>
    <row r="7374" spans="1:8">
      <c r="A7374" t="s">
        <v>14682</v>
      </c>
      <c r="B7374" t="s">
        <v>14683</v>
      </c>
      <c r="C7374" t="s">
        <v>10</v>
      </c>
      <c r="D7374">
        <v>31</v>
      </c>
      <c r="E7374" t="s">
        <v>128</v>
      </c>
      <c r="F7374" t="s">
        <v>129</v>
      </c>
      <c r="G7374" t="s">
        <v>78</v>
      </c>
      <c r="H7374" s="1">
        <v>44654</v>
      </c>
    </row>
    <row r="7375" spans="1:8">
      <c r="A7375" t="s">
        <v>14684</v>
      </c>
      <c r="B7375" t="s">
        <v>14685</v>
      </c>
      <c r="C7375" t="s">
        <v>10</v>
      </c>
      <c r="D7375">
        <v>56</v>
      </c>
      <c r="E7375" t="s">
        <v>34</v>
      </c>
      <c r="F7375" t="s">
        <v>16</v>
      </c>
      <c r="G7375" t="s">
        <v>17</v>
      </c>
      <c r="H7375" s="1">
        <v>44943</v>
      </c>
    </row>
    <row r="7376" spans="1:8">
      <c r="A7376" t="s">
        <v>14686</v>
      </c>
      <c r="B7376" t="s">
        <v>14687</v>
      </c>
      <c r="C7376" t="s">
        <v>31</v>
      </c>
      <c r="D7376">
        <v>18</v>
      </c>
      <c r="E7376" t="s">
        <v>60</v>
      </c>
      <c r="F7376" t="s">
        <v>21</v>
      </c>
      <c r="G7376" t="s">
        <v>22</v>
      </c>
      <c r="H7376" s="1">
        <v>44645</v>
      </c>
    </row>
    <row r="7377" spans="1:8">
      <c r="A7377" t="s">
        <v>14688</v>
      </c>
      <c r="B7377" t="s">
        <v>14689</v>
      </c>
      <c r="C7377" t="s">
        <v>10</v>
      </c>
      <c r="D7377">
        <v>37</v>
      </c>
      <c r="E7377" t="s">
        <v>34</v>
      </c>
      <c r="F7377" t="s">
        <v>16</v>
      </c>
      <c r="G7377" t="s">
        <v>17</v>
      </c>
      <c r="H7377" s="1">
        <v>45966</v>
      </c>
    </row>
    <row r="7378" spans="1:8">
      <c r="A7378" t="s">
        <v>14690</v>
      </c>
      <c r="B7378" t="s">
        <v>14691</v>
      </c>
      <c r="C7378" t="s">
        <v>31</v>
      </c>
      <c r="D7378">
        <v>53</v>
      </c>
      <c r="E7378" t="s">
        <v>27</v>
      </c>
      <c r="F7378" t="s">
        <v>28</v>
      </c>
      <c r="G7378" t="s">
        <v>12</v>
      </c>
      <c r="H7378" s="1">
        <v>45009</v>
      </c>
    </row>
    <row r="7379" spans="1:8">
      <c r="A7379" t="s">
        <v>14692</v>
      </c>
      <c r="B7379" t="s">
        <v>14693</v>
      </c>
      <c r="C7379" t="s">
        <v>31</v>
      </c>
      <c r="D7379">
        <v>34</v>
      </c>
      <c r="E7379" t="s">
        <v>149</v>
      </c>
      <c r="F7379" t="s">
        <v>38</v>
      </c>
      <c r="G7379" t="s">
        <v>22</v>
      </c>
      <c r="H7379" s="1">
        <v>45527</v>
      </c>
    </row>
    <row r="7380" spans="1:8">
      <c r="A7380" t="s">
        <v>14694</v>
      </c>
      <c r="B7380" t="s">
        <v>14695</v>
      </c>
      <c r="C7380" t="s">
        <v>31</v>
      </c>
      <c r="D7380">
        <v>42</v>
      </c>
      <c r="E7380" t="s">
        <v>15</v>
      </c>
      <c r="F7380" t="s">
        <v>16</v>
      </c>
      <c r="G7380" t="s">
        <v>17</v>
      </c>
      <c r="H7380" s="1">
        <v>45014</v>
      </c>
    </row>
    <row r="7381" spans="1:8">
      <c r="A7381" t="s">
        <v>14696</v>
      </c>
      <c r="B7381" t="s">
        <v>14697</v>
      </c>
      <c r="C7381" t="s">
        <v>10</v>
      </c>
      <c r="D7381">
        <v>18</v>
      </c>
      <c r="E7381" t="s">
        <v>37</v>
      </c>
      <c r="F7381" t="s">
        <v>38</v>
      </c>
      <c r="G7381" t="s">
        <v>22</v>
      </c>
      <c r="H7381" s="1">
        <v>45385</v>
      </c>
    </row>
    <row r="7382" spans="1:8">
      <c r="A7382" t="s">
        <v>14698</v>
      </c>
      <c r="B7382" t="s">
        <v>14699</v>
      </c>
      <c r="C7382" t="s">
        <v>10</v>
      </c>
      <c r="D7382">
        <v>28</v>
      </c>
      <c r="E7382" t="s">
        <v>69</v>
      </c>
      <c r="F7382" t="s">
        <v>69</v>
      </c>
      <c r="G7382" t="s">
        <v>12</v>
      </c>
      <c r="H7382" s="1">
        <v>45335</v>
      </c>
    </row>
    <row r="7383" spans="1:8">
      <c r="A7383" t="s">
        <v>14700</v>
      </c>
      <c r="B7383" t="s">
        <v>14701</v>
      </c>
      <c r="C7383" t="s">
        <v>10</v>
      </c>
      <c r="D7383">
        <v>29</v>
      </c>
      <c r="E7383" t="s">
        <v>128</v>
      </c>
      <c r="F7383" t="s">
        <v>129</v>
      </c>
      <c r="G7383" t="s">
        <v>78</v>
      </c>
      <c r="H7383" s="1">
        <v>44878</v>
      </c>
    </row>
    <row r="7384" spans="1:8">
      <c r="A7384" t="s">
        <v>14702</v>
      </c>
      <c r="B7384" t="s">
        <v>14703</v>
      </c>
      <c r="C7384" t="s">
        <v>10</v>
      </c>
      <c r="D7384">
        <v>55</v>
      </c>
      <c r="E7384" t="s">
        <v>27</v>
      </c>
      <c r="F7384" t="s">
        <v>28</v>
      </c>
      <c r="G7384" t="s">
        <v>12</v>
      </c>
      <c r="H7384" s="1">
        <v>44822</v>
      </c>
    </row>
    <row r="7385" spans="1:8">
      <c r="A7385" t="s">
        <v>14704</v>
      </c>
      <c r="B7385" t="s">
        <v>14705</v>
      </c>
      <c r="C7385" t="s">
        <v>31</v>
      </c>
      <c r="D7385">
        <v>52</v>
      </c>
      <c r="E7385" t="s">
        <v>76</v>
      </c>
      <c r="F7385" t="s">
        <v>77</v>
      </c>
      <c r="G7385" t="s">
        <v>78</v>
      </c>
      <c r="H7385" s="1">
        <v>45593</v>
      </c>
    </row>
    <row r="7386" spans="1:8">
      <c r="A7386" t="s">
        <v>14706</v>
      </c>
      <c r="B7386" t="s">
        <v>14707</v>
      </c>
      <c r="C7386" t="s">
        <v>31</v>
      </c>
      <c r="D7386">
        <v>26</v>
      </c>
      <c r="E7386" t="s">
        <v>218</v>
      </c>
      <c r="F7386" t="s">
        <v>219</v>
      </c>
      <c r="G7386" t="s">
        <v>17</v>
      </c>
      <c r="H7386" s="1">
        <v>45097</v>
      </c>
    </row>
    <row r="7387" spans="1:8">
      <c r="A7387" t="s">
        <v>14708</v>
      </c>
      <c r="B7387" t="s">
        <v>14709</v>
      </c>
      <c r="C7387" t="s">
        <v>10</v>
      </c>
      <c r="D7387">
        <v>30</v>
      </c>
      <c r="E7387" t="s">
        <v>101</v>
      </c>
      <c r="F7387" t="s">
        <v>21</v>
      </c>
      <c r="G7387" t="s">
        <v>22</v>
      </c>
      <c r="H7387" s="1">
        <v>45788</v>
      </c>
    </row>
    <row r="7388" spans="1:8">
      <c r="A7388" t="s">
        <v>14710</v>
      </c>
      <c r="B7388" t="s">
        <v>14711</v>
      </c>
      <c r="C7388" t="s">
        <v>31</v>
      </c>
      <c r="D7388">
        <v>54</v>
      </c>
      <c r="E7388" t="s">
        <v>91</v>
      </c>
      <c r="F7388" t="s">
        <v>92</v>
      </c>
      <c r="G7388" t="s">
        <v>78</v>
      </c>
      <c r="H7388" s="1">
        <v>45299</v>
      </c>
    </row>
    <row r="7389" spans="1:8">
      <c r="A7389" t="s">
        <v>14712</v>
      </c>
      <c r="B7389" t="s">
        <v>14713</v>
      </c>
      <c r="C7389" t="s">
        <v>31</v>
      </c>
      <c r="D7389">
        <v>60</v>
      </c>
      <c r="E7389" t="s">
        <v>15</v>
      </c>
      <c r="F7389" t="s">
        <v>16</v>
      </c>
      <c r="G7389" t="s">
        <v>17</v>
      </c>
      <c r="H7389" s="1">
        <v>45385</v>
      </c>
    </row>
    <row r="7390" spans="1:8">
      <c r="A7390" t="s">
        <v>14714</v>
      </c>
      <c r="B7390" t="s">
        <v>14715</v>
      </c>
      <c r="C7390" t="s">
        <v>31</v>
      </c>
      <c r="D7390">
        <v>32</v>
      </c>
      <c r="E7390" t="s">
        <v>87</v>
      </c>
      <c r="F7390" t="s">
        <v>88</v>
      </c>
      <c r="G7390" t="s">
        <v>78</v>
      </c>
      <c r="H7390" s="1">
        <v>45121</v>
      </c>
    </row>
    <row r="7391" spans="1:8">
      <c r="A7391" t="s">
        <v>14716</v>
      </c>
      <c r="B7391" t="s">
        <v>14717</v>
      </c>
      <c r="C7391" t="s">
        <v>31</v>
      </c>
      <c r="D7391">
        <v>31</v>
      </c>
      <c r="E7391" t="s">
        <v>34</v>
      </c>
      <c r="F7391" t="s">
        <v>16</v>
      </c>
      <c r="G7391" t="s">
        <v>17</v>
      </c>
      <c r="H7391" s="1">
        <v>45078</v>
      </c>
    </row>
    <row r="7392" spans="1:8">
      <c r="A7392" t="s">
        <v>14718</v>
      </c>
      <c r="B7392" t="s">
        <v>14719</v>
      </c>
      <c r="C7392" t="s">
        <v>10</v>
      </c>
      <c r="D7392">
        <v>25</v>
      </c>
      <c r="E7392" t="s">
        <v>128</v>
      </c>
      <c r="F7392" t="s">
        <v>129</v>
      </c>
      <c r="G7392" t="s">
        <v>78</v>
      </c>
      <c r="H7392" s="1">
        <v>45129</v>
      </c>
    </row>
    <row r="7393" spans="1:8">
      <c r="A7393" t="s">
        <v>14720</v>
      </c>
      <c r="B7393" t="s">
        <v>14721</v>
      </c>
      <c r="C7393" t="s">
        <v>31</v>
      </c>
      <c r="D7393">
        <v>24</v>
      </c>
      <c r="E7393" t="s">
        <v>91</v>
      </c>
      <c r="F7393" t="s">
        <v>92</v>
      </c>
      <c r="G7393" t="s">
        <v>78</v>
      </c>
      <c r="H7393" s="1">
        <v>45448</v>
      </c>
    </row>
    <row r="7394" spans="1:8">
      <c r="A7394" t="s">
        <v>14722</v>
      </c>
      <c r="B7394" t="s">
        <v>14723</v>
      </c>
      <c r="C7394" t="s">
        <v>10</v>
      </c>
      <c r="D7394">
        <v>19</v>
      </c>
      <c r="E7394" t="s">
        <v>45</v>
      </c>
      <c r="F7394" t="s">
        <v>46</v>
      </c>
      <c r="G7394" t="s">
        <v>17</v>
      </c>
      <c r="H7394" s="1">
        <v>44933</v>
      </c>
    </row>
    <row r="7395" spans="1:8">
      <c r="A7395" t="s">
        <v>14724</v>
      </c>
      <c r="B7395" t="s">
        <v>14725</v>
      </c>
      <c r="C7395" t="s">
        <v>10</v>
      </c>
      <c r="D7395">
        <v>48</v>
      </c>
      <c r="E7395" t="s">
        <v>76</v>
      </c>
      <c r="F7395" t="s">
        <v>77</v>
      </c>
      <c r="G7395" t="s">
        <v>78</v>
      </c>
      <c r="H7395" s="1">
        <v>45519</v>
      </c>
    </row>
    <row r="7396" spans="1:8">
      <c r="A7396" t="s">
        <v>14726</v>
      </c>
      <c r="B7396" t="s">
        <v>14727</v>
      </c>
      <c r="C7396" t="s">
        <v>10</v>
      </c>
      <c r="D7396">
        <v>68</v>
      </c>
      <c r="E7396" t="s">
        <v>11</v>
      </c>
      <c r="F7396" t="s">
        <v>11</v>
      </c>
      <c r="G7396" t="s">
        <v>12</v>
      </c>
      <c r="H7396" s="1">
        <v>45190</v>
      </c>
    </row>
    <row r="7397" spans="1:8">
      <c r="A7397" t="s">
        <v>14728</v>
      </c>
      <c r="B7397" t="s">
        <v>14729</v>
      </c>
      <c r="C7397" t="s">
        <v>10</v>
      </c>
      <c r="D7397">
        <v>62</v>
      </c>
      <c r="E7397" t="s">
        <v>60</v>
      </c>
      <c r="F7397" t="s">
        <v>21</v>
      </c>
      <c r="G7397" t="s">
        <v>22</v>
      </c>
      <c r="H7397" s="1">
        <v>44756</v>
      </c>
    </row>
    <row r="7398" spans="1:8">
      <c r="A7398" t="s">
        <v>14730</v>
      </c>
      <c r="B7398" t="s">
        <v>14731</v>
      </c>
      <c r="C7398" t="s">
        <v>31</v>
      </c>
      <c r="D7398">
        <v>41</v>
      </c>
      <c r="E7398" t="s">
        <v>37</v>
      </c>
      <c r="F7398" t="s">
        <v>38</v>
      </c>
      <c r="G7398" t="s">
        <v>22</v>
      </c>
      <c r="H7398" s="1">
        <v>45748</v>
      </c>
    </row>
    <row r="7399" spans="1:8">
      <c r="A7399" t="s">
        <v>14732</v>
      </c>
      <c r="B7399" t="s">
        <v>14733</v>
      </c>
      <c r="C7399" t="s">
        <v>31</v>
      </c>
      <c r="D7399">
        <v>54</v>
      </c>
      <c r="E7399" t="s">
        <v>27</v>
      </c>
      <c r="F7399" t="s">
        <v>28</v>
      </c>
      <c r="G7399" t="s">
        <v>12</v>
      </c>
      <c r="H7399" s="1">
        <v>45842</v>
      </c>
    </row>
    <row r="7400" spans="1:8">
      <c r="A7400" t="s">
        <v>14734</v>
      </c>
      <c r="B7400" t="s">
        <v>14735</v>
      </c>
      <c r="C7400" t="s">
        <v>10</v>
      </c>
      <c r="D7400">
        <v>49</v>
      </c>
      <c r="E7400" t="s">
        <v>76</v>
      </c>
      <c r="F7400" t="s">
        <v>77</v>
      </c>
      <c r="G7400" t="s">
        <v>78</v>
      </c>
      <c r="H7400" s="1">
        <v>44712</v>
      </c>
    </row>
    <row r="7401" spans="1:8">
      <c r="A7401" t="s">
        <v>14736</v>
      </c>
      <c r="B7401" t="s">
        <v>14737</v>
      </c>
      <c r="C7401" t="s">
        <v>10</v>
      </c>
      <c r="D7401">
        <v>66</v>
      </c>
      <c r="E7401" t="s">
        <v>101</v>
      </c>
      <c r="F7401" t="s">
        <v>21</v>
      </c>
      <c r="G7401" t="s">
        <v>22</v>
      </c>
      <c r="H7401" s="1">
        <v>44775</v>
      </c>
    </row>
    <row r="7402" spans="1:8">
      <c r="A7402" t="s">
        <v>14738</v>
      </c>
      <c r="B7402" t="s">
        <v>14739</v>
      </c>
      <c r="C7402" t="s">
        <v>31</v>
      </c>
      <c r="D7402">
        <v>39</v>
      </c>
      <c r="E7402" t="s">
        <v>76</v>
      </c>
      <c r="F7402" t="s">
        <v>77</v>
      </c>
      <c r="G7402" t="s">
        <v>78</v>
      </c>
      <c r="H7402" s="1">
        <v>45973</v>
      </c>
    </row>
    <row r="7403" spans="1:8">
      <c r="A7403" t="s">
        <v>14740</v>
      </c>
      <c r="B7403" t="s">
        <v>14741</v>
      </c>
      <c r="C7403" t="s">
        <v>31</v>
      </c>
      <c r="D7403">
        <v>47</v>
      </c>
      <c r="E7403" t="s">
        <v>101</v>
      </c>
      <c r="F7403" t="s">
        <v>21</v>
      </c>
      <c r="G7403" t="s">
        <v>22</v>
      </c>
      <c r="H7403" s="1">
        <v>45563</v>
      </c>
    </row>
    <row r="7404" spans="1:8">
      <c r="A7404" t="s">
        <v>14742</v>
      </c>
      <c r="B7404" t="s">
        <v>8243</v>
      </c>
      <c r="C7404" t="s">
        <v>31</v>
      </c>
      <c r="D7404">
        <v>41</v>
      </c>
      <c r="E7404" t="s">
        <v>149</v>
      </c>
      <c r="F7404" t="s">
        <v>38</v>
      </c>
      <c r="G7404" t="s">
        <v>22</v>
      </c>
      <c r="H7404" s="1">
        <v>45537</v>
      </c>
    </row>
    <row r="7405" spans="1:8">
      <c r="A7405" t="s">
        <v>14743</v>
      </c>
      <c r="B7405" t="s">
        <v>14744</v>
      </c>
      <c r="C7405" t="s">
        <v>31</v>
      </c>
      <c r="D7405">
        <v>22</v>
      </c>
      <c r="E7405" t="s">
        <v>37</v>
      </c>
      <c r="F7405" t="s">
        <v>38</v>
      </c>
      <c r="G7405" t="s">
        <v>22</v>
      </c>
      <c r="H7405" s="1">
        <v>45706</v>
      </c>
    </row>
    <row r="7406" spans="1:8">
      <c r="A7406" t="s">
        <v>14745</v>
      </c>
      <c r="B7406" t="s">
        <v>14746</v>
      </c>
      <c r="C7406" t="s">
        <v>31</v>
      </c>
      <c r="D7406">
        <v>34</v>
      </c>
      <c r="E7406" t="s">
        <v>45</v>
      </c>
      <c r="F7406" t="s">
        <v>46</v>
      </c>
      <c r="G7406" t="s">
        <v>17</v>
      </c>
      <c r="H7406" s="1">
        <v>44744</v>
      </c>
    </row>
    <row r="7407" spans="1:8">
      <c r="A7407" t="s">
        <v>14747</v>
      </c>
      <c r="B7407" t="s">
        <v>14748</v>
      </c>
      <c r="C7407" t="s">
        <v>31</v>
      </c>
      <c r="D7407">
        <v>32</v>
      </c>
      <c r="E7407" t="s">
        <v>87</v>
      </c>
      <c r="F7407" t="s">
        <v>88</v>
      </c>
      <c r="G7407" t="s">
        <v>78</v>
      </c>
      <c r="H7407" s="1">
        <v>45759</v>
      </c>
    </row>
    <row r="7408" spans="1:8">
      <c r="A7408" t="s">
        <v>14749</v>
      </c>
      <c r="B7408" t="s">
        <v>14750</v>
      </c>
      <c r="C7408" t="s">
        <v>31</v>
      </c>
      <c r="D7408">
        <v>29</v>
      </c>
      <c r="E7408" t="s">
        <v>27</v>
      </c>
      <c r="F7408" t="s">
        <v>28</v>
      </c>
      <c r="G7408" t="s">
        <v>12</v>
      </c>
      <c r="H7408" s="1">
        <v>44610</v>
      </c>
    </row>
    <row r="7409" spans="1:8">
      <c r="A7409" t="s">
        <v>14751</v>
      </c>
      <c r="B7409" t="s">
        <v>14752</v>
      </c>
      <c r="C7409" t="s">
        <v>10</v>
      </c>
      <c r="D7409">
        <v>30</v>
      </c>
      <c r="E7409" t="s">
        <v>149</v>
      </c>
      <c r="F7409" t="s">
        <v>38</v>
      </c>
      <c r="G7409" t="s">
        <v>22</v>
      </c>
      <c r="H7409" s="1">
        <v>44828</v>
      </c>
    </row>
    <row r="7410" spans="1:8">
      <c r="A7410" t="s">
        <v>14753</v>
      </c>
      <c r="B7410" t="s">
        <v>14754</v>
      </c>
      <c r="C7410" t="s">
        <v>31</v>
      </c>
      <c r="D7410">
        <v>43</v>
      </c>
      <c r="E7410" t="s">
        <v>11</v>
      </c>
      <c r="F7410" t="s">
        <v>11</v>
      </c>
      <c r="G7410" t="s">
        <v>12</v>
      </c>
      <c r="H7410" s="1">
        <v>45953</v>
      </c>
    </row>
    <row r="7411" spans="1:8">
      <c r="A7411" t="s">
        <v>14755</v>
      </c>
      <c r="B7411" t="s">
        <v>14756</v>
      </c>
      <c r="C7411" t="s">
        <v>10</v>
      </c>
      <c r="D7411">
        <v>22</v>
      </c>
      <c r="E7411" t="s">
        <v>15</v>
      </c>
      <c r="F7411" t="s">
        <v>16</v>
      </c>
      <c r="G7411" t="s">
        <v>17</v>
      </c>
      <c r="H7411" s="1">
        <v>44629</v>
      </c>
    </row>
    <row r="7412" spans="1:8">
      <c r="A7412" t="s">
        <v>14757</v>
      </c>
      <c r="B7412" t="s">
        <v>14758</v>
      </c>
      <c r="C7412" t="s">
        <v>31</v>
      </c>
      <c r="D7412">
        <v>37</v>
      </c>
      <c r="E7412" t="s">
        <v>218</v>
      </c>
      <c r="F7412" t="s">
        <v>219</v>
      </c>
      <c r="G7412" t="s">
        <v>17</v>
      </c>
      <c r="H7412" s="1">
        <v>44779</v>
      </c>
    </row>
    <row r="7413" spans="1:8">
      <c r="A7413" t="s">
        <v>14759</v>
      </c>
      <c r="B7413" t="s">
        <v>14760</v>
      </c>
      <c r="C7413" t="s">
        <v>31</v>
      </c>
      <c r="D7413">
        <v>29</v>
      </c>
      <c r="E7413" t="s">
        <v>20</v>
      </c>
      <c r="F7413" t="s">
        <v>21</v>
      </c>
      <c r="G7413" t="s">
        <v>22</v>
      </c>
      <c r="H7413" s="1">
        <v>45192</v>
      </c>
    </row>
    <row r="7414" spans="1:8">
      <c r="A7414" t="s">
        <v>14761</v>
      </c>
      <c r="B7414" t="s">
        <v>14762</v>
      </c>
      <c r="C7414" t="s">
        <v>31</v>
      </c>
      <c r="D7414">
        <v>57</v>
      </c>
      <c r="E7414" t="s">
        <v>69</v>
      </c>
      <c r="F7414" t="s">
        <v>69</v>
      </c>
      <c r="G7414" t="s">
        <v>12</v>
      </c>
      <c r="H7414" s="1">
        <v>45076</v>
      </c>
    </row>
    <row r="7415" spans="1:8">
      <c r="A7415" t="s">
        <v>14763</v>
      </c>
      <c r="B7415" t="s">
        <v>14764</v>
      </c>
      <c r="C7415" t="s">
        <v>10</v>
      </c>
      <c r="D7415">
        <v>23</v>
      </c>
      <c r="E7415" t="s">
        <v>15</v>
      </c>
      <c r="F7415" t="s">
        <v>16</v>
      </c>
      <c r="G7415" t="s">
        <v>17</v>
      </c>
      <c r="H7415" s="1">
        <v>45097</v>
      </c>
    </row>
    <row r="7416" spans="1:8">
      <c r="A7416" t="s">
        <v>14765</v>
      </c>
      <c r="B7416" t="s">
        <v>1202</v>
      </c>
      <c r="C7416" t="s">
        <v>10</v>
      </c>
      <c r="D7416">
        <v>69</v>
      </c>
      <c r="E7416" t="s">
        <v>218</v>
      </c>
      <c r="F7416" t="s">
        <v>219</v>
      </c>
      <c r="G7416" t="s">
        <v>17</v>
      </c>
      <c r="H7416" s="1">
        <v>45368</v>
      </c>
    </row>
    <row r="7417" spans="1:8">
      <c r="A7417" t="s">
        <v>14766</v>
      </c>
      <c r="B7417" t="s">
        <v>14767</v>
      </c>
      <c r="C7417" t="s">
        <v>10</v>
      </c>
      <c r="D7417">
        <v>37</v>
      </c>
      <c r="E7417" t="s">
        <v>91</v>
      </c>
      <c r="F7417" t="s">
        <v>92</v>
      </c>
      <c r="G7417" t="s">
        <v>78</v>
      </c>
      <c r="H7417" s="1">
        <v>45504</v>
      </c>
    </row>
    <row r="7418" spans="1:8">
      <c r="A7418" t="s">
        <v>14768</v>
      </c>
      <c r="B7418" t="s">
        <v>14769</v>
      </c>
      <c r="C7418" t="s">
        <v>10</v>
      </c>
      <c r="D7418">
        <v>39</v>
      </c>
      <c r="E7418" t="s">
        <v>128</v>
      </c>
      <c r="F7418" t="s">
        <v>129</v>
      </c>
      <c r="G7418" t="s">
        <v>78</v>
      </c>
      <c r="H7418" s="1">
        <v>45730</v>
      </c>
    </row>
    <row r="7419" spans="1:8">
      <c r="A7419" t="s">
        <v>14770</v>
      </c>
      <c r="B7419" t="s">
        <v>14771</v>
      </c>
      <c r="C7419" t="s">
        <v>10</v>
      </c>
      <c r="D7419">
        <v>42</v>
      </c>
      <c r="E7419" t="s">
        <v>112</v>
      </c>
      <c r="F7419" t="s">
        <v>113</v>
      </c>
      <c r="G7419" t="s">
        <v>78</v>
      </c>
      <c r="H7419" s="1">
        <v>45021</v>
      </c>
    </row>
    <row r="7420" spans="1:8">
      <c r="A7420" t="s">
        <v>14772</v>
      </c>
      <c r="B7420" t="s">
        <v>14773</v>
      </c>
      <c r="C7420" t="s">
        <v>31</v>
      </c>
      <c r="D7420">
        <v>60</v>
      </c>
      <c r="E7420" t="s">
        <v>60</v>
      </c>
      <c r="F7420" t="s">
        <v>21</v>
      </c>
      <c r="G7420" t="s">
        <v>22</v>
      </c>
      <c r="H7420" s="1">
        <v>45342</v>
      </c>
    </row>
    <row r="7421" spans="1:8">
      <c r="A7421" t="s">
        <v>14774</v>
      </c>
      <c r="B7421" t="s">
        <v>14775</v>
      </c>
      <c r="C7421" t="s">
        <v>10</v>
      </c>
      <c r="D7421">
        <v>55</v>
      </c>
      <c r="E7421" t="s">
        <v>41</v>
      </c>
      <c r="F7421" t="s">
        <v>42</v>
      </c>
      <c r="G7421" t="s">
        <v>17</v>
      </c>
      <c r="H7421" s="1">
        <v>44933</v>
      </c>
    </row>
    <row r="7422" spans="1:8">
      <c r="A7422" t="s">
        <v>14776</v>
      </c>
      <c r="B7422" t="s">
        <v>14777</v>
      </c>
      <c r="C7422" t="s">
        <v>10</v>
      </c>
      <c r="D7422">
        <v>66</v>
      </c>
      <c r="E7422" t="s">
        <v>11</v>
      </c>
      <c r="F7422" t="s">
        <v>11</v>
      </c>
      <c r="G7422" t="s">
        <v>12</v>
      </c>
      <c r="H7422" s="1">
        <v>44654</v>
      </c>
    </row>
    <row r="7423" spans="1:8">
      <c r="A7423" t="s">
        <v>14778</v>
      </c>
      <c r="B7423" t="s">
        <v>14779</v>
      </c>
      <c r="C7423" t="s">
        <v>31</v>
      </c>
      <c r="D7423">
        <v>32</v>
      </c>
      <c r="E7423" t="s">
        <v>34</v>
      </c>
      <c r="F7423" t="s">
        <v>16</v>
      </c>
      <c r="G7423" t="s">
        <v>17</v>
      </c>
      <c r="H7423" s="1">
        <v>45447</v>
      </c>
    </row>
    <row r="7424" spans="1:8">
      <c r="A7424" t="s">
        <v>14780</v>
      </c>
      <c r="B7424" t="s">
        <v>14781</v>
      </c>
      <c r="C7424" t="s">
        <v>31</v>
      </c>
      <c r="D7424">
        <v>54</v>
      </c>
      <c r="E7424" t="s">
        <v>11</v>
      </c>
      <c r="F7424" t="s">
        <v>11</v>
      </c>
      <c r="G7424" t="s">
        <v>12</v>
      </c>
      <c r="H7424" s="1">
        <v>45307</v>
      </c>
    </row>
    <row r="7425" spans="1:8">
      <c r="A7425" t="s">
        <v>14782</v>
      </c>
      <c r="B7425" t="s">
        <v>14783</v>
      </c>
      <c r="C7425" t="s">
        <v>31</v>
      </c>
      <c r="D7425">
        <v>57</v>
      </c>
      <c r="E7425" t="s">
        <v>101</v>
      </c>
      <c r="F7425" t="s">
        <v>21</v>
      </c>
      <c r="G7425" t="s">
        <v>22</v>
      </c>
      <c r="H7425" s="1">
        <v>45108</v>
      </c>
    </row>
    <row r="7426" spans="1:8">
      <c r="A7426" t="s">
        <v>14784</v>
      </c>
      <c r="B7426" t="s">
        <v>14785</v>
      </c>
      <c r="C7426" t="s">
        <v>31</v>
      </c>
      <c r="D7426">
        <v>41</v>
      </c>
      <c r="E7426" t="s">
        <v>87</v>
      </c>
      <c r="F7426" t="s">
        <v>88</v>
      </c>
      <c r="G7426" t="s">
        <v>78</v>
      </c>
      <c r="H7426" s="1">
        <v>45923</v>
      </c>
    </row>
    <row r="7427" spans="1:8">
      <c r="A7427" t="s">
        <v>14786</v>
      </c>
      <c r="B7427" t="s">
        <v>11322</v>
      </c>
      <c r="C7427" t="s">
        <v>10</v>
      </c>
      <c r="D7427">
        <v>28</v>
      </c>
      <c r="E7427" t="s">
        <v>112</v>
      </c>
      <c r="F7427" t="s">
        <v>113</v>
      </c>
      <c r="G7427" t="s">
        <v>78</v>
      </c>
      <c r="H7427" s="1">
        <v>45827</v>
      </c>
    </row>
    <row r="7428" spans="1:8">
      <c r="A7428" t="s">
        <v>14787</v>
      </c>
      <c r="B7428" t="s">
        <v>14788</v>
      </c>
      <c r="C7428" t="s">
        <v>10</v>
      </c>
      <c r="D7428">
        <v>25</v>
      </c>
      <c r="E7428" t="s">
        <v>69</v>
      </c>
      <c r="F7428" t="s">
        <v>69</v>
      </c>
      <c r="G7428" t="s">
        <v>12</v>
      </c>
      <c r="H7428" s="1">
        <v>45518</v>
      </c>
    </row>
    <row r="7429" spans="1:8">
      <c r="A7429" t="s">
        <v>14789</v>
      </c>
      <c r="B7429" t="s">
        <v>14790</v>
      </c>
      <c r="C7429" t="s">
        <v>10</v>
      </c>
      <c r="D7429">
        <v>47</v>
      </c>
      <c r="E7429" t="s">
        <v>45</v>
      </c>
      <c r="F7429" t="s">
        <v>46</v>
      </c>
      <c r="G7429" t="s">
        <v>17</v>
      </c>
      <c r="H7429" s="1">
        <v>45193</v>
      </c>
    </row>
    <row r="7430" spans="1:8">
      <c r="A7430" t="s">
        <v>14791</v>
      </c>
      <c r="B7430" t="s">
        <v>14792</v>
      </c>
      <c r="C7430" t="s">
        <v>10</v>
      </c>
      <c r="D7430">
        <v>64</v>
      </c>
      <c r="E7430" t="s">
        <v>63</v>
      </c>
      <c r="F7430" t="s">
        <v>64</v>
      </c>
      <c r="G7430" t="s">
        <v>12</v>
      </c>
      <c r="H7430" s="1">
        <v>45842</v>
      </c>
    </row>
    <row r="7431" spans="1:8">
      <c r="A7431" t="s">
        <v>14793</v>
      </c>
      <c r="B7431" t="s">
        <v>14794</v>
      </c>
      <c r="C7431" t="s">
        <v>31</v>
      </c>
      <c r="D7431">
        <v>50</v>
      </c>
      <c r="E7431" t="s">
        <v>112</v>
      </c>
      <c r="F7431" t="s">
        <v>113</v>
      </c>
      <c r="G7431" t="s">
        <v>78</v>
      </c>
      <c r="H7431" s="1">
        <v>44571</v>
      </c>
    </row>
    <row r="7432" spans="1:8">
      <c r="A7432" t="s">
        <v>14795</v>
      </c>
      <c r="B7432" t="s">
        <v>14796</v>
      </c>
      <c r="C7432" t="s">
        <v>31</v>
      </c>
      <c r="D7432">
        <v>66</v>
      </c>
      <c r="E7432" t="s">
        <v>60</v>
      </c>
      <c r="F7432" t="s">
        <v>21</v>
      </c>
      <c r="G7432" t="s">
        <v>22</v>
      </c>
      <c r="H7432" s="1">
        <v>45692</v>
      </c>
    </row>
    <row r="7433" spans="1:8">
      <c r="A7433" t="s">
        <v>14797</v>
      </c>
      <c r="B7433" t="s">
        <v>14798</v>
      </c>
      <c r="C7433" t="s">
        <v>31</v>
      </c>
      <c r="D7433">
        <v>30</v>
      </c>
      <c r="E7433" t="s">
        <v>218</v>
      </c>
      <c r="F7433" t="s">
        <v>219</v>
      </c>
      <c r="G7433" t="s">
        <v>17</v>
      </c>
      <c r="H7433" s="1">
        <v>45264</v>
      </c>
    </row>
    <row r="7434" spans="1:8">
      <c r="A7434" t="s">
        <v>14799</v>
      </c>
      <c r="B7434" t="s">
        <v>14800</v>
      </c>
      <c r="C7434" t="s">
        <v>31</v>
      </c>
      <c r="D7434">
        <v>70</v>
      </c>
      <c r="E7434" t="s">
        <v>128</v>
      </c>
      <c r="F7434" t="s">
        <v>129</v>
      </c>
      <c r="G7434" t="s">
        <v>78</v>
      </c>
      <c r="H7434" s="1">
        <v>45337</v>
      </c>
    </row>
    <row r="7435" spans="1:8">
      <c r="A7435" t="s">
        <v>14801</v>
      </c>
      <c r="B7435" t="s">
        <v>14802</v>
      </c>
      <c r="C7435" t="s">
        <v>10</v>
      </c>
      <c r="D7435">
        <v>62</v>
      </c>
      <c r="E7435" t="s">
        <v>128</v>
      </c>
      <c r="F7435" t="s">
        <v>129</v>
      </c>
      <c r="G7435" t="s">
        <v>78</v>
      </c>
      <c r="H7435" s="1">
        <v>45162</v>
      </c>
    </row>
    <row r="7436" spans="1:8">
      <c r="A7436" t="s">
        <v>14803</v>
      </c>
      <c r="B7436" t="s">
        <v>14804</v>
      </c>
      <c r="C7436" t="s">
        <v>31</v>
      </c>
      <c r="D7436">
        <v>49</v>
      </c>
      <c r="E7436" t="s">
        <v>112</v>
      </c>
      <c r="F7436" t="s">
        <v>113</v>
      </c>
      <c r="G7436" t="s">
        <v>78</v>
      </c>
      <c r="H7436" s="1">
        <v>45122</v>
      </c>
    </row>
    <row r="7437" spans="1:8">
      <c r="A7437" t="s">
        <v>14805</v>
      </c>
      <c r="B7437" t="s">
        <v>14806</v>
      </c>
      <c r="C7437" t="s">
        <v>10</v>
      </c>
      <c r="D7437">
        <v>49</v>
      </c>
      <c r="E7437" t="s">
        <v>41</v>
      </c>
      <c r="F7437" t="s">
        <v>42</v>
      </c>
      <c r="G7437" t="s">
        <v>17</v>
      </c>
      <c r="H7437" s="1">
        <v>44973</v>
      </c>
    </row>
    <row r="7438" spans="1:8">
      <c r="A7438" t="s">
        <v>14807</v>
      </c>
      <c r="B7438" t="s">
        <v>14808</v>
      </c>
      <c r="C7438" t="s">
        <v>31</v>
      </c>
      <c r="D7438">
        <v>69</v>
      </c>
      <c r="E7438" t="s">
        <v>149</v>
      </c>
      <c r="F7438" t="s">
        <v>38</v>
      </c>
      <c r="G7438" t="s">
        <v>22</v>
      </c>
      <c r="H7438" s="1">
        <v>45909</v>
      </c>
    </row>
    <row r="7439" spans="1:8">
      <c r="A7439" t="s">
        <v>14809</v>
      </c>
      <c r="B7439" t="s">
        <v>14810</v>
      </c>
      <c r="C7439" t="s">
        <v>31</v>
      </c>
      <c r="D7439">
        <v>69</v>
      </c>
      <c r="E7439" t="s">
        <v>134</v>
      </c>
      <c r="F7439" t="s">
        <v>28</v>
      </c>
      <c r="G7439" t="s">
        <v>12</v>
      </c>
      <c r="H7439" s="1">
        <v>45779</v>
      </c>
    </row>
    <row r="7440" spans="1:8">
      <c r="A7440" t="s">
        <v>14811</v>
      </c>
      <c r="B7440" t="s">
        <v>14812</v>
      </c>
      <c r="C7440" t="s">
        <v>31</v>
      </c>
      <c r="D7440">
        <v>59</v>
      </c>
      <c r="E7440" t="s">
        <v>91</v>
      </c>
      <c r="F7440" t="s">
        <v>92</v>
      </c>
      <c r="G7440" t="s">
        <v>78</v>
      </c>
      <c r="H7440" s="1">
        <v>45247</v>
      </c>
    </row>
    <row r="7441" spans="1:8">
      <c r="A7441" t="s">
        <v>14813</v>
      </c>
      <c r="B7441" t="s">
        <v>14814</v>
      </c>
      <c r="C7441" t="s">
        <v>31</v>
      </c>
      <c r="D7441">
        <v>70</v>
      </c>
      <c r="E7441" t="s">
        <v>69</v>
      </c>
      <c r="F7441" t="s">
        <v>69</v>
      </c>
      <c r="G7441" t="s">
        <v>12</v>
      </c>
      <c r="H7441" s="1">
        <v>45829</v>
      </c>
    </row>
    <row r="7442" spans="1:8">
      <c r="A7442" t="s">
        <v>14815</v>
      </c>
      <c r="B7442" t="s">
        <v>14816</v>
      </c>
      <c r="C7442" t="s">
        <v>10</v>
      </c>
      <c r="D7442">
        <v>40</v>
      </c>
      <c r="E7442" t="s">
        <v>134</v>
      </c>
      <c r="F7442" t="s">
        <v>28</v>
      </c>
      <c r="G7442" t="s">
        <v>12</v>
      </c>
      <c r="H7442" s="1">
        <v>45468</v>
      </c>
    </row>
    <row r="7443" spans="1:8">
      <c r="A7443" t="s">
        <v>14817</v>
      </c>
      <c r="B7443" t="s">
        <v>14818</v>
      </c>
      <c r="C7443" t="s">
        <v>31</v>
      </c>
      <c r="D7443">
        <v>34</v>
      </c>
      <c r="E7443" t="s">
        <v>101</v>
      </c>
      <c r="F7443" t="s">
        <v>21</v>
      </c>
      <c r="G7443" t="s">
        <v>22</v>
      </c>
      <c r="H7443" s="1">
        <v>45125</v>
      </c>
    </row>
    <row r="7444" spans="1:8">
      <c r="A7444" t="s">
        <v>14819</v>
      </c>
      <c r="B7444" t="s">
        <v>14820</v>
      </c>
      <c r="C7444" t="s">
        <v>10</v>
      </c>
      <c r="D7444">
        <v>34</v>
      </c>
      <c r="E7444" t="s">
        <v>87</v>
      </c>
      <c r="F7444" t="s">
        <v>88</v>
      </c>
      <c r="G7444" t="s">
        <v>78</v>
      </c>
      <c r="H7444" s="1">
        <v>45869</v>
      </c>
    </row>
    <row r="7445" spans="1:8">
      <c r="A7445" t="s">
        <v>14821</v>
      </c>
      <c r="B7445" t="s">
        <v>14822</v>
      </c>
      <c r="C7445" t="s">
        <v>31</v>
      </c>
      <c r="D7445">
        <v>49</v>
      </c>
      <c r="E7445" t="s">
        <v>45</v>
      </c>
      <c r="F7445" t="s">
        <v>46</v>
      </c>
      <c r="G7445" t="s">
        <v>17</v>
      </c>
      <c r="H7445" s="1">
        <v>45056</v>
      </c>
    </row>
    <row r="7446" spans="1:8">
      <c r="A7446" t="s">
        <v>14823</v>
      </c>
      <c r="B7446" t="s">
        <v>14824</v>
      </c>
      <c r="C7446" t="s">
        <v>31</v>
      </c>
      <c r="D7446">
        <v>61</v>
      </c>
      <c r="E7446" t="s">
        <v>15</v>
      </c>
      <c r="F7446" t="s">
        <v>16</v>
      </c>
      <c r="G7446" t="s">
        <v>17</v>
      </c>
      <c r="H7446" s="1">
        <v>45707</v>
      </c>
    </row>
    <row r="7447" spans="1:8">
      <c r="A7447" t="s">
        <v>14825</v>
      </c>
      <c r="B7447" t="s">
        <v>14826</v>
      </c>
      <c r="C7447" t="s">
        <v>31</v>
      </c>
      <c r="D7447">
        <v>38</v>
      </c>
      <c r="E7447" t="s">
        <v>128</v>
      </c>
      <c r="F7447" t="s">
        <v>129</v>
      </c>
      <c r="G7447" t="s">
        <v>78</v>
      </c>
      <c r="H7447" s="1">
        <v>45813</v>
      </c>
    </row>
    <row r="7448" spans="1:8">
      <c r="A7448" t="s">
        <v>14827</v>
      </c>
      <c r="B7448" t="s">
        <v>14828</v>
      </c>
      <c r="C7448" t="s">
        <v>31</v>
      </c>
      <c r="D7448">
        <v>19</v>
      </c>
      <c r="E7448" t="s">
        <v>128</v>
      </c>
      <c r="F7448" t="s">
        <v>129</v>
      </c>
      <c r="G7448" t="s">
        <v>78</v>
      </c>
      <c r="H7448" s="1">
        <v>45091</v>
      </c>
    </row>
    <row r="7449" spans="1:8">
      <c r="A7449" t="s">
        <v>14829</v>
      </c>
      <c r="B7449" t="s">
        <v>14830</v>
      </c>
      <c r="C7449" t="s">
        <v>10</v>
      </c>
      <c r="D7449">
        <v>67</v>
      </c>
      <c r="E7449" t="s">
        <v>45</v>
      </c>
      <c r="F7449" t="s">
        <v>46</v>
      </c>
      <c r="G7449" t="s">
        <v>17</v>
      </c>
      <c r="H7449" s="1">
        <v>45134</v>
      </c>
    </row>
    <row r="7450" spans="1:8">
      <c r="A7450" t="s">
        <v>14831</v>
      </c>
      <c r="B7450" t="s">
        <v>14832</v>
      </c>
      <c r="C7450" t="s">
        <v>31</v>
      </c>
      <c r="D7450">
        <v>32</v>
      </c>
      <c r="E7450" t="s">
        <v>128</v>
      </c>
      <c r="F7450" t="s">
        <v>129</v>
      </c>
      <c r="G7450" t="s">
        <v>78</v>
      </c>
      <c r="H7450" s="1">
        <v>44576</v>
      </c>
    </row>
    <row r="7451" spans="1:8">
      <c r="A7451" t="s">
        <v>14833</v>
      </c>
      <c r="B7451" t="s">
        <v>14834</v>
      </c>
      <c r="C7451" t="s">
        <v>31</v>
      </c>
      <c r="D7451">
        <v>43</v>
      </c>
      <c r="E7451" t="s">
        <v>101</v>
      </c>
      <c r="F7451" t="s">
        <v>21</v>
      </c>
      <c r="G7451" t="s">
        <v>22</v>
      </c>
      <c r="H7451" s="1">
        <v>45654</v>
      </c>
    </row>
    <row r="7452" spans="1:8">
      <c r="A7452" t="s">
        <v>14835</v>
      </c>
      <c r="B7452" t="s">
        <v>14836</v>
      </c>
      <c r="C7452" t="s">
        <v>10</v>
      </c>
      <c r="D7452">
        <v>33</v>
      </c>
      <c r="E7452" t="s">
        <v>63</v>
      </c>
      <c r="F7452" t="s">
        <v>64</v>
      </c>
      <c r="G7452" t="s">
        <v>12</v>
      </c>
      <c r="H7452" s="1">
        <v>45805</v>
      </c>
    </row>
    <row r="7453" spans="1:8">
      <c r="A7453" t="s">
        <v>14837</v>
      </c>
      <c r="B7453" t="s">
        <v>14838</v>
      </c>
      <c r="C7453" t="s">
        <v>10</v>
      </c>
      <c r="D7453">
        <v>62</v>
      </c>
      <c r="E7453" t="s">
        <v>149</v>
      </c>
      <c r="F7453" t="s">
        <v>38</v>
      </c>
      <c r="G7453" t="s">
        <v>22</v>
      </c>
      <c r="H7453" s="1">
        <v>45182</v>
      </c>
    </row>
    <row r="7454" spans="1:8">
      <c r="A7454" t="s">
        <v>14839</v>
      </c>
      <c r="B7454" t="s">
        <v>14840</v>
      </c>
      <c r="C7454" t="s">
        <v>10</v>
      </c>
      <c r="D7454">
        <v>47</v>
      </c>
      <c r="E7454" t="s">
        <v>87</v>
      </c>
      <c r="F7454" t="s">
        <v>88</v>
      </c>
      <c r="G7454" t="s">
        <v>78</v>
      </c>
      <c r="H7454" s="1">
        <v>45534</v>
      </c>
    </row>
    <row r="7455" spans="1:8">
      <c r="A7455" t="s">
        <v>14841</v>
      </c>
      <c r="B7455" t="s">
        <v>14842</v>
      </c>
      <c r="C7455" t="s">
        <v>31</v>
      </c>
      <c r="D7455">
        <v>18</v>
      </c>
      <c r="E7455" t="s">
        <v>45</v>
      </c>
      <c r="F7455" t="s">
        <v>46</v>
      </c>
      <c r="G7455" t="s">
        <v>17</v>
      </c>
      <c r="H7455" s="1">
        <v>44740</v>
      </c>
    </row>
    <row r="7456" spans="1:8">
      <c r="A7456" t="s">
        <v>14843</v>
      </c>
      <c r="B7456" t="s">
        <v>14844</v>
      </c>
      <c r="C7456" t="s">
        <v>10</v>
      </c>
      <c r="D7456">
        <v>69</v>
      </c>
      <c r="E7456" t="s">
        <v>69</v>
      </c>
      <c r="F7456" t="s">
        <v>69</v>
      </c>
      <c r="G7456" t="s">
        <v>12</v>
      </c>
      <c r="H7456" s="1">
        <v>45009</v>
      </c>
    </row>
    <row r="7457" spans="1:8">
      <c r="A7457" t="s">
        <v>14845</v>
      </c>
      <c r="B7457" t="s">
        <v>14846</v>
      </c>
      <c r="C7457" t="s">
        <v>31</v>
      </c>
      <c r="D7457">
        <v>24</v>
      </c>
      <c r="E7457" t="s">
        <v>91</v>
      </c>
      <c r="F7457" t="s">
        <v>92</v>
      </c>
      <c r="G7457" t="s">
        <v>78</v>
      </c>
      <c r="H7457" s="1">
        <v>44622</v>
      </c>
    </row>
    <row r="7458" spans="1:8">
      <c r="A7458" t="s">
        <v>14847</v>
      </c>
      <c r="B7458" t="s">
        <v>14848</v>
      </c>
      <c r="C7458" t="s">
        <v>31</v>
      </c>
      <c r="D7458">
        <v>51</v>
      </c>
      <c r="E7458" t="s">
        <v>34</v>
      </c>
      <c r="F7458" t="s">
        <v>16</v>
      </c>
      <c r="G7458" t="s">
        <v>17</v>
      </c>
      <c r="H7458" s="1">
        <v>45396</v>
      </c>
    </row>
    <row r="7459" spans="1:8">
      <c r="A7459" t="s">
        <v>14849</v>
      </c>
      <c r="B7459" t="s">
        <v>14850</v>
      </c>
      <c r="C7459" t="s">
        <v>31</v>
      </c>
      <c r="D7459">
        <v>31</v>
      </c>
      <c r="E7459" t="s">
        <v>218</v>
      </c>
      <c r="F7459" t="s">
        <v>219</v>
      </c>
      <c r="G7459" t="s">
        <v>17</v>
      </c>
      <c r="H7459" s="1">
        <v>45487</v>
      </c>
    </row>
    <row r="7460" spans="1:8">
      <c r="A7460" t="s">
        <v>14851</v>
      </c>
      <c r="B7460" t="s">
        <v>14852</v>
      </c>
      <c r="C7460" t="s">
        <v>31</v>
      </c>
      <c r="D7460">
        <v>35</v>
      </c>
      <c r="E7460" t="s">
        <v>45</v>
      </c>
      <c r="F7460" t="s">
        <v>46</v>
      </c>
      <c r="G7460" t="s">
        <v>17</v>
      </c>
      <c r="H7460" s="1">
        <v>45370</v>
      </c>
    </row>
    <row r="7461" spans="1:8">
      <c r="A7461" t="s">
        <v>14853</v>
      </c>
      <c r="B7461" t="s">
        <v>14854</v>
      </c>
      <c r="C7461" t="s">
        <v>31</v>
      </c>
      <c r="D7461">
        <v>45</v>
      </c>
      <c r="E7461" t="s">
        <v>134</v>
      </c>
      <c r="F7461" t="s">
        <v>28</v>
      </c>
      <c r="G7461" t="s">
        <v>12</v>
      </c>
      <c r="H7461" s="1">
        <v>45978</v>
      </c>
    </row>
    <row r="7462" spans="1:8">
      <c r="A7462" t="s">
        <v>14855</v>
      </c>
      <c r="B7462" t="s">
        <v>14856</v>
      </c>
      <c r="C7462" t="s">
        <v>10</v>
      </c>
      <c r="D7462">
        <v>49</v>
      </c>
      <c r="E7462" t="s">
        <v>63</v>
      </c>
      <c r="F7462" t="s">
        <v>64</v>
      </c>
      <c r="G7462" t="s">
        <v>12</v>
      </c>
      <c r="H7462" s="1">
        <v>45009</v>
      </c>
    </row>
    <row r="7463" spans="1:8">
      <c r="A7463" t="s">
        <v>14857</v>
      </c>
      <c r="B7463" t="s">
        <v>14858</v>
      </c>
      <c r="C7463" t="s">
        <v>31</v>
      </c>
      <c r="D7463">
        <v>34</v>
      </c>
      <c r="E7463" t="s">
        <v>218</v>
      </c>
      <c r="F7463" t="s">
        <v>219</v>
      </c>
      <c r="G7463" t="s">
        <v>17</v>
      </c>
      <c r="H7463" s="1">
        <v>45830</v>
      </c>
    </row>
    <row r="7464" spans="1:8">
      <c r="A7464" t="s">
        <v>14859</v>
      </c>
      <c r="B7464" t="s">
        <v>14860</v>
      </c>
      <c r="C7464" t="s">
        <v>10</v>
      </c>
      <c r="D7464">
        <v>63</v>
      </c>
      <c r="E7464" t="s">
        <v>218</v>
      </c>
      <c r="F7464" t="s">
        <v>219</v>
      </c>
      <c r="G7464" t="s">
        <v>17</v>
      </c>
      <c r="H7464" s="1">
        <v>44862</v>
      </c>
    </row>
    <row r="7465" spans="1:8">
      <c r="A7465" t="s">
        <v>14861</v>
      </c>
      <c r="B7465" t="s">
        <v>14862</v>
      </c>
      <c r="C7465" t="s">
        <v>10</v>
      </c>
      <c r="D7465">
        <v>21</v>
      </c>
      <c r="E7465" t="s">
        <v>128</v>
      </c>
      <c r="F7465" t="s">
        <v>129</v>
      </c>
      <c r="G7465" t="s">
        <v>78</v>
      </c>
      <c r="H7465" s="1">
        <v>45142</v>
      </c>
    </row>
    <row r="7466" spans="1:8">
      <c r="A7466" t="s">
        <v>14863</v>
      </c>
      <c r="B7466" t="s">
        <v>14864</v>
      </c>
      <c r="C7466" t="s">
        <v>31</v>
      </c>
      <c r="D7466">
        <v>45</v>
      </c>
      <c r="E7466" t="s">
        <v>87</v>
      </c>
      <c r="F7466" t="s">
        <v>88</v>
      </c>
      <c r="G7466" t="s">
        <v>78</v>
      </c>
      <c r="H7466" s="1">
        <v>44928</v>
      </c>
    </row>
    <row r="7467" spans="1:8">
      <c r="A7467" t="s">
        <v>14865</v>
      </c>
      <c r="B7467" t="s">
        <v>14866</v>
      </c>
      <c r="C7467" t="s">
        <v>31</v>
      </c>
      <c r="D7467">
        <v>25</v>
      </c>
      <c r="E7467" t="s">
        <v>218</v>
      </c>
      <c r="F7467" t="s">
        <v>219</v>
      </c>
      <c r="G7467" t="s">
        <v>17</v>
      </c>
      <c r="H7467" s="1">
        <v>44787</v>
      </c>
    </row>
    <row r="7468" spans="1:8">
      <c r="A7468" t="s">
        <v>14867</v>
      </c>
      <c r="B7468" t="s">
        <v>14868</v>
      </c>
      <c r="C7468" t="s">
        <v>31</v>
      </c>
      <c r="D7468">
        <v>48</v>
      </c>
      <c r="E7468" t="s">
        <v>60</v>
      </c>
      <c r="F7468" t="s">
        <v>21</v>
      </c>
      <c r="G7468" t="s">
        <v>22</v>
      </c>
      <c r="H7468" s="1">
        <v>45099</v>
      </c>
    </row>
    <row r="7469" spans="1:8">
      <c r="A7469" t="s">
        <v>14869</v>
      </c>
      <c r="B7469" t="s">
        <v>14870</v>
      </c>
      <c r="C7469" t="s">
        <v>10</v>
      </c>
      <c r="D7469">
        <v>33</v>
      </c>
      <c r="E7469" t="s">
        <v>149</v>
      </c>
      <c r="F7469" t="s">
        <v>38</v>
      </c>
      <c r="G7469" t="s">
        <v>22</v>
      </c>
      <c r="H7469" s="1">
        <v>44976</v>
      </c>
    </row>
    <row r="7470" spans="1:8">
      <c r="A7470" t="s">
        <v>14871</v>
      </c>
      <c r="B7470" t="s">
        <v>14872</v>
      </c>
      <c r="C7470" t="s">
        <v>10</v>
      </c>
      <c r="D7470">
        <v>34</v>
      </c>
      <c r="E7470" t="s">
        <v>87</v>
      </c>
      <c r="F7470" t="s">
        <v>88</v>
      </c>
      <c r="G7470" t="s">
        <v>78</v>
      </c>
      <c r="H7470" s="1">
        <v>45436</v>
      </c>
    </row>
    <row r="7471" spans="1:8">
      <c r="A7471" t="s">
        <v>14873</v>
      </c>
      <c r="B7471" t="s">
        <v>14874</v>
      </c>
      <c r="C7471" t="s">
        <v>31</v>
      </c>
      <c r="D7471">
        <v>35</v>
      </c>
      <c r="E7471" t="s">
        <v>45</v>
      </c>
      <c r="F7471" t="s">
        <v>46</v>
      </c>
      <c r="G7471" t="s">
        <v>17</v>
      </c>
      <c r="H7471" s="1">
        <v>45477</v>
      </c>
    </row>
    <row r="7472" spans="1:8">
      <c r="A7472" t="s">
        <v>14875</v>
      </c>
      <c r="B7472" t="s">
        <v>14876</v>
      </c>
      <c r="C7472" t="s">
        <v>10</v>
      </c>
      <c r="D7472">
        <v>39</v>
      </c>
      <c r="E7472" t="s">
        <v>69</v>
      </c>
      <c r="F7472" t="s">
        <v>69</v>
      </c>
      <c r="G7472" t="s">
        <v>12</v>
      </c>
      <c r="H7472" s="1">
        <v>45643</v>
      </c>
    </row>
    <row r="7473" spans="1:8">
      <c r="A7473" t="s">
        <v>14877</v>
      </c>
      <c r="B7473" t="s">
        <v>14878</v>
      </c>
      <c r="C7473" t="s">
        <v>10</v>
      </c>
      <c r="D7473">
        <v>44</v>
      </c>
      <c r="E7473" t="s">
        <v>45</v>
      </c>
      <c r="F7473" t="s">
        <v>46</v>
      </c>
      <c r="G7473" t="s">
        <v>17</v>
      </c>
      <c r="H7473" s="1">
        <v>45931</v>
      </c>
    </row>
    <row r="7474" spans="1:8">
      <c r="A7474" t="s">
        <v>14879</v>
      </c>
      <c r="B7474" t="s">
        <v>14880</v>
      </c>
      <c r="C7474" t="s">
        <v>31</v>
      </c>
      <c r="D7474">
        <v>51</v>
      </c>
      <c r="E7474" t="s">
        <v>41</v>
      </c>
      <c r="F7474" t="s">
        <v>42</v>
      </c>
      <c r="G7474" t="s">
        <v>17</v>
      </c>
      <c r="H7474" s="1">
        <v>44621</v>
      </c>
    </row>
    <row r="7475" spans="1:8">
      <c r="A7475" t="s">
        <v>14881</v>
      </c>
      <c r="B7475" t="s">
        <v>14882</v>
      </c>
      <c r="C7475" t="s">
        <v>10</v>
      </c>
      <c r="D7475">
        <v>48</v>
      </c>
      <c r="E7475" t="s">
        <v>149</v>
      </c>
      <c r="F7475" t="s">
        <v>38</v>
      </c>
      <c r="G7475" t="s">
        <v>22</v>
      </c>
      <c r="H7475" s="1">
        <v>45525</v>
      </c>
    </row>
    <row r="7476" spans="1:8">
      <c r="A7476" t="s">
        <v>14883</v>
      </c>
      <c r="B7476" t="s">
        <v>599</v>
      </c>
      <c r="C7476" t="s">
        <v>10</v>
      </c>
      <c r="D7476">
        <v>28</v>
      </c>
      <c r="E7476" t="s">
        <v>218</v>
      </c>
      <c r="F7476" t="s">
        <v>219</v>
      </c>
      <c r="G7476" t="s">
        <v>17</v>
      </c>
      <c r="H7476" s="1">
        <v>45955</v>
      </c>
    </row>
    <row r="7477" spans="1:8">
      <c r="A7477" t="s">
        <v>14884</v>
      </c>
      <c r="B7477" t="s">
        <v>14885</v>
      </c>
      <c r="C7477" t="s">
        <v>10</v>
      </c>
      <c r="D7477">
        <v>31</v>
      </c>
      <c r="E7477" t="s">
        <v>63</v>
      </c>
      <c r="F7477" t="s">
        <v>64</v>
      </c>
      <c r="G7477" t="s">
        <v>12</v>
      </c>
      <c r="H7477" s="1">
        <v>45379</v>
      </c>
    </row>
    <row r="7478" spans="1:8">
      <c r="A7478" t="s">
        <v>14886</v>
      </c>
      <c r="B7478" t="s">
        <v>14887</v>
      </c>
      <c r="C7478" t="s">
        <v>31</v>
      </c>
      <c r="D7478">
        <v>47</v>
      </c>
      <c r="E7478" t="s">
        <v>101</v>
      </c>
      <c r="F7478" t="s">
        <v>21</v>
      </c>
      <c r="G7478" t="s">
        <v>22</v>
      </c>
      <c r="H7478" s="1">
        <v>44946</v>
      </c>
    </row>
    <row r="7479" spans="1:8">
      <c r="A7479" t="s">
        <v>14888</v>
      </c>
      <c r="B7479" t="s">
        <v>14889</v>
      </c>
      <c r="C7479" t="s">
        <v>31</v>
      </c>
      <c r="D7479">
        <v>61</v>
      </c>
      <c r="E7479" t="s">
        <v>218</v>
      </c>
      <c r="F7479" t="s">
        <v>219</v>
      </c>
      <c r="G7479" t="s">
        <v>17</v>
      </c>
      <c r="H7479" s="1">
        <v>45882</v>
      </c>
    </row>
    <row r="7480" spans="1:8">
      <c r="A7480" t="s">
        <v>14890</v>
      </c>
      <c r="B7480" t="s">
        <v>14891</v>
      </c>
      <c r="C7480" t="s">
        <v>31</v>
      </c>
      <c r="D7480">
        <v>44</v>
      </c>
      <c r="E7480" t="s">
        <v>34</v>
      </c>
      <c r="F7480" t="s">
        <v>16</v>
      </c>
      <c r="G7480" t="s">
        <v>17</v>
      </c>
      <c r="H7480" s="1">
        <v>45070</v>
      </c>
    </row>
    <row r="7481" spans="1:8">
      <c r="A7481" t="s">
        <v>14892</v>
      </c>
      <c r="B7481" t="s">
        <v>14893</v>
      </c>
      <c r="C7481" t="s">
        <v>31</v>
      </c>
      <c r="D7481">
        <v>62</v>
      </c>
      <c r="E7481" t="s">
        <v>112</v>
      </c>
      <c r="F7481" t="s">
        <v>113</v>
      </c>
      <c r="G7481" t="s">
        <v>78</v>
      </c>
      <c r="H7481" s="1">
        <v>44580</v>
      </c>
    </row>
    <row r="7482" spans="1:8">
      <c r="A7482" t="s">
        <v>14894</v>
      </c>
      <c r="B7482" t="s">
        <v>14895</v>
      </c>
      <c r="C7482" t="s">
        <v>10</v>
      </c>
      <c r="D7482">
        <v>66</v>
      </c>
      <c r="E7482" t="s">
        <v>20</v>
      </c>
      <c r="F7482" t="s">
        <v>21</v>
      </c>
      <c r="G7482" t="s">
        <v>22</v>
      </c>
      <c r="H7482" s="1">
        <v>45564</v>
      </c>
    </row>
    <row r="7483" spans="1:8">
      <c r="A7483" t="s">
        <v>14896</v>
      </c>
      <c r="B7483" t="s">
        <v>14897</v>
      </c>
      <c r="C7483" t="s">
        <v>31</v>
      </c>
      <c r="D7483">
        <v>25</v>
      </c>
      <c r="E7483" t="s">
        <v>41</v>
      </c>
      <c r="F7483" t="s">
        <v>42</v>
      </c>
      <c r="G7483" t="s">
        <v>17</v>
      </c>
      <c r="H7483" s="1">
        <v>45875</v>
      </c>
    </row>
    <row r="7484" spans="1:8">
      <c r="A7484" t="s">
        <v>14898</v>
      </c>
      <c r="B7484" t="s">
        <v>14899</v>
      </c>
      <c r="C7484" t="s">
        <v>10</v>
      </c>
      <c r="D7484">
        <v>49</v>
      </c>
      <c r="E7484" t="s">
        <v>112</v>
      </c>
      <c r="F7484" t="s">
        <v>113</v>
      </c>
      <c r="G7484" t="s">
        <v>78</v>
      </c>
      <c r="H7484" s="1">
        <v>45109</v>
      </c>
    </row>
    <row r="7485" spans="1:8">
      <c r="A7485" t="s">
        <v>14900</v>
      </c>
      <c r="B7485" t="s">
        <v>14901</v>
      </c>
      <c r="C7485" t="s">
        <v>10</v>
      </c>
      <c r="D7485">
        <v>66</v>
      </c>
      <c r="E7485" t="s">
        <v>41</v>
      </c>
      <c r="F7485" t="s">
        <v>42</v>
      </c>
      <c r="G7485" t="s">
        <v>17</v>
      </c>
      <c r="H7485" s="1">
        <v>45642</v>
      </c>
    </row>
    <row r="7486" spans="1:8">
      <c r="A7486" t="s">
        <v>14902</v>
      </c>
      <c r="B7486" t="s">
        <v>14903</v>
      </c>
      <c r="C7486" t="s">
        <v>31</v>
      </c>
      <c r="D7486">
        <v>50</v>
      </c>
      <c r="E7486" t="s">
        <v>37</v>
      </c>
      <c r="F7486" t="s">
        <v>38</v>
      </c>
      <c r="G7486" t="s">
        <v>22</v>
      </c>
      <c r="H7486" s="1">
        <v>45465</v>
      </c>
    </row>
    <row r="7487" spans="1:8">
      <c r="A7487" t="s">
        <v>14904</v>
      </c>
      <c r="B7487" t="s">
        <v>14905</v>
      </c>
      <c r="C7487" t="s">
        <v>31</v>
      </c>
      <c r="D7487">
        <v>51</v>
      </c>
      <c r="E7487" t="s">
        <v>87</v>
      </c>
      <c r="F7487" t="s">
        <v>88</v>
      </c>
      <c r="G7487" t="s">
        <v>78</v>
      </c>
      <c r="H7487" s="1">
        <v>45028</v>
      </c>
    </row>
    <row r="7488" spans="1:8">
      <c r="A7488" t="s">
        <v>14906</v>
      </c>
      <c r="B7488" t="s">
        <v>14907</v>
      </c>
      <c r="C7488" t="s">
        <v>10</v>
      </c>
      <c r="D7488">
        <v>45</v>
      </c>
      <c r="E7488" t="s">
        <v>91</v>
      </c>
      <c r="F7488" t="s">
        <v>92</v>
      </c>
      <c r="G7488" t="s">
        <v>78</v>
      </c>
      <c r="H7488" s="1">
        <v>45509</v>
      </c>
    </row>
    <row r="7489" spans="1:8">
      <c r="A7489" t="s">
        <v>14908</v>
      </c>
      <c r="B7489" t="s">
        <v>14909</v>
      </c>
      <c r="C7489" t="s">
        <v>31</v>
      </c>
      <c r="D7489">
        <v>62</v>
      </c>
      <c r="E7489" t="s">
        <v>91</v>
      </c>
      <c r="F7489" t="s">
        <v>92</v>
      </c>
      <c r="G7489" t="s">
        <v>78</v>
      </c>
      <c r="H7489" s="1">
        <v>45913</v>
      </c>
    </row>
    <row r="7490" spans="1:8">
      <c r="A7490" t="s">
        <v>14910</v>
      </c>
      <c r="B7490" t="s">
        <v>14911</v>
      </c>
      <c r="C7490" t="s">
        <v>10</v>
      </c>
      <c r="D7490">
        <v>48</v>
      </c>
      <c r="E7490" t="s">
        <v>134</v>
      </c>
      <c r="F7490" t="s">
        <v>28</v>
      </c>
      <c r="G7490" t="s">
        <v>12</v>
      </c>
      <c r="H7490" s="1">
        <v>45099</v>
      </c>
    </row>
    <row r="7491" spans="1:8">
      <c r="A7491" t="s">
        <v>14912</v>
      </c>
      <c r="B7491" t="s">
        <v>14913</v>
      </c>
      <c r="C7491" t="s">
        <v>10</v>
      </c>
      <c r="D7491">
        <v>30</v>
      </c>
      <c r="E7491" t="s">
        <v>15</v>
      </c>
      <c r="F7491" t="s">
        <v>16</v>
      </c>
      <c r="G7491" t="s">
        <v>17</v>
      </c>
      <c r="H7491" s="1">
        <v>45820</v>
      </c>
    </row>
    <row r="7492" spans="1:8">
      <c r="A7492" t="s">
        <v>14914</v>
      </c>
      <c r="B7492" t="s">
        <v>14915</v>
      </c>
      <c r="C7492" t="s">
        <v>10</v>
      </c>
      <c r="D7492">
        <v>68</v>
      </c>
      <c r="E7492" t="s">
        <v>41</v>
      </c>
      <c r="F7492" t="s">
        <v>42</v>
      </c>
      <c r="G7492" t="s">
        <v>17</v>
      </c>
      <c r="H7492" s="1">
        <v>45696</v>
      </c>
    </row>
    <row r="7493" spans="1:8">
      <c r="A7493" t="s">
        <v>14916</v>
      </c>
      <c r="B7493" t="s">
        <v>14917</v>
      </c>
      <c r="C7493" t="s">
        <v>10</v>
      </c>
      <c r="D7493">
        <v>65</v>
      </c>
      <c r="E7493" t="s">
        <v>69</v>
      </c>
      <c r="F7493" t="s">
        <v>69</v>
      </c>
      <c r="G7493" t="s">
        <v>12</v>
      </c>
      <c r="H7493" s="1">
        <v>45086</v>
      </c>
    </row>
    <row r="7494" spans="1:8">
      <c r="A7494" t="s">
        <v>14918</v>
      </c>
      <c r="B7494" t="s">
        <v>5687</v>
      </c>
      <c r="C7494" t="s">
        <v>31</v>
      </c>
      <c r="D7494">
        <v>65</v>
      </c>
      <c r="E7494" t="s">
        <v>112</v>
      </c>
      <c r="F7494" t="s">
        <v>113</v>
      </c>
      <c r="G7494" t="s">
        <v>78</v>
      </c>
      <c r="H7494" s="1">
        <v>45570</v>
      </c>
    </row>
    <row r="7495" spans="1:8">
      <c r="A7495" t="s">
        <v>14919</v>
      </c>
      <c r="B7495" t="s">
        <v>14920</v>
      </c>
      <c r="C7495" t="s">
        <v>31</v>
      </c>
      <c r="D7495">
        <v>20</v>
      </c>
      <c r="E7495" t="s">
        <v>134</v>
      </c>
      <c r="F7495" t="s">
        <v>28</v>
      </c>
      <c r="G7495" t="s">
        <v>12</v>
      </c>
      <c r="H7495" s="1">
        <v>45096</v>
      </c>
    </row>
    <row r="7496" spans="1:8">
      <c r="A7496" t="s">
        <v>14921</v>
      </c>
      <c r="B7496" t="s">
        <v>14922</v>
      </c>
      <c r="C7496" t="s">
        <v>10</v>
      </c>
      <c r="D7496">
        <v>19</v>
      </c>
      <c r="E7496" t="s">
        <v>60</v>
      </c>
      <c r="F7496" t="s">
        <v>21</v>
      </c>
      <c r="G7496" t="s">
        <v>22</v>
      </c>
      <c r="H7496" s="1">
        <v>45208</v>
      </c>
    </row>
    <row r="7497" spans="1:8">
      <c r="A7497" t="s">
        <v>14923</v>
      </c>
      <c r="B7497" t="s">
        <v>14924</v>
      </c>
      <c r="C7497" t="s">
        <v>10</v>
      </c>
      <c r="D7497">
        <v>47</v>
      </c>
      <c r="E7497" t="s">
        <v>34</v>
      </c>
      <c r="F7497" t="s">
        <v>16</v>
      </c>
      <c r="G7497" t="s">
        <v>17</v>
      </c>
      <c r="H7497" s="1">
        <v>45843</v>
      </c>
    </row>
    <row r="7498" spans="1:8">
      <c r="A7498" t="s">
        <v>14925</v>
      </c>
      <c r="B7498" t="s">
        <v>14926</v>
      </c>
      <c r="C7498" t="s">
        <v>10</v>
      </c>
      <c r="D7498">
        <v>63</v>
      </c>
      <c r="E7498" t="s">
        <v>134</v>
      </c>
      <c r="F7498" t="s">
        <v>28</v>
      </c>
      <c r="G7498" t="s">
        <v>12</v>
      </c>
      <c r="H7498" s="1">
        <v>45454</v>
      </c>
    </row>
    <row r="7499" spans="1:8">
      <c r="A7499" t="s">
        <v>14927</v>
      </c>
      <c r="B7499" t="s">
        <v>14928</v>
      </c>
      <c r="C7499" t="s">
        <v>10</v>
      </c>
      <c r="D7499">
        <v>25</v>
      </c>
      <c r="E7499" t="s">
        <v>76</v>
      </c>
      <c r="F7499" t="s">
        <v>77</v>
      </c>
      <c r="G7499" t="s">
        <v>78</v>
      </c>
      <c r="H7499" s="1">
        <v>45428</v>
      </c>
    </row>
    <row r="7500" spans="1:8">
      <c r="A7500" t="s">
        <v>14929</v>
      </c>
      <c r="B7500" t="s">
        <v>14930</v>
      </c>
      <c r="C7500" t="s">
        <v>10</v>
      </c>
      <c r="D7500">
        <v>26</v>
      </c>
      <c r="E7500" t="s">
        <v>63</v>
      </c>
      <c r="F7500" t="s">
        <v>64</v>
      </c>
      <c r="G7500" t="s">
        <v>12</v>
      </c>
      <c r="H7500" s="1">
        <v>44985</v>
      </c>
    </row>
    <row r="7501" spans="1:8">
      <c r="A7501" t="s">
        <v>14931</v>
      </c>
      <c r="B7501" t="s">
        <v>14932</v>
      </c>
      <c r="C7501" t="s">
        <v>31</v>
      </c>
      <c r="D7501">
        <v>42</v>
      </c>
      <c r="E7501" t="s">
        <v>27</v>
      </c>
      <c r="F7501" t="s">
        <v>28</v>
      </c>
      <c r="G7501" t="s">
        <v>12</v>
      </c>
      <c r="H7501" s="1">
        <v>45910</v>
      </c>
    </row>
    <row r="7502" spans="1:8">
      <c r="A7502" t="s">
        <v>14933</v>
      </c>
      <c r="B7502" t="s">
        <v>14934</v>
      </c>
      <c r="C7502" t="s">
        <v>10</v>
      </c>
      <c r="D7502">
        <v>33</v>
      </c>
      <c r="E7502" t="s">
        <v>15</v>
      </c>
      <c r="F7502" t="s">
        <v>16</v>
      </c>
      <c r="G7502" t="s">
        <v>17</v>
      </c>
      <c r="H7502" s="1">
        <v>45791</v>
      </c>
    </row>
    <row r="7503" spans="1:8">
      <c r="A7503" t="s">
        <v>14935</v>
      </c>
      <c r="B7503" t="s">
        <v>14936</v>
      </c>
      <c r="C7503" t="s">
        <v>31</v>
      </c>
      <c r="D7503">
        <v>18</v>
      </c>
      <c r="E7503" t="s">
        <v>149</v>
      </c>
      <c r="F7503" t="s">
        <v>38</v>
      </c>
      <c r="G7503" t="s">
        <v>22</v>
      </c>
      <c r="H7503" s="1">
        <v>45284</v>
      </c>
    </row>
    <row r="7504" spans="1:8">
      <c r="A7504" t="s">
        <v>14937</v>
      </c>
      <c r="B7504" t="s">
        <v>14938</v>
      </c>
      <c r="C7504" t="s">
        <v>10</v>
      </c>
      <c r="D7504">
        <v>69</v>
      </c>
      <c r="E7504" t="s">
        <v>87</v>
      </c>
      <c r="F7504" t="s">
        <v>88</v>
      </c>
      <c r="G7504" t="s">
        <v>78</v>
      </c>
      <c r="H7504" s="1">
        <v>45463</v>
      </c>
    </row>
    <row r="7505" spans="1:8">
      <c r="A7505" t="s">
        <v>14939</v>
      </c>
      <c r="B7505" t="s">
        <v>14940</v>
      </c>
      <c r="C7505" t="s">
        <v>31</v>
      </c>
      <c r="D7505">
        <v>31</v>
      </c>
      <c r="E7505" t="s">
        <v>20</v>
      </c>
      <c r="F7505" t="s">
        <v>21</v>
      </c>
      <c r="G7505" t="s">
        <v>22</v>
      </c>
      <c r="H7505" s="1">
        <v>44930</v>
      </c>
    </row>
    <row r="7506" spans="1:8">
      <c r="A7506" t="s">
        <v>14941</v>
      </c>
      <c r="B7506" t="s">
        <v>14942</v>
      </c>
      <c r="C7506" t="s">
        <v>10</v>
      </c>
      <c r="D7506">
        <v>58</v>
      </c>
      <c r="E7506" t="s">
        <v>87</v>
      </c>
      <c r="F7506" t="s">
        <v>88</v>
      </c>
      <c r="G7506" t="s">
        <v>78</v>
      </c>
      <c r="H7506" s="1">
        <v>44802</v>
      </c>
    </row>
    <row r="7507" spans="1:8">
      <c r="A7507" t="s">
        <v>14943</v>
      </c>
      <c r="B7507" t="s">
        <v>14944</v>
      </c>
      <c r="C7507" t="s">
        <v>31</v>
      </c>
      <c r="D7507">
        <v>18</v>
      </c>
      <c r="E7507" t="s">
        <v>63</v>
      </c>
      <c r="F7507" t="s">
        <v>64</v>
      </c>
      <c r="G7507" t="s">
        <v>12</v>
      </c>
      <c r="H7507" s="1">
        <v>44753</v>
      </c>
    </row>
    <row r="7508" spans="1:8">
      <c r="A7508" t="s">
        <v>14945</v>
      </c>
      <c r="B7508" t="s">
        <v>14946</v>
      </c>
      <c r="C7508" t="s">
        <v>10</v>
      </c>
      <c r="D7508">
        <v>60</v>
      </c>
      <c r="E7508" t="s">
        <v>34</v>
      </c>
      <c r="F7508" t="s">
        <v>16</v>
      </c>
      <c r="G7508" t="s">
        <v>17</v>
      </c>
      <c r="H7508" s="1">
        <v>44972</v>
      </c>
    </row>
    <row r="7509" spans="1:8">
      <c r="A7509" t="s">
        <v>14947</v>
      </c>
      <c r="B7509" t="s">
        <v>14948</v>
      </c>
      <c r="C7509" t="s">
        <v>10</v>
      </c>
      <c r="D7509">
        <v>66</v>
      </c>
      <c r="E7509" t="s">
        <v>76</v>
      </c>
      <c r="F7509" t="s">
        <v>77</v>
      </c>
      <c r="G7509" t="s">
        <v>78</v>
      </c>
      <c r="H7509" s="1">
        <v>45995</v>
      </c>
    </row>
    <row r="7510" spans="1:8">
      <c r="A7510" t="s">
        <v>14949</v>
      </c>
      <c r="B7510" t="s">
        <v>14950</v>
      </c>
      <c r="C7510" t="s">
        <v>10</v>
      </c>
      <c r="D7510">
        <v>69</v>
      </c>
      <c r="E7510" t="s">
        <v>112</v>
      </c>
      <c r="F7510" t="s">
        <v>113</v>
      </c>
      <c r="G7510" t="s">
        <v>78</v>
      </c>
      <c r="H7510" s="1">
        <v>45621</v>
      </c>
    </row>
    <row r="7511" spans="1:8">
      <c r="A7511" t="s">
        <v>14951</v>
      </c>
      <c r="B7511" t="s">
        <v>14952</v>
      </c>
      <c r="C7511" t="s">
        <v>10</v>
      </c>
      <c r="D7511">
        <v>68</v>
      </c>
      <c r="E7511" t="s">
        <v>91</v>
      </c>
      <c r="F7511" t="s">
        <v>92</v>
      </c>
      <c r="G7511" t="s">
        <v>78</v>
      </c>
      <c r="H7511" s="1">
        <v>45644</v>
      </c>
    </row>
    <row r="7512" spans="1:8">
      <c r="A7512" t="s">
        <v>14953</v>
      </c>
      <c r="B7512" t="s">
        <v>14954</v>
      </c>
      <c r="C7512" t="s">
        <v>10</v>
      </c>
      <c r="D7512">
        <v>40</v>
      </c>
      <c r="E7512" t="s">
        <v>27</v>
      </c>
      <c r="F7512" t="s">
        <v>28</v>
      </c>
      <c r="G7512" t="s">
        <v>12</v>
      </c>
      <c r="H7512" s="1">
        <v>45048</v>
      </c>
    </row>
    <row r="7513" spans="1:8">
      <c r="A7513" t="s">
        <v>14955</v>
      </c>
      <c r="B7513" t="s">
        <v>14956</v>
      </c>
      <c r="C7513" t="s">
        <v>31</v>
      </c>
      <c r="D7513">
        <v>31</v>
      </c>
      <c r="E7513" t="s">
        <v>45</v>
      </c>
      <c r="F7513" t="s">
        <v>46</v>
      </c>
      <c r="G7513" t="s">
        <v>17</v>
      </c>
      <c r="H7513" s="1">
        <v>46013</v>
      </c>
    </row>
    <row r="7514" spans="1:8">
      <c r="A7514" t="s">
        <v>14957</v>
      </c>
      <c r="B7514" t="s">
        <v>14958</v>
      </c>
      <c r="C7514" t="s">
        <v>31</v>
      </c>
      <c r="D7514">
        <v>56</v>
      </c>
      <c r="E7514" t="s">
        <v>91</v>
      </c>
      <c r="F7514" t="s">
        <v>92</v>
      </c>
      <c r="G7514" t="s">
        <v>78</v>
      </c>
      <c r="H7514" s="1">
        <v>45470</v>
      </c>
    </row>
    <row r="7515" spans="1:8">
      <c r="A7515" t="s">
        <v>14959</v>
      </c>
      <c r="B7515" t="s">
        <v>14960</v>
      </c>
      <c r="C7515" t="s">
        <v>10</v>
      </c>
      <c r="D7515">
        <v>35</v>
      </c>
      <c r="E7515" t="s">
        <v>101</v>
      </c>
      <c r="F7515" t="s">
        <v>21</v>
      </c>
      <c r="G7515" t="s">
        <v>22</v>
      </c>
      <c r="H7515" s="1">
        <v>45763</v>
      </c>
    </row>
    <row r="7516" spans="1:8">
      <c r="A7516" t="s">
        <v>14961</v>
      </c>
      <c r="B7516" t="s">
        <v>14962</v>
      </c>
      <c r="C7516" t="s">
        <v>31</v>
      </c>
      <c r="D7516">
        <v>33</v>
      </c>
      <c r="E7516" t="s">
        <v>91</v>
      </c>
      <c r="F7516" t="s">
        <v>92</v>
      </c>
      <c r="G7516" t="s">
        <v>78</v>
      </c>
      <c r="H7516" s="1">
        <v>45868</v>
      </c>
    </row>
    <row r="7517" spans="1:8">
      <c r="A7517" t="s">
        <v>14963</v>
      </c>
      <c r="B7517" t="s">
        <v>14964</v>
      </c>
      <c r="C7517" t="s">
        <v>10</v>
      </c>
      <c r="D7517">
        <v>52</v>
      </c>
      <c r="E7517" t="s">
        <v>20</v>
      </c>
      <c r="F7517" t="s">
        <v>21</v>
      </c>
      <c r="G7517" t="s">
        <v>22</v>
      </c>
      <c r="H7517" s="1">
        <v>45329</v>
      </c>
    </row>
    <row r="7518" spans="1:8">
      <c r="A7518" t="s">
        <v>14965</v>
      </c>
      <c r="B7518" t="s">
        <v>14966</v>
      </c>
      <c r="C7518" t="s">
        <v>10</v>
      </c>
      <c r="D7518">
        <v>66</v>
      </c>
      <c r="E7518" t="s">
        <v>34</v>
      </c>
      <c r="F7518" t="s">
        <v>16</v>
      </c>
      <c r="G7518" t="s">
        <v>17</v>
      </c>
      <c r="H7518" s="1">
        <v>45951</v>
      </c>
    </row>
    <row r="7519" spans="1:8">
      <c r="A7519" t="s">
        <v>14967</v>
      </c>
      <c r="B7519" t="s">
        <v>14968</v>
      </c>
      <c r="C7519" t="s">
        <v>31</v>
      </c>
      <c r="D7519">
        <v>26</v>
      </c>
      <c r="E7519" t="s">
        <v>101</v>
      </c>
      <c r="F7519" t="s">
        <v>21</v>
      </c>
      <c r="G7519" t="s">
        <v>22</v>
      </c>
      <c r="H7519" s="1">
        <v>45456</v>
      </c>
    </row>
    <row r="7520" spans="1:8">
      <c r="A7520" t="s">
        <v>14969</v>
      </c>
      <c r="B7520" t="s">
        <v>14970</v>
      </c>
      <c r="C7520" t="s">
        <v>31</v>
      </c>
      <c r="D7520">
        <v>29</v>
      </c>
      <c r="E7520" t="s">
        <v>11</v>
      </c>
      <c r="F7520" t="s">
        <v>11</v>
      </c>
      <c r="G7520" t="s">
        <v>12</v>
      </c>
      <c r="H7520" s="1">
        <v>45595</v>
      </c>
    </row>
    <row r="7521" spans="1:8">
      <c r="A7521" t="s">
        <v>14971</v>
      </c>
      <c r="B7521" t="s">
        <v>2790</v>
      </c>
      <c r="C7521" t="s">
        <v>31</v>
      </c>
      <c r="D7521">
        <v>61</v>
      </c>
      <c r="E7521" t="s">
        <v>91</v>
      </c>
      <c r="F7521" t="s">
        <v>92</v>
      </c>
      <c r="G7521" t="s">
        <v>78</v>
      </c>
      <c r="H7521" s="1">
        <v>45886</v>
      </c>
    </row>
    <row r="7522" spans="1:8">
      <c r="A7522" t="s">
        <v>14972</v>
      </c>
      <c r="B7522" t="s">
        <v>14973</v>
      </c>
      <c r="C7522" t="s">
        <v>10</v>
      </c>
      <c r="D7522">
        <v>39</v>
      </c>
      <c r="E7522" t="s">
        <v>60</v>
      </c>
      <c r="F7522" t="s">
        <v>21</v>
      </c>
      <c r="G7522" t="s">
        <v>22</v>
      </c>
      <c r="H7522" s="1">
        <v>45639</v>
      </c>
    </row>
    <row r="7523" spans="1:8">
      <c r="A7523" t="s">
        <v>14974</v>
      </c>
      <c r="B7523" t="s">
        <v>14975</v>
      </c>
      <c r="C7523" t="s">
        <v>10</v>
      </c>
      <c r="D7523">
        <v>21</v>
      </c>
      <c r="E7523" t="s">
        <v>128</v>
      </c>
      <c r="F7523" t="s">
        <v>129</v>
      </c>
      <c r="G7523" t="s">
        <v>78</v>
      </c>
      <c r="H7523" s="1">
        <v>44646</v>
      </c>
    </row>
    <row r="7524" spans="1:8">
      <c r="A7524" t="s">
        <v>14976</v>
      </c>
      <c r="B7524" t="s">
        <v>14977</v>
      </c>
      <c r="C7524" t="s">
        <v>31</v>
      </c>
      <c r="D7524">
        <v>64</v>
      </c>
      <c r="E7524" t="s">
        <v>87</v>
      </c>
      <c r="F7524" t="s">
        <v>88</v>
      </c>
      <c r="G7524" t="s">
        <v>78</v>
      </c>
      <c r="H7524" s="1">
        <v>45739</v>
      </c>
    </row>
    <row r="7525" spans="1:8">
      <c r="A7525" t="s">
        <v>14978</v>
      </c>
      <c r="B7525" t="s">
        <v>14979</v>
      </c>
      <c r="C7525" t="s">
        <v>31</v>
      </c>
      <c r="D7525">
        <v>34</v>
      </c>
      <c r="E7525" t="s">
        <v>27</v>
      </c>
      <c r="F7525" t="s">
        <v>28</v>
      </c>
      <c r="G7525" t="s">
        <v>12</v>
      </c>
      <c r="H7525" s="1">
        <v>45234</v>
      </c>
    </row>
    <row r="7526" spans="1:8">
      <c r="A7526" t="s">
        <v>14980</v>
      </c>
      <c r="B7526" t="s">
        <v>14981</v>
      </c>
      <c r="C7526" t="s">
        <v>10</v>
      </c>
      <c r="D7526">
        <v>61</v>
      </c>
      <c r="E7526" t="s">
        <v>69</v>
      </c>
      <c r="F7526" t="s">
        <v>69</v>
      </c>
      <c r="G7526" t="s">
        <v>12</v>
      </c>
      <c r="H7526" s="1">
        <v>45355</v>
      </c>
    </row>
    <row r="7527" spans="1:8">
      <c r="A7527" t="s">
        <v>14982</v>
      </c>
      <c r="B7527" t="s">
        <v>11693</v>
      </c>
      <c r="C7527" t="s">
        <v>31</v>
      </c>
      <c r="D7527">
        <v>50</v>
      </c>
      <c r="E7527" t="s">
        <v>11</v>
      </c>
      <c r="F7527" t="s">
        <v>11</v>
      </c>
      <c r="G7527" t="s">
        <v>12</v>
      </c>
      <c r="H7527" s="1">
        <v>46013</v>
      </c>
    </row>
    <row r="7528" spans="1:8">
      <c r="A7528" t="s">
        <v>14983</v>
      </c>
      <c r="B7528" t="s">
        <v>14984</v>
      </c>
      <c r="C7528" t="s">
        <v>31</v>
      </c>
      <c r="D7528">
        <v>65</v>
      </c>
      <c r="E7528" t="s">
        <v>60</v>
      </c>
      <c r="F7528" t="s">
        <v>21</v>
      </c>
      <c r="G7528" t="s">
        <v>22</v>
      </c>
      <c r="H7528" s="1">
        <v>44797</v>
      </c>
    </row>
    <row r="7529" spans="1:8">
      <c r="A7529" t="s">
        <v>14985</v>
      </c>
      <c r="B7529" t="s">
        <v>14986</v>
      </c>
      <c r="C7529" t="s">
        <v>31</v>
      </c>
      <c r="D7529">
        <v>36</v>
      </c>
      <c r="E7529" t="s">
        <v>218</v>
      </c>
      <c r="F7529" t="s">
        <v>219</v>
      </c>
      <c r="G7529" t="s">
        <v>17</v>
      </c>
      <c r="H7529" s="1">
        <v>44840</v>
      </c>
    </row>
    <row r="7530" spans="1:8">
      <c r="A7530" t="s">
        <v>14987</v>
      </c>
      <c r="B7530" t="s">
        <v>14988</v>
      </c>
      <c r="C7530" t="s">
        <v>10</v>
      </c>
      <c r="D7530">
        <v>39</v>
      </c>
      <c r="E7530" t="s">
        <v>37</v>
      </c>
      <c r="F7530" t="s">
        <v>38</v>
      </c>
      <c r="G7530" t="s">
        <v>22</v>
      </c>
      <c r="H7530" s="1">
        <v>44646</v>
      </c>
    </row>
    <row r="7531" spans="1:8">
      <c r="A7531" t="s">
        <v>14989</v>
      </c>
      <c r="B7531" t="s">
        <v>14990</v>
      </c>
      <c r="C7531" t="s">
        <v>31</v>
      </c>
      <c r="D7531">
        <v>40</v>
      </c>
      <c r="E7531" t="s">
        <v>41</v>
      </c>
      <c r="F7531" t="s">
        <v>42</v>
      </c>
      <c r="G7531" t="s">
        <v>17</v>
      </c>
      <c r="H7531" s="1">
        <v>45781</v>
      </c>
    </row>
    <row r="7532" spans="1:8">
      <c r="A7532" t="s">
        <v>14991</v>
      </c>
      <c r="B7532" t="s">
        <v>14992</v>
      </c>
      <c r="C7532" t="s">
        <v>10</v>
      </c>
      <c r="D7532">
        <v>41</v>
      </c>
      <c r="E7532" t="s">
        <v>27</v>
      </c>
      <c r="F7532" t="s">
        <v>28</v>
      </c>
      <c r="G7532" t="s">
        <v>12</v>
      </c>
      <c r="H7532" s="1">
        <v>45991</v>
      </c>
    </row>
    <row r="7533" spans="1:8">
      <c r="A7533" t="s">
        <v>14993</v>
      </c>
      <c r="B7533" t="s">
        <v>14994</v>
      </c>
      <c r="C7533" t="s">
        <v>10</v>
      </c>
      <c r="D7533">
        <v>21</v>
      </c>
      <c r="E7533" t="s">
        <v>128</v>
      </c>
      <c r="F7533" t="s">
        <v>129</v>
      </c>
      <c r="G7533" t="s">
        <v>78</v>
      </c>
      <c r="H7533" s="1">
        <v>45608</v>
      </c>
    </row>
    <row r="7534" spans="1:8">
      <c r="A7534" t="s">
        <v>14995</v>
      </c>
      <c r="B7534" t="s">
        <v>14996</v>
      </c>
      <c r="C7534" t="s">
        <v>10</v>
      </c>
      <c r="D7534">
        <v>46</v>
      </c>
      <c r="E7534" t="s">
        <v>101</v>
      </c>
      <c r="F7534" t="s">
        <v>21</v>
      </c>
      <c r="G7534" t="s">
        <v>22</v>
      </c>
      <c r="H7534" s="1">
        <v>45921</v>
      </c>
    </row>
    <row r="7535" spans="1:8">
      <c r="A7535" t="s">
        <v>14997</v>
      </c>
      <c r="B7535" t="s">
        <v>14998</v>
      </c>
      <c r="C7535" t="s">
        <v>31</v>
      </c>
      <c r="D7535">
        <v>67</v>
      </c>
      <c r="E7535" t="s">
        <v>37</v>
      </c>
      <c r="F7535" t="s">
        <v>38</v>
      </c>
      <c r="G7535" t="s">
        <v>22</v>
      </c>
      <c r="H7535" s="1">
        <v>45176</v>
      </c>
    </row>
    <row r="7536" spans="1:8">
      <c r="A7536" t="s">
        <v>14999</v>
      </c>
      <c r="B7536" t="s">
        <v>15000</v>
      </c>
      <c r="C7536" t="s">
        <v>31</v>
      </c>
      <c r="D7536">
        <v>41</v>
      </c>
      <c r="E7536" t="s">
        <v>112</v>
      </c>
      <c r="F7536" t="s">
        <v>113</v>
      </c>
      <c r="G7536" t="s">
        <v>78</v>
      </c>
      <c r="H7536" s="1">
        <v>45571</v>
      </c>
    </row>
    <row r="7537" spans="1:8">
      <c r="A7537" t="s">
        <v>15001</v>
      </c>
      <c r="B7537" t="s">
        <v>15002</v>
      </c>
      <c r="C7537" t="s">
        <v>31</v>
      </c>
      <c r="D7537">
        <v>63</v>
      </c>
      <c r="E7537" t="s">
        <v>101</v>
      </c>
      <c r="F7537" t="s">
        <v>21</v>
      </c>
      <c r="G7537" t="s">
        <v>22</v>
      </c>
      <c r="H7537" s="1">
        <v>45319</v>
      </c>
    </row>
    <row r="7538" spans="1:8">
      <c r="A7538" t="s">
        <v>15003</v>
      </c>
      <c r="B7538" t="s">
        <v>15004</v>
      </c>
      <c r="C7538" t="s">
        <v>31</v>
      </c>
      <c r="D7538">
        <v>27</v>
      </c>
      <c r="E7538" t="s">
        <v>34</v>
      </c>
      <c r="F7538" t="s">
        <v>16</v>
      </c>
      <c r="G7538" t="s">
        <v>17</v>
      </c>
      <c r="H7538" s="1">
        <v>45615</v>
      </c>
    </row>
    <row r="7539" spans="1:8">
      <c r="A7539" t="s">
        <v>15005</v>
      </c>
      <c r="B7539" t="s">
        <v>15006</v>
      </c>
      <c r="C7539" t="s">
        <v>31</v>
      </c>
      <c r="D7539">
        <v>56</v>
      </c>
      <c r="E7539" t="s">
        <v>128</v>
      </c>
      <c r="F7539" t="s">
        <v>129</v>
      </c>
      <c r="G7539" t="s">
        <v>78</v>
      </c>
      <c r="H7539" s="1">
        <v>45070</v>
      </c>
    </row>
    <row r="7540" spans="1:8">
      <c r="A7540" t="s">
        <v>15007</v>
      </c>
      <c r="B7540" t="s">
        <v>15008</v>
      </c>
      <c r="C7540" t="s">
        <v>31</v>
      </c>
      <c r="D7540">
        <v>21</v>
      </c>
      <c r="E7540" t="s">
        <v>20</v>
      </c>
      <c r="F7540" t="s">
        <v>21</v>
      </c>
      <c r="G7540" t="s">
        <v>22</v>
      </c>
      <c r="H7540" s="1">
        <v>44596</v>
      </c>
    </row>
    <row r="7541" spans="1:8">
      <c r="A7541" t="s">
        <v>15009</v>
      </c>
      <c r="B7541" t="s">
        <v>15010</v>
      </c>
      <c r="C7541" t="s">
        <v>31</v>
      </c>
      <c r="D7541">
        <v>53</v>
      </c>
      <c r="E7541" t="s">
        <v>134</v>
      </c>
      <c r="F7541" t="s">
        <v>28</v>
      </c>
      <c r="G7541" t="s">
        <v>12</v>
      </c>
      <c r="H7541" s="1">
        <v>45307</v>
      </c>
    </row>
    <row r="7542" spans="1:8">
      <c r="A7542" t="s">
        <v>15011</v>
      </c>
      <c r="B7542" t="s">
        <v>15012</v>
      </c>
      <c r="C7542" t="s">
        <v>31</v>
      </c>
      <c r="D7542">
        <v>47</v>
      </c>
      <c r="E7542" t="s">
        <v>128</v>
      </c>
      <c r="F7542" t="s">
        <v>129</v>
      </c>
      <c r="G7542" t="s">
        <v>78</v>
      </c>
      <c r="H7542" s="1">
        <v>45971</v>
      </c>
    </row>
    <row r="7543" spans="1:8">
      <c r="A7543" t="s">
        <v>15013</v>
      </c>
      <c r="B7543" t="s">
        <v>15014</v>
      </c>
      <c r="C7543" t="s">
        <v>31</v>
      </c>
      <c r="D7543">
        <v>26</v>
      </c>
      <c r="E7543" t="s">
        <v>87</v>
      </c>
      <c r="F7543" t="s">
        <v>88</v>
      </c>
      <c r="G7543" t="s">
        <v>78</v>
      </c>
      <c r="H7543" s="1">
        <v>45455</v>
      </c>
    </row>
    <row r="7544" spans="1:8">
      <c r="A7544" t="s">
        <v>15015</v>
      </c>
      <c r="B7544" t="s">
        <v>15016</v>
      </c>
      <c r="C7544" t="s">
        <v>31</v>
      </c>
      <c r="D7544">
        <v>60</v>
      </c>
      <c r="E7544" t="s">
        <v>218</v>
      </c>
      <c r="F7544" t="s">
        <v>219</v>
      </c>
      <c r="G7544" t="s">
        <v>17</v>
      </c>
      <c r="H7544" s="1">
        <v>45260</v>
      </c>
    </row>
    <row r="7545" spans="1:8">
      <c r="A7545" t="s">
        <v>15017</v>
      </c>
      <c r="B7545" t="s">
        <v>15018</v>
      </c>
      <c r="C7545" t="s">
        <v>31</v>
      </c>
      <c r="D7545">
        <v>41</v>
      </c>
      <c r="E7545" t="s">
        <v>87</v>
      </c>
      <c r="F7545" t="s">
        <v>88</v>
      </c>
      <c r="G7545" t="s">
        <v>78</v>
      </c>
      <c r="H7545" s="1">
        <v>44877</v>
      </c>
    </row>
    <row r="7546" spans="1:8">
      <c r="A7546" t="s">
        <v>15019</v>
      </c>
      <c r="B7546" t="s">
        <v>15020</v>
      </c>
      <c r="C7546" t="s">
        <v>10</v>
      </c>
      <c r="D7546">
        <v>67</v>
      </c>
      <c r="E7546" t="s">
        <v>134</v>
      </c>
      <c r="F7546" t="s">
        <v>28</v>
      </c>
      <c r="G7546" t="s">
        <v>12</v>
      </c>
      <c r="H7546" s="1">
        <v>44623</v>
      </c>
    </row>
    <row r="7547" spans="1:8">
      <c r="A7547" t="s">
        <v>15021</v>
      </c>
      <c r="B7547" t="s">
        <v>15022</v>
      </c>
      <c r="C7547" t="s">
        <v>10</v>
      </c>
      <c r="D7547">
        <v>42</v>
      </c>
      <c r="E7547" t="s">
        <v>149</v>
      </c>
      <c r="F7547" t="s">
        <v>38</v>
      </c>
      <c r="G7547" t="s">
        <v>22</v>
      </c>
      <c r="H7547" s="1">
        <v>45101</v>
      </c>
    </row>
    <row r="7548" spans="1:8">
      <c r="A7548" t="s">
        <v>15023</v>
      </c>
      <c r="B7548" t="s">
        <v>15024</v>
      </c>
      <c r="C7548" t="s">
        <v>31</v>
      </c>
      <c r="D7548">
        <v>27</v>
      </c>
      <c r="E7548" t="s">
        <v>101</v>
      </c>
      <c r="F7548" t="s">
        <v>21</v>
      </c>
      <c r="G7548" t="s">
        <v>22</v>
      </c>
      <c r="H7548" s="1">
        <v>44875</v>
      </c>
    </row>
    <row r="7549" spans="1:8">
      <c r="A7549" t="s">
        <v>15025</v>
      </c>
      <c r="B7549" t="s">
        <v>15026</v>
      </c>
      <c r="C7549" t="s">
        <v>10</v>
      </c>
      <c r="D7549">
        <v>69</v>
      </c>
      <c r="E7549" t="s">
        <v>69</v>
      </c>
      <c r="F7549" t="s">
        <v>69</v>
      </c>
      <c r="G7549" t="s">
        <v>12</v>
      </c>
      <c r="H7549" s="1">
        <v>45300</v>
      </c>
    </row>
    <row r="7550" spans="1:8">
      <c r="A7550" t="s">
        <v>15027</v>
      </c>
      <c r="B7550" t="s">
        <v>15028</v>
      </c>
      <c r="C7550" t="s">
        <v>10</v>
      </c>
      <c r="D7550">
        <v>62</v>
      </c>
      <c r="E7550" t="s">
        <v>45</v>
      </c>
      <c r="F7550" t="s">
        <v>46</v>
      </c>
      <c r="G7550" t="s">
        <v>17</v>
      </c>
      <c r="H7550" s="1">
        <v>45315</v>
      </c>
    </row>
    <row r="7551" spans="1:8">
      <c r="A7551" t="s">
        <v>15029</v>
      </c>
      <c r="B7551" t="s">
        <v>15030</v>
      </c>
      <c r="C7551" t="s">
        <v>31</v>
      </c>
      <c r="D7551">
        <v>58</v>
      </c>
      <c r="E7551" t="s">
        <v>134</v>
      </c>
      <c r="F7551" t="s">
        <v>28</v>
      </c>
      <c r="G7551" t="s">
        <v>12</v>
      </c>
      <c r="H7551" s="1">
        <v>44773</v>
      </c>
    </row>
    <row r="7552" spans="1:8">
      <c r="A7552" t="s">
        <v>15031</v>
      </c>
      <c r="B7552" t="s">
        <v>15032</v>
      </c>
      <c r="C7552" t="s">
        <v>31</v>
      </c>
      <c r="D7552">
        <v>41</v>
      </c>
      <c r="E7552" t="s">
        <v>11</v>
      </c>
      <c r="F7552" t="s">
        <v>11</v>
      </c>
      <c r="G7552" t="s">
        <v>12</v>
      </c>
      <c r="H7552" s="1">
        <v>45256</v>
      </c>
    </row>
    <row r="7553" spans="1:8">
      <c r="A7553" t="s">
        <v>15033</v>
      </c>
      <c r="B7553" t="s">
        <v>15034</v>
      </c>
      <c r="C7553" t="s">
        <v>31</v>
      </c>
      <c r="D7553">
        <v>40</v>
      </c>
      <c r="E7553" t="s">
        <v>101</v>
      </c>
      <c r="F7553" t="s">
        <v>21</v>
      </c>
      <c r="G7553" t="s">
        <v>22</v>
      </c>
      <c r="H7553" s="1">
        <v>45155</v>
      </c>
    </row>
    <row r="7554" spans="1:8">
      <c r="A7554" t="s">
        <v>15035</v>
      </c>
      <c r="B7554" t="s">
        <v>15036</v>
      </c>
      <c r="C7554" t="s">
        <v>31</v>
      </c>
      <c r="D7554">
        <v>69</v>
      </c>
      <c r="E7554" t="s">
        <v>134</v>
      </c>
      <c r="F7554" t="s">
        <v>28</v>
      </c>
      <c r="G7554" t="s">
        <v>12</v>
      </c>
      <c r="H7554" s="1">
        <v>45306</v>
      </c>
    </row>
    <row r="7555" spans="1:8">
      <c r="A7555" t="s">
        <v>15037</v>
      </c>
      <c r="B7555" t="s">
        <v>15038</v>
      </c>
      <c r="C7555" t="s">
        <v>10</v>
      </c>
      <c r="D7555">
        <v>31</v>
      </c>
      <c r="E7555" t="s">
        <v>15</v>
      </c>
      <c r="F7555" t="s">
        <v>16</v>
      </c>
      <c r="G7555" t="s">
        <v>17</v>
      </c>
      <c r="H7555" s="1">
        <v>45430</v>
      </c>
    </row>
    <row r="7556" spans="1:8">
      <c r="A7556" t="s">
        <v>15039</v>
      </c>
      <c r="B7556" t="s">
        <v>15040</v>
      </c>
      <c r="C7556" t="s">
        <v>31</v>
      </c>
      <c r="D7556">
        <v>44</v>
      </c>
      <c r="E7556" t="s">
        <v>149</v>
      </c>
      <c r="F7556" t="s">
        <v>38</v>
      </c>
      <c r="G7556" t="s">
        <v>22</v>
      </c>
      <c r="H7556" s="1">
        <v>45994</v>
      </c>
    </row>
    <row r="7557" spans="1:8">
      <c r="A7557" t="s">
        <v>15041</v>
      </c>
      <c r="B7557" t="s">
        <v>15042</v>
      </c>
      <c r="C7557" t="s">
        <v>31</v>
      </c>
      <c r="D7557">
        <v>66</v>
      </c>
      <c r="E7557" t="s">
        <v>60</v>
      </c>
      <c r="F7557" t="s">
        <v>21</v>
      </c>
      <c r="G7557" t="s">
        <v>22</v>
      </c>
      <c r="H7557" s="1">
        <v>45816</v>
      </c>
    </row>
    <row r="7558" spans="1:8">
      <c r="A7558" t="s">
        <v>15043</v>
      </c>
      <c r="B7558" t="s">
        <v>15044</v>
      </c>
      <c r="C7558" t="s">
        <v>10</v>
      </c>
      <c r="D7558">
        <v>50</v>
      </c>
      <c r="E7558" t="s">
        <v>218</v>
      </c>
      <c r="F7558" t="s">
        <v>219</v>
      </c>
      <c r="G7558" t="s">
        <v>17</v>
      </c>
      <c r="H7558" s="1">
        <v>44749</v>
      </c>
    </row>
    <row r="7559" spans="1:8">
      <c r="A7559" t="s">
        <v>15045</v>
      </c>
      <c r="B7559" t="s">
        <v>15046</v>
      </c>
      <c r="C7559" t="s">
        <v>10</v>
      </c>
      <c r="D7559">
        <v>23</v>
      </c>
      <c r="E7559" t="s">
        <v>20</v>
      </c>
      <c r="F7559" t="s">
        <v>21</v>
      </c>
      <c r="G7559" t="s">
        <v>22</v>
      </c>
      <c r="H7559" s="1">
        <v>45163</v>
      </c>
    </row>
    <row r="7560" spans="1:8">
      <c r="A7560" t="s">
        <v>15047</v>
      </c>
      <c r="B7560" t="s">
        <v>15048</v>
      </c>
      <c r="C7560" t="s">
        <v>31</v>
      </c>
      <c r="D7560">
        <v>53</v>
      </c>
      <c r="E7560" t="s">
        <v>37</v>
      </c>
      <c r="F7560" t="s">
        <v>38</v>
      </c>
      <c r="G7560" t="s">
        <v>22</v>
      </c>
      <c r="H7560" s="1">
        <v>45237</v>
      </c>
    </row>
    <row r="7561" spans="1:8">
      <c r="A7561" t="s">
        <v>15049</v>
      </c>
      <c r="B7561" t="s">
        <v>15050</v>
      </c>
      <c r="C7561" t="s">
        <v>31</v>
      </c>
      <c r="D7561">
        <v>55</v>
      </c>
      <c r="E7561" t="s">
        <v>101</v>
      </c>
      <c r="F7561" t="s">
        <v>21</v>
      </c>
      <c r="G7561" t="s">
        <v>22</v>
      </c>
      <c r="H7561" s="1">
        <v>44753</v>
      </c>
    </row>
    <row r="7562" spans="1:8">
      <c r="A7562" t="s">
        <v>15051</v>
      </c>
      <c r="B7562" t="s">
        <v>15052</v>
      </c>
      <c r="C7562" t="s">
        <v>31</v>
      </c>
      <c r="D7562">
        <v>20</v>
      </c>
      <c r="E7562" t="s">
        <v>41</v>
      </c>
      <c r="F7562" t="s">
        <v>42</v>
      </c>
      <c r="G7562" t="s">
        <v>17</v>
      </c>
      <c r="H7562" s="1">
        <v>45700</v>
      </c>
    </row>
    <row r="7563" spans="1:8">
      <c r="A7563" t="s">
        <v>15053</v>
      </c>
      <c r="B7563" t="s">
        <v>15054</v>
      </c>
      <c r="C7563" t="s">
        <v>10</v>
      </c>
      <c r="D7563">
        <v>22</v>
      </c>
      <c r="E7563" t="s">
        <v>27</v>
      </c>
      <c r="F7563" t="s">
        <v>28</v>
      </c>
      <c r="G7563" t="s">
        <v>12</v>
      </c>
      <c r="H7563" s="1">
        <v>45958</v>
      </c>
    </row>
    <row r="7564" spans="1:8">
      <c r="A7564" t="s">
        <v>15055</v>
      </c>
      <c r="B7564" t="s">
        <v>15056</v>
      </c>
      <c r="C7564" t="s">
        <v>31</v>
      </c>
      <c r="D7564">
        <v>59</v>
      </c>
      <c r="E7564" t="s">
        <v>69</v>
      </c>
      <c r="F7564" t="s">
        <v>69</v>
      </c>
      <c r="G7564" t="s">
        <v>12</v>
      </c>
      <c r="H7564" s="1">
        <v>44635</v>
      </c>
    </row>
    <row r="7565" spans="1:8">
      <c r="A7565" t="s">
        <v>15057</v>
      </c>
      <c r="B7565" t="s">
        <v>15058</v>
      </c>
      <c r="C7565" t="s">
        <v>31</v>
      </c>
      <c r="D7565">
        <v>41</v>
      </c>
      <c r="E7565" t="s">
        <v>11</v>
      </c>
      <c r="F7565" t="s">
        <v>11</v>
      </c>
      <c r="G7565" t="s">
        <v>12</v>
      </c>
      <c r="H7565" s="1">
        <v>44630</v>
      </c>
    </row>
    <row r="7566" spans="1:8">
      <c r="A7566" t="s">
        <v>15059</v>
      </c>
      <c r="B7566" t="s">
        <v>15060</v>
      </c>
      <c r="C7566" t="s">
        <v>10</v>
      </c>
      <c r="D7566">
        <v>23</v>
      </c>
      <c r="E7566" t="s">
        <v>27</v>
      </c>
      <c r="F7566" t="s">
        <v>28</v>
      </c>
      <c r="G7566" t="s">
        <v>12</v>
      </c>
      <c r="H7566" s="1">
        <v>44965</v>
      </c>
    </row>
    <row r="7567" spans="1:8">
      <c r="A7567" t="s">
        <v>15061</v>
      </c>
      <c r="B7567" t="s">
        <v>15062</v>
      </c>
      <c r="C7567" t="s">
        <v>10</v>
      </c>
      <c r="D7567">
        <v>28</v>
      </c>
      <c r="E7567" t="s">
        <v>34</v>
      </c>
      <c r="F7567" t="s">
        <v>16</v>
      </c>
      <c r="G7567" t="s">
        <v>17</v>
      </c>
      <c r="H7567" s="1">
        <v>44916</v>
      </c>
    </row>
    <row r="7568" spans="1:8">
      <c r="A7568" t="s">
        <v>15063</v>
      </c>
      <c r="B7568" t="s">
        <v>15064</v>
      </c>
      <c r="C7568" t="s">
        <v>10</v>
      </c>
      <c r="D7568">
        <v>61</v>
      </c>
      <c r="E7568" t="s">
        <v>20</v>
      </c>
      <c r="F7568" t="s">
        <v>21</v>
      </c>
      <c r="G7568" t="s">
        <v>22</v>
      </c>
      <c r="H7568" s="1">
        <v>44629</v>
      </c>
    </row>
    <row r="7569" spans="1:8">
      <c r="A7569" t="s">
        <v>15065</v>
      </c>
      <c r="B7569" t="s">
        <v>15066</v>
      </c>
      <c r="C7569" t="s">
        <v>10</v>
      </c>
      <c r="D7569">
        <v>54</v>
      </c>
      <c r="E7569" t="s">
        <v>63</v>
      </c>
      <c r="F7569" t="s">
        <v>64</v>
      </c>
      <c r="G7569" t="s">
        <v>12</v>
      </c>
      <c r="H7569" s="1">
        <v>46011</v>
      </c>
    </row>
    <row r="7570" spans="1:8">
      <c r="A7570" t="s">
        <v>15067</v>
      </c>
      <c r="B7570" t="s">
        <v>15068</v>
      </c>
      <c r="C7570" t="s">
        <v>10</v>
      </c>
      <c r="D7570">
        <v>29</v>
      </c>
      <c r="E7570" t="s">
        <v>149</v>
      </c>
      <c r="F7570" t="s">
        <v>38</v>
      </c>
      <c r="G7570" t="s">
        <v>22</v>
      </c>
      <c r="H7570" s="1">
        <v>45765</v>
      </c>
    </row>
    <row r="7571" spans="1:8">
      <c r="A7571" t="s">
        <v>15069</v>
      </c>
      <c r="B7571" t="s">
        <v>15070</v>
      </c>
      <c r="C7571" t="s">
        <v>31</v>
      </c>
      <c r="D7571">
        <v>51</v>
      </c>
      <c r="E7571" t="s">
        <v>76</v>
      </c>
      <c r="F7571" t="s">
        <v>77</v>
      </c>
      <c r="G7571" t="s">
        <v>78</v>
      </c>
      <c r="H7571" s="1">
        <v>45674</v>
      </c>
    </row>
    <row r="7572" spans="1:8">
      <c r="A7572" t="s">
        <v>15071</v>
      </c>
      <c r="B7572" t="s">
        <v>15072</v>
      </c>
      <c r="C7572" t="s">
        <v>10</v>
      </c>
      <c r="D7572">
        <v>51</v>
      </c>
      <c r="E7572" t="s">
        <v>15</v>
      </c>
      <c r="F7572" t="s">
        <v>16</v>
      </c>
      <c r="G7572" t="s">
        <v>17</v>
      </c>
      <c r="H7572" s="1">
        <v>45708</v>
      </c>
    </row>
    <row r="7573" spans="1:8">
      <c r="A7573" t="s">
        <v>15073</v>
      </c>
      <c r="B7573" t="s">
        <v>15074</v>
      </c>
      <c r="C7573" t="s">
        <v>10</v>
      </c>
      <c r="D7573">
        <v>66</v>
      </c>
      <c r="E7573" t="s">
        <v>41</v>
      </c>
      <c r="F7573" t="s">
        <v>42</v>
      </c>
      <c r="G7573" t="s">
        <v>17</v>
      </c>
      <c r="H7573" s="1">
        <v>45626</v>
      </c>
    </row>
    <row r="7574" spans="1:8">
      <c r="A7574" t="s">
        <v>15075</v>
      </c>
      <c r="B7574" t="s">
        <v>15076</v>
      </c>
      <c r="C7574" t="s">
        <v>31</v>
      </c>
      <c r="D7574">
        <v>33</v>
      </c>
      <c r="E7574" t="s">
        <v>69</v>
      </c>
      <c r="F7574" t="s">
        <v>69</v>
      </c>
      <c r="G7574" t="s">
        <v>12</v>
      </c>
      <c r="H7574" s="1">
        <v>45447</v>
      </c>
    </row>
    <row r="7575" spans="1:8">
      <c r="A7575" t="s">
        <v>15077</v>
      </c>
      <c r="B7575" t="s">
        <v>15078</v>
      </c>
      <c r="C7575" t="s">
        <v>10</v>
      </c>
      <c r="D7575">
        <v>52</v>
      </c>
      <c r="E7575" t="s">
        <v>134</v>
      </c>
      <c r="F7575" t="s">
        <v>28</v>
      </c>
      <c r="G7575" t="s">
        <v>12</v>
      </c>
      <c r="H7575" s="1">
        <v>44838</v>
      </c>
    </row>
    <row r="7576" spans="1:8">
      <c r="A7576" t="s">
        <v>15079</v>
      </c>
      <c r="B7576" t="s">
        <v>15080</v>
      </c>
      <c r="C7576" t="s">
        <v>10</v>
      </c>
      <c r="D7576">
        <v>29</v>
      </c>
      <c r="E7576" t="s">
        <v>218</v>
      </c>
      <c r="F7576" t="s">
        <v>219</v>
      </c>
      <c r="G7576" t="s">
        <v>17</v>
      </c>
      <c r="H7576" s="1">
        <v>45994</v>
      </c>
    </row>
    <row r="7577" spans="1:8">
      <c r="A7577" t="s">
        <v>15081</v>
      </c>
      <c r="B7577" t="s">
        <v>15082</v>
      </c>
      <c r="C7577" t="s">
        <v>31</v>
      </c>
      <c r="D7577">
        <v>48</v>
      </c>
      <c r="E7577" t="s">
        <v>41</v>
      </c>
      <c r="F7577" t="s">
        <v>42</v>
      </c>
      <c r="G7577" t="s">
        <v>17</v>
      </c>
      <c r="H7577" s="1">
        <v>45452</v>
      </c>
    </row>
    <row r="7578" spans="1:8">
      <c r="A7578" t="s">
        <v>15083</v>
      </c>
      <c r="B7578" t="s">
        <v>15084</v>
      </c>
      <c r="C7578" t="s">
        <v>31</v>
      </c>
      <c r="D7578">
        <v>19</v>
      </c>
      <c r="E7578" t="s">
        <v>41</v>
      </c>
      <c r="F7578" t="s">
        <v>42</v>
      </c>
      <c r="G7578" t="s">
        <v>17</v>
      </c>
      <c r="H7578" s="1">
        <v>45190</v>
      </c>
    </row>
    <row r="7579" spans="1:8">
      <c r="A7579" t="s">
        <v>15085</v>
      </c>
      <c r="B7579" t="s">
        <v>15086</v>
      </c>
      <c r="C7579" t="s">
        <v>10</v>
      </c>
      <c r="D7579">
        <v>66</v>
      </c>
      <c r="E7579" t="s">
        <v>218</v>
      </c>
      <c r="F7579" t="s">
        <v>219</v>
      </c>
      <c r="G7579" t="s">
        <v>17</v>
      </c>
      <c r="H7579" s="1">
        <v>44959</v>
      </c>
    </row>
    <row r="7580" spans="1:8">
      <c r="A7580" t="s">
        <v>15087</v>
      </c>
      <c r="B7580" t="s">
        <v>15088</v>
      </c>
      <c r="C7580" t="s">
        <v>10</v>
      </c>
      <c r="D7580">
        <v>46</v>
      </c>
      <c r="E7580" t="s">
        <v>149</v>
      </c>
      <c r="F7580" t="s">
        <v>38</v>
      </c>
      <c r="G7580" t="s">
        <v>22</v>
      </c>
      <c r="H7580" s="1">
        <v>45394</v>
      </c>
    </row>
    <row r="7581" spans="1:8">
      <c r="A7581" t="s">
        <v>15089</v>
      </c>
      <c r="B7581" t="s">
        <v>15090</v>
      </c>
      <c r="C7581" t="s">
        <v>10</v>
      </c>
      <c r="D7581">
        <v>61</v>
      </c>
      <c r="E7581" t="s">
        <v>134</v>
      </c>
      <c r="F7581" t="s">
        <v>28</v>
      </c>
      <c r="G7581" t="s">
        <v>12</v>
      </c>
      <c r="H7581" s="1">
        <v>45623</v>
      </c>
    </row>
    <row r="7582" spans="1:8">
      <c r="A7582" t="s">
        <v>15091</v>
      </c>
      <c r="B7582" t="s">
        <v>15092</v>
      </c>
      <c r="C7582" t="s">
        <v>31</v>
      </c>
      <c r="D7582">
        <v>35</v>
      </c>
      <c r="E7582" t="s">
        <v>69</v>
      </c>
      <c r="F7582" t="s">
        <v>69</v>
      </c>
      <c r="G7582" t="s">
        <v>12</v>
      </c>
      <c r="H7582" s="1">
        <v>45470</v>
      </c>
    </row>
    <row r="7583" spans="1:8">
      <c r="A7583" t="s">
        <v>15093</v>
      </c>
      <c r="B7583" t="s">
        <v>15094</v>
      </c>
      <c r="C7583" t="s">
        <v>31</v>
      </c>
      <c r="D7583">
        <v>51</v>
      </c>
      <c r="E7583" t="s">
        <v>63</v>
      </c>
      <c r="F7583" t="s">
        <v>64</v>
      </c>
      <c r="G7583" t="s">
        <v>12</v>
      </c>
      <c r="H7583" s="1">
        <v>45199</v>
      </c>
    </row>
    <row r="7584" spans="1:8">
      <c r="A7584" t="s">
        <v>15095</v>
      </c>
      <c r="B7584" t="s">
        <v>15096</v>
      </c>
      <c r="C7584" t="s">
        <v>31</v>
      </c>
      <c r="D7584">
        <v>42</v>
      </c>
      <c r="E7584" t="s">
        <v>20</v>
      </c>
      <c r="F7584" t="s">
        <v>21</v>
      </c>
      <c r="G7584" t="s">
        <v>22</v>
      </c>
      <c r="H7584" s="1">
        <v>45188</v>
      </c>
    </row>
    <row r="7585" spans="1:8">
      <c r="A7585" t="s">
        <v>15097</v>
      </c>
      <c r="B7585" t="s">
        <v>15098</v>
      </c>
      <c r="C7585" t="s">
        <v>31</v>
      </c>
      <c r="D7585">
        <v>33</v>
      </c>
      <c r="E7585" t="s">
        <v>63</v>
      </c>
      <c r="F7585" t="s">
        <v>64</v>
      </c>
      <c r="G7585" t="s">
        <v>12</v>
      </c>
      <c r="H7585" s="1">
        <v>45727</v>
      </c>
    </row>
    <row r="7586" spans="1:8">
      <c r="A7586" t="s">
        <v>15099</v>
      </c>
      <c r="B7586" t="s">
        <v>15100</v>
      </c>
      <c r="C7586" t="s">
        <v>31</v>
      </c>
      <c r="D7586">
        <v>43</v>
      </c>
      <c r="E7586" t="s">
        <v>45</v>
      </c>
      <c r="F7586" t="s">
        <v>46</v>
      </c>
      <c r="G7586" t="s">
        <v>17</v>
      </c>
      <c r="H7586" s="1">
        <v>45238</v>
      </c>
    </row>
    <row r="7587" spans="1:8">
      <c r="A7587" t="s">
        <v>15101</v>
      </c>
      <c r="B7587" t="s">
        <v>15102</v>
      </c>
      <c r="C7587" t="s">
        <v>31</v>
      </c>
      <c r="D7587">
        <v>18</v>
      </c>
      <c r="E7587" t="s">
        <v>101</v>
      </c>
      <c r="F7587" t="s">
        <v>21</v>
      </c>
      <c r="G7587" t="s">
        <v>22</v>
      </c>
      <c r="H7587" s="1">
        <v>44963</v>
      </c>
    </row>
    <row r="7588" spans="1:8">
      <c r="A7588" t="s">
        <v>15103</v>
      </c>
      <c r="B7588" t="s">
        <v>15104</v>
      </c>
      <c r="C7588" t="s">
        <v>10</v>
      </c>
      <c r="D7588">
        <v>53</v>
      </c>
      <c r="E7588" t="s">
        <v>112</v>
      </c>
      <c r="F7588" t="s">
        <v>113</v>
      </c>
      <c r="G7588" t="s">
        <v>78</v>
      </c>
      <c r="H7588" s="1">
        <v>45756</v>
      </c>
    </row>
    <row r="7589" spans="1:8">
      <c r="A7589" t="s">
        <v>15105</v>
      </c>
      <c r="B7589" t="s">
        <v>15106</v>
      </c>
      <c r="C7589" t="s">
        <v>31</v>
      </c>
      <c r="D7589">
        <v>42</v>
      </c>
      <c r="E7589" t="s">
        <v>112</v>
      </c>
      <c r="F7589" t="s">
        <v>113</v>
      </c>
      <c r="G7589" t="s">
        <v>78</v>
      </c>
      <c r="H7589" s="1">
        <v>45111</v>
      </c>
    </row>
    <row r="7590" spans="1:8">
      <c r="A7590" t="s">
        <v>15107</v>
      </c>
      <c r="B7590" t="s">
        <v>15108</v>
      </c>
      <c r="C7590" t="s">
        <v>10</v>
      </c>
      <c r="D7590">
        <v>60</v>
      </c>
      <c r="E7590" t="s">
        <v>60</v>
      </c>
      <c r="F7590" t="s">
        <v>21</v>
      </c>
      <c r="G7590" t="s">
        <v>22</v>
      </c>
      <c r="H7590" s="1">
        <v>44692</v>
      </c>
    </row>
    <row r="7591" spans="1:8">
      <c r="A7591" t="s">
        <v>15109</v>
      </c>
      <c r="B7591" t="s">
        <v>15110</v>
      </c>
      <c r="C7591" t="s">
        <v>10</v>
      </c>
      <c r="D7591">
        <v>33</v>
      </c>
      <c r="E7591" t="s">
        <v>76</v>
      </c>
      <c r="F7591" t="s">
        <v>77</v>
      </c>
      <c r="G7591" t="s">
        <v>78</v>
      </c>
      <c r="H7591" s="1">
        <v>44846</v>
      </c>
    </row>
    <row r="7592" spans="1:8">
      <c r="A7592" t="s">
        <v>15111</v>
      </c>
      <c r="B7592" t="s">
        <v>15112</v>
      </c>
      <c r="C7592" t="s">
        <v>31</v>
      </c>
      <c r="D7592">
        <v>53</v>
      </c>
      <c r="E7592" t="s">
        <v>63</v>
      </c>
      <c r="F7592" t="s">
        <v>64</v>
      </c>
      <c r="G7592" t="s">
        <v>12</v>
      </c>
      <c r="H7592" s="1">
        <v>45107</v>
      </c>
    </row>
    <row r="7593" spans="1:8">
      <c r="A7593" t="s">
        <v>15113</v>
      </c>
      <c r="B7593" t="s">
        <v>15114</v>
      </c>
      <c r="C7593" t="s">
        <v>10</v>
      </c>
      <c r="D7593">
        <v>47</v>
      </c>
      <c r="E7593" t="s">
        <v>101</v>
      </c>
      <c r="F7593" t="s">
        <v>21</v>
      </c>
      <c r="G7593" t="s">
        <v>22</v>
      </c>
      <c r="H7593" s="1">
        <v>44669</v>
      </c>
    </row>
    <row r="7594" spans="1:8">
      <c r="A7594" t="s">
        <v>15115</v>
      </c>
      <c r="B7594" t="s">
        <v>15116</v>
      </c>
      <c r="C7594" t="s">
        <v>31</v>
      </c>
      <c r="D7594">
        <v>21</v>
      </c>
      <c r="E7594" t="s">
        <v>41</v>
      </c>
      <c r="F7594" t="s">
        <v>42</v>
      </c>
      <c r="G7594" t="s">
        <v>17</v>
      </c>
      <c r="H7594" s="1">
        <v>46009</v>
      </c>
    </row>
    <row r="7595" spans="1:8">
      <c r="A7595" t="s">
        <v>15117</v>
      </c>
      <c r="B7595" t="s">
        <v>15118</v>
      </c>
      <c r="C7595" t="s">
        <v>31</v>
      </c>
      <c r="D7595">
        <v>49</v>
      </c>
      <c r="E7595" t="s">
        <v>87</v>
      </c>
      <c r="F7595" t="s">
        <v>88</v>
      </c>
      <c r="G7595" t="s">
        <v>78</v>
      </c>
      <c r="H7595" s="1">
        <v>44979</v>
      </c>
    </row>
    <row r="7596" spans="1:8">
      <c r="A7596" t="s">
        <v>15119</v>
      </c>
      <c r="B7596" t="s">
        <v>15120</v>
      </c>
      <c r="C7596" t="s">
        <v>31</v>
      </c>
      <c r="D7596">
        <v>50</v>
      </c>
      <c r="E7596" t="s">
        <v>128</v>
      </c>
      <c r="F7596" t="s">
        <v>129</v>
      </c>
      <c r="G7596" t="s">
        <v>78</v>
      </c>
      <c r="H7596" s="1">
        <v>45231</v>
      </c>
    </row>
    <row r="7597" spans="1:8">
      <c r="A7597" t="s">
        <v>15121</v>
      </c>
      <c r="B7597" t="s">
        <v>15122</v>
      </c>
      <c r="C7597" t="s">
        <v>31</v>
      </c>
      <c r="D7597">
        <v>55</v>
      </c>
      <c r="E7597" t="s">
        <v>45</v>
      </c>
      <c r="F7597" t="s">
        <v>46</v>
      </c>
      <c r="G7597" t="s">
        <v>17</v>
      </c>
      <c r="H7597" s="1">
        <v>45237</v>
      </c>
    </row>
    <row r="7598" spans="1:8">
      <c r="A7598" t="s">
        <v>15123</v>
      </c>
      <c r="B7598" t="s">
        <v>15124</v>
      </c>
      <c r="C7598" t="s">
        <v>31</v>
      </c>
      <c r="D7598">
        <v>60</v>
      </c>
      <c r="E7598" t="s">
        <v>37</v>
      </c>
      <c r="F7598" t="s">
        <v>38</v>
      </c>
      <c r="G7598" t="s">
        <v>22</v>
      </c>
      <c r="H7598" s="1">
        <v>45945</v>
      </c>
    </row>
    <row r="7599" spans="1:8">
      <c r="A7599" t="s">
        <v>15125</v>
      </c>
      <c r="B7599" t="s">
        <v>15126</v>
      </c>
      <c r="C7599" t="s">
        <v>31</v>
      </c>
      <c r="D7599">
        <v>53</v>
      </c>
      <c r="E7599" t="s">
        <v>37</v>
      </c>
      <c r="F7599" t="s">
        <v>38</v>
      </c>
      <c r="G7599" t="s">
        <v>22</v>
      </c>
      <c r="H7599" s="1">
        <v>45504</v>
      </c>
    </row>
    <row r="7600" spans="1:8">
      <c r="A7600" t="s">
        <v>15127</v>
      </c>
      <c r="B7600" t="s">
        <v>15128</v>
      </c>
      <c r="C7600" t="s">
        <v>31</v>
      </c>
      <c r="D7600">
        <v>22</v>
      </c>
      <c r="E7600" t="s">
        <v>11</v>
      </c>
      <c r="F7600" t="s">
        <v>11</v>
      </c>
      <c r="G7600" t="s">
        <v>12</v>
      </c>
      <c r="H7600" s="1">
        <v>45284</v>
      </c>
    </row>
    <row r="7601" spans="1:8">
      <c r="A7601" t="s">
        <v>15129</v>
      </c>
      <c r="B7601" t="s">
        <v>15130</v>
      </c>
      <c r="C7601" t="s">
        <v>31</v>
      </c>
      <c r="D7601">
        <v>59</v>
      </c>
      <c r="E7601" t="s">
        <v>76</v>
      </c>
      <c r="F7601" t="s">
        <v>77</v>
      </c>
      <c r="G7601" t="s">
        <v>78</v>
      </c>
      <c r="H7601" s="1">
        <v>45372</v>
      </c>
    </row>
    <row r="7602" spans="1:8">
      <c r="A7602" t="s">
        <v>15131</v>
      </c>
      <c r="B7602" t="s">
        <v>15132</v>
      </c>
      <c r="C7602" t="s">
        <v>31</v>
      </c>
      <c r="D7602">
        <v>31</v>
      </c>
      <c r="E7602" t="s">
        <v>37</v>
      </c>
      <c r="F7602" t="s">
        <v>38</v>
      </c>
      <c r="G7602" t="s">
        <v>22</v>
      </c>
      <c r="H7602" s="1">
        <v>45794</v>
      </c>
    </row>
    <row r="7603" spans="1:8">
      <c r="A7603" t="s">
        <v>15133</v>
      </c>
      <c r="B7603" t="s">
        <v>15134</v>
      </c>
      <c r="C7603" t="s">
        <v>31</v>
      </c>
      <c r="D7603">
        <v>20</v>
      </c>
      <c r="E7603" t="s">
        <v>76</v>
      </c>
      <c r="F7603" t="s">
        <v>77</v>
      </c>
      <c r="G7603" t="s">
        <v>78</v>
      </c>
      <c r="H7603" s="1">
        <v>44901</v>
      </c>
    </row>
    <row r="7604" spans="1:8">
      <c r="A7604" t="s">
        <v>15135</v>
      </c>
      <c r="B7604" t="s">
        <v>15136</v>
      </c>
      <c r="C7604" t="s">
        <v>31</v>
      </c>
      <c r="D7604">
        <v>40</v>
      </c>
      <c r="E7604" t="s">
        <v>20</v>
      </c>
      <c r="F7604" t="s">
        <v>21</v>
      </c>
      <c r="G7604" t="s">
        <v>22</v>
      </c>
      <c r="H7604" s="1">
        <v>45084</v>
      </c>
    </row>
    <row r="7605" spans="1:8">
      <c r="A7605" t="s">
        <v>15137</v>
      </c>
      <c r="B7605" t="s">
        <v>15138</v>
      </c>
      <c r="C7605" t="s">
        <v>10</v>
      </c>
      <c r="D7605">
        <v>20</v>
      </c>
      <c r="E7605" t="s">
        <v>45</v>
      </c>
      <c r="F7605" t="s">
        <v>46</v>
      </c>
      <c r="G7605" t="s">
        <v>17</v>
      </c>
      <c r="H7605" s="1">
        <v>45080</v>
      </c>
    </row>
    <row r="7606" spans="1:8">
      <c r="A7606" t="s">
        <v>15139</v>
      </c>
      <c r="B7606" t="s">
        <v>15140</v>
      </c>
      <c r="C7606" t="s">
        <v>31</v>
      </c>
      <c r="D7606">
        <v>46</v>
      </c>
      <c r="E7606" t="s">
        <v>34</v>
      </c>
      <c r="F7606" t="s">
        <v>16</v>
      </c>
      <c r="G7606" t="s">
        <v>17</v>
      </c>
      <c r="H7606" s="1">
        <v>44741</v>
      </c>
    </row>
    <row r="7607" spans="1:8">
      <c r="A7607" t="s">
        <v>15141</v>
      </c>
      <c r="B7607" t="s">
        <v>15142</v>
      </c>
      <c r="C7607" t="s">
        <v>10</v>
      </c>
      <c r="D7607">
        <v>21</v>
      </c>
      <c r="E7607" t="s">
        <v>15</v>
      </c>
      <c r="F7607" t="s">
        <v>16</v>
      </c>
      <c r="G7607" t="s">
        <v>17</v>
      </c>
      <c r="H7607" s="1">
        <v>45317</v>
      </c>
    </row>
    <row r="7608" spans="1:8">
      <c r="A7608" t="s">
        <v>15143</v>
      </c>
      <c r="B7608" t="s">
        <v>15144</v>
      </c>
      <c r="C7608" t="s">
        <v>10</v>
      </c>
      <c r="D7608">
        <v>54</v>
      </c>
      <c r="E7608" t="s">
        <v>15</v>
      </c>
      <c r="F7608" t="s">
        <v>16</v>
      </c>
      <c r="G7608" t="s">
        <v>17</v>
      </c>
      <c r="H7608" s="1">
        <v>45855</v>
      </c>
    </row>
    <row r="7609" spans="1:8">
      <c r="A7609" t="s">
        <v>15145</v>
      </c>
      <c r="B7609" t="s">
        <v>15146</v>
      </c>
      <c r="C7609" t="s">
        <v>10</v>
      </c>
      <c r="D7609">
        <v>69</v>
      </c>
      <c r="E7609" t="s">
        <v>91</v>
      </c>
      <c r="F7609" t="s">
        <v>92</v>
      </c>
      <c r="G7609" t="s">
        <v>78</v>
      </c>
      <c r="H7609" s="1">
        <v>45935</v>
      </c>
    </row>
    <row r="7610" spans="1:8">
      <c r="A7610" t="s">
        <v>15147</v>
      </c>
      <c r="B7610" t="s">
        <v>15148</v>
      </c>
      <c r="C7610" t="s">
        <v>10</v>
      </c>
      <c r="D7610">
        <v>33</v>
      </c>
      <c r="E7610" t="s">
        <v>37</v>
      </c>
      <c r="F7610" t="s">
        <v>38</v>
      </c>
      <c r="G7610" t="s">
        <v>22</v>
      </c>
      <c r="H7610" s="1">
        <v>45846</v>
      </c>
    </row>
    <row r="7611" spans="1:8">
      <c r="A7611" t="s">
        <v>15149</v>
      </c>
      <c r="B7611" t="s">
        <v>15150</v>
      </c>
      <c r="C7611" t="s">
        <v>10</v>
      </c>
      <c r="D7611">
        <v>52</v>
      </c>
      <c r="E7611" t="s">
        <v>218</v>
      </c>
      <c r="F7611" t="s">
        <v>219</v>
      </c>
      <c r="G7611" t="s">
        <v>17</v>
      </c>
      <c r="H7611" s="1">
        <v>45216</v>
      </c>
    </row>
    <row r="7612" spans="1:8">
      <c r="A7612" t="s">
        <v>15151</v>
      </c>
      <c r="B7612" t="s">
        <v>15152</v>
      </c>
      <c r="C7612" t="s">
        <v>10</v>
      </c>
      <c r="D7612">
        <v>29</v>
      </c>
      <c r="E7612" t="s">
        <v>45</v>
      </c>
      <c r="F7612" t="s">
        <v>46</v>
      </c>
      <c r="G7612" t="s">
        <v>17</v>
      </c>
      <c r="H7612" s="1">
        <v>44946</v>
      </c>
    </row>
    <row r="7613" spans="1:8">
      <c r="A7613" t="s">
        <v>15153</v>
      </c>
      <c r="B7613" t="s">
        <v>15154</v>
      </c>
      <c r="C7613" t="s">
        <v>31</v>
      </c>
      <c r="D7613">
        <v>44</v>
      </c>
      <c r="E7613" t="s">
        <v>27</v>
      </c>
      <c r="F7613" t="s">
        <v>28</v>
      </c>
      <c r="G7613" t="s">
        <v>12</v>
      </c>
      <c r="H7613" s="1">
        <v>45536</v>
      </c>
    </row>
    <row r="7614" spans="1:8">
      <c r="A7614" t="s">
        <v>15155</v>
      </c>
      <c r="B7614" t="s">
        <v>15156</v>
      </c>
      <c r="C7614" t="s">
        <v>31</v>
      </c>
      <c r="D7614">
        <v>60</v>
      </c>
      <c r="E7614" t="s">
        <v>63</v>
      </c>
      <c r="F7614" t="s">
        <v>64</v>
      </c>
      <c r="G7614" t="s">
        <v>12</v>
      </c>
      <c r="H7614" s="1">
        <v>44943</v>
      </c>
    </row>
    <row r="7615" spans="1:8">
      <c r="A7615" t="s">
        <v>15157</v>
      </c>
      <c r="B7615" t="s">
        <v>15158</v>
      </c>
      <c r="C7615" t="s">
        <v>10</v>
      </c>
      <c r="D7615">
        <v>31</v>
      </c>
      <c r="E7615" t="s">
        <v>11</v>
      </c>
      <c r="F7615" t="s">
        <v>11</v>
      </c>
      <c r="G7615" t="s">
        <v>12</v>
      </c>
      <c r="H7615" s="1">
        <v>45133</v>
      </c>
    </row>
    <row r="7616" spans="1:8">
      <c r="A7616" t="s">
        <v>15159</v>
      </c>
      <c r="B7616" t="s">
        <v>15160</v>
      </c>
      <c r="C7616" t="s">
        <v>31</v>
      </c>
      <c r="D7616">
        <v>20</v>
      </c>
      <c r="E7616" t="s">
        <v>15</v>
      </c>
      <c r="F7616" t="s">
        <v>16</v>
      </c>
      <c r="G7616" t="s">
        <v>17</v>
      </c>
      <c r="H7616" s="1">
        <v>44565</v>
      </c>
    </row>
    <row r="7617" spans="1:8">
      <c r="A7617" t="s">
        <v>15161</v>
      </c>
      <c r="B7617" t="s">
        <v>15162</v>
      </c>
      <c r="C7617" t="s">
        <v>10</v>
      </c>
      <c r="D7617">
        <v>65</v>
      </c>
      <c r="E7617" t="s">
        <v>128</v>
      </c>
      <c r="F7617" t="s">
        <v>129</v>
      </c>
      <c r="G7617" t="s">
        <v>78</v>
      </c>
      <c r="H7617" s="1">
        <v>45822</v>
      </c>
    </row>
    <row r="7618" spans="1:8">
      <c r="A7618" t="s">
        <v>15163</v>
      </c>
      <c r="B7618" t="s">
        <v>15164</v>
      </c>
      <c r="C7618" t="s">
        <v>31</v>
      </c>
      <c r="D7618">
        <v>27</v>
      </c>
      <c r="E7618" t="s">
        <v>87</v>
      </c>
      <c r="F7618" t="s">
        <v>88</v>
      </c>
      <c r="G7618" t="s">
        <v>78</v>
      </c>
      <c r="H7618" s="1">
        <v>44640</v>
      </c>
    </row>
    <row r="7619" spans="1:8">
      <c r="A7619" t="s">
        <v>15165</v>
      </c>
      <c r="B7619" t="s">
        <v>15166</v>
      </c>
      <c r="C7619" t="s">
        <v>31</v>
      </c>
      <c r="D7619">
        <v>40</v>
      </c>
      <c r="E7619" t="s">
        <v>15</v>
      </c>
      <c r="F7619" t="s">
        <v>16</v>
      </c>
      <c r="G7619" t="s">
        <v>17</v>
      </c>
      <c r="H7619" s="1">
        <v>45644</v>
      </c>
    </row>
    <row r="7620" spans="1:8">
      <c r="A7620" t="s">
        <v>15167</v>
      </c>
      <c r="B7620" t="s">
        <v>15168</v>
      </c>
      <c r="C7620" t="s">
        <v>31</v>
      </c>
      <c r="D7620">
        <v>41</v>
      </c>
      <c r="E7620" t="s">
        <v>37</v>
      </c>
      <c r="F7620" t="s">
        <v>38</v>
      </c>
      <c r="G7620" t="s">
        <v>22</v>
      </c>
      <c r="H7620" s="1">
        <v>45750</v>
      </c>
    </row>
    <row r="7621" spans="1:8">
      <c r="A7621" t="s">
        <v>15169</v>
      </c>
      <c r="B7621" t="s">
        <v>15170</v>
      </c>
      <c r="C7621" t="s">
        <v>10</v>
      </c>
      <c r="D7621">
        <v>48</v>
      </c>
      <c r="E7621" t="s">
        <v>11</v>
      </c>
      <c r="F7621" t="s">
        <v>11</v>
      </c>
      <c r="G7621" t="s">
        <v>12</v>
      </c>
      <c r="H7621" s="1">
        <v>45245</v>
      </c>
    </row>
    <row r="7622" spans="1:8">
      <c r="A7622" t="s">
        <v>15171</v>
      </c>
      <c r="B7622" t="s">
        <v>15172</v>
      </c>
      <c r="C7622" t="s">
        <v>31</v>
      </c>
      <c r="D7622">
        <v>24</v>
      </c>
      <c r="E7622" t="s">
        <v>34</v>
      </c>
      <c r="F7622" t="s">
        <v>16</v>
      </c>
      <c r="G7622" t="s">
        <v>17</v>
      </c>
      <c r="H7622" s="1">
        <v>45281</v>
      </c>
    </row>
    <row r="7623" spans="1:8">
      <c r="A7623" t="s">
        <v>15173</v>
      </c>
      <c r="B7623" t="s">
        <v>15174</v>
      </c>
      <c r="C7623" t="s">
        <v>31</v>
      </c>
      <c r="D7623">
        <v>50</v>
      </c>
      <c r="E7623" t="s">
        <v>91</v>
      </c>
      <c r="F7623" t="s">
        <v>92</v>
      </c>
      <c r="G7623" t="s">
        <v>78</v>
      </c>
      <c r="H7623" s="1">
        <v>45003</v>
      </c>
    </row>
    <row r="7624" spans="1:8">
      <c r="A7624" t="s">
        <v>15175</v>
      </c>
      <c r="B7624" t="s">
        <v>15176</v>
      </c>
      <c r="C7624" t="s">
        <v>10</v>
      </c>
      <c r="D7624">
        <v>58</v>
      </c>
      <c r="E7624" t="s">
        <v>87</v>
      </c>
      <c r="F7624" t="s">
        <v>88</v>
      </c>
      <c r="G7624" t="s">
        <v>78</v>
      </c>
      <c r="H7624" s="1">
        <v>45201</v>
      </c>
    </row>
    <row r="7625" spans="1:8">
      <c r="A7625" t="s">
        <v>15177</v>
      </c>
      <c r="B7625" t="s">
        <v>15178</v>
      </c>
      <c r="C7625" t="s">
        <v>10</v>
      </c>
      <c r="D7625">
        <v>20</v>
      </c>
      <c r="E7625" t="s">
        <v>37</v>
      </c>
      <c r="F7625" t="s">
        <v>38</v>
      </c>
      <c r="G7625" t="s">
        <v>22</v>
      </c>
      <c r="H7625" s="1">
        <v>44814</v>
      </c>
    </row>
    <row r="7626" spans="1:8">
      <c r="A7626" t="s">
        <v>15179</v>
      </c>
      <c r="B7626" t="s">
        <v>15180</v>
      </c>
      <c r="C7626" t="s">
        <v>10</v>
      </c>
      <c r="D7626">
        <v>26</v>
      </c>
      <c r="E7626" t="s">
        <v>20</v>
      </c>
      <c r="F7626" t="s">
        <v>21</v>
      </c>
      <c r="G7626" t="s">
        <v>22</v>
      </c>
      <c r="H7626" s="1">
        <v>45781</v>
      </c>
    </row>
    <row r="7627" spans="1:8">
      <c r="A7627" t="s">
        <v>15181</v>
      </c>
      <c r="B7627" t="s">
        <v>15182</v>
      </c>
      <c r="C7627" t="s">
        <v>31</v>
      </c>
      <c r="D7627">
        <v>36</v>
      </c>
      <c r="E7627" t="s">
        <v>218</v>
      </c>
      <c r="F7627" t="s">
        <v>219</v>
      </c>
      <c r="G7627" t="s">
        <v>17</v>
      </c>
      <c r="H7627" s="1">
        <v>45765</v>
      </c>
    </row>
    <row r="7628" spans="1:8">
      <c r="A7628" t="s">
        <v>15183</v>
      </c>
      <c r="B7628" t="s">
        <v>15184</v>
      </c>
      <c r="C7628" t="s">
        <v>10</v>
      </c>
      <c r="D7628">
        <v>36</v>
      </c>
      <c r="E7628" t="s">
        <v>101</v>
      </c>
      <c r="F7628" t="s">
        <v>21</v>
      </c>
      <c r="G7628" t="s">
        <v>22</v>
      </c>
      <c r="H7628" s="1">
        <v>45503</v>
      </c>
    </row>
    <row r="7629" spans="1:8">
      <c r="A7629" t="s">
        <v>15185</v>
      </c>
      <c r="B7629" t="s">
        <v>15186</v>
      </c>
      <c r="C7629" t="s">
        <v>10</v>
      </c>
      <c r="D7629">
        <v>36</v>
      </c>
      <c r="E7629" t="s">
        <v>76</v>
      </c>
      <c r="F7629" t="s">
        <v>77</v>
      </c>
      <c r="G7629" t="s">
        <v>78</v>
      </c>
      <c r="H7629" s="1">
        <v>44879</v>
      </c>
    </row>
    <row r="7630" spans="1:8">
      <c r="A7630" t="s">
        <v>15187</v>
      </c>
      <c r="B7630" t="s">
        <v>15188</v>
      </c>
      <c r="C7630" t="s">
        <v>31</v>
      </c>
      <c r="D7630">
        <v>36</v>
      </c>
      <c r="E7630" t="s">
        <v>218</v>
      </c>
      <c r="F7630" t="s">
        <v>219</v>
      </c>
      <c r="G7630" t="s">
        <v>17</v>
      </c>
      <c r="H7630" s="1">
        <v>44820</v>
      </c>
    </row>
    <row r="7631" spans="1:8">
      <c r="A7631" t="s">
        <v>15189</v>
      </c>
      <c r="B7631" t="s">
        <v>15190</v>
      </c>
      <c r="C7631" t="s">
        <v>31</v>
      </c>
      <c r="D7631">
        <v>45</v>
      </c>
      <c r="E7631" t="s">
        <v>15</v>
      </c>
      <c r="F7631" t="s">
        <v>16</v>
      </c>
      <c r="G7631" t="s">
        <v>17</v>
      </c>
      <c r="H7631" s="1">
        <v>44929</v>
      </c>
    </row>
    <row r="7632" spans="1:8">
      <c r="A7632" t="s">
        <v>15191</v>
      </c>
      <c r="B7632" t="s">
        <v>15192</v>
      </c>
      <c r="C7632" t="s">
        <v>10</v>
      </c>
      <c r="D7632">
        <v>32</v>
      </c>
      <c r="E7632" t="s">
        <v>149</v>
      </c>
      <c r="F7632" t="s">
        <v>38</v>
      </c>
      <c r="G7632" t="s">
        <v>22</v>
      </c>
      <c r="H7632" s="1">
        <v>44650</v>
      </c>
    </row>
    <row r="7633" spans="1:8">
      <c r="A7633" t="s">
        <v>15193</v>
      </c>
      <c r="B7633" t="s">
        <v>15194</v>
      </c>
      <c r="C7633" t="s">
        <v>31</v>
      </c>
      <c r="D7633">
        <v>39</v>
      </c>
      <c r="E7633" t="s">
        <v>15</v>
      </c>
      <c r="F7633" t="s">
        <v>16</v>
      </c>
      <c r="G7633" t="s">
        <v>17</v>
      </c>
      <c r="H7633" s="1">
        <v>45409</v>
      </c>
    </row>
    <row r="7634" spans="1:8">
      <c r="A7634" t="s">
        <v>15195</v>
      </c>
      <c r="B7634" t="s">
        <v>15196</v>
      </c>
      <c r="C7634" t="s">
        <v>31</v>
      </c>
      <c r="D7634">
        <v>47</v>
      </c>
      <c r="E7634" t="s">
        <v>149</v>
      </c>
      <c r="F7634" t="s">
        <v>38</v>
      </c>
      <c r="G7634" t="s">
        <v>22</v>
      </c>
      <c r="H7634" s="1">
        <v>44860</v>
      </c>
    </row>
    <row r="7635" spans="1:8">
      <c r="A7635" t="s">
        <v>15197</v>
      </c>
      <c r="B7635" t="s">
        <v>15198</v>
      </c>
      <c r="C7635" t="s">
        <v>31</v>
      </c>
      <c r="D7635">
        <v>47</v>
      </c>
      <c r="E7635" t="s">
        <v>37</v>
      </c>
      <c r="F7635" t="s">
        <v>38</v>
      </c>
      <c r="G7635" t="s">
        <v>22</v>
      </c>
      <c r="H7635" s="1">
        <v>44868</v>
      </c>
    </row>
    <row r="7636" spans="1:8">
      <c r="A7636" t="s">
        <v>15199</v>
      </c>
      <c r="B7636" t="s">
        <v>15200</v>
      </c>
      <c r="C7636" t="s">
        <v>10</v>
      </c>
      <c r="D7636">
        <v>43</v>
      </c>
      <c r="E7636" t="s">
        <v>87</v>
      </c>
      <c r="F7636" t="s">
        <v>88</v>
      </c>
      <c r="G7636" t="s">
        <v>78</v>
      </c>
      <c r="H7636" s="1">
        <v>45943</v>
      </c>
    </row>
    <row r="7637" spans="1:8">
      <c r="A7637" t="s">
        <v>15201</v>
      </c>
      <c r="B7637" t="s">
        <v>15202</v>
      </c>
      <c r="C7637" t="s">
        <v>10</v>
      </c>
      <c r="D7637">
        <v>47</v>
      </c>
      <c r="E7637" t="s">
        <v>69</v>
      </c>
      <c r="F7637" t="s">
        <v>69</v>
      </c>
      <c r="G7637" t="s">
        <v>12</v>
      </c>
      <c r="H7637" s="1">
        <v>44679</v>
      </c>
    </row>
    <row r="7638" spans="1:8">
      <c r="A7638" t="s">
        <v>15203</v>
      </c>
      <c r="B7638" t="s">
        <v>15204</v>
      </c>
      <c r="C7638" t="s">
        <v>10</v>
      </c>
      <c r="D7638">
        <v>40</v>
      </c>
      <c r="E7638" t="s">
        <v>11</v>
      </c>
      <c r="F7638" t="s">
        <v>11</v>
      </c>
      <c r="G7638" t="s">
        <v>12</v>
      </c>
      <c r="H7638" s="1">
        <v>44577</v>
      </c>
    </row>
    <row r="7639" spans="1:8">
      <c r="A7639" t="s">
        <v>15205</v>
      </c>
      <c r="B7639" t="s">
        <v>15206</v>
      </c>
      <c r="C7639" t="s">
        <v>31</v>
      </c>
      <c r="D7639">
        <v>20</v>
      </c>
      <c r="E7639" t="s">
        <v>112</v>
      </c>
      <c r="F7639" t="s">
        <v>113</v>
      </c>
      <c r="G7639" t="s">
        <v>78</v>
      </c>
      <c r="H7639" s="1">
        <v>45688</v>
      </c>
    </row>
    <row r="7640" spans="1:8">
      <c r="A7640" t="s">
        <v>15207</v>
      </c>
      <c r="B7640" t="s">
        <v>15208</v>
      </c>
      <c r="C7640" t="s">
        <v>31</v>
      </c>
      <c r="D7640">
        <v>22</v>
      </c>
      <c r="E7640" t="s">
        <v>20</v>
      </c>
      <c r="F7640" t="s">
        <v>21</v>
      </c>
      <c r="G7640" t="s">
        <v>22</v>
      </c>
      <c r="H7640" s="1">
        <v>45215</v>
      </c>
    </row>
    <row r="7641" spans="1:8">
      <c r="A7641" t="s">
        <v>15209</v>
      </c>
      <c r="B7641" t="s">
        <v>15210</v>
      </c>
      <c r="C7641" t="s">
        <v>10</v>
      </c>
      <c r="D7641">
        <v>42</v>
      </c>
      <c r="E7641" t="s">
        <v>63</v>
      </c>
      <c r="F7641" t="s">
        <v>64</v>
      </c>
      <c r="G7641" t="s">
        <v>12</v>
      </c>
      <c r="H7641" s="1">
        <v>44732</v>
      </c>
    </row>
    <row r="7642" spans="1:8">
      <c r="A7642" t="s">
        <v>15211</v>
      </c>
      <c r="B7642" t="s">
        <v>15212</v>
      </c>
      <c r="C7642" t="s">
        <v>10</v>
      </c>
      <c r="D7642">
        <v>33</v>
      </c>
      <c r="E7642" t="s">
        <v>60</v>
      </c>
      <c r="F7642" t="s">
        <v>21</v>
      </c>
      <c r="G7642" t="s">
        <v>22</v>
      </c>
      <c r="H7642" s="1">
        <v>44976</v>
      </c>
    </row>
    <row r="7643" spans="1:8">
      <c r="A7643" t="s">
        <v>15213</v>
      </c>
      <c r="B7643" t="s">
        <v>15214</v>
      </c>
      <c r="C7643" t="s">
        <v>10</v>
      </c>
      <c r="D7643">
        <v>66</v>
      </c>
      <c r="E7643" t="s">
        <v>101</v>
      </c>
      <c r="F7643" t="s">
        <v>21</v>
      </c>
      <c r="G7643" t="s">
        <v>22</v>
      </c>
      <c r="H7643" s="1">
        <v>45738</v>
      </c>
    </row>
    <row r="7644" spans="1:8">
      <c r="A7644" t="s">
        <v>15215</v>
      </c>
      <c r="B7644" t="s">
        <v>15216</v>
      </c>
      <c r="C7644" t="s">
        <v>31</v>
      </c>
      <c r="D7644">
        <v>35</v>
      </c>
      <c r="E7644" t="s">
        <v>63</v>
      </c>
      <c r="F7644" t="s">
        <v>64</v>
      </c>
      <c r="G7644" t="s">
        <v>12</v>
      </c>
      <c r="H7644" s="1">
        <v>44596</v>
      </c>
    </row>
    <row r="7645" spans="1:8">
      <c r="A7645" t="s">
        <v>15217</v>
      </c>
      <c r="B7645" t="s">
        <v>15218</v>
      </c>
      <c r="C7645" t="s">
        <v>31</v>
      </c>
      <c r="D7645">
        <v>23</v>
      </c>
      <c r="E7645" t="s">
        <v>60</v>
      </c>
      <c r="F7645" t="s">
        <v>21</v>
      </c>
      <c r="G7645" t="s">
        <v>22</v>
      </c>
      <c r="H7645" s="1">
        <v>45997</v>
      </c>
    </row>
    <row r="7646" spans="1:8">
      <c r="A7646" t="s">
        <v>15219</v>
      </c>
      <c r="B7646" t="s">
        <v>15220</v>
      </c>
      <c r="C7646" t="s">
        <v>31</v>
      </c>
      <c r="D7646">
        <v>70</v>
      </c>
      <c r="E7646" t="s">
        <v>112</v>
      </c>
      <c r="F7646" t="s">
        <v>113</v>
      </c>
      <c r="G7646" t="s">
        <v>78</v>
      </c>
      <c r="H7646" s="1">
        <v>45239</v>
      </c>
    </row>
    <row r="7647" spans="1:8">
      <c r="A7647" t="s">
        <v>15221</v>
      </c>
      <c r="B7647" t="s">
        <v>15222</v>
      </c>
      <c r="C7647" t="s">
        <v>31</v>
      </c>
      <c r="D7647">
        <v>30</v>
      </c>
      <c r="E7647" t="s">
        <v>41</v>
      </c>
      <c r="F7647" t="s">
        <v>42</v>
      </c>
      <c r="G7647" t="s">
        <v>17</v>
      </c>
      <c r="H7647" s="1">
        <v>45753</v>
      </c>
    </row>
    <row r="7648" spans="1:8">
      <c r="A7648" t="s">
        <v>15223</v>
      </c>
      <c r="B7648" t="s">
        <v>15224</v>
      </c>
      <c r="C7648" t="s">
        <v>10</v>
      </c>
      <c r="D7648">
        <v>20</v>
      </c>
      <c r="E7648" t="s">
        <v>15</v>
      </c>
      <c r="F7648" t="s">
        <v>16</v>
      </c>
      <c r="G7648" t="s">
        <v>17</v>
      </c>
      <c r="H7648" s="1">
        <v>46008</v>
      </c>
    </row>
    <row r="7649" spans="1:8">
      <c r="A7649" t="s">
        <v>15225</v>
      </c>
      <c r="B7649" t="s">
        <v>15226</v>
      </c>
      <c r="C7649" t="s">
        <v>31</v>
      </c>
      <c r="D7649">
        <v>44</v>
      </c>
      <c r="E7649" t="s">
        <v>34</v>
      </c>
      <c r="F7649" t="s">
        <v>16</v>
      </c>
      <c r="G7649" t="s">
        <v>17</v>
      </c>
      <c r="H7649" s="1">
        <v>45372</v>
      </c>
    </row>
    <row r="7650" spans="1:8">
      <c r="A7650" t="s">
        <v>15227</v>
      </c>
      <c r="B7650" t="s">
        <v>15228</v>
      </c>
      <c r="C7650" t="s">
        <v>31</v>
      </c>
      <c r="D7650">
        <v>65</v>
      </c>
      <c r="E7650" t="s">
        <v>134</v>
      </c>
      <c r="F7650" t="s">
        <v>28</v>
      </c>
      <c r="G7650" t="s">
        <v>12</v>
      </c>
      <c r="H7650" s="1">
        <v>45848</v>
      </c>
    </row>
    <row r="7651" spans="1:8">
      <c r="A7651" t="s">
        <v>15229</v>
      </c>
      <c r="B7651" t="s">
        <v>15230</v>
      </c>
      <c r="C7651" t="s">
        <v>10</v>
      </c>
      <c r="D7651">
        <v>37</v>
      </c>
      <c r="E7651" t="s">
        <v>15</v>
      </c>
      <c r="F7651" t="s">
        <v>16</v>
      </c>
      <c r="G7651" t="s">
        <v>17</v>
      </c>
      <c r="H7651" s="1">
        <v>44854</v>
      </c>
    </row>
    <row r="7652" spans="1:8">
      <c r="A7652" t="s">
        <v>15231</v>
      </c>
      <c r="B7652" t="s">
        <v>15232</v>
      </c>
      <c r="C7652" t="s">
        <v>31</v>
      </c>
      <c r="D7652">
        <v>52</v>
      </c>
      <c r="E7652" t="s">
        <v>15</v>
      </c>
      <c r="F7652" t="s">
        <v>16</v>
      </c>
      <c r="G7652" t="s">
        <v>17</v>
      </c>
      <c r="H7652" s="1">
        <v>45223</v>
      </c>
    </row>
    <row r="7653" spans="1:8">
      <c r="A7653" t="s">
        <v>15233</v>
      </c>
      <c r="B7653" t="s">
        <v>15234</v>
      </c>
      <c r="C7653" t="s">
        <v>10</v>
      </c>
      <c r="D7653">
        <v>56</v>
      </c>
      <c r="E7653" t="s">
        <v>37</v>
      </c>
      <c r="F7653" t="s">
        <v>38</v>
      </c>
      <c r="G7653" t="s">
        <v>22</v>
      </c>
      <c r="H7653" s="1">
        <v>44763</v>
      </c>
    </row>
    <row r="7654" spans="1:8">
      <c r="A7654" t="s">
        <v>15235</v>
      </c>
      <c r="B7654" t="s">
        <v>15236</v>
      </c>
      <c r="C7654" t="s">
        <v>31</v>
      </c>
      <c r="D7654">
        <v>64</v>
      </c>
      <c r="E7654" t="s">
        <v>45</v>
      </c>
      <c r="F7654" t="s">
        <v>46</v>
      </c>
      <c r="G7654" t="s">
        <v>17</v>
      </c>
      <c r="H7654" s="1">
        <v>45363</v>
      </c>
    </row>
    <row r="7655" spans="1:8">
      <c r="A7655" t="s">
        <v>15237</v>
      </c>
      <c r="B7655" t="s">
        <v>15238</v>
      </c>
      <c r="C7655" t="s">
        <v>10</v>
      </c>
      <c r="D7655">
        <v>18</v>
      </c>
      <c r="E7655" t="s">
        <v>41</v>
      </c>
      <c r="F7655" t="s">
        <v>42</v>
      </c>
      <c r="G7655" t="s">
        <v>17</v>
      </c>
      <c r="H7655" s="1">
        <v>44977</v>
      </c>
    </row>
    <row r="7656" spans="1:8">
      <c r="A7656" t="s">
        <v>15239</v>
      </c>
      <c r="B7656" t="s">
        <v>15240</v>
      </c>
      <c r="C7656" t="s">
        <v>31</v>
      </c>
      <c r="D7656">
        <v>30</v>
      </c>
      <c r="E7656" t="s">
        <v>37</v>
      </c>
      <c r="F7656" t="s">
        <v>38</v>
      </c>
      <c r="G7656" t="s">
        <v>22</v>
      </c>
      <c r="H7656" s="1">
        <v>45995</v>
      </c>
    </row>
    <row r="7657" spans="1:8">
      <c r="A7657" t="s">
        <v>15241</v>
      </c>
      <c r="B7657" t="s">
        <v>15242</v>
      </c>
      <c r="C7657" t="s">
        <v>31</v>
      </c>
      <c r="D7657">
        <v>25</v>
      </c>
      <c r="E7657" t="s">
        <v>20</v>
      </c>
      <c r="F7657" t="s">
        <v>21</v>
      </c>
      <c r="G7657" t="s">
        <v>22</v>
      </c>
      <c r="H7657" s="1">
        <v>44567</v>
      </c>
    </row>
    <row r="7658" spans="1:8">
      <c r="A7658" t="s">
        <v>15243</v>
      </c>
      <c r="B7658" t="s">
        <v>15244</v>
      </c>
      <c r="C7658" t="s">
        <v>31</v>
      </c>
      <c r="D7658">
        <v>46</v>
      </c>
      <c r="E7658" t="s">
        <v>37</v>
      </c>
      <c r="F7658" t="s">
        <v>38</v>
      </c>
      <c r="G7658" t="s">
        <v>22</v>
      </c>
      <c r="H7658" s="1">
        <v>45039</v>
      </c>
    </row>
    <row r="7659" spans="1:8">
      <c r="A7659" t="s">
        <v>15245</v>
      </c>
      <c r="B7659" t="s">
        <v>15246</v>
      </c>
      <c r="C7659" t="s">
        <v>31</v>
      </c>
      <c r="D7659">
        <v>18</v>
      </c>
      <c r="E7659" t="s">
        <v>34</v>
      </c>
      <c r="F7659" t="s">
        <v>16</v>
      </c>
      <c r="G7659" t="s">
        <v>17</v>
      </c>
      <c r="H7659" s="1">
        <v>44758</v>
      </c>
    </row>
    <row r="7660" spans="1:8">
      <c r="A7660" t="s">
        <v>15247</v>
      </c>
      <c r="B7660" t="s">
        <v>15248</v>
      </c>
      <c r="C7660" t="s">
        <v>10</v>
      </c>
      <c r="D7660">
        <v>25</v>
      </c>
      <c r="E7660" t="s">
        <v>91</v>
      </c>
      <c r="F7660" t="s">
        <v>92</v>
      </c>
      <c r="G7660" t="s">
        <v>78</v>
      </c>
      <c r="H7660" s="1">
        <v>45464</v>
      </c>
    </row>
    <row r="7661" spans="1:8">
      <c r="A7661" t="s">
        <v>15249</v>
      </c>
      <c r="B7661" t="s">
        <v>15250</v>
      </c>
      <c r="C7661" t="s">
        <v>10</v>
      </c>
      <c r="D7661">
        <v>53</v>
      </c>
      <c r="E7661" t="s">
        <v>134</v>
      </c>
      <c r="F7661" t="s">
        <v>28</v>
      </c>
      <c r="G7661" t="s">
        <v>12</v>
      </c>
      <c r="H7661" s="1">
        <v>46003</v>
      </c>
    </row>
    <row r="7662" spans="1:8">
      <c r="A7662" t="s">
        <v>15251</v>
      </c>
      <c r="B7662" t="s">
        <v>15252</v>
      </c>
      <c r="C7662" t="s">
        <v>31</v>
      </c>
      <c r="D7662">
        <v>23</v>
      </c>
      <c r="E7662" t="s">
        <v>76</v>
      </c>
      <c r="F7662" t="s">
        <v>77</v>
      </c>
      <c r="G7662" t="s">
        <v>78</v>
      </c>
      <c r="H7662" s="1">
        <v>44996</v>
      </c>
    </row>
    <row r="7663" spans="1:8">
      <c r="A7663" t="s">
        <v>15253</v>
      </c>
      <c r="B7663" t="s">
        <v>15254</v>
      </c>
      <c r="C7663" t="s">
        <v>31</v>
      </c>
      <c r="D7663">
        <v>51</v>
      </c>
      <c r="E7663" t="s">
        <v>60</v>
      </c>
      <c r="F7663" t="s">
        <v>21</v>
      </c>
      <c r="G7663" t="s">
        <v>22</v>
      </c>
      <c r="H7663" s="1">
        <v>45328</v>
      </c>
    </row>
    <row r="7664" spans="1:8">
      <c r="A7664" t="s">
        <v>15255</v>
      </c>
      <c r="B7664" t="s">
        <v>15256</v>
      </c>
      <c r="C7664" t="s">
        <v>31</v>
      </c>
      <c r="D7664">
        <v>41</v>
      </c>
      <c r="E7664" t="s">
        <v>41</v>
      </c>
      <c r="F7664" t="s">
        <v>42</v>
      </c>
      <c r="G7664" t="s">
        <v>17</v>
      </c>
      <c r="H7664" s="1">
        <v>45801</v>
      </c>
    </row>
    <row r="7665" spans="1:8">
      <c r="A7665" t="s">
        <v>15257</v>
      </c>
      <c r="B7665" t="s">
        <v>15258</v>
      </c>
      <c r="C7665" t="s">
        <v>31</v>
      </c>
      <c r="D7665">
        <v>65</v>
      </c>
      <c r="E7665" t="s">
        <v>218</v>
      </c>
      <c r="F7665" t="s">
        <v>219</v>
      </c>
      <c r="G7665" t="s">
        <v>17</v>
      </c>
      <c r="H7665" s="1">
        <v>44755</v>
      </c>
    </row>
    <row r="7666" spans="1:8">
      <c r="A7666" t="s">
        <v>15259</v>
      </c>
      <c r="B7666" t="s">
        <v>15260</v>
      </c>
      <c r="C7666" t="s">
        <v>10</v>
      </c>
      <c r="D7666">
        <v>66</v>
      </c>
      <c r="E7666" t="s">
        <v>218</v>
      </c>
      <c r="F7666" t="s">
        <v>219</v>
      </c>
      <c r="G7666" t="s">
        <v>17</v>
      </c>
      <c r="H7666" s="1">
        <v>45051</v>
      </c>
    </row>
    <row r="7667" spans="1:8">
      <c r="A7667" t="s">
        <v>15261</v>
      </c>
      <c r="B7667" t="s">
        <v>15262</v>
      </c>
      <c r="C7667" t="s">
        <v>31</v>
      </c>
      <c r="D7667">
        <v>64</v>
      </c>
      <c r="E7667" t="s">
        <v>11</v>
      </c>
      <c r="F7667" t="s">
        <v>11</v>
      </c>
      <c r="G7667" t="s">
        <v>12</v>
      </c>
      <c r="H7667" s="1">
        <v>45966</v>
      </c>
    </row>
    <row r="7668" spans="1:8">
      <c r="A7668" t="s">
        <v>15263</v>
      </c>
      <c r="B7668" t="s">
        <v>15264</v>
      </c>
      <c r="C7668" t="s">
        <v>31</v>
      </c>
      <c r="D7668">
        <v>56</v>
      </c>
      <c r="E7668" t="s">
        <v>60</v>
      </c>
      <c r="F7668" t="s">
        <v>21</v>
      </c>
      <c r="G7668" t="s">
        <v>22</v>
      </c>
      <c r="H7668" s="1">
        <v>44733</v>
      </c>
    </row>
    <row r="7669" spans="1:8">
      <c r="A7669" t="s">
        <v>15265</v>
      </c>
      <c r="B7669" t="s">
        <v>15266</v>
      </c>
      <c r="C7669" t="s">
        <v>10</v>
      </c>
      <c r="D7669">
        <v>49</v>
      </c>
      <c r="E7669" t="s">
        <v>63</v>
      </c>
      <c r="F7669" t="s">
        <v>64</v>
      </c>
      <c r="G7669" t="s">
        <v>12</v>
      </c>
      <c r="H7669" s="1">
        <v>45068</v>
      </c>
    </row>
    <row r="7670" spans="1:8">
      <c r="A7670" t="s">
        <v>15267</v>
      </c>
      <c r="B7670" t="s">
        <v>15268</v>
      </c>
      <c r="C7670" t="s">
        <v>31</v>
      </c>
      <c r="D7670">
        <v>19</v>
      </c>
      <c r="E7670" t="s">
        <v>69</v>
      </c>
      <c r="F7670" t="s">
        <v>69</v>
      </c>
      <c r="G7670" t="s">
        <v>12</v>
      </c>
      <c r="H7670" s="1">
        <v>45150</v>
      </c>
    </row>
    <row r="7671" spans="1:8">
      <c r="A7671" t="s">
        <v>15269</v>
      </c>
      <c r="B7671" t="s">
        <v>15270</v>
      </c>
      <c r="C7671" t="s">
        <v>10</v>
      </c>
      <c r="D7671">
        <v>42</v>
      </c>
      <c r="E7671" t="s">
        <v>37</v>
      </c>
      <c r="F7671" t="s">
        <v>38</v>
      </c>
      <c r="G7671" t="s">
        <v>22</v>
      </c>
      <c r="H7671" s="1">
        <v>45176</v>
      </c>
    </row>
    <row r="7672" spans="1:8">
      <c r="A7672" t="s">
        <v>15271</v>
      </c>
      <c r="B7672" t="s">
        <v>15272</v>
      </c>
      <c r="C7672" t="s">
        <v>10</v>
      </c>
      <c r="D7672">
        <v>65</v>
      </c>
      <c r="E7672" t="s">
        <v>37</v>
      </c>
      <c r="F7672" t="s">
        <v>38</v>
      </c>
      <c r="G7672" t="s">
        <v>22</v>
      </c>
      <c r="H7672" s="1">
        <v>45288</v>
      </c>
    </row>
    <row r="7673" spans="1:8">
      <c r="A7673" t="s">
        <v>15273</v>
      </c>
      <c r="B7673" t="s">
        <v>1439</v>
      </c>
      <c r="C7673" t="s">
        <v>31</v>
      </c>
      <c r="D7673">
        <v>19</v>
      </c>
      <c r="E7673" t="s">
        <v>101</v>
      </c>
      <c r="F7673" t="s">
        <v>21</v>
      </c>
      <c r="G7673" t="s">
        <v>22</v>
      </c>
      <c r="H7673" s="1">
        <v>45316</v>
      </c>
    </row>
    <row r="7674" spans="1:8">
      <c r="A7674" t="s">
        <v>15274</v>
      </c>
      <c r="B7674" t="s">
        <v>15275</v>
      </c>
      <c r="C7674" t="s">
        <v>10</v>
      </c>
      <c r="D7674">
        <v>54</v>
      </c>
      <c r="E7674" t="s">
        <v>69</v>
      </c>
      <c r="F7674" t="s">
        <v>69</v>
      </c>
      <c r="G7674" t="s">
        <v>12</v>
      </c>
      <c r="H7674" s="1">
        <v>45317</v>
      </c>
    </row>
    <row r="7675" spans="1:8">
      <c r="A7675" t="s">
        <v>15276</v>
      </c>
      <c r="B7675" t="s">
        <v>15277</v>
      </c>
      <c r="C7675" t="s">
        <v>31</v>
      </c>
      <c r="D7675">
        <v>52</v>
      </c>
      <c r="E7675" t="s">
        <v>34</v>
      </c>
      <c r="F7675" t="s">
        <v>16</v>
      </c>
      <c r="G7675" t="s">
        <v>17</v>
      </c>
      <c r="H7675" s="1">
        <v>44587</v>
      </c>
    </row>
    <row r="7676" spans="1:8">
      <c r="A7676" t="s">
        <v>15278</v>
      </c>
      <c r="B7676" t="s">
        <v>15279</v>
      </c>
      <c r="C7676" t="s">
        <v>10</v>
      </c>
      <c r="D7676">
        <v>59</v>
      </c>
      <c r="E7676" t="s">
        <v>91</v>
      </c>
      <c r="F7676" t="s">
        <v>92</v>
      </c>
      <c r="G7676" t="s">
        <v>78</v>
      </c>
      <c r="H7676" s="1">
        <v>45433</v>
      </c>
    </row>
    <row r="7677" spans="1:8">
      <c r="A7677" t="s">
        <v>15280</v>
      </c>
      <c r="B7677" t="s">
        <v>15281</v>
      </c>
      <c r="C7677" t="s">
        <v>10</v>
      </c>
      <c r="D7677">
        <v>55</v>
      </c>
      <c r="E7677" t="s">
        <v>76</v>
      </c>
      <c r="F7677" t="s">
        <v>77</v>
      </c>
      <c r="G7677" t="s">
        <v>78</v>
      </c>
      <c r="H7677" s="1">
        <v>45483</v>
      </c>
    </row>
    <row r="7678" spans="1:8">
      <c r="A7678" t="s">
        <v>15282</v>
      </c>
      <c r="B7678" t="s">
        <v>15283</v>
      </c>
      <c r="C7678" t="s">
        <v>10</v>
      </c>
      <c r="D7678">
        <v>66</v>
      </c>
      <c r="E7678" t="s">
        <v>63</v>
      </c>
      <c r="F7678" t="s">
        <v>64</v>
      </c>
      <c r="G7678" t="s">
        <v>12</v>
      </c>
      <c r="H7678" s="1">
        <v>45403</v>
      </c>
    </row>
    <row r="7679" spans="1:8">
      <c r="A7679" t="s">
        <v>15284</v>
      </c>
      <c r="B7679" t="s">
        <v>15285</v>
      </c>
      <c r="C7679" t="s">
        <v>10</v>
      </c>
      <c r="D7679">
        <v>53</v>
      </c>
      <c r="E7679" t="s">
        <v>41</v>
      </c>
      <c r="F7679" t="s">
        <v>42</v>
      </c>
      <c r="G7679" t="s">
        <v>17</v>
      </c>
      <c r="H7679" s="1">
        <v>44694</v>
      </c>
    </row>
    <row r="7680" spans="1:8">
      <c r="A7680" t="s">
        <v>15286</v>
      </c>
      <c r="B7680" t="s">
        <v>15287</v>
      </c>
      <c r="C7680" t="s">
        <v>10</v>
      </c>
      <c r="D7680">
        <v>56</v>
      </c>
      <c r="E7680" t="s">
        <v>20</v>
      </c>
      <c r="F7680" t="s">
        <v>21</v>
      </c>
      <c r="G7680" t="s">
        <v>22</v>
      </c>
      <c r="H7680" s="1">
        <v>44802</v>
      </c>
    </row>
    <row r="7681" spans="1:8">
      <c r="A7681" t="s">
        <v>15288</v>
      </c>
      <c r="B7681" t="s">
        <v>15289</v>
      </c>
      <c r="C7681" t="s">
        <v>10</v>
      </c>
      <c r="D7681">
        <v>55</v>
      </c>
      <c r="E7681" t="s">
        <v>76</v>
      </c>
      <c r="F7681" t="s">
        <v>77</v>
      </c>
      <c r="G7681" t="s">
        <v>78</v>
      </c>
      <c r="H7681" s="1">
        <v>45454</v>
      </c>
    </row>
    <row r="7682" spans="1:8">
      <c r="A7682" t="s">
        <v>15290</v>
      </c>
      <c r="B7682" t="s">
        <v>15291</v>
      </c>
      <c r="C7682" t="s">
        <v>10</v>
      </c>
      <c r="D7682">
        <v>70</v>
      </c>
      <c r="E7682" t="s">
        <v>27</v>
      </c>
      <c r="F7682" t="s">
        <v>28</v>
      </c>
      <c r="G7682" t="s">
        <v>12</v>
      </c>
      <c r="H7682" s="1">
        <v>45132</v>
      </c>
    </row>
    <row r="7683" spans="1:8">
      <c r="A7683" t="s">
        <v>15292</v>
      </c>
      <c r="B7683" t="s">
        <v>15293</v>
      </c>
      <c r="C7683" t="s">
        <v>10</v>
      </c>
      <c r="D7683">
        <v>30</v>
      </c>
      <c r="E7683" t="s">
        <v>149</v>
      </c>
      <c r="F7683" t="s">
        <v>38</v>
      </c>
      <c r="G7683" t="s">
        <v>22</v>
      </c>
      <c r="H7683" s="1">
        <v>44662</v>
      </c>
    </row>
    <row r="7684" spans="1:8">
      <c r="A7684" t="s">
        <v>15294</v>
      </c>
      <c r="B7684" t="s">
        <v>15295</v>
      </c>
      <c r="C7684" t="s">
        <v>31</v>
      </c>
      <c r="D7684">
        <v>60</v>
      </c>
      <c r="E7684" t="s">
        <v>112</v>
      </c>
      <c r="F7684" t="s">
        <v>113</v>
      </c>
      <c r="G7684" t="s">
        <v>78</v>
      </c>
      <c r="H7684" s="1">
        <v>45975</v>
      </c>
    </row>
    <row r="7685" spans="1:8">
      <c r="A7685" t="s">
        <v>15296</v>
      </c>
      <c r="B7685" t="s">
        <v>15297</v>
      </c>
      <c r="C7685" t="s">
        <v>31</v>
      </c>
      <c r="D7685">
        <v>47</v>
      </c>
      <c r="E7685" t="s">
        <v>15</v>
      </c>
      <c r="F7685" t="s">
        <v>16</v>
      </c>
      <c r="G7685" t="s">
        <v>17</v>
      </c>
      <c r="H7685" s="1">
        <v>45267</v>
      </c>
    </row>
    <row r="7686" spans="1:8">
      <c r="A7686" t="s">
        <v>15298</v>
      </c>
      <c r="B7686" t="s">
        <v>15299</v>
      </c>
      <c r="C7686" t="s">
        <v>10</v>
      </c>
      <c r="D7686">
        <v>35</v>
      </c>
      <c r="E7686" t="s">
        <v>112</v>
      </c>
      <c r="F7686" t="s">
        <v>113</v>
      </c>
      <c r="G7686" t="s">
        <v>78</v>
      </c>
      <c r="H7686" s="1">
        <v>44663</v>
      </c>
    </row>
    <row r="7687" spans="1:8">
      <c r="A7687" t="s">
        <v>15300</v>
      </c>
      <c r="B7687" t="s">
        <v>15301</v>
      </c>
      <c r="C7687" t="s">
        <v>31</v>
      </c>
      <c r="D7687">
        <v>50</v>
      </c>
      <c r="E7687" t="s">
        <v>69</v>
      </c>
      <c r="F7687" t="s">
        <v>69</v>
      </c>
      <c r="G7687" t="s">
        <v>12</v>
      </c>
      <c r="H7687" s="1">
        <v>44836</v>
      </c>
    </row>
    <row r="7688" spans="1:8">
      <c r="A7688" t="s">
        <v>15302</v>
      </c>
      <c r="B7688" t="s">
        <v>15303</v>
      </c>
      <c r="C7688" t="s">
        <v>31</v>
      </c>
      <c r="D7688">
        <v>45</v>
      </c>
      <c r="E7688" t="s">
        <v>15</v>
      </c>
      <c r="F7688" t="s">
        <v>16</v>
      </c>
      <c r="G7688" t="s">
        <v>17</v>
      </c>
      <c r="H7688" s="1">
        <v>44777</v>
      </c>
    </row>
    <row r="7689" spans="1:8">
      <c r="A7689" t="s">
        <v>15304</v>
      </c>
      <c r="B7689" t="s">
        <v>15305</v>
      </c>
      <c r="C7689" t="s">
        <v>31</v>
      </c>
      <c r="D7689">
        <v>45</v>
      </c>
      <c r="E7689" t="s">
        <v>27</v>
      </c>
      <c r="F7689" t="s">
        <v>28</v>
      </c>
      <c r="G7689" t="s">
        <v>12</v>
      </c>
      <c r="H7689" s="1">
        <v>45383</v>
      </c>
    </row>
    <row r="7690" spans="1:8">
      <c r="A7690" t="s">
        <v>15306</v>
      </c>
      <c r="B7690" t="s">
        <v>15307</v>
      </c>
      <c r="C7690" t="s">
        <v>10</v>
      </c>
      <c r="D7690">
        <v>58</v>
      </c>
      <c r="E7690" t="s">
        <v>41</v>
      </c>
      <c r="F7690" t="s">
        <v>42</v>
      </c>
      <c r="G7690" t="s">
        <v>17</v>
      </c>
      <c r="H7690" s="1">
        <v>45482</v>
      </c>
    </row>
    <row r="7691" spans="1:8">
      <c r="A7691" t="s">
        <v>15308</v>
      </c>
      <c r="B7691" t="s">
        <v>15309</v>
      </c>
      <c r="C7691" t="s">
        <v>31</v>
      </c>
      <c r="D7691">
        <v>62</v>
      </c>
      <c r="E7691" t="s">
        <v>60</v>
      </c>
      <c r="F7691" t="s">
        <v>21</v>
      </c>
      <c r="G7691" t="s">
        <v>22</v>
      </c>
      <c r="H7691" s="1">
        <v>45303</v>
      </c>
    </row>
    <row r="7692" spans="1:8">
      <c r="A7692" t="s">
        <v>15310</v>
      </c>
      <c r="B7692" t="s">
        <v>15311</v>
      </c>
      <c r="C7692" t="s">
        <v>10</v>
      </c>
      <c r="D7692">
        <v>27</v>
      </c>
      <c r="E7692" t="s">
        <v>11</v>
      </c>
      <c r="F7692" t="s">
        <v>11</v>
      </c>
      <c r="G7692" t="s">
        <v>12</v>
      </c>
      <c r="H7692" s="1">
        <v>45776</v>
      </c>
    </row>
    <row r="7693" spans="1:8">
      <c r="A7693" t="s">
        <v>15312</v>
      </c>
      <c r="B7693" t="s">
        <v>15313</v>
      </c>
      <c r="C7693" t="s">
        <v>31</v>
      </c>
      <c r="D7693">
        <v>43</v>
      </c>
      <c r="E7693" t="s">
        <v>15</v>
      </c>
      <c r="F7693" t="s">
        <v>16</v>
      </c>
      <c r="G7693" t="s">
        <v>17</v>
      </c>
      <c r="H7693" s="1">
        <v>44981</v>
      </c>
    </row>
    <row r="7694" spans="1:8">
      <c r="A7694" t="s">
        <v>15314</v>
      </c>
      <c r="B7694" t="s">
        <v>3859</v>
      </c>
      <c r="C7694" t="s">
        <v>31</v>
      </c>
      <c r="D7694">
        <v>69</v>
      </c>
      <c r="E7694" t="s">
        <v>218</v>
      </c>
      <c r="F7694" t="s">
        <v>219</v>
      </c>
      <c r="G7694" t="s">
        <v>17</v>
      </c>
      <c r="H7694" s="1">
        <v>45919</v>
      </c>
    </row>
    <row r="7695" spans="1:8">
      <c r="A7695" t="s">
        <v>15315</v>
      </c>
      <c r="B7695" t="s">
        <v>15316</v>
      </c>
      <c r="C7695" t="s">
        <v>10</v>
      </c>
      <c r="D7695">
        <v>40</v>
      </c>
      <c r="E7695" t="s">
        <v>218</v>
      </c>
      <c r="F7695" t="s">
        <v>219</v>
      </c>
      <c r="G7695" t="s">
        <v>17</v>
      </c>
      <c r="H7695" s="1">
        <v>45934</v>
      </c>
    </row>
    <row r="7696" spans="1:8">
      <c r="A7696" t="s">
        <v>15317</v>
      </c>
      <c r="B7696" t="s">
        <v>15318</v>
      </c>
      <c r="C7696" t="s">
        <v>10</v>
      </c>
      <c r="D7696">
        <v>45</v>
      </c>
      <c r="E7696" t="s">
        <v>41</v>
      </c>
      <c r="F7696" t="s">
        <v>42</v>
      </c>
      <c r="G7696" t="s">
        <v>17</v>
      </c>
      <c r="H7696" s="1">
        <v>45292</v>
      </c>
    </row>
    <row r="7697" spans="1:8">
      <c r="A7697" t="s">
        <v>15319</v>
      </c>
      <c r="B7697" t="s">
        <v>4041</v>
      </c>
      <c r="C7697" t="s">
        <v>31</v>
      </c>
      <c r="D7697">
        <v>58</v>
      </c>
      <c r="E7697" t="s">
        <v>37</v>
      </c>
      <c r="F7697" t="s">
        <v>38</v>
      </c>
      <c r="G7697" t="s">
        <v>22</v>
      </c>
      <c r="H7697" s="1">
        <v>45637</v>
      </c>
    </row>
    <row r="7698" spans="1:8">
      <c r="A7698" t="s">
        <v>15320</v>
      </c>
      <c r="B7698" t="s">
        <v>15321</v>
      </c>
      <c r="C7698" t="s">
        <v>10</v>
      </c>
      <c r="D7698">
        <v>53</v>
      </c>
      <c r="E7698" t="s">
        <v>37</v>
      </c>
      <c r="F7698" t="s">
        <v>38</v>
      </c>
      <c r="G7698" t="s">
        <v>22</v>
      </c>
      <c r="H7698" s="1">
        <v>45670</v>
      </c>
    </row>
    <row r="7699" spans="1:8">
      <c r="A7699" t="s">
        <v>15322</v>
      </c>
      <c r="B7699" t="s">
        <v>15323</v>
      </c>
      <c r="C7699" t="s">
        <v>31</v>
      </c>
      <c r="D7699">
        <v>34</v>
      </c>
      <c r="E7699" t="s">
        <v>15</v>
      </c>
      <c r="F7699" t="s">
        <v>16</v>
      </c>
      <c r="G7699" t="s">
        <v>17</v>
      </c>
      <c r="H7699" s="1">
        <v>45565</v>
      </c>
    </row>
    <row r="7700" spans="1:8">
      <c r="A7700" t="s">
        <v>15324</v>
      </c>
      <c r="B7700" t="s">
        <v>15325</v>
      </c>
      <c r="C7700" t="s">
        <v>31</v>
      </c>
      <c r="D7700">
        <v>56</v>
      </c>
      <c r="E7700" t="s">
        <v>37</v>
      </c>
      <c r="F7700" t="s">
        <v>38</v>
      </c>
      <c r="G7700" t="s">
        <v>22</v>
      </c>
      <c r="H7700" s="1">
        <v>45584</v>
      </c>
    </row>
    <row r="7701" spans="1:8">
      <c r="A7701" t="s">
        <v>15326</v>
      </c>
      <c r="B7701" t="s">
        <v>15327</v>
      </c>
      <c r="C7701" t="s">
        <v>31</v>
      </c>
      <c r="D7701">
        <v>59</v>
      </c>
      <c r="E7701" t="s">
        <v>218</v>
      </c>
      <c r="F7701" t="s">
        <v>219</v>
      </c>
      <c r="G7701" t="s">
        <v>17</v>
      </c>
      <c r="H7701" s="1">
        <v>45837</v>
      </c>
    </row>
    <row r="7702" spans="1:8">
      <c r="A7702" t="s">
        <v>15328</v>
      </c>
      <c r="B7702" t="s">
        <v>15329</v>
      </c>
      <c r="C7702" t="s">
        <v>10</v>
      </c>
      <c r="D7702">
        <v>41</v>
      </c>
      <c r="E7702" t="s">
        <v>101</v>
      </c>
      <c r="F7702" t="s">
        <v>21</v>
      </c>
      <c r="G7702" t="s">
        <v>22</v>
      </c>
      <c r="H7702" s="1">
        <v>45661</v>
      </c>
    </row>
    <row r="7703" spans="1:8">
      <c r="A7703" t="s">
        <v>15330</v>
      </c>
      <c r="B7703" t="s">
        <v>15331</v>
      </c>
      <c r="C7703" t="s">
        <v>31</v>
      </c>
      <c r="D7703">
        <v>66</v>
      </c>
      <c r="E7703" t="s">
        <v>60</v>
      </c>
      <c r="F7703" t="s">
        <v>21</v>
      </c>
      <c r="G7703" t="s">
        <v>22</v>
      </c>
      <c r="H7703" s="1">
        <v>45770</v>
      </c>
    </row>
    <row r="7704" spans="1:8">
      <c r="A7704" t="s">
        <v>15332</v>
      </c>
      <c r="B7704" t="s">
        <v>15333</v>
      </c>
      <c r="C7704" t="s">
        <v>10</v>
      </c>
      <c r="D7704">
        <v>23</v>
      </c>
      <c r="E7704" t="s">
        <v>45</v>
      </c>
      <c r="F7704" t="s">
        <v>46</v>
      </c>
      <c r="G7704" t="s">
        <v>17</v>
      </c>
      <c r="H7704" s="1">
        <v>44858</v>
      </c>
    </row>
    <row r="7705" spans="1:8">
      <c r="A7705" t="s">
        <v>15334</v>
      </c>
      <c r="B7705" t="s">
        <v>15335</v>
      </c>
      <c r="C7705" t="s">
        <v>31</v>
      </c>
      <c r="D7705">
        <v>34</v>
      </c>
      <c r="E7705" t="s">
        <v>11</v>
      </c>
      <c r="F7705" t="s">
        <v>11</v>
      </c>
      <c r="G7705" t="s">
        <v>12</v>
      </c>
      <c r="H7705" s="1">
        <v>45989</v>
      </c>
    </row>
    <row r="7706" spans="1:8">
      <c r="A7706" t="s">
        <v>15336</v>
      </c>
      <c r="B7706" t="s">
        <v>15337</v>
      </c>
      <c r="C7706" t="s">
        <v>10</v>
      </c>
      <c r="D7706">
        <v>42</v>
      </c>
      <c r="E7706" t="s">
        <v>60</v>
      </c>
      <c r="F7706" t="s">
        <v>21</v>
      </c>
      <c r="G7706" t="s">
        <v>22</v>
      </c>
      <c r="H7706" s="1">
        <v>44814</v>
      </c>
    </row>
    <row r="7707" spans="1:8">
      <c r="A7707" t="s">
        <v>15338</v>
      </c>
      <c r="B7707" t="s">
        <v>8346</v>
      </c>
      <c r="C7707" t="s">
        <v>10</v>
      </c>
      <c r="D7707">
        <v>54</v>
      </c>
      <c r="E7707" t="s">
        <v>11</v>
      </c>
      <c r="F7707" t="s">
        <v>11</v>
      </c>
      <c r="G7707" t="s">
        <v>12</v>
      </c>
      <c r="H7707" s="1">
        <v>45744</v>
      </c>
    </row>
    <row r="7708" spans="1:8">
      <c r="A7708" t="s">
        <v>15339</v>
      </c>
      <c r="B7708" t="s">
        <v>15340</v>
      </c>
      <c r="C7708" t="s">
        <v>10</v>
      </c>
      <c r="D7708">
        <v>31</v>
      </c>
      <c r="E7708" t="s">
        <v>60</v>
      </c>
      <c r="F7708" t="s">
        <v>21</v>
      </c>
      <c r="G7708" t="s">
        <v>22</v>
      </c>
      <c r="H7708" s="1">
        <v>45740</v>
      </c>
    </row>
    <row r="7709" spans="1:8">
      <c r="A7709" t="s">
        <v>15341</v>
      </c>
      <c r="B7709" t="s">
        <v>15342</v>
      </c>
      <c r="C7709" t="s">
        <v>10</v>
      </c>
      <c r="D7709">
        <v>33</v>
      </c>
      <c r="E7709" t="s">
        <v>20</v>
      </c>
      <c r="F7709" t="s">
        <v>21</v>
      </c>
      <c r="G7709" t="s">
        <v>22</v>
      </c>
      <c r="H7709" s="1">
        <v>44997</v>
      </c>
    </row>
    <row r="7710" spans="1:8">
      <c r="A7710" t="s">
        <v>15343</v>
      </c>
      <c r="B7710" t="s">
        <v>15344</v>
      </c>
      <c r="C7710" t="s">
        <v>10</v>
      </c>
      <c r="D7710">
        <v>20</v>
      </c>
      <c r="E7710" t="s">
        <v>69</v>
      </c>
      <c r="F7710" t="s">
        <v>69</v>
      </c>
      <c r="G7710" t="s">
        <v>12</v>
      </c>
      <c r="H7710" s="1">
        <v>45702</v>
      </c>
    </row>
    <row r="7711" spans="1:8">
      <c r="A7711" t="s">
        <v>15345</v>
      </c>
      <c r="B7711" t="s">
        <v>15346</v>
      </c>
      <c r="C7711" t="s">
        <v>10</v>
      </c>
      <c r="D7711">
        <v>50</v>
      </c>
      <c r="E7711" t="s">
        <v>149</v>
      </c>
      <c r="F7711" t="s">
        <v>38</v>
      </c>
      <c r="G7711" t="s">
        <v>22</v>
      </c>
      <c r="H7711" s="1">
        <v>45648</v>
      </c>
    </row>
    <row r="7712" spans="1:8">
      <c r="A7712" t="s">
        <v>15347</v>
      </c>
      <c r="B7712" t="s">
        <v>15348</v>
      </c>
      <c r="C7712" t="s">
        <v>10</v>
      </c>
      <c r="D7712">
        <v>33</v>
      </c>
      <c r="E7712" t="s">
        <v>69</v>
      </c>
      <c r="F7712" t="s">
        <v>69</v>
      </c>
      <c r="G7712" t="s">
        <v>12</v>
      </c>
      <c r="H7712" s="1">
        <v>45327</v>
      </c>
    </row>
    <row r="7713" spans="1:8">
      <c r="A7713" t="s">
        <v>15349</v>
      </c>
      <c r="B7713" t="s">
        <v>15350</v>
      </c>
      <c r="C7713" t="s">
        <v>31</v>
      </c>
      <c r="D7713">
        <v>62</v>
      </c>
      <c r="E7713" t="s">
        <v>37</v>
      </c>
      <c r="F7713" t="s">
        <v>38</v>
      </c>
      <c r="G7713" t="s">
        <v>22</v>
      </c>
      <c r="H7713" s="1">
        <v>44926</v>
      </c>
    </row>
    <row r="7714" spans="1:8">
      <c r="A7714" t="s">
        <v>15351</v>
      </c>
      <c r="B7714" t="s">
        <v>15352</v>
      </c>
      <c r="C7714" t="s">
        <v>31</v>
      </c>
      <c r="D7714">
        <v>67</v>
      </c>
      <c r="E7714" t="s">
        <v>34</v>
      </c>
      <c r="F7714" t="s">
        <v>16</v>
      </c>
      <c r="G7714" t="s">
        <v>17</v>
      </c>
      <c r="H7714" s="1">
        <v>45787</v>
      </c>
    </row>
    <row r="7715" spans="1:8">
      <c r="A7715" t="s">
        <v>15353</v>
      </c>
      <c r="B7715" t="s">
        <v>15354</v>
      </c>
      <c r="C7715" t="s">
        <v>31</v>
      </c>
      <c r="D7715">
        <v>50</v>
      </c>
      <c r="E7715" t="s">
        <v>149</v>
      </c>
      <c r="F7715" t="s">
        <v>38</v>
      </c>
      <c r="G7715" t="s">
        <v>22</v>
      </c>
      <c r="H7715" s="1">
        <v>45081</v>
      </c>
    </row>
    <row r="7716" spans="1:8">
      <c r="A7716" t="s">
        <v>15355</v>
      </c>
      <c r="B7716" t="s">
        <v>15356</v>
      </c>
      <c r="C7716" t="s">
        <v>10</v>
      </c>
      <c r="D7716">
        <v>43</v>
      </c>
      <c r="E7716" t="s">
        <v>34</v>
      </c>
      <c r="F7716" t="s">
        <v>16</v>
      </c>
      <c r="G7716" t="s">
        <v>17</v>
      </c>
      <c r="H7716" s="1">
        <v>45705</v>
      </c>
    </row>
    <row r="7717" spans="1:8">
      <c r="A7717" t="s">
        <v>15357</v>
      </c>
      <c r="B7717" t="s">
        <v>15358</v>
      </c>
      <c r="C7717" t="s">
        <v>31</v>
      </c>
      <c r="D7717">
        <v>65</v>
      </c>
      <c r="E7717" t="s">
        <v>27</v>
      </c>
      <c r="F7717" t="s">
        <v>28</v>
      </c>
      <c r="G7717" t="s">
        <v>12</v>
      </c>
      <c r="H7717" s="1">
        <v>44965</v>
      </c>
    </row>
    <row r="7718" spans="1:8">
      <c r="A7718" t="s">
        <v>15359</v>
      </c>
      <c r="B7718" t="s">
        <v>15360</v>
      </c>
      <c r="C7718" t="s">
        <v>10</v>
      </c>
      <c r="D7718">
        <v>69</v>
      </c>
      <c r="E7718" t="s">
        <v>149</v>
      </c>
      <c r="F7718" t="s">
        <v>38</v>
      </c>
      <c r="G7718" t="s">
        <v>22</v>
      </c>
      <c r="H7718" s="1">
        <v>45034</v>
      </c>
    </row>
    <row r="7719" spans="1:8">
      <c r="A7719" t="s">
        <v>15361</v>
      </c>
      <c r="B7719" t="s">
        <v>15362</v>
      </c>
      <c r="C7719" t="s">
        <v>10</v>
      </c>
      <c r="D7719">
        <v>46</v>
      </c>
      <c r="E7719" t="s">
        <v>218</v>
      </c>
      <c r="F7719" t="s">
        <v>219</v>
      </c>
      <c r="G7719" t="s">
        <v>17</v>
      </c>
      <c r="H7719" s="1">
        <v>45014</v>
      </c>
    </row>
    <row r="7720" spans="1:8">
      <c r="A7720" t="s">
        <v>15363</v>
      </c>
      <c r="B7720" t="s">
        <v>15364</v>
      </c>
      <c r="C7720" t="s">
        <v>31</v>
      </c>
      <c r="D7720">
        <v>18</v>
      </c>
      <c r="E7720" t="s">
        <v>27</v>
      </c>
      <c r="F7720" t="s">
        <v>28</v>
      </c>
      <c r="G7720" t="s">
        <v>12</v>
      </c>
      <c r="H7720" s="1">
        <v>45445</v>
      </c>
    </row>
    <row r="7721" spans="1:8">
      <c r="A7721" t="s">
        <v>15365</v>
      </c>
      <c r="B7721" t="s">
        <v>15366</v>
      </c>
      <c r="C7721" t="s">
        <v>31</v>
      </c>
      <c r="D7721">
        <v>61</v>
      </c>
      <c r="E7721" t="s">
        <v>27</v>
      </c>
      <c r="F7721" t="s">
        <v>28</v>
      </c>
      <c r="G7721" t="s">
        <v>12</v>
      </c>
      <c r="H7721" s="1">
        <v>45895</v>
      </c>
    </row>
    <row r="7722" spans="1:8">
      <c r="A7722" t="s">
        <v>15367</v>
      </c>
      <c r="B7722" t="s">
        <v>15368</v>
      </c>
      <c r="C7722" t="s">
        <v>10</v>
      </c>
      <c r="D7722">
        <v>38</v>
      </c>
      <c r="E7722" t="s">
        <v>69</v>
      </c>
      <c r="F7722" t="s">
        <v>69</v>
      </c>
      <c r="G7722" t="s">
        <v>12</v>
      </c>
      <c r="H7722" s="1">
        <v>45326</v>
      </c>
    </row>
    <row r="7723" spans="1:8">
      <c r="A7723" t="s">
        <v>15369</v>
      </c>
      <c r="B7723" t="s">
        <v>15370</v>
      </c>
      <c r="C7723" t="s">
        <v>31</v>
      </c>
      <c r="D7723">
        <v>64</v>
      </c>
      <c r="E7723" t="s">
        <v>149</v>
      </c>
      <c r="F7723" t="s">
        <v>38</v>
      </c>
      <c r="G7723" t="s">
        <v>22</v>
      </c>
      <c r="H7723" s="1">
        <v>45980</v>
      </c>
    </row>
    <row r="7724" spans="1:8">
      <c r="A7724" t="s">
        <v>15371</v>
      </c>
      <c r="B7724" t="s">
        <v>15372</v>
      </c>
      <c r="C7724" t="s">
        <v>31</v>
      </c>
      <c r="D7724">
        <v>37</v>
      </c>
      <c r="E7724" t="s">
        <v>60</v>
      </c>
      <c r="F7724" t="s">
        <v>21</v>
      </c>
      <c r="G7724" t="s">
        <v>22</v>
      </c>
      <c r="H7724" s="1">
        <v>44723</v>
      </c>
    </row>
    <row r="7725" spans="1:8">
      <c r="A7725" t="s">
        <v>15373</v>
      </c>
      <c r="B7725" t="s">
        <v>15374</v>
      </c>
      <c r="C7725" t="s">
        <v>31</v>
      </c>
      <c r="D7725">
        <v>31</v>
      </c>
      <c r="E7725" t="s">
        <v>34</v>
      </c>
      <c r="F7725" t="s">
        <v>16</v>
      </c>
      <c r="G7725" t="s">
        <v>17</v>
      </c>
      <c r="H7725" s="1">
        <v>45932</v>
      </c>
    </row>
    <row r="7726" spans="1:8">
      <c r="A7726" t="s">
        <v>15375</v>
      </c>
      <c r="B7726" t="s">
        <v>12911</v>
      </c>
      <c r="C7726" t="s">
        <v>31</v>
      </c>
      <c r="D7726">
        <v>33</v>
      </c>
      <c r="E7726" t="s">
        <v>37</v>
      </c>
      <c r="F7726" t="s">
        <v>38</v>
      </c>
      <c r="G7726" t="s">
        <v>22</v>
      </c>
      <c r="H7726" s="1">
        <v>44984</v>
      </c>
    </row>
    <row r="7727" spans="1:8">
      <c r="A7727" t="s">
        <v>15376</v>
      </c>
      <c r="B7727" t="s">
        <v>15377</v>
      </c>
      <c r="C7727" t="s">
        <v>31</v>
      </c>
      <c r="D7727">
        <v>49</v>
      </c>
      <c r="E7727" t="s">
        <v>20</v>
      </c>
      <c r="F7727" t="s">
        <v>21</v>
      </c>
      <c r="G7727" t="s">
        <v>22</v>
      </c>
      <c r="H7727" s="1">
        <v>44702</v>
      </c>
    </row>
    <row r="7728" spans="1:8">
      <c r="A7728" t="s">
        <v>15378</v>
      </c>
      <c r="B7728" t="s">
        <v>15379</v>
      </c>
      <c r="C7728" t="s">
        <v>31</v>
      </c>
      <c r="D7728">
        <v>28</v>
      </c>
      <c r="E7728" t="s">
        <v>60</v>
      </c>
      <c r="F7728" t="s">
        <v>21</v>
      </c>
      <c r="G7728" t="s">
        <v>22</v>
      </c>
      <c r="H7728" s="1">
        <v>44850</v>
      </c>
    </row>
    <row r="7729" spans="1:8">
      <c r="A7729" t="s">
        <v>15380</v>
      </c>
      <c r="B7729" t="s">
        <v>15381</v>
      </c>
      <c r="C7729" t="s">
        <v>10</v>
      </c>
      <c r="D7729">
        <v>64</v>
      </c>
      <c r="E7729" t="s">
        <v>45</v>
      </c>
      <c r="F7729" t="s">
        <v>46</v>
      </c>
      <c r="G7729" t="s">
        <v>17</v>
      </c>
      <c r="H7729" s="1">
        <v>45617</v>
      </c>
    </row>
    <row r="7730" spans="1:8">
      <c r="A7730" t="s">
        <v>15382</v>
      </c>
      <c r="B7730" t="s">
        <v>15383</v>
      </c>
      <c r="C7730" t="s">
        <v>31</v>
      </c>
      <c r="D7730">
        <v>46</v>
      </c>
      <c r="E7730" t="s">
        <v>69</v>
      </c>
      <c r="F7730" t="s">
        <v>69</v>
      </c>
      <c r="G7730" t="s">
        <v>12</v>
      </c>
      <c r="H7730" s="1">
        <v>45773</v>
      </c>
    </row>
    <row r="7731" spans="1:8">
      <c r="A7731" t="s">
        <v>15384</v>
      </c>
      <c r="B7731" t="s">
        <v>15385</v>
      </c>
      <c r="C7731" t="s">
        <v>31</v>
      </c>
      <c r="D7731">
        <v>30</v>
      </c>
      <c r="E7731" t="s">
        <v>69</v>
      </c>
      <c r="F7731" t="s">
        <v>69</v>
      </c>
      <c r="G7731" t="s">
        <v>12</v>
      </c>
      <c r="H7731" s="1">
        <v>44943</v>
      </c>
    </row>
    <row r="7732" spans="1:8">
      <c r="A7732" t="s">
        <v>15386</v>
      </c>
      <c r="B7732" t="s">
        <v>15387</v>
      </c>
      <c r="C7732" t="s">
        <v>31</v>
      </c>
      <c r="D7732">
        <v>70</v>
      </c>
      <c r="E7732" t="s">
        <v>15</v>
      </c>
      <c r="F7732" t="s">
        <v>16</v>
      </c>
      <c r="G7732" t="s">
        <v>17</v>
      </c>
      <c r="H7732" s="1">
        <v>45395</v>
      </c>
    </row>
    <row r="7733" spans="1:8">
      <c r="A7733" t="s">
        <v>15388</v>
      </c>
      <c r="B7733" t="s">
        <v>15389</v>
      </c>
      <c r="C7733" t="s">
        <v>31</v>
      </c>
      <c r="D7733">
        <v>38</v>
      </c>
      <c r="E7733" t="s">
        <v>11</v>
      </c>
      <c r="F7733" t="s">
        <v>11</v>
      </c>
      <c r="G7733" t="s">
        <v>12</v>
      </c>
      <c r="H7733" s="1">
        <v>45628</v>
      </c>
    </row>
    <row r="7734" spans="1:8">
      <c r="A7734" t="s">
        <v>15390</v>
      </c>
      <c r="B7734" t="s">
        <v>15391</v>
      </c>
      <c r="C7734" t="s">
        <v>10</v>
      </c>
      <c r="D7734">
        <v>67</v>
      </c>
      <c r="E7734" t="s">
        <v>218</v>
      </c>
      <c r="F7734" t="s">
        <v>219</v>
      </c>
      <c r="G7734" t="s">
        <v>17</v>
      </c>
      <c r="H7734" s="1">
        <v>45119</v>
      </c>
    </row>
    <row r="7735" spans="1:8">
      <c r="A7735" t="s">
        <v>15392</v>
      </c>
      <c r="B7735" t="s">
        <v>15393</v>
      </c>
      <c r="C7735" t="s">
        <v>10</v>
      </c>
      <c r="D7735">
        <v>21</v>
      </c>
      <c r="E7735" t="s">
        <v>91</v>
      </c>
      <c r="F7735" t="s">
        <v>92</v>
      </c>
      <c r="G7735" t="s">
        <v>78</v>
      </c>
      <c r="H7735" s="1">
        <v>45106</v>
      </c>
    </row>
    <row r="7736" spans="1:8">
      <c r="A7736" t="s">
        <v>15394</v>
      </c>
      <c r="B7736" t="s">
        <v>15395</v>
      </c>
      <c r="C7736" t="s">
        <v>31</v>
      </c>
      <c r="D7736">
        <v>27</v>
      </c>
      <c r="E7736" t="s">
        <v>11</v>
      </c>
      <c r="F7736" t="s">
        <v>11</v>
      </c>
      <c r="G7736" t="s">
        <v>12</v>
      </c>
      <c r="H7736" s="1">
        <v>44594</v>
      </c>
    </row>
    <row r="7737" spans="1:8">
      <c r="A7737" t="s">
        <v>15396</v>
      </c>
      <c r="B7737" t="s">
        <v>15397</v>
      </c>
      <c r="C7737" t="s">
        <v>31</v>
      </c>
      <c r="D7737">
        <v>57</v>
      </c>
      <c r="E7737" t="s">
        <v>128</v>
      </c>
      <c r="F7737" t="s">
        <v>129</v>
      </c>
      <c r="G7737" t="s">
        <v>78</v>
      </c>
      <c r="H7737" s="1">
        <v>45532</v>
      </c>
    </row>
    <row r="7738" spans="1:8">
      <c r="A7738" t="s">
        <v>15398</v>
      </c>
      <c r="B7738" t="s">
        <v>15399</v>
      </c>
      <c r="C7738" t="s">
        <v>10</v>
      </c>
      <c r="D7738">
        <v>25</v>
      </c>
      <c r="E7738" t="s">
        <v>45</v>
      </c>
      <c r="F7738" t="s">
        <v>46</v>
      </c>
      <c r="G7738" t="s">
        <v>17</v>
      </c>
      <c r="H7738" s="1">
        <v>45759</v>
      </c>
    </row>
    <row r="7739" spans="1:8">
      <c r="A7739" t="s">
        <v>15400</v>
      </c>
      <c r="B7739" t="s">
        <v>15401</v>
      </c>
      <c r="C7739" t="s">
        <v>10</v>
      </c>
      <c r="D7739">
        <v>50</v>
      </c>
      <c r="E7739" t="s">
        <v>87</v>
      </c>
      <c r="F7739" t="s">
        <v>88</v>
      </c>
      <c r="G7739" t="s">
        <v>78</v>
      </c>
      <c r="H7739" s="1">
        <v>44780</v>
      </c>
    </row>
    <row r="7740" spans="1:8">
      <c r="A7740" t="s">
        <v>15402</v>
      </c>
      <c r="B7740" t="s">
        <v>15403</v>
      </c>
      <c r="C7740" t="s">
        <v>10</v>
      </c>
      <c r="D7740">
        <v>31</v>
      </c>
      <c r="E7740" t="s">
        <v>60</v>
      </c>
      <c r="F7740" t="s">
        <v>21</v>
      </c>
      <c r="G7740" t="s">
        <v>22</v>
      </c>
      <c r="H7740" s="1">
        <v>45413</v>
      </c>
    </row>
    <row r="7741" spans="1:8">
      <c r="A7741" t="s">
        <v>15404</v>
      </c>
      <c r="B7741" t="s">
        <v>15405</v>
      </c>
      <c r="C7741" t="s">
        <v>31</v>
      </c>
      <c r="D7741">
        <v>46</v>
      </c>
      <c r="E7741" t="s">
        <v>128</v>
      </c>
      <c r="F7741" t="s">
        <v>129</v>
      </c>
      <c r="G7741" t="s">
        <v>78</v>
      </c>
      <c r="H7741" s="1">
        <v>45064</v>
      </c>
    </row>
    <row r="7742" spans="1:8">
      <c r="A7742" t="s">
        <v>15406</v>
      </c>
      <c r="B7742" t="s">
        <v>15407</v>
      </c>
      <c r="C7742" t="s">
        <v>31</v>
      </c>
      <c r="D7742">
        <v>68</v>
      </c>
      <c r="E7742" t="s">
        <v>91</v>
      </c>
      <c r="F7742" t="s">
        <v>92</v>
      </c>
      <c r="G7742" t="s">
        <v>78</v>
      </c>
      <c r="H7742" s="1">
        <v>44992</v>
      </c>
    </row>
    <row r="7743" spans="1:8">
      <c r="A7743" t="s">
        <v>15408</v>
      </c>
      <c r="B7743" t="s">
        <v>15409</v>
      </c>
      <c r="C7743" t="s">
        <v>10</v>
      </c>
      <c r="D7743">
        <v>38</v>
      </c>
      <c r="E7743" t="s">
        <v>20</v>
      </c>
      <c r="F7743" t="s">
        <v>21</v>
      </c>
      <c r="G7743" t="s">
        <v>22</v>
      </c>
      <c r="H7743" s="1">
        <v>44768</v>
      </c>
    </row>
    <row r="7744" spans="1:8">
      <c r="A7744" t="s">
        <v>15410</v>
      </c>
      <c r="B7744" t="s">
        <v>15411</v>
      </c>
      <c r="C7744" t="s">
        <v>31</v>
      </c>
      <c r="D7744">
        <v>47</v>
      </c>
      <c r="E7744" t="s">
        <v>11</v>
      </c>
      <c r="F7744" t="s">
        <v>11</v>
      </c>
      <c r="G7744" t="s">
        <v>12</v>
      </c>
      <c r="H7744" s="1">
        <v>44948</v>
      </c>
    </row>
    <row r="7745" spans="1:8">
      <c r="A7745" t="s">
        <v>15412</v>
      </c>
      <c r="B7745" t="s">
        <v>15413</v>
      </c>
      <c r="C7745" t="s">
        <v>10</v>
      </c>
      <c r="D7745">
        <v>44</v>
      </c>
      <c r="E7745" t="s">
        <v>20</v>
      </c>
      <c r="F7745" t="s">
        <v>21</v>
      </c>
      <c r="G7745" t="s">
        <v>22</v>
      </c>
      <c r="H7745" s="1">
        <v>45878</v>
      </c>
    </row>
    <row r="7746" spans="1:8">
      <c r="A7746" t="s">
        <v>15414</v>
      </c>
      <c r="B7746" t="s">
        <v>15415</v>
      </c>
      <c r="C7746" t="s">
        <v>10</v>
      </c>
      <c r="D7746">
        <v>37</v>
      </c>
      <c r="E7746" t="s">
        <v>34</v>
      </c>
      <c r="F7746" t="s">
        <v>16</v>
      </c>
      <c r="G7746" t="s">
        <v>17</v>
      </c>
      <c r="H7746" s="1">
        <v>45349</v>
      </c>
    </row>
    <row r="7747" spans="1:8">
      <c r="A7747" t="s">
        <v>15416</v>
      </c>
      <c r="B7747" t="s">
        <v>15417</v>
      </c>
      <c r="C7747" t="s">
        <v>31</v>
      </c>
      <c r="D7747">
        <v>44</v>
      </c>
      <c r="E7747" t="s">
        <v>91</v>
      </c>
      <c r="F7747" t="s">
        <v>92</v>
      </c>
      <c r="G7747" t="s">
        <v>78</v>
      </c>
      <c r="H7747" s="1">
        <v>45224</v>
      </c>
    </row>
    <row r="7748" spans="1:8">
      <c r="A7748" t="s">
        <v>15418</v>
      </c>
      <c r="B7748" t="s">
        <v>15419</v>
      </c>
      <c r="C7748" t="s">
        <v>10</v>
      </c>
      <c r="D7748">
        <v>32</v>
      </c>
      <c r="E7748" t="s">
        <v>87</v>
      </c>
      <c r="F7748" t="s">
        <v>88</v>
      </c>
      <c r="G7748" t="s">
        <v>78</v>
      </c>
      <c r="H7748" s="1">
        <v>44926</v>
      </c>
    </row>
    <row r="7749" spans="1:8">
      <c r="A7749" t="s">
        <v>15420</v>
      </c>
      <c r="B7749" t="s">
        <v>15421</v>
      </c>
      <c r="C7749" t="s">
        <v>10</v>
      </c>
      <c r="D7749">
        <v>27</v>
      </c>
      <c r="E7749" t="s">
        <v>37</v>
      </c>
      <c r="F7749" t="s">
        <v>38</v>
      </c>
      <c r="G7749" t="s">
        <v>22</v>
      </c>
      <c r="H7749" s="1">
        <v>45359</v>
      </c>
    </row>
    <row r="7750" spans="1:8">
      <c r="A7750" t="s">
        <v>15422</v>
      </c>
      <c r="B7750" t="s">
        <v>15423</v>
      </c>
      <c r="C7750" t="s">
        <v>10</v>
      </c>
      <c r="D7750">
        <v>49</v>
      </c>
      <c r="E7750" t="s">
        <v>27</v>
      </c>
      <c r="F7750" t="s">
        <v>28</v>
      </c>
      <c r="G7750" t="s">
        <v>12</v>
      </c>
      <c r="H7750" s="1">
        <v>45144</v>
      </c>
    </row>
    <row r="7751" spans="1:8">
      <c r="A7751" t="s">
        <v>15424</v>
      </c>
      <c r="B7751" t="s">
        <v>15425</v>
      </c>
      <c r="C7751" t="s">
        <v>10</v>
      </c>
      <c r="D7751">
        <v>60</v>
      </c>
      <c r="E7751" t="s">
        <v>87</v>
      </c>
      <c r="F7751" t="s">
        <v>88</v>
      </c>
      <c r="G7751" t="s">
        <v>78</v>
      </c>
      <c r="H7751" s="1">
        <v>45472</v>
      </c>
    </row>
    <row r="7752" spans="1:8">
      <c r="A7752" t="s">
        <v>15426</v>
      </c>
      <c r="B7752" t="s">
        <v>15427</v>
      </c>
      <c r="C7752" t="s">
        <v>31</v>
      </c>
      <c r="D7752">
        <v>21</v>
      </c>
      <c r="E7752" t="s">
        <v>45</v>
      </c>
      <c r="F7752" t="s">
        <v>46</v>
      </c>
      <c r="G7752" t="s">
        <v>17</v>
      </c>
      <c r="H7752" s="1">
        <v>45350</v>
      </c>
    </row>
    <row r="7753" spans="1:8">
      <c r="A7753" t="s">
        <v>15428</v>
      </c>
      <c r="B7753" t="s">
        <v>15429</v>
      </c>
      <c r="C7753" t="s">
        <v>31</v>
      </c>
      <c r="D7753">
        <v>48</v>
      </c>
      <c r="E7753" t="s">
        <v>128</v>
      </c>
      <c r="F7753" t="s">
        <v>129</v>
      </c>
      <c r="G7753" t="s">
        <v>78</v>
      </c>
      <c r="H7753" s="1">
        <v>45259</v>
      </c>
    </row>
    <row r="7754" spans="1:8">
      <c r="A7754" t="s">
        <v>15430</v>
      </c>
      <c r="B7754" t="s">
        <v>15431</v>
      </c>
      <c r="C7754" t="s">
        <v>10</v>
      </c>
      <c r="D7754">
        <v>68</v>
      </c>
      <c r="E7754" t="s">
        <v>11</v>
      </c>
      <c r="F7754" t="s">
        <v>11</v>
      </c>
      <c r="G7754" t="s">
        <v>12</v>
      </c>
      <c r="H7754" s="1">
        <v>45416</v>
      </c>
    </row>
    <row r="7755" spans="1:8">
      <c r="A7755" t="s">
        <v>15432</v>
      </c>
      <c r="B7755" t="s">
        <v>15433</v>
      </c>
      <c r="C7755" t="s">
        <v>10</v>
      </c>
      <c r="D7755">
        <v>21</v>
      </c>
      <c r="E7755" t="s">
        <v>27</v>
      </c>
      <c r="F7755" t="s">
        <v>28</v>
      </c>
      <c r="G7755" t="s">
        <v>12</v>
      </c>
      <c r="H7755" s="1">
        <v>45638</v>
      </c>
    </row>
    <row r="7756" spans="1:8">
      <c r="A7756" t="s">
        <v>15434</v>
      </c>
      <c r="B7756" t="s">
        <v>15435</v>
      </c>
      <c r="C7756" t="s">
        <v>31</v>
      </c>
      <c r="D7756">
        <v>30</v>
      </c>
      <c r="E7756" t="s">
        <v>37</v>
      </c>
      <c r="F7756" t="s">
        <v>38</v>
      </c>
      <c r="G7756" t="s">
        <v>22</v>
      </c>
      <c r="H7756" s="1">
        <v>44783</v>
      </c>
    </row>
    <row r="7757" spans="1:8">
      <c r="A7757" t="s">
        <v>15436</v>
      </c>
      <c r="B7757" t="s">
        <v>15437</v>
      </c>
      <c r="C7757" t="s">
        <v>10</v>
      </c>
      <c r="D7757">
        <v>65</v>
      </c>
      <c r="E7757" t="s">
        <v>20</v>
      </c>
      <c r="F7757" t="s">
        <v>21</v>
      </c>
      <c r="G7757" t="s">
        <v>22</v>
      </c>
      <c r="H7757" s="1">
        <v>45093</v>
      </c>
    </row>
    <row r="7758" spans="1:8">
      <c r="A7758" t="s">
        <v>15438</v>
      </c>
      <c r="B7758" t="s">
        <v>15439</v>
      </c>
      <c r="C7758" t="s">
        <v>31</v>
      </c>
      <c r="D7758">
        <v>58</v>
      </c>
      <c r="E7758" t="s">
        <v>34</v>
      </c>
      <c r="F7758" t="s">
        <v>16</v>
      </c>
      <c r="G7758" t="s">
        <v>17</v>
      </c>
      <c r="H7758" s="1">
        <v>44900</v>
      </c>
    </row>
    <row r="7759" spans="1:8">
      <c r="A7759" t="s">
        <v>15440</v>
      </c>
      <c r="B7759" t="s">
        <v>15441</v>
      </c>
      <c r="C7759" t="s">
        <v>10</v>
      </c>
      <c r="D7759">
        <v>42</v>
      </c>
      <c r="E7759" t="s">
        <v>45</v>
      </c>
      <c r="F7759" t="s">
        <v>46</v>
      </c>
      <c r="G7759" t="s">
        <v>17</v>
      </c>
      <c r="H7759" s="1">
        <v>45379</v>
      </c>
    </row>
    <row r="7760" spans="1:8">
      <c r="A7760" t="s">
        <v>15442</v>
      </c>
      <c r="B7760" t="s">
        <v>7582</v>
      </c>
      <c r="C7760" t="s">
        <v>31</v>
      </c>
      <c r="D7760">
        <v>34</v>
      </c>
      <c r="E7760" t="s">
        <v>60</v>
      </c>
      <c r="F7760" t="s">
        <v>21</v>
      </c>
      <c r="G7760" t="s">
        <v>22</v>
      </c>
      <c r="H7760" s="1">
        <v>45253</v>
      </c>
    </row>
    <row r="7761" spans="1:8">
      <c r="A7761" t="s">
        <v>15443</v>
      </c>
      <c r="B7761" t="s">
        <v>15444</v>
      </c>
      <c r="C7761" t="s">
        <v>31</v>
      </c>
      <c r="D7761">
        <v>35</v>
      </c>
      <c r="E7761" t="s">
        <v>11</v>
      </c>
      <c r="F7761" t="s">
        <v>11</v>
      </c>
      <c r="G7761" t="s">
        <v>12</v>
      </c>
      <c r="H7761" s="1">
        <v>45644</v>
      </c>
    </row>
    <row r="7762" spans="1:8">
      <c r="A7762" t="s">
        <v>15445</v>
      </c>
      <c r="B7762" t="s">
        <v>15446</v>
      </c>
      <c r="C7762" t="s">
        <v>10</v>
      </c>
      <c r="D7762">
        <v>45</v>
      </c>
      <c r="E7762" t="s">
        <v>34</v>
      </c>
      <c r="F7762" t="s">
        <v>16</v>
      </c>
      <c r="G7762" t="s">
        <v>17</v>
      </c>
      <c r="H7762" s="1">
        <v>45942</v>
      </c>
    </row>
    <row r="7763" spans="1:8">
      <c r="A7763" t="s">
        <v>15447</v>
      </c>
      <c r="B7763" t="s">
        <v>15448</v>
      </c>
      <c r="C7763" t="s">
        <v>31</v>
      </c>
      <c r="D7763">
        <v>56</v>
      </c>
      <c r="E7763" t="s">
        <v>20</v>
      </c>
      <c r="F7763" t="s">
        <v>21</v>
      </c>
      <c r="G7763" t="s">
        <v>22</v>
      </c>
      <c r="H7763" s="1">
        <v>44849</v>
      </c>
    </row>
    <row r="7764" spans="1:8">
      <c r="A7764" t="s">
        <v>15449</v>
      </c>
      <c r="B7764" t="s">
        <v>15450</v>
      </c>
      <c r="C7764" t="s">
        <v>31</v>
      </c>
      <c r="D7764">
        <v>62</v>
      </c>
      <c r="E7764" t="s">
        <v>11</v>
      </c>
      <c r="F7764" t="s">
        <v>11</v>
      </c>
      <c r="G7764" t="s">
        <v>12</v>
      </c>
      <c r="H7764" s="1">
        <v>45235</v>
      </c>
    </row>
    <row r="7765" spans="1:8">
      <c r="A7765" t="s">
        <v>15451</v>
      </c>
      <c r="B7765" t="s">
        <v>15452</v>
      </c>
      <c r="C7765" t="s">
        <v>10</v>
      </c>
      <c r="D7765">
        <v>46</v>
      </c>
      <c r="E7765" t="s">
        <v>134</v>
      </c>
      <c r="F7765" t="s">
        <v>28</v>
      </c>
      <c r="G7765" t="s">
        <v>12</v>
      </c>
      <c r="H7765" s="1">
        <v>45692</v>
      </c>
    </row>
    <row r="7766" spans="1:8">
      <c r="A7766" t="s">
        <v>15453</v>
      </c>
      <c r="B7766" t="s">
        <v>15454</v>
      </c>
      <c r="C7766" t="s">
        <v>31</v>
      </c>
      <c r="D7766">
        <v>64</v>
      </c>
      <c r="E7766" t="s">
        <v>11</v>
      </c>
      <c r="F7766" t="s">
        <v>11</v>
      </c>
      <c r="G7766" t="s">
        <v>12</v>
      </c>
      <c r="H7766" s="1">
        <v>45927</v>
      </c>
    </row>
    <row r="7767" spans="1:8">
      <c r="A7767" t="s">
        <v>15455</v>
      </c>
      <c r="B7767" t="s">
        <v>15456</v>
      </c>
      <c r="C7767" t="s">
        <v>10</v>
      </c>
      <c r="D7767">
        <v>63</v>
      </c>
      <c r="E7767" t="s">
        <v>101</v>
      </c>
      <c r="F7767" t="s">
        <v>21</v>
      </c>
      <c r="G7767" t="s">
        <v>22</v>
      </c>
      <c r="H7767" s="1">
        <v>45720</v>
      </c>
    </row>
    <row r="7768" spans="1:8">
      <c r="A7768" t="s">
        <v>15457</v>
      </c>
      <c r="B7768" t="s">
        <v>15458</v>
      </c>
      <c r="C7768" t="s">
        <v>10</v>
      </c>
      <c r="D7768">
        <v>28</v>
      </c>
      <c r="E7768" t="s">
        <v>37</v>
      </c>
      <c r="F7768" t="s">
        <v>38</v>
      </c>
      <c r="G7768" t="s">
        <v>22</v>
      </c>
      <c r="H7768" s="1">
        <v>45775</v>
      </c>
    </row>
    <row r="7769" spans="1:8">
      <c r="A7769" t="s">
        <v>15459</v>
      </c>
      <c r="B7769" t="s">
        <v>15460</v>
      </c>
      <c r="C7769" t="s">
        <v>10</v>
      </c>
      <c r="D7769">
        <v>59</v>
      </c>
      <c r="E7769" t="s">
        <v>218</v>
      </c>
      <c r="F7769" t="s">
        <v>219</v>
      </c>
      <c r="G7769" t="s">
        <v>17</v>
      </c>
      <c r="H7769" s="1">
        <v>44799</v>
      </c>
    </row>
    <row r="7770" spans="1:8">
      <c r="A7770" t="s">
        <v>15461</v>
      </c>
      <c r="B7770" t="s">
        <v>15462</v>
      </c>
      <c r="C7770" t="s">
        <v>31</v>
      </c>
      <c r="D7770">
        <v>50</v>
      </c>
      <c r="E7770" t="s">
        <v>218</v>
      </c>
      <c r="F7770" t="s">
        <v>219</v>
      </c>
      <c r="G7770" t="s">
        <v>17</v>
      </c>
      <c r="H7770" s="1">
        <v>45755</v>
      </c>
    </row>
    <row r="7771" spans="1:8">
      <c r="A7771" t="s">
        <v>15463</v>
      </c>
      <c r="B7771" t="s">
        <v>15464</v>
      </c>
      <c r="C7771" t="s">
        <v>10</v>
      </c>
      <c r="D7771">
        <v>66</v>
      </c>
      <c r="E7771" t="s">
        <v>15</v>
      </c>
      <c r="F7771" t="s">
        <v>16</v>
      </c>
      <c r="G7771" t="s">
        <v>17</v>
      </c>
      <c r="H7771" s="1">
        <v>45144</v>
      </c>
    </row>
    <row r="7772" spans="1:8">
      <c r="A7772" t="s">
        <v>15465</v>
      </c>
      <c r="B7772" t="s">
        <v>15466</v>
      </c>
      <c r="C7772" t="s">
        <v>31</v>
      </c>
      <c r="D7772">
        <v>54</v>
      </c>
      <c r="E7772" t="s">
        <v>218</v>
      </c>
      <c r="F7772" t="s">
        <v>219</v>
      </c>
      <c r="G7772" t="s">
        <v>17</v>
      </c>
      <c r="H7772" s="1">
        <v>45303</v>
      </c>
    </row>
    <row r="7773" spans="1:8">
      <c r="A7773" t="s">
        <v>15467</v>
      </c>
      <c r="B7773" t="s">
        <v>15468</v>
      </c>
      <c r="C7773" t="s">
        <v>31</v>
      </c>
      <c r="D7773">
        <v>28</v>
      </c>
      <c r="E7773" t="s">
        <v>27</v>
      </c>
      <c r="F7773" t="s">
        <v>28</v>
      </c>
      <c r="G7773" t="s">
        <v>12</v>
      </c>
      <c r="H7773" s="1">
        <v>44809</v>
      </c>
    </row>
    <row r="7774" spans="1:8">
      <c r="A7774" t="s">
        <v>15469</v>
      </c>
      <c r="B7774" t="s">
        <v>15470</v>
      </c>
      <c r="C7774" t="s">
        <v>10</v>
      </c>
      <c r="D7774">
        <v>28</v>
      </c>
      <c r="E7774" t="s">
        <v>101</v>
      </c>
      <c r="F7774" t="s">
        <v>21</v>
      </c>
      <c r="G7774" t="s">
        <v>22</v>
      </c>
      <c r="H7774" s="1">
        <v>44573</v>
      </c>
    </row>
    <row r="7775" spans="1:8">
      <c r="A7775" t="s">
        <v>15471</v>
      </c>
      <c r="B7775" t="s">
        <v>15472</v>
      </c>
      <c r="C7775" t="s">
        <v>31</v>
      </c>
      <c r="D7775">
        <v>37</v>
      </c>
      <c r="E7775" t="s">
        <v>87</v>
      </c>
      <c r="F7775" t="s">
        <v>88</v>
      </c>
      <c r="G7775" t="s">
        <v>78</v>
      </c>
      <c r="H7775" s="1">
        <v>44783</v>
      </c>
    </row>
    <row r="7776" spans="1:8">
      <c r="A7776" t="s">
        <v>15473</v>
      </c>
      <c r="B7776" t="s">
        <v>15474</v>
      </c>
      <c r="C7776" t="s">
        <v>31</v>
      </c>
      <c r="D7776">
        <v>62</v>
      </c>
      <c r="E7776" t="s">
        <v>76</v>
      </c>
      <c r="F7776" t="s">
        <v>77</v>
      </c>
      <c r="G7776" t="s">
        <v>78</v>
      </c>
      <c r="H7776" s="1">
        <v>44667</v>
      </c>
    </row>
    <row r="7777" spans="1:8">
      <c r="A7777" t="s">
        <v>15475</v>
      </c>
      <c r="B7777" t="s">
        <v>15476</v>
      </c>
      <c r="C7777" t="s">
        <v>31</v>
      </c>
      <c r="D7777">
        <v>43</v>
      </c>
      <c r="E7777" t="s">
        <v>60</v>
      </c>
      <c r="F7777" t="s">
        <v>21</v>
      </c>
      <c r="G7777" t="s">
        <v>22</v>
      </c>
      <c r="H7777" s="1">
        <v>45592</v>
      </c>
    </row>
    <row r="7778" spans="1:8">
      <c r="A7778" t="s">
        <v>15477</v>
      </c>
      <c r="B7778" t="s">
        <v>15478</v>
      </c>
      <c r="C7778" t="s">
        <v>10</v>
      </c>
      <c r="D7778">
        <v>62</v>
      </c>
      <c r="E7778" t="s">
        <v>37</v>
      </c>
      <c r="F7778" t="s">
        <v>38</v>
      </c>
      <c r="G7778" t="s">
        <v>22</v>
      </c>
      <c r="H7778" s="1">
        <v>45675</v>
      </c>
    </row>
    <row r="7779" spans="1:8">
      <c r="A7779" t="s">
        <v>15479</v>
      </c>
      <c r="B7779" t="s">
        <v>15480</v>
      </c>
      <c r="C7779" t="s">
        <v>10</v>
      </c>
      <c r="D7779">
        <v>33</v>
      </c>
      <c r="E7779" t="s">
        <v>149</v>
      </c>
      <c r="F7779" t="s">
        <v>38</v>
      </c>
      <c r="G7779" t="s">
        <v>22</v>
      </c>
      <c r="H7779" s="1">
        <v>44944</v>
      </c>
    </row>
    <row r="7780" spans="1:8">
      <c r="A7780" t="s">
        <v>15481</v>
      </c>
      <c r="B7780" t="s">
        <v>15482</v>
      </c>
      <c r="C7780" t="s">
        <v>31</v>
      </c>
      <c r="D7780">
        <v>56</v>
      </c>
      <c r="E7780" t="s">
        <v>69</v>
      </c>
      <c r="F7780" t="s">
        <v>69</v>
      </c>
      <c r="G7780" t="s">
        <v>12</v>
      </c>
      <c r="H7780" s="1">
        <v>45930</v>
      </c>
    </row>
    <row r="7781" spans="1:8">
      <c r="A7781" t="s">
        <v>15483</v>
      </c>
      <c r="B7781" t="s">
        <v>15484</v>
      </c>
      <c r="C7781" t="s">
        <v>31</v>
      </c>
      <c r="D7781">
        <v>62</v>
      </c>
      <c r="E7781" t="s">
        <v>112</v>
      </c>
      <c r="F7781" t="s">
        <v>113</v>
      </c>
      <c r="G7781" t="s">
        <v>78</v>
      </c>
      <c r="H7781" s="1">
        <v>45201</v>
      </c>
    </row>
    <row r="7782" spans="1:8">
      <c r="A7782" t="s">
        <v>15485</v>
      </c>
      <c r="B7782" t="s">
        <v>15486</v>
      </c>
      <c r="C7782" t="s">
        <v>10</v>
      </c>
      <c r="D7782">
        <v>68</v>
      </c>
      <c r="E7782" t="s">
        <v>11</v>
      </c>
      <c r="F7782" t="s">
        <v>11</v>
      </c>
      <c r="G7782" t="s">
        <v>12</v>
      </c>
      <c r="H7782" s="1">
        <v>45203</v>
      </c>
    </row>
    <row r="7783" spans="1:8">
      <c r="A7783" t="s">
        <v>15487</v>
      </c>
      <c r="B7783" t="s">
        <v>15488</v>
      </c>
      <c r="C7783" t="s">
        <v>10</v>
      </c>
      <c r="D7783">
        <v>24</v>
      </c>
      <c r="E7783" t="s">
        <v>15</v>
      </c>
      <c r="F7783" t="s">
        <v>16</v>
      </c>
      <c r="G7783" t="s">
        <v>17</v>
      </c>
      <c r="H7783" s="1">
        <v>45708</v>
      </c>
    </row>
    <row r="7784" spans="1:8">
      <c r="A7784" t="s">
        <v>15489</v>
      </c>
      <c r="B7784" t="s">
        <v>15490</v>
      </c>
      <c r="C7784" t="s">
        <v>31</v>
      </c>
      <c r="D7784">
        <v>26</v>
      </c>
      <c r="E7784" t="s">
        <v>15</v>
      </c>
      <c r="F7784" t="s">
        <v>16</v>
      </c>
      <c r="G7784" t="s">
        <v>17</v>
      </c>
      <c r="H7784" s="1">
        <v>45621</v>
      </c>
    </row>
    <row r="7785" spans="1:8">
      <c r="A7785" t="s">
        <v>15491</v>
      </c>
      <c r="B7785" t="s">
        <v>15492</v>
      </c>
      <c r="C7785" t="s">
        <v>10</v>
      </c>
      <c r="D7785">
        <v>33</v>
      </c>
      <c r="E7785" t="s">
        <v>45</v>
      </c>
      <c r="F7785" t="s">
        <v>46</v>
      </c>
      <c r="G7785" t="s">
        <v>17</v>
      </c>
      <c r="H7785" s="1">
        <v>45386</v>
      </c>
    </row>
    <row r="7786" spans="1:8">
      <c r="A7786" t="s">
        <v>15493</v>
      </c>
      <c r="B7786" t="s">
        <v>15494</v>
      </c>
      <c r="C7786" t="s">
        <v>10</v>
      </c>
      <c r="D7786">
        <v>64</v>
      </c>
      <c r="E7786" t="s">
        <v>218</v>
      </c>
      <c r="F7786" t="s">
        <v>219</v>
      </c>
      <c r="G7786" t="s">
        <v>17</v>
      </c>
      <c r="H7786" s="1">
        <v>45075</v>
      </c>
    </row>
    <row r="7787" spans="1:8">
      <c r="A7787" t="s">
        <v>15495</v>
      </c>
      <c r="B7787" t="s">
        <v>15496</v>
      </c>
      <c r="C7787" t="s">
        <v>10</v>
      </c>
      <c r="D7787">
        <v>43</v>
      </c>
      <c r="E7787" t="s">
        <v>45</v>
      </c>
      <c r="F7787" t="s">
        <v>46</v>
      </c>
      <c r="G7787" t="s">
        <v>17</v>
      </c>
      <c r="H7787" s="1">
        <v>45370</v>
      </c>
    </row>
    <row r="7788" spans="1:8">
      <c r="A7788" t="s">
        <v>15497</v>
      </c>
      <c r="B7788" t="s">
        <v>15498</v>
      </c>
      <c r="C7788" t="s">
        <v>10</v>
      </c>
      <c r="D7788">
        <v>67</v>
      </c>
      <c r="E7788" t="s">
        <v>20</v>
      </c>
      <c r="F7788" t="s">
        <v>21</v>
      </c>
      <c r="G7788" t="s">
        <v>22</v>
      </c>
      <c r="H7788" s="1">
        <v>45851</v>
      </c>
    </row>
    <row r="7789" spans="1:8">
      <c r="A7789" t="s">
        <v>15499</v>
      </c>
      <c r="B7789" t="s">
        <v>15500</v>
      </c>
      <c r="C7789" t="s">
        <v>10</v>
      </c>
      <c r="D7789">
        <v>66</v>
      </c>
      <c r="E7789" t="s">
        <v>34</v>
      </c>
      <c r="F7789" t="s">
        <v>16</v>
      </c>
      <c r="G7789" t="s">
        <v>17</v>
      </c>
      <c r="H7789" s="1">
        <v>45203</v>
      </c>
    </row>
    <row r="7790" spans="1:8">
      <c r="A7790" t="s">
        <v>15501</v>
      </c>
      <c r="B7790" t="s">
        <v>15502</v>
      </c>
      <c r="C7790" t="s">
        <v>31</v>
      </c>
      <c r="D7790">
        <v>46</v>
      </c>
      <c r="E7790" t="s">
        <v>76</v>
      </c>
      <c r="F7790" t="s">
        <v>77</v>
      </c>
      <c r="G7790" t="s">
        <v>78</v>
      </c>
      <c r="H7790" s="1">
        <v>45057</v>
      </c>
    </row>
    <row r="7791" spans="1:8">
      <c r="A7791" t="s">
        <v>15503</v>
      </c>
      <c r="B7791" t="s">
        <v>15504</v>
      </c>
      <c r="C7791" t="s">
        <v>31</v>
      </c>
      <c r="D7791">
        <v>19</v>
      </c>
      <c r="E7791" t="s">
        <v>69</v>
      </c>
      <c r="F7791" t="s">
        <v>69</v>
      </c>
      <c r="G7791" t="s">
        <v>12</v>
      </c>
      <c r="H7791" s="1">
        <v>45532</v>
      </c>
    </row>
    <row r="7792" spans="1:8">
      <c r="A7792" t="s">
        <v>15505</v>
      </c>
      <c r="B7792" t="s">
        <v>15506</v>
      </c>
      <c r="C7792" t="s">
        <v>10</v>
      </c>
      <c r="D7792">
        <v>59</v>
      </c>
      <c r="E7792" t="s">
        <v>101</v>
      </c>
      <c r="F7792" t="s">
        <v>21</v>
      </c>
      <c r="G7792" t="s">
        <v>22</v>
      </c>
      <c r="H7792" s="1">
        <v>45829</v>
      </c>
    </row>
    <row r="7793" spans="1:8">
      <c r="A7793" t="s">
        <v>15507</v>
      </c>
      <c r="B7793" t="s">
        <v>15508</v>
      </c>
      <c r="C7793" t="s">
        <v>31</v>
      </c>
      <c r="D7793">
        <v>58</v>
      </c>
      <c r="E7793" t="s">
        <v>128</v>
      </c>
      <c r="F7793" t="s">
        <v>129</v>
      </c>
      <c r="G7793" t="s">
        <v>78</v>
      </c>
      <c r="H7793" s="1">
        <v>45658</v>
      </c>
    </row>
    <row r="7794" spans="1:8">
      <c r="A7794" t="s">
        <v>15509</v>
      </c>
      <c r="B7794" t="s">
        <v>15510</v>
      </c>
      <c r="C7794" t="s">
        <v>31</v>
      </c>
      <c r="D7794">
        <v>48</v>
      </c>
      <c r="E7794" t="s">
        <v>69</v>
      </c>
      <c r="F7794" t="s">
        <v>69</v>
      </c>
      <c r="G7794" t="s">
        <v>12</v>
      </c>
      <c r="H7794" s="1">
        <v>46012</v>
      </c>
    </row>
    <row r="7795" spans="1:8">
      <c r="A7795" t="s">
        <v>15511</v>
      </c>
      <c r="B7795" t="s">
        <v>15512</v>
      </c>
      <c r="C7795" t="s">
        <v>31</v>
      </c>
      <c r="D7795">
        <v>49</v>
      </c>
      <c r="E7795" t="s">
        <v>60</v>
      </c>
      <c r="F7795" t="s">
        <v>21</v>
      </c>
      <c r="G7795" t="s">
        <v>22</v>
      </c>
      <c r="H7795" s="1">
        <v>45997</v>
      </c>
    </row>
    <row r="7796" spans="1:8">
      <c r="A7796" t="s">
        <v>15513</v>
      </c>
      <c r="B7796" t="s">
        <v>15514</v>
      </c>
      <c r="C7796" t="s">
        <v>31</v>
      </c>
      <c r="D7796">
        <v>59</v>
      </c>
      <c r="E7796" t="s">
        <v>87</v>
      </c>
      <c r="F7796" t="s">
        <v>88</v>
      </c>
      <c r="G7796" t="s">
        <v>78</v>
      </c>
      <c r="H7796" s="1">
        <v>44643</v>
      </c>
    </row>
    <row r="7797" spans="1:8">
      <c r="A7797" t="s">
        <v>15515</v>
      </c>
      <c r="B7797" t="s">
        <v>15516</v>
      </c>
      <c r="C7797" t="s">
        <v>10</v>
      </c>
      <c r="D7797">
        <v>19</v>
      </c>
      <c r="E7797" t="s">
        <v>37</v>
      </c>
      <c r="F7797" t="s">
        <v>38</v>
      </c>
      <c r="G7797" t="s">
        <v>22</v>
      </c>
      <c r="H7797" s="1">
        <v>45971</v>
      </c>
    </row>
    <row r="7798" spans="1:8">
      <c r="A7798" t="s">
        <v>15517</v>
      </c>
      <c r="B7798" t="s">
        <v>15518</v>
      </c>
      <c r="C7798" t="s">
        <v>10</v>
      </c>
      <c r="D7798">
        <v>68</v>
      </c>
      <c r="E7798" t="s">
        <v>49</v>
      </c>
      <c r="F7798" t="s">
        <v>16</v>
      </c>
      <c r="G7798" t="s">
        <v>17</v>
      </c>
      <c r="H7798" s="1">
        <v>45993</v>
      </c>
    </row>
    <row r="7799" spans="1:8">
      <c r="A7799" t="s">
        <v>15519</v>
      </c>
      <c r="B7799" t="s">
        <v>15520</v>
      </c>
      <c r="C7799" t="s">
        <v>31</v>
      </c>
      <c r="D7799">
        <v>27</v>
      </c>
      <c r="E7799" t="s">
        <v>20</v>
      </c>
      <c r="F7799" t="s">
        <v>21</v>
      </c>
      <c r="G7799" t="s">
        <v>22</v>
      </c>
      <c r="H7799" s="1">
        <v>44600</v>
      </c>
    </row>
    <row r="7800" spans="1:8">
      <c r="A7800" t="s">
        <v>15521</v>
      </c>
      <c r="B7800" t="s">
        <v>15522</v>
      </c>
      <c r="C7800" t="s">
        <v>31</v>
      </c>
      <c r="D7800">
        <v>35</v>
      </c>
      <c r="E7800" t="s">
        <v>41</v>
      </c>
      <c r="F7800" t="s">
        <v>42</v>
      </c>
      <c r="G7800" t="s">
        <v>17</v>
      </c>
      <c r="H7800" s="1">
        <v>44843</v>
      </c>
    </row>
    <row r="7801" spans="1:8">
      <c r="A7801" t="s">
        <v>15523</v>
      </c>
      <c r="B7801" t="s">
        <v>15524</v>
      </c>
      <c r="C7801" t="s">
        <v>10</v>
      </c>
      <c r="D7801">
        <v>45</v>
      </c>
      <c r="E7801" t="s">
        <v>45</v>
      </c>
      <c r="F7801" t="s">
        <v>46</v>
      </c>
      <c r="G7801" t="s">
        <v>17</v>
      </c>
      <c r="H7801" s="1">
        <v>45154</v>
      </c>
    </row>
    <row r="7802" spans="1:8">
      <c r="A7802" t="s">
        <v>15525</v>
      </c>
      <c r="B7802" t="s">
        <v>15526</v>
      </c>
      <c r="C7802" t="s">
        <v>10</v>
      </c>
      <c r="D7802">
        <v>55</v>
      </c>
      <c r="E7802" t="s">
        <v>27</v>
      </c>
      <c r="F7802" t="s">
        <v>28</v>
      </c>
      <c r="G7802" t="s">
        <v>12</v>
      </c>
      <c r="H7802" s="1">
        <v>45775</v>
      </c>
    </row>
    <row r="7803" spans="1:8">
      <c r="A7803" t="s">
        <v>15527</v>
      </c>
      <c r="B7803" t="s">
        <v>15528</v>
      </c>
      <c r="C7803" t="s">
        <v>10</v>
      </c>
      <c r="D7803">
        <v>55</v>
      </c>
      <c r="E7803" t="s">
        <v>41</v>
      </c>
      <c r="F7803" t="s">
        <v>42</v>
      </c>
      <c r="G7803" t="s">
        <v>17</v>
      </c>
      <c r="H7803" s="1">
        <v>46015</v>
      </c>
    </row>
    <row r="7804" spans="1:8">
      <c r="A7804" t="s">
        <v>15529</v>
      </c>
      <c r="B7804" t="s">
        <v>15530</v>
      </c>
      <c r="C7804" t="s">
        <v>10</v>
      </c>
      <c r="D7804">
        <v>69</v>
      </c>
      <c r="E7804" t="s">
        <v>101</v>
      </c>
      <c r="F7804" t="s">
        <v>21</v>
      </c>
      <c r="G7804" t="s">
        <v>22</v>
      </c>
      <c r="H7804" s="1">
        <v>45011</v>
      </c>
    </row>
    <row r="7805" spans="1:8">
      <c r="A7805" t="s">
        <v>15531</v>
      </c>
      <c r="B7805" t="s">
        <v>15532</v>
      </c>
      <c r="C7805" t="s">
        <v>10</v>
      </c>
      <c r="D7805">
        <v>42</v>
      </c>
      <c r="E7805" t="s">
        <v>60</v>
      </c>
      <c r="F7805" t="s">
        <v>21</v>
      </c>
      <c r="G7805" t="s">
        <v>22</v>
      </c>
      <c r="H7805" s="1">
        <v>45742</v>
      </c>
    </row>
    <row r="7806" spans="1:8">
      <c r="A7806" t="s">
        <v>15533</v>
      </c>
      <c r="B7806" t="s">
        <v>15534</v>
      </c>
      <c r="C7806" t="s">
        <v>31</v>
      </c>
      <c r="D7806">
        <v>51</v>
      </c>
      <c r="E7806" t="s">
        <v>63</v>
      </c>
      <c r="F7806" t="s">
        <v>64</v>
      </c>
      <c r="G7806" t="s">
        <v>12</v>
      </c>
      <c r="H7806" s="1">
        <v>45502</v>
      </c>
    </row>
    <row r="7807" spans="1:8">
      <c r="A7807" t="s">
        <v>15535</v>
      </c>
      <c r="B7807" t="s">
        <v>15536</v>
      </c>
      <c r="C7807" t="s">
        <v>10</v>
      </c>
      <c r="D7807">
        <v>59</v>
      </c>
      <c r="E7807" t="s">
        <v>15</v>
      </c>
      <c r="F7807" t="s">
        <v>16</v>
      </c>
      <c r="G7807" t="s">
        <v>17</v>
      </c>
      <c r="H7807" s="1">
        <v>45123</v>
      </c>
    </row>
    <row r="7808" spans="1:8">
      <c r="A7808" t="s">
        <v>15537</v>
      </c>
      <c r="B7808" t="s">
        <v>15538</v>
      </c>
      <c r="C7808" t="s">
        <v>10</v>
      </c>
      <c r="D7808">
        <v>23</v>
      </c>
      <c r="E7808" t="s">
        <v>91</v>
      </c>
      <c r="F7808" t="s">
        <v>92</v>
      </c>
      <c r="G7808" t="s">
        <v>78</v>
      </c>
      <c r="H7808" s="1">
        <v>45497</v>
      </c>
    </row>
    <row r="7809" spans="1:8">
      <c r="A7809" t="s">
        <v>15539</v>
      </c>
      <c r="B7809" t="s">
        <v>15540</v>
      </c>
      <c r="C7809" t="s">
        <v>10</v>
      </c>
      <c r="D7809">
        <v>22</v>
      </c>
      <c r="E7809" t="s">
        <v>60</v>
      </c>
      <c r="F7809" t="s">
        <v>21</v>
      </c>
      <c r="G7809" t="s">
        <v>22</v>
      </c>
      <c r="H7809" s="1">
        <v>45314</v>
      </c>
    </row>
    <row r="7810" spans="1:8">
      <c r="A7810" t="s">
        <v>15541</v>
      </c>
      <c r="B7810" t="s">
        <v>15542</v>
      </c>
      <c r="C7810" t="s">
        <v>10</v>
      </c>
      <c r="D7810">
        <v>61</v>
      </c>
      <c r="E7810" t="s">
        <v>112</v>
      </c>
      <c r="F7810" t="s">
        <v>113</v>
      </c>
      <c r="G7810" t="s">
        <v>78</v>
      </c>
      <c r="H7810" s="1">
        <v>45958</v>
      </c>
    </row>
    <row r="7811" spans="1:8">
      <c r="A7811" t="s">
        <v>15543</v>
      </c>
      <c r="B7811" t="s">
        <v>15544</v>
      </c>
      <c r="C7811" t="s">
        <v>10</v>
      </c>
      <c r="D7811">
        <v>37</v>
      </c>
      <c r="E7811" t="s">
        <v>34</v>
      </c>
      <c r="F7811" t="s">
        <v>16</v>
      </c>
      <c r="G7811" t="s">
        <v>17</v>
      </c>
      <c r="H7811" s="1">
        <v>45214</v>
      </c>
    </row>
    <row r="7812" spans="1:8">
      <c r="A7812" t="s">
        <v>15545</v>
      </c>
      <c r="B7812" t="s">
        <v>15546</v>
      </c>
      <c r="C7812" t="s">
        <v>10</v>
      </c>
      <c r="D7812">
        <v>70</v>
      </c>
      <c r="E7812" t="s">
        <v>11</v>
      </c>
      <c r="F7812" t="s">
        <v>11</v>
      </c>
      <c r="G7812" t="s">
        <v>12</v>
      </c>
      <c r="H7812" s="1">
        <v>45270</v>
      </c>
    </row>
    <row r="7813" spans="1:8">
      <c r="A7813" t="s">
        <v>15547</v>
      </c>
      <c r="B7813" t="s">
        <v>15548</v>
      </c>
      <c r="C7813" t="s">
        <v>31</v>
      </c>
      <c r="D7813">
        <v>41</v>
      </c>
      <c r="E7813" t="s">
        <v>20</v>
      </c>
      <c r="F7813" t="s">
        <v>21</v>
      </c>
      <c r="G7813" t="s">
        <v>22</v>
      </c>
      <c r="H7813" s="1">
        <v>45577</v>
      </c>
    </row>
    <row r="7814" spans="1:8">
      <c r="A7814" t="s">
        <v>15549</v>
      </c>
      <c r="B7814" t="s">
        <v>15550</v>
      </c>
      <c r="C7814" t="s">
        <v>31</v>
      </c>
      <c r="D7814">
        <v>54</v>
      </c>
      <c r="E7814" t="s">
        <v>218</v>
      </c>
      <c r="F7814" t="s">
        <v>219</v>
      </c>
      <c r="G7814" t="s">
        <v>17</v>
      </c>
      <c r="H7814" s="1">
        <v>45691</v>
      </c>
    </row>
    <row r="7815" spans="1:8">
      <c r="A7815" t="s">
        <v>15551</v>
      </c>
      <c r="B7815" t="s">
        <v>15552</v>
      </c>
      <c r="C7815" t="s">
        <v>31</v>
      </c>
      <c r="D7815">
        <v>30</v>
      </c>
      <c r="E7815" t="s">
        <v>218</v>
      </c>
      <c r="F7815" t="s">
        <v>219</v>
      </c>
      <c r="G7815" t="s">
        <v>17</v>
      </c>
      <c r="H7815" s="1">
        <v>45810</v>
      </c>
    </row>
    <row r="7816" spans="1:8">
      <c r="A7816" t="s">
        <v>15553</v>
      </c>
      <c r="B7816" t="s">
        <v>3414</v>
      </c>
      <c r="C7816" t="s">
        <v>31</v>
      </c>
      <c r="D7816">
        <v>63</v>
      </c>
      <c r="E7816" t="s">
        <v>69</v>
      </c>
      <c r="F7816" t="s">
        <v>69</v>
      </c>
      <c r="G7816" t="s">
        <v>12</v>
      </c>
      <c r="H7816" s="1">
        <v>45335</v>
      </c>
    </row>
    <row r="7817" spans="1:8">
      <c r="A7817" t="s">
        <v>15554</v>
      </c>
      <c r="B7817" t="s">
        <v>15555</v>
      </c>
      <c r="C7817" t="s">
        <v>10</v>
      </c>
      <c r="D7817">
        <v>52</v>
      </c>
      <c r="E7817" t="s">
        <v>76</v>
      </c>
      <c r="F7817" t="s">
        <v>77</v>
      </c>
      <c r="G7817" t="s">
        <v>78</v>
      </c>
      <c r="H7817" s="1">
        <v>44706</v>
      </c>
    </row>
    <row r="7818" spans="1:8">
      <c r="A7818" t="s">
        <v>15556</v>
      </c>
      <c r="B7818" t="s">
        <v>15557</v>
      </c>
      <c r="C7818" t="s">
        <v>31</v>
      </c>
      <c r="D7818">
        <v>22</v>
      </c>
      <c r="E7818" t="s">
        <v>91</v>
      </c>
      <c r="F7818" t="s">
        <v>92</v>
      </c>
      <c r="G7818" t="s">
        <v>78</v>
      </c>
      <c r="H7818" s="1">
        <v>45747</v>
      </c>
    </row>
    <row r="7819" spans="1:8">
      <c r="A7819" t="s">
        <v>15558</v>
      </c>
      <c r="B7819" t="s">
        <v>15559</v>
      </c>
      <c r="C7819" t="s">
        <v>31</v>
      </c>
      <c r="D7819">
        <v>65</v>
      </c>
      <c r="E7819" t="s">
        <v>134</v>
      </c>
      <c r="F7819" t="s">
        <v>28</v>
      </c>
      <c r="G7819" t="s">
        <v>12</v>
      </c>
      <c r="H7819" s="1">
        <v>45693</v>
      </c>
    </row>
    <row r="7820" spans="1:8">
      <c r="A7820" t="s">
        <v>15560</v>
      </c>
      <c r="B7820" t="s">
        <v>15561</v>
      </c>
      <c r="C7820" t="s">
        <v>31</v>
      </c>
      <c r="D7820">
        <v>55</v>
      </c>
      <c r="E7820" t="s">
        <v>101</v>
      </c>
      <c r="F7820" t="s">
        <v>21</v>
      </c>
      <c r="G7820" t="s">
        <v>22</v>
      </c>
      <c r="H7820" s="1">
        <v>44895</v>
      </c>
    </row>
    <row r="7821" spans="1:8">
      <c r="A7821" t="s">
        <v>15562</v>
      </c>
      <c r="B7821" t="s">
        <v>15563</v>
      </c>
      <c r="C7821" t="s">
        <v>10</v>
      </c>
      <c r="D7821">
        <v>63</v>
      </c>
      <c r="E7821" t="s">
        <v>20</v>
      </c>
      <c r="F7821" t="s">
        <v>21</v>
      </c>
      <c r="G7821" t="s">
        <v>22</v>
      </c>
      <c r="H7821" s="1">
        <v>44963</v>
      </c>
    </row>
    <row r="7822" spans="1:8">
      <c r="A7822" t="s">
        <v>15564</v>
      </c>
      <c r="B7822" t="s">
        <v>15565</v>
      </c>
      <c r="C7822" t="s">
        <v>10</v>
      </c>
      <c r="D7822">
        <v>40</v>
      </c>
      <c r="E7822" t="s">
        <v>45</v>
      </c>
      <c r="F7822" t="s">
        <v>46</v>
      </c>
      <c r="G7822" t="s">
        <v>17</v>
      </c>
      <c r="H7822" s="1">
        <v>45816</v>
      </c>
    </row>
    <row r="7823" spans="1:8">
      <c r="A7823" t="s">
        <v>15566</v>
      </c>
      <c r="B7823" t="s">
        <v>15567</v>
      </c>
      <c r="C7823" t="s">
        <v>10</v>
      </c>
      <c r="D7823">
        <v>60</v>
      </c>
      <c r="E7823" t="s">
        <v>218</v>
      </c>
      <c r="F7823" t="s">
        <v>219</v>
      </c>
      <c r="G7823" t="s">
        <v>17</v>
      </c>
      <c r="H7823" s="1">
        <v>45408</v>
      </c>
    </row>
    <row r="7824" spans="1:8">
      <c r="A7824" t="s">
        <v>15568</v>
      </c>
      <c r="B7824" t="s">
        <v>15569</v>
      </c>
      <c r="C7824" t="s">
        <v>10</v>
      </c>
      <c r="D7824">
        <v>19</v>
      </c>
      <c r="E7824" t="s">
        <v>11</v>
      </c>
      <c r="F7824" t="s">
        <v>11</v>
      </c>
      <c r="G7824" t="s">
        <v>12</v>
      </c>
      <c r="H7824" s="1">
        <v>46003</v>
      </c>
    </row>
    <row r="7825" spans="1:8">
      <c r="A7825" t="s">
        <v>15570</v>
      </c>
      <c r="B7825" t="s">
        <v>15571</v>
      </c>
      <c r="C7825" t="s">
        <v>31</v>
      </c>
      <c r="D7825">
        <v>24</v>
      </c>
      <c r="E7825" t="s">
        <v>69</v>
      </c>
      <c r="F7825" t="s">
        <v>69</v>
      </c>
      <c r="G7825" t="s">
        <v>12</v>
      </c>
      <c r="H7825" s="1">
        <v>45194</v>
      </c>
    </row>
    <row r="7826" spans="1:8">
      <c r="A7826" t="s">
        <v>15572</v>
      </c>
      <c r="B7826" t="s">
        <v>15573</v>
      </c>
      <c r="C7826" t="s">
        <v>31</v>
      </c>
      <c r="D7826">
        <v>66</v>
      </c>
      <c r="E7826" t="s">
        <v>69</v>
      </c>
      <c r="F7826" t="s">
        <v>69</v>
      </c>
      <c r="G7826" t="s">
        <v>12</v>
      </c>
      <c r="H7826" s="1">
        <v>45031</v>
      </c>
    </row>
    <row r="7827" spans="1:8">
      <c r="A7827" t="s">
        <v>15574</v>
      </c>
      <c r="B7827" t="s">
        <v>15575</v>
      </c>
      <c r="C7827" t="s">
        <v>31</v>
      </c>
      <c r="D7827">
        <v>64</v>
      </c>
      <c r="E7827" t="s">
        <v>60</v>
      </c>
      <c r="F7827" t="s">
        <v>21</v>
      </c>
      <c r="G7827" t="s">
        <v>22</v>
      </c>
      <c r="H7827" s="1">
        <v>44582</v>
      </c>
    </row>
    <row r="7828" spans="1:8">
      <c r="A7828" t="s">
        <v>15576</v>
      </c>
      <c r="B7828" t="s">
        <v>15577</v>
      </c>
      <c r="C7828" t="s">
        <v>10</v>
      </c>
      <c r="D7828">
        <v>49</v>
      </c>
      <c r="E7828" t="s">
        <v>15</v>
      </c>
      <c r="F7828" t="s">
        <v>16</v>
      </c>
      <c r="G7828" t="s">
        <v>17</v>
      </c>
      <c r="H7828" s="1">
        <v>45568</v>
      </c>
    </row>
    <row r="7829" spans="1:8">
      <c r="A7829" t="s">
        <v>15578</v>
      </c>
      <c r="B7829" t="s">
        <v>15579</v>
      </c>
      <c r="C7829" t="s">
        <v>10</v>
      </c>
      <c r="D7829">
        <v>34</v>
      </c>
      <c r="E7829" t="s">
        <v>76</v>
      </c>
      <c r="F7829" t="s">
        <v>77</v>
      </c>
      <c r="G7829" t="s">
        <v>78</v>
      </c>
      <c r="H7829" s="1">
        <v>44850</v>
      </c>
    </row>
    <row r="7830" spans="1:8">
      <c r="A7830" t="s">
        <v>15580</v>
      </c>
      <c r="B7830" t="s">
        <v>15581</v>
      </c>
      <c r="C7830" t="s">
        <v>31</v>
      </c>
      <c r="D7830">
        <v>20</v>
      </c>
      <c r="E7830" t="s">
        <v>41</v>
      </c>
      <c r="F7830" t="s">
        <v>42</v>
      </c>
      <c r="G7830" t="s">
        <v>17</v>
      </c>
      <c r="H7830" s="1">
        <v>45590</v>
      </c>
    </row>
    <row r="7831" spans="1:8">
      <c r="A7831" t="s">
        <v>15582</v>
      </c>
      <c r="B7831" t="s">
        <v>15583</v>
      </c>
      <c r="C7831" t="s">
        <v>10</v>
      </c>
      <c r="D7831">
        <v>31</v>
      </c>
      <c r="E7831" t="s">
        <v>76</v>
      </c>
      <c r="F7831" t="s">
        <v>77</v>
      </c>
      <c r="G7831" t="s">
        <v>78</v>
      </c>
      <c r="H7831" s="1">
        <v>45951</v>
      </c>
    </row>
    <row r="7832" spans="1:8">
      <c r="A7832" t="s">
        <v>15584</v>
      </c>
      <c r="B7832" t="s">
        <v>15585</v>
      </c>
      <c r="C7832" t="s">
        <v>10</v>
      </c>
      <c r="D7832">
        <v>51</v>
      </c>
      <c r="E7832" t="s">
        <v>27</v>
      </c>
      <c r="F7832" t="s">
        <v>28</v>
      </c>
      <c r="G7832" t="s">
        <v>12</v>
      </c>
      <c r="H7832" s="1">
        <v>44791</v>
      </c>
    </row>
    <row r="7833" spans="1:8">
      <c r="A7833" t="s">
        <v>15586</v>
      </c>
      <c r="B7833" t="s">
        <v>15587</v>
      </c>
      <c r="C7833" t="s">
        <v>10</v>
      </c>
      <c r="D7833">
        <v>40</v>
      </c>
      <c r="E7833" t="s">
        <v>15</v>
      </c>
      <c r="F7833" t="s">
        <v>16</v>
      </c>
      <c r="G7833" t="s">
        <v>17</v>
      </c>
      <c r="H7833" s="1">
        <v>45639</v>
      </c>
    </row>
    <row r="7834" spans="1:8">
      <c r="A7834" t="s">
        <v>15588</v>
      </c>
      <c r="B7834" t="s">
        <v>15589</v>
      </c>
      <c r="C7834" t="s">
        <v>31</v>
      </c>
      <c r="D7834">
        <v>65</v>
      </c>
      <c r="E7834" t="s">
        <v>91</v>
      </c>
      <c r="F7834" t="s">
        <v>92</v>
      </c>
      <c r="G7834" t="s">
        <v>78</v>
      </c>
      <c r="H7834" s="1">
        <v>45943</v>
      </c>
    </row>
    <row r="7835" spans="1:8">
      <c r="A7835" t="s">
        <v>15590</v>
      </c>
      <c r="B7835" t="s">
        <v>15591</v>
      </c>
      <c r="C7835" t="s">
        <v>10</v>
      </c>
      <c r="D7835">
        <v>22</v>
      </c>
      <c r="E7835" t="s">
        <v>134</v>
      </c>
      <c r="F7835" t="s">
        <v>28</v>
      </c>
      <c r="G7835" t="s">
        <v>12</v>
      </c>
      <c r="H7835" s="1">
        <v>44846</v>
      </c>
    </row>
    <row r="7836" spans="1:8">
      <c r="A7836" t="s">
        <v>15592</v>
      </c>
      <c r="B7836" t="s">
        <v>15593</v>
      </c>
      <c r="C7836" t="s">
        <v>31</v>
      </c>
      <c r="D7836">
        <v>33</v>
      </c>
      <c r="E7836" t="s">
        <v>112</v>
      </c>
      <c r="F7836" t="s">
        <v>113</v>
      </c>
      <c r="G7836" t="s">
        <v>78</v>
      </c>
      <c r="H7836" s="1">
        <v>45211</v>
      </c>
    </row>
    <row r="7837" spans="1:8">
      <c r="A7837" t="s">
        <v>15594</v>
      </c>
      <c r="B7837" t="s">
        <v>15595</v>
      </c>
      <c r="C7837" t="s">
        <v>10</v>
      </c>
      <c r="D7837">
        <v>23</v>
      </c>
      <c r="E7837" t="s">
        <v>69</v>
      </c>
      <c r="F7837" t="s">
        <v>69</v>
      </c>
      <c r="G7837" t="s">
        <v>12</v>
      </c>
      <c r="H7837" s="1">
        <v>45007</v>
      </c>
    </row>
    <row r="7838" spans="1:8">
      <c r="A7838" t="s">
        <v>15596</v>
      </c>
      <c r="B7838" t="s">
        <v>15597</v>
      </c>
      <c r="C7838" t="s">
        <v>10</v>
      </c>
      <c r="D7838">
        <v>19</v>
      </c>
      <c r="E7838" t="s">
        <v>101</v>
      </c>
      <c r="F7838" t="s">
        <v>21</v>
      </c>
      <c r="G7838" t="s">
        <v>22</v>
      </c>
      <c r="H7838" s="1">
        <v>45050</v>
      </c>
    </row>
    <row r="7839" spans="1:8">
      <c r="A7839" t="s">
        <v>15598</v>
      </c>
      <c r="B7839" t="s">
        <v>15599</v>
      </c>
      <c r="C7839" t="s">
        <v>10</v>
      </c>
      <c r="D7839">
        <v>33</v>
      </c>
      <c r="E7839" t="s">
        <v>128</v>
      </c>
      <c r="F7839" t="s">
        <v>129</v>
      </c>
      <c r="G7839" t="s">
        <v>78</v>
      </c>
      <c r="H7839" s="1">
        <v>45386</v>
      </c>
    </row>
    <row r="7840" spans="1:8">
      <c r="A7840" t="s">
        <v>15600</v>
      </c>
      <c r="B7840" t="s">
        <v>15601</v>
      </c>
      <c r="C7840" t="s">
        <v>31</v>
      </c>
      <c r="D7840">
        <v>61</v>
      </c>
      <c r="E7840" t="s">
        <v>41</v>
      </c>
      <c r="F7840" t="s">
        <v>42</v>
      </c>
      <c r="G7840" t="s">
        <v>17</v>
      </c>
      <c r="H7840" s="1">
        <v>45246</v>
      </c>
    </row>
    <row r="7841" spans="1:8">
      <c r="A7841" t="s">
        <v>15602</v>
      </c>
      <c r="B7841" t="s">
        <v>15603</v>
      </c>
      <c r="C7841" t="s">
        <v>10</v>
      </c>
      <c r="D7841">
        <v>50</v>
      </c>
      <c r="E7841" t="s">
        <v>87</v>
      </c>
      <c r="F7841" t="s">
        <v>88</v>
      </c>
      <c r="G7841" t="s">
        <v>78</v>
      </c>
      <c r="H7841" s="1">
        <v>45043</v>
      </c>
    </row>
    <row r="7842" spans="1:8">
      <c r="A7842" t="s">
        <v>15604</v>
      </c>
      <c r="B7842" t="s">
        <v>15605</v>
      </c>
      <c r="C7842" t="s">
        <v>31</v>
      </c>
      <c r="D7842">
        <v>37</v>
      </c>
      <c r="E7842" t="s">
        <v>63</v>
      </c>
      <c r="F7842" t="s">
        <v>64</v>
      </c>
      <c r="G7842" t="s">
        <v>12</v>
      </c>
      <c r="H7842" s="1">
        <v>46005</v>
      </c>
    </row>
    <row r="7843" spans="1:8">
      <c r="A7843" t="s">
        <v>15606</v>
      </c>
      <c r="B7843" t="s">
        <v>15607</v>
      </c>
      <c r="C7843" t="s">
        <v>10</v>
      </c>
      <c r="D7843">
        <v>20</v>
      </c>
      <c r="E7843" t="s">
        <v>37</v>
      </c>
      <c r="F7843" t="s">
        <v>38</v>
      </c>
      <c r="G7843" t="s">
        <v>22</v>
      </c>
      <c r="H7843" s="1">
        <v>44751</v>
      </c>
    </row>
    <row r="7844" spans="1:8">
      <c r="A7844" t="s">
        <v>15608</v>
      </c>
      <c r="B7844" t="s">
        <v>15609</v>
      </c>
      <c r="C7844" t="s">
        <v>31</v>
      </c>
      <c r="D7844">
        <v>22</v>
      </c>
      <c r="E7844" t="s">
        <v>218</v>
      </c>
      <c r="F7844" t="s">
        <v>219</v>
      </c>
      <c r="G7844" t="s">
        <v>17</v>
      </c>
      <c r="H7844" s="1">
        <v>44875</v>
      </c>
    </row>
    <row r="7845" spans="1:8">
      <c r="A7845" t="s">
        <v>15610</v>
      </c>
      <c r="B7845" t="s">
        <v>15611</v>
      </c>
      <c r="C7845" t="s">
        <v>10</v>
      </c>
      <c r="D7845">
        <v>46</v>
      </c>
      <c r="E7845" t="s">
        <v>11</v>
      </c>
      <c r="F7845" t="s">
        <v>11</v>
      </c>
      <c r="G7845" t="s">
        <v>12</v>
      </c>
      <c r="H7845" s="1">
        <v>45676</v>
      </c>
    </row>
    <row r="7846" spans="1:8">
      <c r="A7846" t="s">
        <v>15612</v>
      </c>
      <c r="B7846" t="s">
        <v>15613</v>
      </c>
      <c r="C7846" t="s">
        <v>31</v>
      </c>
      <c r="D7846">
        <v>22</v>
      </c>
      <c r="E7846" t="s">
        <v>218</v>
      </c>
      <c r="F7846" t="s">
        <v>219</v>
      </c>
      <c r="G7846" t="s">
        <v>17</v>
      </c>
      <c r="H7846" s="1">
        <v>45098</v>
      </c>
    </row>
    <row r="7847" spans="1:8">
      <c r="A7847" t="s">
        <v>15614</v>
      </c>
      <c r="B7847" t="s">
        <v>15615</v>
      </c>
      <c r="C7847" t="s">
        <v>31</v>
      </c>
      <c r="D7847">
        <v>59</v>
      </c>
      <c r="E7847" t="s">
        <v>60</v>
      </c>
      <c r="F7847" t="s">
        <v>21</v>
      </c>
      <c r="G7847" t="s">
        <v>22</v>
      </c>
      <c r="H7847" s="1">
        <v>45525</v>
      </c>
    </row>
    <row r="7848" spans="1:8">
      <c r="A7848" t="s">
        <v>15616</v>
      </c>
      <c r="B7848" t="s">
        <v>15617</v>
      </c>
      <c r="C7848" t="s">
        <v>10</v>
      </c>
      <c r="D7848">
        <v>36</v>
      </c>
      <c r="E7848" t="s">
        <v>63</v>
      </c>
      <c r="F7848" t="s">
        <v>64</v>
      </c>
      <c r="G7848" t="s">
        <v>12</v>
      </c>
      <c r="H7848" s="1">
        <v>44938</v>
      </c>
    </row>
    <row r="7849" spans="1:8">
      <c r="A7849" t="s">
        <v>15618</v>
      </c>
      <c r="B7849" t="s">
        <v>15619</v>
      </c>
      <c r="C7849" t="s">
        <v>10</v>
      </c>
      <c r="D7849">
        <v>31</v>
      </c>
      <c r="E7849" t="s">
        <v>60</v>
      </c>
      <c r="F7849" t="s">
        <v>21</v>
      </c>
      <c r="G7849" t="s">
        <v>22</v>
      </c>
      <c r="H7849" s="1">
        <v>45541</v>
      </c>
    </row>
    <row r="7850" spans="1:8">
      <c r="A7850" t="s">
        <v>15620</v>
      </c>
      <c r="B7850" t="s">
        <v>15621</v>
      </c>
      <c r="C7850" t="s">
        <v>10</v>
      </c>
      <c r="D7850">
        <v>59</v>
      </c>
      <c r="E7850" t="s">
        <v>11</v>
      </c>
      <c r="F7850" t="s">
        <v>11</v>
      </c>
      <c r="G7850" t="s">
        <v>12</v>
      </c>
      <c r="H7850" s="1">
        <v>45135</v>
      </c>
    </row>
    <row r="7851" spans="1:8">
      <c r="A7851" t="s">
        <v>15622</v>
      </c>
      <c r="B7851" t="s">
        <v>15623</v>
      </c>
      <c r="C7851" t="s">
        <v>10</v>
      </c>
      <c r="D7851">
        <v>64</v>
      </c>
      <c r="E7851" t="s">
        <v>149</v>
      </c>
      <c r="F7851" t="s">
        <v>38</v>
      </c>
      <c r="G7851" t="s">
        <v>22</v>
      </c>
      <c r="H7851" s="1">
        <v>45085</v>
      </c>
    </row>
    <row r="7852" spans="1:8">
      <c r="A7852" t="s">
        <v>15624</v>
      </c>
      <c r="B7852" t="s">
        <v>6192</v>
      </c>
      <c r="C7852" t="s">
        <v>10</v>
      </c>
      <c r="D7852">
        <v>20</v>
      </c>
      <c r="E7852" t="s">
        <v>45</v>
      </c>
      <c r="F7852" t="s">
        <v>46</v>
      </c>
      <c r="G7852" t="s">
        <v>17</v>
      </c>
      <c r="H7852" s="1">
        <v>44827</v>
      </c>
    </row>
    <row r="7853" spans="1:8">
      <c r="A7853" t="s">
        <v>15625</v>
      </c>
      <c r="B7853" t="s">
        <v>15626</v>
      </c>
      <c r="C7853" t="s">
        <v>10</v>
      </c>
      <c r="D7853">
        <v>36</v>
      </c>
      <c r="E7853" t="s">
        <v>20</v>
      </c>
      <c r="F7853" t="s">
        <v>21</v>
      </c>
      <c r="G7853" t="s">
        <v>22</v>
      </c>
      <c r="H7853" s="1">
        <v>44654</v>
      </c>
    </row>
    <row r="7854" spans="1:8">
      <c r="A7854" t="s">
        <v>15627</v>
      </c>
      <c r="B7854" t="s">
        <v>15628</v>
      </c>
      <c r="C7854" t="s">
        <v>10</v>
      </c>
      <c r="D7854">
        <v>58</v>
      </c>
      <c r="E7854" t="s">
        <v>87</v>
      </c>
      <c r="F7854" t="s">
        <v>88</v>
      </c>
      <c r="G7854" t="s">
        <v>78</v>
      </c>
      <c r="H7854" s="1">
        <v>44696</v>
      </c>
    </row>
    <row r="7855" spans="1:8">
      <c r="A7855" t="s">
        <v>15629</v>
      </c>
      <c r="B7855" t="s">
        <v>15630</v>
      </c>
      <c r="C7855" t="s">
        <v>10</v>
      </c>
      <c r="D7855">
        <v>39</v>
      </c>
      <c r="E7855" t="s">
        <v>34</v>
      </c>
      <c r="F7855" t="s">
        <v>16</v>
      </c>
      <c r="G7855" t="s">
        <v>17</v>
      </c>
      <c r="H7855" s="1">
        <v>44811</v>
      </c>
    </row>
    <row r="7856" spans="1:8">
      <c r="A7856" t="s">
        <v>15631</v>
      </c>
      <c r="B7856" t="s">
        <v>15632</v>
      </c>
      <c r="C7856" t="s">
        <v>31</v>
      </c>
      <c r="D7856">
        <v>26</v>
      </c>
      <c r="E7856" t="s">
        <v>149</v>
      </c>
      <c r="F7856" t="s">
        <v>38</v>
      </c>
      <c r="G7856" t="s">
        <v>22</v>
      </c>
      <c r="H7856" s="1">
        <v>45731</v>
      </c>
    </row>
    <row r="7857" spans="1:8">
      <c r="A7857" t="s">
        <v>15633</v>
      </c>
      <c r="B7857" t="s">
        <v>15634</v>
      </c>
      <c r="C7857" t="s">
        <v>10</v>
      </c>
      <c r="D7857">
        <v>61</v>
      </c>
      <c r="E7857" t="s">
        <v>41</v>
      </c>
      <c r="F7857" t="s">
        <v>42</v>
      </c>
      <c r="G7857" t="s">
        <v>17</v>
      </c>
      <c r="H7857" s="1">
        <v>44862</v>
      </c>
    </row>
    <row r="7858" spans="1:8">
      <c r="A7858" t="s">
        <v>15635</v>
      </c>
      <c r="B7858" t="s">
        <v>15636</v>
      </c>
      <c r="C7858" t="s">
        <v>31</v>
      </c>
      <c r="D7858">
        <v>26</v>
      </c>
      <c r="E7858" t="s">
        <v>45</v>
      </c>
      <c r="F7858" t="s">
        <v>46</v>
      </c>
      <c r="G7858" t="s">
        <v>17</v>
      </c>
      <c r="H7858" s="1">
        <v>45428</v>
      </c>
    </row>
    <row r="7859" spans="1:8">
      <c r="A7859" t="s">
        <v>15637</v>
      </c>
      <c r="B7859" t="s">
        <v>15638</v>
      </c>
      <c r="C7859" t="s">
        <v>10</v>
      </c>
      <c r="D7859">
        <v>63</v>
      </c>
      <c r="E7859" t="s">
        <v>69</v>
      </c>
      <c r="F7859" t="s">
        <v>69</v>
      </c>
      <c r="G7859" t="s">
        <v>12</v>
      </c>
      <c r="H7859" s="1">
        <v>45335</v>
      </c>
    </row>
    <row r="7860" spans="1:8">
      <c r="A7860" t="s">
        <v>15639</v>
      </c>
      <c r="B7860" t="s">
        <v>15640</v>
      </c>
      <c r="C7860" t="s">
        <v>31</v>
      </c>
      <c r="D7860">
        <v>63</v>
      </c>
      <c r="E7860" t="s">
        <v>60</v>
      </c>
      <c r="F7860" t="s">
        <v>21</v>
      </c>
      <c r="G7860" t="s">
        <v>22</v>
      </c>
      <c r="H7860" s="1">
        <v>45707</v>
      </c>
    </row>
    <row r="7861" spans="1:8">
      <c r="A7861" t="s">
        <v>15641</v>
      </c>
      <c r="B7861" t="s">
        <v>15642</v>
      </c>
      <c r="C7861" t="s">
        <v>31</v>
      </c>
      <c r="D7861">
        <v>48</v>
      </c>
      <c r="E7861" t="s">
        <v>149</v>
      </c>
      <c r="F7861" t="s">
        <v>38</v>
      </c>
      <c r="G7861" t="s">
        <v>22</v>
      </c>
      <c r="H7861" s="1">
        <v>45567</v>
      </c>
    </row>
    <row r="7862" spans="1:8">
      <c r="A7862" t="s">
        <v>15643</v>
      </c>
      <c r="B7862" t="s">
        <v>15644</v>
      </c>
      <c r="C7862" t="s">
        <v>10</v>
      </c>
      <c r="D7862">
        <v>50</v>
      </c>
      <c r="E7862" t="s">
        <v>134</v>
      </c>
      <c r="F7862" t="s">
        <v>28</v>
      </c>
      <c r="G7862" t="s">
        <v>12</v>
      </c>
      <c r="H7862" s="1">
        <v>44692</v>
      </c>
    </row>
    <row r="7863" spans="1:8">
      <c r="A7863" t="s">
        <v>15645</v>
      </c>
      <c r="B7863" t="s">
        <v>15646</v>
      </c>
      <c r="C7863" t="s">
        <v>10</v>
      </c>
      <c r="D7863">
        <v>56</v>
      </c>
      <c r="E7863" t="s">
        <v>20</v>
      </c>
      <c r="F7863" t="s">
        <v>21</v>
      </c>
      <c r="G7863" t="s">
        <v>22</v>
      </c>
      <c r="H7863" s="1">
        <v>44825</v>
      </c>
    </row>
    <row r="7864" spans="1:8">
      <c r="A7864" t="s">
        <v>15647</v>
      </c>
      <c r="B7864" t="s">
        <v>15648</v>
      </c>
      <c r="C7864" t="s">
        <v>10</v>
      </c>
      <c r="D7864">
        <v>57</v>
      </c>
      <c r="E7864" t="s">
        <v>60</v>
      </c>
      <c r="F7864" t="s">
        <v>21</v>
      </c>
      <c r="G7864" t="s">
        <v>22</v>
      </c>
      <c r="H7864" s="1">
        <v>45737</v>
      </c>
    </row>
    <row r="7865" spans="1:8">
      <c r="A7865" t="s">
        <v>15649</v>
      </c>
      <c r="B7865" t="s">
        <v>15650</v>
      </c>
      <c r="C7865" t="s">
        <v>31</v>
      </c>
      <c r="D7865">
        <v>50</v>
      </c>
      <c r="E7865" t="s">
        <v>101</v>
      </c>
      <c r="F7865" t="s">
        <v>21</v>
      </c>
      <c r="G7865" t="s">
        <v>22</v>
      </c>
      <c r="H7865" s="1">
        <v>44647</v>
      </c>
    </row>
    <row r="7866" spans="1:8">
      <c r="A7866" t="s">
        <v>15651</v>
      </c>
      <c r="B7866" t="s">
        <v>15652</v>
      </c>
      <c r="C7866" t="s">
        <v>31</v>
      </c>
      <c r="D7866">
        <v>25</v>
      </c>
      <c r="E7866" t="s">
        <v>20</v>
      </c>
      <c r="F7866" t="s">
        <v>21</v>
      </c>
      <c r="G7866" t="s">
        <v>22</v>
      </c>
      <c r="H7866" s="1">
        <v>45125</v>
      </c>
    </row>
    <row r="7867" spans="1:8">
      <c r="A7867" t="s">
        <v>15653</v>
      </c>
      <c r="B7867" t="s">
        <v>15654</v>
      </c>
      <c r="C7867" t="s">
        <v>31</v>
      </c>
      <c r="D7867">
        <v>50</v>
      </c>
      <c r="E7867" t="s">
        <v>134</v>
      </c>
      <c r="F7867" t="s">
        <v>28</v>
      </c>
      <c r="G7867" t="s">
        <v>12</v>
      </c>
      <c r="H7867" s="1">
        <v>45261</v>
      </c>
    </row>
    <row r="7868" spans="1:8">
      <c r="A7868" t="s">
        <v>15655</v>
      </c>
      <c r="B7868" t="s">
        <v>15656</v>
      </c>
      <c r="C7868" t="s">
        <v>31</v>
      </c>
      <c r="D7868">
        <v>64</v>
      </c>
      <c r="E7868" t="s">
        <v>11</v>
      </c>
      <c r="F7868" t="s">
        <v>11</v>
      </c>
      <c r="G7868" t="s">
        <v>12</v>
      </c>
      <c r="H7868" s="1">
        <v>45883</v>
      </c>
    </row>
    <row r="7869" spans="1:8">
      <c r="A7869" t="s">
        <v>15657</v>
      </c>
      <c r="B7869" t="s">
        <v>15658</v>
      </c>
      <c r="C7869" t="s">
        <v>10</v>
      </c>
      <c r="D7869">
        <v>49</v>
      </c>
      <c r="E7869" t="s">
        <v>15</v>
      </c>
      <c r="F7869" t="s">
        <v>16</v>
      </c>
      <c r="G7869" t="s">
        <v>17</v>
      </c>
      <c r="H7869" s="1">
        <v>45664</v>
      </c>
    </row>
    <row r="7870" spans="1:8">
      <c r="A7870" t="s">
        <v>15659</v>
      </c>
      <c r="B7870" t="s">
        <v>15660</v>
      </c>
      <c r="C7870" t="s">
        <v>31</v>
      </c>
      <c r="D7870">
        <v>67</v>
      </c>
      <c r="E7870" t="s">
        <v>128</v>
      </c>
      <c r="F7870" t="s">
        <v>129</v>
      </c>
      <c r="G7870" t="s">
        <v>78</v>
      </c>
      <c r="H7870" s="1">
        <v>45908</v>
      </c>
    </row>
    <row r="7871" spans="1:8">
      <c r="A7871" t="s">
        <v>15661</v>
      </c>
      <c r="B7871" t="s">
        <v>15662</v>
      </c>
      <c r="C7871" t="s">
        <v>10</v>
      </c>
      <c r="D7871">
        <v>40</v>
      </c>
      <c r="E7871" t="s">
        <v>20</v>
      </c>
      <c r="F7871" t="s">
        <v>21</v>
      </c>
      <c r="G7871" t="s">
        <v>22</v>
      </c>
      <c r="H7871" s="1">
        <v>45069</v>
      </c>
    </row>
    <row r="7872" spans="1:8">
      <c r="A7872" t="s">
        <v>15663</v>
      </c>
      <c r="B7872" t="s">
        <v>15664</v>
      </c>
      <c r="C7872" t="s">
        <v>31</v>
      </c>
      <c r="D7872">
        <v>57</v>
      </c>
      <c r="E7872" t="s">
        <v>91</v>
      </c>
      <c r="F7872" t="s">
        <v>92</v>
      </c>
      <c r="G7872" t="s">
        <v>78</v>
      </c>
      <c r="H7872" s="1">
        <v>45606</v>
      </c>
    </row>
    <row r="7873" spans="1:8">
      <c r="A7873" t="s">
        <v>15665</v>
      </c>
      <c r="B7873" t="s">
        <v>15666</v>
      </c>
      <c r="C7873" t="s">
        <v>31</v>
      </c>
      <c r="D7873">
        <v>33</v>
      </c>
      <c r="E7873" t="s">
        <v>218</v>
      </c>
      <c r="F7873" t="s">
        <v>219</v>
      </c>
      <c r="G7873" t="s">
        <v>17</v>
      </c>
      <c r="H7873" s="1">
        <v>44779</v>
      </c>
    </row>
    <row r="7874" spans="1:8">
      <c r="A7874" t="s">
        <v>15667</v>
      </c>
      <c r="B7874" t="s">
        <v>15668</v>
      </c>
      <c r="C7874" t="s">
        <v>31</v>
      </c>
      <c r="D7874">
        <v>35</v>
      </c>
      <c r="E7874" t="s">
        <v>63</v>
      </c>
      <c r="F7874" t="s">
        <v>64</v>
      </c>
      <c r="G7874" t="s">
        <v>12</v>
      </c>
      <c r="H7874" s="1">
        <v>44629</v>
      </c>
    </row>
    <row r="7875" spans="1:8">
      <c r="A7875" t="s">
        <v>15669</v>
      </c>
      <c r="B7875" t="s">
        <v>15670</v>
      </c>
      <c r="C7875" t="s">
        <v>10</v>
      </c>
      <c r="D7875">
        <v>55</v>
      </c>
      <c r="E7875" t="s">
        <v>128</v>
      </c>
      <c r="F7875" t="s">
        <v>129</v>
      </c>
      <c r="G7875" t="s">
        <v>78</v>
      </c>
      <c r="H7875" s="1">
        <v>44953</v>
      </c>
    </row>
    <row r="7876" spans="1:8">
      <c r="A7876" t="s">
        <v>15671</v>
      </c>
      <c r="B7876" t="s">
        <v>15672</v>
      </c>
      <c r="C7876" t="s">
        <v>31</v>
      </c>
      <c r="D7876">
        <v>34</v>
      </c>
      <c r="E7876" t="s">
        <v>15</v>
      </c>
      <c r="F7876" t="s">
        <v>16</v>
      </c>
      <c r="G7876" t="s">
        <v>17</v>
      </c>
      <c r="H7876" s="1">
        <v>45942</v>
      </c>
    </row>
    <row r="7877" spans="1:8">
      <c r="A7877" t="s">
        <v>15673</v>
      </c>
      <c r="B7877" t="s">
        <v>15674</v>
      </c>
      <c r="C7877" t="s">
        <v>31</v>
      </c>
      <c r="D7877">
        <v>44</v>
      </c>
      <c r="E7877" t="s">
        <v>41</v>
      </c>
      <c r="F7877" t="s">
        <v>42</v>
      </c>
      <c r="G7877" t="s">
        <v>17</v>
      </c>
      <c r="H7877" s="1">
        <v>45028</v>
      </c>
    </row>
    <row r="7878" spans="1:8">
      <c r="A7878" t="s">
        <v>15675</v>
      </c>
      <c r="B7878" t="s">
        <v>15676</v>
      </c>
      <c r="C7878" t="s">
        <v>10</v>
      </c>
      <c r="D7878">
        <v>65</v>
      </c>
      <c r="E7878" t="s">
        <v>87</v>
      </c>
      <c r="F7878" t="s">
        <v>88</v>
      </c>
      <c r="G7878" t="s">
        <v>78</v>
      </c>
      <c r="H7878" s="1">
        <v>44849</v>
      </c>
    </row>
    <row r="7879" spans="1:8">
      <c r="A7879" t="s">
        <v>15677</v>
      </c>
      <c r="B7879" t="s">
        <v>15678</v>
      </c>
      <c r="C7879" t="s">
        <v>10</v>
      </c>
      <c r="D7879">
        <v>47</v>
      </c>
      <c r="E7879" t="s">
        <v>20</v>
      </c>
      <c r="F7879" t="s">
        <v>21</v>
      </c>
      <c r="G7879" t="s">
        <v>22</v>
      </c>
      <c r="H7879" s="1">
        <v>45289</v>
      </c>
    </row>
    <row r="7880" spans="1:8">
      <c r="A7880" t="s">
        <v>15679</v>
      </c>
      <c r="B7880" t="s">
        <v>15680</v>
      </c>
      <c r="C7880" t="s">
        <v>10</v>
      </c>
      <c r="D7880">
        <v>61</v>
      </c>
      <c r="E7880" t="s">
        <v>37</v>
      </c>
      <c r="F7880" t="s">
        <v>38</v>
      </c>
      <c r="G7880" t="s">
        <v>22</v>
      </c>
      <c r="H7880" s="1">
        <v>44942</v>
      </c>
    </row>
    <row r="7881" spans="1:8">
      <c r="A7881" t="s">
        <v>15681</v>
      </c>
      <c r="B7881" t="s">
        <v>15682</v>
      </c>
      <c r="C7881" t="s">
        <v>31</v>
      </c>
      <c r="D7881">
        <v>64</v>
      </c>
      <c r="E7881" t="s">
        <v>91</v>
      </c>
      <c r="F7881" t="s">
        <v>92</v>
      </c>
      <c r="G7881" t="s">
        <v>78</v>
      </c>
      <c r="H7881" s="1">
        <v>45959</v>
      </c>
    </row>
    <row r="7882" spans="1:8">
      <c r="A7882" t="s">
        <v>15683</v>
      </c>
      <c r="B7882" t="s">
        <v>15684</v>
      </c>
      <c r="C7882" t="s">
        <v>31</v>
      </c>
      <c r="D7882">
        <v>35</v>
      </c>
      <c r="E7882" t="s">
        <v>101</v>
      </c>
      <c r="F7882" t="s">
        <v>21</v>
      </c>
      <c r="G7882" t="s">
        <v>22</v>
      </c>
      <c r="H7882" s="1">
        <v>45941</v>
      </c>
    </row>
    <row r="7883" spans="1:8">
      <c r="A7883" t="s">
        <v>15685</v>
      </c>
      <c r="B7883" t="s">
        <v>15686</v>
      </c>
      <c r="C7883" t="s">
        <v>31</v>
      </c>
      <c r="D7883">
        <v>47</v>
      </c>
      <c r="E7883" t="s">
        <v>15</v>
      </c>
      <c r="F7883" t="s">
        <v>16</v>
      </c>
      <c r="G7883" t="s">
        <v>17</v>
      </c>
      <c r="H7883" s="1">
        <v>45483</v>
      </c>
    </row>
    <row r="7884" spans="1:8">
      <c r="A7884" t="s">
        <v>15687</v>
      </c>
      <c r="B7884" t="s">
        <v>15688</v>
      </c>
      <c r="C7884" t="s">
        <v>10</v>
      </c>
      <c r="D7884">
        <v>59</v>
      </c>
      <c r="E7884" t="s">
        <v>60</v>
      </c>
      <c r="F7884" t="s">
        <v>21</v>
      </c>
      <c r="G7884" t="s">
        <v>22</v>
      </c>
      <c r="H7884" s="1">
        <v>45638</v>
      </c>
    </row>
    <row r="7885" spans="1:8">
      <c r="A7885" t="s">
        <v>15689</v>
      </c>
      <c r="B7885" t="s">
        <v>15690</v>
      </c>
      <c r="C7885" t="s">
        <v>10</v>
      </c>
      <c r="D7885">
        <v>65</v>
      </c>
      <c r="E7885" t="s">
        <v>63</v>
      </c>
      <c r="F7885" t="s">
        <v>64</v>
      </c>
      <c r="G7885" t="s">
        <v>12</v>
      </c>
      <c r="H7885" s="1">
        <v>44778</v>
      </c>
    </row>
    <row r="7886" spans="1:8">
      <c r="A7886" t="s">
        <v>15691</v>
      </c>
      <c r="B7886" t="s">
        <v>15692</v>
      </c>
      <c r="C7886" t="s">
        <v>10</v>
      </c>
      <c r="D7886">
        <v>35</v>
      </c>
      <c r="E7886" t="s">
        <v>34</v>
      </c>
      <c r="F7886" t="s">
        <v>16</v>
      </c>
      <c r="G7886" t="s">
        <v>17</v>
      </c>
      <c r="H7886" s="1">
        <v>45952</v>
      </c>
    </row>
    <row r="7887" spans="1:8">
      <c r="A7887" t="s">
        <v>15693</v>
      </c>
      <c r="B7887" t="s">
        <v>15694</v>
      </c>
      <c r="C7887" t="s">
        <v>31</v>
      </c>
      <c r="D7887">
        <v>66</v>
      </c>
      <c r="E7887" t="s">
        <v>218</v>
      </c>
      <c r="F7887" t="s">
        <v>219</v>
      </c>
      <c r="G7887" t="s">
        <v>17</v>
      </c>
      <c r="H7887" s="1">
        <v>45197</v>
      </c>
    </row>
    <row r="7888" spans="1:8">
      <c r="A7888" t="s">
        <v>15695</v>
      </c>
      <c r="B7888" t="s">
        <v>15696</v>
      </c>
      <c r="C7888" t="s">
        <v>31</v>
      </c>
      <c r="D7888">
        <v>43</v>
      </c>
      <c r="E7888" t="s">
        <v>87</v>
      </c>
      <c r="F7888" t="s">
        <v>88</v>
      </c>
      <c r="G7888" t="s">
        <v>78</v>
      </c>
      <c r="H7888" s="1">
        <v>44917</v>
      </c>
    </row>
    <row r="7889" spans="1:8">
      <c r="A7889" t="s">
        <v>15697</v>
      </c>
      <c r="B7889" t="s">
        <v>15698</v>
      </c>
      <c r="C7889" t="s">
        <v>31</v>
      </c>
      <c r="D7889">
        <v>52</v>
      </c>
      <c r="E7889" t="s">
        <v>41</v>
      </c>
      <c r="F7889" t="s">
        <v>42</v>
      </c>
      <c r="G7889" t="s">
        <v>17</v>
      </c>
      <c r="H7889" s="1">
        <v>45313</v>
      </c>
    </row>
    <row r="7890" spans="1:8">
      <c r="A7890" t="s">
        <v>15699</v>
      </c>
      <c r="B7890" t="s">
        <v>15700</v>
      </c>
      <c r="C7890" t="s">
        <v>10</v>
      </c>
      <c r="D7890">
        <v>62</v>
      </c>
      <c r="E7890" t="s">
        <v>134</v>
      </c>
      <c r="F7890" t="s">
        <v>28</v>
      </c>
      <c r="G7890" t="s">
        <v>12</v>
      </c>
      <c r="H7890" s="1">
        <v>44756</v>
      </c>
    </row>
    <row r="7891" spans="1:8">
      <c r="A7891" t="s">
        <v>15701</v>
      </c>
      <c r="B7891" t="s">
        <v>15702</v>
      </c>
      <c r="C7891" t="s">
        <v>31</v>
      </c>
      <c r="D7891">
        <v>48</v>
      </c>
      <c r="E7891" t="s">
        <v>128</v>
      </c>
      <c r="F7891" t="s">
        <v>129</v>
      </c>
      <c r="G7891" t="s">
        <v>78</v>
      </c>
      <c r="H7891" s="1">
        <v>45437</v>
      </c>
    </row>
    <row r="7892" spans="1:8">
      <c r="A7892" t="s">
        <v>15703</v>
      </c>
      <c r="B7892" t="s">
        <v>15704</v>
      </c>
      <c r="C7892" t="s">
        <v>31</v>
      </c>
      <c r="D7892">
        <v>27</v>
      </c>
      <c r="E7892" t="s">
        <v>41</v>
      </c>
      <c r="F7892" t="s">
        <v>42</v>
      </c>
      <c r="G7892" t="s">
        <v>17</v>
      </c>
      <c r="H7892" s="1">
        <v>45088</v>
      </c>
    </row>
    <row r="7893" spans="1:8">
      <c r="A7893" t="s">
        <v>15705</v>
      </c>
      <c r="B7893" t="s">
        <v>15706</v>
      </c>
      <c r="C7893" t="s">
        <v>31</v>
      </c>
      <c r="D7893">
        <v>70</v>
      </c>
      <c r="E7893" t="s">
        <v>76</v>
      </c>
      <c r="F7893" t="s">
        <v>77</v>
      </c>
      <c r="G7893" t="s">
        <v>78</v>
      </c>
      <c r="H7893" s="1">
        <v>45160</v>
      </c>
    </row>
    <row r="7894" spans="1:8">
      <c r="A7894" t="s">
        <v>15707</v>
      </c>
      <c r="B7894" t="s">
        <v>15708</v>
      </c>
      <c r="C7894" t="s">
        <v>31</v>
      </c>
      <c r="D7894">
        <v>54</v>
      </c>
      <c r="E7894" t="s">
        <v>112</v>
      </c>
      <c r="F7894" t="s">
        <v>113</v>
      </c>
      <c r="G7894" t="s">
        <v>78</v>
      </c>
      <c r="H7894" s="1">
        <v>44683</v>
      </c>
    </row>
    <row r="7895" spans="1:8">
      <c r="A7895" t="s">
        <v>15709</v>
      </c>
      <c r="B7895" t="s">
        <v>15710</v>
      </c>
      <c r="C7895" t="s">
        <v>10</v>
      </c>
      <c r="D7895">
        <v>69</v>
      </c>
      <c r="E7895" t="s">
        <v>149</v>
      </c>
      <c r="F7895" t="s">
        <v>38</v>
      </c>
      <c r="G7895" t="s">
        <v>22</v>
      </c>
      <c r="H7895" s="1">
        <v>44730</v>
      </c>
    </row>
    <row r="7896" spans="1:8">
      <c r="A7896" t="s">
        <v>15711</v>
      </c>
      <c r="B7896" t="s">
        <v>15712</v>
      </c>
      <c r="C7896" t="s">
        <v>31</v>
      </c>
      <c r="D7896">
        <v>47</v>
      </c>
      <c r="E7896" t="s">
        <v>15</v>
      </c>
      <c r="F7896" t="s">
        <v>16</v>
      </c>
      <c r="G7896" t="s">
        <v>17</v>
      </c>
      <c r="H7896" s="1">
        <v>45590</v>
      </c>
    </row>
    <row r="7897" spans="1:8">
      <c r="A7897" t="s">
        <v>15713</v>
      </c>
      <c r="B7897" t="s">
        <v>15714</v>
      </c>
      <c r="C7897" t="s">
        <v>10</v>
      </c>
      <c r="D7897">
        <v>38</v>
      </c>
      <c r="E7897" t="s">
        <v>63</v>
      </c>
      <c r="F7897" t="s">
        <v>64</v>
      </c>
      <c r="G7897" t="s">
        <v>12</v>
      </c>
      <c r="H7897" s="1">
        <v>45058</v>
      </c>
    </row>
    <row r="7898" spans="1:8">
      <c r="A7898" t="s">
        <v>15715</v>
      </c>
      <c r="B7898" t="s">
        <v>15716</v>
      </c>
      <c r="C7898" t="s">
        <v>31</v>
      </c>
      <c r="D7898">
        <v>60</v>
      </c>
      <c r="E7898" t="s">
        <v>20</v>
      </c>
      <c r="F7898" t="s">
        <v>21</v>
      </c>
      <c r="G7898" t="s">
        <v>22</v>
      </c>
      <c r="H7898" s="1">
        <v>45981</v>
      </c>
    </row>
    <row r="7899" spans="1:8">
      <c r="A7899" t="s">
        <v>15717</v>
      </c>
      <c r="B7899" t="s">
        <v>15718</v>
      </c>
      <c r="C7899" t="s">
        <v>10</v>
      </c>
      <c r="D7899">
        <v>26</v>
      </c>
      <c r="E7899" t="s">
        <v>15</v>
      </c>
      <c r="F7899" t="s">
        <v>16</v>
      </c>
      <c r="G7899" t="s">
        <v>17</v>
      </c>
      <c r="H7899" s="1">
        <v>45511</v>
      </c>
    </row>
    <row r="7900" spans="1:8">
      <c r="A7900" t="s">
        <v>15719</v>
      </c>
      <c r="B7900" t="s">
        <v>15720</v>
      </c>
      <c r="C7900" t="s">
        <v>31</v>
      </c>
      <c r="D7900">
        <v>67</v>
      </c>
      <c r="E7900" t="s">
        <v>149</v>
      </c>
      <c r="F7900" t="s">
        <v>38</v>
      </c>
      <c r="G7900" t="s">
        <v>22</v>
      </c>
      <c r="H7900" s="1">
        <v>45912</v>
      </c>
    </row>
    <row r="7901" spans="1:8">
      <c r="A7901" t="s">
        <v>15721</v>
      </c>
      <c r="B7901" t="s">
        <v>15722</v>
      </c>
      <c r="C7901" t="s">
        <v>31</v>
      </c>
      <c r="D7901">
        <v>56</v>
      </c>
      <c r="E7901" t="s">
        <v>60</v>
      </c>
      <c r="F7901" t="s">
        <v>21</v>
      </c>
      <c r="G7901" t="s">
        <v>22</v>
      </c>
      <c r="H7901" s="1">
        <v>45550</v>
      </c>
    </row>
    <row r="7902" spans="1:8">
      <c r="A7902" t="s">
        <v>15723</v>
      </c>
      <c r="B7902" t="s">
        <v>15724</v>
      </c>
      <c r="C7902" t="s">
        <v>10</v>
      </c>
      <c r="D7902">
        <v>34</v>
      </c>
      <c r="E7902" t="s">
        <v>11</v>
      </c>
      <c r="F7902" t="s">
        <v>11</v>
      </c>
      <c r="G7902" t="s">
        <v>12</v>
      </c>
      <c r="H7902" s="1">
        <v>44999</v>
      </c>
    </row>
    <row r="7903" spans="1:8">
      <c r="A7903" t="s">
        <v>15725</v>
      </c>
      <c r="B7903" t="s">
        <v>15726</v>
      </c>
      <c r="C7903" t="s">
        <v>10</v>
      </c>
      <c r="D7903">
        <v>69</v>
      </c>
      <c r="E7903" t="s">
        <v>63</v>
      </c>
      <c r="F7903" t="s">
        <v>64</v>
      </c>
      <c r="G7903" t="s">
        <v>12</v>
      </c>
      <c r="H7903" s="1">
        <v>45613</v>
      </c>
    </row>
    <row r="7904" spans="1:8">
      <c r="A7904" t="s">
        <v>15727</v>
      </c>
      <c r="B7904" t="s">
        <v>15728</v>
      </c>
      <c r="C7904" t="s">
        <v>10</v>
      </c>
      <c r="D7904">
        <v>34</v>
      </c>
      <c r="E7904" t="s">
        <v>60</v>
      </c>
      <c r="F7904" t="s">
        <v>21</v>
      </c>
      <c r="G7904" t="s">
        <v>22</v>
      </c>
      <c r="H7904" s="1">
        <v>45780</v>
      </c>
    </row>
    <row r="7905" spans="1:8">
      <c r="A7905" t="s">
        <v>15729</v>
      </c>
      <c r="B7905" t="s">
        <v>15730</v>
      </c>
      <c r="C7905" t="s">
        <v>31</v>
      </c>
      <c r="D7905">
        <v>47</v>
      </c>
      <c r="E7905" t="s">
        <v>60</v>
      </c>
      <c r="F7905" t="s">
        <v>21</v>
      </c>
      <c r="G7905" t="s">
        <v>22</v>
      </c>
      <c r="H7905" s="1">
        <v>44891</v>
      </c>
    </row>
    <row r="7906" spans="1:8">
      <c r="A7906" t="s">
        <v>15731</v>
      </c>
      <c r="B7906" t="s">
        <v>15732</v>
      </c>
      <c r="C7906" t="s">
        <v>10</v>
      </c>
      <c r="D7906">
        <v>61</v>
      </c>
      <c r="E7906" t="s">
        <v>218</v>
      </c>
      <c r="F7906" t="s">
        <v>219</v>
      </c>
      <c r="G7906" t="s">
        <v>17</v>
      </c>
      <c r="H7906" s="1">
        <v>44810</v>
      </c>
    </row>
    <row r="7907" spans="1:8">
      <c r="A7907" t="s">
        <v>15733</v>
      </c>
      <c r="B7907" t="s">
        <v>15734</v>
      </c>
      <c r="C7907" t="s">
        <v>31</v>
      </c>
      <c r="D7907">
        <v>67</v>
      </c>
      <c r="E7907" t="s">
        <v>15</v>
      </c>
      <c r="F7907" t="s">
        <v>16</v>
      </c>
      <c r="G7907" t="s">
        <v>17</v>
      </c>
      <c r="H7907" s="1">
        <v>45609</v>
      </c>
    </row>
    <row r="7908" spans="1:8">
      <c r="A7908" t="s">
        <v>15735</v>
      </c>
      <c r="B7908" t="s">
        <v>15736</v>
      </c>
      <c r="C7908" t="s">
        <v>10</v>
      </c>
      <c r="D7908">
        <v>23</v>
      </c>
      <c r="E7908" t="s">
        <v>76</v>
      </c>
      <c r="F7908" t="s">
        <v>77</v>
      </c>
      <c r="G7908" t="s">
        <v>78</v>
      </c>
      <c r="H7908" s="1">
        <v>44840</v>
      </c>
    </row>
    <row r="7909" spans="1:8">
      <c r="A7909" t="s">
        <v>15737</v>
      </c>
      <c r="B7909" t="s">
        <v>15738</v>
      </c>
      <c r="C7909" t="s">
        <v>31</v>
      </c>
      <c r="D7909">
        <v>70</v>
      </c>
      <c r="E7909" t="s">
        <v>134</v>
      </c>
      <c r="F7909" t="s">
        <v>28</v>
      </c>
      <c r="G7909" t="s">
        <v>12</v>
      </c>
      <c r="H7909" s="1">
        <v>45973</v>
      </c>
    </row>
    <row r="7910" spans="1:8">
      <c r="A7910" t="s">
        <v>15739</v>
      </c>
      <c r="B7910" t="s">
        <v>15740</v>
      </c>
      <c r="C7910" t="s">
        <v>10</v>
      </c>
      <c r="D7910">
        <v>47</v>
      </c>
      <c r="E7910" t="s">
        <v>60</v>
      </c>
      <c r="F7910" t="s">
        <v>21</v>
      </c>
      <c r="G7910" t="s">
        <v>22</v>
      </c>
      <c r="H7910" s="1">
        <v>44817</v>
      </c>
    </row>
    <row r="7911" spans="1:8">
      <c r="A7911" t="s">
        <v>15741</v>
      </c>
      <c r="B7911" t="s">
        <v>15742</v>
      </c>
      <c r="C7911" t="s">
        <v>10</v>
      </c>
      <c r="D7911">
        <v>19</v>
      </c>
      <c r="E7911" t="s">
        <v>20</v>
      </c>
      <c r="F7911" t="s">
        <v>21</v>
      </c>
      <c r="G7911" t="s">
        <v>22</v>
      </c>
      <c r="H7911" s="1">
        <v>45534</v>
      </c>
    </row>
    <row r="7912" spans="1:8">
      <c r="A7912" t="s">
        <v>15743</v>
      </c>
      <c r="B7912" t="s">
        <v>15744</v>
      </c>
      <c r="C7912" t="s">
        <v>31</v>
      </c>
      <c r="D7912">
        <v>30</v>
      </c>
      <c r="E7912" t="s">
        <v>34</v>
      </c>
      <c r="F7912" t="s">
        <v>16</v>
      </c>
      <c r="G7912" t="s">
        <v>17</v>
      </c>
      <c r="H7912" s="1">
        <v>45504</v>
      </c>
    </row>
    <row r="7913" spans="1:8">
      <c r="A7913" t="s">
        <v>15745</v>
      </c>
      <c r="B7913" t="s">
        <v>15746</v>
      </c>
      <c r="C7913" t="s">
        <v>31</v>
      </c>
      <c r="D7913">
        <v>69</v>
      </c>
      <c r="E7913" t="s">
        <v>63</v>
      </c>
      <c r="F7913" t="s">
        <v>64</v>
      </c>
      <c r="G7913" t="s">
        <v>12</v>
      </c>
      <c r="H7913" s="1">
        <v>45287</v>
      </c>
    </row>
    <row r="7914" spans="1:8">
      <c r="A7914" t="s">
        <v>15747</v>
      </c>
      <c r="B7914" t="s">
        <v>15748</v>
      </c>
      <c r="C7914" t="s">
        <v>31</v>
      </c>
      <c r="D7914">
        <v>31</v>
      </c>
      <c r="E7914" t="s">
        <v>134</v>
      </c>
      <c r="F7914" t="s">
        <v>28</v>
      </c>
      <c r="G7914" t="s">
        <v>12</v>
      </c>
      <c r="H7914" s="1">
        <v>44620</v>
      </c>
    </row>
    <row r="7915" spans="1:8">
      <c r="A7915" t="s">
        <v>15749</v>
      </c>
      <c r="B7915" t="s">
        <v>15750</v>
      </c>
      <c r="C7915" t="s">
        <v>10</v>
      </c>
      <c r="D7915">
        <v>31</v>
      </c>
      <c r="E7915" t="s">
        <v>37</v>
      </c>
      <c r="F7915" t="s">
        <v>38</v>
      </c>
      <c r="G7915" t="s">
        <v>22</v>
      </c>
      <c r="H7915" s="1">
        <v>44749</v>
      </c>
    </row>
    <row r="7916" spans="1:8">
      <c r="A7916" t="s">
        <v>15751</v>
      </c>
      <c r="B7916" t="s">
        <v>15752</v>
      </c>
      <c r="C7916" t="s">
        <v>10</v>
      </c>
      <c r="D7916">
        <v>58</v>
      </c>
      <c r="E7916" t="s">
        <v>45</v>
      </c>
      <c r="F7916" t="s">
        <v>46</v>
      </c>
      <c r="G7916" t="s">
        <v>17</v>
      </c>
      <c r="H7916" s="1">
        <v>45090</v>
      </c>
    </row>
    <row r="7917" spans="1:8">
      <c r="A7917" t="s">
        <v>15753</v>
      </c>
      <c r="B7917" t="s">
        <v>15754</v>
      </c>
      <c r="C7917" t="s">
        <v>10</v>
      </c>
      <c r="D7917">
        <v>19</v>
      </c>
      <c r="E7917" t="s">
        <v>218</v>
      </c>
      <c r="F7917" t="s">
        <v>219</v>
      </c>
      <c r="G7917" t="s">
        <v>17</v>
      </c>
      <c r="H7917" s="1">
        <v>44617</v>
      </c>
    </row>
    <row r="7918" spans="1:8">
      <c r="A7918" t="s">
        <v>15755</v>
      </c>
      <c r="B7918" t="s">
        <v>15756</v>
      </c>
      <c r="C7918" t="s">
        <v>10</v>
      </c>
      <c r="D7918">
        <v>65</v>
      </c>
      <c r="E7918" t="s">
        <v>149</v>
      </c>
      <c r="F7918" t="s">
        <v>38</v>
      </c>
      <c r="G7918" t="s">
        <v>22</v>
      </c>
      <c r="H7918" s="1">
        <v>44771</v>
      </c>
    </row>
    <row r="7919" spans="1:8">
      <c r="A7919" t="s">
        <v>15757</v>
      </c>
      <c r="B7919" t="s">
        <v>15758</v>
      </c>
      <c r="C7919" t="s">
        <v>10</v>
      </c>
      <c r="D7919">
        <v>68</v>
      </c>
      <c r="E7919" t="s">
        <v>60</v>
      </c>
      <c r="F7919" t="s">
        <v>21</v>
      </c>
      <c r="G7919" t="s">
        <v>22</v>
      </c>
      <c r="H7919" s="1">
        <v>44979</v>
      </c>
    </row>
    <row r="7920" spans="1:8">
      <c r="A7920" t="s">
        <v>15759</v>
      </c>
      <c r="B7920" t="s">
        <v>15760</v>
      </c>
      <c r="C7920" t="s">
        <v>10</v>
      </c>
      <c r="D7920">
        <v>61</v>
      </c>
      <c r="E7920" t="s">
        <v>34</v>
      </c>
      <c r="F7920" t="s">
        <v>16</v>
      </c>
      <c r="G7920" t="s">
        <v>17</v>
      </c>
      <c r="H7920" s="1">
        <v>44923</v>
      </c>
    </row>
    <row r="7921" spans="1:8">
      <c r="A7921" t="s">
        <v>15761</v>
      </c>
      <c r="B7921" t="s">
        <v>15762</v>
      </c>
      <c r="C7921" t="s">
        <v>31</v>
      </c>
      <c r="D7921">
        <v>68</v>
      </c>
      <c r="E7921" t="s">
        <v>101</v>
      </c>
      <c r="F7921" t="s">
        <v>21</v>
      </c>
      <c r="G7921" t="s">
        <v>22</v>
      </c>
      <c r="H7921" s="1">
        <v>45886</v>
      </c>
    </row>
    <row r="7922" spans="1:8">
      <c r="A7922" t="s">
        <v>15763</v>
      </c>
      <c r="B7922" t="s">
        <v>15764</v>
      </c>
      <c r="C7922" t="s">
        <v>10</v>
      </c>
      <c r="D7922">
        <v>53</v>
      </c>
      <c r="E7922" t="s">
        <v>76</v>
      </c>
      <c r="F7922" t="s">
        <v>77</v>
      </c>
      <c r="G7922" t="s">
        <v>78</v>
      </c>
      <c r="H7922" s="1">
        <v>45310</v>
      </c>
    </row>
    <row r="7923" spans="1:8">
      <c r="A7923" t="s">
        <v>15765</v>
      </c>
      <c r="B7923" t="s">
        <v>4790</v>
      </c>
      <c r="C7923" t="s">
        <v>31</v>
      </c>
      <c r="D7923">
        <v>25</v>
      </c>
      <c r="E7923" t="s">
        <v>34</v>
      </c>
      <c r="F7923" t="s">
        <v>16</v>
      </c>
      <c r="G7923" t="s">
        <v>17</v>
      </c>
      <c r="H7923" s="1">
        <v>45209</v>
      </c>
    </row>
    <row r="7924" spans="1:8">
      <c r="A7924" t="s">
        <v>15766</v>
      </c>
      <c r="B7924" t="s">
        <v>15767</v>
      </c>
      <c r="C7924" t="s">
        <v>31</v>
      </c>
      <c r="D7924">
        <v>60</v>
      </c>
      <c r="E7924" t="s">
        <v>41</v>
      </c>
      <c r="F7924" t="s">
        <v>42</v>
      </c>
      <c r="G7924" t="s">
        <v>17</v>
      </c>
      <c r="H7924" s="1">
        <v>44784</v>
      </c>
    </row>
    <row r="7925" spans="1:8">
      <c r="A7925" t="s">
        <v>15768</v>
      </c>
      <c r="B7925" t="s">
        <v>15769</v>
      </c>
      <c r="C7925" t="s">
        <v>31</v>
      </c>
      <c r="D7925">
        <v>35</v>
      </c>
      <c r="E7925" t="s">
        <v>27</v>
      </c>
      <c r="F7925" t="s">
        <v>28</v>
      </c>
      <c r="G7925" t="s">
        <v>12</v>
      </c>
      <c r="H7925" s="1">
        <v>45813</v>
      </c>
    </row>
    <row r="7926" spans="1:8">
      <c r="A7926" t="s">
        <v>15770</v>
      </c>
      <c r="B7926" t="s">
        <v>15771</v>
      </c>
      <c r="C7926" t="s">
        <v>10</v>
      </c>
      <c r="D7926">
        <v>52</v>
      </c>
      <c r="E7926" t="s">
        <v>69</v>
      </c>
      <c r="F7926" t="s">
        <v>69</v>
      </c>
      <c r="G7926" t="s">
        <v>12</v>
      </c>
      <c r="H7926" s="1">
        <v>45999</v>
      </c>
    </row>
    <row r="7927" spans="1:8">
      <c r="A7927" t="s">
        <v>15772</v>
      </c>
      <c r="B7927" t="s">
        <v>15773</v>
      </c>
      <c r="C7927" t="s">
        <v>10</v>
      </c>
      <c r="D7927">
        <v>46</v>
      </c>
      <c r="E7927" t="s">
        <v>45</v>
      </c>
      <c r="F7927" t="s">
        <v>46</v>
      </c>
      <c r="G7927" t="s">
        <v>17</v>
      </c>
      <c r="H7927" s="1">
        <v>45206</v>
      </c>
    </row>
    <row r="7928" spans="1:8">
      <c r="A7928" t="s">
        <v>15774</v>
      </c>
      <c r="B7928" t="s">
        <v>15775</v>
      </c>
      <c r="C7928" t="s">
        <v>10</v>
      </c>
      <c r="D7928">
        <v>43</v>
      </c>
      <c r="E7928" t="s">
        <v>134</v>
      </c>
      <c r="F7928" t="s">
        <v>28</v>
      </c>
      <c r="G7928" t="s">
        <v>12</v>
      </c>
      <c r="H7928" s="1">
        <v>45658</v>
      </c>
    </row>
    <row r="7929" spans="1:8">
      <c r="A7929" t="s">
        <v>15776</v>
      </c>
      <c r="B7929" t="s">
        <v>15777</v>
      </c>
      <c r="C7929" t="s">
        <v>10</v>
      </c>
      <c r="D7929">
        <v>52</v>
      </c>
      <c r="E7929" t="s">
        <v>60</v>
      </c>
      <c r="F7929" t="s">
        <v>21</v>
      </c>
      <c r="G7929" t="s">
        <v>22</v>
      </c>
      <c r="H7929" s="1">
        <v>45317</v>
      </c>
    </row>
    <row r="7930" spans="1:8">
      <c r="A7930" t="s">
        <v>15778</v>
      </c>
      <c r="B7930" t="s">
        <v>15779</v>
      </c>
      <c r="C7930" t="s">
        <v>31</v>
      </c>
      <c r="D7930">
        <v>20</v>
      </c>
      <c r="E7930" t="s">
        <v>218</v>
      </c>
      <c r="F7930" t="s">
        <v>219</v>
      </c>
      <c r="G7930" t="s">
        <v>17</v>
      </c>
      <c r="H7930" s="1">
        <v>45750</v>
      </c>
    </row>
    <row r="7931" spans="1:8">
      <c r="A7931" t="s">
        <v>15780</v>
      </c>
      <c r="B7931" t="s">
        <v>15781</v>
      </c>
      <c r="C7931" t="s">
        <v>10</v>
      </c>
      <c r="D7931">
        <v>40</v>
      </c>
      <c r="E7931" t="s">
        <v>34</v>
      </c>
      <c r="F7931" t="s">
        <v>16</v>
      </c>
      <c r="G7931" t="s">
        <v>17</v>
      </c>
      <c r="H7931" s="1">
        <v>44835</v>
      </c>
    </row>
    <row r="7932" spans="1:8">
      <c r="A7932" t="s">
        <v>15782</v>
      </c>
      <c r="B7932" t="s">
        <v>15783</v>
      </c>
      <c r="C7932" t="s">
        <v>31</v>
      </c>
      <c r="D7932">
        <v>50</v>
      </c>
      <c r="E7932" t="s">
        <v>60</v>
      </c>
      <c r="F7932" t="s">
        <v>21</v>
      </c>
      <c r="G7932" t="s">
        <v>22</v>
      </c>
      <c r="H7932" s="1">
        <v>45033</v>
      </c>
    </row>
    <row r="7933" spans="1:8">
      <c r="A7933" t="s">
        <v>15784</v>
      </c>
      <c r="B7933" t="s">
        <v>15785</v>
      </c>
      <c r="C7933" t="s">
        <v>31</v>
      </c>
      <c r="D7933">
        <v>59</v>
      </c>
      <c r="E7933" t="s">
        <v>34</v>
      </c>
      <c r="F7933" t="s">
        <v>16</v>
      </c>
      <c r="G7933" t="s">
        <v>17</v>
      </c>
      <c r="H7933" s="1">
        <v>45933</v>
      </c>
    </row>
    <row r="7934" spans="1:8">
      <c r="A7934" t="s">
        <v>15786</v>
      </c>
      <c r="B7934" t="s">
        <v>15787</v>
      </c>
      <c r="C7934" t="s">
        <v>31</v>
      </c>
      <c r="D7934">
        <v>19</v>
      </c>
      <c r="E7934" t="s">
        <v>218</v>
      </c>
      <c r="F7934" t="s">
        <v>219</v>
      </c>
      <c r="G7934" t="s">
        <v>17</v>
      </c>
      <c r="H7934" s="1">
        <v>44623</v>
      </c>
    </row>
    <row r="7935" spans="1:8">
      <c r="A7935" t="s">
        <v>15788</v>
      </c>
      <c r="B7935" t="s">
        <v>15789</v>
      </c>
      <c r="C7935" t="s">
        <v>10</v>
      </c>
      <c r="D7935">
        <v>49</v>
      </c>
      <c r="E7935" t="s">
        <v>112</v>
      </c>
      <c r="F7935" t="s">
        <v>113</v>
      </c>
      <c r="G7935" t="s">
        <v>78</v>
      </c>
      <c r="H7935" s="1">
        <v>45209</v>
      </c>
    </row>
    <row r="7936" spans="1:8">
      <c r="A7936" t="s">
        <v>15790</v>
      </c>
      <c r="B7936" t="s">
        <v>15791</v>
      </c>
      <c r="C7936" t="s">
        <v>31</v>
      </c>
      <c r="D7936">
        <v>69</v>
      </c>
      <c r="E7936" t="s">
        <v>27</v>
      </c>
      <c r="F7936" t="s">
        <v>28</v>
      </c>
      <c r="G7936" t="s">
        <v>12</v>
      </c>
      <c r="H7936" s="1">
        <v>44742</v>
      </c>
    </row>
    <row r="7937" spans="1:8">
      <c r="A7937" t="s">
        <v>15792</v>
      </c>
      <c r="B7937" t="s">
        <v>15793</v>
      </c>
      <c r="C7937" t="s">
        <v>10</v>
      </c>
      <c r="D7937">
        <v>40</v>
      </c>
      <c r="E7937" t="s">
        <v>45</v>
      </c>
      <c r="F7937" t="s">
        <v>46</v>
      </c>
      <c r="G7937" t="s">
        <v>17</v>
      </c>
      <c r="H7937" s="1">
        <v>45165</v>
      </c>
    </row>
    <row r="7938" spans="1:8">
      <c r="A7938" t="s">
        <v>15794</v>
      </c>
      <c r="B7938" t="s">
        <v>15795</v>
      </c>
      <c r="C7938" t="s">
        <v>31</v>
      </c>
      <c r="D7938">
        <v>48</v>
      </c>
      <c r="E7938" t="s">
        <v>41</v>
      </c>
      <c r="F7938" t="s">
        <v>42</v>
      </c>
      <c r="G7938" t="s">
        <v>17</v>
      </c>
      <c r="H7938" s="1">
        <v>45570</v>
      </c>
    </row>
    <row r="7939" spans="1:8">
      <c r="A7939" t="s">
        <v>15796</v>
      </c>
      <c r="B7939" t="s">
        <v>15797</v>
      </c>
      <c r="C7939" t="s">
        <v>31</v>
      </c>
      <c r="D7939">
        <v>34</v>
      </c>
      <c r="E7939" t="s">
        <v>45</v>
      </c>
      <c r="F7939" t="s">
        <v>46</v>
      </c>
      <c r="G7939" t="s">
        <v>17</v>
      </c>
      <c r="H7939" s="1">
        <v>45720</v>
      </c>
    </row>
    <row r="7940" spans="1:8">
      <c r="A7940" t="s">
        <v>15798</v>
      </c>
      <c r="B7940" t="s">
        <v>15799</v>
      </c>
      <c r="C7940" t="s">
        <v>31</v>
      </c>
      <c r="D7940">
        <v>45</v>
      </c>
      <c r="E7940" t="s">
        <v>63</v>
      </c>
      <c r="F7940" t="s">
        <v>64</v>
      </c>
      <c r="G7940" t="s">
        <v>12</v>
      </c>
      <c r="H7940" s="1">
        <v>44631</v>
      </c>
    </row>
    <row r="7941" spans="1:8">
      <c r="A7941" t="s">
        <v>15800</v>
      </c>
      <c r="B7941" t="s">
        <v>15801</v>
      </c>
      <c r="C7941" t="s">
        <v>31</v>
      </c>
      <c r="D7941">
        <v>18</v>
      </c>
      <c r="E7941" t="s">
        <v>15</v>
      </c>
      <c r="F7941" t="s">
        <v>16</v>
      </c>
      <c r="G7941" t="s">
        <v>17</v>
      </c>
      <c r="H7941" s="1">
        <v>44661</v>
      </c>
    </row>
    <row r="7942" spans="1:8">
      <c r="A7942" t="s">
        <v>15802</v>
      </c>
      <c r="B7942" t="s">
        <v>15803</v>
      </c>
      <c r="C7942" t="s">
        <v>10</v>
      </c>
      <c r="D7942">
        <v>42</v>
      </c>
      <c r="E7942" t="s">
        <v>60</v>
      </c>
      <c r="F7942" t="s">
        <v>21</v>
      </c>
      <c r="G7942" t="s">
        <v>22</v>
      </c>
      <c r="H7942" s="1">
        <v>45608</v>
      </c>
    </row>
    <row r="7943" spans="1:8">
      <c r="A7943" t="s">
        <v>15804</v>
      </c>
      <c r="B7943" t="s">
        <v>15805</v>
      </c>
      <c r="C7943" t="s">
        <v>31</v>
      </c>
      <c r="D7943">
        <v>41</v>
      </c>
      <c r="E7943" t="s">
        <v>41</v>
      </c>
      <c r="F7943" t="s">
        <v>42</v>
      </c>
      <c r="G7943" t="s">
        <v>17</v>
      </c>
      <c r="H7943" s="1">
        <v>44819</v>
      </c>
    </row>
    <row r="7944" spans="1:8">
      <c r="A7944" t="s">
        <v>15806</v>
      </c>
      <c r="B7944" t="s">
        <v>15807</v>
      </c>
      <c r="C7944" t="s">
        <v>31</v>
      </c>
      <c r="D7944">
        <v>55</v>
      </c>
      <c r="E7944" t="s">
        <v>63</v>
      </c>
      <c r="F7944" t="s">
        <v>64</v>
      </c>
      <c r="G7944" t="s">
        <v>12</v>
      </c>
      <c r="H7944" s="1">
        <v>45579</v>
      </c>
    </row>
    <row r="7945" spans="1:8">
      <c r="A7945" t="s">
        <v>15808</v>
      </c>
      <c r="B7945" t="s">
        <v>15809</v>
      </c>
      <c r="C7945" t="s">
        <v>31</v>
      </c>
      <c r="D7945">
        <v>59</v>
      </c>
      <c r="E7945" t="s">
        <v>218</v>
      </c>
      <c r="F7945" t="s">
        <v>219</v>
      </c>
      <c r="G7945" t="s">
        <v>17</v>
      </c>
      <c r="H7945" s="1">
        <v>45282</v>
      </c>
    </row>
    <row r="7946" spans="1:8">
      <c r="A7946" t="s">
        <v>15810</v>
      </c>
      <c r="B7946" t="s">
        <v>15811</v>
      </c>
      <c r="C7946" t="s">
        <v>10</v>
      </c>
      <c r="D7946">
        <v>26</v>
      </c>
      <c r="E7946" t="s">
        <v>11</v>
      </c>
      <c r="F7946" t="s">
        <v>11</v>
      </c>
      <c r="G7946" t="s">
        <v>12</v>
      </c>
      <c r="H7946" s="1">
        <v>45755</v>
      </c>
    </row>
    <row r="7947" spans="1:8">
      <c r="A7947" t="s">
        <v>15812</v>
      </c>
      <c r="B7947" t="s">
        <v>15813</v>
      </c>
      <c r="C7947" t="s">
        <v>31</v>
      </c>
      <c r="D7947">
        <v>28</v>
      </c>
      <c r="E7947" t="s">
        <v>45</v>
      </c>
      <c r="F7947" t="s">
        <v>46</v>
      </c>
      <c r="G7947" t="s">
        <v>17</v>
      </c>
      <c r="H7947" s="1">
        <v>44611</v>
      </c>
    </row>
    <row r="7948" spans="1:8">
      <c r="A7948" t="s">
        <v>15814</v>
      </c>
      <c r="B7948" t="s">
        <v>15815</v>
      </c>
      <c r="C7948" t="s">
        <v>10</v>
      </c>
      <c r="D7948">
        <v>56</v>
      </c>
      <c r="E7948" t="s">
        <v>91</v>
      </c>
      <c r="F7948" t="s">
        <v>92</v>
      </c>
      <c r="G7948" t="s">
        <v>78</v>
      </c>
      <c r="H7948" s="1">
        <v>45287</v>
      </c>
    </row>
    <row r="7949" spans="1:8">
      <c r="A7949" t="s">
        <v>15816</v>
      </c>
      <c r="B7949" t="s">
        <v>15817</v>
      </c>
      <c r="C7949" t="s">
        <v>10</v>
      </c>
      <c r="D7949">
        <v>54</v>
      </c>
      <c r="E7949" t="s">
        <v>20</v>
      </c>
      <c r="F7949" t="s">
        <v>21</v>
      </c>
      <c r="G7949" t="s">
        <v>22</v>
      </c>
      <c r="H7949" s="1">
        <v>45451</v>
      </c>
    </row>
    <row r="7950" spans="1:8">
      <c r="A7950" t="s">
        <v>15818</v>
      </c>
      <c r="B7950" t="s">
        <v>15819</v>
      </c>
      <c r="C7950" t="s">
        <v>10</v>
      </c>
      <c r="D7950">
        <v>58</v>
      </c>
      <c r="E7950" t="s">
        <v>128</v>
      </c>
      <c r="F7950" t="s">
        <v>129</v>
      </c>
      <c r="G7950" t="s">
        <v>78</v>
      </c>
      <c r="H7950" s="1">
        <v>45017</v>
      </c>
    </row>
    <row r="7951" spans="1:8">
      <c r="A7951" t="s">
        <v>15820</v>
      </c>
      <c r="B7951" t="s">
        <v>15821</v>
      </c>
      <c r="C7951" t="s">
        <v>31</v>
      </c>
      <c r="D7951">
        <v>54</v>
      </c>
      <c r="E7951" t="s">
        <v>69</v>
      </c>
      <c r="F7951" t="s">
        <v>69</v>
      </c>
      <c r="G7951" t="s">
        <v>12</v>
      </c>
      <c r="H7951" s="1">
        <v>44625</v>
      </c>
    </row>
    <row r="7952" spans="1:8">
      <c r="A7952" t="s">
        <v>15822</v>
      </c>
      <c r="B7952" t="s">
        <v>15823</v>
      </c>
      <c r="C7952" t="s">
        <v>10</v>
      </c>
      <c r="D7952">
        <v>63</v>
      </c>
      <c r="E7952" t="s">
        <v>34</v>
      </c>
      <c r="F7952" t="s">
        <v>16</v>
      </c>
      <c r="G7952" t="s">
        <v>17</v>
      </c>
      <c r="H7952" s="1">
        <v>45300</v>
      </c>
    </row>
    <row r="7953" spans="1:8">
      <c r="A7953" t="s">
        <v>15824</v>
      </c>
      <c r="B7953" t="s">
        <v>15825</v>
      </c>
      <c r="C7953" t="s">
        <v>31</v>
      </c>
      <c r="D7953">
        <v>67</v>
      </c>
      <c r="E7953" t="s">
        <v>101</v>
      </c>
      <c r="F7953" t="s">
        <v>21</v>
      </c>
      <c r="G7953" t="s">
        <v>22</v>
      </c>
      <c r="H7953" s="1">
        <v>44816</v>
      </c>
    </row>
    <row r="7954" spans="1:8">
      <c r="A7954" t="s">
        <v>15826</v>
      </c>
      <c r="B7954" t="s">
        <v>15827</v>
      </c>
      <c r="C7954" t="s">
        <v>10</v>
      </c>
      <c r="D7954">
        <v>59</v>
      </c>
      <c r="E7954" t="s">
        <v>34</v>
      </c>
      <c r="F7954" t="s">
        <v>16</v>
      </c>
      <c r="G7954" t="s">
        <v>17</v>
      </c>
      <c r="H7954" s="1">
        <v>45323</v>
      </c>
    </row>
    <row r="7955" spans="1:8">
      <c r="A7955" t="s">
        <v>15828</v>
      </c>
      <c r="B7955" t="s">
        <v>15829</v>
      </c>
      <c r="C7955" t="s">
        <v>10</v>
      </c>
      <c r="D7955">
        <v>61</v>
      </c>
      <c r="E7955" t="s">
        <v>128</v>
      </c>
      <c r="F7955" t="s">
        <v>129</v>
      </c>
      <c r="G7955" t="s">
        <v>78</v>
      </c>
      <c r="H7955" s="1">
        <v>45170</v>
      </c>
    </row>
    <row r="7956" spans="1:8">
      <c r="A7956" t="s">
        <v>15830</v>
      </c>
      <c r="B7956" t="s">
        <v>15831</v>
      </c>
      <c r="C7956" t="s">
        <v>31</v>
      </c>
      <c r="D7956">
        <v>35</v>
      </c>
      <c r="E7956" t="s">
        <v>27</v>
      </c>
      <c r="F7956" t="s">
        <v>28</v>
      </c>
      <c r="G7956" t="s">
        <v>12</v>
      </c>
      <c r="H7956" s="1">
        <v>45649</v>
      </c>
    </row>
    <row r="7957" spans="1:8">
      <c r="A7957" t="s">
        <v>15832</v>
      </c>
      <c r="B7957" t="s">
        <v>15833</v>
      </c>
      <c r="C7957" t="s">
        <v>31</v>
      </c>
      <c r="D7957">
        <v>27</v>
      </c>
      <c r="E7957" t="s">
        <v>112</v>
      </c>
      <c r="F7957" t="s">
        <v>113</v>
      </c>
      <c r="G7957" t="s">
        <v>78</v>
      </c>
      <c r="H7957" s="1">
        <v>45702</v>
      </c>
    </row>
    <row r="7958" spans="1:8">
      <c r="A7958" t="s">
        <v>15834</v>
      </c>
      <c r="B7958" t="s">
        <v>15835</v>
      </c>
      <c r="C7958" t="s">
        <v>10</v>
      </c>
      <c r="D7958">
        <v>68</v>
      </c>
      <c r="E7958" t="s">
        <v>63</v>
      </c>
      <c r="F7958" t="s">
        <v>64</v>
      </c>
      <c r="G7958" t="s">
        <v>12</v>
      </c>
      <c r="H7958" s="1">
        <v>45437</v>
      </c>
    </row>
    <row r="7959" spans="1:8">
      <c r="A7959" t="s">
        <v>15836</v>
      </c>
      <c r="B7959" t="s">
        <v>15837</v>
      </c>
      <c r="C7959" t="s">
        <v>31</v>
      </c>
      <c r="D7959">
        <v>64</v>
      </c>
      <c r="E7959" t="s">
        <v>128</v>
      </c>
      <c r="F7959" t="s">
        <v>129</v>
      </c>
      <c r="G7959" t="s">
        <v>78</v>
      </c>
      <c r="H7959" s="1">
        <v>45103</v>
      </c>
    </row>
    <row r="7960" spans="1:8">
      <c r="A7960" t="s">
        <v>15838</v>
      </c>
      <c r="B7960" t="s">
        <v>15839</v>
      </c>
      <c r="C7960" t="s">
        <v>31</v>
      </c>
      <c r="D7960">
        <v>63</v>
      </c>
      <c r="E7960" t="s">
        <v>45</v>
      </c>
      <c r="F7960" t="s">
        <v>46</v>
      </c>
      <c r="G7960" t="s">
        <v>17</v>
      </c>
      <c r="H7960" s="1">
        <v>45800</v>
      </c>
    </row>
    <row r="7961" spans="1:8">
      <c r="A7961" t="s">
        <v>15840</v>
      </c>
      <c r="B7961" t="s">
        <v>15841</v>
      </c>
      <c r="C7961" t="s">
        <v>10</v>
      </c>
      <c r="D7961">
        <v>29</v>
      </c>
      <c r="E7961" t="s">
        <v>69</v>
      </c>
      <c r="F7961" t="s">
        <v>69</v>
      </c>
      <c r="G7961" t="s">
        <v>12</v>
      </c>
      <c r="H7961" s="1">
        <v>45600</v>
      </c>
    </row>
    <row r="7962" spans="1:8">
      <c r="A7962" t="s">
        <v>15842</v>
      </c>
      <c r="B7962" t="s">
        <v>15843</v>
      </c>
      <c r="C7962" t="s">
        <v>31</v>
      </c>
      <c r="D7962">
        <v>63</v>
      </c>
      <c r="E7962" t="s">
        <v>101</v>
      </c>
      <c r="F7962" t="s">
        <v>21</v>
      </c>
      <c r="G7962" t="s">
        <v>22</v>
      </c>
      <c r="H7962" s="1">
        <v>44785</v>
      </c>
    </row>
    <row r="7963" spans="1:8">
      <c r="A7963" t="s">
        <v>15844</v>
      </c>
      <c r="B7963" t="s">
        <v>6508</v>
      </c>
      <c r="C7963" t="s">
        <v>10</v>
      </c>
      <c r="D7963">
        <v>51</v>
      </c>
      <c r="E7963" t="s">
        <v>76</v>
      </c>
      <c r="F7963" t="s">
        <v>77</v>
      </c>
      <c r="G7963" t="s">
        <v>78</v>
      </c>
      <c r="H7963" s="1">
        <v>45461</v>
      </c>
    </row>
    <row r="7964" spans="1:8">
      <c r="A7964" t="s">
        <v>15845</v>
      </c>
      <c r="B7964" t="s">
        <v>15846</v>
      </c>
      <c r="C7964" t="s">
        <v>31</v>
      </c>
      <c r="D7964">
        <v>19</v>
      </c>
      <c r="E7964" t="s">
        <v>34</v>
      </c>
      <c r="F7964" t="s">
        <v>16</v>
      </c>
      <c r="G7964" t="s">
        <v>17</v>
      </c>
      <c r="H7964" s="1">
        <v>45960</v>
      </c>
    </row>
    <row r="7965" spans="1:8">
      <c r="A7965" t="s">
        <v>15847</v>
      </c>
      <c r="B7965" t="s">
        <v>15848</v>
      </c>
      <c r="C7965" t="s">
        <v>31</v>
      </c>
      <c r="D7965">
        <v>60</v>
      </c>
      <c r="E7965" t="s">
        <v>218</v>
      </c>
      <c r="F7965" t="s">
        <v>219</v>
      </c>
      <c r="G7965" t="s">
        <v>17</v>
      </c>
      <c r="H7965" s="1">
        <v>44989</v>
      </c>
    </row>
    <row r="7966" spans="1:8">
      <c r="A7966" t="s">
        <v>15849</v>
      </c>
      <c r="B7966" t="s">
        <v>15850</v>
      </c>
      <c r="C7966" t="s">
        <v>10</v>
      </c>
      <c r="D7966">
        <v>47</v>
      </c>
      <c r="E7966" t="s">
        <v>112</v>
      </c>
      <c r="F7966" t="s">
        <v>113</v>
      </c>
      <c r="G7966" t="s">
        <v>78</v>
      </c>
      <c r="H7966" s="1">
        <v>45355</v>
      </c>
    </row>
    <row r="7967" spans="1:8">
      <c r="A7967" t="s">
        <v>15851</v>
      </c>
      <c r="B7967" t="s">
        <v>15852</v>
      </c>
      <c r="C7967" t="s">
        <v>10</v>
      </c>
      <c r="D7967">
        <v>67</v>
      </c>
      <c r="E7967" t="s">
        <v>37</v>
      </c>
      <c r="F7967" t="s">
        <v>38</v>
      </c>
      <c r="G7967" t="s">
        <v>22</v>
      </c>
      <c r="H7967" s="1">
        <v>46017</v>
      </c>
    </row>
    <row r="7968" spans="1:8">
      <c r="A7968" t="s">
        <v>15853</v>
      </c>
      <c r="B7968" t="s">
        <v>15854</v>
      </c>
      <c r="C7968" t="s">
        <v>31</v>
      </c>
      <c r="D7968">
        <v>39</v>
      </c>
      <c r="E7968" t="s">
        <v>11</v>
      </c>
      <c r="F7968" t="s">
        <v>11</v>
      </c>
      <c r="G7968" t="s">
        <v>12</v>
      </c>
      <c r="H7968" s="1">
        <v>45131</v>
      </c>
    </row>
    <row r="7969" spans="1:8">
      <c r="A7969" t="s">
        <v>15855</v>
      </c>
      <c r="B7969" t="s">
        <v>15856</v>
      </c>
      <c r="C7969" t="s">
        <v>10</v>
      </c>
      <c r="D7969">
        <v>53</v>
      </c>
      <c r="E7969" t="s">
        <v>11</v>
      </c>
      <c r="F7969" t="s">
        <v>11</v>
      </c>
      <c r="G7969" t="s">
        <v>12</v>
      </c>
      <c r="H7969" s="1">
        <v>44727</v>
      </c>
    </row>
    <row r="7970" spans="1:8">
      <c r="A7970" t="s">
        <v>15857</v>
      </c>
      <c r="B7970" t="s">
        <v>15858</v>
      </c>
      <c r="C7970" t="s">
        <v>10</v>
      </c>
      <c r="D7970">
        <v>19</v>
      </c>
      <c r="E7970" t="s">
        <v>60</v>
      </c>
      <c r="F7970" t="s">
        <v>21</v>
      </c>
      <c r="G7970" t="s">
        <v>22</v>
      </c>
      <c r="H7970" s="1">
        <v>44724</v>
      </c>
    </row>
    <row r="7971" spans="1:8">
      <c r="A7971" t="s">
        <v>15859</v>
      </c>
      <c r="B7971" t="s">
        <v>15860</v>
      </c>
      <c r="C7971" t="s">
        <v>10</v>
      </c>
      <c r="D7971">
        <v>52</v>
      </c>
      <c r="E7971" t="s">
        <v>101</v>
      </c>
      <c r="F7971" t="s">
        <v>21</v>
      </c>
      <c r="G7971" t="s">
        <v>22</v>
      </c>
      <c r="H7971" s="1">
        <v>46010</v>
      </c>
    </row>
    <row r="7972" spans="1:8">
      <c r="A7972" t="s">
        <v>15861</v>
      </c>
      <c r="B7972" t="s">
        <v>15862</v>
      </c>
      <c r="C7972" t="s">
        <v>31</v>
      </c>
      <c r="D7972">
        <v>67</v>
      </c>
      <c r="E7972" t="s">
        <v>63</v>
      </c>
      <c r="F7972" t="s">
        <v>64</v>
      </c>
      <c r="G7972" t="s">
        <v>12</v>
      </c>
      <c r="H7972" s="1">
        <v>44639</v>
      </c>
    </row>
    <row r="7973" spans="1:8">
      <c r="A7973" t="s">
        <v>15863</v>
      </c>
      <c r="B7973" t="s">
        <v>15864</v>
      </c>
      <c r="C7973" t="s">
        <v>31</v>
      </c>
      <c r="D7973">
        <v>28</v>
      </c>
      <c r="E7973" t="s">
        <v>134</v>
      </c>
      <c r="F7973" t="s">
        <v>28</v>
      </c>
      <c r="G7973" t="s">
        <v>12</v>
      </c>
      <c r="H7973" s="1">
        <v>45765</v>
      </c>
    </row>
    <row r="7974" spans="1:8">
      <c r="A7974" t="s">
        <v>15865</v>
      </c>
      <c r="B7974" t="s">
        <v>15866</v>
      </c>
      <c r="C7974" t="s">
        <v>31</v>
      </c>
      <c r="D7974">
        <v>67</v>
      </c>
      <c r="E7974" t="s">
        <v>27</v>
      </c>
      <c r="F7974" t="s">
        <v>28</v>
      </c>
      <c r="G7974" t="s">
        <v>12</v>
      </c>
      <c r="H7974" s="1">
        <v>44838</v>
      </c>
    </row>
    <row r="7975" spans="1:8">
      <c r="A7975" t="s">
        <v>15867</v>
      </c>
      <c r="B7975" t="s">
        <v>15868</v>
      </c>
      <c r="C7975" t="s">
        <v>31</v>
      </c>
      <c r="D7975">
        <v>68</v>
      </c>
      <c r="E7975" t="s">
        <v>112</v>
      </c>
      <c r="F7975" t="s">
        <v>113</v>
      </c>
      <c r="G7975" t="s">
        <v>78</v>
      </c>
      <c r="H7975" s="1">
        <v>45566</v>
      </c>
    </row>
    <row r="7976" spans="1:8">
      <c r="A7976" t="s">
        <v>15869</v>
      </c>
      <c r="B7976" t="s">
        <v>15870</v>
      </c>
      <c r="C7976" t="s">
        <v>10</v>
      </c>
      <c r="D7976">
        <v>38</v>
      </c>
      <c r="E7976" t="s">
        <v>34</v>
      </c>
      <c r="F7976" t="s">
        <v>16</v>
      </c>
      <c r="G7976" t="s">
        <v>17</v>
      </c>
      <c r="H7976" s="1">
        <v>45841</v>
      </c>
    </row>
    <row r="7977" spans="1:8">
      <c r="A7977" t="s">
        <v>15871</v>
      </c>
      <c r="B7977" t="s">
        <v>15872</v>
      </c>
      <c r="C7977" t="s">
        <v>31</v>
      </c>
      <c r="D7977">
        <v>30</v>
      </c>
      <c r="E7977" t="s">
        <v>63</v>
      </c>
      <c r="F7977" t="s">
        <v>64</v>
      </c>
      <c r="G7977" t="s">
        <v>12</v>
      </c>
      <c r="H7977" s="1">
        <v>45031</v>
      </c>
    </row>
    <row r="7978" spans="1:8">
      <c r="A7978" t="s">
        <v>15873</v>
      </c>
      <c r="B7978" t="s">
        <v>15874</v>
      </c>
      <c r="C7978" t="s">
        <v>10</v>
      </c>
      <c r="D7978">
        <v>56</v>
      </c>
      <c r="E7978" t="s">
        <v>63</v>
      </c>
      <c r="F7978" t="s">
        <v>64</v>
      </c>
      <c r="G7978" t="s">
        <v>12</v>
      </c>
      <c r="H7978" s="1">
        <v>45464</v>
      </c>
    </row>
    <row r="7979" spans="1:8">
      <c r="A7979" t="s">
        <v>15875</v>
      </c>
      <c r="B7979" t="s">
        <v>15876</v>
      </c>
      <c r="C7979" t="s">
        <v>10</v>
      </c>
      <c r="D7979">
        <v>70</v>
      </c>
      <c r="E7979" t="s">
        <v>60</v>
      </c>
      <c r="F7979" t="s">
        <v>21</v>
      </c>
      <c r="G7979" t="s">
        <v>22</v>
      </c>
      <c r="H7979" s="1">
        <v>44945</v>
      </c>
    </row>
    <row r="7980" spans="1:8">
      <c r="A7980" t="s">
        <v>15877</v>
      </c>
      <c r="B7980" t="s">
        <v>15878</v>
      </c>
      <c r="C7980" t="s">
        <v>10</v>
      </c>
      <c r="D7980">
        <v>26</v>
      </c>
      <c r="E7980" t="s">
        <v>87</v>
      </c>
      <c r="F7980" t="s">
        <v>88</v>
      </c>
      <c r="G7980" t="s">
        <v>78</v>
      </c>
      <c r="H7980" s="1">
        <v>44646</v>
      </c>
    </row>
    <row r="7981" spans="1:8">
      <c r="A7981" t="s">
        <v>15879</v>
      </c>
      <c r="B7981" t="s">
        <v>15880</v>
      </c>
      <c r="C7981" t="s">
        <v>10</v>
      </c>
      <c r="D7981">
        <v>22</v>
      </c>
      <c r="E7981" t="s">
        <v>149</v>
      </c>
      <c r="F7981" t="s">
        <v>38</v>
      </c>
      <c r="G7981" t="s">
        <v>22</v>
      </c>
      <c r="H7981" s="1">
        <v>45465</v>
      </c>
    </row>
    <row r="7982" spans="1:8">
      <c r="A7982" t="s">
        <v>15881</v>
      </c>
      <c r="B7982" t="s">
        <v>15882</v>
      </c>
      <c r="C7982" t="s">
        <v>31</v>
      </c>
      <c r="D7982">
        <v>54</v>
      </c>
      <c r="E7982" t="s">
        <v>45</v>
      </c>
      <c r="F7982" t="s">
        <v>46</v>
      </c>
      <c r="G7982" t="s">
        <v>17</v>
      </c>
      <c r="H7982" s="1">
        <v>45989</v>
      </c>
    </row>
    <row r="7983" spans="1:8">
      <c r="A7983" t="s">
        <v>15883</v>
      </c>
      <c r="B7983" t="s">
        <v>15884</v>
      </c>
      <c r="C7983" t="s">
        <v>10</v>
      </c>
      <c r="D7983">
        <v>49</v>
      </c>
      <c r="E7983" t="s">
        <v>69</v>
      </c>
      <c r="F7983" t="s">
        <v>69</v>
      </c>
      <c r="G7983" t="s">
        <v>12</v>
      </c>
      <c r="H7983" s="1">
        <v>45265</v>
      </c>
    </row>
    <row r="7984" spans="1:8">
      <c r="A7984" t="s">
        <v>15885</v>
      </c>
      <c r="B7984" t="s">
        <v>15886</v>
      </c>
      <c r="C7984" t="s">
        <v>10</v>
      </c>
      <c r="D7984">
        <v>25</v>
      </c>
      <c r="E7984" t="s">
        <v>45</v>
      </c>
      <c r="F7984" t="s">
        <v>46</v>
      </c>
      <c r="G7984" t="s">
        <v>17</v>
      </c>
      <c r="H7984" s="1">
        <v>45537</v>
      </c>
    </row>
    <row r="7985" spans="1:8">
      <c r="A7985" t="s">
        <v>15887</v>
      </c>
      <c r="B7985" t="s">
        <v>15888</v>
      </c>
      <c r="C7985" t="s">
        <v>10</v>
      </c>
      <c r="D7985">
        <v>53</v>
      </c>
      <c r="E7985" t="s">
        <v>91</v>
      </c>
      <c r="F7985" t="s">
        <v>92</v>
      </c>
      <c r="G7985" t="s">
        <v>78</v>
      </c>
      <c r="H7985" s="1">
        <v>44933</v>
      </c>
    </row>
    <row r="7986" spans="1:8">
      <c r="A7986" t="s">
        <v>15889</v>
      </c>
      <c r="B7986" t="s">
        <v>15890</v>
      </c>
      <c r="C7986" t="s">
        <v>31</v>
      </c>
      <c r="D7986">
        <v>32</v>
      </c>
      <c r="E7986" t="s">
        <v>101</v>
      </c>
      <c r="F7986" t="s">
        <v>21</v>
      </c>
      <c r="G7986" t="s">
        <v>22</v>
      </c>
      <c r="H7986" s="1">
        <v>44696</v>
      </c>
    </row>
    <row r="7987" spans="1:8">
      <c r="A7987" t="s">
        <v>15891</v>
      </c>
      <c r="B7987" t="s">
        <v>15892</v>
      </c>
      <c r="C7987" t="s">
        <v>10</v>
      </c>
      <c r="D7987">
        <v>48</v>
      </c>
      <c r="E7987" t="s">
        <v>218</v>
      </c>
      <c r="F7987" t="s">
        <v>219</v>
      </c>
      <c r="G7987" t="s">
        <v>17</v>
      </c>
      <c r="H7987" s="1">
        <v>45302</v>
      </c>
    </row>
    <row r="7988" spans="1:8">
      <c r="A7988" t="s">
        <v>15893</v>
      </c>
      <c r="B7988" t="s">
        <v>15894</v>
      </c>
      <c r="C7988" t="s">
        <v>31</v>
      </c>
      <c r="D7988">
        <v>32</v>
      </c>
      <c r="E7988" t="s">
        <v>63</v>
      </c>
      <c r="F7988" t="s">
        <v>64</v>
      </c>
      <c r="G7988" t="s">
        <v>12</v>
      </c>
      <c r="H7988" s="1">
        <v>45518</v>
      </c>
    </row>
    <row r="7989" spans="1:8">
      <c r="A7989" t="s">
        <v>15895</v>
      </c>
      <c r="B7989" t="s">
        <v>15896</v>
      </c>
      <c r="C7989" t="s">
        <v>31</v>
      </c>
      <c r="D7989">
        <v>30</v>
      </c>
      <c r="E7989" t="s">
        <v>34</v>
      </c>
      <c r="F7989" t="s">
        <v>16</v>
      </c>
      <c r="G7989" t="s">
        <v>17</v>
      </c>
      <c r="H7989" s="1">
        <v>45815</v>
      </c>
    </row>
    <row r="7990" spans="1:8">
      <c r="A7990" t="s">
        <v>15897</v>
      </c>
      <c r="B7990" t="s">
        <v>15898</v>
      </c>
      <c r="C7990" t="s">
        <v>31</v>
      </c>
      <c r="D7990">
        <v>51</v>
      </c>
      <c r="E7990" t="s">
        <v>91</v>
      </c>
      <c r="F7990" t="s">
        <v>92</v>
      </c>
      <c r="G7990" t="s">
        <v>78</v>
      </c>
      <c r="H7990" s="1">
        <v>44737</v>
      </c>
    </row>
    <row r="7991" spans="1:8">
      <c r="A7991" t="s">
        <v>15899</v>
      </c>
      <c r="B7991" t="s">
        <v>15900</v>
      </c>
      <c r="C7991" t="s">
        <v>31</v>
      </c>
      <c r="D7991">
        <v>60</v>
      </c>
      <c r="E7991" t="s">
        <v>101</v>
      </c>
      <c r="F7991" t="s">
        <v>21</v>
      </c>
      <c r="G7991" t="s">
        <v>22</v>
      </c>
      <c r="H7991" s="1">
        <v>45963</v>
      </c>
    </row>
    <row r="7992" spans="1:8">
      <c r="A7992" t="s">
        <v>15901</v>
      </c>
      <c r="B7992" t="s">
        <v>15902</v>
      </c>
      <c r="C7992" t="s">
        <v>10</v>
      </c>
      <c r="D7992">
        <v>51</v>
      </c>
      <c r="E7992" t="s">
        <v>91</v>
      </c>
      <c r="F7992" t="s">
        <v>92</v>
      </c>
      <c r="G7992" t="s">
        <v>78</v>
      </c>
      <c r="H7992" s="1">
        <v>45804</v>
      </c>
    </row>
    <row r="7993" spans="1:8">
      <c r="A7993" t="s">
        <v>15903</v>
      </c>
      <c r="B7993" t="s">
        <v>15904</v>
      </c>
      <c r="C7993" t="s">
        <v>10</v>
      </c>
      <c r="D7993">
        <v>56</v>
      </c>
      <c r="E7993" t="s">
        <v>218</v>
      </c>
      <c r="F7993" t="s">
        <v>219</v>
      </c>
      <c r="G7993" t="s">
        <v>17</v>
      </c>
      <c r="H7993" s="1">
        <v>44599</v>
      </c>
    </row>
    <row r="7994" spans="1:8">
      <c r="A7994" t="s">
        <v>15905</v>
      </c>
      <c r="B7994" t="s">
        <v>15906</v>
      </c>
      <c r="C7994" t="s">
        <v>10</v>
      </c>
      <c r="D7994">
        <v>53</v>
      </c>
      <c r="E7994" t="s">
        <v>34</v>
      </c>
      <c r="F7994" t="s">
        <v>16</v>
      </c>
      <c r="G7994" t="s">
        <v>17</v>
      </c>
      <c r="H7994" s="1">
        <v>44915</v>
      </c>
    </row>
    <row r="7995" spans="1:8">
      <c r="A7995" t="s">
        <v>15907</v>
      </c>
      <c r="B7995" t="s">
        <v>15908</v>
      </c>
      <c r="C7995" t="s">
        <v>10</v>
      </c>
      <c r="D7995">
        <v>66</v>
      </c>
      <c r="E7995" t="s">
        <v>69</v>
      </c>
      <c r="F7995" t="s">
        <v>69</v>
      </c>
      <c r="G7995" t="s">
        <v>12</v>
      </c>
      <c r="H7995" s="1">
        <v>44736</v>
      </c>
    </row>
    <row r="7996" spans="1:8">
      <c r="A7996" t="s">
        <v>15909</v>
      </c>
      <c r="B7996" t="s">
        <v>15910</v>
      </c>
      <c r="C7996" t="s">
        <v>31</v>
      </c>
      <c r="D7996">
        <v>29</v>
      </c>
      <c r="E7996" t="s">
        <v>218</v>
      </c>
      <c r="F7996" t="s">
        <v>219</v>
      </c>
      <c r="G7996" t="s">
        <v>17</v>
      </c>
      <c r="H7996" s="1">
        <v>45133</v>
      </c>
    </row>
    <row r="7997" spans="1:8">
      <c r="A7997" t="s">
        <v>15911</v>
      </c>
      <c r="B7997" t="s">
        <v>15912</v>
      </c>
      <c r="C7997" t="s">
        <v>31</v>
      </c>
      <c r="D7997">
        <v>67</v>
      </c>
      <c r="E7997" t="s">
        <v>45</v>
      </c>
      <c r="F7997" t="s">
        <v>46</v>
      </c>
      <c r="G7997" t="s">
        <v>17</v>
      </c>
      <c r="H7997" s="1">
        <v>45729</v>
      </c>
    </row>
    <row r="7998" spans="1:8">
      <c r="A7998" t="s">
        <v>15913</v>
      </c>
      <c r="B7998" t="s">
        <v>15914</v>
      </c>
      <c r="C7998" t="s">
        <v>10</v>
      </c>
      <c r="D7998">
        <v>70</v>
      </c>
      <c r="E7998" t="s">
        <v>34</v>
      </c>
      <c r="F7998" t="s">
        <v>16</v>
      </c>
      <c r="G7998" t="s">
        <v>17</v>
      </c>
      <c r="H7998" s="1">
        <v>44991</v>
      </c>
    </row>
    <row r="7999" spans="1:8">
      <c r="A7999" t="s">
        <v>15915</v>
      </c>
      <c r="B7999" t="s">
        <v>15916</v>
      </c>
      <c r="C7999" t="s">
        <v>31</v>
      </c>
      <c r="D7999">
        <v>40</v>
      </c>
      <c r="E7999" t="s">
        <v>60</v>
      </c>
      <c r="F7999" t="s">
        <v>21</v>
      </c>
      <c r="G7999" t="s">
        <v>22</v>
      </c>
      <c r="H7999" s="1">
        <v>45839</v>
      </c>
    </row>
    <row r="8000" spans="1:8">
      <c r="A8000" t="s">
        <v>15917</v>
      </c>
      <c r="B8000" t="s">
        <v>15918</v>
      </c>
      <c r="C8000" t="s">
        <v>10</v>
      </c>
      <c r="D8000">
        <v>30</v>
      </c>
      <c r="E8000" t="s">
        <v>45</v>
      </c>
      <c r="F8000" t="s">
        <v>46</v>
      </c>
      <c r="G8000" t="s">
        <v>17</v>
      </c>
      <c r="H8000" s="1">
        <v>45474</v>
      </c>
    </row>
    <row r="8001" spans="1:8">
      <c r="A8001" t="s">
        <v>15919</v>
      </c>
      <c r="B8001" t="s">
        <v>15920</v>
      </c>
      <c r="C8001" t="s">
        <v>10</v>
      </c>
      <c r="D8001">
        <v>68</v>
      </c>
      <c r="E8001" t="s">
        <v>15</v>
      </c>
      <c r="F8001" t="s">
        <v>16</v>
      </c>
      <c r="G8001" t="s">
        <v>17</v>
      </c>
      <c r="H8001" s="1">
        <v>45690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434B-1860-47F0-8457-7AD5663D2D7E}">
  <dimension ref="A1:F151"/>
  <sheetViews>
    <sheetView topLeftCell="A125" workbookViewId="0">
      <selection activeCell="A132" sqref="A132"/>
    </sheetView>
  </sheetViews>
  <sheetFormatPr defaultRowHeight="14.4"/>
  <cols>
    <col min="1" max="1" width="11.6640625" bestFit="1" customWidth="1"/>
    <col min="2" max="2" width="21.5546875" bestFit="1" customWidth="1"/>
    <col min="3" max="3" width="14.21875" bestFit="1" customWidth="1"/>
    <col min="4" max="4" width="16.21875" bestFit="1" customWidth="1"/>
    <col min="5" max="5" width="10.44140625" bestFit="1" customWidth="1"/>
    <col min="6" max="6" width="10.88671875" bestFit="1" customWidth="1"/>
  </cols>
  <sheetData>
    <row r="1" spans="1:6">
      <c r="A1" t="s">
        <v>15921</v>
      </c>
      <c r="B1" t="s">
        <v>15922</v>
      </c>
      <c r="C1" t="s">
        <v>15923</v>
      </c>
      <c r="D1" t="s">
        <v>15924</v>
      </c>
      <c r="E1" t="s">
        <v>15925</v>
      </c>
      <c r="F1" t="s">
        <v>15926</v>
      </c>
    </row>
    <row r="2" spans="1:6">
      <c r="A2" t="s">
        <v>15927</v>
      </c>
      <c r="B2" t="s">
        <v>15928</v>
      </c>
      <c r="C2" t="s">
        <v>15929</v>
      </c>
      <c r="D2" t="s">
        <v>15930</v>
      </c>
      <c r="E2">
        <v>56481.05</v>
      </c>
      <c r="F2">
        <v>69234.210000000006</v>
      </c>
    </row>
    <row r="3" spans="1:6">
      <c r="A3" t="s">
        <v>15931</v>
      </c>
      <c r="B3" t="s">
        <v>15932</v>
      </c>
      <c r="C3" t="s">
        <v>15929</v>
      </c>
      <c r="D3" t="s">
        <v>15930</v>
      </c>
      <c r="E3">
        <v>51831.839999999997</v>
      </c>
      <c r="F3">
        <v>75177.759999999995</v>
      </c>
    </row>
    <row r="4" spans="1:6">
      <c r="A4" t="s">
        <v>15933</v>
      </c>
      <c r="B4" t="s">
        <v>15934</v>
      </c>
      <c r="C4" t="s">
        <v>15929</v>
      </c>
      <c r="D4" t="s">
        <v>15930</v>
      </c>
      <c r="E4">
        <v>11335.72</v>
      </c>
      <c r="F4">
        <v>14374.7</v>
      </c>
    </row>
    <row r="5" spans="1:6">
      <c r="A5" t="s">
        <v>15935</v>
      </c>
      <c r="B5" t="s">
        <v>15936</v>
      </c>
      <c r="C5" t="s">
        <v>15929</v>
      </c>
      <c r="D5" t="s">
        <v>15930</v>
      </c>
      <c r="E5">
        <v>6544.82</v>
      </c>
      <c r="F5">
        <v>10619.36</v>
      </c>
    </row>
    <row r="6" spans="1:6">
      <c r="A6" t="s">
        <v>15937</v>
      </c>
      <c r="B6" t="s">
        <v>15938</v>
      </c>
      <c r="C6" t="s">
        <v>15929</v>
      </c>
      <c r="D6" t="s">
        <v>15930</v>
      </c>
      <c r="E6">
        <v>3322.23</v>
      </c>
      <c r="F6">
        <v>4719.2700000000004</v>
      </c>
    </row>
    <row r="7" spans="1:6">
      <c r="A7" t="s">
        <v>15939</v>
      </c>
      <c r="B7" t="s">
        <v>15940</v>
      </c>
      <c r="C7" t="s">
        <v>15929</v>
      </c>
      <c r="D7" t="s">
        <v>15930</v>
      </c>
      <c r="E7">
        <v>26192.21</v>
      </c>
      <c r="F7">
        <v>39996.370000000003</v>
      </c>
    </row>
    <row r="8" spans="1:6">
      <c r="A8" t="s">
        <v>15941</v>
      </c>
      <c r="B8" t="s">
        <v>15942</v>
      </c>
      <c r="C8" t="s">
        <v>15929</v>
      </c>
      <c r="D8" t="s">
        <v>15930</v>
      </c>
      <c r="E8">
        <v>20107.810000000001</v>
      </c>
      <c r="F8">
        <v>26638.81</v>
      </c>
    </row>
    <row r="9" spans="1:6">
      <c r="A9" t="s">
        <v>15943</v>
      </c>
      <c r="B9" t="s">
        <v>15944</v>
      </c>
      <c r="C9" t="s">
        <v>15929</v>
      </c>
      <c r="D9" t="s">
        <v>15930</v>
      </c>
      <c r="E9">
        <v>41916.89</v>
      </c>
      <c r="F9">
        <v>76009.95</v>
      </c>
    </row>
    <row r="10" spans="1:6">
      <c r="A10" t="s">
        <v>15945</v>
      </c>
      <c r="B10" t="s">
        <v>15946</v>
      </c>
      <c r="C10" t="s">
        <v>15929</v>
      </c>
      <c r="D10" t="s">
        <v>15947</v>
      </c>
      <c r="E10">
        <v>26886.09</v>
      </c>
      <c r="F10">
        <v>46428.19</v>
      </c>
    </row>
    <row r="11" spans="1:6">
      <c r="A11" t="s">
        <v>15948</v>
      </c>
      <c r="B11" t="s">
        <v>15949</v>
      </c>
      <c r="C11" t="s">
        <v>15929</v>
      </c>
      <c r="D11" t="s">
        <v>15947</v>
      </c>
      <c r="E11">
        <v>3239.84</v>
      </c>
      <c r="F11">
        <v>4404.4399999999996</v>
      </c>
    </row>
    <row r="12" spans="1:6">
      <c r="A12" t="s">
        <v>15950</v>
      </c>
      <c r="B12" t="s">
        <v>15951</v>
      </c>
      <c r="C12" t="s">
        <v>15929</v>
      </c>
      <c r="D12" t="s">
        <v>15947</v>
      </c>
      <c r="E12">
        <v>9305.33</v>
      </c>
      <c r="F12">
        <v>14902.07</v>
      </c>
    </row>
    <row r="13" spans="1:6">
      <c r="A13" t="s">
        <v>15952</v>
      </c>
      <c r="B13" t="s">
        <v>15953</v>
      </c>
      <c r="C13" t="s">
        <v>15929</v>
      </c>
      <c r="D13" t="s">
        <v>15947</v>
      </c>
      <c r="E13">
        <v>37762.71</v>
      </c>
      <c r="F13">
        <v>50139.94</v>
      </c>
    </row>
    <row r="14" spans="1:6">
      <c r="A14" t="s">
        <v>15954</v>
      </c>
      <c r="B14" t="s">
        <v>15955</v>
      </c>
      <c r="C14" t="s">
        <v>15929</v>
      </c>
      <c r="D14" t="s">
        <v>15947</v>
      </c>
      <c r="E14">
        <v>25344.32</v>
      </c>
      <c r="F14">
        <v>36179.730000000003</v>
      </c>
    </row>
    <row r="15" spans="1:6">
      <c r="A15" t="s">
        <v>15956</v>
      </c>
      <c r="B15" t="s">
        <v>15957</v>
      </c>
      <c r="C15" t="s">
        <v>15929</v>
      </c>
      <c r="D15" t="s">
        <v>15947</v>
      </c>
      <c r="E15">
        <v>7613.27</v>
      </c>
      <c r="F15">
        <v>9246.34</v>
      </c>
    </row>
    <row r="16" spans="1:6">
      <c r="A16" t="s">
        <v>15958</v>
      </c>
      <c r="B16" t="s">
        <v>15959</v>
      </c>
      <c r="C16" t="s">
        <v>15929</v>
      </c>
      <c r="D16" t="s">
        <v>15947</v>
      </c>
      <c r="E16">
        <v>36366.370000000003</v>
      </c>
      <c r="F16">
        <v>61606.59</v>
      </c>
    </row>
    <row r="17" spans="1:6">
      <c r="A17" t="s">
        <v>15960</v>
      </c>
      <c r="B17" t="s">
        <v>15961</v>
      </c>
      <c r="C17" t="s">
        <v>15929</v>
      </c>
      <c r="D17" t="s">
        <v>15947</v>
      </c>
      <c r="E17">
        <v>52565.61</v>
      </c>
      <c r="F17">
        <v>63665.16</v>
      </c>
    </row>
    <row r="18" spans="1:6">
      <c r="A18" t="s">
        <v>15962</v>
      </c>
      <c r="B18" t="s">
        <v>15963</v>
      </c>
      <c r="C18" t="s">
        <v>15929</v>
      </c>
      <c r="D18" t="s">
        <v>15964</v>
      </c>
      <c r="E18">
        <v>39781.99</v>
      </c>
      <c r="F18">
        <v>61469.2</v>
      </c>
    </row>
    <row r="19" spans="1:6">
      <c r="A19" t="s">
        <v>15965</v>
      </c>
      <c r="B19" t="s">
        <v>15966</v>
      </c>
      <c r="C19" t="s">
        <v>15929</v>
      </c>
      <c r="D19" t="s">
        <v>15964</v>
      </c>
      <c r="E19">
        <v>41521.22</v>
      </c>
      <c r="F19">
        <v>54876.34</v>
      </c>
    </row>
    <row r="20" spans="1:6">
      <c r="A20" t="s">
        <v>15967</v>
      </c>
      <c r="B20" t="s">
        <v>15968</v>
      </c>
      <c r="C20" t="s">
        <v>15929</v>
      </c>
      <c r="D20" t="s">
        <v>15964</v>
      </c>
      <c r="E20">
        <v>8737.9</v>
      </c>
      <c r="F20">
        <v>12552.69</v>
      </c>
    </row>
    <row r="21" spans="1:6">
      <c r="A21" t="s">
        <v>15969</v>
      </c>
      <c r="B21" t="s">
        <v>15970</v>
      </c>
      <c r="C21" t="s">
        <v>15929</v>
      </c>
      <c r="D21" t="s">
        <v>15964</v>
      </c>
      <c r="E21">
        <v>13134.58</v>
      </c>
      <c r="F21">
        <v>21602.44</v>
      </c>
    </row>
    <row r="22" spans="1:6">
      <c r="A22" t="s">
        <v>15971</v>
      </c>
      <c r="B22" t="s">
        <v>15972</v>
      </c>
      <c r="C22" t="s">
        <v>15929</v>
      </c>
      <c r="D22" t="s">
        <v>15964</v>
      </c>
      <c r="E22">
        <v>29771.48</v>
      </c>
      <c r="F22">
        <v>48777.16</v>
      </c>
    </row>
    <row r="23" spans="1:6">
      <c r="A23" t="s">
        <v>15973</v>
      </c>
      <c r="B23" t="s">
        <v>15974</v>
      </c>
      <c r="C23" t="s">
        <v>15929</v>
      </c>
      <c r="D23" t="s">
        <v>15964</v>
      </c>
      <c r="E23">
        <v>7399.19</v>
      </c>
      <c r="F23">
        <v>9422.92</v>
      </c>
    </row>
    <row r="24" spans="1:6">
      <c r="A24" t="s">
        <v>15975</v>
      </c>
      <c r="B24" t="s">
        <v>15976</v>
      </c>
      <c r="C24" t="s">
        <v>15929</v>
      </c>
      <c r="D24" t="s">
        <v>15964</v>
      </c>
      <c r="E24">
        <v>30666.16</v>
      </c>
      <c r="F24">
        <v>36481.47</v>
      </c>
    </row>
    <row r="25" spans="1:6">
      <c r="A25" t="s">
        <v>15977</v>
      </c>
      <c r="B25" t="s">
        <v>15978</v>
      </c>
      <c r="C25" t="s">
        <v>15929</v>
      </c>
      <c r="D25" t="s">
        <v>15964</v>
      </c>
      <c r="E25">
        <v>33851.120000000003</v>
      </c>
      <c r="F25">
        <v>44917.11</v>
      </c>
    </row>
    <row r="26" spans="1:6">
      <c r="A26" t="s">
        <v>15979</v>
      </c>
      <c r="B26" t="s">
        <v>15980</v>
      </c>
      <c r="C26" t="s">
        <v>15929</v>
      </c>
      <c r="D26" t="s">
        <v>15981</v>
      </c>
      <c r="E26">
        <v>35089.57</v>
      </c>
      <c r="F26">
        <v>45527.55</v>
      </c>
    </row>
    <row r="27" spans="1:6">
      <c r="A27" t="s">
        <v>15982</v>
      </c>
      <c r="B27" t="s">
        <v>15983</v>
      </c>
      <c r="C27" t="s">
        <v>15929</v>
      </c>
      <c r="D27" t="s">
        <v>15981</v>
      </c>
      <c r="E27">
        <v>29477.79</v>
      </c>
      <c r="F27">
        <v>43098.98</v>
      </c>
    </row>
    <row r="28" spans="1:6">
      <c r="A28" t="s">
        <v>15984</v>
      </c>
      <c r="B28" t="s">
        <v>15985</v>
      </c>
      <c r="C28" t="s">
        <v>15929</v>
      </c>
      <c r="D28" t="s">
        <v>15981</v>
      </c>
      <c r="E28">
        <v>44142.48</v>
      </c>
      <c r="F28">
        <v>76661.149999999994</v>
      </c>
    </row>
    <row r="29" spans="1:6">
      <c r="A29" t="s">
        <v>15986</v>
      </c>
      <c r="B29" t="s">
        <v>15987</v>
      </c>
      <c r="C29" t="s">
        <v>15929</v>
      </c>
      <c r="D29" t="s">
        <v>15981</v>
      </c>
      <c r="E29">
        <v>43224.87</v>
      </c>
      <c r="F29">
        <v>52004.72</v>
      </c>
    </row>
    <row r="30" spans="1:6">
      <c r="A30" t="s">
        <v>15988</v>
      </c>
      <c r="B30" t="s">
        <v>15989</v>
      </c>
      <c r="C30" t="s">
        <v>15929</v>
      </c>
      <c r="D30" t="s">
        <v>15981</v>
      </c>
      <c r="E30">
        <v>43564.65</v>
      </c>
      <c r="F30">
        <v>51647.41</v>
      </c>
    </row>
    <row r="31" spans="1:6">
      <c r="A31" t="s">
        <v>15990</v>
      </c>
      <c r="B31" t="s">
        <v>15991</v>
      </c>
      <c r="C31" t="s">
        <v>15929</v>
      </c>
      <c r="D31" t="s">
        <v>15981</v>
      </c>
      <c r="E31">
        <v>53305.15</v>
      </c>
      <c r="F31">
        <v>76019.78</v>
      </c>
    </row>
    <row r="32" spans="1:6">
      <c r="A32" t="s">
        <v>15992</v>
      </c>
      <c r="B32" t="s">
        <v>15993</v>
      </c>
      <c r="C32" t="s">
        <v>15929</v>
      </c>
      <c r="D32" t="s">
        <v>15981</v>
      </c>
      <c r="E32">
        <v>36028.78</v>
      </c>
      <c r="F32">
        <v>52596.38</v>
      </c>
    </row>
    <row r="33" spans="1:6">
      <c r="A33" t="s">
        <v>15994</v>
      </c>
      <c r="B33" t="s">
        <v>15995</v>
      </c>
      <c r="C33" t="s">
        <v>15929</v>
      </c>
      <c r="D33" t="s">
        <v>15996</v>
      </c>
      <c r="E33">
        <v>12531.14</v>
      </c>
      <c r="F33">
        <v>18113.48</v>
      </c>
    </row>
    <row r="34" spans="1:6">
      <c r="A34" t="s">
        <v>15997</v>
      </c>
      <c r="B34" t="s">
        <v>15998</v>
      </c>
      <c r="C34" t="s">
        <v>15929</v>
      </c>
      <c r="D34" t="s">
        <v>15996</v>
      </c>
      <c r="E34">
        <v>49038.67</v>
      </c>
      <c r="F34">
        <v>77394.210000000006</v>
      </c>
    </row>
    <row r="35" spans="1:6">
      <c r="A35" t="s">
        <v>15999</v>
      </c>
      <c r="B35" t="s">
        <v>16000</v>
      </c>
      <c r="C35" t="s">
        <v>15929</v>
      </c>
      <c r="D35" t="s">
        <v>15996</v>
      </c>
      <c r="E35">
        <v>41048.31</v>
      </c>
      <c r="F35">
        <v>70426.350000000006</v>
      </c>
    </row>
    <row r="36" spans="1:6">
      <c r="A36" t="s">
        <v>16001</v>
      </c>
      <c r="B36" t="s">
        <v>16002</v>
      </c>
      <c r="C36" t="s">
        <v>15929</v>
      </c>
      <c r="D36" t="s">
        <v>15996</v>
      </c>
      <c r="E36">
        <v>21894.27</v>
      </c>
      <c r="F36">
        <v>29153.55</v>
      </c>
    </row>
    <row r="37" spans="1:6">
      <c r="A37" t="s">
        <v>16003</v>
      </c>
      <c r="B37" t="s">
        <v>16004</v>
      </c>
      <c r="C37" t="s">
        <v>15929</v>
      </c>
      <c r="D37" t="s">
        <v>15996</v>
      </c>
      <c r="E37">
        <v>46554.33</v>
      </c>
      <c r="F37">
        <v>74177.87</v>
      </c>
    </row>
    <row r="38" spans="1:6">
      <c r="A38" t="s">
        <v>16005</v>
      </c>
      <c r="B38" t="s">
        <v>16006</v>
      </c>
      <c r="C38" t="s">
        <v>15929</v>
      </c>
      <c r="D38" t="s">
        <v>15996</v>
      </c>
      <c r="E38">
        <v>53801.63</v>
      </c>
      <c r="F38">
        <v>78938.720000000001</v>
      </c>
    </row>
    <row r="39" spans="1:6">
      <c r="A39" t="s">
        <v>16007</v>
      </c>
      <c r="B39" t="s">
        <v>16008</v>
      </c>
      <c r="C39" t="s">
        <v>15929</v>
      </c>
      <c r="D39" t="s">
        <v>15996</v>
      </c>
      <c r="E39">
        <v>12317.6</v>
      </c>
      <c r="F39">
        <v>22362.17</v>
      </c>
    </row>
    <row r="40" spans="1:6">
      <c r="A40" t="s">
        <v>16009</v>
      </c>
      <c r="B40" t="s">
        <v>16010</v>
      </c>
      <c r="C40" t="s">
        <v>16011</v>
      </c>
      <c r="D40" t="s">
        <v>16012</v>
      </c>
      <c r="E40">
        <v>10707.23</v>
      </c>
      <c r="F40">
        <v>14732.95</v>
      </c>
    </row>
    <row r="41" spans="1:6">
      <c r="A41" t="s">
        <v>16013</v>
      </c>
      <c r="B41" t="s">
        <v>16014</v>
      </c>
      <c r="C41" t="s">
        <v>16011</v>
      </c>
      <c r="D41" t="s">
        <v>16012</v>
      </c>
      <c r="E41">
        <v>8430.75</v>
      </c>
      <c r="F41">
        <v>10664.54</v>
      </c>
    </row>
    <row r="42" spans="1:6">
      <c r="A42" t="s">
        <v>16015</v>
      </c>
      <c r="B42" t="s">
        <v>16016</v>
      </c>
      <c r="C42" t="s">
        <v>16011</v>
      </c>
      <c r="D42" t="s">
        <v>16012</v>
      </c>
      <c r="E42">
        <v>9046.98</v>
      </c>
      <c r="F42">
        <v>11511.46</v>
      </c>
    </row>
    <row r="43" spans="1:6">
      <c r="A43" t="s">
        <v>16017</v>
      </c>
      <c r="B43" t="s">
        <v>16018</v>
      </c>
      <c r="C43" t="s">
        <v>16011</v>
      </c>
      <c r="D43" t="s">
        <v>16012</v>
      </c>
      <c r="E43">
        <v>24254.720000000001</v>
      </c>
      <c r="F43">
        <v>29579.63</v>
      </c>
    </row>
    <row r="44" spans="1:6">
      <c r="A44" t="s">
        <v>16019</v>
      </c>
      <c r="B44" t="s">
        <v>16020</v>
      </c>
      <c r="C44" t="s">
        <v>16011</v>
      </c>
      <c r="D44" t="s">
        <v>16012</v>
      </c>
      <c r="E44">
        <v>18264.07</v>
      </c>
      <c r="F44">
        <v>22827.119999999999</v>
      </c>
    </row>
    <row r="45" spans="1:6">
      <c r="A45" t="s">
        <v>16021</v>
      </c>
      <c r="B45" t="s">
        <v>16022</v>
      </c>
      <c r="C45" t="s">
        <v>16011</v>
      </c>
      <c r="D45" t="s">
        <v>16012</v>
      </c>
      <c r="E45">
        <v>16868.88</v>
      </c>
      <c r="F45">
        <v>20212.79</v>
      </c>
    </row>
    <row r="46" spans="1:6">
      <c r="A46" t="s">
        <v>16023</v>
      </c>
      <c r="B46" t="s">
        <v>16024</v>
      </c>
      <c r="C46" t="s">
        <v>16011</v>
      </c>
      <c r="D46" t="s">
        <v>16012</v>
      </c>
      <c r="E46">
        <v>8791.7900000000009</v>
      </c>
      <c r="F46">
        <v>14353.88</v>
      </c>
    </row>
    <row r="47" spans="1:6">
      <c r="A47" t="s">
        <v>16025</v>
      </c>
      <c r="B47" t="s">
        <v>16026</v>
      </c>
      <c r="C47" t="s">
        <v>16011</v>
      </c>
      <c r="D47" t="s">
        <v>16027</v>
      </c>
      <c r="E47">
        <v>13697.77</v>
      </c>
      <c r="F47">
        <v>23401.279999999999</v>
      </c>
    </row>
    <row r="48" spans="1:6">
      <c r="A48" t="s">
        <v>16028</v>
      </c>
      <c r="B48" t="s">
        <v>16029</v>
      </c>
      <c r="C48" t="s">
        <v>16011</v>
      </c>
      <c r="D48" t="s">
        <v>16027</v>
      </c>
      <c r="E48">
        <v>8332.57</v>
      </c>
      <c r="F48">
        <v>11987.07</v>
      </c>
    </row>
    <row r="49" spans="1:6">
      <c r="A49" t="s">
        <v>16030</v>
      </c>
      <c r="B49" t="s">
        <v>16031</v>
      </c>
      <c r="C49" t="s">
        <v>16011</v>
      </c>
      <c r="D49" t="s">
        <v>16027</v>
      </c>
      <c r="E49">
        <v>17695.330000000002</v>
      </c>
      <c r="F49">
        <v>29675.72</v>
      </c>
    </row>
    <row r="50" spans="1:6">
      <c r="A50" t="s">
        <v>16032</v>
      </c>
      <c r="B50" t="s">
        <v>16033</v>
      </c>
      <c r="C50" t="s">
        <v>16011</v>
      </c>
      <c r="D50" t="s">
        <v>16027</v>
      </c>
      <c r="E50">
        <v>460.5</v>
      </c>
      <c r="F50">
        <v>643.36</v>
      </c>
    </row>
    <row r="51" spans="1:6">
      <c r="A51" t="s">
        <v>16034</v>
      </c>
      <c r="B51" t="s">
        <v>16035</v>
      </c>
      <c r="C51" t="s">
        <v>16011</v>
      </c>
      <c r="D51" t="s">
        <v>16027</v>
      </c>
      <c r="E51">
        <v>9829.2800000000007</v>
      </c>
      <c r="F51">
        <v>14006.13</v>
      </c>
    </row>
    <row r="52" spans="1:6">
      <c r="A52" t="s">
        <v>16036</v>
      </c>
      <c r="B52" t="s">
        <v>16037</v>
      </c>
      <c r="C52" t="s">
        <v>16011</v>
      </c>
      <c r="D52" t="s">
        <v>16027</v>
      </c>
      <c r="E52">
        <v>13874.86</v>
      </c>
      <c r="F52">
        <v>23736.31</v>
      </c>
    </row>
    <row r="53" spans="1:6">
      <c r="A53" t="s">
        <v>16038</v>
      </c>
      <c r="B53" t="s">
        <v>16039</v>
      </c>
      <c r="C53" t="s">
        <v>16011</v>
      </c>
      <c r="D53" t="s">
        <v>16027</v>
      </c>
      <c r="E53">
        <v>3005.28</v>
      </c>
      <c r="F53">
        <v>4684.91</v>
      </c>
    </row>
    <row r="54" spans="1:6">
      <c r="A54" t="s">
        <v>16040</v>
      </c>
      <c r="B54" t="s">
        <v>16041</v>
      </c>
      <c r="C54" t="s">
        <v>16011</v>
      </c>
      <c r="D54" t="s">
        <v>16042</v>
      </c>
      <c r="E54">
        <v>15528.93</v>
      </c>
      <c r="F54">
        <v>23380</v>
      </c>
    </row>
    <row r="55" spans="1:6">
      <c r="A55" t="s">
        <v>16043</v>
      </c>
      <c r="B55" t="s">
        <v>16044</v>
      </c>
      <c r="C55" t="s">
        <v>16011</v>
      </c>
      <c r="D55" t="s">
        <v>16042</v>
      </c>
      <c r="E55">
        <v>13837.65</v>
      </c>
      <c r="F55">
        <v>17619.849999999999</v>
      </c>
    </row>
    <row r="56" spans="1:6">
      <c r="A56" t="s">
        <v>16045</v>
      </c>
      <c r="B56" t="s">
        <v>16046</v>
      </c>
      <c r="C56" t="s">
        <v>16011</v>
      </c>
      <c r="D56" t="s">
        <v>16042</v>
      </c>
      <c r="E56">
        <v>17114.43</v>
      </c>
      <c r="F56">
        <v>26326.12</v>
      </c>
    </row>
    <row r="57" spans="1:6">
      <c r="A57" t="s">
        <v>16047</v>
      </c>
      <c r="B57" t="s">
        <v>16048</v>
      </c>
      <c r="C57" t="s">
        <v>16011</v>
      </c>
      <c r="D57" t="s">
        <v>16042</v>
      </c>
      <c r="E57">
        <v>14996.73</v>
      </c>
      <c r="F57">
        <v>24430.33</v>
      </c>
    </row>
    <row r="58" spans="1:6">
      <c r="A58" t="s">
        <v>16049</v>
      </c>
      <c r="B58" t="s">
        <v>16050</v>
      </c>
      <c r="C58" t="s">
        <v>16011</v>
      </c>
      <c r="D58" t="s">
        <v>16042</v>
      </c>
      <c r="E58">
        <v>12896.65</v>
      </c>
      <c r="F58">
        <v>21084.61</v>
      </c>
    </row>
    <row r="59" spans="1:6">
      <c r="A59" t="s">
        <v>16051</v>
      </c>
      <c r="B59" t="s">
        <v>16052</v>
      </c>
      <c r="C59" t="s">
        <v>16011</v>
      </c>
      <c r="D59" t="s">
        <v>16042</v>
      </c>
      <c r="E59">
        <v>17092.599999999999</v>
      </c>
      <c r="F59">
        <v>27105.29</v>
      </c>
    </row>
    <row r="60" spans="1:6">
      <c r="A60" t="s">
        <v>16053</v>
      </c>
      <c r="B60" t="s">
        <v>16054</v>
      </c>
      <c r="C60" t="s">
        <v>16011</v>
      </c>
      <c r="D60" t="s">
        <v>16042</v>
      </c>
      <c r="E60">
        <v>16620.189999999999</v>
      </c>
      <c r="F60">
        <v>24743.52</v>
      </c>
    </row>
    <row r="61" spans="1:6">
      <c r="A61" t="s">
        <v>16055</v>
      </c>
      <c r="B61" t="s">
        <v>16056</v>
      </c>
      <c r="C61" t="s">
        <v>16011</v>
      </c>
      <c r="D61" t="s">
        <v>16057</v>
      </c>
      <c r="E61">
        <v>2951.03</v>
      </c>
      <c r="F61">
        <v>4187.79</v>
      </c>
    </row>
    <row r="62" spans="1:6">
      <c r="A62" t="s">
        <v>16058</v>
      </c>
      <c r="B62" t="s">
        <v>16059</v>
      </c>
      <c r="C62" t="s">
        <v>16011</v>
      </c>
      <c r="D62" t="s">
        <v>16057</v>
      </c>
      <c r="E62">
        <v>15710.91</v>
      </c>
      <c r="F62">
        <v>22102.15</v>
      </c>
    </row>
    <row r="63" spans="1:6">
      <c r="A63" t="s">
        <v>16060</v>
      </c>
      <c r="B63" t="s">
        <v>16061</v>
      </c>
      <c r="C63" t="s">
        <v>16011</v>
      </c>
      <c r="D63" t="s">
        <v>16057</v>
      </c>
      <c r="E63">
        <v>20592.23</v>
      </c>
      <c r="F63">
        <v>26039.41</v>
      </c>
    </row>
    <row r="64" spans="1:6">
      <c r="A64" t="s">
        <v>16062</v>
      </c>
      <c r="B64" t="s">
        <v>16063</v>
      </c>
      <c r="C64" t="s">
        <v>16011</v>
      </c>
      <c r="D64" t="s">
        <v>16057</v>
      </c>
      <c r="E64">
        <v>17564.490000000002</v>
      </c>
      <c r="F64">
        <v>22222.83</v>
      </c>
    </row>
    <row r="65" spans="1:6">
      <c r="A65" t="s">
        <v>16064</v>
      </c>
      <c r="B65" t="s">
        <v>16065</v>
      </c>
      <c r="C65" t="s">
        <v>16011</v>
      </c>
      <c r="D65" t="s">
        <v>16057</v>
      </c>
      <c r="E65">
        <v>1257.43</v>
      </c>
      <c r="F65">
        <v>1797.31</v>
      </c>
    </row>
    <row r="66" spans="1:6">
      <c r="A66" t="s">
        <v>16066</v>
      </c>
      <c r="B66" t="s">
        <v>16067</v>
      </c>
      <c r="C66" t="s">
        <v>16011</v>
      </c>
      <c r="D66" t="s">
        <v>16057</v>
      </c>
      <c r="E66">
        <v>2172.39</v>
      </c>
      <c r="F66">
        <v>3429.74</v>
      </c>
    </row>
    <row r="67" spans="1:6">
      <c r="A67" t="s">
        <v>16068</v>
      </c>
      <c r="B67" t="s">
        <v>16069</v>
      </c>
      <c r="C67" t="s">
        <v>16011</v>
      </c>
      <c r="D67" t="s">
        <v>16057</v>
      </c>
      <c r="E67">
        <v>5332.9</v>
      </c>
      <c r="F67">
        <v>7801.86</v>
      </c>
    </row>
    <row r="68" spans="1:6">
      <c r="A68" t="s">
        <v>16070</v>
      </c>
      <c r="B68" t="s">
        <v>16071</v>
      </c>
      <c r="C68" t="s">
        <v>16072</v>
      </c>
      <c r="D68" t="s">
        <v>16073</v>
      </c>
      <c r="E68">
        <v>4895.43</v>
      </c>
      <c r="F68">
        <v>6357.9</v>
      </c>
    </row>
    <row r="69" spans="1:6">
      <c r="A69" t="s">
        <v>16074</v>
      </c>
      <c r="B69" t="s">
        <v>16075</v>
      </c>
      <c r="C69" t="s">
        <v>16072</v>
      </c>
      <c r="D69" t="s">
        <v>16073</v>
      </c>
      <c r="E69">
        <v>4447.5200000000004</v>
      </c>
      <c r="F69">
        <v>5944.75</v>
      </c>
    </row>
    <row r="70" spans="1:6">
      <c r="A70" t="s">
        <v>16076</v>
      </c>
      <c r="B70" t="s">
        <v>16077</v>
      </c>
      <c r="C70" t="s">
        <v>16072</v>
      </c>
      <c r="D70" t="s">
        <v>16073</v>
      </c>
      <c r="E70">
        <v>4558.34</v>
      </c>
      <c r="F70">
        <v>7177.2</v>
      </c>
    </row>
    <row r="71" spans="1:6">
      <c r="A71" t="s">
        <v>16078</v>
      </c>
      <c r="B71" t="s">
        <v>16079</v>
      </c>
      <c r="C71" t="s">
        <v>16072</v>
      </c>
      <c r="D71" t="s">
        <v>16073</v>
      </c>
      <c r="E71">
        <v>2675.18</v>
      </c>
      <c r="F71">
        <v>4654.63</v>
      </c>
    </row>
    <row r="72" spans="1:6">
      <c r="A72" t="s">
        <v>16080</v>
      </c>
      <c r="B72" t="s">
        <v>16081</v>
      </c>
      <c r="C72" t="s">
        <v>16072</v>
      </c>
      <c r="D72" t="s">
        <v>16073</v>
      </c>
      <c r="E72">
        <v>1820.39</v>
      </c>
      <c r="F72">
        <v>2211.5500000000002</v>
      </c>
    </row>
    <row r="73" spans="1:6">
      <c r="A73" t="s">
        <v>16082</v>
      </c>
      <c r="B73" t="s">
        <v>16083</v>
      </c>
      <c r="C73" t="s">
        <v>16072</v>
      </c>
      <c r="D73" t="s">
        <v>16073</v>
      </c>
      <c r="E73">
        <v>3021.38</v>
      </c>
      <c r="F73">
        <v>3718.64</v>
      </c>
    </row>
    <row r="74" spans="1:6">
      <c r="A74" t="s">
        <v>16084</v>
      </c>
      <c r="B74" t="s">
        <v>16085</v>
      </c>
      <c r="C74" t="s">
        <v>16072</v>
      </c>
      <c r="D74" t="s">
        <v>16073</v>
      </c>
      <c r="E74">
        <v>5473.35</v>
      </c>
      <c r="F74">
        <v>7179.47</v>
      </c>
    </row>
    <row r="75" spans="1:6">
      <c r="A75" t="s">
        <v>16086</v>
      </c>
      <c r="B75" t="s">
        <v>16087</v>
      </c>
      <c r="C75" t="s">
        <v>16072</v>
      </c>
      <c r="D75" t="s">
        <v>16088</v>
      </c>
      <c r="E75">
        <v>5191.03</v>
      </c>
      <c r="F75">
        <v>6726.61</v>
      </c>
    </row>
    <row r="76" spans="1:6">
      <c r="A76" t="s">
        <v>16089</v>
      </c>
      <c r="B76" t="s">
        <v>16090</v>
      </c>
      <c r="C76" t="s">
        <v>16072</v>
      </c>
      <c r="D76" t="s">
        <v>16088</v>
      </c>
      <c r="E76">
        <v>6231.21</v>
      </c>
      <c r="F76">
        <v>7788.99</v>
      </c>
    </row>
    <row r="77" spans="1:6">
      <c r="A77" t="s">
        <v>16091</v>
      </c>
      <c r="B77" t="s">
        <v>16092</v>
      </c>
      <c r="C77" t="s">
        <v>16072</v>
      </c>
      <c r="D77" t="s">
        <v>16088</v>
      </c>
      <c r="E77">
        <v>2588.56</v>
      </c>
      <c r="F77">
        <v>3661.03</v>
      </c>
    </row>
    <row r="78" spans="1:6">
      <c r="A78" t="s">
        <v>16093</v>
      </c>
      <c r="B78" t="s">
        <v>16094</v>
      </c>
      <c r="C78" t="s">
        <v>16072</v>
      </c>
      <c r="D78" t="s">
        <v>16088</v>
      </c>
      <c r="E78">
        <v>4740.8599999999997</v>
      </c>
      <c r="F78">
        <v>6178.38</v>
      </c>
    </row>
    <row r="79" spans="1:6">
      <c r="A79" t="s">
        <v>16095</v>
      </c>
      <c r="B79" t="s">
        <v>16096</v>
      </c>
      <c r="C79" t="s">
        <v>16072</v>
      </c>
      <c r="D79" t="s">
        <v>16088</v>
      </c>
      <c r="E79">
        <v>546.83000000000004</v>
      </c>
      <c r="F79">
        <v>909.72</v>
      </c>
    </row>
    <row r="80" spans="1:6">
      <c r="A80" t="s">
        <v>16097</v>
      </c>
      <c r="B80" t="s">
        <v>16098</v>
      </c>
      <c r="C80" t="s">
        <v>16072</v>
      </c>
      <c r="D80" t="s">
        <v>16088</v>
      </c>
      <c r="E80">
        <v>5246.63</v>
      </c>
      <c r="F80">
        <v>7106.08</v>
      </c>
    </row>
    <row r="81" spans="1:6">
      <c r="A81" t="s">
        <v>16099</v>
      </c>
      <c r="B81" t="s">
        <v>16100</v>
      </c>
      <c r="C81" t="s">
        <v>16072</v>
      </c>
      <c r="D81" t="s">
        <v>16088</v>
      </c>
      <c r="E81">
        <v>945.11</v>
      </c>
      <c r="F81">
        <v>1227.0899999999999</v>
      </c>
    </row>
    <row r="82" spans="1:6">
      <c r="A82" t="s">
        <v>16101</v>
      </c>
      <c r="B82" t="s">
        <v>16102</v>
      </c>
      <c r="C82" t="s">
        <v>16072</v>
      </c>
      <c r="D82" t="s">
        <v>16103</v>
      </c>
      <c r="E82">
        <v>1050.32</v>
      </c>
      <c r="F82">
        <v>1715.72</v>
      </c>
    </row>
    <row r="83" spans="1:6">
      <c r="A83" t="s">
        <v>16104</v>
      </c>
      <c r="B83" t="s">
        <v>16105</v>
      </c>
      <c r="C83" t="s">
        <v>16072</v>
      </c>
      <c r="D83" t="s">
        <v>16103</v>
      </c>
      <c r="E83">
        <v>3377.41</v>
      </c>
      <c r="F83">
        <v>5613.98</v>
      </c>
    </row>
    <row r="84" spans="1:6">
      <c r="A84" t="s">
        <v>16106</v>
      </c>
      <c r="B84" t="s">
        <v>16107</v>
      </c>
      <c r="C84" t="s">
        <v>16072</v>
      </c>
      <c r="D84" t="s">
        <v>16103</v>
      </c>
      <c r="E84">
        <v>1097.5</v>
      </c>
      <c r="F84">
        <v>1436.28</v>
      </c>
    </row>
    <row r="85" spans="1:6">
      <c r="A85" t="s">
        <v>16108</v>
      </c>
      <c r="B85" t="s">
        <v>16109</v>
      </c>
      <c r="C85" t="s">
        <v>16072</v>
      </c>
      <c r="D85" t="s">
        <v>16103</v>
      </c>
      <c r="E85">
        <v>957.87</v>
      </c>
      <c r="F85">
        <v>1332.31</v>
      </c>
    </row>
    <row r="86" spans="1:6">
      <c r="A86" t="s">
        <v>16110</v>
      </c>
      <c r="B86" t="s">
        <v>16111</v>
      </c>
      <c r="C86" t="s">
        <v>16072</v>
      </c>
      <c r="D86" t="s">
        <v>16103</v>
      </c>
      <c r="E86">
        <v>386.39</v>
      </c>
      <c r="F86">
        <v>508.67</v>
      </c>
    </row>
    <row r="87" spans="1:6">
      <c r="A87" t="s">
        <v>16112</v>
      </c>
      <c r="B87" t="s">
        <v>16113</v>
      </c>
      <c r="C87" t="s">
        <v>16072</v>
      </c>
      <c r="D87" t="s">
        <v>16103</v>
      </c>
      <c r="E87">
        <v>1688.91</v>
      </c>
      <c r="F87">
        <v>2008.33</v>
      </c>
    </row>
    <row r="88" spans="1:6">
      <c r="A88" t="s">
        <v>16114</v>
      </c>
      <c r="B88" t="s">
        <v>16115</v>
      </c>
      <c r="C88" t="s">
        <v>16072</v>
      </c>
      <c r="D88" t="s">
        <v>16103</v>
      </c>
      <c r="E88">
        <v>1643</v>
      </c>
      <c r="F88">
        <v>2599.96</v>
      </c>
    </row>
    <row r="89" spans="1:6">
      <c r="A89" t="s">
        <v>16116</v>
      </c>
      <c r="B89" t="s">
        <v>16117</v>
      </c>
      <c r="C89" t="s">
        <v>16072</v>
      </c>
      <c r="D89" t="s">
        <v>16118</v>
      </c>
      <c r="E89">
        <v>4859.1400000000003</v>
      </c>
      <c r="F89">
        <v>7414.77</v>
      </c>
    </row>
    <row r="90" spans="1:6">
      <c r="A90" t="s">
        <v>16119</v>
      </c>
      <c r="B90" t="s">
        <v>16120</v>
      </c>
      <c r="C90" t="s">
        <v>16072</v>
      </c>
      <c r="D90" t="s">
        <v>16118</v>
      </c>
      <c r="E90">
        <v>5155.9799999999996</v>
      </c>
      <c r="F90">
        <v>7419.82</v>
      </c>
    </row>
    <row r="91" spans="1:6">
      <c r="A91" t="s">
        <v>16121</v>
      </c>
      <c r="B91" t="s">
        <v>16122</v>
      </c>
      <c r="C91" t="s">
        <v>16072</v>
      </c>
      <c r="D91" t="s">
        <v>16118</v>
      </c>
      <c r="E91">
        <v>5031.45</v>
      </c>
      <c r="F91">
        <v>6708.36</v>
      </c>
    </row>
    <row r="92" spans="1:6">
      <c r="A92" t="s">
        <v>16123</v>
      </c>
      <c r="B92" t="s">
        <v>16124</v>
      </c>
      <c r="C92" t="s">
        <v>16072</v>
      </c>
      <c r="D92" t="s">
        <v>16118</v>
      </c>
      <c r="E92">
        <v>4121.96</v>
      </c>
      <c r="F92">
        <v>5979.07</v>
      </c>
    </row>
    <row r="93" spans="1:6">
      <c r="A93" t="s">
        <v>16125</v>
      </c>
      <c r="B93" t="s">
        <v>16126</v>
      </c>
      <c r="C93" t="s">
        <v>16072</v>
      </c>
      <c r="D93" t="s">
        <v>16118</v>
      </c>
      <c r="E93">
        <v>2152.4899999999998</v>
      </c>
      <c r="F93">
        <v>3368.47</v>
      </c>
    </row>
    <row r="94" spans="1:6">
      <c r="A94" t="s">
        <v>16127</v>
      </c>
      <c r="B94" t="s">
        <v>16128</v>
      </c>
      <c r="C94" t="s">
        <v>16072</v>
      </c>
      <c r="D94" t="s">
        <v>16118</v>
      </c>
      <c r="E94">
        <v>3658.34</v>
      </c>
      <c r="F94">
        <v>4565.2299999999996</v>
      </c>
    </row>
    <row r="95" spans="1:6">
      <c r="A95" t="s">
        <v>16129</v>
      </c>
      <c r="B95" t="s">
        <v>16130</v>
      </c>
      <c r="C95" t="s">
        <v>16072</v>
      </c>
      <c r="D95" t="s">
        <v>16118</v>
      </c>
      <c r="E95">
        <v>4813.8</v>
      </c>
      <c r="F95">
        <v>7178.77</v>
      </c>
    </row>
    <row r="96" spans="1:6">
      <c r="A96" t="s">
        <v>16131</v>
      </c>
      <c r="B96" t="s">
        <v>16132</v>
      </c>
      <c r="C96" t="s">
        <v>16133</v>
      </c>
      <c r="D96" t="s">
        <v>16134</v>
      </c>
      <c r="E96">
        <v>438.09</v>
      </c>
      <c r="F96">
        <v>587.35</v>
      </c>
    </row>
    <row r="97" spans="1:6">
      <c r="A97" t="s">
        <v>16135</v>
      </c>
      <c r="B97" t="s">
        <v>16136</v>
      </c>
      <c r="C97" t="s">
        <v>16133</v>
      </c>
      <c r="D97" t="s">
        <v>16134</v>
      </c>
      <c r="E97">
        <v>1102.07</v>
      </c>
      <c r="F97">
        <v>1384.91</v>
      </c>
    </row>
    <row r="98" spans="1:6">
      <c r="A98" t="s">
        <v>16137</v>
      </c>
      <c r="B98" t="s">
        <v>16138</v>
      </c>
      <c r="C98" t="s">
        <v>16133</v>
      </c>
      <c r="D98" t="s">
        <v>16134</v>
      </c>
      <c r="E98">
        <v>763.74</v>
      </c>
      <c r="F98">
        <v>1140.1600000000001</v>
      </c>
    </row>
    <row r="99" spans="1:6">
      <c r="A99" t="s">
        <v>16139</v>
      </c>
      <c r="B99" t="s">
        <v>16140</v>
      </c>
      <c r="C99" t="s">
        <v>16133</v>
      </c>
      <c r="D99" t="s">
        <v>16134</v>
      </c>
      <c r="E99">
        <v>944.94</v>
      </c>
      <c r="F99">
        <v>1233.81</v>
      </c>
    </row>
    <row r="100" spans="1:6">
      <c r="A100" t="s">
        <v>16141</v>
      </c>
      <c r="B100" t="s">
        <v>16142</v>
      </c>
      <c r="C100" t="s">
        <v>16133</v>
      </c>
      <c r="D100" t="s">
        <v>16134</v>
      </c>
      <c r="E100">
        <v>394.86</v>
      </c>
      <c r="F100">
        <v>631.26</v>
      </c>
    </row>
    <row r="101" spans="1:6">
      <c r="A101" t="s">
        <v>16143</v>
      </c>
      <c r="B101" t="s">
        <v>16144</v>
      </c>
      <c r="C101" t="s">
        <v>16133</v>
      </c>
      <c r="D101" t="s">
        <v>16134</v>
      </c>
      <c r="E101">
        <v>77.36</v>
      </c>
      <c r="F101">
        <v>117.96</v>
      </c>
    </row>
    <row r="102" spans="1:6">
      <c r="A102" t="s">
        <v>16145</v>
      </c>
      <c r="B102" t="s">
        <v>16146</v>
      </c>
      <c r="C102" t="s">
        <v>16133</v>
      </c>
      <c r="D102" t="s">
        <v>16134</v>
      </c>
      <c r="E102">
        <v>597.84</v>
      </c>
      <c r="F102">
        <v>775.19</v>
      </c>
    </row>
    <row r="103" spans="1:6">
      <c r="A103" t="s">
        <v>16147</v>
      </c>
      <c r="B103" t="s">
        <v>16148</v>
      </c>
      <c r="C103" t="s">
        <v>16133</v>
      </c>
      <c r="D103" t="s">
        <v>16149</v>
      </c>
      <c r="E103">
        <v>759</v>
      </c>
      <c r="F103">
        <v>1282.31</v>
      </c>
    </row>
    <row r="104" spans="1:6">
      <c r="A104" t="s">
        <v>16150</v>
      </c>
      <c r="B104" t="s">
        <v>16151</v>
      </c>
      <c r="C104" t="s">
        <v>16133</v>
      </c>
      <c r="D104" t="s">
        <v>16149</v>
      </c>
      <c r="E104">
        <v>407.66</v>
      </c>
      <c r="F104">
        <v>500.73</v>
      </c>
    </row>
    <row r="105" spans="1:6">
      <c r="A105" t="s">
        <v>16152</v>
      </c>
      <c r="B105" t="s">
        <v>16153</v>
      </c>
      <c r="C105" t="s">
        <v>16133</v>
      </c>
      <c r="D105" t="s">
        <v>16149</v>
      </c>
      <c r="E105">
        <v>100.44</v>
      </c>
      <c r="F105">
        <v>152.38</v>
      </c>
    </row>
    <row r="106" spans="1:6">
      <c r="A106" t="s">
        <v>16154</v>
      </c>
      <c r="B106" t="s">
        <v>16155</v>
      </c>
      <c r="C106" t="s">
        <v>16133</v>
      </c>
      <c r="D106" t="s">
        <v>16149</v>
      </c>
      <c r="E106">
        <v>626.67999999999995</v>
      </c>
      <c r="F106">
        <v>881.18</v>
      </c>
    </row>
    <row r="107" spans="1:6">
      <c r="A107" t="s">
        <v>16156</v>
      </c>
      <c r="B107" t="s">
        <v>16157</v>
      </c>
      <c r="C107" t="s">
        <v>16133</v>
      </c>
      <c r="D107" t="s">
        <v>16149</v>
      </c>
      <c r="E107">
        <v>595.03</v>
      </c>
      <c r="F107">
        <v>817.37</v>
      </c>
    </row>
    <row r="108" spans="1:6">
      <c r="A108" t="s">
        <v>16158</v>
      </c>
      <c r="B108" t="s">
        <v>16159</v>
      </c>
      <c r="C108" t="s">
        <v>16133</v>
      </c>
      <c r="D108" t="s">
        <v>16149</v>
      </c>
      <c r="E108">
        <v>1031.67</v>
      </c>
      <c r="F108">
        <v>1494.3</v>
      </c>
    </row>
    <row r="109" spans="1:6">
      <c r="A109" t="s">
        <v>16160</v>
      </c>
      <c r="B109" t="s">
        <v>16161</v>
      </c>
      <c r="C109" t="s">
        <v>16133</v>
      </c>
      <c r="D109" t="s">
        <v>16149</v>
      </c>
      <c r="E109">
        <v>665.75</v>
      </c>
      <c r="F109">
        <v>1123.58</v>
      </c>
    </row>
    <row r="110" spans="1:6">
      <c r="A110" t="s">
        <v>16162</v>
      </c>
      <c r="B110" t="s">
        <v>16163</v>
      </c>
      <c r="C110" t="s">
        <v>16133</v>
      </c>
      <c r="D110" t="s">
        <v>16164</v>
      </c>
      <c r="E110">
        <v>510.45</v>
      </c>
      <c r="F110">
        <v>675.13</v>
      </c>
    </row>
    <row r="111" spans="1:6">
      <c r="A111" t="s">
        <v>16165</v>
      </c>
      <c r="B111" t="s">
        <v>16166</v>
      </c>
      <c r="C111" t="s">
        <v>16133</v>
      </c>
      <c r="D111" t="s">
        <v>16164</v>
      </c>
      <c r="E111">
        <v>710.59</v>
      </c>
      <c r="F111">
        <v>1053.9000000000001</v>
      </c>
    </row>
    <row r="112" spans="1:6">
      <c r="A112" t="s">
        <v>16167</v>
      </c>
      <c r="B112" t="s">
        <v>16168</v>
      </c>
      <c r="C112" t="s">
        <v>16133</v>
      </c>
      <c r="D112" t="s">
        <v>16164</v>
      </c>
      <c r="E112">
        <v>648.75</v>
      </c>
      <c r="F112">
        <v>912.62</v>
      </c>
    </row>
    <row r="113" spans="1:6">
      <c r="A113" t="s">
        <v>16169</v>
      </c>
      <c r="B113" t="s">
        <v>16170</v>
      </c>
      <c r="C113" t="s">
        <v>16133</v>
      </c>
      <c r="D113" t="s">
        <v>16164</v>
      </c>
      <c r="E113">
        <v>669.86</v>
      </c>
      <c r="F113">
        <v>985.76</v>
      </c>
    </row>
    <row r="114" spans="1:6">
      <c r="A114" t="s">
        <v>16171</v>
      </c>
      <c r="B114" t="s">
        <v>16172</v>
      </c>
      <c r="C114" t="s">
        <v>16133</v>
      </c>
      <c r="D114" t="s">
        <v>16164</v>
      </c>
      <c r="E114">
        <v>66.61</v>
      </c>
      <c r="F114">
        <v>100.32</v>
      </c>
    </row>
    <row r="115" spans="1:6">
      <c r="A115" t="s">
        <v>16173</v>
      </c>
      <c r="B115" t="s">
        <v>16174</v>
      </c>
      <c r="C115" t="s">
        <v>16133</v>
      </c>
      <c r="D115" t="s">
        <v>16164</v>
      </c>
      <c r="E115">
        <v>170.34</v>
      </c>
      <c r="F115">
        <v>252.55</v>
      </c>
    </row>
    <row r="116" spans="1:6">
      <c r="A116" t="s">
        <v>16175</v>
      </c>
      <c r="B116" t="s">
        <v>16176</v>
      </c>
      <c r="C116" t="s">
        <v>16133</v>
      </c>
      <c r="D116" t="s">
        <v>16164</v>
      </c>
      <c r="E116">
        <v>192.59</v>
      </c>
      <c r="F116">
        <v>343.15</v>
      </c>
    </row>
    <row r="117" spans="1:6">
      <c r="A117" t="s">
        <v>16177</v>
      </c>
      <c r="B117" t="s">
        <v>16178</v>
      </c>
      <c r="C117" t="s">
        <v>16133</v>
      </c>
      <c r="D117" t="s">
        <v>16179</v>
      </c>
      <c r="E117">
        <v>697.43</v>
      </c>
      <c r="F117">
        <v>1210.1500000000001</v>
      </c>
    </row>
    <row r="118" spans="1:6">
      <c r="A118" t="s">
        <v>16180</v>
      </c>
      <c r="B118" t="s">
        <v>16181</v>
      </c>
      <c r="C118" t="s">
        <v>16133</v>
      </c>
      <c r="D118" t="s">
        <v>16179</v>
      </c>
      <c r="E118">
        <v>75.33</v>
      </c>
      <c r="F118">
        <v>130.63</v>
      </c>
    </row>
    <row r="119" spans="1:6">
      <c r="A119" t="s">
        <v>16182</v>
      </c>
      <c r="B119" t="s">
        <v>16183</v>
      </c>
      <c r="C119" t="s">
        <v>16133</v>
      </c>
      <c r="D119" t="s">
        <v>16179</v>
      </c>
      <c r="E119">
        <v>1194.1400000000001</v>
      </c>
      <c r="F119">
        <v>1499.75</v>
      </c>
    </row>
    <row r="120" spans="1:6">
      <c r="A120" t="s">
        <v>16184</v>
      </c>
      <c r="B120" t="s">
        <v>16185</v>
      </c>
      <c r="C120" t="s">
        <v>16133</v>
      </c>
      <c r="D120" t="s">
        <v>16179</v>
      </c>
      <c r="E120">
        <v>222.73</v>
      </c>
      <c r="F120">
        <v>400.63</v>
      </c>
    </row>
    <row r="121" spans="1:6">
      <c r="A121" t="s">
        <v>16186</v>
      </c>
      <c r="B121" t="s">
        <v>16187</v>
      </c>
      <c r="C121" t="s">
        <v>16133</v>
      </c>
      <c r="D121" t="s">
        <v>16179</v>
      </c>
      <c r="E121">
        <v>120.99</v>
      </c>
      <c r="F121">
        <v>207.32</v>
      </c>
    </row>
    <row r="122" spans="1:6">
      <c r="A122" t="s">
        <v>16188</v>
      </c>
      <c r="B122" t="s">
        <v>16189</v>
      </c>
      <c r="C122" t="s">
        <v>16133</v>
      </c>
      <c r="D122" t="s">
        <v>16179</v>
      </c>
      <c r="E122">
        <v>683.18</v>
      </c>
      <c r="F122">
        <v>1019.45</v>
      </c>
    </row>
    <row r="123" spans="1:6">
      <c r="A123" t="s">
        <v>16190</v>
      </c>
      <c r="B123" t="s">
        <v>16191</v>
      </c>
      <c r="C123" t="s">
        <v>16133</v>
      </c>
      <c r="D123" t="s">
        <v>16179</v>
      </c>
      <c r="E123">
        <v>503.09</v>
      </c>
      <c r="F123">
        <v>777.56</v>
      </c>
    </row>
    <row r="124" spans="1:6">
      <c r="A124" t="s">
        <v>16192</v>
      </c>
      <c r="B124" t="s">
        <v>16193</v>
      </c>
      <c r="C124" t="s">
        <v>16194</v>
      </c>
      <c r="D124" t="s">
        <v>16195</v>
      </c>
      <c r="E124">
        <v>983.54</v>
      </c>
      <c r="F124">
        <v>1666.93</v>
      </c>
    </row>
    <row r="125" spans="1:6">
      <c r="A125" t="s">
        <v>16196</v>
      </c>
      <c r="B125" t="s">
        <v>16197</v>
      </c>
      <c r="C125" t="s">
        <v>16194</v>
      </c>
      <c r="D125" t="s">
        <v>16195</v>
      </c>
      <c r="E125">
        <v>1327.7</v>
      </c>
      <c r="F125">
        <v>1841.85</v>
      </c>
    </row>
    <row r="126" spans="1:6">
      <c r="A126" t="s">
        <v>16198</v>
      </c>
      <c r="B126" t="s">
        <v>16199</v>
      </c>
      <c r="C126" t="s">
        <v>16194</v>
      </c>
      <c r="D126" t="s">
        <v>16195</v>
      </c>
      <c r="E126">
        <v>1128.95</v>
      </c>
      <c r="F126">
        <v>1783.65</v>
      </c>
    </row>
    <row r="127" spans="1:6">
      <c r="A127" t="s">
        <v>16200</v>
      </c>
      <c r="B127" t="s">
        <v>16201</v>
      </c>
      <c r="C127" t="s">
        <v>16194</v>
      </c>
      <c r="D127" t="s">
        <v>16195</v>
      </c>
      <c r="E127">
        <v>2561.06</v>
      </c>
      <c r="F127">
        <v>3082.2</v>
      </c>
    </row>
    <row r="128" spans="1:6">
      <c r="A128" t="s">
        <v>16202</v>
      </c>
      <c r="B128" t="s">
        <v>16203</v>
      </c>
      <c r="C128" t="s">
        <v>16194</v>
      </c>
      <c r="D128" t="s">
        <v>16195</v>
      </c>
      <c r="E128">
        <v>1946.99</v>
      </c>
      <c r="F128">
        <v>2328.63</v>
      </c>
    </row>
    <row r="129" spans="1:6">
      <c r="A129" t="s">
        <v>16204</v>
      </c>
      <c r="B129" t="s">
        <v>16205</v>
      </c>
      <c r="C129" t="s">
        <v>16194</v>
      </c>
      <c r="D129" t="s">
        <v>16195</v>
      </c>
      <c r="E129">
        <v>1375.84</v>
      </c>
      <c r="F129">
        <v>1655.17</v>
      </c>
    </row>
    <row r="130" spans="1:6">
      <c r="A130" t="s">
        <v>16206</v>
      </c>
      <c r="B130" t="s">
        <v>16207</v>
      </c>
      <c r="C130" t="s">
        <v>16194</v>
      </c>
      <c r="D130" t="s">
        <v>16195</v>
      </c>
      <c r="E130">
        <v>2256.9699999999998</v>
      </c>
      <c r="F130">
        <v>3285.82</v>
      </c>
    </row>
    <row r="131" spans="1:6">
      <c r="A131" t="s">
        <v>16208</v>
      </c>
      <c r="B131" t="s">
        <v>16209</v>
      </c>
      <c r="C131" t="s">
        <v>16194</v>
      </c>
      <c r="D131" t="s">
        <v>16210</v>
      </c>
      <c r="E131">
        <v>2151.56</v>
      </c>
      <c r="F131">
        <v>3317.98</v>
      </c>
    </row>
    <row r="132" spans="1:6">
      <c r="A132" t="s">
        <v>16211</v>
      </c>
      <c r="B132" t="s">
        <v>16212</v>
      </c>
      <c r="C132" t="s">
        <v>16194</v>
      </c>
      <c r="D132" t="s">
        <v>16210</v>
      </c>
      <c r="E132">
        <v>3940.05</v>
      </c>
      <c r="F132">
        <v>4780.68</v>
      </c>
    </row>
    <row r="133" spans="1:6">
      <c r="A133" t="s">
        <v>16213</v>
      </c>
      <c r="B133" t="s">
        <v>16214</v>
      </c>
      <c r="C133" t="s">
        <v>16194</v>
      </c>
      <c r="D133" t="s">
        <v>16210</v>
      </c>
      <c r="E133">
        <v>3039.73</v>
      </c>
      <c r="F133">
        <v>4869.55</v>
      </c>
    </row>
    <row r="134" spans="1:6">
      <c r="A134" t="s">
        <v>16215</v>
      </c>
      <c r="B134" t="s">
        <v>16216</v>
      </c>
      <c r="C134" t="s">
        <v>16194</v>
      </c>
      <c r="D134" t="s">
        <v>16210</v>
      </c>
      <c r="E134">
        <v>2892.93</v>
      </c>
      <c r="F134">
        <v>4058.64</v>
      </c>
    </row>
    <row r="135" spans="1:6">
      <c r="A135" t="s">
        <v>16217</v>
      </c>
      <c r="B135" t="s">
        <v>16218</v>
      </c>
      <c r="C135" t="s">
        <v>16194</v>
      </c>
      <c r="D135" t="s">
        <v>16210</v>
      </c>
      <c r="E135">
        <v>2770.12</v>
      </c>
      <c r="F135">
        <v>3581.9</v>
      </c>
    </row>
    <row r="136" spans="1:6">
      <c r="A136" t="s">
        <v>16219</v>
      </c>
      <c r="B136" t="s">
        <v>16220</v>
      </c>
      <c r="C136" t="s">
        <v>16194</v>
      </c>
      <c r="D136" t="s">
        <v>16210</v>
      </c>
      <c r="E136">
        <v>1914.01</v>
      </c>
      <c r="F136">
        <v>3355.04</v>
      </c>
    </row>
    <row r="137" spans="1:6">
      <c r="A137" t="s">
        <v>16221</v>
      </c>
      <c r="B137" t="s">
        <v>16222</v>
      </c>
      <c r="C137" t="s">
        <v>16194</v>
      </c>
      <c r="D137" t="s">
        <v>16210</v>
      </c>
      <c r="E137">
        <v>1284.8900000000001</v>
      </c>
      <c r="F137">
        <v>1702.4</v>
      </c>
    </row>
    <row r="138" spans="1:6">
      <c r="A138" t="s">
        <v>16223</v>
      </c>
      <c r="B138" t="s">
        <v>16224</v>
      </c>
      <c r="C138" t="s">
        <v>16194</v>
      </c>
      <c r="D138" t="s">
        <v>16225</v>
      </c>
      <c r="E138">
        <v>2550.08</v>
      </c>
      <c r="F138">
        <v>3493.25</v>
      </c>
    </row>
    <row r="139" spans="1:6">
      <c r="A139" t="s">
        <v>16226</v>
      </c>
      <c r="B139" t="s">
        <v>16227</v>
      </c>
      <c r="C139" t="s">
        <v>16194</v>
      </c>
      <c r="D139" t="s">
        <v>16225</v>
      </c>
      <c r="E139">
        <v>3214.46</v>
      </c>
      <c r="F139">
        <v>3897.08</v>
      </c>
    </row>
    <row r="140" spans="1:6">
      <c r="A140" t="s">
        <v>16228</v>
      </c>
      <c r="B140" t="s">
        <v>16229</v>
      </c>
      <c r="C140" t="s">
        <v>16194</v>
      </c>
      <c r="D140" t="s">
        <v>16225</v>
      </c>
      <c r="E140">
        <v>591.33000000000004</v>
      </c>
      <c r="F140">
        <v>731.65</v>
      </c>
    </row>
    <row r="141" spans="1:6">
      <c r="A141" t="s">
        <v>16230</v>
      </c>
      <c r="B141" t="s">
        <v>16231</v>
      </c>
      <c r="C141" t="s">
        <v>16194</v>
      </c>
      <c r="D141" t="s">
        <v>16225</v>
      </c>
      <c r="E141">
        <v>2167.94</v>
      </c>
      <c r="F141">
        <v>3205.72</v>
      </c>
    </row>
    <row r="142" spans="1:6">
      <c r="A142" t="s">
        <v>16232</v>
      </c>
      <c r="B142" t="s">
        <v>16233</v>
      </c>
      <c r="C142" t="s">
        <v>16194</v>
      </c>
      <c r="D142" t="s">
        <v>16225</v>
      </c>
      <c r="E142">
        <v>2004.24</v>
      </c>
      <c r="F142">
        <v>3000.36</v>
      </c>
    </row>
    <row r="143" spans="1:6">
      <c r="A143" t="s">
        <v>16234</v>
      </c>
      <c r="B143" t="s">
        <v>16235</v>
      </c>
      <c r="C143" t="s">
        <v>16194</v>
      </c>
      <c r="D143" t="s">
        <v>16225</v>
      </c>
      <c r="E143">
        <v>547.09</v>
      </c>
      <c r="F143">
        <v>773.2</v>
      </c>
    </row>
    <row r="144" spans="1:6">
      <c r="A144" t="s">
        <v>16236</v>
      </c>
      <c r="B144" t="s">
        <v>16237</v>
      </c>
      <c r="C144" t="s">
        <v>16194</v>
      </c>
      <c r="D144" t="s">
        <v>16225</v>
      </c>
      <c r="E144">
        <v>2920.65</v>
      </c>
      <c r="F144">
        <v>4198.8999999999996</v>
      </c>
    </row>
    <row r="145" spans="1:6">
      <c r="A145" t="s">
        <v>16238</v>
      </c>
      <c r="B145" t="s">
        <v>16239</v>
      </c>
      <c r="C145" t="s">
        <v>16194</v>
      </c>
      <c r="D145" t="s">
        <v>16240</v>
      </c>
      <c r="E145">
        <v>720.16</v>
      </c>
      <c r="F145">
        <v>1037.07</v>
      </c>
    </row>
    <row r="146" spans="1:6">
      <c r="A146" t="s">
        <v>16241</v>
      </c>
      <c r="B146" t="s">
        <v>16242</v>
      </c>
      <c r="C146" t="s">
        <v>16194</v>
      </c>
      <c r="D146" t="s">
        <v>16240</v>
      </c>
      <c r="E146">
        <v>441.82</v>
      </c>
      <c r="F146">
        <v>543.23</v>
      </c>
    </row>
    <row r="147" spans="1:6">
      <c r="A147" t="s">
        <v>16243</v>
      </c>
      <c r="B147" t="s">
        <v>16244</v>
      </c>
      <c r="C147" t="s">
        <v>16194</v>
      </c>
      <c r="D147" t="s">
        <v>16240</v>
      </c>
      <c r="E147">
        <v>2744.04</v>
      </c>
      <c r="F147">
        <v>3309.4</v>
      </c>
    </row>
    <row r="148" spans="1:6">
      <c r="A148" t="s">
        <v>16245</v>
      </c>
      <c r="B148" t="s">
        <v>16246</v>
      </c>
      <c r="C148" t="s">
        <v>16194</v>
      </c>
      <c r="D148" t="s">
        <v>16240</v>
      </c>
      <c r="E148">
        <v>2990.01</v>
      </c>
      <c r="F148">
        <v>4084.63</v>
      </c>
    </row>
    <row r="149" spans="1:6">
      <c r="A149" t="s">
        <v>16247</v>
      </c>
      <c r="B149" t="s">
        <v>16248</v>
      </c>
      <c r="C149" t="s">
        <v>16194</v>
      </c>
      <c r="D149" t="s">
        <v>16240</v>
      </c>
      <c r="E149">
        <v>2912.56</v>
      </c>
      <c r="F149">
        <v>3430.41</v>
      </c>
    </row>
    <row r="150" spans="1:6">
      <c r="A150" t="s">
        <v>16249</v>
      </c>
      <c r="B150" t="s">
        <v>16250</v>
      </c>
      <c r="C150" t="s">
        <v>16194</v>
      </c>
      <c r="D150" t="s">
        <v>16240</v>
      </c>
      <c r="E150">
        <v>3317.06</v>
      </c>
      <c r="F150">
        <v>4294.7</v>
      </c>
    </row>
    <row r="151" spans="1:6">
      <c r="A151" t="s">
        <v>16251</v>
      </c>
      <c r="B151" t="s">
        <v>16252</v>
      </c>
      <c r="C151" t="s">
        <v>16194</v>
      </c>
      <c r="D151" t="s">
        <v>16240</v>
      </c>
      <c r="E151">
        <v>2546.5700000000002</v>
      </c>
      <c r="F151">
        <v>4199.75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095B-B688-45B8-9674-11C3AEAEEE67}">
  <dimension ref="A1:F26"/>
  <sheetViews>
    <sheetView workbookViewId="0">
      <selection activeCell="J12" sqref="J12"/>
    </sheetView>
  </sheetViews>
  <sheetFormatPr defaultRowHeight="14.4"/>
  <cols>
    <col min="1" max="1" width="10.77734375" bestFit="1" customWidth="1"/>
    <col min="2" max="2" width="20.6640625" bestFit="1" customWidth="1"/>
    <col min="3" max="3" width="10.77734375" bestFit="1" customWidth="1"/>
    <col min="4" max="4" width="12.21875" bestFit="1" customWidth="1"/>
    <col min="5" max="5" width="10.77734375" bestFit="1" customWidth="1"/>
    <col min="6" max="6" width="12.6640625" bestFit="1" customWidth="1"/>
  </cols>
  <sheetData>
    <row r="1" spans="1:6">
      <c r="A1" s="7" t="s">
        <v>16253</v>
      </c>
      <c r="B1" s="7" t="s">
        <v>16254</v>
      </c>
      <c r="C1" s="7" t="s">
        <v>4</v>
      </c>
      <c r="D1" s="7" t="s">
        <v>5</v>
      </c>
      <c r="E1" s="7" t="s">
        <v>6</v>
      </c>
      <c r="F1" s="7" t="s">
        <v>16255</v>
      </c>
    </row>
    <row r="2" spans="1:6">
      <c r="A2" s="6" t="s">
        <v>16256</v>
      </c>
      <c r="B2" s="6" t="s">
        <v>16257</v>
      </c>
      <c r="C2" s="6" t="s">
        <v>112</v>
      </c>
      <c r="D2" s="6" t="s">
        <v>113</v>
      </c>
      <c r="E2" s="6" t="s">
        <v>78</v>
      </c>
      <c r="F2" s="6" t="s">
        <v>16258</v>
      </c>
    </row>
    <row r="3" spans="1:6">
      <c r="A3" s="5" t="s">
        <v>16259</v>
      </c>
      <c r="B3" s="5" t="s">
        <v>16260</v>
      </c>
      <c r="C3" s="5" t="s">
        <v>87</v>
      </c>
      <c r="D3" s="5" t="s">
        <v>88</v>
      </c>
      <c r="E3" s="5" t="s">
        <v>78</v>
      </c>
      <c r="F3" s="5" t="s">
        <v>16261</v>
      </c>
    </row>
    <row r="4" spans="1:6">
      <c r="A4" s="6" t="s">
        <v>16262</v>
      </c>
      <c r="B4" s="6" t="s">
        <v>16263</v>
      </c>
      <c r="C4" s="6" t="s">
        <v>11</v>
      </c>
      <c r="D4" s="6" t="s">
        <v>11</v>
      </c>
      <c r="E4" s="6" t="s">
        <v>12</v>
      </c>
      <c r="F4" s="6" t="s">
        <v>16264</v>
      </c>
    </row>
    <row r="5" spans="1:6">
      <c r="A5" s="5" t="s">
        <v>16265</v>
      </c>
      <c r="B5" s="5" t="s">
        <v>16266</v>
      </c>
      <c r="C5" s="5" t="s">
        <v>134</v>
      </c>
      <c r="D5" s="5" t="s">
        <v>28</v>
      </c>
      <c r="E5" s="5" t="s">
        <v>12</v>
      </c>
      <c r="F5" s="5" t="s">
        <v>16261</v>
      </c>
    </row>
    <row r="6" spans="1:6">
      <c r="A6" s="6" t="s">
        <v>16267</v>
      </c>
      <c r="B6" s="6" t="s">
        <v>16268</v>
      </c>
      <c r="C6" s="6" t="s">
        <v>37</v>
      </c>
      <c r="D6" s="6" t="s">
        <v>38</v>
      </c>
      <c r="E6" s="6" t="s">
        <v>22</v>
      </c>
      <c r="F6" s="6" t="s">
        <v>16261</v>
      </c>
    </row>
    <row r="7" spans="1:6">
      <c r="A7" s="5" t="s">
        <v>16269</v>
      </c>
      <c r="B7" s="5" t="s">
        <v>16270</v>
      </c>
      <c r="C7" s="5" t="s">
        <v>69</v>
      </c>
      <c r="D7" s="5" t="s">
        <v>69</v>
      </c>
      <c r="E7" s="5" t="s">
        <v>12</v>
      </c>
      <c r="F7" s="5" t="s">
        <v>16261</v>
      </c>
    </row>
    <row r="8" spans="1:6">
      <c r="A8" s="6" t="s">
        <v>16271</v>
      </c>
      <c r="B8" s="6" t="s">
        <v>16272</v>
      </c>
      <c r="C8" s="6" t="s">
        <v>15</v>
      </c>
      <c r="D8" s="6" t="s">
        <v>16</v>
      </c>
      <c r="E8" s="6" t="s">
        <v>17</v>
      </c>
      <c r="F8" s="6" t="s">
        <v>16264</v>
      </c>
    </row>
    <row r="9" spans="1:6">
      <c r="A9" s="5" t="s">
        <v>16273</v>
      </c>
      <c r="B9" s="5" t="s">
        <v>16274</v>
      </c>
      <c r="C9" s="5" t="s">
        <v>101</v>
      </c>
      <c r="D9" s="5" t="s">
        <v>21</v>
      </c>
      <c r="E9" s="5" t="s">
        <v>22</v>
      </c>
      <c r="F9" s="5" t="s">
        <v>16264</v>
      </c>
    </row>
    <row r="10" spans="1:6">
      <c r="A10" s="6" t="s">
        <v>16275</v>
      </c>
      <c r="B10" s="6" t="s">
        <v>16276</v>
      </c>
      <c r="C10" s="6" t="s">
        <v>34</v>
      </c>
      <c r="D10" s="6" t="s">
        <v>16</v>
      </c>
      <c r="E10" s="6" t="s">
        <v>17</v>
      </c>
      <c r="F10" s="6" t="s">
        <v>16261</v>
      </c>
    </row>
    <row r="11" spans="1:6">
      <c r="A11" s="5" t="s">
        <v>16277</v>
      </c>
      <c r="B11" s="5" t="s">
        <v>16278</v>
      </c>
      <c r="C11" s="5" t="s">
        <v>60</v>
      </c>
      <c r="D11" s="5" t="s">
        <v>21</v>
      </c>
      <c r="E11" s="5" t="s">
        <v>22</v>
      </c>
      <c r="F11" s="5" t="s">
        <v>16258</v>
      </c>
    </row>
    <row r="12" spans="1:6">
      <c r="A12" s="6" t="s">
        <v>16279</v>
      </c>
      <c r="B12" s="6" t="s">
        <v>16280</v>
      </c>
      <c r="C12" s="6" t="s">
        <v>34</v>
      </c>
      <c r="D12" s="6" t="s">
        <v>16</v>
      </c>
      <c r="E12" s="6" t="s">
        <v>17</v>
      </c>
      <c r="F12" s="6" t="s">
        <v>16264</v>
      </c>
    </row>
    <row r="13" spans="1:6">
      <c r="A13" s="5" t="s">
        <v>16281</v>
      </c>
      <c r="B13" s="5" t="s">
        <v>16282</v>
      </c>
      <c r="C13" s="5" t="s">
        <v>60</v>
      </c>
      <c r="D13" s="5" t="s">
        <v>21</v>
      </c>
      <c r="E13" s="5" t="s">
        <v>22</v>
      </c>
      <c r="F13" s="5" t="s">
        <v>16258</v>
      </c>
    </row>
    <row r="14" spans="1:6">
      <c r="A14" s="6" t="s">
        <v>16283</v>
      </c>
      <c r="B14" s="6" t="s">
        <v>16284</v>
      </c>
      <c r="C14" s="6" t="s">
        <v>34</v>
      </c>
      <c r="D14" s="6" t="s">
        <v>16</v>
      </c>
      <c r="E14" s="6" t="s">
        <v>17</v>
      </c>
      <c r="F14" s="6" t="s">
        <v>16258</v>
      </c>
    </row>
    <row r="15" spans="1:6">
      <c r="A15" s="5" t="s">
        <v>16285</v>
      </c>
      <c r="B15" s="5" t="s">
        <v>16286</v>
      </c>
      <c r="C15" s="5" t="s">
        <v>37</v>
      </c>
      <c r="D15" s="5" t="s">
        <v>38</v>
      </c>
      <c r="E15" s="5" t="s">
        <v>22</v>
      </c>
      <c r="F15" s="5" t="s">
        <v>16261</v>
      </c>
    </row>
    <row r="16" spans="1:6">
      <c r="A16" s="6" t="s">
        <v>16287</v>
      </c>
      <c r="B16" s="6" t="s">
        <v>16288</v>
      </c>
      <c r="C16" s="6" t="s">
        <v>27</v>
      </c>
      <c r="D16" s="6" t="s">
        <v>28</v>
      </c>
      <c r="E16" s="6" t="s">
        <v>12</v>
      </c>
      <c r="F16" s="6" t="s">
        <v>16261</v>
      </c>
    </row>
    <row r="17" spans="1:6">
      <c r="A17" s="5" t="s">
        <v>16289</v>
      </c>
      <c r="B17" s="5" t="s">
        <v>16290</v>
      </c>
      <c r="C17" s="5" t="s">
        <v>45</v>
      </c>
      <c r="D17" s="5" t="s">
        <v>46</v>
      </c>
      <c r="E17" s="5" t="s">
        <v>17</v>
      </c>
      <c r="F17" s="5" t="s">
        <v>16261</v>
      </c>
    </row>
    <row r="18" spans="1:6">
      <c r="A18" s="6" t="s">
        <v>16291</v>
      </c>
      <c r="B18" s="6" t="s">
        <v>16292</v>
      </c>
      <c r="C18" s="6" t="s">
        <v>45</v>
      </c>
      <c r="D18" s="6" t="s">
        <v>46</v>
      </c>
      <c r="E18" s="6" t="s">
        <v>17</v>
      </c>
      <c r="F18" s="6" t="s">
        <v>16264</v>
      </c>
    </row>
    <row r="19" spans="1:6">
      <c r="A19" s="5" t="s">
        <v>16293</v>
      </c>
      <c r="B19" s="5" t="s">
        <v>16294</v>
      </c>
      <c r="C19" s="5" t="s">
        <v>45</v>
      </c>
      <c r="D19" s="5" t="s">
        <v>46</v>
      </c>
      <c r="E19" s="5" t="s">
        <v>17</v>
      </c>
      <c r="F19" s="5" t="s">
        <v>16258</v>
      </c>
    </row>
    <row r="20" spans="1:6">
      <c r="A20" s="6" t="s">
        <v>16295</v>
      </c>
      <c r="B20" s="6" t="s">
        <v>16296</v>
      </c>
      <c r="C20" s="6" t="s">
        <v>15</v>
      </c>
      <c r="D20" s="6" t="s">
        <v>16</v>
      </c>
      <c r="E20" s="6" t="s">
        <v>17</v>
      </c>
      <c r="F20" s="6" t="s">
        <v>16261</v>
      </c>
    </row>
    <row r="21" spans="1:6">
      <c r="A21" s="5" t="s">
        <v>16297</v>
      </c>
      <c r="B21" s="5" t="s">
        <v>16298</v>
      </c>
      <c r="C21" s="5" t="s">
        <v>63</v>
      </c>
      <c r="D21" s="5" t="s">
        <v>64</v>
      </c>
      <c r="E21" s="5" t="s">
        <v>12</v>
      </c>
      <c r="F21" s="5" t="s">
        <v>16261</v>
      </c>
    </row>
    <row r="22" spans="1:6">
      <c r="A22" s="6" t="s">
        <v>16299</v>
      </c>
      <c r="B22" s="6" t="s">
        <v>16300</v>
      </c>
      <c r="C22" s="6" t="s">
        <v>34</v>
      </c>
      <c r="D22" s="6" t="s">
        <v>16</v>
      </c>
      <c r="E22" s="6" t="s">
        <v>17</v>
      </c>
      <c r="F22" s="6" t="s">
        <v>16264</v>
      </c>
    </row>
    <row r="23" spans="1:6">
      <c r="A23" s="5" t="s">
        <v>16301</v>
      </c>
      <c r="B23" s="5" t="s">
        <v>16302</v>
      </c>
      <c r="C23" s="5" t="s">
        <v>128</v>
      </c>
      <c r="D23" s="5" t="s">
        <v>129</v>
      </c>
      <c r="E23" s="5" t="s">
        <v>78</v>
      </c>
      <c r="F23" s="5" t="s">
        <v>16264</v>
      </c>
    </row>
    <row r="24" spans="1:6">
      <c r="A24" s="6" t="s">
        <v>16303</v>
      </c>
      <c r="B24" s="6" t="s">
        <v>16304</v>
      </c>
      <c r="C24" s="6" t="s">
        <v>101</v>
      </c>
      <c r="D24" s="6" t="s">
        <v>21</v>
      </c>
      <c r="E24" s="6" t="s">
        <v>22</v>
      </c>
      <c r="F24" s="6" t="s">
        <v>16258</v>
      </c>
    </row>
    <row r="25" spans="1:6">
      <c r="A25" s="5" t="s">
        <v>16305</v>
      </c>
      <c r="B25" s="5" t="s">
        <v>16306</v>
      </c>
      <c r="C25" s="5" t="s">
        <v>34</v>
      </c>
      <c r="D25" s="5" t="s">
        <v>16</v>
      </c>
      <c r="E25" s="5" t="s">
        <v>17</v>
      </c>
      <c r="F25" s="5" t="s">
        <v>16258</v>
      </c>
    </row>
    <row r="26" spans="1:6">
      <c r="A26" s="6" t="s">
        <v>16307</v>
      </c>
      <c r="B26" s="6" t="s">
        <v>16308</v>
      </c>
      <c r="C26" s="6" t="s">
        <v>87</v>
      </c>
      <c r="D26" s="6" t="s">
        <v>88</v>
      </c>
      <c r="E26" s="6" t="s">
        <v>78</v>
      </c>
      <c r="F26" s="6" t="s">
        <v>16264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0378-D1A6-4CF9-A348-3D343AF859F2}">
  <dimension ref="A1:S1001"/>
  <sheetViews>
    <sheetView topLeftCell="A2" workbookViewId="0">
      <selection activeCell="E8" sqref="E8"/>
    </sheetView>
  </sheetViews>
  <sheetFormatPr defaultRowHeight="14.4"/>
  <cols>
    <col min="1" max="1" width="9.77734375" bestFit="1" customWidth="1"/>
    <col min="2" max="2" width="11.88671875" bestFit="1" customWidth="1"/>
    <col min="3" max="3" width="13.109375" bestFit="1" customWidth="1"/>
    <col min="4" max="4" width="16.6640625" customWidth="1"/>
    <col min="5" max="5" width="25.109375" customWidth="1"/>
    <col min="6" max="6" width="9.44140625" bestFit="1" customWidth="1"/>
    <col min="7" max="8" width="10.5546875" bestFit="1" customWidth="1"/>
    <col min="9" max="9" width="17.6640625" bestFit="1" customWidth="1"/>
    <col min="10" max="10" width="13.44140625" customWidth="1"/>
    <col min="11" max="11" width="13.33203125" customWidth="1"/>
    <col min="12" max="12" width="12.33203125" style="9" customWidth="1"/>
    <col min="13" max="13" width="13.88671875" style="9" customWidth="1"/>
    <col min="14" max="14" width="10.6640625" style="9" customWidth="1"/>
    <col min="15" max="15" width="12.44140625" style="9" customWidth="1"/>
    <col min="16" max="16" width="10.6640625" style="9" customWidth="1"/>
    <col min="17" max="17" width="12.44140625" style="9" customWidth="1"/>
    <col min="18" max="18" width="10.44140625" style="9" customWidth="1"/>
    <col min="19" max="19" width="15" customWidth="1"/>
  </cols>
  <sheetData>
    <row r="1" spans="1:19">
      <c r="A1" t="s">
        <v>16309</v>
      </c>
      <c r="B1" t="s">
        <v>16310</v>
      </c>
      <c r="C1" t="s">
        <v>0</v>
      </c>
      <c r="D1" t="s">
        <v>1</v>
      </c>
      <c r="E1" t="s">
        <v>15921</v>
      </c>
      <c r="F1" t="s">
        <v>15922</v>
      </c>
      <c r="G1" t="s">
        <v>16253</v>
      </c>
      <c r="H1" t="s">
        <v>6</v>
      </c>
      <c r="I1" t="s">
        <v>16311</v>
      </c>
      <c r="J1" t="s">
        <v>16312</v>
      </c>
      <c r="K1" t="s">
        <v>16313</v>
      </c>
      <c r="L1" s="9" t="s">
        <v>15926</v>
      </c>
      <c r="M1" s="9" t="s">
        <v>17356</v>
      </c>
      <c r="N1" s="9" t="s">
        <v>17357</v>
      </c>
      <c r="O1" s="9" t="s">
        <v>17358</v>
      </c>
      <c r="P1" s="9" t="s">
        <v>15925</v>
      </c>
      <c r="Q1" s="9" t="s">
        <v>17359</v>
      </c>
      <c r="R1" s="9" t="s">
        <v>17360</v>
      </c>
      <c r="S1" t="s">
        <v>15923</v>
      </c>
    </row>
    <row r="2" spans="1:19">
      <c r="A2" t="s">
        <v>16314</v>
      </c>
      <c r="B2" s="1">
        <v>44927</v>
      </c>
      <c r="C2" t="s">
        <v>8614</v>
      </c>
      <c r="D2" t="str">
        <f>_xlfn.XLOOKUP(tblTransactions[[#This Row],[CustomerID]],tblCustomers[CustomerID],tblCustomers[CustomerName])</f>
        <v>Riya Barman</v>
      </c>
      <c r="E2" t="s">
        <v>16200</v>
      </c>
      <c r="F2" t="str">
        <f>_xlfn.XLOOKUP(tblTransactions[[#This Row],[ProductID]],tblProducts[ProductID],tblProducts[ProductName])</f>
        <v>Face Cream D4</v>
      </c>
      <c r="G2" t="s">
        <v>16293</v>
      </c>
      <c r="H2" t="str">
        <f>_xlfn.XLOOKUP(tblTransactions[[#This Row],[StoreID]],tblStores[StoreID],tblStores[Region])</f>
        <v>South</v>
      </c>
      <c r="I2">
        <v>1</v>
      </c>
      <c r="J2">
        <v>0</v>
      </c>
      <c r="K2" t="s">
        <v>16315</v>
      </c>
      <c r="L2" s="9">
        <f>_xlfn.XLOOKUP(tblTransactions[[#This Row],[ProductID]],tblProducts[ProductID],tblProducts[UnitPrice])</f>
        <v>3082.2</v>
      </c>
      <c r="M2" s="9">
        <f>tblTransactions[[#This Row],[Quantity]]*tblTransactions[[#This Row],[UnitPrice]]</f>
        <v>3082.2</v>
      </c>
      <c r="N2" s="9">
        <f>tblTransactions[[#This Row],[GrossSales]]*tblTransactions[[#This Row],[Discount]]</f>
        <v>0</v>
      </c>
      <c r="O2" s="9">
        <f>tblTransactions[[#This Row],[GrossSales]]-tblTransactions[[#This Row],[DiscountAmount]]</f>
        <v>3082.2</v>
      </c>
      <c r="P2" s="9">
        <f>_xlfn.XLOOKUP(tblTransactions[[#This Row],[ProductID]],tblProducts[ProductID],tblProducts[UnitCost])</f>
        <v>2561.06</v>
      </c>
      <c r="Q2" s="9">
        <f>tblTransactions[[#This Row],[Quantity]]*tblTransactions[[#This Row],[UnitCost]]</f>
        <v>2561.06</v>
      </c>
      <c r="R2" s="9">
        <f>tblTransactions[[#This Row],[NetRevenue]]-tblTransactions[[#This Row],[TotalCost]]</f>
        <v>521.13999999999987</v>
      </c>
      <c r="S2" t="str">
        <f>_xlfn.XLOOKUP(tblTransactions[[#This Row],[ProductID]],tblProducts[ProductID],tblProducts[Category])</f>
        <v>Personal Care</v>
      </c>
    </row>
    <row r="3" spans="1:19">
      <c r="A3" t="s">
        <v>16316</v>
      </c>
      <c r="B3" s="1">
        <v>44927</v>
      </c>
      <c r="C3" t="s">
        <v>6831</v>
      </c>
      <c r="D3" t="str">
        <f>_xlfn.XLOOKUP(tblTransactions[[#This Row],[CustomerID]],tblCustomers[CustomerID],tblCustomers[CustomerName])</f>
        <v>Yasti Iyer</v>
      </c>
      <c r="E3" t="s">
        <v>15969</v>
      </c>
      <c r="F3" t="str">
        <f>_xlfn.XLOOKUP(tblTransactions[[#This Row],[ProductID]],tblProducts[ProductID],tblProducts[ProductName])</f>
        <v>Student Laptop D4</v>
      </c>
      <c r="G3" t="s">
        <v>16271</v>
      </c>
      <c r="H3" t="str">
        <f>_xlfn.XLOOKUP(tblTransactions[[#This Row],[StoreID]],tblStores[StoreID],tblStores[Region])</f>
        <v>South</v>
      </c>
      <c r="I3">
        <v>-1</v>
      </c>
      <c r="J3">
        <v>0</v>
      </c>
      <c r="K3" t="s">
        <v>16317</v>
      </c>
      <c r="L3" s="9">
        <f>_xlfn.XLOOKUP(tblTransactions[[#This Row],[ProductID]],tblProducts[ProductID],tblProducts[UnitPrice])</f>
        <v>21602.44</v>
      </c>
      <c r="M3" s="9">
        <f>tblTransactions[[#This Row],[Quantity]]*tblTransactions[[#This Row],[UnitPrice]]</f>
        <v>-21602.44</v>
      </c>
      <c r="N3" s="9">
        <f>tblTransactions[[#This Row],[GrossSales]]*tblTransactions[[#This Row],[Discount]]</f>
        <v>0</v>
      </c>
      <c r="O3" s="9">
        <f>tblTransactions[[#This Row],[GrossSales]]-tblTransactions[[#This Row],[DiscountAmount]]</f>
        <v>-21602.44</v>
      </c>
      <c r="P3" s="9">
        <f>_xlfn.XLOOKUP(tblTransactions[[#This Row],[ProductID]],tblProducts[ProductID],tblProducts[UnitCost])</f>
        <v>13134.58</v>
      </c>
      <c r="Q3" s="9">
        <f>tblTransactions[[#This Row],[Quantity]]*tblTransactions[[#This Row],[UnitCost]]</f>
        <v>-13134.58</v>
      </c>
      <c r="R3" s="9">
        <f>tblTransactions[[#This Row],[NetRevenue]]-tblTransactions[[#This Row],[TotalCost]]</f>
        <v>-8467.8599999999988</v>
      </c>
      <c r="S3" t="str">
        <f>_xlfn.XLOOKUP(tblTransactions[[#This Row],[ProductID]],tblProducts[ProductID],tblProducts[Category])</f>
        <v>Electronics</v>
      </c>
    </row>
    <row r="4" spans="1:19">
      <c r="A4" t="s">
        <v>16318</v>
      </c>
      <c r="B4" s="1">
        <v>44928</v>
      </c>
      <c r="C4" t="s">
        <v>7189</v>
      </c>
      <c r="D4" t="str">
        <f>_xlfn.XLOOKUP(tblTransactions[[#This Row],[CustomerID]],tblCustomers[CustomerID],tblCustomers[CustomerName])</f>
        <v>Bhavika Naidu</v>
      </c>
      <c r="E4" t="s">
        <v>15988</v>
      </c>
      <c r="F4" t="str">
        <f>_xlfn.XLOOKUP(tblTransactions[[#This Row],[ProductID]],tblProducts[ProductID],tblProducts[ProductName])</f>
        <v>Soundbar E5</v>
      </c>
      <c r="G4" t="s">
        <v>16267</v>
      </c>
      <c r="H4" t="str">
        <f>_xlfn.XLOOKUP(tblTransactions[[#This Row],[StoreID]],tblStores[StoreID],tblStores[Region])</f>
        <v>West</v>
      </c>
      <c r="I4">
        <v>3</v>
      </c>
      <c r="J4">
        <v>0.1</v>
      </c>
      <c r="K4" t="s">
        <v>16319</v>
      </c>
      <c r="L4" s="9">
        <f>_xlfn.XLOOKUP(tblTransactions[[#This Row],[ProductID]],tblProducts[ProductID],tblProducts[UnitPrice])</f>
        <v>51647.41</v>
      </c>
      <c r="M4" s="9">
        <f>tblTransactions[[#This Row],[Quantity]]*tblTransactions[[#This Row],[UnitPrice]]</f>
        <v>154942.23000000001</v>
      </c>
      <c r="N4" s="9">
        <f>tblTransactions[[#This Row],[GrossSales]]*tblTransactions[[#This Row],[Discount]]</f>
        <v>15494.223000000002</v>
      </c>
      <c r="O4" s="9">
        <f>tblTransactions[[#This Row],[GrossSales]]-tblTransactions[[#This Row],[DiscountAmount]]</f>
        <v>139448.00700000001</v>
      </c>
      <c r="P4" s="9">
        <f>_xlfn.XLOOKUP(tblTransactions[[#This Row],[ProductID]],tblProducts[ProductID],tblProducts[UnitCost])</f>
        <v>43564.65</v>
      </c>
      <c r="Q4" s="9">
        <f>tblTransactions[[#This Row],[Quantity]]*tblTransactions[[#This Row],[UnitCost]]</f>
        <v>130693.95000000001</v>
      </c>
      <c r="R4" s="9">
        <f>tblTransactions[[#This Row],[NetRevenue]]-tblTransactions[[#This Row],[TotalCost]]</f>
        <v>8754.0570000000007</v>
      </c>
      <c r="S4" t="str">
        <f>_xlfn.XLOOKUP(tblTransactions[[#This Row],[ProductID]],tblProducts[ProductID],tblProducts[Category])</f>
        <v>Electronics</v>
      </c>
    </row>
    <row r="5" spans="1:19">
      <c r="A5" t="s">
        <v>16320</v>
      </c>
      <c r="B5" s="1">
        <v>44930</v>
      </c>
      <c r="C5" t="s">
        <v>9210</v>
      </c>
      <c r="D5" t="str">
        <f>_xlfn.XLOOKUP(tblTransactions[[#This Row],[CustomerID]],tblCustomers[CustomerID],tblCustomers[CustomerName])</f>
        <v>Nirja Chandran</v>
      </c>
      <c r="E5" t="s">
        <v>16236</v>
      </c>
      <c r="F5" t="str">
        <f>_xlfn.XLOOKUP(tblTransactions[[#This Row],[ProductID]],tblProducts[ProductID],tblProducts[ProductName])</f>
        <v>Body Lotion B7</v>
      </c>
      <c r="G5" t="s">
        <v>16301</v>
      </c>
      <c r="H5" t="str">
        <f>_xlfn.XLOOKUP(tblTransactions[[#This Row],[StoreID]],tblStores[StoreID],tblStores[Region])</f>
        <v>East</v>
      </c>
      <c r="I5">
        <v>3</v>
      </c>
      <c r="J5">
        <v>0.05</v>
      </c>
      <c r="K5" t="s">
        <v>16321</v>
      </c>
      <c r="L5" s="9">
        <f>_xlfn.XLOOKUP(tblTransactions[[#This Row],[ProductID]],tblProducts[ProductID],tblProducts[UnitPrice])</f>
        <v>4198.8999999999996</v>
      </c>
      <c r="M5" s="9">
        <f>tblTransactions[[#This Row],[Quantity]]*tblTransactions[[#This Row],[UnitPrice]]</f>
        <v>12596.699999999999</v>
      </c>
      <c r="N5" s="9">
        <f>tblTransactions[[#This Row],[GrossSales]]*tblTransactions[[#This Row],[Discount]]</f>
        <v>629.83500000000004</v>
      </c>
      <c r="O5" s="9">
        <f>tblTransactions[[#This Row],[GrossSales]]-tblTransactions[[#This Row],[DiscountAmount]]</f>
        <v>11966.864999999998</v>
      </c>
      <c r="P5" s="9">
        <f>_xlfn.XLOOKUP(tblTransactions[[#This Row],[ProductID]],tblProducts[ProductID],tblProducts[UnitCost])</f>
        <v>2920.65</v>
      </c>
      <c r="Q5" s="9">
        <f>tblTransactions[[#This Row],[Quantity]]*tblTransactions[[#This Row],[UnitCost]]</f>
        <v>8761.9500000000007</v>
      </c>
      <c r="R5" s="9">
        <f>tblTransactions[[#This Row],[NetRevenue]]-tblTransactions[[#This Row],[TotalCost]]</f>
        <v>3204.9149999999972</v>
      </c>
      <c r="S5" t="str">
        <f>_xlfn.XLOOKUP(tblTransactions[[#This Row],[ProductID]],tblProducts[ProductID],tblProducts[Category])</f>
        <v>Personal Care</v>
      </c>
    </row>
    <row r="6" spans="1:19">
      <c r="A6" t="s">
        <v>16322</v>
      </c>
      <c r="B6" s="1">
        <v>44931</v>
      </c>
      <c r="C6" t="s">
        <v>1801</v>
      </c>
      <c r="D6" t="str">
        <f>_xlfn.XLOOKUP(tblTransactions[[#This Row],[CustomerID]],tblCustomers[CustomerID],tblCustomers[CustomerName])</f>
        <v>Gavin Chandran</v>
      </c>
      <c r="E6" t="s">
        <v>16078</v>
      </c>
      <c r="F6" t="str">
        <f>_xlfn.XLOOKUP(tblTransactions[[#This Row],[ProductID]],tblProducts[ProductID],tblProducts[ProductName])</f>
        <v>Men's Jacket D4</v>
      </c>
      <c r="G6" t="s">
        <v>16291</v>
      </c>
      <c r="H6" t="str">
        <f>_xlfn.XLOOKUP(tblTransactions[[#This Row],[StoreID]],tblStores[StoreID],tblStores[Region])</f>
        <v>South</v>
      </c>
      <c r="I6">
        <v>2</v>
      </c>
      <c r="J6">
        <v>0.05</v>
      </c>
      <c r="K6" t="s">
        <v>16321</v>
      </c>
      <c r="L6" s="9">
        <f>_xlfn.XLOOKUP(tblTransactions[[#This Row],[ProductID]],tblProducts[ProductID],tblProducts[UnitPrice])</f>
        <v>4654.63</v>
      </c>
      <c r="M6" s="9">
        <f>tblTransactions[[#This Row],[Quantity]]*tblTransactions[[#This Row],[UnitPrice]]</f>
        <v>9309.26</v>
      </c>
      <c r="N6" s="9">
        <f>tblTransactions[[#This Row],[GrossSales]]*tblTransactions[[#This Row],[Discount]]</f>
        <v>465.46300000000002</v>
      </c>
      <c r="O6" s="9">
        <f>tblTransactions[[#This Row],[GrossSales]]-tblTransactions[[#This Row],[DiscountAmount]]</f>
        <v>8843.7970000000005</v>
      </c>
      <c r="P6" s="9">
        <f>_xlfn.XLOOKUP(tblTransactions[[#This Row],[ProductID]],tblProducts[ProductID],tblProducts[UnitCost])</f>
        <v>2675.18</v>
      </c>
      <c r="Q6" s="9">
        <f>tblTransactions[[#This Row],[Quantity]]*tblTransactions[[#This Row],[UnitCost]]</f>
        <v>5350.36</v>
      </c>
      <c r="R6" s="9">
        <f>tblTransactions[[#This Row],[NetRevenue]]-tblTransactions[[#This Row],[TotalCost]]</f>
        <v>3493.4370000000008</v>
      </c>
      <c r="S6" t="str">
        <f>_xlfn.XLOOKUP(tblTransactions[[#This Row],[ProductID]],tblProducts[ProductID],tblProducts[Category])</f>
        <v>Clothing</v>
      </c>
    </row>
    <row r="7" spans="1:19">
      <c r="A7" t="s">
        <v>16323</v>
      </c>
      <c r="B7" s="1">
        <v>44931</v>
      </c>
      <c r="C7" t="s">
        <v>4666</v>
      </c>
      <c r="D7" t="str">
        <f>_xlfn.XLOOKUP(tblTransactions[[#This Row],[CustomerID]],tblCustomers[CustomerID],tblCustomers[CustomerName])</f>
        <v>Hitesh Saraf</v>
      </c>
      <c r="E7" t="s">
        <v>16034</v>
      </c>
      <c r="F7" t="str">
        <f>_xlfn.XLOOKUP(tblTransactions[[#This Row],[ProductID]],tblProducts[ProductID],tblProducts[ProductName])</f>
        <v>Bookshelf E5</v>
      </c>
      <c r="G7" t="s">
        <v>16271</v>
      </c>
      <c r="H7" t="str">
        <f>_xlfn.XLOOKUP(tblTransactions[[#This Row],[StoreID]],tblStores[StoreID],tblStores[Region])</f>
        <v>South</v>
      </c>
      <c r="I7">
        <v>1</v>
      </c>
      <c r="J7">
        <v>0</v>
      </c>
      <c r="K7" t="s">
        <v>16315</v>
      </c>
      <c r="L7" s="9">
        <f>_xlfn.XLOOKUP(tblTransactions[[#This Row],[ProductID]],tblProducts[ProductID],tblProducts[UnitPrice])</f>
        <v>14006.13</v>
      </c>
      <c r="M7" s="9">
        <f>tblTransactions[[#This Row],[Quantity]]*tblTransactions[[#This Row],[UnitPrice]]</f>
        <v>14006.13</v>
      </c>
      <c r="N7" s="9">
        <f>tblTransactions[[#This Row],[GrossSales]]*tblTransactions[[#This Row],[Discount]]</f>
        <v>0</v>
      </c>
      <c r="O7" s="9">
        <f>tblTransactions[[#This Row],[GrossSales]]-tblTransactions[[#This Row],[DiscountAmount]]</f>
        <v>14006.13</v>
      </c>
      <c r="P7" s="9">
        <f>_xlfn.XLOOKUP(tblTransactions[[#This Row],[ProductID]],tblProducts[ProductID],tblProducts[UnitCost])</f>
        <v>9829.2800000000007</v>
      </c>
      <c r="Q7" s="9">
        <f>tblTransactions[[#This Row],[Quantity]]*tblTransactions[[#This Row],[UnitCost]]</f>
        <v>9829.2800000000007</v>
      </c>
      <c r="R7" s="9">
        <f>tblTransactions[[#This Row],[NetRevenue]]-tblTransactions[[#This Row],[TotalCost]]</f>
        <v>4176.8499999999985</v>
      </c>
      <c r="S7" t="str">
        <f>_xlfn.XLOOKUP(tblTransactions[[#This Row],[ProductID]],tblProducts[ProductID],tblProducts[Category])</f>
        <v>Home &amp; Kitchen</v>
      </c>
    </row>
    <row r="8" spans="1:19">
      <c r="A8" t="s">
        <v>16324</v>
      </c>
      <c r="B8" s="1">
        <v>44932</v>
      </c>
      <c r="C8" t="s">
        <v>5720</v>
      </c>
      <c r="D8" t="str">
        <f>_xlfn.XLOOKUP(tblTransactions[[#This Row],[CustomerID]],tblCustomers[CustomerID],tblCustomers[CustomerName])</f>
        <v>Varsha Mahal</v>
      </c>
      <c r="E8" t="s">
        <v>16152</v>
      </c>
      <c r="F8" t="str">
        <f>_xlfn.XLOOKUP(tblTransactions[[#This Row],[ProductID]],tblProducts[ProductID],tblProducts[ProductName])</f>
        <v>Chips C3</v>
      </c>
      <c r="G8" t="s">
        <v>16301</v>
      </c>
      <c r="H8" t="str">
        <f>_xlfn.XLOOKUP(tblTransactions[[#This Row],[StoreID]],tblStores[StoreID],tblStores[Region])</f>
        <v>East</v>
      </c>
      <c r="I8">
        <v>3</v>
      </c>
      <c r="J8">
        <v>0.05</v>
      </c>
      <c r="K8" t="s">
        <v>16325</v>
      </c>
      <c r="L8" s="9">
        <f>_xlfn.XLOOKUP(tblTransactions[[#This Row],[ProductID]],tblProducts[ProductID],tblProducts[UnitPrice])</f>
        <v>152.38</v>
      </c>
      <c r="M8" s="9">
        <f>tblTransactions[[#This Row],[Quantity]]*tblTransactions[[#This Row],[UnitPrice]]</f>
        <v>457.14</v>
      </c>
      <c r="N8" s="9">
        <f>tblTransactions[[#This Row],[GrossSales]]*tblTransactions[[#This Row],[Discount]]</f>
        <v>22.856999999999999</v>
      </c>
      <c r="O8" s="9">
        <f>tblTransactions[[#This Row],[GrossSales]]-tblTransactions[[#This Row],[DiscountAmount]]</f>
        <v>434.28300000000002</v>
      </c>
      <c r="P8" s="9">
        <f>_xlfn.XLOOKUP(tblTransactions[[#This Row],[ProductID]],tblProducts[ProductID],tblProducts[UnitCost])</f>
        <v>100.44</v>
      </c>
      <c r="Q8" s="9">
        <f>tblTransactions[[#This Row],[Quantity]]*tblTransactions[[#This Row],[UnitCost]]</f>
        <v>301.32</v>
      </c>
      <c r="R8" s="9">
        <f>tblTransactions[[#This Row],[NetRevenue]]-tblTransactions[[#This Row],[TotalCost]]</f>
        <v>132.96300000000002</v>
      </c>
      <c r="S8" t="str">
        <f>_xlfn.XLOOKUP(tblTransactions[[#This Row],[ProductID]],tblProducts[ProductID],tblProducts[Category])</f>
        <v>Grocery</v>
      </c>
    </row>
    <row r="9" spans="1:19">
      <c r="A9" t="s">
        <v>16326</v>
      </c>
      <c r="B9" s="1">
        <v>44935</v>
      </c>
      <c r="C9" t="s">
        <v>5343</v>
      </c>
      <c r="D9" t="str">
        <f>_xlfn.XLOOKUP(tblTransactions[[#This Row],[CustomerID]],tblCustomers[CustomerID],tblCustomers[CustomerName])</f>
        <v>Shravya Gala</v>
      </c>
      <c r="E9" t="s">
        <v>16055</v>
      </c>
      <c r="F9" t="str">
        <f>_xlfn.XLOOKUP(tblTransactions[[#This Row],[ProductID]],tblProducts[ProductID],tblProducts[ProductName])</f>
        <v>Wall Clock A1</v>
      </c>
      <c r="G9" t="s">
        <v>16305</v>
      </c>
      <c r="H9" t="str">
        <f>_xlfn.XLOOKUP(tblTransactions[[#This Row],[StoreID]],tblStores[StoreID],tblStores[Region])</f>
        <v>South</v>
      </c>
      <c r="I9">
        <v>2</v>
      </c>
      <c r="J9">
        <v>0</v>
      </c>
      <c r="K9" t="s">
        <v>16317</v>
      </c>
      <c r="L9" s="9">
        <f>_xlfn.XLOOKUP(tblTransactions[[#This Row],[ProductID]],tblProducts[ProductID],tblProducts[UnitPrice])</f>
        <v>4187.79</v>
      </c>
      <c r="M9" s="9">
        <f>tblTransactions[[#This Row],[Quantity]]*tblTransactions[[#This Row],[UnitPrice]]</f>
        <v>8375.58</v>
      </c>
      <c r="N9" s="9">
        <f>tblTransactions[[#This Row],[GrossSales]]*tblTransactions[[#This Row],[Discount]]</f>
        <v>0</v>
      </c>
      <c r="O9" s="9">
        <f>tblTransactions[[#This Row],[GrossSales]]-tblTransactions[[#This Row],[DiscountAmount]]</f>
        <v>8375.58</v>
      </c>
      <c r="P9" s="9">
        <f>_xlfn.XLOOKUP(tblTransactions[[#This Row],[ProductID]],tblProducts[ProductID],tblProducts[UnitCost])</f>
        <v>2951.03</v>
      </c>
      <c r="Q9" s="9">
        <f>tblTransactions[[#This Row],[Quantity]]*tblTransactions[[#This Row],[UnitCost]]</f>
        <v>5902.06</v>
      </c>
      <c r="R9" s="9">
        <f>tblTransactions[[#This Row],[NetRevenue]]-tblTransactions[[#This Row],[TotalCost]]</f>
        <v>2473.5199999999995</v>
      </c>
      <c r="S9" t="str">
        <f>_xlfn.XLOOKUP(tblTransactions[[#This Row],[ProductID]],tblProducts[ProductID],tblProducts[Category])</f>
        <v>Home &amp; Kitchen</v>
      </c>
    </row>
    <row r="10" spans="1:19">
      <c r="A10" t="s">
        <v>16327</v>
      </c>
      <c r="B10" s="1">
        <v>44936</v>
      </c>
      <c r="C10" t="s">
        <v>11120</v>
      </c>
      <c r="D10" t="str">
        <f>_xlfn.XLOOKUP(tblTransactions[[#This Row],[CustomerID]],tblCustomers[CustomerID],tblCustomers[CustomerName])</f>
        <v>Manan Choudhury</v>
      </c>
      <c r="E10" t="s">
        <v>16241</v>
      </c>
      <c r="F10" t="str">
        <f>_xlfn.XLOOKUP(tblTransactions[[#This Row],[ProductID]],tblProducts[ProductID],tblProducts[ProductName])</f>
        <v>Shaving Kit B2</v>
      </c>
      <c r="G10" t="s">
        <v>16299</v>
      </c>
      <c r="H10" t="str">
        <f>_xlfn.XLOOKUP(tblTransactions[[#This Row],[StoreID]],tblStores[StoreID],tblStores[Region])</f>
        <v>South</v>
      </c>
      <c r="I10">
        <v>1</v>
      </c>
      <c r="J10">
        <v>0.1</v>
      </c>
      <c r="K10" t="s">
        <v>16321</v>
      </c>
      <c r="L10" s="9">
        <f>_xlfn.XLOOKUP(tblTransactions[[#This Row],[ProductID]],tblProducts[ProductID],tblProducts[UnitPrice])</f>
        <v>543.23</v>
      </c>
      <c r="M10" s="9">
        <f>tblTransactions[[#This Row],[Quantity]]*tblTransactions[[#This Row],[UnitPrice]]</f>
        <v>543.23</v>
      </c>
      <c r="N10" s="9">
        <f>tblTransactions[[#This Row],[GrossSales]]*tblTransactions[[#This Row],[Discount]]</f>
        <v>54.323000000000008</v>
      </c>
      <c r="O10" s="9">
        <f>tblTransactions[[#This Row],[GrossSales]]-tblTransactions[[#This Row],[DiscountAmount]]</f>
        <v>488.90700000000004</v>
      </c>
      <c r="P10" s="9">
        <f>_xlfn.XLOOKUP(tblTransactions[[#This Row],[ProductID]],tblProducts[ProductID],tblProducts[UnitCost])</f>
        <v>441.82</v>
      </c>
      <c r="Q10" s="9">
        <f>tblTransactions[[#This Row],[Quantity]]*tblTransactions[[#This Row],[UnitCost]]</f>
        <v>441.82</v>
      </c>
      <c r="R10" s="9">
        <f>tblTransactions[[#This Row],[NetRevenue]]-tblTransactions[[#This Row],[TotalCost]]</f>
        <v>47.087000000000046</v>
      </c>
      <c r="S10" t="str">
        <f>_xlfn.XLOOKUP(tblTransactions[[#This Row],[ProductID]],tblProducts[ProductID],tblProducts[Category])</f>
        <v>Personal Care</v>
      </c>
    </row>
    <row r="11" spans="1:19">
      <c r="A11" t="s">
        <v>16328</v>
      </c>
      <c r="B11" s="1">
        <v>44936</v>
      </c>
      <c r="C11" t="s">
        <v>14841</v>
      </c>
      <c r="D11" t="str">
        <f>_xlfn.XLOOKUP(tblTransactions[[#This Row],[CustomerID]],tblCustomers[CustomerID],tblCustomers[CustomerName])</f>
        <v>Maya Mane</v>
      </c>
      <c r="E11" t="s">
        <v>16110</v>
      </c>
      <c r="F11" t="str">
        <f>_xlfn.XLOOKUP(tblTransactions[[#This Row],[ProductID]],tblProducts[ProductID],tblProducts[ProductName])</f>
        <v>Kids T-Shirt E5</v>
      </c>
      <c r="G11" t="s">
        <v>16273</v>
      </c>
      <c r="H11" t="str">
        <f>_xlfn.XLOOKUP(tblTransactions[[#This Row],[StoreID]],tblStores[StoreID],tblStores[Region])</f>
        <v>West</v>
      </c>
      <c r="I11">
        <v>1</v>
      </c>
      <c r="J11">
        <v>0.15</v>
      </c>
      <c r="K11" t="s">
        <v>16325</v>
      </c>
      <c r="L11" s="9">
        <f>_xlfn.XLOOKUP(tblTransactions[[#This Row],[ProductID]],tblProducts[ProductID],tblProducts[UnitPrice])</f>
        <v>508.67</v>
      </c>
      <c r="M11" s="9">
        <f>tblTransactions[[#This Row],[Quantity]]*tblTransactions[[#This Row],[UnitPrice]]</f>
        <v>508.67</v>
      </c>
      <c r="N11" s="9">
        <f>tblTransactions[[#This Row],[GrossSales]]*tblTransactions[[#This Row],[Discount]]</f>
        <v>76.3005</v>
      </c>
      <c r="O11" s="9">
        <f>tblTransactions[[#This Row],[GrossSales]]-tblTransactions[[#This Row],[DiscountAmount]]</f>
        <v>432.36950000000002</v>
      </c>
      <c r="P11" s="9">
        <f>_xlfn.XLOOKUP(tblTransactions[[#This Row],[ProductID]],tblProducts[ProductID],tblProducts[UnitCost])</f>
        <v>386.39</v>
      </c>
      <c r="Q11" s="9">
        <f>tblTransactions[[#This Row],[Quantity]]*tblTransactions[[#This Row],[UnitCost]]</f>
        <v>386.39</v>
      </c>
      <c r="R11" s="9">
        <f>tblTransactions[[#This Row],[NetRevenue]]-tblTransactions[[#This Row],[TotalCost]]</f>
        <v>45.97950000000003</v>
      </c>
      <c r="S11" t="str">
        <f>_xlfn.XLOOKUP(tblTransactions[[#This Row],[ProductID]],tblProducts[ProductID],tblProducts[Category])</f>
        <v>Clothing</v>
      </c>
    </row>
    <row r="12" spans="1:19">
      <c r="A12" t="s">
        <v>16329</v>
      </c>
      <c r="B12" s="1">
        <v>44938</v>
      </c>
      <c r="C12" t="s">
        <v>1645</v>
      </c>
      <c r="D12" t="str">
        <f>_xlfn.XLOOKUP(tblTransactions[[#This Row],[CustomerID]],tblCustomers[CustomerID],tblCustomers[CustomerName])</f>
        <v>Sanaya Prasad</v>
      </c>
      <c r="E12" t="s">
        <v>16089</v>
      </c>
      <c r="F12" t="str">
        <f>_xlfn.XLOOKUP(tblTransactions[[#This Row],[ProductID]],tblProducts[ProductID],tblProducts[ProductName])</f>
        <v>Women's Jeans B2</v>
      </c>
      <c r="G12" t="s">
        <v>16295</v>
      </c>
      <c r="H12" t="str">
        <f>_xlfn.XLOOKUP(tblTransactions[[#This Row],[StoreID]],tblStores[StoreID],tblStores[Region])</f>
        <v>South</v>
      </c>
      <c r="I12">
        <v>1</v>
      </c>
      <c r="J12">
        <v>0.05</v>
      </c>
      <c r="K12" t="s">
        <v>16317</v>
      </c>
      <c r="L12" s="9">
        <f>_xlfn.XLOOKUP(tblTransactions[[#This Row],[ProductID]],tblProducts[ProductID],tblProducts[UnitPrice])</f>
        <v>7788.99</v>
      </c>
      <c r="M12" s="9">
        <f>tblTransactions[[#This Row],[Quantity]]*tblTransactions[[#This Row],[UnitPrice]]</f>
        <v>7788.99</v>
      </c>
      <c r="N12" s="9">
        <f>tblTransactions[[#This Row],[GrossSales]]*tblTransactions[[#This Row],[Discount]]</f>
        <v>389.4495</v>
      </c>
      <c r="O12" s="9">
        <f>tblTransactions[[#This Row],[GrossSales]]-tblTransactions[[#This Row],[DiscountAmount]]</f>
        <v>7399.5405000000001</v>
      </c>
      <c r="P12" s="9">
        <f>_xlfn.XLOOKUP(tblTransactions[[#This Row],[ProductID]],tblProducts[ProductID],tblProducts[UnitCost])</f>
        <v>6231.21</v>
      </c>
      <c r="Q12" s="9">
        <f>tblTransactions[[#This Row],[Quantity]]*tblTransactions[[#This Row],[UnitCost]]</f>
        <v>6231.21</v>
      </c>
      <c r="R12" s="9">
        <f>tblTransactions[[#This Row],[NetRevenue]]-tblTransactions[[#This Row],[TotalCost]]</f>
        <v>1168.3305</v>
      </c>
      <c r="S12" t="str">
        <f>_xlfn.XLOOKUP(tblTransactions[[#This Row],[ProductID]],tblProducts[ProductID],tblProducts[Category])</f>
        <v>Clothing</v>
      </c>
    </row>
    <row r="13" spans="1:19">
      <c r="A13" t="s">
        <v>16330</v>
      </c>
      <c r="B13" s="1">
        <v>44939</v>
      </c>
      <c r="C13" t="s">
        <v>10261</v>
      </c>
      <c r="D13" t="str">
        <f>_xlfn.XLOOKUP(tblTransactions[[#This Row],[CustomerID]],tblCustomers[CustomerID],tblCustomers[CustomerName])</f>
        <v>Upkaar Baral</v>
      </c>
      <c r="E13" t="s">
        <v>16013</v>
      </c>
      <c r="F13" t="str">
        <f>_xlfn.XLOOKUP(tblTransactions[[#This Row],[ProductID]],tblProducts[ProductID],tblProducts[ProductName])</f>
        <v>Electric Kettle B2</v>
      </c>
      <c r="G13" t="s">
        <v>16273</v>
      </c>
      <c r="H13" t="str">
        <f>_xlfn.XLOOKUP(tblTransactions[[#This Row],[StoreID]],tblStores[StoreID],tblStores[Region])</f>
        <v>West</v>
      </c>
      <c r="I13">
        <v>2</v>
      </c>
      <c r="J13">
        <v>0</v>
      </c>
      <c r="K13" t="s">
        <v>16317</v>
      </c>
      <c r="L13" s="9">
        <f>_xlfn.XLOOKUP(tblTransactions[[#This Row],[ProductID]],tblProducts[ProductID],tblProducts[UnitPrice])</f>
        <v>10664.54</v>
      </c>
      <c r="M13" s="9">
        <f>tblTransactions[[#This Row],[Quantity]]*tblTransactions[[#This Row],[UnitPrice]]</f>
        <v>21329.08</v>
      </c>
      <c r="N13" s="9">
        <f>tblTransactions[[#This Row],[GrossSales]]*tblTransactions[[#This Row],[Discount]]</f>
        <v>0</v>
      </c>
      <c r="O13" s="9">
        <f>tblTransactions[[#This Row],[GrossSales]]-tblTransactions[[#This Row],[DiscountAmount]]</f>
        <v>21329.08</v>
      </c>
      <c r="P13" s="9">
        <f>_xlfn.XLOOKUP(tblTransactions[[#This Row],[ProductID]],tblProducts[ProductID],tblProducts[UnitCost])</f>
        <v>8430.75</v>
      </c>
      <c r="Q13" s="9">
        <f>tblTransactions[[#This Row],[Quantity]]*tblTransactions[[#This Row],[UnitCost]]</f>
        <v>16861.5</v>
      </c>
      <c r="R13" s="9">
        <f>tblTransactions[[#This Row],[NetRevenue]]-tblTransactions[[#This Row],[TotalCost]]</f>
        <v>4467.5800000000017</v>
      </c>
      <c r="S13" t="str">
        <f>_xlfn.XLOOKUP(tblTransactions[[#This Row],[ProductID]],tblProducts[ProductID],tblProducts[Category])</f>
        <v>Home &amp; Kitchen</v>
      </c>
    </row>
    <row r="14" spans="1:19">
      <c r="A14" t="s">
        <v>16331</v>
      </c>
      <c r="B14" s="1">
        <v>44939</v>
      </c>
      <c r="C14" t="s">
        <v>542</v>
      </c>
      <c r="D14" t="str">
        <f>_xlfn.XLOOKUP(tblTransactions[[#This Row],[CustomerID]],tblCustomers[CustomerID],tblCustomers[CustomerName])</f>
        <v>Neha Magar</v>
      </c>
      <c r="E14" t="s">
        <v>16070</v>
      </c>
      <c r="F14" t="str">
        <f>_xlfn.XLOOKUP(tblTransactions[[#This Row],[ProductID]],tblProducts[ProductID],tblProducts[ProductName])</f>
        <v>Men's T-Shirt A1</v>
      </c>
      <c r="G14" t="s">
        <v>16262</v>
      </c>
      <c r="H14" t="str">
        <f>_xlfn.XLOOKUP(tblTransactions[[#This Row],[StoreID]],tblStores[StoreID],tblStores[Region])</f>
        <v>North</v>
      </c>
      <c r="I14">
        <v>4</v>
      </c>
      <c r="J14">
        <v>0.05</v>
      </c>
      <c r="K14" t="s">
        <v>16317</v>
      </c>
      <c r="L14" s="9">
        <f>_xlfn.XLOOKUP(tblTransactions[[#This Row],[ProductID]],tblProducts[ProductID],tblProducts[UnitPrice])</f>
        <v>6357.9</v>
      </c>
      <c r="M14" s="9">
        <f>tblTransactions[[#This Row],[Quantity]]*tblTransactions[[#This Row],[UnitPrice]]</f>
        <v>25431.599999999999</v>
      </c>
      <c r="N14" s="9">
        <f>tblTransactions[[#This Row],[GrossSales]]*tblTransactions[[#This Row],[Discount]]</f>
        <v>1271.58</v>
      </c>
      <c r="O14" s="9">
        <f>tblTransactions[[#This Row],[GrossSales]]-tblTransactions[[#This Row],[DiscountAmount]]</f>
        <v>24160.019999999997</v>
      </c>
      <c r="P14" s="9">
        <f>_xlfn.XLOOKUP(tblTransactions[[#This Row],[ProductID]],tblProducts[ProductID],tblProducts[UnitCost])</f>
        <v>4895.43</v>
      </c>
      <c r="Q14" s="9">
        <f>tblTransactions[[#This Row],[Quantity]]*tblTransactions[[#This Row],[UnitCost]]</f>
        <v>19581.72</v>
      </c>
      <c r="R14" s="9">
        <f>tblTransactions[[#This Row],[NetRevenue]]-tblTransactions[[#This Row],[TotalCost]]</f>
        <v>4578.2999999999956</v>
      </c>
      <c r="S14" t="str">
        <f>_xlfn.XLOOKUP(tblTransactions[[#This Row],[ProductID]],tblProducts[ProductID],tblProducts[Category])</f>
        <v>Clothing</v>
      </c>
    </row>
    <row r="15" spans="1:19">
      <c r="A15" t="s">
        <v>16332</v>
      </c>
      <c r="B15" s="1">
        <v>44941</v>
      </c>
      <c r="C15" t="s">
        <v>9162</v>
      </c>
      <c r="D15" t="str">
        <f>_xlfn.XLOOKUP(tblTransactions[[#This Row],[CustomerID]],tblCustomers[CustomerID],tblCustomers[CustomerName])</f>
        <v>Aadi Thaman</v>
      </c>
      <c r="E15" t="s">
        <v>16053</v>
      </c>
      <c r="F15" t="str">
        <f>_xlfn.XLOOKUP(tblTransactions[[#This Row],[ProductID]],tblProducts[ProductID],tblProducts[ProductName])</f>
        <v>Pressure Cooker B7</v>
      </c>
      <c r="G15" t="s">
        <v>16256</v>
      </c>
      <c r="H15" t="str">
        <f>_xlfn.XLOOKUP(tblTransactions[[#This Row],[StoreID]],tblStores[StoreID],tblStores[Region])</f>
        <v>East</v>
      </c>
      <c r="I15">
        <v>2</v>
      </c>
      <c r="J15">
        <v>0.05</v>
      </c>
      <c r="K15" t="s">
        <v>16317</v>
      </c>
      <c r="L15" s="9">
        <f>_xlfn.XLOOKUP(tblTransactions[[#This Row],[ProductID]],tblProducts[ProductID],tblProducts[UnitPrice])</f>
        <v>24743.52</v>
      </c>
      <c r="M15" s="9">
        <f>tblTransactions[[#This Row],[Quantity]]*tblTransactions[[#This Row],[UnitPrice]]</f>
        <v>49487.040000000001</v>
      </c>
      <c r="N15" s="9">
        <f>tblTransactions[[#This Row],[GrossSales]]*tblTransactions[[#This Row],[Discount]]</f>
        <v>2474.3520000000003</v>
      </c>
      <c r="O15" s="9">
        <f>tblTransactions[[#This Row],[GrossSales]]-tblTransactions[[#This Row],[DiscountAmount]]</f>
        <v>47012.688000000002</v>
      </c>
      <c r="P15" s="9">
        <f>_xlfn.XLOOKUP(tblTransactions[[#This Row],[ProductID]],tblProducts[ProductID],tblProducts[UnitCost])</f>
        <v>16620.189999999999</v>
      </c>
      <c r="Q15" s="9">
        <f>tblTransactions[[#This Row],[Quantity]]*tblTransactions[[#This Row],[UnitCost]]</f>
        <v>33240.379999999997</v>
      </c>
      <c r="R15" s="9">
        <f>tblTransactions[[#This Row],[NetRevenue]]-tblTransactions[[#This Row],[TotalCost]]</f>
        <v>13772.308000000005</v>
      </c>
      <c r="S15" t="str">
        <f>_xlfn.XLOOKUP(tblTransactions[[#This Row],[ProductID]],tblProducts[ProductID],tblProducts[Category])</f>
        <v>Home &amp; Kitchen</v>
      </c>
    </row>
    <row r="16" spans="1:19">
      <c r="A16" t="s">
        <v>16333</v>
      </c>
      <c r="B16" s="1">
        <v>44942</v>
      </c>
      <c r="C16" t="s">
        <v>1424</v>
      </c>
      <c r="D16" t="str">
        <f>_xlfn.XLOOKUP(tblTransactions[[#This Row],[CustomerID]],tblCustomers[CustomerID],tblCustomers[CustomerName])</f>
        <v>Lakshmi Vohra</v>
      </c>
      <c r="E16" t="s">
        <v>16204</v>
      </c>
      <c r="F16" t="str">
        <f>_xlfn.XLOOKUP(tblTransactions[[#This Row],[ProductID]],tblProducts[ProductID],tblProducts[ProductName])</f>
        <v>Moisturizer A6</v>
      </c>
      <c r="G16" t="s">
        <v>16269</v>
      </c>
      <c r="H16" t="str">
        <f>_xlfn.XLOOKUP(tblTransactions[[#This Row],[StoreID]],tblStores[StoreID],tblStores[Region])</f>
        <v>North</v>
      </c>
      <c r="I16">
        <v>1</v>
      </c>
      <c r="J16">
        <v>0.05</v>
      </c>
      <c r="K16" t="s">
        <v>16315</v>
      </c>
      <c r="L16" s="9">
        <f>_xlfn.XLOOKUP(tblTransactions[[#This Row],[ProductID]],tblProducts[ProductID],tblProducts[UnitPrice])</f>
        <v>1655.17</v>
      </c>
      <c r="M16" s="9">
        <f>tblTransactions[[#This Row],[Quantity]]*tblTransactions[[#This Row],[UnitPrice]]</f>
        <v>1655.17</v>
      </c>
      <c r="N16" s="9">
        <f>tblTransactions[[#This Row],[GrossSales]]*tblTransactions[[#This Row],[Discount]]</f>
        <v>82.758500000000012</v>
      </c>
      <c r="O16" s="9">
        <f>tblTransactions[[#This Row],[GrossSales]]-tblTransactions[[#This Row],[DiscountAmount]]</f>
        <v>1572.4115000000002</v>
      </c>
      <c r="P16" s="9">
        <f>_xlfn.XLOOKUP(tblTransactions[[#This Row],[ProductID]],tblProducts[ProductID],tblProducts[UnitCost])</f>
        <v>1375.84</v>
      </c>
      <c r="Q16" s="9">
        <f>tblTransactions[[#This Row],[Quantity]]*tblTransactions[[#This Row],[UnitCost]]</f>
        <v>1375.84</v>
      </c>
      <c r="R16" s="9">
        <f>tblTransactions[[#This Row],[NetRevenue]]-tblTransactions[[#This Row],[TotalCost]]</f>
        <v>196.57150000000024</v>
      </c>
      <c r="S16" t="str">
        <f>_xlfn.XLOOKUP(tblTransactions[[#This Row],[ProductID]],tblProducts[ProductID],tblProducts[Category])</f>
        <v>Personal Care</v>
      </c>
    </row>
    <row r="17" spans="1:19">
      <c r="A17" t="s">
        <v>16334</v>
      </c>
      <c r="B17" s="1">
        <v>44943</v>
      </c>
      <c r="C17" t="s">
        <v>52</v>
      </c>
      <c r="D17" t="str">
        <f>_xlfn.XLOOKUP(tblTransactions[[#This Row],[CustomerID]],tblCustomers[CustomerID],tblCustomers[CustomerName])</f>
        <v>Tripti Yadav</v>
      </c>
      <c r="E17" t="s">
        <v>16074</v>
      </c>
      <c r="F17" t="str">
        <f>_xlfn.XLOOKUP(tblTransactions[[#This Row],[ProductID]],tblProducts[ProductID],tblProducts[ProductName])</f>
        <v>Men's T-Shirt B2</v>
      </c>
      <c r="G17" t="s">
        <v>16299</v>
      </c>
      <c r="H17" t="str">
        <f>_xlfn.XLOOKUP(tblTransactions[[#This Row],[StoreID]],tblStores[StoreID],tblStores[Region])</f>
        <v>South</v>
      </c>
      <c r="I17">
        <v>4</v>
      </c>
      <c r="J17">
        <v>0.2</v>
      </c>
      <c r="K17" t="s">
        <v>16315</v>
      </c>
      <c r="L17" s="9">
        <f>_xlfn.XLOOKUP(tblTransactions[[#This Row],[ProductID]],tblProducts[ProductID],tblProducts[UnitPrice])</f>
        <v>5944.75</v>
      </c>
      <c r="M17" s="9">
        <f>tblTransactions[[#This Row],[Quantity]]*tblTransactions[[#This Row],[UnitPrice]]</f>
        <v>23779</v>
      </c>
      <c r="N17" s="9">
        <f>tblTransactions[[#This Row],[GrossSales]]*tblTransactions[[#This Row],[Discount]]</f>
        <v>4755.8</v>
      </c>
      <c r="O17" s="9">
        <f>tblTransactions[[#This Row],[GrossSales]]-tblTransactions[[#This Row],[DiscountAmount]]</f>
        <v>19023.2</v>
      </c>
      <c r="P17" s="9">
        <f>_xlfn.XLOOKUP(tblTransactions[[#This Row],[ProductID]],tblProducts[ProductID],tblProducts[UnitCost])</f>
        <v>4447.5200000000004</v>
      </c>
      <c r="Q17" s="9">
        <f>tblTransactions[[#This Row],[Quantity]]*tblTransactions[[#This Row],[UnitCost]]</f>
        <v>17790.080000000002</v>
      </c>
      <c r="R17" s="9">
        <f>tblTransactions[[#This Row],[NetRevenue]]-tblTransactions[[#This Row],[TotalCost]]</f>
        <v>1233.119999999999</v>
      </c>
      <c r="S17" t="str">
        <f>_xlfn.XLOOKUP(tblTransactions[[#This Row],[ProductID]],tblProducts[ProductID],tblProducts[Category])</f>
        <v>Clothing</v>
      </c>
    </row>
    <row r="18" spans="1:19">
      <c r="A18" t="s">
        <v>16335</v>
      </c>
      <c r="B18" s="1">
        <v>44944</v>
      </c>
      <c r="C18" t="s">
        <v>13683</v>
      </c>
      <c r="D18" t="str">
        <f>_xlfn.XLOOKUP(tblTransactions[[#This Row],[CustomerID]],tblCustomers[CustomerID],tblCustomers[CustomerName])</f>
        <v>Yahvi Bhatti</v>
      </c>
      <c r="E18" t="s">
        <v>15948</v>
      </c>
      <c r="F18" t="str">
        <f>_xlfn.XLOOKUP(tblTransactions[[#This Row],[ProductID]],tblProducts[ProductID],tblProducts[ProductName])</f>
        <v>Budget Smartphone B2</v>
      </c>
      <c r="G18" t="s">
        <v>16271</v>
      </c>
      <c r="H18" t="str">
        <f>_xlfn.XLOOKUP(tblTransactions[[#This Row],[StoreID]],tblStores[StoreID],tblStores[Region])</f>
        <v>South</v>
      </c>
      <c r="I18">
        <v>3</v>
      </c>
      <c r="J18">
        <v>0</v>
      </c>
      <c r="K18" t="s">
        <v>16321</v>
      </c>
      <c r="L18" s="9">
        <f>_xlfn.XLOOKUP(tblTransactions[[#This Row],[ProductID]],tblProducts[ProductID],tblProducts[UnitPrice])</f>
        <v>4404.4399999999996</v>
      </c>
      <c r="M18" s="9">
        <f>tblTransactions[[#This Row],[Quantity]]*tblTransactions[[#This Row],[UnitPrice]]</f>
        <v>13213.32</v>
      </c>
      <c r="N18" s="9">
        <f>tblTransactions[[#This Row],[GrossSales]]*tblTransactions[[#This Row],[Discount]]</f>
        <v>0</v>
      </c>
      <c r="O18" s="9">
        <f>tblTransactions[[#This Row],[GrossSales]]-tblTransactions[[#This Row],[DiscountAmount]]</f>
        <v>13213.32</v>
      </c>
      <c r="P18" s="9">
        <f>_xlfn.XLOOKUP(tblTransactions[[#This Row],[ProductID]],tblProducts[ProductID],tblProducts[UnitCost])</f>
        <v>3239.84</v>
      </c>
      <c r="Q18" s="9">
        <f>tblTransactions[[#This Row],[Quantity]]*tblTransactions[[#This Row],[UnitCost]]</f>
        <v>9719.52</v>
      </c>
      <c r="R18" s="9">
        <f>tblTransactions[[#This Row],[NetRevenue]]-tblTransactions[[#This Row],[TotalCost]]</f>
        <v>3493.7999999999993</v>
      </c>
      <c r="S18" t="str">
        <f>_xlfn.XLOOKUP(tblTransactions[[#This Row],[ProductID]],tblProducts[ProductID],tblProducts[Category])</f>
        <v>Electronics</v>
      </c>
    </row>
    <row r="19" spans="1:19">
      <c r="A19" t="s">
        <v>16336</v>
      </c>
      <c r="B19" s="1">
        <v>44947</v>
      </c>
      <c r="C19" t="s">
        <v>11213</v>
      </c>
      <c r="D19" t="str">
        <f>_xlfn.XLOOKUP(tblTransactions[[#This Row],[CustomerID]],tblCustomers[CustomerID],tblCustomers[CustomerName])</f>
        <v>Caleb Kumar</v>
      </c>
      <c r="E19" t="s">
        <v>16177</v>
      </c>
      <c r="F19" t="str">
        <f>_xlfn.XLOOKUP(tblTransactions[[#This Row],[ProductID]],tblProducts[ProductID],tblProducts[ProductName])</f>
        <v>Instant Noodles A1</v>
      </c>
      <c r="G19" t="s">
        <v>16269</v>
      </c>
      <c r="H19" t="str">
        <f>_xlfn.XLOOKUP(tblTransactions[[#This Row],[StoreID]],tblStores[StoreID],tblStores[Region])</f>
        <v>North</v>
      </c>
      <c r="I19">
        <v>1</v>
      </c>
      <c r="J19">
        <v>0.05</v>
      </c>
      <c r="K19" t="s">
        <v>16317</v>
      </c>
      <c r="L19" s="9">
        <f>_xlfn.XLOOKUP(tblTransactions[[#This Row],[ProductID]],tblProducts[ProductID],tblProducts[UnitPrice])</f>
        <v>1210.1500000000001</v>
      </c>
      <c r="M19" s="9">
        <f>tblTransactions[[#This Row],[Quantity]]*tblTransactions[[#This Row],[UnitPrice]]</f>
        <v>1210.1500000000001</v>
      </c>
      <c r="N19" s="9">
        <f>tblTransactions[[#This Row],[GrossSales]]*tblTransactions[[#This Row],[Discount]]</f>
        <v>60.507500000000007</v>
      </c>
      <c r="O19" s="9">
        <f>tblTransactions[[#This Row],[GrossSales]]-tblTransactions[[#This Row],[DiscountAmount]]</f>
        <v>1149.6425000000002</v>
      </c>
      <c r="P19" s="9">
        <f>_xlfn.XLOOKUP(tblTransactions[[#This Row],[ProductID]],tblProducts[ProductID],tblProducts[UnitCost])</f>
        <v>697.43</v>
      </c>
      <c r="Q19" s="9">
        <f>tblTransactions[[#This Row],[Quantity]]*tblTransactions[[#This Row],[UnitCost]]</f>
        <v>697.43</v>
      </c>
      <c r="R19" s="9">
        <f>tblTransactions[[#This Row],[NetRevenue]]-tblTransactions[[#This Row],[TotalCost]]</f>
        <v>452.2125000000002</v>
      </c>
      <c r="S19" t="str">
        <f>_xlfn.XLOOKUP(tblTransactions[[#This Row],[ProductID]],tblProducts[ProductID],tblProducts[Category])</f>
        <v>Grocery</v>
      </c>
    </row>
    <row r="20" spans="1:19">
      <c r="A20" t="s">
        <v>16337</v>
      </c>
      <c r="B20" s="1">
        <v>44948</v>
      </c>
      <c r="C20" t="s">
        <v>770</v>
      </c>
      <c r="D20" t="str">
        <f>_xlfn.XLOOKUP(tblTransactions[[#This Row],[CustomerID]],tblCustomers[CustomerID],tblCustomers[CustomerName])</f>
        <v>Tara Balasubramanian</v>
      </c>
      <c r="E20" t="s">
        <v>16165</v>
      </c>
      <c r="F20" t="str">
        <f>_xlfn.XLOOKUP(tblTransactions[[#This Row],[ProductID]],tblProducts[ProductID],tblProducts[ProductName])</f>
        <v>Juice B2</v>
      </c>
      <c r="G20" t="s">
        <v>16293</v>
      </c>
      <c r="H20" t="str">
        <f>_xlfn.XLOOKUP(tblTransactions[[#This Row],[StoreID]],tblStores[StoreID],tblStores[Region])</f>
        <v>South</v>
      </c>
      <c r="I20">
        <v>1</v>
      </c>
      <c r="J20">
        <v>0</v>
      </c>
      <c r="K20" t="s">
        <v>16317</v>
      </c>
      <c r="L20" s="9">
        <f>_xlfn.XLOOKUP(tblTransactions[[#This Row],[ProductID]],tblProducts[ProductID],tblProducts[UnitPrice])</f>
        <v>1053.9000000000001</v>
      </c>
      <c r="M20" s="9">
        <f>tblTransactions[[#This Row],[Quantity]]*tblTransactions[[#This Row],[UnitPrice]]</f>
        <v>1053.9000000000001</v>
      </c>
      <c r="N20" s="9">
        <f>tblTransactions[[#This Row],[GrossSales]]*tblTransactions[[#This Row],[Discount]]</f>
        <v>0</v>
      </c>
      <c r="O20" s="9">
        <f>tblTransactions[[#This Row],[GrossSales]]-tblTransactions[[#This Row],[DiscountAmount]]</f>
        <v>1053.9000000000001</v>
      </c>
      <c r="P20" s="9">
        <f>_xlfn.XLOOKUP(tblTransactions[[#This Row],[ProductID]],tblProducts[ProductID],tblProducts[UnitCost])</f>
        <v>710.59</v>
      </c>
      <c r="Q20" s="9">
        <f>tblTransactions[[#This Row],[Quantity]]*tblTransactions[[#This Row],[UnitCost]]</f>
        <v>710.59</v>
      </c>
      <c r="R20" s="9">
        <f>tblTransactions[[#This Row],[NetRevenue]]-tblTransactions[[#This Row],[TotalCost]]</f>
        <v>343.31000000000006</v>
      </c>
      <c r="S20" t="str">
        <f>_xlfn.XLOOKUP(tblTransactions[[#This Row],[ProductID]],tblProducts[ProductID],tblProducts[Category])</f>
        <v>Grocery</v>
      </c>
    </row>
    <row r="21" spans="1:19">
      <c r="A21" t="s">
        <v>16338</v>
      </c>
      <c r="B21" s="1">
        <v>44949</v>
      </c>
      <c r="C21" t="s">
        <v>12918</v>
      </c>
      <c r="D21" t="str">
        <f>_xlfn.XLOOKUP(tblTransactions[[#This Row],[CustomerID]],tblCustomers[CustomerID],tblCustomers[CustomerName])</f>
        <v>Victor Pau</v>
      </c>
      <c r="E21" t="s">
        <v>15958</v>
      </c>
      <c r="F21" t="str">
        <f>_xlfn.XLOOKUP(tblTransactions[[#This Row],[ProductID]],tblProducts[ProductID],tblProducts[ProductName])</f>
        <v>Budget Smartphone B7</v>
      </c>
      <c r="G21" t="s">
        <v>16301</v>
      </c>
      <c r="H21" t="str">
        <f>_xlfn.XLOOKUP(tblTransactions[[#This Row],[StoreID]],tblStores[StoreID],tblStores[Region])</f>
        <v>East</v>
      </c>
      <c r="I21">
        <v>2</v>
      </c>
      <c r="J21">
        <v>0</v>
      </c>
      <c r="K21" t="s">
        <v>16319</v>
      </c>
      <c r="L21" s="9">
        <f>_xlfn.XLOOKUP(tblTransactions[[#This Row],[ProductID]],tblProducts[ProductID],tblProducts[UnitPrice])</f>
        <v>61606.59</v>
      </c>
      <c r="M21" s="9">
        <f>tblTransactions[[#This Row],[Quantity]]*tblTransactions[[#This Row],[UnitPrice]]</f>
        <v>123213.18</v>
      </c>
      <c r="N21" s="9">
        <f>tblTransactions[[#This Row],[GrossSales]]*tblTransactions[[#This Row],[Discount]]</f>
        <v>0</v>
      </c>
      <c r="O21" s="9">
        <f>tblTransactions[[#This Row],[GrossSales]]-tblTransactions[[#This Row],[DiscountAmount]]</f>
        <v>123213.18</v>
      </c>
      <c r="P21" s="9">
        <f>_xlfn.XLOOKUP(tblTransactions[[#This Row],[ProductID]],tblProducts[ProductID],tblProducts[UnitCost])</f>
        <v>36366.370000000003</v>
      </c>
      <c r="Q21" s="9">
        <f>tblTransactions[[#This Row],[Quantity]]*tblTransactions[[#This Row],[UnitCost]]</f>
        <v>72732.740000000005</v>
      </c>
      <c r="R21" s="9">
        <f>tblTransactions[[#This Row],[NetRevenue]]-tblTransactions[[#This Row],[TotalCost]]</f>
        <v>50480.439999999988</v>
      </c>
      <c r="S21" t="str">
        <f>_xlfn.XLOOKUP(tblTransactions[[#This Row],[ProductID]],tblProducts[ProductID],tblProducts[Category])</f>
        <v>Electronics</v>
      </c>
    </row>
    <row r="22" spans="1:19">
      <c r="A22" t="s">
        <v>16339</v>
      </c>
      <c r="B22" s="1">
        <v>44950</v>
      </c>
      <c r="C22" t="s">
        <v>137</v>
      </c>
      <c r="D22" t="str">
        <f>_xlfn.XLOOKUP(tblTransactions[[#This Row],[CustomerID]],tblCustomers[CustomerID],tblCustomers[CustomerName])</f>
        <v>Ekapad Walia</v>
      </c>
      <c r="E22" t="s">
        <v>16112</v>
      </c>
      <c r="F22" t="str">
        <f>_xlfn.XLOOKUP(tblTransactions[[#This Row],[ProductID]],tblProducts[ProductID],tblProducts[ProductName])</f>
        <v>Kids T-Shirt A6</v>
      </c>
      <c r="G22" t="s">
        <v>16285</v>
      </c>
      <c r="H22" t="str">
        <f>_xlfn.XLOOKUP(tblTransactions[[#This Row],[StoreID]],tblStores[StoreID],tblStores[Region])</f>
        <v>West</v>
      </c>
      <c r="I22">
        <v>2</v>
      </c>
      <c r="J22">
        <v>0.05</v>
      </c>
      <c r="K22" t="s">
        <v>16315</v>
      </c>
      <c r="L22" s="9">
        <f>_xlfn.XLOOKUP(tblTransactions[[#This Row],[ProductID]],tblProducts[ProductID],tblProducts[UnitPrice])</f>
        <v>2008.33</v>
      </c>
      <c r="M22" s="9">
        <f>tblTransactions[[#This Row],[Quantity]]*tblTransactions[[#This Row],[UnitPrice]]</f>
        <v>4016.66</v>
      </c>
      <c r="N22" s="9">
        <f>tblTransactions[[#This Row],[GrossSales]]*tblTransactions[[#This Row],[Discount]]</f>
        <v>200.833</v>
      </c>
      <c r="O22" s="9">
        <f>tblTransactions[[#This Row],[GrossSales]]-tblTransactions[[#This Row],[DiscountAmount]]</f>
        <v>3815.8269999999998</v>
      </c>
      <c r="P22" s="9">
        <f>_xlfn.XLOOKUP(tblTransactions[[#This Row],[ProductID]],tblProducts[ProductID],tblProducts[UnitCost])</f>
        <v>1688.91</v>
      </c>
      <c r="Q22" s="9">
        <f>tblTransactions[[#This Row],[Quantity]]*tblTransactions[[#This Row],[UnitCost]]</f>
        <v>3377.82</v>
      </c>
      <c r="R22" s="9">
        <f>tblTransactions[[#This Row],[NetRevenue]]-tblTransactions[[#This Row],[TotalCost]]</f>
        <v>438.00699999999961</v>
      </c>
      <c r="S22" t="str">
        <f>_xlfn.XLOOKUP(tblTransactions[[#This Row],[ProductID]],tblProducts[ProductID],tblProducts[Category])</f>
        <v>Clothing</v>
      </c>
    </row>
    <row r="23" spans="1:19">
      <c r="A23" t="s">
        <v>16340</v>
      </c>
      <c r="B23" s="1">
        <v>44951</v>
      </c>
      <c r="C23" t="s">
        <v>6016</v>
      </c>
      <c r="D23" t="str">
        <f>_xlfn.XLOOKUP(tblTransactions[[#This Row],[CustomerID]],tblCustomers[CustomerID],tblCustomers[CustomerName])</f>
        <v>Chavvi Kannan</v>
      </c>
      <c r="E23" t="s">
        <v>16234</v>
      </c>
      <c r="F23" t="str">
        <f>_xlfn.XLOOKUP(tblTransactions[[#This Row],[ProductID]],tblProducts[ProductID],tblProducts[ProductName])</f>
        <v>Body Lotion A6</v>
      </c>
      <c r="G23" t="s">
        <v>16262</v>
      </c>
      <c r="H23" t="str">
        <f>_xlfn.XLOOKUP(tblTransactions[[#This Row],[StoreID]],tblStores[StoreID],tblStores[Region])</f>
        <v>North</v>
      </c>
      <c r="I23">
        <v>1</v>
      </c>
      <c r="J23">
        <v>0.1</v>
      </c>
      <c r="K23" t="s">
        <v>16317</v>
      </c>
      <c r="L23" s="9">
        <f>_xlfn.XLOOKUP(tblTransactions[[#This Row],[ProductID]],tblProducts[ProductID],tblProducts[UnitPrice])</f>
        <v>773.2</v>
      </c>
      <c r="M23" s="9">
        <f>tblTransactions[[#This Row],[Quantity]]*tblTransactions[[#This Row],[UnitPrice]]</f>
        <v>773.2</v>
      </c>
      <c r="N23" s="9">
        <f>tblTransactions[[#This Row],[GrossSales]]*tblTransactions[[#This Row],[Discount]]</f>
        <v>77.320000000000007</v>
      </c>
      <c r="O23" s="9">
        <f>tblTransactions[[#This Row],[GrossSales]]-tblTransactions[[#This Row],[DiscountAmount]]</f>
        <v>695.88</v>
      </c>
      <c r="P23" s="9">
        <f>_xlfn.XLOOKUP(tblTransactions[[#This Row],[ProductID]],tblProducts[ProductID],tblProducts[UnitCost])</f>
        <v>547.09</v>
      </c>
      <c r="Q23" s="9">
        <f>tblTransactions[[#This Row],[Quantity]]*tblTransactions[[#This Row],[UnitCost]]</f>
        <v>547.09</v>
      </c>
      <c r="R23" s="9">
        <f>tblTransactions[[#This Row],[NetRevenue]]-tblTransactions[[#This Row],[TotalCost]]</f>
        <v>148.78999999999996</v>
      </c>
      <c r="S23" t="str">
        <f>_xlfn.XLOOKUP(tblTransactions[[#This Row],[ProductID]],tblProducts[ProductID],tblProducts[Category])</f>
        <v>Personal Care</v>
      </c>
    </row>
    <row r="24" spans="1:19">
      <c r="A24" t="s">
        <v>16341</v>
      </c>
      <c r="B24" s="1">
        <v>44951</v>
      </c>
      <c r="C24" t="s">
        <v>5430</v>
      </c>
      <c r="D24" t="str">
        <f>_xlfn.XLOOKUP(tblTransactions[[#This Row],[CustomerID]],tblCustomers[CustomerID],tblCustomers[CustomerName])</f>
        <v>Ansh Dash</v>
      </c>
      <c r="E24" t="s">
        <v>16211</v>
      </c>
      <c r="F24" t="str">
        <f>_xlfn.XLOOKUP(tblTransactions[[#This Row],[ProductID]],tblProducts[ProductID],tblProducts[ProductName])</f>
        <v>Hair Serum B2</v>
      </c>
      <c r="G24" t="s">
        <v>16259</v>
      </c>
      <c r="H24" t="str">
        <f>_xlfn.XLOOKUP(tblTransactions[[#This Row],[StoreID]],tblStores[StoreID],tblStores[Region])</f>
        <v>East</v>
      </c>
      <c r="I24">
        <v>1</v>
      </c>
      <c r="J24">
        <v>0</v>
      </c>
      <c r="K24" t="s">
        <v>16317</v>
      </c>
      <c r="L24" s="9">
        <f>_xlfn.XLOOKUP(tblTransactions[[#This Row],[ProductID]],tblProducts[ProductID],tblProducts[UnitPrice])</f>
        <v>4780.68</v>
      </c>
      <c r="M24" s="9">
        <f>tblTransactions[[#This Row],[Quantity]]*tblTransactions[[#This Row],[UnitPrice]]</f>
        <v>4780.68</v>
      </c>
      <c r="N24" s="9">
        <f>tblTransactions[[#This Row],[GrossSales]]*tblTransactions[[#This Row],[Discount]]</f>
        <v>0</v>
      </c>
      <c r="O24" s="9">
        <f>tblTransactions[[#This Row],[GrossSales]]-tblTransactions[[#This Row],[DiscountAmount]]</f>
        <v>4780.68</v>
      </c>
      <c r="P24" s="9">
        <f>_xlfn.XLOOKUP(tblTransactions[[#This Row],[ProductID]],tblProducts[ProductID],tblProducts[UnitCost])</f>
        <v>3940.05</v>
      </c>
      <c r="Q24" s="9">
        <f>tblTransactions[[#This Row],[Quantity]]*tblTransactions[[#This Row],[UnitCost]]</f>
        <v>3940.05</v>
      </c>
      <c r="R24" s="9">
        <f>tblTransactions[[#This Row],[NetRevenue]]-tblTransactions[[#This Row],[TotalCost]]</f>
        <v>840.63000000000011</v>
      </c>
      <c r="S24" t="str">
        <f>_xlfn.XLOOKUP(tblTransactions[[#This Row],[ProductID]],tblProducts[ProductID],tblProducts[Category])</f>
        <v>Personal Care</v>
      </c>
    </row>
    <row r="25" spans="1:19">
      <c r="A25" t="s">
        <v>16342</v>
      </c>
      <c r="B25" s="1">
        <v>44952</v>
      </c>
      <c r="C25" t="s">
        <v>12195</v>
      </c>
      <c r="D25" t="str">
        <f>_xlfn.XLOOKUP(tblTransactions[[#This Row],[CustomerID]],tblCustomers[CustomerID],tblCustomers[CustomerName])</f>
        <v>Ekiya Dixit</v>
      </c>
      <c r="E25" t="s">
        <v>16198</v>
      </c>
      <c r="F25" t="str">
        <f>_xlfn.XLOOKUP(tblTransactions[[#This Row],[ProductID]],tblProducts[ProductID],tblProducts[ProductName])</f>
        <v>Face Wash C3</v>
      </c>
      <c r="G25" t="s">
        <v>16295</v>
      </c>
      <c r="H25" t="str">
        <f>_xlfn.XLOOKUP(tblTransactions[[#This Row],[StoreID]],tblStores[StoreID],tblStores[Region])</f>
        <v>South</v>
      </c>
      <c r="I25">
        <v>2</v>
      </c>
      <c r="J25">
        <v>0</v>
      </c>
      <c r="K25" t="s">
        <v>16317</v>
      </c>
      <c r="L25" s="9">
        <f>_xlfn.XLOOKUP(tblTransactions[[#This Row],[ProductID]],tblProducts[ProductID],tblProducts[UnitPrice])</f>
        <v>1783.65</v>
      </c>
      <c r="M25" s="9">
        <f>tblTransactions[[#This Row],[Quantity]]*tblTransactions[[#This Row],[UnitPrice]]</f>
        <v>3567.3</v>
      </c>
      <c r="N25" s="9">
        <f>tblTransactions[[#This Row],[GrossSales]]*tblTransactions[[#This Row],[Discount]]</f>
        <v>0</v>
      </c>
      <c r="O25" s="9">
        <f>tblTransactions[[#This Row],[GrossSales]]-tblTransactions[[#This Row],[DiscountAmount]]</f>
        <v>3567.3</v>
      </c>
      <c r="P25" s="9">
        <f>_xlfn.XLOOKUP(tblTransactions[[#This Row],[ProductID]],tblProducts[ProductID],tblProducts[UnitCost])</f>
        <v>1128.95</v>
      </c>
      <c r="Q25" s="9">
        <f>tblTransactions[[#This Row],[Quantity]]*tblTransactions[[#This Row],[UnitCost]]</f>
        <v>2257.9</v>
      </c>
      <c r="R25" s="9">
        <f>tblTransactions[[#This Row],[NetRevenue]]-tblTransactions[[#This Row],[TotalCost]]</f>
        <v>1309.4000000000001</v>
      </c>
      <c r="S25" t="str">
        <f>_xlfn.XLOOKUP(tblTransactions[[#This Row],[ProductID]],tblProducts[ProductID],tblProducts[Category])</f>
        <v>Personal Care</v>
      </c>
    </row>
    <row r="26" spans="1:19">
      <c r="A26" t="s">
        <v>16343</v>
      </c>
      <c r="B26" s="1">
        <v>44954</v>
      </c>
      <c r="C26" t="s">
        <v>6991</v>
      </c>
      <c r="D26" t="str">
        <f>_xlfn.XLOOKUP(tblTransactions[[#This Row],[CustomerID]],tblCustomers[CustomerID],tblCustomers[CustomerName])</f>
        <v>Faraj Bose</v>
      </c>
      <c r="E26" t="s">
        <v>16160</v>
      </c>
      <c r="F26" t="str">
        <f>_xlfn.XLOOKUP(tblTransactions[[#This Row],[ProductID]],tblProducts[ProductID],tblProducts[ProductName])</f>
        <v>Namkeen B7</v>
      </c>
      <c r="G26" t="s">
        <v>16305</v>
      </c>
      <c r="H26" t="str">
        <f>_xlfn.XLOOKUP(tblTransactions[[#This Row],[StoreID]],tblStores[StoreID],tblStores[Region])</f>
        <v>South</v>
      </c>
      <c r="I26">
        <v>2</v>
      </c>
      <c r="J26">
        <v>0.05</v>
      </c>
      <c r="K26" t="s">
        <v>16317</v>
      </c>
      <c r="L26" s="9">
        <f>_xlfn.XLOOKUP(tblTransactions[[#This Row],[ProductID]],tblProducts[ProductID],tblProducts[UnitPrice])</f>
        <v>1123.58</v>
      </c>
      <c r="M26" s="9">
        <f>tblTransactions[[#This Row],[Quantity]]*tblTransactions[[#This Row],[UnitPrice]]</f>
        <v>2247.16</v>
      </c>
      <c r="N26" s="9">
        <f>tblTransactions[[#This Row],[GrossSales]]*tblTransactions[[#This Row],[Discount]]</f>
        <v>112.358</v>
      </c>
      <c r="O26" s="9">
        <f>tblTransactions[[#This Row],[GrossSales]]-tblTransactions[[#This Row],[DiscountAmount]]</f>
        <v>2134.8019999999997</v>
      </c>
      <c r="P26" s="9">
        <f>_xlfn.XLOOKUP(tblTransactions[[#This Row],[ProductID]],tblProducts[ProductID],tblProducts[UnitCost])</f>
        <v>665.75</v>
      </c>
      <c r="Q26" s="9">
        <f>tblTransactions[[#This Row],[Quantity]]*tblTransactions[[#This Row],[UnitCost]]</f>
        <v>1331.5</v>
      </c>
      <c r="R26" s="9">
        <f>tblTransactions[[#This Row],[NetRevenue]]-tblTransactions[[#This Row],[TotalCost]]</f>
        <v>803.30199999999968</v>
      </c>
      <c r="S26" t="str">
        <f>_xlfn.XLOOKUP(tblTransactions[[#This Row],[ProductID]],tblProducts[ProductID],tblProducts[Category])</f>
        <v>Grocery</v>
      </c>
    </row>
    <row r="27" spans="1:19">
      <c r="A27" t="s">
        <v>16344</v>
      </c>
      <c r="B27" s="1">
        <v>44954</v>
      </c>
      <c r="C27" t="s">
        <v>5764</v>
      </c>
      <c r="D27" t="str">
        <f>_xlfn.XLOOKUP(tblTransactions[[#This Row],[CustomerID]],tblCustomers[CustomerID],tblCustomers[CustomerName])</f>
        <v>Jagrati Mall</v>
      </c>
      <c r="E27" t="s">
        <v>16091</v>
      </c>
      <c r="F27" t="str">
        <f>_xlfn.XLOOKUP(tblTransactions[[#This Row],[ProductID]],tblProducts[ProductID],tblProducts[ProductName])</f>
        <v>Women's Jacket C3</v>
      </c>
      <c r="G27" t="s">
        <v>16267</v>
      </c>
      <c r="H27" t="str">
        <f>_xlfn.XLOOKUP(tblTransactions[[#This Row],[StoreID]],tblStores[StoreID],tblStores[Region])</f>
        <v>West</v>
      </c>
      <c r="I27">
        <v>4</v>
      </c>
      <c r="J27">
        <v>0.2</v>
      </c>
      <c r="K27" t="s">
        <v>16315</v>
      </c>
      <c r="L27" s="9">
        <f>_xlfn.XLOOKUP(tblTransactions[[#This Row],[ProductID]],tblProducts[ProductID],tblProducts[UnitPrice])</f>
        <v>3661.03</v>
      </c>
      <c r="M27" s="9">
        <f>tblTransactions[[#This Row],[Quantity]]*tblTransactions[[#This Row],[UnitPrice]]</f>
        <v>14644.12</v>
      </c>
      <c r="N27" s="9">
        <f>tblTransactions[[#This Row],[GrossSales]]*tblTransactions[[#This Row],[Discount]]</f>
        <v>2928.8240000000005</v>
      </c>
      <c r="O27" s="9">
        <f>tblTransactions[[#This Row],[GrossSales]]-tblTransactions[[#This Row],[DiscountAmount]]</f>
        <v>11715.296</v>
      </c>
      <c r="P27" s="9">
        <f>_xlfn.XLOOKUP(tblTransactions[[#This Row],[ProductID]],tblProducts[ProductID],tblProducts[UnitCost])</f>
        <v>2588.56</v>
      </c>
      <c r="Q27" s="9">
        <f>tblTransactions[[#This Row],[Quantity]]*tblTransactions[[#This Row],[UnitCost]]</f>
        <v>10354.24</v>
      </c>
      <c r="R27" s="9">
        <f>tblTransactions[[#This Row],[NetRevenue]]-tblTransactions[[#This Row],[TotalCost]]</f>
        <v>1361.0560000000005</v>
      </c>
      <c r="S27" t="str">
        <f>_xlfn.XLOOKUP(tblTransactions[[#This Row],[ProductID]],tblProducts[ProductID],tblProducts[Category])</f>
        <v>Clothing</v>
      </c>
    </row>
    <row r="28" spans="1:19">
      <c r="A28" t="s">
        <v>16345</v>
      </c>
      <c r="B28" s="1">
        <v>44954</v>
      </c>
      <c r="C28" t="s">
        <v>11245</v>
      </c>
      <c r="D28" t="str">
        <f>_xlfn.XLOOKUP(tblTransactions[[#This Row],[CustomerID]],tblCustomers[CustomerID],tblCustomers[CustomerName])</f>
        <v>Meera Puri</v>
      </c>
      <c r="E28" t="s">
        <v>16106</v>
      </c>
      <c r="F28" t="str">
        <f>_xlfn.XLOOKUP(tblTransactions[[#This Row],[ProductID]],tblProducts[ProductID],tblProducts[ProductName])</f>
        <v>Kids Dress C3</v>
      </c>
      <c r="G28" t="s">
        <v>16291</v>
      </c>
      <c r="H28" t="str">
        <f>_xlfn.XLOOKUP(tblTransactions[[#This Row],[StoreID]],tblStores[StoreID],tblStores[Region])</f>
        <v>South</v>
      </c>
      <c r="I28">
        <v>1</v>
      </c>
      <c r="J28">
        <v>0.05</v>
      </c>
      <c r="K28" t="s">
        <v>16317</v>
      </c>
      <c r="L28" s="9">
        <f>_xlfn.XLOOKUP(tblTransactions[[#This Row],[ProductID]],tblProducts[ProductID],tblProducts[UnitPrice])</f>
        <v>1436.28</v>
      </c>
      <c r="M28" s="9">
        <f>tblTransactions[[#This Row],[Quantity]]*tblTransactions[[#This Row],[UnitPrice]]</f>
        <v>1436.28</v>
      </c>
      <c r="N28" s="9">
        <f>tblTransactions[[#This Row],[GrossSales]]*tblTransactions[[#This Row],[Discount]]</f>
        <v>71.814000000000007</v>
      </c>
      <c r="O28" s="9">
        <f>tblTransactions[[#This Row],[GrossSales]]-tblTransactions[[#This Row],[DiscountAmount]]</f>
        <v>1364.4659999999999</v>
      </c>
      <c r="P28" s="9">
        <f>_xlfn.XLOOKUP(tblTransactions[[#This Row],[ProductID]],tblProducts[ProductID],tblProducts[UnitCost])</f>
        <v>1097.5</v>
      </c>
      <c r="Q28" s="9">
        <f>tblTransactions[[#This Row],[Quantity]]*tblTransactions[[#This Row],[UnitCost]]</f>
        <v>1097.5</v>
      </c>
      <c r="R28" s="9">
        <f>tblTransactions[[#This Row],[NetRevenue]]-tblTransactions[[#This Row],[TotalCost]]</f>
        <v>266.96599999999989</v>
      </c>
      <c r="S28" t="str">
        <f>_xlfn.XLOOKUP(tblTransactions[[#This Row],[ProductID]],tblProducts[ProductID],tblProducts[Category])</f>
        <v>Clothing</v>
      </c>
    </row>
    <row r="29" spans="1:19">
      <c r="A29" t="s">
        <v>16346</v>
      </c>
      <c r="B29" s="1">
        <v>44954</v>
      </c>
      <c r="C29" t="s">
        <v>14270</v>
      </c>
      <c r="D29" t="str">
        <f>_xlfn.XLOOKUP(tblTransactions[[#This Row],[CustomerID]],tblCustomers[CustomerID],tblCustomers[CustomerName])</f>
        <v>Saanvi Balan</v>
      </c>
      <c r="E29" t="s">
        <v>16204</v>
      </c>
      <c r="F29" t="str">
        <f>_xlfn.XLOOKUP(tblTransactions[[#This Row],[ProductID]],tblProducts[ProductID],tblProducts[ProductName])</f>
        <v>Moisturizer A6</v>
      </c>
      <c r="G29" t="s">
        <v>16305</v>
      </c>
      <c r="H29" t="str">
        <f>_xlfn.XLOOKUP(tblTransactions[[#This Row],[StoreID]],tblStores[StoreID],tblStores[Region])</f>
        <v>South</v>
      </c>
      <c r="I29">
        <v>1</v>
      </c>
      <c r="J29">
        <v>0</v>
      </c>
      <c r="K29" t="s">
        <v>16321</v>
      </c>
      <c r="L29" s="9">
        <f>_xlfn.XLOOKUP(tblTransactions[[#This Row],[ProductID]],tblProducts[ProductID],tblProducts[UnitPrice])</f>
        <v>1655.17</v>
      </c>
      <c r="M29" s="9">
        <f>tblTransactions[[#This Row],[Quantity]]*tblTransactions[[#This Row],[UnitPrice]]</f>
        <v>1655.17</v>
      </c>
      <c r="N29" s="9">
        <f>tblTransactions[[#This Row],[GrossSales]]*tblTransactions[[#This Row],[Discount]]</f>
        <v>0</v>
      </c>
      <c r="O29" s="9">
        <f>tblTransactions[[#This Row],[GrossSales]]-tblTransactions[[#This Row],[DiscountAmount]]</f>
        <v>1655.17</v>
      </c>
      <c r="P29" s="9">
        <f>_xlfn.XLOOKUP(tblTransactions[[#This Row],[ProductID]],tblProducts[ProductID],tblProducts[UnitCost])</f>
        <v>1375.84</v>
      </c>
      <c r="Q29" s="9">
        <f>tblTransactions[[#This Row],[Quantity]]*tblTransactions[[#This Row],[UnitCost]]</f>
        <v>1375.84</v>
      </c>
      <c r="R29" s="9">
        <f>tblTransactions[[#This Row],[NetRevenue]]-tblTransactions[[#This Row],[TotalCost]]</f>
        <v>279.33000000000015</v>
      </c>
      <c r="S29" t="str">
        <f>_xlfn.XLOOKUP(tblTransactions[[#This Row],[ProductID]],tblProducts[ProductID],tblProducts[Category])</f>
        <v>Personal Care</v>
      </c>
    </row>
    <row r="30" spans="1:19">
      <c r="A30" t="s">
        <v>16347</v>
      </c>
      <c r="B30" s="1">
        <v>44955</v>
      </c>
      <c r="C30" t="s">
        <v>4527</v>
      </c>
      <c r="D30" t="str">
        <f>_xlfn.XLOOKUP(tblTransactions[[#This Row],[CustomerID]],tblCustomers[CustomerID],tblCustomers[CustomerName])</f>
        <v>Pallavi Kunda</v>
      </c>
      <c r="E30" t="s">
        <v>15986</v>
      </c>
      <c r="F30" t="str">
        <f>_xlfn.XLOOKUP(tblTransactions[[#This Row],[ProductID]],tblProducts[ProductID],tblProducts[ProductName])</f>
        <v>Soundbar D4</v>
      </c>
      <c r="G30" t="s">
        <v>16303</v>
      </c>
      <c r="H30" t="str">
        <f>_xlfn.XLOOKUP(tblTransactions[[#This Row],[StoreID]],tblStores[StoreID],tblStores[Region])</f>
        <v>West</v>
      </c>
      <c r="I30">
        <v>2</v>
      </c>
      <c r="J30">
        <v>0</v>
      </c>
      <c r="K30" t="s">
        <v>16315</v>
      </c>
      <c r="L30" s="9">
        <f>_xlfn.XLOOKUP(tblTransactions[[#This Row],[ProductID]],tblProducts[ProductID],tblProducts[UnitPrice])</f>
        <v>52004.72</v>
      </c>
      <c r="M30" s="9">
        <f>tblTransactions[[#This Row],[Quantity]]*tblTransactions[[#This Row],[UnitPrice]]</f>
        <v>104009.44</v>
      </c>
      <c r="N30" s="9">
        <f>tblTransactions[[#This Row],[GrossSales]]*tblTransactions[[#This Row],[Discount]]</f>
        <v>0</v>
      </c>
      <c r="O30" s="9">
        <f>tblTransactions[[#This Row],[GrossSales]]-tblTransactions[[#This Row],[DiscountAmount]]</f>
        <v>104009.44</v>
      </c>
      <c r="P30" s="9">
        <f>_xlfn.XLOOKUP(tblTransactions[[#This Row],[ProductID]],tblProducts[ProductID],tblProducts[UnitCost])</f>
        <v>43224.87</v>
      </c>
      <c r="Q30" s="9">
        <f>tblTransactions[[#This Row],[Quantity]]*tblTransactions[[#This Row],[UnitCost]]</f>
        <v>86449.74</v>
      </c>
      <c r="R30" s="9">
        <f>tblTransactions[[#This Row],[NetRevenue]]-tblTransactions[[#This Row],[TotalCost]]</f>
        <v>17559.699999999997</v>
      </c>
      <c r="S30" t="str">
        <f>_xlfn.XLOOKUP(tblTransactions[[#This Row],[ProductID]],tblProducts[ProductID],tblProducts[Category])</f>
        <v>Electronics</v>
      </c>
    </row>
    <row r="31" spans="1:19">
      <c r="A31" t="s">
        <v>16348</v>
      </c>
      <c r="B31" s="1">
        <v>44956</v>
      </c>
      <c r="C31" t="s">
        <v>14031</v>
      </c>
      <c r="D31" t="str">
        <f>_xlfn.XLOOKUP(tblTransactions[[#This Row],[CustomerID]],tblCustomers[CustomerID],tblCustomers[CustomerName])</f>
        <v>Girish Parmar</v>
      </c>
      <c r="E31" t="s">
        <v>16238</v>
      </c>
      <c r="F31" t="str">
        <f>_xlfn.XLOOKUP(tblTransactions[[#This Row],[ProductID]],tblProducts[ProductID],tblProducts[ProductName])</f>
        <v>Razor A1</v>
      </c>
      <c r="G31" t="s">
        <v>16293</v>
      </c>
      <c r="H31" t="str">
        <f>_xlfn.XLOOKUP(tblTransactions[[#This Row],[StoreID]],tblStores[StoreID],tblStores[Region])</f>
        <v>South</v>
      </c>
      <c r="I31">
        <v>1</v>
      </c>
      <c r="J31">
        <v>0</v>
      </c>
      <c r="K31" t="s">
        <v>16321</v>
      </c>
      <c r="L31" s="9">
        <f>_xlfn.XLOOKUP(tblTransactions[[#This Row],[ProductID]],tblProducts[ProductID],tblProducts[UnitPrice])</f>
        <v>1037.07</v>
      </c>
      <c r="M31" s="9">
        <f>tblTransactions[[#This Row],[Quantity]]*tblTransactions[[#This Row],[UnitPrice]]</f>
        <v>1037.07</v>
      </c>
      <c r="N31" s="9">
        <f>tblTransactions[[#This Row],[GrossSales]]*tblTransactions[[#This Row],[Discount]]</f>
        <v>0</v>
      </c>
      <c r="O31" s="9">
        <f>tblTransactions[[#This Row],[GrossSales]]-tblTransactions[[#This Row],[DiscountAmount]]</f>
        <v>1037.07</v>
      </c>
      <c r="P31" s="9">
        <f>_xlfn.XLOOKUP(tblTransactions[[#This Row],[ProductID]],tblProducts[ProductID],tblProducts[UnitCost])</f>
        <v>720.16</v>
      </c>
      <c r="Q31" s="9">
        <f>tblTransactions[[#This Row],[Quantity]]*tblTransactions[[#This Row],[UnitCost]]</f>
        <v>720.16</v>
      </c>
      <c r="R31" s="9">
        <f>tblTransactions[[#This Row],[NetRevenue]]-tblTransactions[[#This Row],[TotalCost]]</f>
        <v>316.90999999999997</v>
      </c>
      <c r="S31" t="str">
        <f>_xlfn.XLOOKUP(tblTransactions[[#This Row],[ProductID]],tblProducts[ProductID],tblProducts[Category])</f>
        <v>Personal Care</v>
      </c>
    </row>
    <row r="32" spans="1:19">
      <c r="A32" t="s">
        <v>16349</v>
      </c>
      <c r="B32" s="1">
        <v>44958</v>
      </c>
      <c r="C32" t="s">
        <v>11233</v>
      </c>
      <c r="D32" t="str">
        <f>_xlfn.XLOOKUP(tblTransactions[[#This Row],[CustomerID]],tblCustomers[CustomerID],tblCustomers[CustomerName])</f>
        <v>Zaitra Date</v>
      </c>
      <c r="E32" t="s">
        <v>16184</v>
      </c>
      <c r="F32" t="str">
        <f>_xlfn.XLOOKUP(tblTransactions[[#This Row],[ProductID]],tblProducts[ProductID],tblProducts[ProductName])</f>
        <v>Instant Noodles D4</v>
      </c>
      <c r="G32" t="s">
        <v>16307</v>
      </c>
      <c r="H32" t="str">
        <f>_xlfn.XLOOKUP(tblTransactions[[#This Row],[StoreID]],tblStores[StoreID],tblStores[Region])</f>
        <v>East</v>
      </c>
      <c r="I32">
        <v>1</v>
      </c>
      <c r="J32">
        <v>0.1</v>
      </c>
      <c r="K32" t="s">
        <v>16317</v>
      </c>
      <c r="L32" s="9">
        <f>_xlfn.XLOOKUP(tblTransactions[[#This Row],[ProductID]],tblProducts[ProductID],tblProducts[UnitPrice])</f>
        <v>400.63</v>
      </c>
      <c r="M32" s="9">
        <f>tblTransactions[[#This Row],[Quantity]]*tblTransactions[[#This Row],[UnitPrice]]</f>
        <v>400.63</v>
      </c>
      <c r="N32" s="9">
        <f>tblTransactions[[#This Row],[GrossSales]]*tblTransactions[[#This Row],[Discount]]</f>
        <v>40.063000000000002</v>
      </c>
      <c r="O32" s="9">
        <f>tblTransactions[[#This Row],[GrossSales]]-tblTransactions[[#This Row],[DiscountAmount]]</f>
        <v>360.56700000000001</v>
      </c>
      <c r="P32" s="9">
        <f>_xlfn.XLOOKUP(tblTransactions[[#This Row],[ProductID]],tblProducts[ProductID],tblProducts[UnitCost])</f>
        <v>222.73</v>
      </c>
      <c r="Q32" s="9">
        <f>tblTransactions[[#This Row],[Quantity]]*tblTransactions[[#This Row],[UnitCost]]</f>
        <v>222.73</v>
      </c>
      <c r="R32" s="9">
        <f>tblTransactions[[#This Row],[NetRevenue]]-tblTransactions[[#This Row],[TotalCost]]</f>
        <v>137.83700000000002</v>
      </c>
      <c r="S32" t="str">
        <f>_xlfn.XLOOKUP(tblTransactions[[#This Row],[ProductID]],tblProducts[ProductID],tblProducts[Category])</f>
        <v>Grocery</v>
      </c>
    </row>
    <row r="33" spans="1:19">
      <c r="A33" t="s">
        <v>16350</v>
      </c>
      <c r="B33" s="1">
        <v>44959</v>
      </c>
      <c r="C33" t="s">
        <v>2837</v>
      </c>
      <c r="D33" t="str">
        <f>_xlfn.XLOOKUP(tblTransactions[[#This Row],[CustomerID]],tblCustomers[CustomerID],tblCustomers[CustomerName])</f>
        <v>William Acharya</v>
      </c>
      <c r="E33" t="s">
        <v>16021</v>
      </c>
      <c r="F33" t="str">
        <f>_xlfn.XLOOKUP(tblTransactions[[#This Row],[ProductID]],tblProducts[ProductID],tblProducts[ProductName])</f>
        <v>Microwave Oven A6</v>
      </c>
      <c r="G33" t="s">
        <v>16259</v>
      </c>
      <c r="H33" t="str">
        <f>_xlfn.XLOOKUP(tblTransactions[[#This Row],[StoreID]],tblStores[StoreID],tblStores[Region])</f>
        <v>East</v>
      </c>
      <c r="I33">
        <v>2</v>
      </c>
      <c r="J33">
        <v>0</v>
      </c>
      <c r="K33" t="s">
        <v>16317</v>
      </c>
      <c r="L33" s="9">
        <f>_xlfn.XLOOKUP(tblTransactions[[#This Row],[ProductID]],tblProducts[ProductID],tblProducts[UnitPrice])</f>
        <v>20212.79</v>
      </c>
      <c r="M33" s="9">
        <f>tblTransactions[[#This Row],[Quantity]]*tblTransactions[[#This Row],[UnitPrice]]</f>
        <v>40425.58</v>
      </c>
      <c r="N33" s="9">
        <f>tblTransactions[[#This Row],[GrossSales]]*tblTransactions[[#This Row],[Discount]]</f>
        <v>0</v>
      </c>
      <c r="O33" s="9">
        <f>tblTransactions[[#This Row],[GrossSales]]-tblTransactions[[#This Row],[DiscountAmount]]</f>
        <v>40425.58</v>
      </c>
      <c r="P33" s="9">
        <f>_xlfn.XLOOKUP(tblTransactions[[#This Row],[ProductID]],tblProducts[ProductID],tblProducts[UnitCost])</f>
        <v>16868.88</v>
      </c>
      <c r="Q33" s="9">
        <f>tblTransactions[[#This Row],[Quantity]]*tblTransactions[[#This Row],[UnitCost]]</f>
        <v>33737.760000000002</v>
      </c>
      <c r="R33" s="9">
        <f>tblTransactions[[#This Row],[NetRevenue]]-tblTransactions[[#This Row],[TotalCost]]</f>
        <v>6687.82</v>
      </c>
      <c r="S33" t="str">
        <f>_xlfn.XLOOKUP(tblTransactions[[#This Row],[ProductID]],tblProducts[ProductID],tblProducts[Category])</f>
        <v>Home &amp; Kitchen</v>
      </c>
    </row>
    <row r="34" spans="1:19">
      <c r="A34" t="s">
        <v>16351</v>
      </c>
      <c r="B34" s="1">
        <v>44962</v>
      </c>
      <c r="C34" t="s">
        <v>3307</v>
      </c>
      <c r="D34" t="str">
        <f>_xlfn.XLOOKUP(tblTransactions[[#This Row],[CustomerID]],tblCustomers[CustomerID],tblCustomers[CustomerName])</f>
        <v>David Kurian</v>
      </c>
      <c r="E34" t="s">
        <v>16173</v>
      </c>
      <c r="F34" t="str">
        <f>_xlfn.XLOOKUP(tblTransactions[[#This Row],[ProductID]],tblProducts[ProductID],tblProducts[ProductName])</f>
        <v>Soft Drink A6</v>
      </c>
      <c r="G34" t="s">
        <v>16273</v>
      </c>
      <c r="H34" t="str">
        <f>_xlfn.XLOOKUP(tblTransactions[[#This Row],[StoreID]],tblStores[StoreID],tblStores[Region])</f>
        <v>West</v>
      </c>
      <c r="I34">
        <v>1</v>
      </c>
      <c r="J34">
        <v>0</v>
      </c>
      <c r="K34" t="s">
        <v>16321</v>
      </c>
      <c r="L34" s="9">
        <f>_xlfn.XLOOKUP(tblTransactions[[#This Row],[ProductID]],tblProducts[ProductID],tblProducts[UnitPrice])</f>
        <v>252.55</v>
      </c>
      <c r="M34" s="9">
        <f>tblTransactions[[#This Row],[Quantity]]*tblTransactions[[#This Row],[UnitPrice]]</f>
        <v>252.55</v>
      </c>
      <c r="N34" s="9">
        <f>tblTransactions[[#This Row],[GrossSales]]*tblTransactions[[#This Row],[Discount]]</f>
        <v>0</v>
      </c>
      <c r="O34" s="9">
        <f>tblTransactions[[#This Row],[GrossSales]]-tblTransactions[[#This Row],[DiscountAmount]]</f>
        <v>252.55</v>
      </c>
      <c r="P34" s="9">
        <f>_xlfn.XLOOKUP(tblTransactions[[#This Row],[ProductID]],tblProducts[ProductID],tblProducts[UnitCost])</f>
        <v>170.34</v>
      </c>
      <c r="Q34" s="9">
        <f>tblTransactions[[#This Row],[Quantity]]*tblTransactions[[#This Row],[UnitCost]]</f>
        <v>170.34</v>
      </c>
      <c r="R34" s="9">
        <f>tblTransactions[[#This Row],[NetRevenue]]-tblTransactions[[#This Row],[TotalCost]]</f>
        <v>82.210000000000008</v>
      </c>
      <c r="S34" t="str">
        <f>_xlfn.XLOOKUP(tblTransactions[[#This Row],[ProductID]],tblProducts[ProductID],tblProducts[Category])</f>
        <v>Grocery</v>
      </c>
    </row>
    <row r="35" spans="1:19">
      <c r="A35" t="s">
        <v>16352</v>
      </c>
      <c r="B35" s="1">
        <v>44963</v>
      </c>
      <c r="C35" t="s">
        <v>3802</v>
      </c>
      <c r="D35" t="str">
        <f>_xlfn.XLOOKUP(tblTransactions[[#This Row],[CustomerID]],tblCustomers[CustomerID],tblCustomers[CustomerName])</f>
        <v>Gauri Mitter</v>
      </c>
      <c r="E35" t="s">
        <v>16230</v>
      </c>
      <c r="F35" t="str">
        <f>_xlfn.XLOOKUP(tblTransactions[[#This Row],[ProductID]],tblProducts[ProductID],tblProducts[ProductName])</f>
        <v>Body Lotion D4</v>
      </c>
      <c r="G35" t="s">
        <v>16277</v>
      </c>
      <c r="H35" t="str">
        <f>_xlfn.XLOOKUP(tblTransactions[[#This Row],[StoreID]],tblStores[StoreID],tblStores[Region])</f>
        <v>West</v>
      </c>
      <c r="I35">
        <v>1</v>
      </c>
      <c r="J35">
        <v>0</v>
      </c>
      <c r="K35" t="s">
        <v>16315</v>
      </c>
      <c r="L35" s="9">
        <f>_xlfn.XLOOKUP(tblTransactions[[#This Row],[ProductID]],tblProducts[ProductID],tblProducts[UnitPrice])</f>
        <v>3205.72</v>
      </c>
      <c r="M35" s="9">
        <f>tblTransactions[[#This Row],[Quantity]]*tblTransactions[[#This Row],[UnitPrice]]</f>
        <v>3205.72</v>
      </c>
      <c r="N35" s="9">
        <f>tblTransactions[[#This Row],[GrossSales]]*tblTransactions[[#This Row],[Discount]]</f>
        <v>0</v>
      </c>
      <c r="O35" s="9">
        <f>tblTransactions[[#This Row],[GrossSales]]-tblTransactions[[#This Row],[DiscountAmount]]</f>
        <v>3205.72</v>
      </c>
      <c r="P35" s="9">
        <f>_xlfn.XLOOKUP(tblTransactions[[#This Row],[ProductID]],tblProducts[ProductID],tblProducts[UnitCost])</f>
        <v>2167.94</v>
      </c>
      <c r="Q35" s="9">
        <f>tblTransactions[[#This Row],[Quantity]]*tblTransactions[[#This Row],[UnitCost]]</f>
        <v>2167.94</v>
      </c>
      <c r="R35" s="9">
        <f>tblTransactions[[#This Row],[NetRevenue]]-tblTransactions[[#This Row],[TotalCost]]</f>
        <v>1037.7799999999997</v>
      </c>
      <c r="S35" t="str">
        <f>_xlfn.XLOOKUP(tblTransactions[[#This Row],[ProductID]],tblProducts[ProductID],tblProducts[Category])</f>
        <v>Personal Care</v>
      </c>
    </row>
    <row r="36" spans="1:19">
      <c r="A36" t="s">
        <v>16353</v>
      </c>
      <c r="B36" s="1">
        <v>44964</v>
      </c>
      <c r="C36" t="s">
        <v>14643</v>
      </c>
      <c r="D36" t="str">
        <f>_xlfn.XLOOKUP(tblTransactions[[#This Row],[CustomerID]],tblCustomers[CustomerID],tblCustomers[CustomerName])</f>
        <v>Dakshesh Wali</v>
      </c>
      <c r="E36" t="s">
        <v>16062</v>
      </c>
      <c r="F36" t="str">
        <f>_xlfn.XLOOKUP(tblTransactions[[#This Row],[ProductID]],tblProducts[ProductID],tblProducts[ProductName])</f>
        <v>Table Lamp D4</v>
      </c>
      <c r="G36" t="s">
        <v>16265</v>
      </c>
      <c r="H36" t="str">
        <f>_xlfn.XLOOKUP(tblTransactions[[#This Row],[StoreID]],tblStores[StoreID],tblStores[Region])</f>
        <v>North</v>
      </c>
      <c r="I36">
        <v>2</v>
      </c>
      <c r="J36">
        <v>0.05</v>
      </c>
      <c r="K36" t="s">
        <v>16321</v>
      </c>
      <c r="L36" s="9">
        <f>_xlfn.XLOOKUP(tblTransactions[[#This Row],[ProductID]],tblProducts[ProductID],tblProducts[UnitPrice])</f>
        <v>22222.83</v>
      </c>
      <c r="M36" s="9">
        <f>tblTransactions[[#This Row],[Quantity]]*tblTransactions[[#This Row],[UnitPrice]]</f>
        <v>44445.66</v>
      </c>
      <c r="N36" s="9">
        <f>tblTransactions[[#This Row],[GrossSales]]*tblTransactions[[#This Row],[Discount]]</f>
        <v>2222.2830000000004</v>
      </c>
      <c r="O36" s="9">
        <f>tblTransactions[[#This Row],[GrossSales]]-tblTransactions[[#This Row],[DiscountAmount]]</f>
        <v>42223.377</v>
      </c>
      <c r="P36" s="9">
        <f>_xlfn.XLOOKUP(tblTransactions[[#This Row],[ProductID]],tblProducts[ProductID],tblProducts[UnitCost])</f>
        <v>17564.490000000002</v>
      </c>
      <c r="Q36" s="9">
        <f>tblTransactions[[#This Row],[Quantity]]*tblTransactions[[#This Row],[UnitCost]]</f>
        <v>35128.980000000003</v>
      </c>
      <c r="R36" s="9">
        <f>tblTransactions[[#This Row],[NetRevenue]]-tblTransactions[[#This Row],[TotalCost]]</f>
        <v>7094.3969999999972</v>
      </c>
      <c r="S36" t="str">
        <f>_xlfn.XLOOKUP(tblTransactions[[#This Row],[ProductID]],tblProducts[ProductID],tblProducts[Category])</f>
        <v>Home &amp; Kitchen</v>
      </c>
    </row>
    <row r="37" spans="1:19">
      <c r="A37" t="s">
        <v>16354</v>
      </c>
      <c r="B37" s="1">
        <v>44964</v>
      </c>
      <c r="C37" t="s">
        <v>3609</v>
      </c>
      <c r="D37" t="str">
        <f>_xlfn.XLOOKUP(tblTransactions[[#This Row],[CustomerID]],tblCustomers[CustomerID],tblCustomers[CustomerName])</f>
        <v>Nidra Boase</v>
      </c>
      <c r="E37" t="s">
        <v>15997</v>
      </c>
      <c r="F37" t="str">
        <f>_xlfn.XLOOKUP(tblTransactions[[#This Row],[ProductID]],tblProducts[ProductID],tblProducts[ProductName])</f>
        <v>USB-C Cable B2</v>
      </c>
      <c r="G37" t="s">
        <v>16277</v>
      </c>
      <c r="H37" t="str">
        <f>_xlfn.XLOOKUP(tblTransactions[[#This Row],[StoreID]],tblStores[StoreID],tblStores[Region])</f>
        <v>West</v>
      </c>
      <c r="I37">
        <v>2</v>
      </c>
      <c r="J37">
        <v>0</v>
      </c>
      <c r="K37" t="s">
        <v>16315</v>
      </c>
      <c r="L37" s="9">
        <f>_xlfn.XLOOKUP(tblTransactions[[#This Row],[ProductID]],tblProducts[ProductID],tblProducts[UnitPrice])</f>
        <v>77394.210000000006</v>
      </c>
      <c r="M37" s="9">
        <f>tblTransactions[[#This Row],[Quantity]]*tblTransactions[[#This Row],[UnitPrice]]</f>
        <v>154788.42000000001</v>
      </c>
      <c r="N37" s="9">
        <f>tblTransactions[[#This Row],[GrossSales]]*tblTransactions[[#This Row],[Discount]]</f>
        <v>0</v>
      </c>
      <c r="O37" s="9">
        <f>tblTransactions[[#This Row],[GrossSales]]-tblTransactions[[#This Row],[DiscountAmount]]</f>
        <v>154788.42000000001</v>
      </c>
      <c r="P37" s="9">
        <f>_xlfn.XLOOKUP(tblTransactions[[#This Row],[ProductID]],tblProducts[ProductID],tblProducts[UnitCost])</f>
        <v>49038.67</v>
      </c>
      <c r="Q37" s="9">
        <f>tblTransactions[[#This Row],[Quantity]]*tblTransactions[[#This Row],[UnitCost]]</f>
        <v>98077.34</v>
      </c>
      <c r="R37" s="9">
        <f>tblTransactions[[#This Row],[NetRevenue]]-tblTransactions[[#This Row],[TotalCost]]</f>
        <v>56711.080000000016</v>
      </c>
      <c r="S37" t="str">
        <f>_xlfn.XLOOKUP(tblTransactions[[#This Row],[ProductID]],tblProducts[ProductID],tblProducts[Category])</f>
        <v>Electronics</v>
      </c>
    </row>
    <row r="38" spans="1:19">
      <c r="A38" t="s">
        <v>16355</v>
      </c>
      <c r="B38" s="1">
        <v>44967</v>
      </c>
      <c r="C38" t="s">
        <v>14505</v>
      </c>
      <c r="D38" t="str">
        <f>_xlfn.XLOOKUP(tblTransactions[[#This Row],[CustomerID]],tblCustomers[CustomerID],tblCustomers[CustomerName])</f>
        <v>Bina Ahuja</v>
      </c>
      <c r="E38" t="s">
        <v>15931</v>
      </c>
      <c r="F38" t="str">
        <f>_xlfn.XLOOKUP(tblTransactions[[#This Row],[ProductID]],tblProducts[ProductID],tblProducts[ProductName])</f>
        <v>QLED Smart TV B2</v>
      </c>
      <c r="G38" t="s">
        <v>16295</v>
      </c>
      <c r="H38" t="str">
        <f>_xlfn.XLOOKUP(tblTransactions[[#This Row],[StoreID]],tblStores[StoreID],tblStores[Region])</f>
        <v>South</v>
      </c>
      <c r="I38">
        <v>2</v>
      </c>
      <c r="J38">
        <v>0.05</v>
      </c>
      <c r="K38" t="s">
        <v>16317</v>
      </c>
      <c r="L38" s="9">
        <f>_xlfn.XLOOKUP(tblTransactions[[#This Row],[ProductID]],tblProducts[ProductID],tblProducts[UnitPrice])</f>
        <v>75177.759999999995</v>
      </c>
      <c r="M38" s="9">
        <f>tblTransactions[[#This Row],[Quantity]]*tblTransactions[[#This Row],[UnitPrice]]</f>
        <v>150355.51999999999</v>
      </c>
      <c r="N38" s="9">
        <f>tblTransactions[[#This Row],[GrossSales]]*tblTransactions[[#This Row],[Discount]]</f>
        <v>7517.7759999999998</v>
      </c>
      <c r="O38" s="9">
        <f>tblTransactions[[#This Row],[GrossSales]]-tblTransactions[[#This Row],[DiscountAmount]]</f>
        <v>142837.74399999998</v>
      </c>
      <c r="P38" s="9">
        <f>_xlfn.XLOOKUP(tblTransactions[[#This Row],[ProductID]],tblProducts[ProductID],tblProducts[UnitCost])</f>
        <v>51831.839999999997</v>
      </c>
      <c r="Q38" s="9">
        <f>tblTransactions[[#This Row],[Quantity]]*tblTransactions[[#This Row],[UnitCost]]</f>
        <v>103663.67999999999</v>
      </c>
      <c r="R38" s="9">
        <f>tblTransactions[[#This Row],[NetRevenue]]-tblTransactions[[#This Row],[TotalCost]]</f>
        <v>39174.063999999984</v>
      </c>
      <c r="S38" t="str">
        <f>_xlfn.XLOOKUP(tblTransactions[[#This Row],[ProductID]],tblProducts[ProductID],tblProducts[Category])</f>
        <v>Electronics</v>
      </c>
    </row>
    <row r="39" spans="1:19">
      <c r="A39" t="s">
        <v>16356</v>
      </c>
      <c r="B39" s="1">
        <v>44967</v>
      </c>
      <c r="C39" t="s">
        <v>6365</v>
      </c>
      <c r="D39" t="str">
        <f>_xlfn.XLOOKUP(tblTransactions[[#This Row],[CustomerID]],tblCustomers[CustomerID],tblCustomers[CustomerName])</f>
        <v>Tamanna Sachdev</v>
      </c>
      <c r="E39" t="s">
        <v>16076</v>
      </c>
      <c r="F39" t="str">
        <f>_xlfn.XLOOKUP(tblTransactions[[#This Row],[ProductID]],tblProducts[ProductID],tblProducts[ProductName])</f>
        <v>Men's Jeans C3</v>
      </c>
      <c r="G39" t="s">
        <v>16256</v>
      </c>
      <c r="H39" t="str">
        <f>_xlfn.XLOOKUP(tblTransactions[[#This Row],[StoreID]],tblStores[StoreID],tblStores[Region])</f>
        <v>East</v>
      </c>
      <c r="I39">
        <v>2</v>
      </c>
      <c r="J39">
        <v>0.2</v>
      </c>
      <c r="K39" t="s">
        <v>16325</v>
      </c>
      <c r="L39" s="9">
        <f>_xlfn.XLOOKUP(tblTransactions[[#This Row],[ProductID]],tblProducts[ProductID],tblProducts[UnitPrice])</f>
        <v>7177.2</v>
      </c>
      <c r="M39" s="9">
        <f>tblTransactions[[#This Row],[Quantity]]*tblTransactions[[#This Row],[UnitPrice]]</f>
        <v>14354.4</v>
      </c>
      <c r="N39" s="9">
        <f>tblTransactions[[#This Row],[GrossSales]]*tblTransactions[[#This Row],[Discount]]</f>
        <v>2870.88</v>
      </c>
      <c r="O39" s="9">
        <f>tblTransactions[[#This Row],[GrossSales]]-tblTransactions[[#This Row],[DiscountAmount]]</f>
        <v>11483.52</v>
      </c>
      <c r="P39" s="9">
        <f>_xlfn.XLOOKUP(tblTransactions[[#This Row],[ProductID]],tblProducts[ProductID],tblProducts[UnitCost])</f>
        <v>4558.34</v>
      </c>
      <c r="Q39" s="9">
        <f>tblTransactions[[#This Row],[Quantity]]*tblTransactions[[#This Row],[UnitCost]]</f>
        <v>9116.68</v>
      </c>
      <c r="R39" s="9">
        <f>tblTransactions[[#This Row],[NetRevenue]]-tblTransactions[[#This Row],[TotalCost]]</f>
        <v>2366.84</v>
      </c>
      <c r="S39" t="str">
        <f>_xlfn.XLOOKUP(tblTransactions[[#This Row],[ProductID]],tblProducts[ProductID],tblProducts[Category])</f>
        <v>Clothing</v>
      </c>
    </row>
    <row r="40" spans="1:19">
      <c r="A40" t="s">
        <v>16357</v>
      </c>
      <c r="B40" s="1">
        <v>44968</v>
      </c>
      <c r="C40" t="s">
        <v>5480</v>
      </c>
      <c r="D40" t="str">
        <f>_xlfn.XLOOKUP(tblTransactions[[#This Row],[CustomerID]],tblCustomers[CustomerID],tblCustomers[CustomerName])</f>
        <v>Ridhi Sami</v>
      </c>
      <c r="E40" t="s">
        <v>15958</v>
      </c>
      <c r="F40" t="str">
        <f>_xlfn.XLOOKUP(tblTransactions[[#This Row],[ProductID]],tblProducts[ProductID],tblProducts[ProductName])</f>
        <v>Budget Smartphone B7</v>
      </c>
      <c r="G40" t="s">
        <v>16307</v>
      </c>
      <c r="H40" t="str">
        <f>_xlfn.XLOOKUP(tblTransactions[[#This Row],[StoreID]],tblStores[StoreID],tblStores[Region])</f>
        <v>East</v>
      </c>
      <c r="I40">
        <v>3</v>
      </c>
      <c r="J40">
        <v>0.1</v>
      </c>
      <c r="K40" t="s">
        <v>16325</v>
      </c>
      <c r="L40" s="9">
        <f>_xlfn.XLOOKUP(tblTransactions[[#This Row],[ProductID]],tblProducts[ProductID],tblProducts[UnitPrice])</f>
        <v>61606.59</v>
      </c>
      <c r="M40" s="9">
        <f>tblTransactions[[#This Row],[Quantity]]*tblTransactions[[#This Row],[UnitPrice]]</f>
        <v>184819.77</v>
      </c>
      <c r="N40" s="9">
        <f>tblTransactions[[#This Row],[GrossSales]]*tblTransactions[[#This Row],[Discount]]</f>
        <v>18481.976999999999</v>
      </c>
      <c r="O40" s="9">
        <f>tblTransactions[[#This Row],[GrossSales]]-tblTransactions[[#This Row],[DiscountAmount]]</f>
        <v>166337.79300000001</v>
      </c>
      <c r="P40" s="9">
        <f>_xlfn.XLOOKUP(tblTransactions[[#This Row],[ProductID]],tblProducts[ProductID],tblProducts[UnitCost])</f>
        <v>36366.370000000003</v>
      </c>
      <c r="Q40" s="9">
        <f>tblTransactions[[#This Row],[Quantity]]*tblTransactions[[#This Row],[UnitCost]]</f>
        <v>109099.11000000002</v>
      </c>
      <c r="R40" s="9">
        <f>tblTransactions[[#This Row],[NetRevenue]]-tblTransactions[[#This Row],[TotalCost]]</f>
        <v>57238.68299999999</v>
      </c>
      <c r="S40" t="str">
        <f>_xlfn.XLOOKUP(tblTransactions[[#This Row],[ProductID]],tblProducts[ProductID],tblProducts[Category])</f>
        <v>Electronics</v>
      </c>
    </row>
    <row r="41" spans="1:19">
      <c r="A41" t="s">
        <v>16358</v>
      </c>
      <c r="B41" s="1">
        <v>44968</v>
      </c>
      <c r="C41" t="s">
        <v>9344</v>
      </c>
      <c r="D41" t="str">
        <f>_xlfn.XLOOKUP(tblTransactions[[#This Row],[CustomerID]],tblCustomers[CustomerID],tblCustomers[CustomerName])</f>
        <v>Samarth Shere</v>
      </c>
      <c r="E41" t="s">
        <v>16147</v>
      </c>
      <c r="F41" t="str">
        <f>_xlfn.XLOOKUP(tblTransactions[[#This Row],[ProductID]],tblProducts[ProductID],tblProducts[ProductName])</f>
        <v>Namkeen A1</v>
      </c>
      <c r="G41" t="s">
        <v>16269</v>
      </c>
      <c r="H41" t="str">
        <f>_xlfn.XLOOKUP(tblTransactions[[#This Row],[StoreID]],tblStores[StoreID],tblStores[Region])</f>
        <v>North</v>
      </c>
      <c r="I41">
        <v>1</v>
      </c>
      <c r="J41">
        <v>0</v>
      </c>
      <c r="K41" t="s">
        <v>16321</v>
      </c>
      <c r="L41" s="9">
        <f>_xlfn.XLOOKUP(tblTransactions[[#This Row],[ProductID]],tblProducts[ProductID],tblProducts[UnitPrice])</f>
        <v>1282.31</v>
      </c>
      <c r="M41" s="9">
        <f>tblTransactions[[#This Row],[Quantity]]*tblTransactions[[#This Row],[UnitPrice]]</f>
        <v>1282.31</v>
      </c>
      <c r="N41" s="9">
        <f>tblTransactions[[#This Row],[GrossSales]]*tblTransactions[[#This Row],[Discount]]</f>
        <v>0</v>
      </c>
      <c r="O41" s="9">
        <f>tblTransactions[[#This Row],[GrossSales]]-tblTransactions[[#This Row],[DiscountAmount]]</f>
        <v>1282.31</v>
      </c>
      <c r="P41" s="9">
        <f>_xlfn.XLOOKUP(tblTransactions[[#This Row],[ProductID]],tblProducts[ProductID],tblProducts[UnitCost])</f>
        <v>759</v>
      </c>
      <c r="Q41" s="9">
        <f>tblTransactions[[#This Row],[Quantity]]*tblTransactions[[#This Row],[UnitCost]]</f>
        <v>759</v>
      </c>
      <c r="R41" s="9">
        <f>tblTransactions[[#This Row],[NetRevenue]]-tblTransactions[[#This Row],[TotalCost]]</f>
        <v>523.30999999999995</v>
      </c>
      <c r="S41" t="str">
        <f>_xlfn.XLOOKUP(tblTransactions[[#This Row],[ProductID]],tblProducts[ProductID],tblProducts[Category])</f>
        <v>Grocery</v>
      </c>
    </row>
    <row r="42" spans="1:19">
      <c r="A42" t="s">
        <v>16359</v>
      </c>
      <c r="B42" s="1">
        <v>44971</v>
      </c>
      <c r="C42" t="s">
        <v>4477</v>
      </c>
      <c r="D42" t="str">
        <f>_xlfn.XLOOKUP(tblTransactions[[#This Row],[CustomerID]],tblCustomers[CustomerID],tblCustomers[CustomerName])</f>
        <v>Zaitra De</v>
      </c>
      <c r="E42" t="s">
        <v>15960</v>
      </c>
      <c r="F42" t="str">
        <f>_xlfn.XLOOKUP(tblTransactions[[#This Row],[ProductID]],tblProducts[ProductID],tblProducts[ProductName])</f>
        <v>Budget Smartphone C8</v>
      </c>
      <c r="G42" t="s">
        <v>16291</v>
      </c>
      <c r="H42" t="str">
        <f>_xlfn.XLOOKUP(tblTransactions[[#This Row],[StoreID]],tblStores[StoreID],tblStores[Region])</f>
        <v>South</v>
      </c>
      <c r="I42">
        <v>1</v>
      </c>
      <c r="J42">
        <v>0</v>
      </c>
      <c r="K42" t="s">
        <v>16317</v>
      </c>
      <c r="L42" s="9">
        <f>_xlfn.XLOOKUP(tblTransactions[[#This Row],[ProductID]],tblProducts[ProductID],tblProducts[UnitPrice])</f>
        <v>63665.16</v>
      </c>
      <c r="M42" s="9">
        <f>tblTransactions[[#This Row],[Quantity]]*tblTransactions[[#This Row],[UnitPrice]]</f>
        <v>63665.16</v>
      </c>
      <c r="N42" s="9">
        <f>tblTransactions[[#This Row],[GrossSales]]*tblTransactions[[#This Row],[Discount]]</f>
        <v>0</v>
      </c>
      <c r="O42" s="9">
        <f>tblTransactions[[#This Row],[GrossSales]]-tblTransactions[[#This Row],[DiscountAmount]]</f>
        <v>63665.16</v>
      </c>
      <c r="P42" s="9">
        <f>_xlfn.XLOOKUP(tblTransactions[[#This Row],[ProductID]],tblProducts[ProductID],tblProducts[UnitCost])</f>
        <v>52565.61</v>
      </c>
      <c r="Q42" s="9">
        <f>tblTransactions[[#This Row],[Quantity]]*tblTransactions[[#This Row],[UnitCost]]</f>
        <v>52565.61</v>
      </c>
      <c r="R42" s="9">
        <f>tblTransactions[[#This Row],[NetRevenue]]-tblTransactions[[#This Row],[TotalCost]]</f>
        <v>11099.550000000003</v>
      </c>
      <c r="S42" t="str">
        <f>_xlfn.XLOOKUP(tblTransactions[[#This Row],[ProductID]],tblProducts[ProductID],tblProducts[Category])</f>
        <v>Electronics</v>
      </c>
    </row>
    <row r="43" spans="1:19">
      <c r="A43" t="s">
        <v>16360</v>
      </c>
      <c r="B43" s="1">
        <v>44972</v>
      </c>
      <c r="C43" t="s">
        <v>14515</v>
      </c>
      <c r="D43" t="str">
        <f>_xlfn.XLOOKUP(tblTransactions[[#This Row],[CustomerID]],tblCustomers[CustomerID],tblCustomers[CustomerName])</f>
        <v>Nidhi Chatterjee</v>
      </c>
      <c r="E43" t="s">
        <v>16003</v>
      </c>
      <c r="F43" t="str">
        <f>_xlfn.XLOOKUP(tblTransactions[[#This Row],[ProductID]],tblProducts[ProductID],tblProducts[ProductName])</f>
        <v>Wireless Charger E5</v>
      </c>
      <c r="G43" t="s">
        <v>16299</v>
      </c>
      <c r="H43" t="str">
        <f>_xlfn.XLOOKUP(tblTransactions[[#This Row],[StoreID]],tblStores[StoreID],tblStores[Region])</f>
        <v>South</v>
      </c>
      <c r="I43">
        <v>1</v>
      </c>
      <c r="J43">
        <v>0</v>
      </c>
      <c r="K43" t="s">
        <v>16325</v>
      </c>
      <c r="L43" s="9">
        <f>_xlfn.XLOOKUP(tblTransactions[[#This Row],[ProductID]],tblProducts[ProductID],tblProducts[UnitPrice])</f>
        <v>74177.87</v>
      </c>
      <c r="M43" s="9">
        <f>tblTransactions[[#This Row],[Quantity]]*tblTransactions[[#This Row],[UnitPrice]]</f>
        <v>74177.87</v>
      </c>
      <c r="N43" s="9">
        <f>tblTransactions[[#This Row],[GrossSales]]*tblTransactions[[#This Row],[Discount]]</f>
        <v>0</v>
      </c>
      <c r="O43" s="9">
        <f>tblTransactions[[#This Row],[GrossSales]]-tblTransactions[[#This Row],[DiscountAmount]]</f>
        <v>74177.87</v>
      </c>
      <c r="P43" s="9">
        <f>_xlfn.XLOOKUP(tblTransactions[[#This Row],[ProductID]],tblProducts[ProductID],tblProducts[UnitCost])</f>
        <v>46554.33</v>
      </c>
      <c r="Q43" s="9">
        <f>tblTransactions[[#This Row],[Quantity]]*tblTransactions[[#This Row],[UnitCost]]</f>
        <v>46554.33</v>
      </c>
      <c r="R43" s="9">
        <f>tblTransactions[[#This Row],[NetRevenue]]-tblTransactions[[#This Row],[TotalCost]]</f>
        <v>27623.539999999994</v>
      </c>
      <c r="S43" t="str">
        <f>_xlfn.XLOOKUP(tblTransactions[[#This Row],[ProductID]],tblProducts[ProductID],tblProducts[Category])</f>
        <v>Electronics</v>
      </c>
    </row>
    <row r="44" spans="1:19">
      <c r="A44" t="s">
        <v>16361</v>
      </c>
      <c r="B44" s="1">
        <v>44975</v>
      </c>
      <c r="C44" t="s">
        <v>14509</v>
      </c>
      <c r="D44" t="str">
        <f>_xlfn.XLOOKUP(tblTransactions[[#This Row],[CustomerID]],tblCustomers[CustomerID],tblCustomers[CustomerName])</f>
        <v>Aarini Dara</v>
      </c>
      <c r="E44" t="s">
        <v>15999</v>
      </c>
      <c r="F44" t="str">
        <f>_xlfn.XLOOKUP(tblTransactions[[#This Row],[ProductID]],tblProducts[ProductID],tblProducts[ProductName])</f>
        <v>Wireless Charger C3</v>
      </c>
      <c r="G44" t="s">
        <v>16295</v>
      </c>
      <c r="H44" t="str">
        <f>_xlfn.XLOOKUP(tblTransactions[[#This Row],[StoreID]],tblStores[StoreID],tblStores[Region])</f>
        <v>South</v>
      </c>
      <c r="I44">
        <v>1</v>
      </c>
      <c r="J44">
        <v>0</v>
      </c>
      <c r="K44" t="s">
        <v>16321</v>
      </c>
      <c r="L44" s="9">
        <f>_xlfn.XLOOKUP(tblTransactions[[#This Row],[ProductID]],tblProducts[ProductID],tblProducts[UnitPrice])</f>
        <v>70426.350000000006</v>
      </c>
      <c r="M44" s="9">
        <f>tblTransactions[[#This Row],[Quantity]]*tblTransactions[[#This Row],[UnitPrice]]</f>
        <v>70426.350000000006</v>
      </c>
      <c r="N44" s="9">
        <f>tblTransactions[[#This Row],[GrossSales]]*tblTransactions[[#This Row],[Discount]]</f>
        <v>0</v>
      </c>
      <c r="O44" s="9">
        <f>tblTransactions[[#This Row],[GrossSales]]-tblTransactions[[#This Row],[DiscountAmount]]</f>
        <v>70426.350000000006</v>
      </c>
      <c r="P44" s="9">
        <f>_xlfn.XLOOKUP(tblTransactions[[#This Row],[ProductID]],tblProducts[ProductID],tblProducts[UnitCost])</f>
        <v>41048.31</v>
      </c>
      <c r="Q44" s="9">
        <f>tblTransactions[[#This Row],[Quantity]]*tblTransactions[[#This Row],[UnitCost]]</f>
        <v>41048.31</v>
      </c>
      <c r="R44" s="9">
        <f>tblTransactions[[#This Row],[NetRevenue]]-tblTransactions[[#This Row],[TotalCost]]</f>
        <v>29378.040000000008</v>
      </c>
      <c r="S44" t="str">
        <f>_xlfn.XLOOKUP(tblTransactions[[#This Row],[ProductID]],tblProducts[ProductID],tblProducts[Category])</f>
        <v>Electronics</v>
      </c>
    </row>
    <row r="45" spans="1:19">
      <c r="A45" t="s">
        <v>16362</v>
      </c>
      <c r="B45" s="1">
        <v>44976</v>
      </c>
      <c r="C45" t="s">
        <v>5522</v>
      </c>
      <c r="D45" t="str">
        <f>_xlfn.XLOOKUP(tblTransactions[[#This Row],[CustomerID]],tblCustomers[CustomerID],tblCustomers[CustomerName])</f>
        <v>Tamanna Din</v>
      </c>
      <c r="E45" t="s">
        <v>16049</v>
      </c>
      <c r="F45" t="str">
        <f>_xlfn.XLOOKUP(tblTransactions[[#This Row],[ProductID]],tblProducts[ProductID],tblProducts[ProductName])</f>
        <v>Non-stick Pan E5</v>
      </c>
      <c r="G45" t="s">
        <v>16283</v>
      </c>
      <c r="H45" t="str">
        <f>_xlfn.XLOOKUP(tblTransactions[[#This Row],[StoreID]],tblStores[StoreID],tblStores[Region])</f>
        <v>South</v>
      </c>
      <c r="I45">
        <v>3</v>
      </c>
      <c r="J45">
        <v>0.05</v>
      </c>
      <c r="K45" t="s">
        <v>16315</v>
      </c>
      <c r="L45" s="9">
        <f>_xlfn.XLOOKUP(tblTransactions[[#This Row],[ProductID]],tblProducts[ProductID],tblProducts[UnitPrice])</f>
        <v>21084.61</v>
      </c>
      <c r="M45" s="9">
        <f>tblTransactions[[#This Row],[Quantity]]*tblTransactions[[#This Row],[UnitPrice]]</f>
        <v>63253.83</v>
      </c>
      <c r="N45" s="9">
        <f>tblTransactions[[#This Row],[GrossSales]]*tblTransactions[[#This Row],[Discount]]</f>
        <v>3162.6915000000004</v>
      </c>
      <c r="O45" s="9">
        <f>tblTransactions[[#This Row],[GrossSales]]-tblTransactions[[#This Row],[DiscountAmount]]</f>
        <v>60091.138500000001</v>
      </c>
      <c r="P45" s="9">
        <f>_xlfn.XLOOKUP(tblTransactions[[#This Row],[ProductID]],tblProducts[ProductID],tblProducts[UnitCost])</f>
        <v>12896.65</v>
      </c>
      <c r="Q45" s="9">
        <f>tblTransactions[[#This Row],[Quantity]]*tblTransactions[[#This Row],[UnitCost]]</f>
        <v>38689.949999999997</v>
      </c>
      <c r="R45" s="9">
        <f>tblTransactions[[#This Row],[NetRevenue]]-tblTransactions[[#This Row],[TotalCost]]</f>
        <v>21401.188500000004</v>
      </c>
      <c r="S45" t="str">
        <f>_xlfn.XLOOKUP(tblTransactions[[#This Row],[ProductID]],tblProducts[ProductID],tblProducts[Category])</f>
        <v>Home &amp; Kitchen</v>
      </c>
    </row>
    <row r="46" spans="1:19">
      <c r="A46" t="s">
        <v>16363</v>
      </c>
      <c r="B46" s="1">
        <v>44979</v>
      </c>
      <c r="C46" t="s">
        <v>10438</v>
      </c>
      <c r="D46" t="str">
        <f>_xlfn.XLOOKUP(tblTransactions[[#This Row],[CustomerID]],tblCustomers[CustomerID],tblCustomers[CustomerName])</f>
        <v>Lopa Bhatnagar</v>
      </c>
      <c r="E46" t="s">
        <v>16221</v>
      </c>
      <c r="F46" t="str">
        <f>_xlfn.XLOOKUP(tblTransactions[[#This Row],[ProductID]],tblProducts[ProductID],tblProducts[ProductName])</f>
        <v>Conditioner B7</v>
      </c>
      <c r="G46" t="s">
        <v>16277</v>
      </c>
      <c r="H46" t="str">
        <f>_xlfn.XLOOKUP(tblTransactions[[#This Row],[StoreID]],tblStores[StoreID],tblStores[Region])</f>
        <v>West</v>
      </c>
      <c r="I46">
        <v>1</v>
      </c>
      <c r="J46">
        <v>0</v>
      </c>
      <c r="K46" t="s">
        <v>16315</v>
      </c>
      <c r="L46" s="9">
        <f>_xlfn.XLOOKUP(tblTransactions[[#This Row],[ProductID]],tblProducts[ProductID],tblProducts[UnitPrice])</f>
        <v>1702.4</v>
      </c>
      <c r="M46" s="9">
        <f>tblTransactions[[#This Row],[Quantity]]*tblTransactions[[#This Row],[UnitPrice]]</f>
        <v>1702.4</v>
      </c>
      <c r="N46" s="9">
        <f>tblTransactions[[#This Row],[GrossSales]]*tblTransactions[[#This Row],[Discount]]</f>
        <v>0</v>
      </c>
      <c r="O46" s="9">
        <f>tblTransactions[[#This Row],[GrossSales]]-tblTransactions[[#This Row],[DiscountAmount]]</f>
        <v>1702.4</v>
      </c>
      <c r="P46" s="9">
        <f>_xlfn.XLOOKUP(tblTransactions[[#This Row],[ProductID]],tblProducts[ProductID],tblProducts[UnitCost])</f>
        <v>1284.8900000000001</v>
      </c>
      <c r="Q46" s="9">
        <f>tblTransactions[[#This Row],[Quantity]]*tblTransactions[[#This Row],[UnitCost]]</f>
        <v>1284.8900000000001</v>
      </c>
      <c r="R46" s="9">
        <f>tblTransactions[[#This Row],[NetRevenue]]-tblTransactions[[#This Row],[TotalCost]]</f>
        <v>417.51</v>
      </c>
      <c r="S46" t="str">
        <f>_xlfn.XLOOKUP(tblTransactions[[#This Row],[ProductID]],tblProducts[ProductID],tblProducts[Category])</f>
        <v>Personal Care</v>
      </c>
    </row>
    <row r="47" spans="1:19">
      <c r="A47" t="s">
        <v>16364</v>
      </c>
      <c r="B47" s="1">
        <v>44979</v>
      </c>
      <c r="C47" t="s">
        <v>14190</v>
      </c>
      <c r="D47" t="str">
        <f>_xlfn.XLOOKUP(tblTransactions[[#This Row],[CustomerID]],tblCustomers[CustomerID],tblCustomers[CustomerName])</f>
        <v>Amol Bali</v>
      </c>
      <c r="E47" t="s">
        <v>16169</v>
      </c>
      <c r="F47" t="str">
        <f>_xlfn.XLOOKUP(tblTransactions[[#This Row],[ProductID]],tblProducts[ProductID],tblProducts[ProductName])</f>
        <v>Coffee D4</v>
      </c>
      <c r="G47" t="s">
        <v>16271</v>
      </c>
      <c r="H47" t="str">
        <f>_xlfn.XLOOKUP(tblTransactions[[#This Row],[StoreID]],tblStores[StoreID],tblStores[Region])</f>
        <v>South</v>
      </c>
      <c r="I47">
        <v>1</v>
      </c>
      <c r="J47">
        <v>0</v>
      </c>
      <c r="K47" t="s">
        <v>16315</v>
      </c>
      <c r="L47" s="9">
        <f>_xlfn.XLOOKUP(tblTransactions[[#This Row],[ProductID]],tblProducts[ProductID],tblProducts[UnitPrice])</f>
        <v>985.76</v>
      </c>
      <c r="M47" s="9">
        <f>tblTransactions[[#This Row],[Quantity]]*tblTransactions[[#This Row],[UnitPrice]]</f>
        <v>985.76</v>
      </c>
      <c r="N47" s="9">
        <f>tblTransactions[[#This Row],[GrossSales]]*tblTransactions[[#This Row],[Discount]]</f>
        <v>0</v>
      </c>
      <c r="O47" s="9">
        <f>tblTransactions[[#This Row],[GrossSales]]-tblTransactions[[#This Row],[DiscountAmount]]</f>
        <v>985.76</v>
      </c>
      <c r="P47" s="9">
        <f>_xlfn.XLOOKUP(tblTransactions[[#This Row],[ProductID]],tblProducts[ProductID],tblProducts[UnitCost])</f>
        <v>669.86</v>
      </c>
      <c r="Q47" s="9">
        <f>tblTransactions[[#This Row],[Quantity]]*tblTransactions[[#This Row],[UnitCost]]</f>
        <v>669.86</v>
      </c>
      <c r="R47" s="9">
        <f>tblTransactions[[#This Row],[NetRevenue]]-tblTransactions[[#This Row],[TotalCost]]</f>
        <v>315.89999999999998</v>
      </c>
      <c r="S47" t="str">
        <f>_xlfn.XLOOKUP(tblTransactions[[#This Row],[ProductID]],tblProducts[ProductID],tblProducts[Category])</f>
        <v>Grocery</v>
      </c>
    </row>
    <row r="48" spans="1:19">
      <c r="A48" t="s">
        <v>16365</v>
      </c>
      <c r="B48" s="1">
        <v>44981</v>
      </c>
      <c r="C48" t="s">
        <v>6210</v>
      </c>
      <c r="D48" t="str">
        <f>_xlfn.XLOOKUP(tblTransactions[[#This Row],[CustomerID]],tblCustomers[CustomerID],tblCustomers[CustomerName])</f>
        <v>Faras Patil</v>
      </c>
      <c r="E48" t="s">
        <v>16156</v>
      </c>
      <c r="F48" t="str">
        <f>_xlfn.XLOOKUP(tblTransactions[[#This Row],[ProductID]],tblProducts[ProductID],tblProducts[ProductName])</f>
        <v>Chocolate E5</v>
      </c>
      <c r="G48" t="s">
        <v>16273</v>
      </c>
      <c r="H48" t="str">
        <f>_xlfn.XLOOKUP(tblTransactions[[#This Row],[StoreID]],tblStores[StoreID],tblStores[Region])</f>
        <v>West</v>
      </c>
      <c r="I48">
        <v>2</v>
      </c>
      <c r="J48">
        <v>0</v>
      </c>
      <c r="K48" t="s">
        <v>16321</v>
      </c>
      <c r="L48" s="9">
        <f>_xlfn.XLOOKUP(tblTransactions[[#This Row],[ProductID]],tblProducts[ProductID],tblProducts[UnitPrice])</f>
        <v>817.37</v>
      </c>
      <c r="M48" s="9">
        <f>tblTransactions[[#This Row],[Quantity]]*tblTransactions[[#This Row],[UnitPrice]]</f>
        <v>1634.74</v>
      </c>
      <c r="N48" s="9">
        <f>tblTransactions[[#This Row],[GrossSales]]*tblTransactions[[#This Row],[Discount]]</f>
        <v>0</v>
      </c>
      <c r="O48" s="9">
        <f>tblTransactions[[#This Row],[GrossSales]]-tblTransactions[[#This Row],[DiscountAmount]]</f>
        <v>1634.74</v>
      </c>
      <c r="P48" s="9">
        <f>_xlfn.XLOOKUP(tblTransactions[[#This Row],[ProductID]],tblProducts[ProductID],tblProducts[UnitCost])</f>
        <v>595.03</v>
      </c>
      <c r="Q48" s="9">
        <f>tblTransactions[[#This Row],[Quantity]]*tblTransactions[[#This Row],[UnitCost]]</f>
        <v>1190.06</v>
      </c>
      <c r="R48" s="9">
        <f>tblTransactions[[#This Row],[NetRevenue]]-tblTransactions[[#This Row],[TotalCost]]</f>
        <v>444.68000000000006</v>
      </c>
      <c r="S48" t="str">
        <f>_xlfn.XLOOKUP(tblTransactions[[#This Row],[ProductID]],tblProducts[ProductID],tblProducts[Category])</f>
        <v>Grocery</v>
      </c>
    </row>
    <row r="49" spans="1:19">
      <c r="A49" t="s">
        <v>16366</v>
      </c>
      <c r="B49" s="1">
        <v>44981</v>
      </c>
      <c r="C49" t="s">
        <v>6905</v>
      </c>
      <c r="D49" t="str">
        <f>_xlfn.XLOOKUP(tblTransactions[[#This Row],[CustomerID]],tblCustomers[CustomerID],tblCustomers[CustomerName])</f>
        <v>Nikita Bora</v>
      </c>
      <c r="E49" t="s">
        <v>15999</v>
      </c>
      <c r="F49" t="str">
        <f>_xlfn.XLOOKUP(tblTransactions[[#This Row],[ProductID]],tblProducts[ProductID],tblProducts[ProductName])</f>
        <v>Wireless Charger C3</v>
      </c>
      <c r="G49" t="s">
        <v>16295</v>
      </c>
      <c r="H49" t="str">
        <f>_xlfn.XLOOKUP(tblTransactions[[#This Row],[StoreID]],tblStores[StoreID],tblStores[Region])</f>
        <v>South</v>
      </c>
      <c r="I49">
        <v>1</v>
      </c>
      <c r="J49">
        <v>0</v>
      </c>
      <c r="K49" t="s">
        <v>16317</v>
      </c>
      <c r="L49" s="9">
        <f>_xlfn.XLOOKUP(tblTransactions[[#This Row],[ProductID]],tblProducts[ProductID],tblProducts[UnitPrice])</f>
        <v>70426.350000000006</v>
      </c>
      <c r="M49" s="9">
        <f>tblTransactions[[#This Row],[Quantity]]*tblTransactions[[#This Row],[UnitPrice]]</f>
        <v>70426.350000000006</v>
      </c>
      <c r="N49" s="9">
        <f>tblTransactions[[#This Row],[GrossSales]]*tblTransactions[[#This Row],[Discount]]</f>
        <v>0</v>
      </c>
      <c r="O49" s="9">
        <f>tblTransactions[[#This Row],[GrossSales]]-tblTransactions[[#This Row],[DiscountAmount]]</f>
        <v>70426.350000000006</v>
      </c>
      <c r="P49" s="9">
        <f>_xlfn.XLOOKUP(tblTransactions[[#This Row],[ProductID]],tblProducts[ProductID],tblProducts[UnitCost])</f>
        <v>41048.31</v>
      </c>
      <c r="Q49" s="9">
        <f>tblTransactions[[#This Row],[Quantity]]*tblTransactions[[#This Row],[UnitCost]]</f>
        <v>41048.31</v>
      </c>
      <c r="R49" s="9">
        <f>tblTransactions[[#This Row],[NetRevenue]]-tblTransactions[[#This Row],[TotalCost]]</f>
        <v>29378.040000000008</v>
      </c>
      <c r="S49" t="str">
        <f>_xlfn.XLOOKUP(tblTransactions[[#This Row],[ProductID]],tblProducts[ProductID],tblProducts[Category])</f>
        <v>Electronics</v>
      </c>
    </row>
    <row r="50" spans="1:19">
      <c r="A50" t="s">
        <v>16367</v>
      </c>
      <c r="B50" s="1">
        <v>44982</v>
      </c>
      <c r="C50" t="s">
        <v>11219</v>
      </c>
      <c r="D50" t="str">
        <f>_xlfn.XLOOKUP(tblTransactions[[#This Row],[CustomerID]],tblCustomers[CustomerID],tblCustomers[CustomerName])</f>
        <v>Jagvi Mallick</v>
      </c>
      <c r="E50" t="s">
        <v>15971</v>
      </c>
      <c r="F50" t="str">
        <f>_xlfn.XLOOKUP(tblTransactions[[#This Row],[ProductID]],tblProducts[ProductID],tblProducts[ProductName])</f>
        <v>Ultrabook E5</v>
      </c>
      <c r="G50" t="s">
        <v>16256</v>
      </c>
      <c r="H50" t="str">
        <f>_xlfn.XLOOKUP(tblTransactions[[#This Row],[StoreID]],tblStores[StoreID],tblStores[Region])</f>
        <v>East</v>
      </c>
      <c r="I50">
        <v>4</v>
      </c>
      <c r="J50">
        <v>0.1</v>
      </c>
      <c r="K50" t="s">
        <v>16317</v>
      </c>
      <c r="L50" s="9">
        <f>_xlfn.XLOOKUP(tblTransactions[[#This Row],[ProductID]],tblProducts[ProductID],tblProducts[UnitPrice])</f>
        <v>48777.16</v>
      </c>
      <c r="M50" s="9">
        <f>tblTransactions[[#This Row],[Quantity]]*tblTransactions[[#This Row],[UnitPrice]]</f>
        <v>195108.64</v>
      </c>
      <c r="N50" s="9">
        <f>tblTransactions[[#This Row],[GrossSales]]*tblTransactions[[#This Row],[Discount]]</f>
        <v>19510.864000000001</v>
      </c>
      <c r="O50" s="9">
        <f>tblTransactions[[#This Row],[GrossSales]]-tblTransactions[[#This Row],[DiscountAmount]]</f>
        <v>175597.77600000001</v>
      </c>
      <c r="P50" s="9">
        <f>_xlfn.XLOOKUP(tblTransactions[[#This Row],[ProductID]],tblProducts[ProductID],tblProducts[UnitCost])</f>
        <v>29771.48</v>
      </c>
      <c r="Q50" s="9">
        <f>tblTransactions[[#This Row],[Quantity]]*tblTransactions[[#This Row],[UnitCost]]</f>
        <v>119085.92</v>
      </c>
      <c r="R50" s="9">
        <f>tblTransactions[[#This Row],[NetRevenue]]-tblTransactions[[#This Row],[TotalCost]]</f>
        <v>56511.856000000014</v>
      </c>
      <c r="S50" t="str">
        <f>_xlfn.XLOOKUP(tblTransactions[[#This Row],[ProductID]],tblProducts[ProductID],tblProducts[Category])</f>
        <v>Electronics</v>
      </c>
    </row>
    <row r="51" spans="1:19">
      <c r="A51" t="s">
        <v>16368</v>
      </c>
      <c r="B51" s="1">
        <v>44983</v>
      </c>
      <c r="C51" t="s">
        <v>3990</v>
      </c>
      <c r="D51" t="str">
        <f>_xlfn.XLOOKUP(tblTransactions[[#This Row],[CustomerID]],tblCustomers[CustomerID],tblCustomers[CustomerName])</f>
        <v>Jasmit Shroff</v>
      </c>
      <c r="E51" t="s">
        <v>16089</v>
      </c>
      <c r="F51" t="str">
        <f>_xlfn.XLOOKUP(tblTransactions[[#This Row],[ProductID]],tblProducts[ProductID],tblProducts[ProductName])</f>
        <v>Women's Jeans B2</v>
      </c>
      <c r="G51" t="s">
        <v>16275</v>
      </c>
      <c r="H51" t="str">
        <f>_xlfn.XLOOKUP(tblTransactions[[#This Row],[StoreID]],tblStores[StoreID],tblStores[Region])</f>
        <v>South</v>
      </c>
      <c r="I51">
        <v>3</v>
      </c>
      <c r="J51">
        <v>0.05</v>
      </c>
      <c r="K51" t="s">
        <v>16317</v>
      </c>
      <c r="L51" s="9">
        <f>_xlfn.XLOOKUP(tblTransactions[[#This Row],[ProductID]],tblProducts[ProductID],tblProducts[UnitPrice])</f>
        <v>7788.99</v>
      </c>
      <c r="M51" s="9">
        <f>tblTransactions[[#This Row],[Quantity]]*tblTransactions[[#This Row],[UnitPrice]]</f>
        <v>23366.97</v>
      </c>
      <c r="N51" s="9">
        <f>tblTransactions[[#This Row],[GrossSales]]*tblTransactions[[#This Row],[Discount]]</f>
        <v>1168.3485000000001</v>
      </c>
      <c r="O51" s="9">
        <f>tblTransactions[[#This Row],[GrossSales]]-tblTransactions[[#This Row],[DiscountAmount]]</f>
        <v>22198.621500000001</v>
      </c>
      <c r="P51" s="9">
        <f>_xlfn.XLOOKUP(tblTransactions[[#This Row],[ProductID]],tblProducts[ProductID],tblProducts[UnitCost])</f>
        <v>6231.21</v>
      </c>
      <c r="Q51" s="9">
        <f>tblTransactions[[#This Row],[Quantity]]*tblTransactions[[#This Row],[UnitCost]]</f>
        <v>18693.63</v>
      </c>
      <c r="R51" s="9">
        <f>tblTransactions[[#This Row],[NetRevenue]]-tblTransactions[[#This Row],[TotalCost]]</f>
        <v>3504.9915000000001</v>
      </c>
      <c r="S51" t="str">
        <f>_xlfn.XLOOKUP(tblTransactions[[#This Row],[ProductID]],tblProducts[ProductID],tblProducts[Category])</f>
        <v>Clothing</v>
      </c>
    </row>
    <row r="52" spans="1:19">
      <c r="A52" t="s">
        <v>16369</v>
      </c>
      <c r="B52" s="1">
        <v>44983</v>
      </c>
      <c r="C52" t="s">
        <v>1302</v>
      </c>
      <c r="D52" t="str">
        <f>_xlfn.XLOOKUP(tblTransactions[[#This Row],[CustomerID]],tblCustomers[CustomerID],tblCustomers[CustomerName])</f>
        <v>Quincy Mann</v>
      </c>
      <c r="E52" t="s">
        <v>16141</v>
      </c>
      <c r="F52" t="str">
        <f>_xlfn.XLOOKUP(tblTransactions[[#This Row],[ProductID]],tblProducts[ProductID],tblProducts[ProductName])</f>
        <v>Sugar E5</v>
      </c>
      <c r="G52" t="s">
        <v>16271</v>
      </c>
      <c r="H52" t="str">
        <f>_xlfn.XLOOKUP(tblTransactions[[#This Row],[StoreID]],tblStores[StoreID],tblStores[Region])</f>
        <v>South</v>
      </c>
      <c r="I52">
        <v>1</v>
      </c>
      <c r="J52">
        <v>0</v>
      </c>
      <c r="K52" t="s">
        <v>16317</v>
      </c>
      <c r="L52" s="9">
        <f>_xlfn.XLOOKUP(tblTransactions[[#This Row],[ProductID]],tblProducts[ProductID],tblProducts[UnitPrice])</f>
        <v>631.26</v>
      </c>
      <c r="M52" s="9">
        <f>tblTransactions[[#This Row],[Quantity]]*tblTransactions[[#This Row],[UnitPrice]]</f>
        <v>631.26</v>
      </c>
      <c r="N52" s="9">
        <f>tblTransactions[[#This Row],[GrossSales]]*tblTransactions[[#This Row],[Discount]]</f>
        <v>0</v>
      </c>
      <c r="O52" s="9">
        <f>tblTransactions[[#This Row],[GrossSales]]-tblTransactions[[#This Row],[DiscountAmount]]</f>
        <v>631.26</v>
      </c>
      <c r="P52" s="9">
        <f>_xlfn.XLOOKUP(tblTransactions[[#This Row],[ProductID]],tblProducts[ProductID],tblProducts[UnitCost])</f>
        <v>394.86</v>
      </c>
      <c r="Q52" s="9">
        <f>tblTransactions[[#This Row],[Quantity]]*tblTransactions[[#This Row],[UnitCost]]</f>
        <v>394.86</v>
      </c>
      <c r="R52" s="9">
        <f>tblTransactions[[#This Row],[NetRevenue]]-tblTransactions[[#This Row],[TotalCost]]</f>
        <v>236.39999999999998</v>
      </c>
      <c r="S52" t="str">
        <f>_xlfn.XLOOKUP(tblTransactions[[#This Row],[ProductID]],tblProducts[ProductID],tblProducts[Category])</f>
        <v>Grocery</v>
      </c>
    </row>
    <row r="53" spans="1:19">
      <c r="A53" t="s">
        <v>16370</v>
      </c>
      <c r="B53" s="1">
        <v>44983</v>
      </c>
      <c r="C53" t="s">
        <v>7344</v>
      </c>
      <c r="D53" t="str">
        <f>_xlfn.XLOOKUP(tblTransactions[[#This Row],[CustomerID]],tblCustomers[CustomerID],tblCustomers[CustomerName])</f>
        <v>Harish Lalla</v>
      </c>
      <c r="E53" t="s">
        <v>16106</v>
      </c>
      <c r="F53" t="str">
        <f>_xlfn.XLOOKUP(tblTransactions[[#This Row],[ProductID]],tblProducts[ProductID],tblProducts[ProductName])</f>
        <v>Kids Dress C3</v>
      </c>
      <c r="G53" t="s">
        <v>16279</v>
      </c>
      <c r="H53" t="str">
        <f>_xlfn.XLOOKUP(tblTransactions[[#This Row],[StoreID]],tblStores[StoreID],tblStores[Region])</f>
        <v>South</v>
      </c>
      <c r="I53">
        <v>1</v>
      </c>
      <c r="J53">
        <v>0.1</v>
      </c>
      <c r="K53" t="s">
        <v>16321</v>
      </c>
      <c r="L53" s="9">
        <f>_xlfn.XLOOKUP(tblTransactions[[#This Row],[ProductID]],tblProducts[ProductID],tblProducts[UnitPrice])</f>
        <v>1436.28</v>
      </c>
      <c r="M53" s="9">
        <f>tblTransactions[[#This Row],[Quantity]]*tblTransactions[[#This Row],[UnitPrice]]</f>
        <v>1436.28</v>
      </c>
      <c r="N53" s="9">
        <f>tblTransactions[[#This Row],[GrossSales]]*tblTransactions[[#This Row],[Discount]]</f>
        <v>143.62800000000001</v>
      </c>
      <c r="O53" s="9">
        <f>tblTransactions[[#This Row],[GrossSales]]-tblTransactions[[#This Row],[DiscountAmount]]</f>
        <v>1292.652</v>
      </c>
      <c r="P53" s="9">
        <f>_xlfn.XLOOKUP(tblTransactions[[#This Row],[ProductID]],tblProducts[ProductID],tblProducts[UnitCost])</f>
        <v>1097.5</v>
      </c>
      <c r="Q53" s="9">
        <f>tblTransactions[[#This Row],[Quantity]]*tblTransactions[[#This Row],[UnitCost]]</f>
        <v>1097.5</v>
      </c>
      <c r="R53" s="9">
        <f>tblTransactions[[#This Row],[NetRevenue]]-tblTransactions[[#This Row],[TotalCost]]</f>
        <v>195.15200000000004</v>
      </c>
      <c r="S53" t="str">
        <f>_xlfn.XLOOKUP(tblTransactions[[#This Row],[ProductID]],tblProducts[ProductID],tblProducts[Category])</f>
        <v>Clothing</v>
      </c>
    </row>
    <row r="54" spans="1:19">
      <c r="A54" t="s">
        <v>16371</v>
      </c>
      <c r="B54" s="1">
        <v>44984</v>
      </c>
      <c r="C54" t="s">
        <v>13517</v>
      </c>
      <c r="D54" t="str">
        <f>_xlfn.XLOOKUP(tblTransactions[[#This Row],[CustomerID]],tblCustomers[CustomerID],tblCustomers[CustomerName])</f>
        <v>Riya Uppal</v>
      </c>
      <c r="E54" t="s">
        <v>16028</v>
      </c>
      <c r="F54" t="str">
        <f>_xlfn.XLOOKUP(tblTransactions[[#This Row],[ProductID]],tblProducts[ProductID],tblProducts[ProductName])</f>
        <v>Bookshelf B2</v>
      </c>
      <c r="G54" t="s">
        <v>16289</v>
      </c>
      <c r="H54" t="str">
        <f>_xlfn.XLOOKUP(tblTransactions[[#This Row],[StoreID]],tblStores[StoreID],tblStores[Region])</f>
        <v>South</v>
      </c>
      <c r="I54">
        <v>3</v>
      </c>
      <c r="J54">
        <v>0.1</v>
      </c>
      <c r="K54" t="s">
        <v>16319</v>
      </c>
      <c r="L54" s="9">
        <f>_xlfn.XLOOKUP(tblTransactions[[#This Row],[ProductID]],tblProducts[ProductID],tblProducts[UnitPrice])</f>
        <v>11987.07</v>
      </c>
      <c r="M54" s="9">
        <f>tblTransactions[[#This Row],[Quantity]]*tblTransactions[[#This Row],[UnitPrice]]</f>
        <v>35961.21</v>
      </c>
      <c r="N54" s="9">
        <f>tblTransactions[[#This Row],[GrossSales]]*tblTransactions[[#This Row],[Discount]]</f>
        <v>3596.1210000000001</v>
      </c>
      <c r="O54" s="9">
        <f>tblTransactions[[#This Row],[GrossSales]]-tblTransactions[[#This Row],[DiscountAmount]]</f>
        <v>32365.089</v>
      </c>
      <c r="P54" s="9">
        <f>_xlfn.XLOOKUP(tblTransactions[[#This Row],[ProductID]],tblProducts[ProductID],tblProducts[UnitCost])</f>
        <v>8332.57</v>
      </c>
      <c r="Q54" s="9">
        <f>tblTransactions[[#This Row],[Quantity]]*tblTransactions[[#This Row],[UnitCost]]</f>
        <v>24997.71</v>
      </c>
      <c r="R54" s="9">
        <f>tblTransactions[[#This Row],[NetRevenue]]-tblTransactions[[#This Row],[TotalCost]]</f>
        <v>7367.3790000000008</v>
      </c>
      <c r="S54" t="str">
        <f>_xlfn.XLOOKUP(tblTransactions[[#This Row],[ProductID]],tblProducts[ProductID],tblProducts[Category])</f>
        <v>Home &amp; Kitchen</v>
      </c>
    </row>
    <row r="55" spans="1:19">
      <c r="A55" t="s">
        <v>16372</v>
      </c>
      <c r="B55" s="1">
        <v>44984</v>
      </c>
      <c r="C55" t="s">
        <v>2503</v>
      </c>
      <c r="D55" t="str">
        <f>_xlfn.XLOOKUP(tblTransactions[[#This Row],[CustomerID]],tblCustomers[CustomerID],tblCustomers[CustomerName])</f>
        <v>Lila Nagy</v>
      </c>
      <c r="E55" t="s">
        <v>16030</v>
      </c>
      <c r="F55" t="str">
        <f>_xlfn.XLOOKUP(tblTransactions[[#This Row],[ProductID]],tblProducts[ProductID],tblProducts[ProductName])</f>
        <v>Study Table C3</v>
      </c>
      <c r="G55" t="s">
        <v>16291</v>
      </c>
      <c r="H55" t="str">
        <f>_xlfn.XLOOKUP(tblTransactions[[#This Row],[StoreID]],tblStores[StoreID],tblStores[Region])</f>
        <v>South</v>
      </c>
      <c r="I55">
        <v>2</v>
      </c>
      <c r="J55">
        <v>0.05</v>
      </c>
      <c r="K55" t="s">
        <v>16321</v>
      </c>
      <c r="L55" s="9">
        <f>_xlfn.XLOOKUP(tblTransactions[[#This Row],[ProductID]],tblProducts[ProductID],tblProducts[UnitPrice])</f>
        <v>29675.72</v>
      </c>
      <c r="M55" s="9">
        <f>tblTransactions[[#This Row],[Quantity]]*tblTransactions[[#This Row],[UnitPrice]]</f>
        <v>59351.44</v>
      </c>
      <c r="N55" s="9">
        <f>tblTransactions[[#This Row],[GrossSales]]*tblTransactions[[#This Row],[Discount]]</f>
        <v>2967.5720000000001</v>
      </c>
      <c r="O55" s="9">
        <f>tblTransactions[[#This Row],[GrossSales]]-tblTransactions[[#This Row],[DiscountAmount]]</f>
        <v>56383.868000000002</v>
      </c>
      <c r="P55" s="9">
        <f>_xlfn.XLOOKUP(tblTransactions[[#This Row],[ProductID]],tblProducts[ProductID],tblProducts[UnitCost])</f>
        <v>17695.330000000002</v>
      </c>
      <c r="Q55" s="9">
        <f>tblTransactions[[#This Row],[Quantity]]*tblTransactions[[#This Row],[UnitCost]]</f>
        <v>35390.660000000003</v>
      </c>
      <c r="R55" s="9">
        <f>tblTransactions[[#This Row],[NetRevenue]]-tblTransactions[[#This Row],[TotalCost]]</f>
        <v>20993.207999999999</v>
      </c>
      <c r="S55" t="str">
        <f>_xlfn.XLOOKUP(tblTransactions[[#This Row],[ProductID]],tblProducts[ProductID],tblProducts[Category])</f>
        <v>Home &amp; Kitchen</v>
      </c>
    </row>
    <row r="56" spans="1:19">
      <c r="A56" t="s">
        <v>16373</v>
      </c>
      <c r="B56" s="1">
        <v>44988</v>
      </c>
      <c r="C56" t="s">
        <v>1641</v>
      </c>
      <c r="D56" t="str">
        <f>_xlfn.XLOOKUP(tblTransactions[[#This Row],[CustomerID]],tblCustomers[CustomerID],tblCustomers[CustomerName])</f>
        <v>Advaith Chaudhari</v>
      </c>
      <c r="E56" t="s">
        <v>16068</v>
      </c>
      <c r="F56" t="str">
        <f>_xlfn.XLOOKUP(tblTransactions[[#This Row],[ProductID]],tblProducts[ProductID],tblProducts[ProductName])</f>
        <v>Wall Clock B7</v>
      </c>
      <c r="G56" t="s">
        <v>16269</v>
      </c>
      <c r="H56" t="str">
        <f>_xlfn.XLOOKUP(tblTransactions[[#This Row],[StoreID]],tblStores[StoreID],tblStores[Region])</f>
        <v>North</v>
      </c>
      <c r="I56">
        <v>1</v>
      </c>
      <c r="J56">
        <v>0.05</v>
      </c>
      <c r="K56" t="s">
        <v>16315</v>
      </c>
      <c r="L56" s="9">
        <f>_xlfn.XLOOKUP(tblTransactions[[#This Row],[ProductID]],tblProducts[ProductID],tblProducts[UnitPrice])</f>
        <v>7801.86</v>
      </c>
      <c r="M56" s="9">
        <f>tblTransactions[[#This Row],[Quantity]]*tblTransactions[[#This Row],[UnitPrice]]</f>
        <v>7801.86</v>
      </c>
      <c r="N56" s="9">
        <f>tblTransactions[[#This Row],[GrossSales]]*tblTransactions[[#This Row],[Discount]]</f>
        <v>390.09300000000002</v>
      </c>
      <c r="O56" s="9">
        <f>tblTransactions[[#This Row],[GrossSales]]-tblTransactions[[#This Row],[DiscountAmount]]</f>
        <v>7411.7669999999998</v>
      </c>
      <c r="P56" s="9">
        <f>_xlfn.XLOOKUP(tblTransactions[[#This Row],[ProductID]],tblProducts[ProductID],tblProducts[UnitCost])</f>
        <v>5332.9</v>
      </c>
      <c r="Q56" s="9">
        <f>tblTransactions[[#This Row],[Quantity]]*tblTransactions[[#This Row],[UnitCost]]</f>
        <v>5332.9</v>
      </c>
      <c r="R56" s="9">
        <f>tblTransactions[[#This Row],[NetRevenue]]-tblTransactions[[#This Row],[TotalCost]]</f>
        <v>2078.8670000000002</v>
      </c>
      <c r="S56" t="str">
        <f>_xlfn.XLOOKUP(tblTransactions[[#This Row],[ProductID]],tblProducts[ProductID],tblProducts[Category])</f>
        <v>Home &amp; Kitchen</v>
      </c>
    </row>
    <row r="57" spans="1:19">
      <c r="A57" t="s">
        <v>16374</v>
      </c>
      <c r="B57" s="1">
        <v>44988</v>
      </c>
      <c r="C57" t="s">
        <v>15580</v>
      </c>
      <c r="D57" t="str">
        <f>_xlfn.XLOOKUP(tblTransactions[[#This Row],[CustomerID]],tblCustomers[CustomerID],tblCustomers[CustomerName])</f>
        <v>Tejas Narasimhan</v>
      </c>
      <c r="E57" t="s">
        <v>16156</v>
      </c>
      <c r="F57" t="str">
        <f>_xlfn.XLOOKUP(tblTransactions[[#This Row],[ProductID]],tblProducts[ProductID],tblProducts[ProductName])</f>
        <v>Chocolate E5</v>
      </c>
      <c r="G57" t="s">
        <v>16262</v>
      </c>
      <c r="H57" t="str">
        <f>_xlfn.XLOOKUP(tblTransactions[[#This Row],[StoreID]],tblStores[StoreID],tblStores[Region])</f>
        <v>North</v>
      </c>
      <c r="I57">
        <v>4</v>
      </c>
      <c r="J57">
        <v>0.1</v>
      </c>
      <c r="K57" t="s">
        <v>16321</v>
      </c>
      <c r="L57" s="9">
        <f>_xlfn.XLOOKUP(tblTransactions[[#This Row],[ProductID]],tblProducts[ProductID],tblProducts[UnitPrice])</f>
        <v>817.37</v>
      </c>
      <c r="M57" s="9">
        <f>tblTransactions[[#This Row],[Quantity]]*tblTransactions[[#This Row],[UnitPrice]]</f>
        <v>3269.48</v>
      </c>
      <c r="N57" s="9">
        <f>tblTransactions[[#This Row],[GrossSales]]*tblTransactions[[#This Row],[Discount]]</f>
        <v>326.94800000000004</v>
      </c>
      <c r="O57" s="9">
        <f>tblTransactions[[#This Row],[GrossSales]]-tblTransactions[[#This Row],[DiscountAmount]]</f>
        <v>2942.5320000000002</v>
      </c>
      <c r="P57" s="9">
        <f>_xlfn.XLOOKUP(tblTransactions[[#This Row],[ProductID]],tblProducts[ProductID],tblProducts[UnitCost])</f>
        <v>595.03</v>
      </c>
      <c r="Q57" s="9">
        <f>tblTransactions[[#This Row],[Quantity]]*tblTransactions[[#This Row],[UnitCost]]</f>
        <v>2380.12</v>
      </c>
      <c r="R57" s="9">
        <f>tblTransactions[[#This Row],[NetRevenue]]-tblTransactions[[#This Row],[TotalCost]]</f>
        <v>562.41200000000026</v>
      </c>
      <c r="S57" t="str">
        <f>_xlfn.XLOOKUP(tblTransactions[[#This Row],[ProductID]],tblProducts[ProductID],tblProducts[Category])</f>
        <v>Grocery</v>
      </c>
    </row>
    <row r="58" spans="1:19">
      <c r="A58" t="s">
        <v>16375</v>
      </c>
      <c r="B58" s="1">
        <v>44989</v>
      </c>
      <c r="C58" t="s">
        <v>12137</v>
      </c>
      <c r="D58" t="str">
        <f>_xlfn.XLOOKUP(tblTransactions[[#This Row],[CustomerID]],tblCustomers[CustomerID],tblCustomers[CustomerName])</f>
        <v>Pallavi Sane</v>
      </c>
      <c r="E58" t="s">
        <v>16047</v>
      </c>
      <c r="F58" t="str">
        <f>_xlfn.XLOOKUP(tblTransactions[[#This Row],[ProductID]],tblProducts[ProductID],tblProducts[ProductName])</f>
        <v>Frying Pan D4</v>
      </c>
      <c r="G58" t="s">
        <v>16269</v>
      </c>
      <c r="H58" t="str">
        <f>_xlfn.XLOOKUP(tblTransactions[[#This Row],[StoreID]],tblStores[StoreID],tblStores[Region])</f>
        <v>North</v>
      </c>
      <c r="I58">
        <v>4</v>
      </c>
      <c r="J58">
        <v>0</v>
      </c>
      <c r="K58" t="s">
        <v>16325</v>
      </c>
      <c r="L58" s="9">
        <f>_xlfn.XLOOKUP(tblTransactions[[#This Row],[ProductID]],tblProducts[ProductID],tblProducts[UnitPrice])</f>
        <v>24430.33</v>
      </c>
      <c r="M58" s="9">
        <f>tblTransactions[[#This Row],[Quantity]]*tblTransactions[[#This Row],[UnitPrice]]</f>
        <v>97721.32</v>
      </c>
      <c r="N58" s="9">
        <f>tblTransactions[[#This Row],[GrossSales]]*tblTransactions[[#This Row],[Discount]]</f>
        <v>0</v>
      </c>
      <c r="O58" s="9">
        <f>tblTransactions[[#This Row],[GrossSales]]-tblTransactions[[#This Row],[DiscountAmount]]</f>
        <v>97721.32</v>
      </c>
      <c r="P58" s="9">
        <f>_xlfn.XLOOKUP(tblTransactions[[#This Row],[ProductID]],tblProducts[ProductID],tblProducts[UnitCost])</f>
        <v>14996.73</v>
      </c>
      <c r="Q58" s="9">
        <f>tblTransactions[[#This Row],[Quantity]]*tblTransactions[[#This Row],[UnitCost]]</f>
        <v>59986.92</v>
      </c>
      <c r="R58" s="9">
        <f>tblTransactions[[#This Row],[NetRevenue]]-tblTransactions[[#This Row],[TotalCost]]</f>
        <v>37734.400000000009</v>
      </c>
      <c r="S58" t="str">
        <f>_xlfn.XLOOKUP(tblTransactions[[#This Row],[ProductID]],tblProducts[ProductID],tblProducts[Category])</f>
        <v>Home &amp; Kitchen</v>
      </c>
    </row>
    <row r="59" spans="1:19">
      <c r="A59" t="s">
        <v>16376</v>
      </c>
      <c r="B59" s="1">
        <v>44989</v>
      </c>
      <c r="C59" t="s">
        <v>1089</v>
      </c>
      <c r="D59" t="str">
        <f>_xlfn.XLOOKUP(tblTransactions[[#This Row],[CustomerID]],tblCustomers[CustomerID],tblCustomers[CustomerName])</f>
        <v>Sachi Bose</v>
      </c>
      <c r="E59" t="s">
        <v>16243</v>
      </c>
      <c r="F59" t="str">
        <f>_xlfn.XLOOKUP(tblTransactions[[#This Row],[ProductID]],tblProducts[ProductID],tblProducts[ProductName])</f>
        <v>Trimmer C3</v>
      </c>
      <c r="G59" t="s">
        <v>16262</v>
      </c>
      <c r="H59" t="str">
        <f>_xlfn.XLOOKUP(tblTransactions[[#This Row],[StoreID]],tblStores[StoreID],tblStores[Region])</f>
        <v>North</v>
      </c>
      <c r="I59">
        <v>2</v>
      </c>
      <c r="J59">
        <v>0</v>
      </c>
      <c r="K59" t="s">
        <v>16317</v>
      </c>
      <c r="L59" s="9">
        <f>_xlfn.XLOOKUP(tblTransactions[[#This Row],[ProductID]],tblProducts[ProductID],tblProducts[UnitPrice])</f>
        <v>3309.4</v>
      </c>
      <c r="M59" s="9">
        <f>tblTransactions[[#This Row],[Quantity]]*tblTransactions[[#This Row],[UnitPrice]]</f>
        <v>6618.8</v>
      </c>
      <c r="N59" s="9">
        <f>tblTransactions[[#This Row],[GrossSales]]*tblTransactions[[#This Row],[Discount]]</f>
        <v>0</v>
      </c>
      <c r="O59" s="9">
        <f>tblTransactions[[#This Row],[GrossSales]]-tblTransactions[[#This Row],[DiscountAmount]]</f>
        <v>6618.8</v>
      </c>
      <c r="P59" s="9">
        <f>_xlfn.XLOOKUP(tblTransactions[[#This Row],[ProductID]],tblProducts[ProductID],tblProducts[UnitCost])</f>
        <v>2744.04</v>
      </c>
      <c r="Q59" s="9">
        <f>tblTransactions[[#This Row],[Quantity]]*tblTransactions[[#This Row],[UnitCost]]</f>
        <v>5488.08</v>
      </c>
      <c r="R59" s="9">
        <f>tblTransactions[[#This Row],[NetRevenue]]-tblTransactions[[#This Row],[TotalCost]]</f>
        <v>1130.7200000000003</v>
      </c>
      <c r="S59" t="str">
        <f>_xlfn.XLOOKUP(tblTransactions[[#This Row],[ProductID]],tblProducts[ProductID],tblProducts[Category])</f>
        <v>Personal Care</v>
      </c>
    </row>
    <row r="60" spans="1:19">
      <c r="A60" t="s">
        <v>16377</v>
      </c>
      <c r="B60" s="1">
        <v>44990</v>
      </c>
      <c r="C60" t="s">
        <v>13593</v>
      </c>
      <c r="D60" t="str">
        <f>_xlfn.XLOOKUP(tblTransactions[[#This Row],[CustomerID]],tblCustomers[CustomerID],tblCustomers[CustomerName])</f>
        <v>Bachittar Arya</v>
      </c>
      <c r="E60" t="s">
        <v>16051</v>
      </c>
      <c r="F60" t="str">
        <f>_xlfn.XLOOKUP(tblTransactions[[#This Row],[ProductID]],tblProducts[ProductID],tblProducts[ProductName])</f>
        <v>Pressure Cooker A6</v>
      </c>
      <c r="G60" t="s">
        <v>16289</v>
      </c>
      <c r="H60" t="str">
        <f>_xlfn.XLOOKUP(tblTransactions[[#This Row],[StoreID]],tblStores[StoreID],tblStores[Region])</f>
        <v>South</v>
      </c>
      <c r="I60">
        <v>1</v>
      </c>
      <c r="J60">
        <v>0</v>
      </c>
      <c r="K60" t="s">
        <v>16315</v>
      </c>
      <c r="L60" s="9">
        <f>_xlfn.XLOOKUP(tblTransactions[[#This Row],[ProductID]],tblProducts[ProductID],tblProducts[UnitPrice])</f>
        <v>27105.29</v>
      </c>
      <c r="M60" s="9">
        <f>tblTransactions[[#This Row],[Quantity]]*tblTransactions[[#This Row],[UnitPrice]]</f>
        <v>27105.29</v>
      </c>
      <c r="N60" s="9">
        <f>tblTransactions[[#This Row],[GrossSales]]*tblTransactions[[#This Row],[Discount]]</f>
        <v>0</v>
      </c>
      <c r="O60" s="9">
        <f>tblTransactions[[#This Row],[GrossSales]]-tblTransactions[[#This Row],[DiscountAmount]]</f>
        <v>27105.29</v>
      </c>
      <c r="P60" s="9">
        <f>_xlfn.XLOOKUP(tblTransactions[[#This Row],[ProductID]],tblProducts[ProductID],tblProducts[UnitCost])</f>
        <v>17092.599999999999</v>
      </c>
      <c r="Q60" s="9">
        <f>tblTransactions[[#This Row],[Quantity]]*tblTransactions[[#This Row],[UnitCost]]</f>
        <v>17092.599999999999</v>
      </c>
      <c r="R60" s="9">
        <f>tblTransactions[[#This Row],[NetRevenue]]-tblTransactions[[#This Row],[TotalCost]]</f>
        <v>10012.690000000002</v>
      </c>
      <c r="S60" t="str">
        <f>_xlfn.XLOOKUP(tblTransactions[[#This Row],[ProductID]],tblProducts[ProductID],tblProducts[Category])</f>
        <v>Home &amp; Kitchen</v>
      </c>
    </row>
    <row r="61" spans="1:19">
      <c r="A61" t="s">
        <v>16378</v>
      </c>
      <c r="B61" s="1">
        <v>44990</v>
      </c>
      <c r="C61" t="s">
        <v>12868</v>
      </c>
      <c r="D61" t="str">
        <f>_xlfn.XLOOKUP(tblTransactions[[#This Row],[CustomerID]],tblCustomers[CustomerID],tblCustomers[CustomerName])</f>
        <v>Chavvi Mani</v>
      </c>
      <c r="E61" t="s">
        <v>16030</v>
      </c>
      <c r="F61" t="str">
        <f>_xlfn.XLOOKUP(tblTransactions[[#This Row],[ProductID]],tblProducts[ProductID],tblProducts[ProductName])</f>
        <v>Study Table C3</v>
      </c>
      <c r="G61" t="s">
        <v>16307</v>
      </c>
      <c r="H61" t="str">
        <f>_xlfn.XLOOKUP(tblTransactions[[#This Row],[StoreID]],tblStores[StoreID],tblStores[Region])</f>
        <v>East</v>
      </c>
      <c r="I61">
        <v>1</v>
      </c>
      <c r="J61">
        <v>0</v>
      </c>
      <c r="K61" t="s">
        <v>16317</v>
      </c>
      <c r="L61" s="9">
        <f>_xlfn.XLOOKUP(tblTransactions[[#This Row],[ProductID]],tblProducts[ProductID],tblProducts[UnitPrice])</f>
        <v>29675.72</v>
      </c>
      <c r="M61" s="9">
        <f>tblTransactions[[#This Row],[Quantity]]*tblTransactions[[#This Row],[UnitPrice]]</f>
        <v>29675.72</v>
      </c>
      <c r="N61" s="9">
        <f>tblTransactions[[#This Row],[GrossSales]]*tblTransactions[[#This Row],[Discount]]</f>
        <v>0</v>
      </c>
      <c r="O61" s="9">
        <f>tblTransactions[[#This Row],[GrossSales]]-tblTransactions[[#This Row],[DiscountAmount]]</f>
        <v>29675.72</v>
      </c>
      <c r="P61" s="9">
        <f>_xlfn.XLOOKUP(tblTransactions[[#This Row],[ProductID]],tblProducts[ProductID],tblProducts[UnitCost])</f>
        <v>17695.330000000002</v>
      </c>
      <c r="Q61" s="9">
        <f>tblTransactions[[#This Row],[Quantity]]*tblTransactions[[#This Row],[UnitCost]]</f>
        <v>17695.330000000002</v>
      </c>
      <c r="R61" s="9">
        <f>tblTransactions[[#This Row],[NetRevenue]]-tblTransactions[[#This Row],[TotalCost]]</f>
        <v>11980.39</v>
      </c>
      <c r="S61" t="str">
        <f>_xlfn.XLOOKUP(tblTransactions[[#This Row],[ProductID]],tblProducts[ProductID],tblProducts[Category])</f>
        <v>Home &amp; Kitchen</v>
      </c>
    </row>
    <row r="62" spans="1:19">
      <c r="A62" t="s">
        <v>16379</v>
      </c>
      <c r="B62" s="1">
        <v>44994</v>
      </c>
      <c r="C62" t="s">
        <v>2680</v>
      </c>
      <c r="D62" t="str">
        <f>_xlfn.XLOOKUP(tblTransactions[[#This Row],[CustomerID]],tblCustomers[CustomerID],tblCustomers[CustomerName])</f>
        <v>Adya Bose</v>
      </c>
      <c r="E62" t="s">
        <v>16001</v>
      </c>
      <c r="F62" t="str">
        <f>_xlfn.XLOOKUP(tblTransactions[[#This Row],[ProductID]],tblProducts[ProductID],tblProducts[ProductName])</f>
        <v>Power Bank D4</v>
      </c>
      <c r="G62" t="s">
        <v>16291</v>
      </c>
      <c r="H62" t="str">
        <f>_xlfn.XLOOKUP(tblTransactions[[#This Row],[StoreID]],tblStores[StoreID],tblStores[Region])</f>
        <v>South</v>
      </c>
      <c r="I62">
        <v>1</v>
      </c>
      <c r="J62">
        <v>0.05</v>
      </c>
      <c r="K62" t="s">
        <v>16321</v>
      </c>
      <c r="L62" s="9">
        <f>_xlfn.XLOOKUP(tblTransactions[[#This Row],[ProductID]],tblProducts[ProductID],tblProducts[UnitPrice])</f>
        <v>29153.55</v>
      </c>
      <c r="M62" s="9">
        <f>tblTransactions[[#This Row],[Quantity]]*tblTransactions[[#This Row],[UnitPrice]]</f>
        <v>29153.55</v>
      </c>
      <c r="N62" s="9">
        <f>tblTransactions[[#This Row],[GrossSales]]*tblTransactions[[#This Row],[Discount]]</f>
        <v>1457.6775</v>
      </c>
      <c r="O62" s="9">
        <f>tblTransactions[[#This Row],[GrossSales]]-tblTransactions[[#This Row],[DiscountAmount]]</f>
        <v>27695.872499999998</v>
      </c>
      <c r="P62" s="9">
        <f>_xlfn.XLOOKUP(tblTransactions[[#This Row],[ProductID]],tblProducts[ProductID],tblProducts[UnitCost])</f>
        <v>21894.27</v>
      </c>
      <c r="Q62" s="9">
        <f>tblTransactions[[#This Row],[Quantity]]*tblTransactions[[#This Row],[UnitCost]]</f>
        <v>21894.27</v>
      </c>
      <c r="R62" s="9">
        <f>tblTransactions[[#This Row],[NetRevenue]]-tblTransactions[[#This Row],[TotalCost]]</f>
        <v>5801.6024999999972</v>
      </c>
      <c r="S62" t="str">
        <f>_xlfn.XLOOKUP(tblTransactions[[#This Row],[ProductID]],tblProducts[ProductID],tblProducts[Category])</f>
        <v>Electronics</v>
      </c>
    </row>
    <row r="63" spans="1:19">
      <c r="A63" t="s">
        <v>16380</v>
      </c>
      <c r="B63" s="1">
        <v>44995</v>
      </c>
      <c r="C63" t="s">
        <v>13603</v>
      </c>
      <c r="D63" t="str">
        <f>_xlfn.XLOOKUP(tblTransactions[[#This Row],[CustomerID]],tblCustomers[CustomerID],tblCustomers[CustomerName])</f>
        <v>Nachiket Pant</v>
      </c>
      <c r="E63" t="s">
        <v>16145</v>
      </c>
      <c r="F63" t="str">
        <f>_xlfn.XLOOKUP(tblTransactions[[#This Row],[ProductID]],tblProducts[ProductID],tblProducts[ProductName])</f>
        <v>Rice B7</v>
      </c>
      <c r="G63" t="s">
        <v>16299</v>
      </c>
      <c r="H63" t="str">
        <f>_xlfn.XLOOKUP(tblTransactions[[#This Row],[StoreID]],tblStores[StoreID],tblStores[Region])</f>
        <v>South</v>
      </c>
      <c r="I63">
        <v>2</v>
      </c>
      <c r="J63">
        <v>0</v>
      </c>
      <c r="K63" t="s">
        <v>16321</v>
      </c>
      <c r="L63" s="9">
        <f>_xlfn.XLOOKUP(tblTransactions[[#This Row],[ProductID]],tblProducts[ProductID],tblProducts[UnitPrice])</f>
        <v>775.19</v>
      </c>
      <c r="M63" s="9">
        <f>tblTransactions[[#This Row],[Quantity]]*tblTransactions[[#This Row],[UnitPrice]]</f>
        <v>1550.38</v>
      </c>
      <c r="N63" s="9">
        <f>tblTransactions[[#This Row],[GrossSales]]*tblTransactions[[#This Row],[Discount]]</f>
        <v>0</v>
      </c>
      <c r="O63" s="9">
        <f>tblTransactions[[#This Row],[GrossSales]]-tblTransactions[[#This Row],[DiscountAmount]]</f>
        <v>1550.38</v>
      </c>
      <c r="P63" s="9">
        <f>_xlfn.XLOOKUP(tblTransactions[[#This Row],[ProductID]],tblProducts[ProductID],tblProducts[UnitCost])</f>
        <v>597.84</v>
      </c>
      <c r="Q63" s="9">
        <f>tblTransactions[[#This Row],[Quantity]]*tblTransactions[[#This Row],[UnitCost]]</f>
        <v>1195.68</v>
      </c>
      <c r="R63" s="9">
        <f>tblTransactions[[#This Row],[NetRevenue]]-tblTransactions[[#This Row],[TotalCost]]</f>
        <v>354.70000000000005</v>
      </c>
      <c r="S63" t="str">
        <f>_xlfn.XLOOKUP(tblTransactions[[#This Row],[ProductID]],tblProducts[ProductID],tblProducts[Category])</f>
        <v>Grocery</v>
      </c>
    </row>
    <row r="64" spans="1:19">
      <c r="A64" t="s">
        <v>16381</v>
      </c>
      <c r="B64" s="1">
        <v>44995</v>
      </c>
      <c r="C64" t="s">
        <v>2626</v>
      </c>
      <c r="D64" t="str">
        <f>_xlfn.XLOOKUP(tblTransactions[[#This Row],[CustomerID]],tblCustomers[CustomerID],tblCustomers[CustomerName])</f>
        <v>Megha Balasubramanian</v>
      </c>
      <c r="E64" t="s">
        <v>16053</v>
      </c>
      <c r="F64" t="str">
        <f>_xlfn.XLOOKUP(tblTransactions[[#This Row],[ProductID]],tblProducts[ProductID],tblProducts[ProductName])</f>
        <v>Pressure Cooker B7</v>
      </c>
      <c r="G64" t="s">
        <v>16305</v>
      </c>
      <c r="H64" t="str">
        <f>_xlfn.XLOOKUP(tblTransactions[[#This Row],[StoreID]],tblStores[StoreID],tblStores[Region])</f>
        <v>South</v>
      </c>
      <c r="I64">
        <v>2</v>
      </c>
      <c r="J64">
        <v>0</v>
      </c>
      <c r="K64" t="s">
        <v>16321</v>
      </c>
      <c r="L64" s="9">
        <f>_xlfn.XLOOKUP(tblTransactions[[#This Row],[ProductID]],tblProducts[ProductID],tblProducts[UnitPrice])</f>
        <v>24743.52</v>
      </c>
      <c r="M64" s="9">
        <f>tblTransactions[[#This Row],[Quantity]]*tblTransactions[[#This Row],[UnitPrice]]</f>
        <v>49487.040000000001</v>
      </c>
      <c r="N64" s="9">
        <f>tblTransactions[[#This Row],[GrossSales]]*tblTransactions[[#This Row],[Discount]]</f>
        <v>0</v>
      </c>
      <c r="O64" s="9">
        <f>tblTransactions[[#This Row],[GrossSales]]-tblTransactions[[#This Row],[DiscountAmount]]</f>
        <v>49487.040000000001</v>
      </c>
      <c r="P64" s="9">
        <f>_xlfn.XLOOKUP(tblTransactions[[#This Row],[ProductID]],tblProducts[ProductID],tblProducts[UnitCost])</f>
        <v>16620.189999999999</v>
      </c>
      <c r="Q64" s="9">
        <f>tblTransactions[[#This Row],[Quantity]]*tblTransactions[[#This Row],[UnitCost]]</f>
        <v>33240.379999999997</v>
      </c>
      <c r="R64" s="9">
        <f>tblTransactions[[#This Row],[NetRevenue]]-tblTransactions[[#This Row],[TotalCost]]</f>
        <v>16246.660000000003</v>
      </c>
      <c r="S64" t="str">
        <f>_xlfn.XLOOKUP(tblTransactions[[#This Row],[ProductID]],tblProducts[ProductID],tblProducts[Category])</f>
        <v>Home &amp; Kitchen</v>
      </c>
    </row>
    <row r="65" spans="1:19">
      <c r="A65" t="s">
        <v>16382</v>
      </c>
      <c r="B65" s="1">
        <v>44995</v>
      </c>
      <c r="C65" t="s">
        <v>12569</v>
      </c>
      <c r="D65" t="str">
        <f>_xlfn.XLOOKUP(tblTransactions[[#This Row],[CustomerID]],tblCustomers[CustomerID],tblCustomers[CustomerName])</f>
        <v>Shaurya Dutta</v>
      </c>
      <c r="E65" t="s">
        <v>16180</v>
      </c>
      <c r="F65" t="str">
        <f>_xlfn.XLOOKUP(tblTransactions[[#This Row],[ProductID]],tblProducts[ProductID],tblProducts[ProductName])</f>
        <v>Instant Noodles B2</v>
      </c>
      <c r="G65" t="s">
        <v>16305</v>
      </c>
      <c r="H65" t="str">
        <f>_xlfn.XLOOKUP(tblTransactions[[#This Row],[StoreID]],tblStores[StoreID],tblStores[Region])</f>
        <v>South</v>
      </c>
      <c r="I65">
        <v>-2</v>
      </c>
      <c r="J65">
        <v>0</v>
      </c>
      <c r="K65" t="s">
        <v>16317</v>
      </c>
      <c r="L65" s="9">
        <f>_xlfn.XLOOKUP(tblTransactions[[#This Row],[ProductID]],tblProducts[ProductID],tblProducts[UnitPrice])</f>
        <v>130.63</v>
      </c>
      <c r="M65" s="9">
        <f>tblTransactions[[#This Row],[Quantity]]*tblTransactions[[#This Row],[UnitPrice]]</f>
        <v>-261.26</v>
      </c>
      <c r="N65" s="9">
        <f>tblTransactions[[#This Row],[GrossSales]]*tblTransactions[[#This Row],[Discount]]</f>
        <v>0</v>
      </c>
      <c r="O65" s="9">
        <f>tblTransactions[[#This Row],[GrossSales]]-tblTransactions[[#This Row],[DiscountAmount]]</f>
        <v>-261.26</v>
      </c>
      <c r="P65" s="9">
        <f>_xlfn.XLOOKUP(tblTransactions[[#This Row],[ProductID]],tblProducts[ProductID],tblProducts[UnitCost])</f>
        <v>75.33</v>
      </c>
      <c r="Q65" s="9">
        <f>tblTransactions[[#This Row],[Quantity]]*tblTransactions[[#This Row],[UnitCost]]</f>
        <v>-150.66</v>
      </c>
      <c r="R65" s="9">
        <f>tblTransactions[[#This Row],[NetRevenue]]-tblTransactions[[#This Row],[TotalCost]]</f>
        <v>-110.6</v>
      </c>
      <c r="S65" t="str">
        <f>_xlfn.XLOOKUP(tblTransactions[[#This Row],[ProductID]],tblProducts[ProductID],tblProducts[Category])</f>
        <v>Grocery</v>
      </c>
    </row>
    <row r="66" spans="1:19">
      <c r="A66" t="s">
        <v>16383</v>
      </c>
      <c r="B66" s="1">
        <v>44995</v>
      </c>
      <c r="C66" t="s">
        <v>7326</v>
      </c>
      <c r="D66" t="str">
        <f>_xlfn.XLOOKUP(tblTransactions[[#This Row],[CustomerID]],tblCustomers[CustomerID],tblCustomers[CustomerName])</f>
        <v>Yug Bandi</v>
      </c>
      <c r="E66" t="s">
        <v>15937</v>
      </c>
      <c r="F66" t="str">
        <f>_xlfn.XLOOKUP(tblTransactions[[#This Row],[ProductID]],tblProducts[ProductID],tblProducts[ProductName])</f>
        <v>Smart LED TV E5</v>
      </c>
      <c r="G66" t="s">
        <v>16283</v>
      </c>
      <c r="H66" t="str">
        <f>_xlfn.XLOOKUP(tblTransactions[[#This Row],[StoreID]],tblStores[StoreID],tblStores[Region])</f>
        <v>South</v>
      </c>
      <c r="I66">
        <v>1</v>
      </c>
      <c r="J66">
        <v>0.05</v>
      </c>
      <c r="K66" t="s">
        <v>16317</v>
      </c>
      <c r="L66" s="9">
        <f>_xlfn.XLOOKUP(tblTransactions[[#This Row],[ProductID]],tblProducts[ProductID],tblProducts[UnitPrice])</f>
        <v>4719.2700000000004</v>
      </c>
      <c r="M66" s="9">
        <f>tblTransactions[[#This Row],[Quantity]]*tblTransactions[[#This Row],[UnitPrice]]</f>
        <v>4719.2700000000004</v>
      </c>
      <c r="N66" s="9">
        <f>tblTransactions[[#This Row],[GrossSales]]*tblTransactions[[#This Row],[Discount]]</f>
        <v>235.96350000000004</v>
      </c>
      <c r="O66" s="9">
        <f>tblTransactions[[#This Row],[GrossSales]]-tblTransactions[[#This Row],[DiscountAmount]]</f>
        <v>4483.3065000000006</v>
      </c>
      <c r="P66" s="9">
        <f>_xlfn.XLOOKUP(tblTransactions[[#This Row],[ProductID]],tblProducts[ProductID],tblProducts[UnitCost])</f>
        <v>3322.23</v>
      </c>
      <c r="Q66" s="9">
        <f>tblTransactions[[#This Row],[Quantity]]*tblTransactions[[#This Row],[UnitCost]]</f>
        <v>3322.23</v>
      </c>
      <c r="R66" s="9">
        <f>tblTransactions[[#This Row],[NetRevenue]]-tblTransactions[[#This Row],[TotalCost]]</f>
        <v>1161.0765000000006</v>
      </c>
      <c r="S66" t="str">
        <f>_xlfn.XLOOKUP(tblTransactions[[#This Row],[ProductID]],tblProducts[ProductID],tblProducts[Category])</f>
        <v>Electronics</v>
      </c>
    </row>
    <row r="67" spans="1:19">
      <c r="A67" t="s">
        <v>16384</v>
      </c>
      <c r="B67" s="1">
        <v>44997</v>
      </c>
      <c r="C67" t="s">
        <v>3784</v>
      </c>
      <c r="D67" t="str">
        <f>_xlfn.XLOOKUP(tblTransactions[[#This Row],[CustomerID]],tblCustomers[CustomerID],tblCustomers[CustomerName])</f>
        <v>Zashil Sehgal</v>
      </c>
      <c r="E67" t="s">
        <v>15979</v>
      </c>
      <c r="F67" t="str">
        <f>_xlfn.XLOOKUP(tblTransactions[[#This Row],[ProductID]],tblProducts[ProductID],tblProducts[ProductName])</f>
        <v>Soundbar A1</v>
      </c>
      <c r="G67" t="s">
        <v>16259</v>
      </c>
      <c r="H67" t="str">
        <f>_xlfn.XLOOKUP(tblTransactions[[#This Row],[StoreID]],tblStores[StoreID],tblStores[Region])</f>
        <v>East</v>
      </c>
      <c r="I67">
        <v>2</v>
      </c>
      <c r="J67">
        <v>0</v>
      </c>
      <c r="K67" t="s">
        <v>16317</v>
      </c>
      <c r="L67" s="9">
        <f>_xlfn.XLOOKUP(tblTransactions[[#This Row],[ProductID]],tblProducts[ProductID],tblProducts[UnitPrice])</f>
        <v>45527.55</v>
      </c>
      <c r="M67" s="9">
        <f>tblTransactions[[#This Row],[Quantity]]*tblTransactions[[#This Row],[UnitPrice]]</f>
        <v>91055.1</v>
      </c>
      <c r="N67" s="9">
        <f>tblTransactions[[#This Row],[GrossSales]]*tblTransactions[[#This Row],[Discount]]</f>
        <v>0</v>
      </c>
      <c r="O67" s="9">
        <f>tblTransactions[[#This Row],[GrossSales]]-tblTransactions[[#This Row],[DiscountAmount]]</f>
        <v>91055.1</v>
      </c>
      <c r="P67" s="9">
        <f>_xlfn.XLOOKUP(tblTransactions[[#This Row],[ProductID]],tblProducts[ProductID],tblProducts[UnitCost])</f>
        <v>35089.57</v>
      </c>
      <c r="Q67" s="9">
        <f>tblTransactions[[#This Row],[Quantity]]*tblTransactions[[#This Row],[UnitCost]]</f>
        <v>70179.14</v>
      </c>
      <c r="R67" s="9">
        <f>tblTransactions[[#This Row],[NetRevenue]]-tblTransactions[[#This Row],[TotalCost]]</f>
        <v>20875.960000000006</v>
      </c>
      <c r="S67" t="str">
        <f>_xlfn.XLOOKUP(tblTransactions[[#This Row],[ProductID]],tblProducts[ProductID],tblProducts[Category])</f>
        <v>Electronics</v>
      </c>
    </row>
    <row r="68" spans="1:19">
      <c r="A68" t="s">
        <v>16385</v>
      </c>
      <c r="B68" s="1">
        <v>44997</v>
      </c>
      <c r="C68" t="s">
        <v>8301</v>
      </c>
      <c r="D68" t="str">
        <f>_xlfn.XLOOKUP(tblTransactions[[#This Row],[CustomerID]],tblCustomers[CustomerID],tblCustomers[CustomerName])</f>
        <v>Urishilla Kata</v>
      </c>
      <c r="E68" t="s">
        <v>16206</v>
      </c>
      <c r="F68" t="str">
        <f>_xlfn.XLOOKUP(tblTransactions[[#This Row],[ProductID]],tblProducts[ProductID],tblProducts[ProductName])</f>
        <v>Moisturizer B7</v>
      </c>
      <c r="G68" t="s">
        <v>16277</v>
      </c>
      <c r="H68" t="str">
        <f>_xlfn.XLOOKUP(tblTransactions[[#This Row],[StoreID]],tblStores[StoreID],tblStores[Region])</f>
        <v>West</v>
      </c>
      <c r="I68">
        <v>1</v>
      </c>
      <c r="J68">
        <v>0</v>
      </c>
      <c r="K68" t="s">
        <v>16315</v>
      </c>
      <c r="L68" s="9">
        <f>_xlfn.XLOOKUP(tblTransactions[[#This Row],[ProductID]],tblProducts[ProductID],tblProducts[UnitPrice])</f>
        <v>3285.82</v>
      </c>
      <c r="M68" s="9">
        <f>tblTransactions[[#This Row],[Quantity]]*tblTransactions[[#This Row],[UnitPrice]]</f>
        <v>3285.82</v>
      </c>
      <c r="N68" s="9">
        <f>tblTransactions[[#This Row],[GrossSales]]*tblTransactions[[#This Row],[Discount]]</f>
        <v>0</v>
      </c>
      <c r="O68" s="9">
        <f>tblTransactions[[#This Row],[GrossSales]]-tblTransactions[[#This Row],[DiscountAmount]]</f>
        <v>3285.82</v>
      </c>
      <c r="P68" s="9">
        <f>_xlfn.XLOOKUP(tblTransactions[[#This Row],[ProductID]],tblProducts[ProductID],tblProducts[UnitCost])</f>
        <v>2256.9699999999998</v>
      </c>
      <c r="Q68" s="9">
        <f>tblTransactions[[#This Row],[Quantity]]*tblTransactions[[#This Row],[UnitCost]]</f>
        <v>2256.9699999999998</v>
      </c>
      <c r="R68" s="9">
        <f>tblTransactions[[#This Row],[NetRevenue]]-tblTransactions[[#This Row],[TotalCost]]</f>
        <v>1028.8500000000004</v>
      </c>
      <c r="S68" t="str">
        <f>_xlfn.XLOOKUP(tblTransactions[[#This Row],[ProductID]],tblProducts[ProductID],tblProducts[Category])</f>
        <v>Personal Care</v>
      </c>
    </row>
    <row r="69" spans="1:19">
      <c r="A69" t="s">
        <v>16386</v>
      </c>
      <c r="B69" s="1">
        <v>44998</v>
      </c>
      <c r="C69" t="s">
        <v>7400</v>
      </c>
      <c r="D69" t="str">
        <f>_xlfn.XLOOKUP(tblTransactions[[#This Row],[CustomerID]],tblCustomers[CustomerID],tblCustomers[CustomerName])</f>
        <v>Logan Sahota</v>
      </c>
      <c r="E69" t="s">
        <v>16043</v>
      </c>
      <c r="F69" t="str">
        <f>_xlfn.XLOOKUP(tblTransactions[[#This Row],[ProductID]],tblProducts[ProductID],tblProducts[ProductName])</f>
        <v>Non-stick Pan B2</v>
      </c>
      <c r="G69" t="s">
        <v>16291</v>
      </c>
      <c r="H69" t="str">
        <f>_xlfn.XLOOKUP(tblTransactions[[#This Row],[StoreID]],tblStores[StoreID],tblStores[Region])</f>
        <v>South</v>
      </c>
      <c r="I69">
        <v>1</v>
      </c>
      <c r="J69">
        <v>0</v>
      </c>
      <c r="K69" t="s">
        <v>16317</v>
      </c>
      <c r="L69" s="9">
        <f>_xlfn.XLOOKUP(tblTransactions[[#This Row],[ProductID]],tblProducts[ProductID],tblProducts[UnitPrice])</f>
        <v>17619.849999999999</v>
      </c>
      <c r="M69" s="9">
        <f>tblTransactions[[#This Row],[Quantity]]*tblTransactions[[#This Row],[UnitPrice]]</f>
        <v>17619.849999999999</v>
      </c>
      <c r="N69" s="9">
        <f>tblTransactions[[#This Row],[GrossSales]]*tblTransactions[[#This Row],[Discount]]</f>
        <v>0</v>
      </c>
      <c r="O69" s="9">
        <f>tblTransactions[[#This Row],[GrossSales]]-tblTransactions[[#This Row],[DiscountAmount]]</f>
        <v>17619.849999999999</v>
      </c>
      <c r="P69" s="9">
        <f>_xlfn.XLOOKUP(tblTransactions[[#This Row],[ProductID]],tblProducts[ProductID],tblProducts[UnitCost])</f>
        <v>13837.65</v>
      </c>
      <c r="Q69" s="9">
        <f>tblTransactions[[#This Row],[Quantity]]*tblTransactions[[#This Row],[UnitCost]]</f>
        <v>13837.65</v>
      </c>
      <c r="R69" s="9">
        <f>tblTransactions[[#This Row],[NetRevenue]]-tblTransactions[[#This Row],[TotalCost]]</f>
        <v>3782.1999999999989</v>
      </c>
      <c r="S69" t="str">
        <f>_xlfn.XLOOKUP(tblTransactions[[#This Row],[ProductID]],tblProducts[ProductID],tblProducts[Category])</f>
        <v>Home &amp; Kitchen</v>
      </c>
    </row>
    <row r="70" spans="1:19">
      <c r="A70" t="s">
        <v>16387</v>
      </c>
      <c r="B70" s="1">
        <v>45001</v>
      </c>
      <c r="C70" t="s">
        <v>8498</v>
      </c>
      <c r="D70" t="str">
        <f>_xlfn.XLOOKUP(tblTransactions[[#This Row],[CustomerID]],tblCustomers[CustomerID],tblCustomers[CustomerName])</f>
        <v>Kavya Goel</v>
      </c>
      <c r="E70" t="s">
        <v>16049</v>
      </c>
      <c r="F70" t="str">
        <f>_xlfn.XLOOKUP(tblTransactions[[#This Row],[ProductID]],tblProducts[ProductID],tblProducts[ProductName])</f>
        <v>Non-stick Pan E5</v>
      </c>
      <c r="G70" t="s">
        <v>16281</v>
      </c>
      <c r="H70" t="str">
        <f>_xlfn.XLOOKUP(tblTransactions[[#This Row],[StoreID]],tblStores[StoreID],tblStores[Region])</f>
        <v>West</v>
      </c>
      <c r="I70">
        <v>1</v>
      </c>
      <c r="J70">
        <v>0</v>
      </c>
      <c r="K70" t="s">
        <v>16325</v>
      </c>
      <c r="L70" s="9">
        <f>_xlfn.XLOOKUP(tblTransactions[[#This Row],[ProductID]],tblProducts[ProductID],tblProducts[UnitPrice])</f>
        <v>21084.61</v>
      </c>
      <c r="M70" s="9">
        <f>tblTransactions[[#This Row],[Quantity]]*tblTransactions[[#This Row],[UnitPrice]]</f>
        <v>21084.61</v>
      </c>
      <c r="N70" s="9">
        <f>tblTransactions[[#This Row],[GrossSales]]*tblTransactions[[#This Row],[Discount]]</f>
        <v>0</v>
      </c>
      <c r="O70" s="9">
        <f>tblTransactions[[#This Row],[GrossSales]]-tblTransactions[[#This Row],[DiscountAmount]]</f>
        <v>21084.61</v>
      </c>
      <c r="P70" s="9">
        <f>_xlfn.XLOOKUP(tblTransactions[[#This Row],[ProductID]],tblProducts[ProductID],tblProducts[UnitCost])</f>
        <v>12896.65</v>
      </c>
      <c r="Q70" s="9">
        <f>tblTransactions[[#This Row],[Quantity]]*tblTransactions[[#This Row],[UnitCost]]</f>
        <v>12896.65</v>
      </c>
      <c r="R70" s="9">
        <f>tblTransactions[[#This Row],[NetRevenue]]-tblTransactions[[#This Row],[TotalCost]]</f>
        <v>8187.9600000000009</v>
      </c>
      <c r="S70" t="str">
        <f>_xlfn.XLOOKUP(tblTransactions[[#This Row],[ProductID]],tblProducts[ProductID],tblProducts[Category])</f>
        <v>Home &amp; Kitchen</v>
      </c>
    </row>
    <row r="71" spans="1:19">
      <c r="A71" t="s">
        <v>16388</v>
      </c>
      <c r="B71" s="1">
        <v>45002</v>
      </c>
      <c r="C71" t="s">
        <v>6341</v>
      </c>
      <c r="D71" t="str">
        <f>_xlfn.XLOOKUP(tblTransactions[[#This Row],[CustomerID]],tblCustomers[CustomerID],tblCustomers[CustomerName])</f>
        <v>Maanav Naik</v>
      </c>
      <c r="E71" t="s">
        <v>16114</v>
      </c>
      <c r="F71" t="str">
        <f>_xlfn.XLOOKUP(tblTransactions[[#This Row],[ProductID]],tblProducts[ProductID],tblProducts[ProductName])</f>
        <v>Kids T-Shirt B7</v>
      </c>
      <c r="G71" t="s">
        <v>16256</v>
      </c>
      <c r="H71" t="str">
        <f>_xlfn.XLOOKUP(tblTransactions[[#This Row],[StoreID]],tblStores[StoreID],tblStores[Region])</f>
        <v>East</v>
      </c>
      <c r="I71">
        <v>1</v>
      </c>
      <c r="J71">
        <v>0.1</v>
      </c>
      <c r="K71" t="s">
        <v>16321</v>
      </c>
      <c r="L71" s="9">
        <f>_xlfn.XLOOKUP(tblTransactions[[#This Row],[ProductID]],tblProducts[ProductID],tblProducts[UnitPrice])</f>
        <v>2599.96</v>
      </c>
      <c r="M71" s="9">
        <f>tblTransactions[[#This Row],[Quantity]]*tblTransactions[[#This Row],[UnitPrice]]</f>
        <v>2599.96</v>
      </c>
      <c r="N71" s="9">
        <f>tblTransactions[[#This Row],[GrossSales]]*tblTransactions[[#This Row],[Discount]]</f>
        <v>259.99600000000004</v>
      </c>
      <c r="O71" s="9">
        <f>tblTransactions[[#This Row],[GrossSales]]-tblTransactions[[#This Row],[DiscountAmount]]</f>
        <v>2339.9639999999999</v>
      </c>
      <c r="P71" s="9">
        <f>_xlfn.XLOOKUP(tblTransactions[[#This Row],[ProductID]],tblProducts[ProductID],tblProducts[UnitCost])</f>
        <v>1643</v>
      </c>
      <c r="Q71" s="9">
        <f>tblTransactions[[#This Row],[Quantity]]*tblTransactions[[#This Row],[UnitCost]]</f>
        <v>1643</v>
      </c>
      <c r="R71" s="9">
        <f>tblTransactions[[#This Row],[NetRevenue]]-tblTransactions[[#This Row],[TotalCost]]</f>
        <v>696.96399999999994</v>
      </c>
      <c r="S71" t="str">
        <f>_xlfn.XLOOKUP(tblTransactions[[#This Row],[ProductID]],tblProducts[ProductID],tblProducts[Category])</f>
        <v>Clothing</v>
      </c>
    </row>
    <row r="72" spans="1:19">
      <c r="A72" t="s">
        <v>16389</v>
      </c>
      <c r="B72" s="1">
        <v>45003</v>
      </c>
      <c r="C72" t="s">
        <v>15115</v>
      </c>
      <c r="D72" t="str">
        <f>_xlfn.XLOOKUP(tblTransactions[[#This Row],[CustomerID]],tblCustomers[CustomerID],tblCustomers[CustomerName])</f>
        <v>Samaksh Vohra</v>
      </c>
      <c r="E72" t="s">
        <v>16141</v>
      </c>
      <c r="F72" t="str">
        <f>_xlfn.XLOOKUP(tblTransactions[[#This Row],[ProductID]],tblProducts[ProductID],tblProducts[ProductName])</f>
        <v>Sugar E5</v>
      </c>
      <c r="G72" t="s">
        <v>16277</v>
      </c>
      <c r="H72" t="str">
        <f>_xlfn.XLOOKUP(tblTransactions[[#This Row],[StoreID]],tblStores[StoreID],tblStores[Region])</f>
        <v>West</v>
      </c>
      <c r="I72">
        <v>2</v>
      </c>
      <c r="J72">
        <v>0</v>
      </c>
      <c r="K72" t="s">
        <v>16315</v>
      </c>
      <c r="L72" s="9">
        <f>_xlfn.XLOOKUP(tblTransactions[[#This Row],[ProductID]],tblProducts[ProductID],tblProducts[UnitPrice])</f>
        <v>631.26</v>
      </c>
      <c r="M72" s="9">
        <f>tblTransactions[[#This Row],[Quantity]]*tblTransactions[[#This Row],[UnitPrice]]</f>
        <v>1262.52</v>
      </c>
      <c r="N72" s="9">
        <f>tblTransactions[[#This Row],[GrossSales]]*tblTransactions[[#This Row],[Discount]]</f>
        <v>0</v>
      </c>
      <c r="O72" s="9">
        <f>tblTransactions[[#This Row],[GrossSales]]-tblTransactions[[#This Row],[DiscountAmount]]</f>
        <v>1262.52</v>
      </c>
      <c r="P72" s="9">
        <f>_xlfn.XLOOKUP(tblTransactions[[#This Row],[ProductID]],tblProducts[ProductID],tblProducts[UnitCost])</f>
        <v>394.86</v>
      </c>
      <c r="Q72" s="9">
        <f>tblTransactions[[#This Row],[Quantity]]*tblTransactions[[#This Row],[UnitCost]]</f>
        <v>789.72</v>
      </c>
      <c r="R72" s="9">
        <f>tblTransactions[[#This Row],[NetRevenue]]-tblTransactions[[#This Row],[TotalCost]]</f>
        <v>472.79999999999995</v>
      </c>
      <c r="S72" t="str">
        <f>_xlfn.XLOOKUP(tblTransactions[[#This Row],[ProductID]],tblProducts[ProductID],tblProducts[Category])</f>
        <v>Grocery</v>
      </c>
    </row>
    <row r="73" spans="1:19">
      <c r="A73" t="s">
        <v>16390</v>
      </c>
      <c r="B73" s="1">
        <v>45005</v>
      </c>
      <c r="C73" t="s">
        <v>9551</v>
      </c>
      <c r="D73" t="str">
        <f>_xlfn.XLOOKUP(tblTransactions[[#This Row],[CustomerID]],tblCustomers[CustomerID],tblCustomers[CustomerName])</f>
        <v>Libni Sant</v>
      </c>
      <c r="E73" t="s">
        <v>16104</v>
      </c>
      <c r="F73" t="str">
        <f>_xlfn.XLOOKUP(tblTransactions[[#This Row],[ProductID]],tblProducts[ProductID],tblProducts[ProductName])</f>
        <v>Kids Jeans B2</v>
      </c>
      <c r="G73" t="s">
        <v>16262</v>
      </c>
      <c r="H73" t="str">
        <f>_xlfn.XLOOKUP(tblTransactions[[#This Row],[StoreID]],tblStores[StoreID],tblStores[Region])</f>
        <v>North</v>
      </c>
      <c r="I73">
        <v>2</v>
      </c>
      <c r="J73">
        <v>0.1</v>
      </c>
      <c r="K73" t="s">
        <v>16317</v>
      </c>
      <c r="L73" s="9">
        <f>_xlfn.XLOOKUP(tblTransactions[[#This Row],[ProductID]],tblProducts[ProductID],tblProducts[UnitPrice])</f>
        <v>5613.98</v>
      </c>
      <c r="M73" s="9">
        <f>tblTransactions[[#This Row],[Quantity]]*tblTransactions[[#This Row],[UnitPrice]]</f>
        <v>11227.96</v>
      </c>
      <c r="N73" s="9">
        <f>tblTransactions[[#This Row],[GrossSales]]*tblTransactions[[#This Row],[Discount]]</f>
        <v>1122.796</v>
      </c>
      <c r="O73" s="9">
        <f>tblTransactions[[#This Row],[GrossSales]]-tblTransactions[[#This Row],[DiscountAmount]]</f>
        <v>10105.163999999999</v>
      </c>
      <c r="P73" s="9">
        <f>_xlfn.XLOOKUP(tblTransactions[[#This Row],[ProductID]],tblProducts[ProductID],tblProducts[UnitCost])</f>
        <v>3377.41</v>
      </c>
      <c r="Q73" s="9">
        <f>tblTransactions[[#This Row],[Quantity]]*tblTransactions[[#This Row],[UnitCost]]</f>
        <v>6754.82</v>
      </c>
      <c r="R73" s="9">
        <f>tblTransactions[[#This Row],[NetRevenue]]-tblTransactions[[#This Row],[TotalCost]]</f>
        <v>3350.3439999999991</v>
      </c>
      <c r="S73" t="str">
        <f>_xlfn.XLOOKUP(tblTransactions[[#This Row],[ProductID]],tblProducts[ProductID],tblProducts[Category])</f>
        <v>Clothing</v>
      </c>
    </row>
    <row r="74" spans="1:19">
      <c r="A74" t="s">
        <v>16391</v>
      </c>
      <c r="B74" s="1">
        <v>45005</v>
      </c>
      <c r="C74" t="s">
        <v>12938</v>
      </c>
      <c r="D74" t="str">
        <f>_xlfn.XLOOKUP(tblTransactions[[#This Row],[CustomerID]],tblCustomers[CustomerID],tblCustomers[CustomerName])</f>
        <v>Ekapad Iyer</v>
      </c>
      <c r="E74" t="s">
        <v>15965</v>
      </c>
      <c r="F74" t="str">
        <f>_xlfn.XLOOKUP(tblTransactions[[#This Row],[ProductID]],tblProducts[ProductID],tblProducts[ProductName])</f>
        <v>Business Laptop B2</v>
      </c>
      <c r="G74" t="s">
        <v>16283</v>
      </c>
      <c r="H74" t="str">
        <f>_xlfn.XLOOKUP(tblTransactions[[#This Row],[StoreID]],tblStores[StoreID],tblStores[Region])</f>
        <v>South</v>
      </c>
      <c r="I74">
        <v>3</v>
      </c>
      <c r="J74">
        <v>0</v>
      </c>
      <c r="K74" t="s">
        <v>16315</v>
      </c>
      <c r="L74" s="9">
        <f>_xlfn.XLOOKUP(tblTransactions[[#This Row],[ProductID]],tblProducts[ProductID],tblProducts[UnitPrice])</f>
        <v>54876.34</v>
      </c>
      <c r="M74" s="9">
        <f>tblTransactions[[#This Row],[Quantity]]*tblTransactions[[#This Row],[UnitPrice]]</f>
        <v>164629.01999999999</v>
      </c>
      <c r="N74" s="9">
        <f>tblTransactions[[#This Row],[GrossSales]]*tblTransactions[[#This Row],[Discount]]</f>
        <v>0</v>
      </c>
      <c r="O74" s="9">
        <f>tblTransactions[[#This Row],[GrossSales]]-tblTransactions[[#This Row],[DiscountAmount]]</f>
        <v>164629.01999999999</v>
      </c>
      <c r="P74" s="9">
        <f>_xlfn.XLOOKUP(tblTransactions[[#This Row],[ProductID]],tblProducts[ProductID],tblProducts[UnitCost])</f>
        <v>41521.22</v>
      </c>
      <c r="Q74" s="9">
        <f>tblTransactions[[#This Row],[Quantity]]*tblTransactions[[#This Row],[UnitCost]]</f>
        <v>124563.66</v>
      </c>
      <c r="R74" s="9">
        <f>tblTransactions[[#This Row],[NetRevenue]]-tblTransactions[[#This Row],[TotalCost]]</f>
        <v>40065.359999999986</v>
      </c>
      <c r="S74" t="str">
        <f>_xlfn.XLOOKUP(tblTransactions[[#This Row],[ProductID]],tblProducts[ProductID],tblProducts[Category])</f>
        <v>Electronics</v>
      </c>
    </row>
    <row r="75" spans="1:19">
      <c r="A75" t="s">
        <v>16392</v>
      </c>
      <c r="B75" s="1">
        <v>45007</v>
      </c>
      <c r="C75" t="s">
        <v>4087</v>
      </c>
      <c r="D75" t="str">
        <f>_xlfn.XLOOKUP(tblTransactions[[#This Row],[CustomerID]],tblCustomers[CustomerID],tblCustomers[CustomerName])</f>
        <v>Tristan Mall</v>
      </c>
      <c r="E75" t="s">
        <v>15965</v>
      </c>
      <c r="F75" t="str">
        <f>_xlfn.XLOOKUP(tblTransactions[[#This Row],[ProductID]],tblProducts[ProductID],tblProducts[ProductName])</f>
        <v>Business Laptop B2</v>
      </c>
      <c r="G75" t="s">
        <v>16265</v>
      </c>
      <c r="H75" t="str">
        <f>_xlfn.XLOOKUP(tblTransactions[[#This Row],[StoreID]],tblStores[StoreID],tblStores[Region])</f>
        <v>North</v>
      </c>
      <c r="I75">
        <v>1</v>
      </c>
      <c r="J75">
        <v>0.1</v>
      </c>
      <c r="K75" t="s">
        <v>16321</v>
      </c>
      <c r="L75" s="9">
        <f>_xlfn.XLOOKUP(tblTransactions[[#This Row],[ProductID]],tblProducts[ProductID],tblProducts[UnitPrice])</f>
        <v>54876.34</v>
      </c>
      <c r="M75" s="9">
        <f>tblTransactions[[#This Row],[Quantity]]*tblTransactions[[#This Row],[UnitPrice]]</f>
        <v>54876.34</v>
      </c>
      <c r="N75" s="9">
        <f>tblTransactions[[#This Row],[GrossSales]]*tblTransactions[[#This Row],[Discount]]</f>
        <v>5487.634</v>
      </c>
      <c r="O75" s="9">
        <f>tblTransactions[[#This Row],[GrossSales]]-tblTransactions[[#This Row],[DiscountAmount]]</f>
        <v>49388.705999999998</v>
      </c>
      <c r="P75" s="9">
        <f>_xlfn.XLOOKUP(tblTransactions[[#This Row],[ProductID]],tblProducts[ProductID],tblProducts[UnitCost])</f>
        <v>41521.22</v>
      </c>
      <c r="Q75" s="9">
        <f>tblTransactions[[#This Row],[Quantity]]*tblTransactions[[#This Row],[UnitCost]]</f>
        <v>41521.22</v>
      </c>
      <c r="R75" s="9">
        <f>tblTransactions[[#This Row],[NetRevenue]]-tblTransactions[[#This Row],[TotalCost]]</f>
        <v>7867.4859999999971</v>
      </c>
      <c r="S75" t="str">
        <f>_xlfn.XLOOKUP(tblTransactions[[#This Row],[ProductID]],tblProducts[ProductID],tblProducts[Category])</f>
        <v>Electronics</v>
      </c>
    </row>
    <row r="76" spans="1:19">
      <c r="A76" t="s">
        <v>16393</v>
      </c>
      <c r="B76" s="1">
        <v>45008</v>
      </c>
      <c r="C76" t="s">
        <v>9434</v>
      </c>
      <c r="D76" t="str">
        <f>_xlfn.XLOOKUP(tblTransactions[[#This Row],[CustomerID]],tblCustomers[CustomerID],tblCustomers[CustomerName])</f>
        <v>Nidhi Mahal</v>
      </c>
      <c r="E76" t="s">
        <v>16158</v>
      </c>
      <c r="F76" t="str">
        <f>_xlfn.XLOOKUP(tblTransactions[[#This Row],[ProductID]],tblProducts[ProductID],tblProducts[ProductName])</f>
        <v>Chocolate A6</v>
      </c>
      <c r="G76" t="s">
        <v>16287</v>
      </c>
      <c r="H76" t="str">
        <f>_xlfn.XLOOKUP(tblTransactions[[#This Row],[StoreID]],tblStores[StoreID],tblStores[Region])</f>
        <v>North</v>
      </c>
      <c r="I76">
        <v>1</v>
      </c>
      <c r="J76">
        <v>0.1</v>
      </c>
      <c r="K76" t="s">
        <v>16317</v>
      </c>
      <c r="L76" s="9">
        <f>_xlfn.XLOOKUP(tblTransactions[[#This Row],[ProductID]],tblProducts[ProductID],tblProducts[UnitPrice])</f>
        <v>1494.3</v>
      </c>
      <c r="M76" s="9">
        <f>tblTransactions[[#This Row],[Quantity]]*tblTransactions[[#This Row],[UnitPrice]]</f>
        <v>1494.3</v>
      </c>
      <c r="N76" s="9">
        <f>tblTransactions[[#This Row],[GrossSales]]*tblTransactions[[#This Row],[Discount]]</f>
        <v>149.43</v>
      </c>
      <c r="O76" s="9">
        <f>tblTransactions[[#This Row],[GrossSales]]-tblTransactions[[#This Row],[DiscountAmount]]</f>
        <v>1344.87</v>
      </c>
      <c r="P76" s="9">
        <f>_xlfn.XLOOKUP(tblTransactions[[#This Row],[ProductID]],tblProducts[ProductID],tblProducts[UnitCost])</f>
        <v>1031.67</v>
      </c>
      <c r="Q76" s="9">
        <f>tblTransactions[[#This Row],[Quantity]]*tblTransactions[[#This Row],[UnitCost]]</f>
        <v>1031.67</v>
      </c>
      <c r="R76" s="9">
        <f>tblTransactions[[#This Row],[NetRevenue]]-tblTransactions[[#This Row],[TotalCost]]</f>
        <v>313.19999999999982</v>
      </c>
      <c r="S76" t="str">
        <f>_xlfn.XLOOKUP(tblTransactions[[#This Row],[ProductID]],tblProducts[ProductID],tblProducts[Category])</f>
        <v>Grocery</v>
      </c>
    </row>
    <row r="77" spans="1:19">
      <c r="A77" t="s">
        <v>16394</v>
      </c>
      <c r="B77" s="1">
        <v>45008</v>
      </c>
      <c r="C77" t="s">
        <v>7914</v>
      </c>
      <c r="D77" t="str">
        <f>_xlfn.XLOOKUP(tblTransactions[[#This Row],[CustomerID]],tblCustomers[CustomerID],tblCustomers[CustomerName])</f>
        <v>Udarsh Doctor</v>
      </c>
      <c r="E77" t="s">
        <v>15931</v>
      </c>
      <c r="F77" t="str">
        <f>_xlfn.XLOOKUP(tblTransactions[[#This Row],[ProductID]],tblProducts[ProductID],tblProducts[ProductName])</f>
        <v>QLED Smart TV B2</v>
      </c>
      <c r="G77" t="s">
        <v>16299</v>
      </c>
      <c r="H77" t="str">
        <f>_xlfn.XLOOKUP(tblTransactions[[#This Row],[StoreID]],tblStores[StoreID],tblStores[Region])</f>
        <v>South</v>
      </c>
      <c r="I77">
        <v>1</v>
      </c>
      <c r="J77">
        <v>0</v>
      </c>
      <c r="K77" t="s">
        <v>16321</v>
      </c>
      <c r="L77" s="9">
        <f>_xlfn.XLOOKUP(tblTransactions[[#This Row],[ProductID]],tblProducts[ProductID],tblProducts[UnitPrice])</f>
        <v>75177.759999999995</v>
      </c>
      <c r="M77" s="9">
        <f>tblTransactions[[#This Row],[Quantity]]*tblTransactions[[#This Row],[UnitPrice]]</f>
        <v>75177.759999999995</v>
      </c>
      <c r="N77" s="9">
        <f>tblTransactions[[#This Row],[GrossSales]]*tblTransactions[[#This Row],[Discount]]</f>
        <v>0</v>
      </c>
      <c r="O77" s="9">
        <f>tblTransactions[[#This Row],[GrossSales]]-tblTransactions[[#This Row],[DiscountAmount]]</f>
        <v>75177.759999999995</v>
      </c>
      <c r="P77" s="9">
        <f>_xlfn.XLOOKUP(tblTransactions[[#This Row],[ProductID]],tblProducts[ProductID],tblProducts[UnitCost])</f>
        <v>51831.839999999997</v>
      </c>
      <c r="Q77" s="9">
        <f>tblTransactions[[#This Row],[Quantity]]*tblTransactions[[#This Row],[UnitCost]]</f>
        <v>51831.839999999997</v>
      </c>
      <c r="R77" s="9">
        <f>tblTransactions[[#This Row],[NetRevenue]]-tblTransactions[[#This Row],[TotalCost]]</f>
        <v>23345.919999999998</v>
      </c>
      <c r="S77" t="str">
        <f>_xlfn.XLOOKUP(tblTransactions[[#This Row],[ProductID]],tblProducts[ProductID],tblProducts[Category])</f>
        <v>Electronics</v>
      </c>
    </row>
    <row r="78" spans="1:19">
      <c r="A78" t="s">
        <v>16395</v>
      </c>
      <c r="B78" s="1">
        <v>45014</v>
      </c>
      <c r="C78" t="s">
        <v>14425</v>
      </c>
      <c r="D78" t="str">
        <f>_xlfn.XLOOKUP(tblTransactions[[#This Row],[CustomerID]],tblCustomers[CustomerID],tblCustomers[CustomerName])</f>
        <v>Chandresh Kunda</v>
      </c>
      <c r="E78" t="s">
        <v>16017</v>
      </c>
      <c r="F78" t="str">
        <f>_xlfn.XLOOKUP(tblTransactions[[#This Row],[ProductID]],tblProducts[ProductID],tblProducts[ProductName])</f>
        <v>Microwave Oven D4</v>
      </c>
      <c r="G78" t="s">
        <v>16262</v>
      </c>
      <c r="H78" t="str">
        <f>_xlfn.XLOOKUP(tblTransactions[[#This Row],[StoreID]],tblStores[StoreID],tblStores[Region])</f>
        <v>North</v>
      </c>
      <c r="I78">
        <v>1</v>
      </c>
      <c r="J78">
        <v>0</v>
      </c>
      <c r="K78" t="s">
        <v>16321</v>
      </c>
      <c r="L78" s="9">
        <f>_xlfn.XLOOKUP(tblTransactions[[#This Row],[ProductID]],tblProducts[ProductID],tblProducts[UnitPrice])</f>
        <v>29579.63</v>
      </c>
      <c r="M78" s="9">
        <f>tblTransactions[[#This Row],[Quantity]]*tblTransactions[[#This Row],[UnitPrice]]</f>
        <v>29579.63</v>
      </c>
      <c r="N78" s="9">
        <f>tblTransactions[[#This Row],[GrossSales]]*tblTransactions[[#This Row],[Discount]]</f>
        <v>0</v>
      </c>
      <c r="O78" s="9">
        <f>tblTransactions[[#This Row],[GrossSales]]-tblTransactions[[#This Row],[DiscountAmount]]</f>
        <v>29579.63</v>
      </c>
      <c r="P78" s="9">
        <f>_xlfn.XLOOKUP(tblTransactions[[#This Row],[ProductID]],tblProducts[ProductID],tblProducts[UnitCost])</f>
        <v>24254.720000000001</v>
      </c>
      <c r="Q78" s="9">
        <f>tblTransactions[[#This Row],[Quantity]]*tblTransactions[[#This Row],[UnitCost]]</f>
        <v>24254.720000000001</v>
      </c>
      <c r="R78" s="9">
        <f>tblTransactions[[#This Row],[NetRevenue]]-tblTransactions[[#This Row],[TotalCost]]</f>
        <v>5324.91</v>
      </c>
      <c r="S78" t="str">
        <f>_xlfn.XLOOKUP(tblTransactions[[#This Row],[ProductID]],tblProducts[ProductID],tblProducts[Category])</f>
        <v>Home &amp; Kitchen</v>
      </c>
    </row>
    <row r="79" spans="1:19">
      <c r="A79" t="s">
        <v>16396</v>
      </c>
      <c r="B79" s="1">
        <v>45015</v>
      </c>
      <c r="C79" t="s">
        <v>14674</v>
      </c>
      <c r="D79" t="str">
        <f>_xlfn.XLOOKUP(tblTransactions[[#This Row],[CustomerID]],tblCustomers[CustomerID],tblCustomers[CustomerName])</f>
        <v>Meghana Khare</v>
      </c>
      <c r="E79" t="s">
        <v>15960</v>
      </c>
      <c r="F79" t="str">
        <f>_xlfn.XLOOKUP(tblTransactions[[#This Row],[ProductID]],tblProducts[ProductID],tblProducts[ProductName])</f>
        <v>Budget Smartphone C8</v>
      </c>
      <c r="G79" t="s">
        <v>16301</v>
      </c>
      <c r="H79" t="str">
        <f>_xlfn.XLOOKUP(tblTransactions[[#This Row],[StoreID]],tblStores[StoreID],tblStores[Region])</f>
        <v>East</v>
      </c>
      <c r="I79">
        <v>1</v>
      </c>
      <c r="J79">
        <v>0</v>
      </c>
      <c r="K79" t="s">
        <v>16317</v>
      </c>
      <c r="L79" s="9">
        <f>_xlfn.XLOOKUP(tblTransactions[[#This Row],[ProductID]],tblProducts[ProductID],tblProducts[UnitPrice])</f>
        <v>63665.16</v>
      </c>
      <c r="M79" s="9">
        <f>tblTransactions[[#This Row],[Quantity]]*tblTransactions[[#This Row],[UnitPrice]]</f>
        <v>63665.16</v>
      </c>
      <c r="N79" s="9">
        <f>tblTransactions[[#This Row],[GrossSales]]*tblTransactions[[#This Row],[Discount]]</f>
        <v>0</v>
      </c>
      <c r="O79" s="9">
        <f>tblTransactions[[#This Row],[GrossSales]]-tblTransactions[[#This Row],[DiscountAmount]]</f>
        <v>63665.16</v>
      </c>
      <c r="P79" s="9">
        <f>_xlfn.XLOOKUP(tblTransactions[[#This Row],[ProductID]],tblProducts[ProductID],tblProducts[UnitCost])</f>
        <v>52565.61</v>
      </c>
      <c r="Q79" s="9">
        <f>tblTransactions[[#This Row],[Quantity]]*tblTransactions[[#This Row],[UnitCost]]</f>
        <v>52565.61</v>
      </c>
      <c r="R79" s="9">
        <f>tblTransactions[[#This Row],[NetRevenue]]-tblTransactions[[#This Row],[TotalCost]]</f>
        <v>11099.550000000003</v>
      </c>
      <c r="S79" t="str">
        <f>_xlfn.XLOOKUP(tblTransactions[[#This Row],[ProductID]],tblProducts[ProductID],tblProducts[Category])</f>
        <v>Electronics</v>
      </c>
    </row>
    <row r="80" spans="1:19">
      <c r="A80" t="s">
        <v>16397</v>
      </c>
      <c r="B80" s="1">
        <v>45016</v>
      </c>
      <c r="C80" t="s">
        <v>12229</v>
      </c>
      <c r="D80" t="str">
        <f>_xlfn.XLOOKUP(tblTransactions[[#This Row],[CustomerID]],tblCustomers[CustomerID],tblCustomers[CustomerName])</f>
        <v>Zehaan Ganguly</v>
      </c>
      <c r="E80" t="s">
        <v>16053</v>
      </c>
      <c r="F80" t="str">
        <f>_xlfn.XLOOKUP(tblTransactions[[#This Row],[ProductID]],tblProducts[ProductID],tblProducts[ProductName])</f>
        <v>Pressure Cooker B7</v>
      </c>
      <c r="G80" t="s">
        <v>16285</v>
      </c>
      <c r="H80" t="str">
        <f>_xlfn.XLOOKUP(tblTransactions[[#This Row],[StoreID]],tblStores[StoreID],tblStores[Region])</f>
        <v>West</v>
      </c>
      <c r="I80">
        <v>1</v>
      </c>
      <c r="J80">
        <v>0</v>
      </c>
      <c r="K80" t="s">
        <v>16325</v>
      </c>
      <c r="L80" s="9">
        <f>_xlfn.XLOOKUP(tblTransactions[[#This Row],[ProductID]],tblProducts[ProductID],tblProducts[UnitPrice])</f>
        <v>24743.52</v>
      </c>
      <c r="M80" s="9">
        <f>tblTransactions[[#This Row],[Quantity]]*tblTransactions[[#This Row],[UnitPrice]]</f>
        <v>24743.52</v>
      </c>
      <c r="N80" s="9">
        <f>tblTransactions[[#This Row],[GrossSales]]*tblTransactions[[#This Row],[Discount]]</f>
        <v>0</v>
      </c>
      <c r="O80" s="9">
        <f>tblTransactions[[#This Row],[GrossSales]]-tblTransactions[[#This Row],[DiscountAmount]]</f>
        <v>24743.52</v>
      </c>
      <c r="P80" s="9">
        <f>_xlfn.XLOOKUP(tblTransactions[[#This Row],[ProductID]],tblProducts[ProductID],tblProducts[UnitCost])</f>
        <v>16620.189999999999</v>
      </c>
      <c r="Q80" s="9">
        <f>tblTransactions[[#This Row],[Quantity]]*tblTransactions[[#This Row],[UnitCost]]</f>
        <v>16620.189999999999</v>
      </c>
      <c r="R80" s="9">
        <f>tblTransactions[[#This Row],[NetRevenue]]-tblTransactions[[#This Row],[TotalCost]]</f>
        <v>8123.3300000000017</v>
      </c>
      <c r="S80" t="str">
        <f>_xlfn.XLOOKUP(tblTransactions[[#This Row],[ProductID]],tblProducts[ProductID],tblProducts[Category])</f>
        <v>Home &amp; Kitchen</v>
      </c>
    </row>
    <row r="81" spans="1:19">
      <c r="A81" t="s">
        <v>16398</v>
      </c>
      <c r="B81" s="1">
        <v>45019</v>
      </c>
      <c r="C81" t="s">
        <v>7825</v>
      </c>
      <c r="D81" t="str">
        <f>_xlfn.XLOOKUP(tblTransactions[[#This Row],[CustomerID]],tblCustomers[CustomerID],tblCustomers[CustomerName])</f>
        <v>Gavin Prabhakar</v>
      </c>
      <c r="E81" t="s">
        <v>16005</v>
      </c>
      <c r="F81" t="str">
        <f>_xlfn.XLOOKUP(tblTransactions[[#This Row],[ProductID]],tblProducts[ProductID],tblProducts[ProductName])</f>
        <v>Wireless Charger A6</v>
      </c>
      <c r="G81" t="s">
        <v>16265</v>
      </c>
      <c r="H81" t="str">
        <f>_xlfn.XLOOKUP(tblTransactions[[#This Row],[StoreID]],tblStores[StoreID],tblStores[Region])</f>
        <v>North</v>
      </c>
      <c r="I81">
        <v>1</v>
      </c>
      <c r="J81">
        <v>0</v>
      </c>
      <c r="K81" t="s">
        <v>16321</v>
      </c>
      <c r="L81" s="9">
        <f>_xlfn.XLOOKUP(tblTransactions[[#This Row],[ProductID]],tblProducts[ProductID],tblProducts[UnitPrice])</f>
        <v>78938.720000000001</v>
      </c>
      <c r="M81" s="9">
        <f>tblTransactions[[#This Row],[Quantity]]*tblTransactions[[#This Row],[UnitPrice]]</f>
        <v>78938.720000000001</v>
      </c>
      <c r="N81" s="9">
        <f>tblTransactions[[#This Row],[GrossSales]]*tblTransactions[[#This Row],[Discount]]</f>
        <v>0</v>
      </c>
      <c r="O81" s="9">
        <f>tblTransactions[[#This Row],[GrossSales]]-tblTransactions[[#This Row],[DiscountAmount]]</f>
        <v>78938.720000000001</v>
      </c>
      <c r="P81" s="9">
        <f>_xlfn.XLOOKUP(tblTransactions[[#This Row],[ProductID]],tblProducts[ProductID],tblProducts[UnitCost])</f>
        <v>53801.63</v>
      </c>
      <c r="Q81" s="9">
        <f>tblTransactions[[#This Row],[Quantity]]*tblTransactions[[#This Row],[UnitCost]]</f>
        <v>53801.63</v>
      </c>
      <c r="R81" s="9">
        <f>tblTransactions[[#This Row],[NetRevenue]]-tblTransactions[[#This Row],[TotalCost]]</f>
        <v>25137.090000000004</v>
      </c>
      <c r="S81" t="str">
        <f>_xlfn.XLOOKUP(tblTransactions[[#This Row],[ProductID]],tblProducts[ProductID],tblProducts[Category])</f>
        <v>Electronics</v>
      </c>
    </row>
    <row r="82" spans="1:19">
      <c r="A82" t="s">
        <v>16399</v>
      </c>
      <c r="B82" s="1">
        <v>45019</v>
      </c>
      <c r="C82" t="s">
        <v>5684</v>
      </c>
      <c r="D82" t="str">
        <f>_xlfn.XLOOKUP(tblTransactions[[#This Row],[CustomerID]],tblCustomers[CustomerID],tblCustomers[CustomerName])</f>
        <v>Chatura Modi</v>
      </c>
      <c r="E82" t="s">
        <v>16251</v>
      </c>
      <c r="F82" t="str">
        <f>_xlfn.XLOOKUP(tblTransactions[[#This Row],[ProductID]],tblProducts[ProductID],tblProducts[ProductName])</f>
        <v>Trimmer B7</v>
      </c>
      <c r="G82" t="s">
        <v>16275</v>
      </c>
      <c r="H82" t="str">
        <f>_xlfn.XLOOKUP(tblTransactions[[#This Row],[StoreID]],tblStores[StoreID],tblStores[Region])</f>
        <v>South</v>
      </c>
      <c r="I82">
        <v>3</v>
      </c>
      <c r="J82">
        <v>0.05</v>
      </c>
      <c r="K82" t="s">
        <v>16315</v>
      </c>
      <c r="L82" s="9">
        <f>_xlfn.XLOOKUP(tblTransactions[[#This Row],[ProductID]],tblProducts[ProductID],tblProducts[UnitPrice])</f>
        <v>4199.75</v>
      </c>
      <c r="M82" s="9">
        <f>tblTransactions[[#This Row],[Quantity]]*tblTransactions[[#This Row],[UnitPrice]]</f>
        <v>12599.25</v>
      </c>
      <c r="N82" s="9">
        <f>tblTransactions[[#This Row],[GrossSales]]*tblTransactions[[#This Row],[Discount]]</f>
        <v>629.96250000000009</v>
      </c>
      <c r="O82" s="9">
        <f>tblTransactions[[#This Row],[GrossSales]]-tblTransactions[[#This Row],[DiscountAmount]]</f>
        <v>11969.2875</v>
      </c>
      <c r="P82" s="9">
        <f>_xlfn.XLOOKUP(tblTransactions[[#This Row],[ProductID]],tblProducts[ProductID],tblProducts[UnitCost])</f>
        <v>2546.5700000000002</v>
      </c>
      <c r="Q82" s="9">
        <f>tblTransactions[[#This Row],[Quantity]]*tblTransactions[[#This Row],[UnitCost]]</f>
        <v>7639.7100000000009</v>
      </c>
      <c r="R82" s="9">
        <f>tblTransactions[[#This Row],[NetRevenue]]-tblTransactions[[#This Row],[TotalCost]]</f>
        <v>4329.5774999999994</v>
      </c>
      <c r="S82" t="str">
        <f>_xlfn.XLOOKUP(tblTransactions[[#This Row],[ProductID]],tblProducts[ProductID],tblProducts[Category])</f>
        <v>Personal Care</v>
      </c>
    </row>
    <row r="83" spans="1:19">
      <c r="A83" t="s">
        <v>16400</v>
      </c>
      <c r="B83" s="1">
        <v>45020</v>
      </c>
      <c r="C83" t="s">
        <v>102</v>
      </c>
      <c r="D83" t="str">
        <f>_xlfn.XLOOKUP(tblTransactions[[#This Row],[CustomerID]],tblCustomers[CustomerID],tblCustomers[CustomerName])</f>
        <v>Gavin Batta</v>
      </c>
      <c r="E83" t="s">
        <v>16080</v>
      </c>
      <c r="F83" t="str">
        <f>_xlfn.XLOOKUP(tblTransactions[[#This Row],[ProductID]],tblProducts[ProductID],tblProducts[ProductName])</f>
        <v>Men's Jacket E5</v>
      </c>
      <c r="G83" t="s">
        <v>16275</v>
      </c>
      <c r="H83" t="str">
        <f>_xlfn.XLOOKUP(tblTransactions[[#This Row],[StoreID]],tblStores[StoreID],tblStores[Region])</f>
        <v>South</v>
      </c>
      <c r="I83">
        <v>1</v>
      </c>
      <c r="J83">
        <v>0.1</v>
      </c>
      <c r="K83" t="s">
        <v>16325</v>
      </c>
      <c r="L83" s="9">
        <f>_xlfn.XLOOKUP(tblTransactions[[#This Row],[ProductID]],tblProducts[ProductID],tblProducts[UnitPrice])</f>
        <v>2211.5500000000002</v>
      </c>
      <c r="M83" s="9">
        <f>tblTransactions[[#This Row],[Quantity]]*tblTransactions[[#This Row],[UnitPrice]]</f>
        <v>2211.5500000000002</v>
      </c>
      <c r="N83" s="9">
        <f>tblTransactions[[#This Row],[GrossSales]]*tblTransactions[[#This Row],[Discount]]</f>
        <v>221.15500000000003</v>
      </c>
      <c r="O83" s="9">
        <f>tblTransactions[[#This Row],[GrossSales]]-tblTransactions[[#This Row],[DiscountAmount]]</f>
        <v>1990.3950000000002</v>
      </c>
      <c r="P83" s="9">
        <f>_xlfn.XLOOKUP(tblTransactions[[#This Row],[ProductID]],tblProducts[ProductID],tblProducts[UnitCost])</f>
        <v>1820.39</v>
      </c>
      <c r="Q83" s="9">
        <f>tblTransactions[[#This Row],[Quantity]]*tblTransactions[[#This Row],[UnitCost]]</f>
        <v>1820.39</v>
      </c>
      <c r="R83" s="9">
        <f>tblTransactions[[#This Row],[NetRevenue]]-tblTransactions[[#This Row],[TotalCost]]</f>
        <v>170.00500000000011</v>
      </c>
      <c r="S83" t="str">
        <f>_xlfn.XLOOKUP(tblTransactions[[#This Row],[ProductID]],tblProducts[ProductID],tblProducts[Category])</f>
        <v>Clothing</v>
      </c>
    </row>
    <row r="84" spans="1:19">
      <c r="A84" t="s">
        <v>16401</v>
      </c>
      <c r="B84" s="1">
        <v>45020</v>
      </c>
      <c r="C84" t="s">
        <v>10452</v>
      </c>
      <c r="D84" t="str">
        <f>_xlfn.XLOOKUP(tblTransactions[[#This Row],[CustomerID]],tblCustomers[CustomerID],tblCustomers[CustomerName])</f>
        <v>Sudiksha Reddy</v>
      </c>
      <c r="E84" t="s">
        <v>16196</v>
      </c>
      <c r="F84" t="str">
        <f>_xlfn.XLOOKUP(tblTransactions[[#This Row],[ProductID]],tblProducts[ProductID],tblProducts[ProductName])</f>
        <v>Sunscreen B2</v>
      </c>
      <c r="G84" t="s">
        <v>16293</v>
      </c>
      <c r="H84" t="str">
        <f>_xlfn.XLOOKUP(tblTransactions[[#This Row],[StoreID]],tblStores[StoreID],tblStores[Region])</f>
        <v>South</v>
      </c>
      <c r="I84">
        <v>1</v>
      </c>
      <c r="J84">
        <v>0</v>
      </c>
      <c r="K84" t="s">
        <v>16321</v>
      </c>
      <c r="L84" s="9">
        <f>_xlfn.XLOOKUP(tblTransactions[[#This Row],[ProductID]],tblProducts[ProductID],tblProducts[UnitPrice])</f>
        <v>1841.85</v>
      </c>
      <c r="M84" s="9">
        <f>tblTransactions[[#This Row],[Quantity]]*tblTransactions[[#This Row],[UnitPrice]]</f>
        <v>1841.85</v>
      </c>
      <c r="N84" s="9">
        <f>tblTransactions[[#This Row],[GrossSales]]*tblTransactions[[#This Row],[Discount]]</f>
        <v>0</v>
      </c>
      <c r="O84" s="9">
        <f>tblTransactions[[#This Row],[GrossSales]]-tblTransactions[[#This Row],[DiscountAmount]]</f>
        <v>1841.85</v>
      </c>
      <c r="P84" s="9">
        <f>_xlfn.XLOOKUP(tblTransactions[[#This Row],[ProductID]],tblProducts[ProductID],tblProducts[UnitCost])</f>
        <v>1327.7</v>
      </c>
      <c r="Q84" s="9">
        <f>tblTransactions[[#This Row],[Quantity]]*tblTransactions[[#This Row],[UnitCost]]</f>
        <v>1327.7</v>
      </c>
      <c r="R84" s="9">
        <f>tblTransactions[[#This Row],[NetRevenue]]-tblTransactions[[#This Row],[TotalCost]]</f>
        <v>514.14999999999986</v>
      </c>
      <c r="S84" t="str">
        <f>_xlfn.XLOOKUP(tblTransactions[[#This Row],[ProductID]],tblProducts[ProductID],tblProducts[Category])</f>
        <v>Personal Care</v>
      </c>
    </row>
    <row r="85" spans="1:19">
      <c r="A85" t="s">
        <v>16402</v>
      </c>
      <c r="B85" s="1">
        <v>45021</v>
      </c>
      <c r="C85" t="s">
        <v>7284</v>
      </c>
      <c r="D85" t="str">
        <f>_xlfn.XLOOKUP(tblTransactions[[#This Row],[CustomerID]],tblCustomers[CustomerID],tblCustomers[CustomerName])</f>
        <v>Nilima Bhat</v>
      </c>
      <c r="E85" t="s">
        <v>16003</v>
      </c>
      <c r="F85" t="str">
        <f>_xlfn.XLOOKUP(tblTransactions[[#This Row],[ProductID]],tblProducts[ProductID],tblProducts[ProductName])</f>
        <v>Wireless Charger E5</v>
      </c>
      <c r="G85" t="s">
        <v>16297</v>
      </c>
      <c r="H85" t="str">
        <f>_xlfn.XLOOKUP(tblTransactions[[#This Row],[StoreID]],tblStores[StoreID],tblStores[Region])</f>
        <v>North</v>
      </c>
      <c r="I85">
        <v>1</v>
      </c>
      <c r="J85">
        <v>0.1</v>
      </c>
      <c r="K85" t="s">
        <v>16325</v>
      </c>
      <c r="L85" s="9">
        <f>_xlfn.XLOOKUP(tblTransactions[[#This Row],[ProductID]],tblProducts[ProductID],tblProducts[UnitPrice])</f>
        <v>74177.87</v>
      </c>
      <c r="M85" s="9">
        <f>tblTransactions[[#This Row],[Quantity]]*tblTransactions[[#This Row],[UnitPrice]]</f>
        <v>74177.87</v>
      </c>
      <c r="N85" s="9">
        <f>tblTransactions[[#This Row],[GrossSales]]*tblTransactions[[#This Row],[Discount]]</f>
        <v>7417.7870000000003</v>
      </c>
      <c r="O85" s="9">
        <f>tblTransactions[[#This Row],[GrossSales]]-tblTransactions[[#This Row],[DiscountAmount]]</f>
        <v>66760.082999999999</v>
      </c>
      <c r="P85" s="9">
        <f>_xlfn.XLOOKUP(tblTransactions[[#This Row],[ProductID]],tblProducts[ProductID],tblProducts[UnitCost])</f>
        <v>46554.33</v>
      </c>
      <c r="Q85" s="9">
        <f>tblTransactions[[#This Row],[Quantity]]*tblTransactions[[#This Row],[UnitCost]]</f>
        <v>46554.33</v>
      </c>
      <c r="R85" s="9">
        <f>tblTransactions[[#This Row],[NetRevenue]]-tblTransactions[[#This Row],[TotalCost]]</f>
        <v>20205.752999999997</v>
      </c>
      <c r="S85" t="str">
        <f>_xlfn.XLOOKUP(tblTransactions[[#This Row],[ProductID]],tblProducts[ProductID],tblProducts[Category])</f>
        <v>Electronics</v>
      </c>
    </row>
    <row r="86" spans="1:19">
      <c r="A86" t="s">
        <v>16403</v>
      </c>
      <c r="B86" s="1">
        <v>45021</v>
      </c>
      <c r="C86" t="s">
        <v>11829</v>
      </c>
      <c r="D86" t="str">
        <f>_xlfn.XLOOKUP(tblTransactions[[#This Row],[CustomerID]],tblCustomers[CustomerID],tblCustomers[CustomerName])</f>
        <v>Oni Gola</v>
      </c>
      <c r="E86" t="s">
        <v>15962</v>
      </c>
      <c r="F86" t="str">
        <f>_xlfn.XLOOKUP(tblTransactions[[#This Row],[ProductID]],tblProducts[ProductID],tblProducts[ProductName])</f>
        <v>Ultrabook A1</v>
      </c>
      <c r="G86" t="s">
        <v>16301</v>
      </c>
      <c r="H86" t="str">
        <f>_xlfn.XLOOKUP(tblTransactions[[#This Row],[StoreID]],tblStores[StoreID],tblStores[Region])</f>
        <v>East</v>
      </c>
      <c r="I86">
        <v>2</v>
      </c>
      <c r="J86">
        <v>0</v>
      </c>
      <c r="K86" t="s">
        <v>16321</v>
      </c>
      <c r="L86" s="9">
        <f>_xlfn.XLOOKUP(tblTransactions[[#This Row],[ProductID]],tblProducts[ProductID],tblProducts[UnitPrice])</f>
        <v>61469.2</v>
      </c>
      <c r="M86" s="9">
        <f>tblTransactions[[#This Row],[Quantity]]*tblTransactions[[#This Row],[UnitPrice]]</f>
        <v>122938.4</v>
      </c>
      <c r="N86" s="9">
        <f>tblTransactions[[#This Row],[GrossSales]]*tblTransactions[[#This Row],[Discount]]</f>
        <v>0</v>
      </c>
      <c r="O86" s="9">
        <f>tblTransactions[[#This Row],[GrossSales]]-tblTransactions[[#This Row],[DiscountAmount]]</f>
        <v>122938.4</v>
      </c>
      <c r="P86" s="9">
        <f>_xlfn.XLOOKUP(tblTransactions[[#This Row],[ProductID]],tblProducts[ProductID],tblProducts[UnitCost])</f>
        <v>39781.99</v>
      </c>
      <c r="Q86" s="9">
        <f>tblTransactions[[#This Row],[Quantity]]*tblTransactions[[#This Row],[UnitCost]]</f>
        <v>79563.98</v>
      </c>
      <c r="R86" s="9">
        <f>tblTransactions[[#This Row],[NetRevenue]]-tblTransactions[[#This Row],[TotalCost]]</f>
        <v>43374.42</v>
      </c>
      <c r="S86" t="str">
        <f>_xlfn.XLOOKUP(tblTransactions[[#This Row],[ProductID]],tblProducts[ProductID],tblProducts[Category])</f>
        <v>Electronics</v>
      </c>
    </row>
    <row r="87" spans="1:19">
      <c r="A87" t="s">
        <v>16404</v>
      </c>
      <c r="B87" s="1">
        <v>45022</v>
      </c>
      <c r="C87" t="s">
        <v>15469</v>
      </c>
      <c r="D87" t="str">
        <f>_xlfn.XLOOKUP(tblTransactions[[#This Row],[CustomerID]],tblCustomers[CustomerID],tblCustomers[CustomerName])</f>
        <v>Aishani Vala</v>
      </c>
      <c r="E87" t="s">
        <v>16110</v>
      </c>
      <c r="F87" t="str">
        <f>_xlfn.XLOOKUP(tblTransactions[[#This Row],[ProductID]],tblProducts[ProductID],tblProducts[ProductName])</f>
        <v>Kids T-Shirt E5</v>
      </c>
      <c r="G87" t="s">
        <v>16281</v>
      </c>
      <c r="H87" t="str">
        <f>_xlfn.XLOOKUP(tblTransactions[[#This Row],[StoreID]],tblStores[StoreID],tblStores[Region])</f>
        <v>West</v>
      </c>
      <c r="I87">
        <v>1</v>
      </c>
      <c r="J87">
        <v>0.15</v>
      </c>
      <c r="K87" t="s">
        <v>16321</v>
      </c>
      <c r="L87" s="9">
        <f>_xlfn.XLOOKUP(tblTransactions[[#This Row],[ProductID]],tblProducts[ProductID],tblProducts[UnitPrice])</f>
        <v>508.67</v>
      </c>
      <c r="M87" s="9">
        <f>tblTransactions[[#This Row],[Quantity]]*tblTransactions[[#This Row],[UnitPrice]]</f>
        <v>508.67</v>
      </c>
      <c r="N87" s="9">
        <f>tblTransactions[[#This Row],[GrossSales]]*tblTransactions[[#This Row],[Discount]]</f>
        <v>76.3005</v>
      </c>
      <c r="O87" s="9">
        <f>tblTransactions[[#This Row],[GrossSales]]-tblTransactions[[#This Row],[DiscountAmount]]</f>
        <v>432.36950000000002</v>
      </c>
      <c r="P87" s="9">
        <f>_xlfn.XLOOKUP(tblTransactions[[#This Row],[ProductID]],tblProducts[ProductID],tblProducts[UnitCost])</f>
        <v>386.39</v>
      </c>
      <c r="Q87" s="9">
        <f>tblTransactions[[#This Row],[Quantity]]*tblTransactions[[#This Row],[UnitCost]]</f>
        <v>386.39</v>
      </c>
      <c r="R87" s="9">
        <f>tblTransactions[[#This Row],[NetRevenue]]-tblTransactions[[#This Row],[TotalCost]]</f>
        <v>45.97950000000003</v>
      </c>
      <c r="S87" t="str">
        <f>_xlfn.XLOOKUP(tblTransactions[[#This Row],[ProductID]],tblProducts[ProductID],tblProducts[Category])</f>
        <v>Clothing</v>
      </c>
    </row>
    <row r="88" spans="1:19">
      <c r="A88" t="s">
        <v>16405</v>
      </c>
      <c r="B88" s="1">
        <v>45025</v>
      </c>
      <c r="C88" t="s">
        <v>6224</v>
      </c>
      <c r="D88" t="str">
        <f>_xlfn.XLOOKUP(tblTransactions[[#This Row],[CustomerID]],tblCustomers[CustomerID],tblCustomers[CustomerName])</f>
        <v>Chanakya Murty</v>
      </c>
      <c r="E88" t="s">
        <v>16213</v>
      </c>
      <c r="F88" t="str">
        <f>_xlfn.XLOOKUP(tblTransactions[[#This Row],[ProductID]],tblProducts[ProductID],tblProducts[ProductName])</f>
        <v>Hair Serum C3</v>
      </c>
      <c r="G88" t="s">
        <v>16283</v>
      </c>
      <c r="H88" t="str">
        <f>_xlfn.XLOOKUP(tblTransactions[[#This Row],[StoreID]],tblStores[StoreID],tblStores[Region])</f>
        <v>South</v>
      </c>
      <c r="I88">
        <v>1</v>
      </c>
      <c r="J88">
        <v>0.1</v>
      </c>
      <c r="K88" t="s">
        <v>16317</v>
      </c>
      <c r="L88" s="9">
        <f>_xlfn.XLOOKUP(tblTransactions[[#This Row],[ProductID]],tblProducts[ProductID],tblProducts[UnitPrice])</f>
        <v>4869.55</v>
      </c>
      <c r="M88" s="9">
        <f>tblTransactions[[#This Row],[Quantity]]*tblTransactions[[#This Row],[UnitPrice]]</f>
        <v>4869.55</v>
      </c>
      <c r="N88" s="9">
        <f>tblTransactions[[#This Row],[GrossSales]]*tblTransactions[[#This Row],[Discount]]</f>
        <v>486.95500000000004</v>
      </c>
      <c r="O88" s="9">
        <f>tblTransactions[[#This Row],[GrossSales]]-tblTransactions[[#This Row],[DiscountAmount]]</f>
        <v>4382.5950000000003</v>
      </c>
      <c r="P88" s="9">
        <f>_xlfn.XLOOKUP(tblTransactions[[#This Row],[ProductID]],tblProducts[ProductID],tblProducts[UnitCost])</f>
        <v>3039.73</v>
      </c>
      <c r="Q88" s="9">
        <f>tblTransactions[[#This Row],[Quantity]]*tblTransactions[[#This Row],[UnitCost]]</f>
        <v>3039.73</v>
      </c>
      <c r="R88" s="9">
        <f>tblTransactions[[#This Row],[NetRevenue]]-tblTransactions[[#This Row],[TotalCost]]</f>
        <v>1342.8650000000002</v>
      </c>
      <c r="S88" t="str">
        <f>_xlfn.XLOOKUP(tblTransactions[[#This Row],[ProductID]],tblProducts[ProductID],tblProducts[Category])</f>
        <v>Personal Care</v>
      </c>
    </row>
    <row r="89" spans="1:19">
      <c r="A89" t="s">
        <v>16406</v>
      </c>
      <c r="B89" s="1">
        <v>45026</v>
      </c>
      <c r="C89" t="s">
        <v>11223</v>
      </c>
      <c r="D89" t="str">
        <f>_xlfn.XLOOKUP(tblTransactions[[#This Row],[CustomerID]],tblCustomers[CustomerID],tblCustomers[CustomerName])</f>
        <v>Jeet Chatterjee</v>
      </c>
      <c r="E89" t="s">
        <v>15945</v>
      </c>
      <c r="F89" t="str">
        <f>_xlfn.XLOOKUP(tblTransactions[[#This Row],[ProductID]],tblProducts[ProductID],tblProducts[ProductName])</f>
        <v>Budget Smartphone A1</v>
      </c>
      <c r="G89" t="s">
        <v>16295</v>
      </c>
      <c r="H89" t="str">
        <f>_xlfn.XLOOKUP(tblTransactions[[#This Row],[StoreID]],tblStores[StoreID],tblStores[Region])</f>
        <v>South</v>
      </c>
      <c r="I89">
        <v>1</v>
      </c>
      <c r="J89">
        <v>0</v>
      </c>
      <c r="K89" t="s">
        <v>16317</v>
      </c>
      <c r="L89" s="9">
        <f>_xlfn.XLOOKUP(tblTransactions[[#This Row],[ProductID]],tblProducts[ProductID],tblProducts[UnitPrice])</f>
        <v>46428.19</v>
      </c>
      <c r="M89" s="9">
        <f>tblTransactions[[#This Row],[Quantity]]*tblTransactions[[#This Row],[UnitPrice]]</f>
        <v>46428.19</v>
      </c>
      <c r="N89" s="9">
        <f>tblTransactions[[#This Row],[GrossSales]]*tblTransactions[[#This Row],[Discount]]</f>
        <v>0</v>
      </c>
      <c r="O89" s="9">
        <f>tblTransactions[[#This Row],[GrossSales]]-tblTransactions[[#This Row],[DiscountAmount]]</f>
        <v>46428.19</v>
      </c>
      <c r="P89" s="9">
        <f>_xlfn.XLOOKUP(tblTransactions[[#This Row],[ProductID]],tblProducts[ProductID],tblProducts[UnitCost])</f>
        <v>26886.09</v>
      </c>
      <c r="Q89" s="9">
        <f>tblTransactions[[#This Row],[Quantity]]*tblTransactions[[#This Row],[UnitCost]]</f>
        <v>26886.09</v>
      </c>
      <c r="R89" s="9">
        <f>tblTransactions[[#This Row],[NetRevenue]]-tblTransactions[[#This Row],[TotalCost]]</f>
        <v>19542.100000000002</v>
      </c>
      <c r="S89" t="str">
        <f>_xlfn.XLOOKUP(tblTransactions[[#This Row],[ProductID]],tblProducts[ProductID],tblProducts[Category])</f>
        <v>Electronics</v>
      </c>
    </row>
    <row r="90" spans="1:19">
      <c r="A90" t="s">
        <v>16407</v>
      </c>
      <c r="B90" s="1">
        <v>45026</v>
      </c>
      <c r="C90" t="s">
        <v>11557</v>
      </c>
      <c r="D90" t="str">
        <f>_xlfn.XLOOKUP(tblTransactions[[#This Row],[CustomerID]],tblCustomers[CustomerID],tblCustomers[CustomerName])</f>
        <v>Lakshit Sura</v>
      </c>
      <c r="E90" t="s">
        <v>15988</v>
      </c>
      <c r="F90" t="str">
        <f>_xlfn.XLOOKUP(tblTransactions[[#This Row],[ProductID]],tblProducts[ProductID],tblProducts[ProductName])</f>
        <v>Soundbar E5</v>
      </c>
      <c r="G90" t="s">
        <v>16291</v>
      </c>
      <c r="H90" t="str">
        <f>_xlfn.XLOOKUP(tblTransactions[[#This Row],[StoreID]],tblStores[StoreID],tblStores[Region])</f>
        <v>South</v>
      </c>
      <c r="I90">
        <v>1</v>
      </c>
      <c r="J90">
        <v>0</v>
      </c>
      <c r="K90" t="s">
        <v>16315</v>
      </c>
      <c r="L90" s="9">
        <f>_xlfn.XLOOKUP(tblTransactions[[#This Row],[ProductID]],tblProducts[ProductID],tblProducts[UnitPrice])</f>
        <v>51647.41</v>
      </c>
      <c r="M90" s="9">
        <f>tblTransactions[[#This Row],[Quantity]]*tblTransactions[[#This Row],[UnitPrice]]</f>
        <v>51647.41</v>
      </c>
      <c r="N90" s="9">
        <f>tblTransactions[[#This Row],[GrossSales]]*tblTransactions[[#This Row],[Discount]]</f>
        <v>0</v>
      </c>
      <c r="O90" s="9">
        <f>tblTransactions[[#This Row],[GrossSales]]-tblTransactions[[#This Row],[DiscountAmount]]</f>
        <v>51647.41</v>
      </c>
      <c r="P90" s="9">
        <f>_xlfn.XLOOKUP(tblTransactions[[#This Row],[ProductID]],tblProducts[ProductID],tblProducts[UnitCost])</f>
        <v>43564.65</v>
      </c>
      <c r="Q90" s="9">
        <f>tblTransactions[[#This Row],[Quantity]]*tblTransactions[[#This Row],[UnitCost]]</f>
        <v>43564.65</v>
      </c>
      <c r="R90" s="9">
        <f>tblTransactions[[#This Row],[NetRevenue]]-tblTransactions[[#This Row],[TotalCost]]</f>
        <v>8082.760000000002</v>
      </c>
      <c r="S90" t="str">
        <f>_xlfn.XLOOKUP(tblTransactions[[#This Row],[ProductID]],tblProducts[ProductID],tblProducts[Category])</f>
        <v>Electronics</v>
      </c>
    </row>
    <row r="91" spans="1:19">
      <c r="A91" t="s">
        <v>16408</v>
      </c>
      <c r="B91" s="1">
        <v>45027</v>
      </c>
      <c r="C91" t="s">
        <v>8456</v>
      </c>
      <c r="D91" t="str">
        <f>_xlfn.XLOOKUP(tblTransactions[[#This Row],[CustomerID]],tblCustomers[CustomerID],tblCustomers[CustomerName])</f>
        <v>Neel Hayer</v>
      </c>
      <c r="E91" t="s">
        <v>16084</v>
      </c>
      <c r="F91" t="str">
        <f>_xlfn.XLOOKUP(tblTransactions[[#This Row],[ProductID]],tblProducts[ProductID],tblProducts[ProductName])</f>
        <v>Men's Jeans B7</v>
      </c>
      <c r="G91" t="s">
        <v>16301</v>
      </c>
      <c r="H91" t="str">
        <f>_xlfn.XLOOKUP(tblTransactions[[#This Row],[StoreID]],tblStores[StoreID],tblStores[Region])</f>
        <v>East</v>
      </c>
      <c r="I91">
        <v>1</v>
      </c>
      <c r="J91">
        <v>0.2</v>
      </c>
      <c r="K91" t="s">
        <v>16317</v>
      </c>
      <c r="L91" s="9">
        <f>_xlfn.XLOOKUP(tblTransactions[[#This Row],[ProductID]],tblProducts[ProductID],tblProducts[UnitPrice])</f>
        <v>7179.47</v>
      </c>
      <c r="M91" s="9">
        <f>tblTransactions[[#This Row],[Quantity]]*tblTransactions[[#This Row],[UnitPrice]]</f>
        <v>7179.47</v>
      </c>
      <c r="N91" s="9">
        <f>tblTransactions[[#This Row],[GrossSales]]*tblTransactions[[#This Row],[Discount]]</f>
        <v>1435.8940000000002</v>
      </c>
      <c r="O91" s="9">
        <f>tblTransactions[[#This Row],[GrossSales]]-tblTransactions[[#This Row],[DiscountAmount]]</f>
        <v>5743.576</v>
      </c>
      <c r="P91" s="9">
        <f>_xlfn.XLOOKUP(tblTransactions[[#This Row],[ProductID]],tblProducts[ProductID],tblProducts[UnitCost])</f>
        <v>5473.35</v>
      </c>
      <c r="Q91" s="9">
        <f>tblTransactions[[#This Row],[Quantity]]*tblTransactions[[#This Row],[UnitCost]]</f>
        <v>5473.35</v>
      </c>
      <c r="R91" s="9">
        <f>tblTransactions[[#This Row],[NetRevenue]]-tblTransactions[[#This Row],[TotalCost]]</f>
        <v>270.22599999999966</v>
      </c>
      <c r="S91" t="str">
        <f>_xlfn.XLOOKUP(tblTransactions[[#This Row],[ProductID]],tblProducts[ProductID],tblProducts[Category])</f>
        <v>Clothing</v>
      </c>
    </row>
    <row r="92" spans="1:19">
      <c r="A92" t="s">
        <v>16409</v>
      </c>
      <c r="B92" s="1">
        <v>45027</v>
      </c>
      <c r="C92" t="s">
        <v>270</v>
      </c>
      <c r="D92" t="str">
        <f>_xlfn.XLOOKUP(tblTransactions[[#This Row],[CustomerID]],tblCustomers[CustomerID],tblCustomers[CustomerName])</f>
        <v>Warjas Gaba</v>
      </c>
      <c r="E92" t="s">
        <v>15950</v>
      </c>
      <c r="F92" t="str">
        <f>_xlfn.XLOOKUP(tblTransactions[[#This Row],[ProductID]],tblProducts[ProductID],tblProducts[ProductName])</f>
        <v>Premium Smartphone C3</v>
      </c>
      <c r="G92" t="s">
        <v>16277</v>
      </c>
      <c r="H92" t="str">
        <f>_xlfn.XLOOKUP(tblTransactions[[#This Row],[StoreID]],tblStores[StoreID],tblStores[Region])</f>
        <v>West</v>
      </c>
      <c r="I92">
        <v>1</v>
      </c>
      <c r="J92">
        <v>0</v>
      </c>
      <c r="K92" t="s">
        <v>16315</v>
      </c>
      <c r="L92" s="9">
        <f>_xlfn.XLOOKUP(tblTransactions[[#This Row],[ProductID]],tblProducts[ProductID],tblProducts[UnitPrice])</f>
        <v>14902.07</v>
      </c>
      <c r="M92" s="9">
        <f>tblTransactions[[#This Row],[Quantity]]*tblTransactions[[#This Row],[UnitPrice]]</f>
        <v>14902.07</v>
      </c>
      <c r="N92" s="9">
        <f>tblTransactions[[#This Row],[GrossSales]]*tblTransactions[[#This Row],[Discount]]</f>
        <v>0</v>
      </c>
      <c r="O92" s="9">
        <f>tblTransactions[[#This Row],[GrossSales]]-tblTransactions[[#This Row],[DiscountAmount]]</f>
        <v>14902.07</v>
      </c>
      <c r="P92" s="9">
        <f>_xlfn.XLOOKUP(tblTransactions[[#This Row],[ProductID]],tblProducts[ProductID],tblProducts[UnitCost])</f>
        <v>9305.33</v>
      </c>
      <c r="Q92" s="9">
        <f>tblTransactions[[#This Row],[Quantity]]*tblTransactions[[#This Row],[UnitCost]]</f>
        <v>9305.33</v>
      </c>
      <c r="R92" s="9">
        <f>tblTransactions[[#This Row],[NetRevenue]]-tblTransactions[[#This Row],[TotalCost]]</f>
        <v>5596.74</v>
      </c>
      <c r="S92" t="str">
        <f>_xlfn.XLOOKUP(tblTransactions[[#This Row],[ProductID]],tblProducts[ProductID],tblProducts[Category])</f>
        <v>Electronics</v>
      </c>
    </row>
    <row r="93" spans="1:19">
      <c r="A93" t="s">
        <v>16410</v>
      </c>
      <c r="B93" s="1">
        <v>45030</v>
      </c>
      <c r="C93" t="s">
        <v>2333</v>
      </c>
      <c r="D93" t="str">
        <f>_xlfn.XLOOKUP(tblTransactions[[#This Row],[CustomerID]],tblCustomers[CustomerID],tblCustomers[CustomerName])</f>
        <v>Kashvi Atwal</v>
      </c>
      <c r="E93" t="s">
        <v>16139</v>
      </c>
      <c r="F93" t="str">
        <f>_xlfn.XLOOKUP(tblTransactions[[#This Row],[ProductID]],tblProducts[ProductID],tblProducts[ProductName])</f>
        <v>Cooking Oil D4</v>
      </c>
      <c r="G93" t="s">
        <v>16297</v>
      </c>
      <c r="H93" t="str">
        <f>_xlfn.XLOOKUP(tblTransactions[[#This Row],[StoreID]],tblStores[StoreID],tblStores[Region])</f>
        <v>North</v>
      </c>
      <c r="I93">
        <v>1</v>
      </c>
      <c r="J93">
        <v>0</v>
      </c>
      <c r="K93" t="s">
        <v>16317</v>
      </c>
      <c r="L93" s="9">
        <f>_xlfn.XLOOKUP(tblTransactions[[#This Row],[ProductID]],tblProducts[ProductID],tblProducts[UnitPrice])</f>
        <v>1233.81</v>
      </c>
      <c r="M93" s="9">
        <f>tblTransactions[[#This Row],[Quantity]]*tblTransactions[[#This Row],[UnitPrice]]</f>
        <v>1233.81</v>
      </c>
      <c r="N93" s="9">
        <f>tblTransactions[[#This Row],[GrossSales]]*tblTransactions[[#This Row],[Discount]]</f>
        <v>0</v>
      </c>
      <c r="O93" s="9">
        <f>tblTransactions[[#This Row],[GrossSales]]-tblTransactions[[#This Row],[DiscountAmount]]</f>
        <v>1233.81</v>
      </c>
      <c r="P93" s="9">
        <f>_xlfn.XLOOKUP(tblTransactions[[#This Row],[ProductID]],tblProducts[ProductID],tblProducts[UnitCost])</f>
        <v>944.94</v>
      </c>
      <c r="Q93" s="9">
        <f>tblTransactions[[#This Row],[Quantity]]*tblTransactions[[#This Row],[UnitCost]]</f>
        <v>944.94</v>
      </c>
      <c r="R93" s="9">
        <f>tblTransactions[[#This Row],[NetRevenue]]-tblTransactions[[#This Row],[TotalCost]]</f>
        <v>288.86999999999989</v>
      </c>
      <c r="S93" t="str">
        <f>_xlfn.XLOOKUP(tblTransactions[[#This Row],[ProductID]],tblProducts[ProductID],tblProducts[Category])</f>
        <v>Grocery</v>
      </c>
    </row>
    <row r="94" spans="1:19">
      <c r="A94" t="s">
        <v>16411</v>
      </c>
      <c r="B94" s="1">
        <v>45031</v>
      </c>
      <c r="C94" t="s">
        <v>8509</v>
      </c>
      <c r="D94" t="str">
        <f>_xlfn.XLOOKUP(tblTransactions[[#This Row],[CustomerID]],tblCustomers[CustomerID],tblCustomers[CustomerName])</f>
        <v>Widisha Hans</v>
      </c>
      <c r="E94" t="s">
        <v>15939</v>
      </c>
      <c r="F94" t="str">
        <f>_xlfn.XLOOKUP(tblTransactions[[#This Row],[ProductID]],tblProducts[ProductID],tblProducts[ProductName])</f>
        <v>Full HD TV A6</v>
      </c>
      <c r="G94" t="s">
        <v>16277</v>
      </c>
      <c r="H94" t="str">
        <f>_xlfn.XLOOKUP(tblTransactions[[#This Row],[StoreID]],tblStores[StoreID],tblStores[Region])</f>
        <v>West</v>
      </c>
      <c r="I94">
        <v>3</v>
      </c>
      <c r="J94">
        <v>0.05</v>
      </c>
      <c r="K94" t="s">
        <v>16319</v>
      </c>
      <c r="L94" s="9">
        <f>_xlfn.XLOOKUP(tblTransactions[[#This Row],[ProductID]],tblProducts[ProductID],tblProducts[UnitPrice])</f>
        <v>39996.370000000003</v>
      </c>
      <c r="M94" s="9">
        <f>tblTransactions[[#This Row],[Quantity]]*tblTransactions[[#This Row],[UnitPrice]]</f>
        <v>119989.11000000002</v>
      </c>
      <c r="N94" s="9">
        <f>tblTransactions[[#This Row],[GrossSales]]*tblTransactions[[#This Row],[Discount]]</f>
        <v>5999.4555000000009</v>
      </c>
      <c r="O94" s="9">
        <f>tblTransactions[[#This Row],[GrossSales]]-tblTransactions[[#This Row],[DiscountAmount]]</f>
        <v>113989.65450000002</v>
      </c>
      <c r="P94" s="9">
        <f>_xlfn.XLOOKUP(tblTransactions[[#This Row],[ProductID]],tblProducts[ProductID],tblProducts[UnitCost])</f>
        <v>26192.21</v>
      </c>
      <c r="Q94" s="9">
        <f>tblTransactions[[#This Row],[Quantity]]*tblTransactions[[#This Row],[UnitCost]]</f>
        <v>78576.63</v>
      </c>
      <c r="R94" s="9">
        <f>tblTransactions[[#This Row],[NetRevenue]]-tblTransactions[[#This Row],[TotalCost]]</f>
        <v>35413.024500000014</v>
      </c>
      <c r="S94" t="str">
        <f>_xlfn.XLOOKUP(tblTransactions[[#This Row],[ProductID]],tblProducts[ProductID],tblProducts[Category])</f>
        <v>Electronics</v>
      </c>
    </row>
    <row r="95" spans="1:19">
      <c r="A95" t="s">
        <v>16412</v>
      </c>
      <c r="B95" s="1">
        <v>45031</v>
      </c>
      <c r="C95" t="s">
        <v>14621</v>
      </c>
      <c r="D95" t="str">
        <f>_xlfn.XLOOKUP(tblTransactions[[#This Row],[CustomerID]],tblCustomers[CustomerID],tblCustomers[CustomerName])</f>
        <v>Kritika Chaudhry</v>
      </c>
      <c r="E95" t="s">
        <v>15935</v>
      </c>
      <c r="F95" t="str">
        <f>_xlfn.XLOOKUP(tblTransactions[[#This Row],[ProductID]],tblProducts[ProductID],tblProducts[ProductName])</f>
        <v>QLED Smart TV D4</v>
      </c>
      <c r="G95" t="s">
        <v>16277</v>
      </c>
      <c r="H95" t="str">
        <f>_xlfn.XLOOKUP(tblTransactions[[#This Row],[StoreID]],tblStores[StoreID],tblStores[Region])</f>
        <v>West</v>
      </c>
      <c r="I95">
        <v>5</v>
      </c>
      <c r="J95">
        <v>0</v>
      </c>
      <c r="K95" t="s">
        <v>16321</v>
      </c>
      <c r="L95" s="9">
        <f>_xlfn.XLOOKUP(tblTransactions[[#This Row],[ProductID]],tblProducts[ProductID],tblProducts[UnitPrice])</f>
        <v>10619.36</v>
      </c>
      <c r="M95" s="9">
        <f>tblTransactions[[#This Row],[Quantity]]*tblTransactions[[#This Row],[UnitPrice]]</f>
        <v>53096.800000000003</v>
      </c>
      <c r="N95" s="9">
        <f>tblTransactions[[#This Row],[GrossSales]]*tblTransactions[[#This Row],[Discount]]</f>
        <v>0</v>
      </c>
      <c r="O95" s="9">
        <f>tblTransactions[[#This Row],[GrossSales]]-tblTransactions[[#This Row],[DiscountAmount]]</f>
        <v>53096.800000000003</v>
      </c>
      <c r="P95" s="9">
        <f>_xlfn.XLOOKUP(tblTransactions[[#This Row],[ProductID]],tblProducts[ProductID],tblProducts[UnitCost])</f>
        <v>6544.82</v>
      </c>
      <c r="Q95" s="9">
        <f>tblTransactions[[#This Row],[Quantity]]*tblTransactions[[#This Row],[UnitCost]]</f>
        <v>32724.1</v>
      </c>
      <c r="R95" s="9">
        <f>tblTransactions[[#This Row],[NetRevenue]]-tblTransactions[[#This Row],[TotalCost]]</f>
        <v>20372.700000000004</v>
      </c>
      <c r="S95" t="str">
        <f>_xlfn.XLOOKUP(tblTransactions[[#This Row],[ProductID]],tblProducts[ProductID],tblProducts[Category])</f>
        <v>Electronics</v>
      </c>
    </row>
    <row r="96" spans="1:19">
      <c r="A96" t="s">
        <v>16413</v>
      </c>
      <c r="B96" s="1">
        <v>45033</v>
      </c>
      <c r="C96" t="s">
        <v>6371</v>
      </c>
      <c r="D96" t="str">
        <f>_xlfn.XLOOKUP(tblTransactions[[#This Row],[CustomerID]],tblCustomers[CustomerID],tblCustomers[CustomerName])</f>
        <v>Tara Sangha</v>
      </c>
      <c r="E96" t="s">
        <v>16192</v>
      </c>
      <c r="F96" t="str">
        <f>_xlfn.XLOOKUP(tblTransactions[[#This Row],[ProductID]],tblProducts[ProductID],tblProducts[ProductName])</f>
        <v>Face Cream A1</v>
      </c>
      <c r="G96" t="s">
        <v>16256</v>
      </c>
      <c r="H96" t="str">
        <f>_xlfn.XLOOKUP(tblTransactions[[#This Row],[StoreID]],tblStores[StoreID],tblStores[Region])</f>
        <v>East</v>
      </c>
      <c r="I96">
        <v>2</v>
      </c>
      <c r="J96">
        <v>0</v>
      </c>
      <c r="K96" t="s">
        <v>16315</v>
      </c>
      <c r="L96" s="9">
        <f>_xlfn.XLOOKUP(tblTransactions[[#This Row],[ProductID]],tblProducts[ProductID],tblProducts[UnitPrice])</f>
        <v>1666.93</v>
      </c>
      <c r="M96" s="9">
        <f>tblTransactions[[#This Row],[Quantity]]*tblTransactions[[#This Row],[UnitPrice]]</f>
        <v>3333.86</v>
      </c>
      <c r="N96" s="9">
        <f>tblTransactions[[#This Row],[GrossSales]]*tblTransactions[[#This Row],[Discount]]</f>
        <v>0</v>
      </c>
      <c r="O96" s="9">
        <f>tblTransactions[[#This Row],[GrossSales]]-tblTransactions[[#This Row],[DiscountAmount]]</f>
        <v>3333.86</v>
      </c>
      <c r="P96" s="9">
        <f>_xlfn.XLOOKUP(tblTransactions[[#This Row],[ProductID]],tblProducts[ProductID],tblProducts[UnitCost])</f>
        <v>983.54</v>
      </c>
      <c r="Q96" s="9">
        <f>tblTransactions[[#This Row],[Quantity]]*tblTransactions[[#This Row],[UnitCost]]</f>
        <v>1967.08</v>
      </c>
      <c r="R96" s="9">
        <f>tblTransactions[[#This Row],[NetRevenue]]-tblTransactions[[#This Row],[TotalCost]]</f>
        <v>1366.7800000000002</v>
      </c>
      <c r="S96" t="str">
        <f>_xlfn.XLOOKUP(tblTransactions[[#This Row],[ProductID]],tblProducts[ProductID],tblProducts[Category])</f>
        <v>Personal Care</v>
      </c>
    </row>
    <row r="97" spans="1:19">
      <c r="A97" t="s">
        <v>16414</v>
      </c>
      <c r="B97" s="1">
        <v>45034</v>
      </c>
      <c r="C97" t="s">
        <v>3109</v>
      </c>
      <c r="D97" t="str">
        <f>_xlfn.XLOOKUP(tblTransactions[[#This Row],[CustomerID]],tblCustomers[CustomerID],tblCustomers[CustomerName])</f>
        <v>Reyansh Bail</v>
      </c>
      <c r="E97" t="s">
        <v>16196</v>
      </c>
      <c r="F97" t="str">
        <f>_xlfn.XLOOKUP(tblTransactions[[#This Row],[ProductID]],tblProducts[ProductID],tblProducts[ProductName])</f>
        <v>Sunscreen B2</v>
      </c>
      <c r="G97" t="s">
        <v>16269</v>
      </c>
      <c r="H97" t="str">
        <f>_xlfn.XLOOKUP(tblTransactions[[#This Row],[StoreID]],tblStores[StoreID],tblStores[Region])</f>
        <v>North</v>
      </c>
      <c r="I97">
        <v>2</v>
      </c>
      <c r="J97">
        <v>0.1</v>
      </c>
      <c r="K97" t="s">
        <v>16321</v>
      </c>
      <c r="L97" s="9">
        <f>_xlfn.XLOOKUP(tblTransactions[[#This Row],[ProductID]],tblProducts[ProductID],tblProducts[UnitPrice])</f>
        <v>1841.85</v>
      </c>
      <c r="M97" s="9">
        <f>tblTransactions[[#This Row],[Quantity]]*tblTransactions[[#This Row],[UnitPrice]]</f>
        <v>3683.7</v>
      </c>
      <c r="N97" s="9">
        <f>tblTransactions[[#This Row],[GrossSales]]*tblTransactions[[#This Row],[Discount]]</f>
        <v>368.37</v>
      </c>
      <c r="O97" s="9">
        <f>tblTransactions[[#This Row],[GrossSales]]-tblTransactions[[#This Row],[DiscountAmount]]</f>
        <v>3315.33</v>
      </c>
      <c r="P97" s="9">
        <f>_xlfn.XLOOKUP(tblTransactions[[#This Row],[ProductID]],tblProducts[ProductID],tblProducts[UnitCost])</f>
        <v>1327.7</v>
      </c>
      <c r="Q97" s="9">
        <f>tblTransactions[[#This Row],[Quantity]]*tblTransactions[[#This Row],[UnitCost]]</f>
        <v>2655.4</v>
      </c>
      <c r="R97" s="9">
        <f>tblTransactions[[#This Row],[NetRevenue]]-tblTransactions[[#This Row],[TotalCost]]</f>
        <v>659.92999999999984</v>
      </c>
      <c r="S97" t="str">
        <f>_xlfn.XLOOKUP(tblTransactions[[#This Row],[ProductID]],tblProducts[ProductID],tblProducts[Category])</f>
        <v>Personal Care</v>
      </c>
    </row>
    <row r="98" spans="1:19">
      <c r="A98" t="s">
        <v>16415</v>
      </c>
      <c r="B98" s="1">
        <v>45035</v>
      </c>
      <c r="C98" t="s">
        <v>2373</v>
      </c>
      <c r="D98" t="str">
        <f>_xlfn.XLOOKUP(tblTransactions[[#This Row],[CustomerID]],tblCustomers[CustomerID],tblCustomers[CustomerName])</f>
        <v>Osha Chaudhuri</v>
      </c>
      <c r="E98" t="s">
        <v>15960</v>
      </c>
      <c r="F98" t="str">
        <f>_xlfn.XLOOKUP(tblTransactions[[#This Row],[ProductID]],tblProducts[ProductID],tblProducts[ProductName])</f>
        <v>Budget Smartphone C8</v>
      </c>
      <c r="G98" t="s">
        <v>16273</v>
      </c>
      <c r="H98" t="str">
        <f>_xlfn.XLOOKUP(tblTransactions[[#This Row],[StoreID]],tblStores[StoreID],tblStores[Region])</f>
        <v>West</v>
      </c>
      <c r="I98">
        <v>2</v>
      </c>
      <c r="J98">
        <v>0</v>
      </c>
      <c r="K98" t="s">
        <v>16317</v>
      </c>
      <c r="L98" s="9">
        <f>_xlfn.XLOOKUP(tblTransactions[[#This Row],[ProductID]],tblProducts[ProductID],tblProducts[UnitPrice])</f>
        <v>63665.16</v>
      </c>
      <c r="M98" s="9">
        <f>tblTransactions[[#This Row],[Quantity]]*tblTransactions[[#This Row],[UnitPrice]]</f>
        <v>127330.32</v>
      </c>
      <c r="N98" s="9">
        <f>tblTransactions[[#This Row],[GrossSales]]*tblTransactions[[#This Row],[Discount]]</f>
        <v>0</v>
      </c>
      <c r="O98" s="9">
        <f>tblTransactions[[#This Row],[GrossSales]]-tblTransactions[[#This Row],[DiscountAmount]]</f>
        <v>127330.32</v>
      </c>
      <c r="P98" s="9">
        <f>_xlfn.XLOOKUP(tblTransactions[[#This Row],[ProductID]],tblProducts[ProductID],tblProducts[UnitCost])</f>
        <v>52565.61</v>
      </c>
      <c r="Q98" s="9">
        <f>tblTransactions[[#This Row],[Quantity]]*tblTransactions[[#This Row],[UnitCost]]</f>
        <v>105131.22</v>
      </c>
      <c r="R98" s="9">
        <f>tblTransactions[[#This Row],[NetRevenue]]-tblTransactions[[#This Row],[TotalCost]]</f>
        <v>22199.100000000006</v>
      </c>
      <c r="S98" t="str">
        <f>_xlfn.XLOOKUP(tblTransactions[[#This Row],[ProductID]],tblProducts[ProductID],tblProducts[Category])</f>
        <v>Electronics</v>
      </c>
    </row>
    <row r="99" spans="1:19">
      <c r="A99" t="s">
        <v>16416</v>
      </c>
      <c r="B99" s="1">
        <v>45036</v>
      </c>
      <c r="C99" t="s">
        <v>810</v>
      </c>
      <c r="D99" t="str">
        <f>_xlfn.XLOOKUP(tblTransactions[[#This Row],[CustomerID]],tblCustomers[CustomerID],tblCustomers[CustomerName])</f>
        <v>Mohammed Subramaniam</v>
      </c>
      <c r="E99" t="s">
        <v>16058</v>
      </c>
      <c r="F99" t="str">
        <f>_xlfn.XLOOKUP(tblTransactions[[#This Row],[ProductID]],tblProducts[ProductID],tblProducts[ProductName])</f>
        <v>Decorative Vase B2</v>
      </c>
      <c r="G99" t="s">
        <v>16301</v>
      </c>
      <c r="H99" t="str">
        <f>_xlfn.XLOOKUP(tblTransactions[[#This Row],[StoreID]],tblStores[StoreID],tblStores[Region])</f>
        <v>East</v>
      </c>
      <c r="I99">
        <v>5</v>
      </c>
      <c r="J99">
        <v>0.1</v>
      </c>
      <c r="K99" t="s">
        <v>16317</v>
      </c>
      <c r="L99" s="9">
        <f>_xlfn.XLOOKUP(tblTransactions[[#This Row],[ProductID]],tblProducts[ProductID],tblProducts[UnitPrice])</f>
        <v>22102.15</v>
      </c>
      <c r="M99" s="9">
        <f>tblTransactions[[#This Row],[Quantity]]*tblTransactions[[#This Row],[UnitPrice]]</f>
        <v>110510.75</v>
      </c>
      <c r="N99" s="9">
        <f>tblTransactions[[#This Row],[GrossSales]]*tblTransactions[[#This Row],[Discount]]</f>
        <v>11051.075000000001</v>
      </c>
      <c r="O99" s="9">
        <f>tblTransactions[[#This Row],[GrossSales]]-tblTransactions[[#This Row],[DiscountAmount]]</f>
        <v>99459.675000000003</v>
      </c>
      <c r="P99" s="9">
        <f>_xlfn.XLOOKUP(tblTransactions[[#This Row],[ProductID]],tblProducts[ProductID],tblProducts[UnitCost])</f>
        <v>15710.91</v>
      </c>
      <c r="Q99" s="9">
        <f>tblTransactions[[#This Row],[Quantity]]*tblTransactions[[#This Row],[UnitCost]]</f>
        <v>78554.55</v>
      </c>
      <c r="R99" s="9">
        <f>tblTransactions[[#This Row],[NetRevenue]]-tblTransactions[[#This Row],[TotalCost]]</f>
        <v>20905.125</v>
      </c>
      <c r="S99" t="str">
        <f>_xlfn.XLOOKUP(tblTransactions[[#This Row],[ProductID]],tblProducts[ProductID],tblProducts[Category])</f>
        <v>Home &amp; Kitchen</v>
      </c>
    </row>
    <row r="100" spans="1:19">
      <c r="A100" t="s">
        <v>16417</v>
      </c>
      <c r="B100" s="1">
        <v>45036</v>
      </c>
      <c r="C100" t="s">
        <v>7173</v>
      </c>
      <c r="D100" t="str">
        <f>_xlfn.XLOOKUP(tblTransactions[[#This Row],[CustomerID]],tblCustomers[CustomerID],tblCustomers[CustomerName])</f>
        <v>Vansha Desai</v>
      </c>
      <c r="E100" t="s">
        <v>16243</v>
      </c>
      <c r="F100" t="str">
        <f>_xlfn.XLOOKUP(tblTransactions[[#This Row],[ProductID]],tblProducts[ProductID],tblProducts[ProductName])</f>
        <v>Trimmer C3</v>
      </c>
      <c r="G100" t="s">
        <v>16279</v>
      </c>
      <c r="H100" t="str">
        <f>_xlfn.XLOOKUP(tblTransactions[[#This Row],[StoreID]],tblStores[StoreID],tblStores[Region])</f>
        <v>South</v>
      </c>
      <c r="I100">
        <v>3</v>
      </c>
      <c r="J100">
        <v>0</v>
      </c>
      <c r="K100" t="s">
        <v>16317</v>
      </c>
      <c r="L100" s="9">
        <f>_xlfn.XLOOKUP(tblTransactions[[#This Row],[ProductID]],tblProducts[ProductID],tblProducts[UnitPrice])</f>
        <v>3309.4</v>
      </c>
      <c r="M100" s="9">
        <f>tblTransactions[[#This Row],[Quantity]]*tblTransactions[[#This Row],[UnitPrice]]</f>
        <v>9928.2000000000007</v>
      </c>
      <c r="N100" s="9">
        <f>tblTransactions[[#This Row],[GrossSales]]*tblTransactions[[#This Row],[Discount]]</f>
        <v>0</v>
      </c>
      <c r="O100" s="9">
        <f>tblTransactions[[#This Row],[GrossSales]]-tblTransactions[[#This Row],[DiscountAmount]]</f>
        <v>9928.2000000000007</v>
      </c>
      <c r="P100" s="9">
        <f>_xlfn.XLOOKUP(tblTransactions[[#This Row],[ProductID]],tblProducts[ProductID],tblProducts[UnitCost])</f>
        <v>2744.04</v>
      </c>
      <c r="Q100" s="9">
        <f>tblTransactions[[#This Row],[Quantity]]*tblTransactions[[#This Row],[UnitCost]]</f>
        <v>8232.119999999999</v>
      </c>
      <c r="R100" s="9">
        <f>tblTransactions[[#This Row],[NetRevenue]]-tblTransactions[[#This Row],[TotalCost]]</f>
        <v>1696.0800000000017</v>
      </c>
      <c r="S100" t="str">
        <f>_xlfn.XLOOKUP(tblTransactions[[#This Row],[ProductID]],tblProducts[ProductID],tblProducts[Category])</f>
        <v>Personal Care</v>
      </c>
    </row>
    <row r="101" spans="1:19">
      <c r="A101" t="s">
        <v>16418</v>
      </c>
      <c r="B101" s="1">
        <v>45038</v>
      </c>
      <c r="C101" t="s">
        <v>11954</v>
      </c>
      <c r="D101" t="str">
        <f>_xlfn.XLOOKUP(tblTransactions[[#This Row],[CustomerID]],tblCustomers[CustomerID],tblCustomers[CustomerName])</f>
        <v>Bhavini Kumar</v>
      </c>
      <c r="E101" t="s">
        <v>16032</v>
      </c>
      <c r="F101" t="str">
        <f>_xlfn.XLOOKUP(tblTransactions[[#This Row],[ProductID]],tblProducts[ProductID],tblProducts[ProductName])</f>
        <v>Study Table D4</v>
      </c>
      <c r="G101" t="s">
        <v>16265</v>
      </c>
      <c r="H101" t="str">
        <f>_xlfn.XLOOKUP(tblTransactions[[#This Row],[StoreID]],tblStores[StoreID],tblStores[Region])</f>
        <v>North</v>
      </c>
      <c r="I101">
        <v>1</v>
      </c>
      <c r="J101">
        <v>0</v>
      </c>
      <c r="K101" t="s">
        <v>16317</v>
      </c>
      <c r="L101" s="9">
        <f>_xlfn.XLOOKUP(tblTransactions[[#This Row],[ProductID]],tblProducts[ProductID],tblProducts[UnitPrice])</f>
        <v>643.36</v>
      </c>
      <c r="M101" s="9">
        <f>tblTransactions[[#This Row],[Quantity]]*tblTransactions[[#This Row],[UnitPrice]]</f>
        <v>643.36</v>
      </c>
      <c r="N101" s="9">
        <f>tblTransactions[[#This Row],[GrossSales]]*tblTransactions[[#This Row],[Discount]]</f>
        <v>0</v>
      </c>
      <c r="O101" s="9">
        <f>tblTransactions[[#This Row],[GrossSales]]-tblTransactions[[#This Row],[DiscountAmount]]</f>
        <v>643.36</v>
      </c>
      <c r="P101" s="9">
        <f>_xlfn.XLOOKUP(tblTransactions[[#This Row],[ProductID]],tblProducts[ProductID],tblProducts[UnitCost])</f>
        <v>460.5</v>
      </c>
      <c r="Q101" s="9">
        <f>tblTransactions[[#This Row],[Quantity]]*tblTransactions[[#This Row],[UnitCost]]</f>
        <v>460.5</v>
      </c>
      <c r="R101" s="9">
        <f>tblTransactions[[#This Row],[NetRevenue]]-tblTransactions[[#This Row],[TotalCost]]</f>
        <v>182.86</v>
      </c>
      <c r="S101" t="str">
        <f>_xlfn.XLOOKUP(tblTransactions[[#This Row],[ProductID]],tblProducts[ProductID],tblProducts[Category])</f>
        <v>Home &amp; Kitchen</v>
      </c>
    </row>
    <row r="102" spans="1:19">
      <c r="A102" t="s">
        <v>16419</v>
      </c>
      <c r="B102" s="1">
        <v>45040</v>
      </c>
      <c r="C102" t="s">
        <v>2253</v>
      </c>
      <c r="D102" t="str">
        <f>_xlfn.XLOOKUP(tblTransactions[[#This Row],[CustomerID]],tblCustomers[CustomerID],tblCustomers[CustomerName])</f>
        <v>Urvi Deo</v>
      </c>
      <c r="E102" t="s">
        <v>16129</v>
      </c>
      <c r="F102" t="str">
        <f>_xlfn.XLOOKUP(tblTransactions[[#This Row],[ProductID]],tblProducts[ProductID],tblProducts[ProductName])</f>
        <v>Running Shoes B7</v>
      </c>
      <c r="G102" t="s">
        <v>16305</v>
      </c>
      <c r="H102" t="str">
        <f>_xlfn.XLOOKUP(tblTransactions[[#This Row],[StoreID]],tblStores[StoreID],tblStores[Region])</f>
        <v>South</v>
      </c>
      <c r="I102">
        <v>1</v>
      </c>
      <c r="J102">
        <v>0</v>
      </c>
      <c r="K102" t="s">
        <v>16317</v>
      </c>
      <c r="L102" s="9">
        <f>_xlfn.XLOOKUP(tblTransactions[[#This Row],[ProductID]],tblProducts[ProductID],tblProducts[UnitPrice])</f>
        <v>7178.77</v>
      </c>
      <c r="M102" s="9">
        <f>tblTransactions[[#This Row],[Quantity]]*tblTransactions[[#This Row],[UnitPrice]]</f>
        <v>7178.77</v>
      </c>
      <c r="N102" s="9">
        <f>tblTransactions[[#This Row],[GrossSales]]*tblTransactions[[#This Row],[Discount]]</f>
        <v>0</v>
      </c>
      <c r="O102" s="9">
        <f>tblTransactions[[#This Row],[GrossSales]]-tblTransactions[[#This Row],[DiscountAmount]]</f>
        <v>7178.77</v>
      </c>
      <c r="P102" s="9">
        <f>_xlfn.XLOOKUP(tblTransactions[[#This Row],[ProductID]],tblProducts[ProductID],tblProducts[UnitCost])</f>
        <v>4813.8</v>
      </c>
      <c r="Q102" s="9">
        <f>tblTransactions[[#This Row],[Quantity]]*tblTransactions[[#This Row],[UnitCost]]</f>
        <v>4813.8</v>
      </c>
      <c r="R102" s="9">
        <f>tblTransactions[[#This Row],[NetRevenue]]-tblTransactions[[#This Row],[TotalCost]]</f>
        <v>2364.9700000000003</v>
      </c>
      <c r="S102" t="str">
        <f>_xlfn.XLOOKUP(tblTransactions[[#This Row],[ProductID]],tblProducts[ProductID],tblProducts[Category])</f>
        <v>Clothing</v>
      </c>
    </row>
    <row r="103" spans="1:19">
      <c r="A103" t="s">
        <v>16420</v>
      </c>
      <c r="B103" s="1">
        <v>45042</v>
      </c>
      <c r="C103" t="s">
        <v>13909</v>
      </c>
      <c r="D103" t="str">
        <f>_xlfn.XLOOKUP(tblTransactions[[#This Row],[CustomerID]],tblCustomers[CustomerID],tblCustomers[CustomerName])</f>
        <v>Januja Sachar</v>
      </c>
      <c r="E103" t="s">
        <v>15984</v>
      </c>
      <c r="F103" t="str">
        <f>_xlfn.XLOOKUP(tblTransactions[[#This Row],[ProductID]],tblProducts[ProductID],tblProducts[ProductName])</f>
        <v>Bluetooth Speaker C3</v>
      </c>
      <c r="G103" t="s">
        <v>16285</v>
      </c>
      <c r="H103" t="str">
        <f>_xlfn.XLOOKUP(tblTransactions[[#This Row],[StoreID]],tblStores[StoreID],tblStores[Region])</f>
        <v>West</v>
      </c>
      <c r="I103">
        <v>1</v>
      </c>
      <c r="J103">
        <v>0</v>
      </c>
      <c r="K103" t="s">
        <v>16317</v>
      </c>
      <c r="L103" s="9">
        <f>_xlfn.XLOOKUP(tblTransactions[[#This Row],[ProductID]],tblProducts[ProductID],tblProducts[UnitPrice])</f>
        <v>76661.149999999994</v>
      </c>
      <c r="M103" s="9">
        <f>tblTransactions[[#This Row],[Quantity]]*tblTransactions[[#This Row],[UnitPrice]]</f>
        <v>76661.149999999994</v>
      </c>
      <c r="N103" s="9">
        <f>tblTransactions[[#This Row],[GrossSales]]*tblTransactions[[#This Row],[Discount]]</f>
        <v>0</v>
      </c>
      <c r="O103" s="9">
        <f>tblTransactions[[#This Row],[GrossSales]]-tblTransactions[[#This Row],[DiscountAmount]]</f>
        <v>76661.149999999994</v>
      </c>
      <c r="P103" s="9">
        <f>_xlfn.XLOOKUP(tblTransactions[[#This Row],[ProductID]],tblProducts[ProductID],tblProducts[UnitCost])</f>
        <v>44142.48</v>
      </c>
      <c r="Q103" s="9">
        <f>tblTransactions[[#This Row],[Quantity]]*tblTransactions[[#This Row],[UnitCost]]</f>
        <v>44142.48</v>
      </c>
      <c r="R103" s="9">
        <f>tblTransactions[[#This Row],[NetRevenue]]-tblTransactions[[#This Row],[TotalCost]]</f>
        <v>32518.669999999991</v>
      </c>
      <c r="S103" t="str">
        <f>_xlfn.XLOOKUP(tblTransactions[[#This Row],[ProductID]],tblProducts[ProductID],tblProducts[Category])</f>
        <v>Electronics</v>
      </c>
    </row>
    <row r="104" spans="1:19">
      <c r="A104" t="s">
        <v>16421</v>
      </c>
      <c r="B104" s="1">
        <v>45044</v>
      </c>
      <c r="C104" t="s">
        <v>3071</v>
      </c>
      <c r="D104" t="str">
        <f>_xlfn.XLOOKUP(tblTransactions[[#This Row],[CustomerID]],tblCustomers[CustomerID],tblCustomers[CustomerName])</f>
        <v>Jairaj Kothari</v>
      </c>
      <c r="E104" t="s">
        <v>16188</v>
      </c>
      <c r="F104" t="str">
        <f>_xlfn.XLOOKUP(tblTransactions[[#This Row],[ProductID]],tblProducts[ProductID],tblProducts[ProductName])</f>
        <v>Pasta A6</v>
      </c>
      <c r="G104" t="s">
        <v>16259</v>
      </c>
      <c r="H104" t="str">
        <f>_xlfn.XLOOKUP(tblTransactions[[#This Row],[StoreID]],tblStores[StoreID],tblStores[Region])</f>
        <v>East</v>
      </c>
      <c r="I104">
        <v>1</v>
      </c>
      <c r="J104">
        <v>0</v>
      </c>
      <c r="K104" t="s">
        <v>16315</v>
      </c>
      <c r="L104" s="9">
        <f>_xlfn.XLOOKUP(tblTransactions[[#This Row],[ProductID]],tblProducts[ProductID],tblProducts[UnitPrice])</f>
        <v>1019.45</v>
      </c>
      <c r="M104" s="9">
        <f>tblTransactions[[#This Row],[Quantity]]*tblTransactions[[#This Row],[UnitPrice]]</f>
        <v>1019.45</v>
      </c>
      <c r="N104" s="9">
        <f>tblTransactions[[#This Row],[GrossSales]]*tblTransactions[[#This Row],[Discount]]</f>
        <v>0</v>
      </c>
      <c r="O104" s="9">
        <f>tblTransactions[[#This Row],[GrossSales]]-tblTransactions[[#This Row],[DiscountAmount]]</f>
        <v>1019.45</v>
      </c>
      <c r="P104" s="9">
        <f>_xlfn.XLOOKUP(tblTransactions[[#This Row],[ProductID]],tblProducts[ProductID],tblProducts[UnitCost])</f>
        <v>683.18</v>
      </c>
      <c r="Q104" s="9">
        <f>tblTransactions[[#This Row],[Quantity]]*tblTransactions[[#This Row],[UnitCost]]</f>
        <v>683.18</v>
      </c>
      <c r="R104" s="9">
        <f>tblTransactions[[#This Row],[NetRevenue]]-tblTransactions[[#This Row],[TotalCost]]</f>
        <v>336.2700000000001</v>
      </c>
      <c r="S104" t="str">
        <f>_xlfn.XLOOKUP(tblTransactions[[#This Row],[ProductID]],tblProducts[ProductID],tblProducts[Category])</f>
        <v>Grocery</v>
      </c>
    </row>
    <row r="105" spans="1:19">
      <c r="A105" t="s">
        <v>16422</v>
      </c>
      <c r="B105" s="1">
        <v>45044</v>
      </c>
      <c r="C105" t="s">
        <v>4997</v>
      </c>
      <c r="D105" t="str">
        <f>_xlfn.XLOOKUP(tblTransactions[[#This Row],[CustomerID]],tblCustomers[CustomerID],tblCustomers[CustomerName])</f>
        <v>Aarnav Soni</v>
      </c>
      <c r="E105" t="s">
        <v>16058</v>
      </c>
      <c r="F105" t="str">
        <f>_xlfn.XLOOKUP(tblTransactions[[#This Row],[ProductID]],tblProducts[ProductID],tblProducts[ProductName])</f>
        <v>Decorative Vase B2</v>
      </c>
      <c r="G105" t="s">
        <v>16291</v>
      </c>
      <c r="H105" t="str">
        <f>_xlfn.XLOOKUP(tblTransactions[[#This Row],[StoreID]],tblStores[StoreID],tblStores[Region])</f>
        <v>South</v>
      </c>
      <c r="I105">
        <v>2</v>
      </c>
      <c r="J105">
        <v>0.05</v>
      </c>
      <c r="K105" t="s">
        <v>16317</v>
      </c>
      <c r="L105" s="9">
        <f>_xlfn.XLOOKUP(tblTransactions[[#This Row],[ProductID]],tblProducts[ProductID],tblProducts[UnitPrice])</f>
        <v>22102.15</v>
      </c>
      <c r="M105" s="9">
        <f>tblTransactions[[#This Row],[Quantity]]*tblTransactions[[#This Row],[UnitPrice]]</f>
        <v>44204.3</v>
      </c>
      <c r="N105" s="9">
        <f>tblTransactions[[#This Row],[GrossSales]]*tblTransactions[[#This Row],[Discount]]</f>
        <v>2210.2150000000001</v>
      </c>
      <c r="O105" s="9">
        <f>tblTransactions[[#This Row],[GrossSales]]-tblTransactions[[#This Row],[DiscountAmount]]</f>
        <v>41994.085000000006</v>
      </c>
      <c r="P105" s="9">
        <f>_xlfn.XLOOKUP(tblTransactions[[#This Row],[ProductID]],tblProducts[ProductID],tblProducts[UnitCost])</f>
        <v>15710.91</v>
      </c>
      <c r="Q105" s="9">
        <f>tblTransactions[[#This Row],[Quantity]]*tblTransactions[[#This Row],[UnitCost]]</f>
        <v>31421.82</v>
      </c>
      <c r="R105" s="9">
        <f>tblTransactions[[#This Row],[NetRevenue]]-tblTransactions[[#This Row],[TotalCost]]</f>
        <v>10572.265000000007</v>
      </c>
      <c r="S105" t="str">
        <f>_xlfn.XLOOKUP(tblTransactions[[#This Row],[ProductID]],tblProducts[ProductID],tblProducts[Category])</f>
        <v>Home &amp; Kitchen</v>
      </c>
    </row>
    <row r="106" spans="1:19">
      <c r="A106" t="s">
        <v>16423</v>
      </c>
      <c r="B106" s="1">
        <v>45045</v>
      </c>
      <c r="C106" t="s">
        <v>6491</v>
      </c>
      <c r="D106" t="str">
        <f>_xlfn.XLOOKUP(tblTransactions[[#This Row],[CustomerID]],tblCustomers[CustomerID],tblCustomers[CustomerName])</f>
        <v>Samesh Sura</v>
      </c>
      <c r="E106" t="s">
        <v>16028</v>
      </c>
      <c r="F106" t="str">
        <f>_xlfn.XLOOKUP(tblTransactions[[#This Row],[ProductID]],tblProducts[ProductID],tblProducts[ProductName])</f>
        <v>Bookshelf B2</v>
      </c>
      <c r="G106" t="s">
        <v>16279</v>
      </c>
      <c r="H106" t="str">
        <f>_xlfn.XLOOKUP(tblTransactions[[#This Row],[StoreID]],tblStores[StoreID],tblStores[Region])</f>
        <v>South</v>
      </c>
      <c r="I106">
        <v>1</v>
      </c>
      <c r="J106">
        <v>0.05</v>
      </c>
      <c r="K106" t="s">
        <v>16317</v>
      </c>
      <c r="L106" s="9">
        <f>_xlfn.XLOOKUP(tblTransactions[[#This Row],[ProductID]],tblProducts[ProductID],tblProducts[UnitPrice])</f>
        <v>11987.07</v>
      </c>
      <c r="M106" s="9">
        <f>tblTransactions[[#This Row],[Quantity]]*tblTransactions[[#This Row],[UnitPrice]]</f>
        <v>11987.07</v>
      </c>
      <c r="N106" s="9">
        <f>tblTransactions[[#This Row],[GrossSales]]*tblTransactions[[#This Row],[Discount]]</f>
        <v>599.35350000000005</v>
      </c>
      <c r="O106" s="9">
        <f>tblTransactions[[#This Row],[GrossSales]]-tblTransactions[[#This Row],[DiscountAmount]]</f>
        <v>11387.7165</v>
      </c>
      <c r="P106" s="9">
        <f>_xlfn.XLOOKUP(tblTransactions[[#This Row],[ProductID]],tblProducts[ProductID],tblProducts[UnitCost])</f>
        <v>8332.57</v>
      </c>
      <c r="Q106" s="9">
        <f>tblTransactions[[#This Row],[Quantity]]*tblTransactions[[#This Row],[UnitCost]]</f>
        <v>8332.57</v>
      </c>
      <c r="R106" s="9">
        <f>tblTransactions[[#This Row],[NetRevenue]]-tblTransactions[[#This Row],[TotalCost]]</f>
        <v>3055.1465000000007</v>
      </c>
      <c r="S106" t="str">
        <f>_xlfn.XLOOKUP(tblTransactions[[#This Row],[ProductID]],tblProducts[ProductID],tblProducts[Category])</f>
        <v>Home &amp; Kitchen</v>
      </c>
    </row>
    <row r="107" spans="1:19">
      <c r="A107" t="s">
        <v>16424</v>
      </c>
      <c r="B107" s="1">
        <v>45046</v>
      </c>
      <c r="C107" t="s">
        <v>3449</v>
      </c>
      <c r="D107" t="str">
        <f>_xlfn.XLOOKUP(tblTransactions[[#This Row],[CustomerID]],tblCustomers[CustomerID],tblCustomers[CustomerName])</f>
        <v>Jairaj Maharaj</v>
      </c>
      <c r="E107" t="s">
        <v>16066</v>
      </c>
      <c r="F107" t="str">
        <f>_xlfn.XLOOKUP(tblTransactions[[#This Row],[ProductID]],tblProducts[ProductID],tblProducts[ProductName])</f>
        <v>Decorative Vase A6</v>
      </c>
      <c r="G107" t="s">
        <v>16291</v>
      </c>
      <c r="H107" t="str">
        <f>_xlfn.XLOOKUP(tblTransactions[[#This Row],[StoreID]],tblStores[StoreID],tblStores[Region])</f>
        <v>South</v>
      </c>
      <c r="I107">
        <v>1</v>
      </c>
      <c r="J107">
        <v>0</v>
      </c>
      <c r="K107" t="s">
        <v>16325</v>
      </c>
      <c r="L107" s="9">
        <f>_xlfn.XLOOKUP(tblTransactions[[#This Row],[ProductID]],tblProducts[ProductID],tblProducts[UnitPrice])</f>
        <v>3429.74</v>
      </c>
      <c r="M107" s="9">
        <f>tblTransactions[[#This Row],[Quantity]]*tblTransactions[[#This Row],[UnitPrice]]</f>
        <v>3429.74</v>
      </c>
      <c r="N107" s="9">
        <f>tblTransactions[[#This Row],[GrossSales]]*tblTransactions[[#This Row],[Discount]]</f>
        <v>0</v>
      </c>
      <c r="O107" s="9">
        <f>tblTransactions[[#This Row],[GrossSales]]-tblTransactions[[#This Row],[DiscountAmount]]</f>
        <v>3429.74</v>
      </c>
      <c r="P107" s="9">
        <f>_xlfn.XLOOKUP(tblTransactions[[#This Row],[ProductID]],tblProducts[ProductID],tblProducts[UnitCost])</f>
        <v>2172.39</v>
      </c>
      <c r="Q107" s="9">
        <f>tblTransactions[[#This Row],[Quantity]]*tblTransactions[[#This Row],[UnitCost]]</f>
        <v>2172.39</v>
      </c>
      <c r="R107" s="9">
        <f>tblTransactions[[#This Row],[NetRevenue]]-tblTransactions[[#This Row],[TotalCost]]</f>
        <v>1257.3499999999999</v>
      </c>
      <c r="S107" t="str">
        <f>_xlfn.XLOOKUP(tblTransactions[[#This Row],[ProductID]],tblProducts[ProductID],tblProducts[Category])</f>
        <v>Home &amp; Kitchen</v>
      </c>
    </row>
    <row r="108" spans="1:19">
      <c r="A108" t="s">
        <v>16425</v>
      </c>
      <c r="B108" s="1">
        <v>45047</v>
      </c>
      <c r="C108" t="s">
        <v>812</v>
      </c>
      <c r="D108" t="str">
        <f>_xlfn.XLOOKUP(tblTransactions[[#This Row],[CustomerID]],tblCustomers[CustomerID],tblCustomers[CustomerName])</f>
        <v>Hritik Palla</v>
      </c>
      <c r="E108" t="s">
        <v>16091</v>
      </c>
      <c r="F108" t="str">
        <f>_xlfn.XLOOKUP(tblTransactions[[#This Row],[ProductID]],tblProducts[ProductID],tblProducts[ProductName])</f>
        <v>Women's Jacket C3</v>
      </c>
      <c r="G108" t="s">
        <v>16265</v>
      </c>
      <c r="H108" t="str">
        <f>_xlfn.XLOOKUP(tblTransactions[[#This Row],[StoreID]],tblStores[StoreID],tblStores[Region])</f>
        <v>North</v>
      </c>
      <c r="I108">
        <v>1</v>
      </c>
      <c r="J108">
        <v>0</v>
      </c>
      <c r="K108" t="s">
        <v>16321</v>
      </c>
      <c r="L108" s="9">
        <f>_xlfn.XLOOKUP(tblTransactions[[#This Row],[ProductID]],tblProducts[ProductID],tblProducts[UnitPrice])</f>
        <v>3661.03</v>
      </c>
      <c r="M108" s="9">
        <f>tblTransactions[[#This Row],[Quantity]]*tblTransactions[[#This Row],[UnitPrice]]</f>
        <v>3661.03</v>
      </c>
      <c r="N108" s="9">
        <f>tblTransactions[[#This Row],[GrossSales]]*tblTransactions[[#This Row],[Discount]]</f>
        <v>0</v>
      </c>
      <c r="O108" s="9">
        <f>tblTransactions[[#This Row],[GrossSales]]-tblTransactions[[#This Row],[DiscountAmount]]</f>
        <v>3661.03</v>
      </c>
      <c r="P108" s="9">
        <f>_xlfn.XLOOKUP(tblTransactions[[#This Row],[ProductID]],tblProducts[ProductID],tblProducts[UnitCost])</f>
        <v>2588.56</v>
      </c>
      <c r="Q108" s="9">
        <f>tblTransactions[[#This Row],[Quantity]]*tblTransactions[[#This Row],[UnitCost]]</f>
        <v>2588.56</v>
      </c>
      <c r="R108" s="9">
        <f>tblTransactions[[#This Row],[NetRevenue]]-tblTransactions[[#This Row],[TotalCost]]</f>
        <v>1072.4700000000003</v>
      </c>
      <c r="S108" t="str">
        <f>_xlfn.XLOOKUP(tblTransactions[[#This Row],[ProductID]],tblProducts[ProductID],tblProducts[Category])</f>
        <v>Clothing</v>
      </c>
    </row>
    <row r="109" spans="1:19">
      <c r="A109" t="s">
        <v>16426</v>
      </c>
      <c r="B109" s="1">
        <v>45048</v>
      </c>
      <c r="C109" t="s">
        <v>1955</v>
      </c>
      <c r="D109" t="str">
        <f>_xlfn.XLOOKUP(tblTransactions[[#This Row],[CustomerID]],tblCustomers[CustomerID],tblCustomers[CustomerName])</f>
        <v>Bishakha Lal</v>
      </c>
      <c r="E109" t="s">
        <v>16074</v>
      </c>
      <c r="F109" t="str">
        <f>_xlfn.XLOOKUP(tblTransactions[[#This Row],[ProductID]],tblProducts[ProductID],tblProducts[ProductName])</f>
        <v>Men's T-Shirt B2</v>
      </c>
      <c r="G109" t="s">
        <v>16303</v>
      </c>
      <c r="H109" t="str">
        <f>_xlfn.XLOOKUP(tblTransactions[[#This Row],[StoreID]],tblStores[StoreID],tblStores[Region])</f>
        <v>West</v>
      </c>
      <c r="I109">
        <v>3</v>
      </c>
      <c r="J109">
        <v>0</v>
      </c>
      <c r="K109" t="s">
        <v>16317</v>
      </c>
      <c r="L109" s="9">
        <f>_xlfn.XLOOKUP(tblTransactions[[#This Row],[ProductID]],tblProducts[ProductID],tblProducts[UnitPrice])</f>
        <v>5944.75</v>
      </c>
      <c r="M109" s="9">
        <f>tblTransactions[[#This Row],[Quantity]]*tblTransactions[[#This Row],[UnitPrice]]</f>
        <v>17834.25</v>
      </c>
      <c r="N109" s="9">
        <f>tblTransactions[[#This Row],[GrossSales]]*tblTransactions[[#This Row],[Discount]]</f>
        <v>0</v>
      </c>
      <c r="O109" s="9">
        <f>tblTransactions[[#This Row],[GrossSales]]-tblTransactions[[#This Row],[DiscountAmount]]</f>
        <v>17834.25</v>
      </c>
      <c r="P109" s="9">
        <f>_xlfn.XLOOKUP(tblTransactions[[#This Row],[ProductID]],tblProducts[ProductID],tblProducts[UnitCost])</f>
        <v>4447.5200000000004</v>
      </c>
      <c r="Q109" s="9">
        <f>tblTransactions[[#This Row],[Quantity]]*tblTransactions[[#This Row],[UnitCost]]</f>
        <v>13342.560000000001</v>
      </c>
      <c r="R109" s="9">
        <f>tblTransactions[[#This Row],[NetRevenue]]-tblTransactions[[#This Row],[TotalCost]]</f>
        <v>4491.6899999999987</v>
      </c>
      <c r="S109" t="str">
        <f>_xlfn.XLOOKUP(tblTransactions[[#This Row],[ProductID]],tblProducts[ProductID],tblProducts[Category])</f>
        <v>Clothing</v>
      </c>
    </row>
    <row r="110" spans="1:19">
      <c r="A110" t="s">
        <v>16427</v>
      </c>
      <c r="B110" s="1">
        <v>45049</v>
      </c>
      <c r="C110" t="s">
        <v>10322</v>
      </c>
      <c r="D110" t="str">
        <f>_xlfn.XLOOKUP(tblTransactions[[#This Row],[CustomerID]],tblCustomers[CustomerID],tblCustomers[CustomerName])</f>
        <v>Jackson Dave</v>
      </c>
      <c r="E110" t="s">
        <v>16241</v>
      </c>
      <c r="F110" t="str">
        <f>_xlfn.XLOOKUP(tblTransactions[[#This Row],[ProductID]],tblProducts[ProductID],tblProducts[ProductName])</f>
        <v>Shaving Kit B2</v>
      </c>
      <c r="G110" t="s">
        <v>16299</v>
      </c>
      <c r="H110" t="str">
        <f>_xlfn.XLOOKUP(tblTransactions[[#This Row],[StoreID]],tblStores[StoreID],tblStores[Region])</f>
        <v>South</v>
      </c>
      <c r="I110">
        <v>1</v>
      </c>
      <c r="J110">
        <v>0.05</v>
      </c>
      <c r="K110" t="s">
        <v>16317</v>
      </c>
      <c r="L110" s="9">
        <f>_xlfn.XLOOKUP(tblTransactions[[#This Row],[ProductID]],tblProducts[ProductID],tblProducts[UnitPrice])</f>
        <v>543.23</v>
      </c>
      <c r="M110" s="9">
        <f>tblTransactions[[#This Row],[Quantity]]*tblTransactions[[#This Row],[UnitPrice]]</f>
        <v>543.23</v>
      </c>
      <c r="N110" s="9">
        <f>tblTransactions[[#This Row],[GrossSales]]*tblTransactions[[#This Row],[Discount]]</f>
        <v>27.161500000000004</v>
      </c>
      <c r="O110" s="9">
        <f>tblTransactions[[#This Row],[GrossSales]]-tblTransactions[[#This Row],[DiscountAmount]]</f>
        <v>516.06849999999997</v>
      </c>
      <c r="P110" s="9">
        <f>_xlfn.XLOOKUP(tblTransactions[[#This Row],[ProductID]],tblProducts[ProductID],tblProducts[UnitCost])</f>
        <v>441.82</v>
      </c>
      <c r="Q110" s="9">
        <f>tblTransactions[[#This Row],[Quantity]]*tblTransactions[[#This Row],[UnitCost]]</f>
        <v>441.82</v>
      </c>
      <c r="R110" s="9">
        <f>tblTransactions[[#This Row],[NetRevenue]]-tblTransactions[[#This Row],[TotalCost]]</f>
        <v>74.248499999999979</v>
      </c>
      <c r="S110" t="str">
        <f>_xlfn.XLOOKUP(tblTransactions[[#This Row],[ProductID]],tblProducts[ProductID],tblProducts[Category])</f>
        <v>Personal Care</v>
      </c>
    </row>
    <row r="111" spans="1:19">
      <c r="A111" t="s">
        <v>16428</v>
      </c>
      <c r="B111" s="1">
        <v>45052</v>
      </c>
      <c r="C111" t="s">
        <v>4868</v>
      </c>
      <c r="D111" t="str">
        <f>_xlfn.XLOOKUP(tblTransactions[[#This Row],[CustomerID]],tblCustomers[CustomerID],tblCustomers[CustomerName])</f>
        <v>Bachittar Dugar</v>
      </c>
      <c r="E111" t="s">
        <v>15927</v>
      </c>
      <c r="F111" t="str">
        <f>_xlfn.XLOOKUP(tblTransactions[[#This Row],[ProductID]],tblProducts[ProductID],tblProducts[ProductName])</f>
        <v>Full HD TV A1</v>
      </c>
      <c r="G111" t="s">
        <v>16293</v>
      </c>
      <c r="H111" t="str">
        <f>_xlfn.XLOOKUP(tblTransactions[[#This Row],[StoreID]],tblStores[StoreID],tblStores[Region])</f>
        <v>South</v>
      </c>
      <c r="I111">
        <v>1</v>
      </c>
      <c r="J111">
        <v>0</v>
      </c>
      <c r="K111" t="s">
        <v>16317</v>
      </c>
      <c r="L111" s="9">
        <f>_xlfn.XLOOKUP(tblTransactions[[#This Row],[ProductID]],tblProducts[ProductID],tblProducts[UnitPrice])</f>
        <v>69234.210000000006</v>
      </c>
      <c r="M111" s="9">
        <f>tblTransactions[[#This Row],[Quantity]]*tblTransactions[[#This Row],[UnitPrice]]</f>
        <v>69234.210000000006</v>
      </c>
      <c r="N111" s="9">
        <f>tblTransactions[[#This Row],[GrossSales]]*tblTransactions[[#This Row],[Discount]]</f>
        <v>0</v>
      </c>
      <c r="O111" s="9">
        <f>tblTransactions[[#This Row],[GrossSales]]-tblTransactions[[#This Row],[DiscountAmount]]</f>
        <v>69234.210000000006</v>
      </c>
      <c r="P111" s="9">
        <f>_xlfn.XLOOKUP(tblTransactions[[#This Row],[ProductID]],tblProducts[ProductID],tblProducts[UnitCost])</f>
        <v>56481.05</v>
      </c>
      <c r="Q111" s="9">
        <f>tblTransactions[[#This Row],[Quantity]]*tblTransactions[[#This Row],[UnitCost]]</f>
        <v>56481.05</v>
      </c>
      <c r="R111" s="9">
        <f>tblTransactions[[#This Row],[NetRevenue]]-tblTransactions[[#This Row],[TotalCost]]</f>
        <v>12753.160000000003</v>
      </c>
      <c r="S111" t="str">
        <f>_xlfn.XLOOKUP(tblTransactions[[#This Row],[ProductID]],tblProducts[ProductID],tblProducts[Category])</f>
        <v>Electronics</v>
      </c>
    </row>
    <row r="112" spans="1:19">
      <c r="A112" t="s">
        <v>16429</v>
      </c>
      <c r="B112" s="1">
        <v>45053</v>
      </c>
      <c r="C112" t="s">
        <v>7488</v>
      </c>
      <c r="D112" t="str">
        <f>_xlfn.XLOOKUP(tblTransactions[[#This Row],[CustomerID]],tblCustomers[CustomerID],tblCustomers[CustomerName])</f>
        <v>Abdul Mukherjee</v>
      </c>
      <c r="E112" t="s">
        <v>15965</v>
      </c>
      <c r="F112" t="str">
        <f>_xlfn.XLOOKUP(tblTransactions[[#This Row],[ProductID]],tblProducts[ProductID],tblProducts[ProductName])</f>
        <v>Business Laptop B2</v>
      </c>
      <c r="G112" t="s">
        <v>16267</v>
      </c>
      <c r="H112" t="str">
        <f>_xlfn.XLOOKUP(tblTransactions[[#This Row],[StoreID]],tblStores[StoreID],tblStores[Region])</f>
        <v>West</v>
      </c>
      <c r="I112">
        <v>2</v>
      </c>
      <c r="J112">
        <v>0.05</v>
      </c>
      <c r="K112" t="s">
        <v>16317</v>
      </c>
      <c r="L112" s="9">
        <f>_xlfn.XLOOKUP(tblTransactions[[#This Row],[ProductID]],tblProducts[ProductID],tblProducts[UnitPrice])</f>
        <v>54876.34</v>
      </c>
      <c r="M112" s="9">
        <f>tblTransactions[[#This Row],[Quantity]]*tblTransactions[[#This Row],[UnitPrice]]</f>
        <v>109752.68</v>
      </c>
      <c r="N112" s="9">
        <f>tblTransactions[[#This Row],[GrossSales]]*tblTransactions[[#This Row],[Discount]]</f>
        <v>5487.634</v>
      </c>
      <c r="O112" s="9">
        <f>tblTransactions[[#This Row],[GrossSales]]-tblTransactions[[#This Row],[DiscountAmount]]</f>
        <v>104265.04599999999</v>
      </c>
      <c r="P112" s="9">
        <f>_xlfn.XLOOKUP(tblTransactions[[#This Row],[ProductID]],tblProducts[ProductID],tblProducts[UnitCost])</f>
        <v>41521.22</v>
      </c>
      <c r="Q112" s="9">
        <f>tblTransactions[[#This Row],[Quantity]]*tblTransactions[[#This Row],[UnitCost]]</f>
        <v>83042.44</v>
      </c>
      <c r="R112" s="9">
        <f>tblTransactions[[#This Row],[NetRevenue]]-tblTransactions[[#This Row],[TotalCost]]</f>
        <v>21222.605999999985</v>
      </c>
      <c r="S112" t="str">
        <f>_xlfn.XLOOKUP(tblTransactions[[#This Row],[ProductID]],tblProducts[ProductID],tblProducts[Category])</f>
        <v>Electronics</v>
      </c>
    </row>
    <row r="113" spans="1:19">
      <c r="A113" t="s">
        <v>16430</v>
      </c>
      <c r="B113" s="1">
        <v>45058</v>
      </c>
      <c r="C113" t="s">
        <v>11605</v>
      </c>
      <c r="D113" t="str">
        <f>_xlfn.XLOOKUP(tblTransactions[[#This Row],[CustomerID]],tblCustomers[CustomerID],tblCustomers[CustomerName])</f>
        <v>Wridesh Chana</v>
      </c>
      <c r="E113" t="s">
        <v>15984</v>
      </c>
      <c r="F113" t="str">
        <f>_xlfn.XLOOKUP(tblTransactions[[#This Row],[ProductID]],tblProducts[ProductID],tblProducts[ProductName])</f>
        <v>Bluetooth Speaker C3</v>
      </c>
      <c r="G113" t="s">
        <v>16265</v>
      </c>
      <c r="H113" t="str">
        <f>_xlfn.XLOOKUP(tblTransactions[[#This Row],[StoreID]],tblStores[StoreID],tblStores[Region])</f>
        <v>North</v>
      </c>
      <c r="I113">
        <v>2</v>
      </c>
      <c r="J113">
        <v>0</v>
      </c>
      <c r="K113" t="s">
        <v>16321</v>
      </c>
      <c r="L113" s="9">
        <f>_xlfn.XLOOKUP(tblTransactions[[#This Row],[ProductID]],tblProducts[ProductID],tblProducts[UnitPrice])</f>
        <v>76661.149999999994</v>
      </c>
      <c r="M113" s="9">
        <f>tblTransactions[[#This Row],[Quantity]]*tblTransactions[[#This Row],[UnitPrice]]</f>
        <v>153322.29999999999</v>
      </c>
      <c r="N113" s="9">
        <f>tblTransactions[[#This Row],[GrossSales]]*tblTransactions[[#This Row],[Discount]]</f>
        <v>0</v>
      </c>
      <c r="O113" s="9">
        <f>tblTransactions[[#This Row],[GrossSales]]-tblTransactions[[#This Row],[DiscountAmount]]</f>
        <v>153322.29999999999</v>
      </c>
      <c r="P113" s="9">
        <f>_xlfn.XLOOKUP(tblTransactions[[#This Row],[ProductID]],tblProducts[ProductID],tblProducts[UnitCost])</f>
        <v>44142.48</v>
      </c>
      <c r="Q113" s="9">
        <f>tblTransactions[[#This Row],[Quantity]]*tblTransactions[[#This Row],[UnitCost]]</f>
        <v>88284.96</v>
      </c>
      <c r="R113" s="9">
        <f>tblTransactions[[#This Row],[NetRevenue]]-tblTransactions[[#This Row],[TotalCost]]</f>
        <v>65037.339999999982</v>
      </c>
      <c r="S113" t="str">
        <f>_xlfn.XLOOKUP(tblTransactions[[#This Row],[ProductID]],tblProducts[ProductID],tblProducts[Category])</f>
        <v>Electronics</v>
      </c>
    </row>
    <row r="114" spans="1:19">
      <c r="A114" t="s">
        <v>16431</v>
      </c>
      <c r="B114" s="1">
        <v>45059</v>
      </c>
      <c r="C114" t="s">
        <v>1925</v>
      </c>
      <c r="D114" t="str">
        <f>_xlfn.XLOOKUP(tblTransactions[[#This Row],[CustomerID]],tblCustomers[CustomerID],tblCustomers[CustomerName])</f>
        <v>Jyoti Iyer</v>
      </c>
      <c r="E114" t="s">
        <v>16238</v>
      </c>
      <c r="F114" t="str">
        <f>_xlfn.XLOOKUP(tblTransactions[[#This Row],[ProductID]],tblProducts[ProductID],tblProducts[ProductName])</f>
        <v>Razor A1</v>
      </c>
      <c r="G114" t="s">
        <v>16279</v>
      </c>
      <c r="H114" t="str">
        <f>_xlfn.XLOOKUP(tblTransactions[[#This Row],[StoreID]],tblStores[StoreID],tblStores[Region])</f>
        <v>South</v>
      </c>
      <c r="I114">
        <v>2</v>
      </c>
      <c r="J114">
        <v>0</v>
      </c>
      <c r="K114" t="s">
        <v>16317</v>
      </c>
      <c r="L114" s="9">
        <f>_xlfn.XLOOKUP(tblTransactions[[#This Row],[ProductID]],tblProducts[ProductID],tblProducts[UnitPrice])</f>
        <v>1037.07</v>
      </c>
      <c r="M114" s="9">
        <f>tblTransactions[[#This Row],[Quantity]]*tblTransactions[[#This Row],[UnitPrice]]</f>
        <v>2074.14</v>
      </c>
      <c r="N114" s="9">
        <f>tblTransactions[[#This Row],[GrossSales]]*tblTransactions[[#This Row],[Discount]]</f>
        <v>0</v>
      </c>
      <c r="O114" s="9">
        <f>tblTransactions[[#This Row],[GrossSales]]-tblTransactions[[#This Row],[DiscountAmount]]</f>
        <v>2074.14</v>
      </c>
      <c r="P114" s="9">
        <f>_xlfn.XLOOKUP(tblTransactions[[#This Row],[ProductID]],tblProducts[ProductID],tblProducts[UnitCost])</f>
        <v>720.16</v>
      </c>
      <c r="Q114" s="9">
        <f>tblTransactions[[#This Row],[Quantity]]*tblTransactions[[#This Row],[UnitCost]]</f>
        <v>1440.32</v>
      </c>
      <c r="R114" s="9">
        <f>tblTransactions[[#This Row],[NetRevenue]]-tblTransactions[[#This Row],[TotalCost]]</f>
        <v>633.81999999999994</v>
      </c>
      <c r="S114" t="str">
        <f>_xlfn.XLOOKUP(tblTransactions[[#This Row],[ProductID]],tblProducts[ProductID],tblProducts[Category])</f>
        <v>Personal Care</v>
      </c>
    </row>
    <row r="115" spans="1:19">
      <c r="A115" t="s">
        <v>16432</v>
      </c>
      <c r="B115" s="1">
        <v>45059</v>
      </c>
      <c r="C115" t="s">
        <v>14983</v>
      </c>
      <c r="D115" t="str">
        <f>_xlfn.XLOOKUP(tblTransactions[[#This Row],[CustomerID]],tblCustomers[CustomerID],tblCustomers[CustomerName])</f>
        <v>Parth Kunda</v>
      </c>
      <c r="E115" t="s">
        <v>16169</v>
      </c>
      <c r="F115" t="str">
        <f>_xlfn.XLOOKUP(tblTransactions[[#This Row],[ProductID]],tblProducts[ProductID],tblProducts[ProductName])</f>
        <v>Coffee D4</v>
      </c>
      <c r="G115" t="s">
        <v>16273</v>
      </c>
      <c r="H115" t="str">
        <f>_xlfn.XLOOKUP(tblTransactions[[#This Row],[StoreID]],tblStores[StoreID],tblStores[Region])</f>
        <v>West</v>
      </c>
      <c r="I115">
        <v>3</v>
      </c>
      <c r="J115">
        <v>0</v>
      </c>
      <c r="K115" t="s">
        <v>16317</v>
      </c>
      <c r="L115" s="9">
        <f>_xlfn.XLOOKUP(tblTransactions[[#This Row],[ProductID]],tblProducts[ProductID],tblProducts[UnitPrice])</f>
        <v>985.76</v>
      </c>
      <c r="M115" s="9">
        <f>tblTransactions[[#This Row],[Quantity]]*tblTransactions[[#This Row],[UnitPrice]]</f>
        <v>2957.2799999999997</v>
      </c>
      <c r="N115" s="9">
        <f>tblTransactions[[#This Row],[GrossSales]]*tblTransactions[[#This Row],[Discount]]</f>
        <v>0</v>
      </c>
      <c r="O115" s="9">
        <f>tblTransactions[[#This Row],[GrossSales]]-tblTransactions[[#This Row],[DiscountAmount]]</f>
        <v>2957.2799999999997</v>
      </c>
      <c r="P115" s="9">
        <f>_xlfn.XLOOKUP(tblTransactions[[#This Row],[ProductID]],tblProducts[ProductID],tblProducts[UnitCost])</f>
        <v>669.86</v>
      </c>
      <c r="Q115" s="9">
        <f>tblTransactions[[#This Row],[Quantity]]*tblTransactions[[#This Row],[UnitCost]]</f>
        <v>2009.58</v>
      </c>
      <c r="R115" s="9">
        <f>tblTransactions[[#This Row],[NetRevenue]]-tblTransactions[[#This Row],[TotalCost]]</f>
        <v>947.69999999999982</v>
      </c>
      <c r="S115" t="str">
        <f>_xlfn.XLOOKUP(tblTransactions[[#This Row],[ProductID]],tblProducts[ProductID],tblProducts[Category])</f>
        <v>Grocery</v>
      </c>
    </row>
    <row r="116" spans="1:19">
      <c r="A116" t="s">
        <v>16433</v>
      </c>
      <c r="B116" s="1">
        <v>45059</v>
      </c>
      <c r="C116" t="s">
        <v>5410</v>
      </c>
      <c r="D116" t="str">
        <f>_xlfn.XLOOKUP(tblTransactions[[#This Row],[CustomerID]],tblCustomers[CustomerID],tblCustomers[CustomerName])</f>
        <v>Dominic Mallick</v>
      </c>
      <c r="E116" t="s">
        <v>15994</v>
      </c>
      <c r="F116" t="str">
        <f>_xlfn.XLOOKUP(tblTransactions[[#This Row],[ProductID]],tblProducts[ProductID],tblProducts[ProductName])</f>
        <v>Power Bank A1</v>
      </c>
      <c r="G116" t="s">
        <v>16273</v>
      </c>
      <c r="H116" t="str">
        <f>_xlfn.XLOOKUP(tblTransactions[[#This Row],[StoreID]],tblStores[StoreID],tblStores[Region])</f>
        <v>West</v>
      </c>
      <c r="I116">
        <v>1</v>
      </c>
      <c r="J116">
        <v>0.1</v>
      </c>
      <c r="K116" t="s">
        <v>16315</v>
      </c>
      <c r="L116" s="9">
        <f>_xlfn.XLOOKUP(tblTransactions[[#This Row],[ProductID]],tblProducts[ProductID],tblProducts[UnitPrice])</f>
        <v>18113.48</v>
      </c>
      <c r="M116" s="9">
        <f>tblTransactions[[#This Row],[Quantity]]*tblTransactions[[#This Row],[UnitPrice]]</f>
        <v>18113.48</v>
      </c>
      <c r="N116" s="9">
        <f>tblTransactions[[#This Row],[GrossSales]]*tblTransactions[[#This Row],[Discount]]</f>
        <v>1811.348</v>
      </c>
      <c r="O116" s="9">
        <f>tblTransactions[[#This Row],[GrossSales]]-tblTransactions[[#This Row],[DiscountAmount]]</f>
        <v>16302.132</v>
      </c>
      <c r="P116" s="9">
        <f>_xlfn.XLOOKUP(tblTransactions[[#This Row],[ProductID]],tblProducts[ProductID],tblProducts[UnitCost])</f>
        <v>12531.14</v>
      </c>
      <c r="Q116" s="9">
        <f>tblTransactions[[#This Row],[Quantity]]*tblTransactions[[#This Row],[UnitCost]]</f>
        <v>12531.14</v>
      </c>
      <c r="R116" s="9">
        <f>tblTransactions[[#This Row],[NetRevenue]]-tblTransactions[[#This Row],[TotalCost]]</f>
        <v>3770.9920000000002</v>
      </c>
      <c r="S116" t="str">
        <f>_xlfn.XLOOKUP(tblTransactions[[#This Row],[ProductID]],tblProducts[ProductID],tblProducts[Category])</f>
        <v>Electronics</v>
      </c>
    </row>
    <row r="117" spans="1:19">
      <c r="A117" t="s">
        <v>16434</v>
      </c>
      <c r="B117" s="1">
        <v>45063</v>
      </c>
      <c r="C117" t="s">
        <v>562</v>
      </c>
      <c r="D117" t="str">
        <f>_xlfn.XLOOKUP(tblTransactions[[#This Row],[CustomerID]],tblCustomers[CustomerID],tblCustomers[CustomerName])</f>
        <v>Forum Sabharwal</v>
      </c>
      <c r="E117" t="s">
        <v>16249</v>
      </c>
      <c r="F117" t="str">
        <f>_xlfn.XLOOKUP(tblTransactions[[#This Row],[ProductID]],tblProducts[ProductID],tblProducts[ProductName])</f>
        <v>Beard Oil A6</v>
      </c>
      <c r="G117" t="s">
        <v>16273</v>
      </c>
      <c r="H117" t="str">
        <f>_xlfn.XLOOKUP(tblTransactions[[#This Row],[StoreID]],tblStores[StoreID],tblStores[Region])</f>
        <v>West</v>
      </c>
      <c r="I117">
        <v>4</v>
      </c>
      <c r="J117">
        <v>0.05</v>
      </c>
      <c r="K117" t="s">
        <v>16315</v>
      </c>
      <c r="L117" s="9">
        <f>_xlfn.XLOOKUP(tblTransactions[[#This Row],[ProductID]],tblProducts[ProductID],tblProducts[UnitPrice])</f>
        <v>4294.7</v>
      </c>
      <c r="M117" s="9">
        <f>tblTransactions[[#This Row],[Quantity]]*tblTransactions[[#This Row],[UnitPrice]]</f>
        <v>17178.8</v>
      </c>
      <c r="N117" s="9">
        <f>tblTransactions[[#This Row],[GrossSales]]*tblTransactions[[#This Row],[Discount]]</f>
        <v>858.94</v>
      </c>
      <c r="O117" s="9">
        <f>tblTransactions[[#This Row],[GrossSales]]-tblTransactions[[#This Row],[DiscountAmount]]</f>
        <v>16319.859999999999</v>
      </c>
      <c r="P117" s="9">
        <f>_xlfn.XLOOKUP(tblTransactions[[#This Row],[ProductID]],tblProducts[ProductID],tblProducts[UnitCost])</f>
        <v>3317.06</v>
      </c>
      <c r="Q117" s="9">
        <f>tblTransactions[[#This Row],[Quantity]]*tblTransactions[[#This Row],[UnitCost]]</f>
        <v>13268.24</v>
      </c>
      <c r="R117" s="9">
        <f>tblTransactions[[#This Row],[NetRevenue]]-tblTransactions[[#This Row],[TotalCost]]</f>
        <v>3051.619999999999</v>
      </c>
      <c r="S117" t="str">
        <f>_xlfn.XLOOKUP(tblTransactions[[#This Row],[ProductID]],tblProducts[ProductID],tblProducts[Category])</f>
        <v>Personal Care</v>
      </c>
    </row>
    <row r="118" spans="1:19">
      <c r="A118" t="s">
        <v>16435</v>
      </c>
      <c r="B118" s="1">
        <v>45063</v>
      </c>
      <c r="C118" t="s">
        <v>9067</v>
      </c>
      <c r="D118" t="str">
        <f>_xlfn.XLOOKUP(tblTransactions[[#This Row],[CustomerID]],tblCustomers[CustomerID],tblCustomers[CustomerName])</f>
        <v>Yuvraj Brahmbhatt</v>
      </c>
      <c r="E118" t="s">
        <v>16005</v>
      </c>
      <c r="F118" t="str">
        <f>_xlfn.XLOOKUP(tblTransactions[[#This Row],[ProductID]],tblProducts[ProductID],tblProducts[ProductName])</f>
        <v>Wireless Charger A6</v>
      </c>
      <c r="G118" t="s">
        <v>16307</v>
      </c>
      <c r="H118" t="str">
        <f>_xlfn.XLOOKUP(tblTransactions[[#This Row],[StoreID]],tblStores[StoreID],tblStores[Region])</f>
        <v>East</v>
      </c>
      <c r="I118">
        <v>2</v>
      </c>
      <c r="J118">
        <v>0</v>
      </c>
      <c r="K118" t="s">
        <v>16317</v>
      </c>
      <c r="L118" s="9">
        <f>_xlfn.XLOOKUP(tblTransactions[[#This Row],[ProductID]],tblProducts[ProductID],tblProducts[UnitPrice])</f>
        <v>78938.720000000001</v>
      </c>
      <c r="M118" s="9">
        <f>tblTransactions[[#This Row],[Quantity]]*tblTransactions[[#This Row],[UnitPrice]]</f>
        <v>157877.44</v>
      </c>
      <c r="N118" s="9">
        <f>tblTransactions[[#This Row],[GrossSales]]*tblTransactions[[#This Row],[Discount]]</f>
        <v>0</v>
      </c>
      <c r="O118" s="9">
        <f>tblTransactions[[#This Row],[GrossSales]]-tblTransactions[[#This Row],[DiscountAmount]]</f>
        <v>157877.44</v>
      </c>
      <c r="P118" s="9">
        <f>_xlfn.XLOOKUP(tblTransactions[[#This Row],[ProductID]],tblProducts[ProductID],tblProducts[UnitCost])</f>
        <v>53801.63</v>
      </c>
      <c r="Q118" s="9">
        <f>tblTransactions[[#This Row],[Quantity]]*tblTransactions[[#This Row],[UnitCost]]</f>
        <v>107603.26</v>
      </c>
      <c r="R118" s="9">
        <f>tblTransactions[[#This Row],[NetRevenue]]-tblTransactions[[#This Row],[TotalCost]]</f>
        <v>50274.180000000008</v>
      </c>
      <c r="S118" t="str">
        <f>_xlfn.XLOOKUP(tblTransactions[[#This Row],[ProductID]],tblProducts[ProductID],tblProducts[Category])</f>
        <v>Electronics</v>
      </c>
    </row>
    <row r="119" spans="1:19">
      <c r="A119" t="s">
        <v>16436</v>
      </c>
      <c r="B119" s="1">
        <v>45064</v>
      </c>
      <c r="C119" t="s">
        <v>12237</v>
      </c>
      <c r="D119" t="str">
        <f>_xlfn.XLOOKUP(tblTransactions[[#This Row],[CustomerID]],tblCustomers[CustomerID],tblCustomers[CustomerName])</f>
        <v>Ethan Jaggi</v>
      </c>
      <c r="E119" t="s">
        <v>16251</v>
      </c>
      <c r="F119" t="str">
        <f>_xlfn.XLOOKUP(tblTransactions[[#This Row],[ProductID]],tblProducts[ProductID],tblProducts[ProductName])</f>
        <v>Trimmer B7</v>
      </c>
      <c r="G119" t="s">
        <v>16275</v>
      </c>
      <c r="H119" t="str">
        <f>_xlfn.XLOOKUP(tblTransactions[[#This Row],[StoreID]],tblStores[StoreID],tblStores[Region])</f>
        <v>South</v>
      </c>
      <c r="I119">
        <v>1</v>
      </c>
      <c r="J119">
        <v>0.05</v>
      </c>
      <c r="K119" t="s">
        <v>16315</v>
      </c>
      <c r="L119" s="9">
        <f>_xlfn.XLOOKUP(tblTransactions[[#This Row],[ProductID]],tblProducts[ProductID],tblProducts[UnitPrice])</f>
        <v>4199.75</v>
      </c>
      <c r="M119" s="9">
        <f>tblTransactions[[#This Row],[Quantity]]*tblTransactions[[#This Row],[UnitPrice]]</f>
        <v>4199.75</v>
      </c>
      <c r="N119" s="9">
        <f>tblTransactions[[#This Row],[GrossSales]]*tblTransactions[[#This Row],[Discount]]</f>
        <v>209.98750000000001</v>
      </c>
      <c r="O119" s="9">
        <f>tblTransactions[[#This Row],[GrossSales]]-tblTransactions[[#This Row],[DiscountAmount]]</f>
        <v>3989.7624999999998</v>
      </c>
      <c r="P119" s="9">
        <f>_xlfn.XLOOKUP(tblTransactions[[#This Row],[ProductID]],tblProducts[ProductID],tblProducts[UnitCost])</f>
        <v>2546.5700000000002</v>
      </c>
      <c r="Q119" s="9">
        <f>tblTransactions[[#This Row],[Quantity]]*tblTransactions[[#This Row],[UnitCost]]</f>
        <v>2546.5700000000002</v>
      </c>
      <c r="R119" s="9">
        <f>tblTransactions[[#This Row],[NetRevenue]]-tblTransactions[[#This Row],[TotalCost]]</f>
        <v>1443.1924999999997</v>
      </c>
      <c r="S119" t="str">
        <f>_xlfn.XLOOKUP(tblTransactions[[#This Row],[ProductID]],tblProducts[ProductID],tblProducts[Category])</f>
        <v>Personal Care</v>
      </c>
    </row>
    <row r="120" spans="1:19">
      <c r="A120" t="s">
        <v>16437</v>
      </c>
      <c r="B120" s="1">
        <v>45064</v>
      </c>
      <c r="C120" t="s">
        <v>9364</v>
      </c>
      <c r="D120" t="str">
        <f>_xlfn.XLOOKUP(tblTransactions[[#This Row],[CustomerID]],tblCustomers[CustomerID],tblCustomers[CustomerName])</f>
        <v>Suhani Malhotra</v>
      </c>
      <c r="E120" t="s">
        <v>16051</v>
      </c>
      <c r="F120" t="str">
        <f>_xlfn.XLOOKUP(tblTransactions[[#This Row],[ProductID]],tblProducts[ProductID],tblProducts[ProductName])</f>
        <v>Pressure Cooker A6</v>
      </c>
      <c r="G120" t="s">
        <v>16275</v>
      </c>
      <c r="H120" t="str">
        <f>_xlfn.XLOOKUP(tblTransactions[[#This Row],[StoreID]],tblStores[StoreID],tblStores[Region])</f>
        <v>South</v>
      </c>
      <c r="I120">
        <v>1</v>
      </c>
      <c r="J120">
        <v>0</v>
      </c>
      <c r="K120" t="s">
        <v>16317</v>
      </c>
      <c r="L120" s="9">
        <f>_xlfn.XLOOKUP(tblTransactions[[#This Row],[ProductID]],tblProducts[ProductID],tblProducts[UnitPrice])</f>
        <v>27105.29</v>
      </c>
      <c r="M120" s="9">
        <f>tblTransactions[[#This Row],[Quantity]]*tblTransactions[[#This Row],[UnitPrice]]</f>
        <v>27105.29</v>
      </c>
      <c r="N120" s="9">
        <f>tblTransactions[[#This Row],[GrossSales]]*tblTransactions[[#This Row],[Discount]]</f>
        <v>0</v>
      </c>
      <c r="O120" s="9">
        <f>tblTransactions[[#This Row],[GrossSales]]-tblTransactions[[#This Row],[DiscountAmount]]</f>
        <v>27105.29</v>
      </c>
      <c r="P120" s="9">
        <f>_xlfn.XLOOKUP(tblTransactions[[#This Row],[ProductID]],tblProducts[ProductID],tblProducts[UnitCost])</f>
        <v>17092.599999999999</v>
      </c>
      <c r="Q120" s="9">
        <f>tblTransactions[[#This Row],[Quantity]]*tblTransactions[[#This Row],[UnitCost]]</f>
        <v>17092.599999999999</v>
      </c>
      <c r="R120" s="9">
        <f>tblTransactions[[#This Row],[NetRevenue]]-tblTransactions[[#This Row],[TotalCost]]</f>
        <v>10012.690000000002</v>
      </c>
      <c r="S120" t="str">
        <f>_xlfn.XLOOKUP(tblTransactions[[#This Row],[ProductID]],tblProducts[ProductID],tblProducts[Category])</f>
        <v>Home &amp; Kitchen</v>
      </c>
    </row>
    <row r="121" spans="1:19">
      <c r="A121" t="s">
        <v>16438</v>
      </c>
      <c r="B121" s="1">
        <v>45065</v>
      </c>
      <c r="C121" t="s">
        <v>11739</v>
      </c>
      <c r="D121" t="str">
        <f>_xlfn.XLOOKUP(tblTransactions[[#This Row],[CustomerID]],tblCustomers[CustomerID],tblCustomers[CustomerName])</f>
        <v>Maya Mani</v>
      </c>
      <c r="E121" t="s">
        <v>16123</v>
      </c>
      <c r="F121" t="str">
        <f>_xlfn.XLOOKUP(tblTransactions[[#This Row],[ProductID]],tblProducts[ProductID],tblProducts[ProductName])</f>
        <v>Running Shoes D4</v>
      </c>
      <c r="G121" t="s">
        <v>16295</v>
      </c>
      <c r="H121" t="str">
        <f>_xlfn.XLOOKUP(tblTransactions[[#This Row],[StoreID]],tblStores[StoreID],tblStores[Region])</f>
        <v>South</v>
      </c>
      <c r="I121">
        <v>1</v>
      </c>
      <c r="J121">
        <v>0.2</v>
      </c>
      <c r="K121" t="s">
        <v>16315</v>
      </c>
      <c r="L121" s="9">
        <f>_xlfn.XLOOKUP(tblTransactions[[#This Row],[ProductID]],tblProducts[ProductID],tblProducts[UnitPrice])</f>
        <v>5979.07</v>
      </c>
      <c r="M121" s="9">
        <f>tblTransactions[[#This Row],[Quantity]]*tblTransactions[[#This Row],[UnitPrice]]</f>
        <v>5979.07</v>
      </c>
      <c r="N121" s="9">
        <f>tblTransactions[[#This Row],[GrossSales]]*tblTransactions[[#This Row],[Discount]]</f>
        <v>1195.8140000000001</v>
      </c>
      <c r="O121" s="9">
        <f>tblTransactions[[#This Row],[GrossSales]]-tblTransactions[[#This Row],[DiscountAmount]]</f>
        <v>4783.2559999999994</v>
      </c>
      <c r="P121" s="9">
        <f>_xlfn.XLOOKUP(tblTransactions[[#This Row],[ProductID]],tblProducts[ProductID],tblProducts[UnitCost])</f>
        <v>4121.96</v>
      </c>
      <c r="Q121" s="9">
        <f>tblTransactions[[#This Row],[Quantity]]*tblTransactions[[#This Row],[UnitCost]]</f>
        <v>4121.96</v>
      </c>
      <c r="R121" s="9">
        <f>tblTransactions[[#This Row],[NetRevenue]]-tblTransactions[[#This Row],[TotalCost]]</f>
        <v>661.29599999999937</v>
      </c>
      <c r="S121" t="str">
        <f>_xlfn.XLOOKUP(tblTransactions[[#This Row],[ProductID]],tblProducts[ProductID],tblProducts[Category])</f>
        <v>Clothing</v>
      </c>
    </row>
    <row r="122" spans="1:19">
      <c r="A122" t="s">
        <v>16439</v>
      </c>
      <c r="B122" s="1">
        <v>45065</v>
      </c>
      <c r="C122" t="s">
        <v>8630</v>
      </c>
      <c r="D122" t="str">
        <f>_xlfn.XLOOKUP(tblTransactions[[#This Row],[CustomerID]],tblCustomers[CustomerID],tblCustomers[CustomerName])</f>
        <v>Gautami Sarna</v>
      </c>
      <c r="E122" t="s">
        <v>16076</v>
      </c>
      <c r="F122" t="str">
        <f>_xlfn.XLOOKUP(tblTransactions[[#This Row],[ProductID]],tblProducts[ProductID],tblProducts[ProductName])</f>
        <v>Men's Jeans C3</v>
      </c>
      <c r="G122" t="s">
        <v>16269</v>
      </c>
      <c r="H122" t="str">
        <f>_xlfn.XLOOKUP(tblTransactions[[#This Row],[StoreID]],tblStores[StoreID],tblStores[Region])</f>
        <v>North</v>
      </c>
      <c r="I122">
        <v>2</v>
      </c>
      <c r="J122">
        <v>0.1</v>
      </c>
      <c r="K122" t="s">
        <v>16317</v>
      </c>
      <c r="L122" s="9">
        <f>_xlfn.XLOOKUP(tblTransactions[[#This Row],[ProductID]],tblProducts[ProductID],tblProducts[UnitPrice])</f>
        <v>7177.2</v>
      </c>
      <c r="M122" s="9">
        <f>tblTransactions[[#This Row],[Quantity]]*tblTransactions[[#This Row],[UnitPrice]]</f>
        <v>14354.4</v>
      </c>
      <c r="N122" s="9">
        <f>tblTransactions[[#This Row],[GrossSales]]*tblTransactions[[#This Row],[Discount]]</f>
        <v>1435.44</v>
      </c>
      <c r="O122" s="9">
        <f>tblTransactions[[#This Row],[GrossSales]]-tblTransactions[[#This Row],[DiscountAmount]]</f>
        <v>12918.96</v>
      </c>
      <c r="P122" s="9">
        <f>_xlfn.XLOOKUP(tblTransactions[[#This Row],[ProductID]],tblProducts[ProductID],tblProducts[UnitCost])</f>
        <v>4558.34</v>
      </c>
      <c r="Q122" s="9">
        <f>tblTransactions[[#This Row],[Quantity]]*tblTransactions[[#This Row],[UnitCost]]</f>
        <v>9116.68</v>
      </c>
      <c r="R122" s="9">
        <f>tblTransactions[[#This Row],[NetRevenue]]-tblTransactions[[#This Row],[TotalCost]]</f>
        <v>3802.2799999999988</v>
      </c>
      <c r="S122" t="str">
        <f>_xlfn.XLOOKUP(tblTransactions[[#This Row],[ProductID]],tblProducts[ProductID],tblProducts[Category])</f>
        <v>Clothing</v>
      </c>
    </row>
    <row r="123" spans="1:19">
      <c r="A123" t="s">
        <v>16440</v>
      </c>
      <c r="B123" s="1">
        <v>45065</v>
      </c>
      <c r="C123" t="s">
        <v>6125</v>
      </c>
      <c r="D123" t="str">
        <f>_xlfn.XLOOKUP(tblTransactions[[#This Row],[CustomerID]],tblCustomers[CustomerID],tblCustomers[CustomerName])</f>
        <v>Ekaja Divan</v>
      </c>
      <c r="E123" t="s">
        <v>15986</v>
      </c>
      <c r="F123" t="str">
        <f>_xlfn.XLOOKUP(tblTransactions[[#This Row],[ProductID]],tblProducts[ProductID],tblProducts[ProductName])</f>
        <v>Soundbar D4</v>
      </c>
      <c r="G123" t="s">
        <v>16297</v>
      </c>
      <c r="H123" t="str">
        <f>_xlfn.XLOOKUP(tblTransactions[[#This Row],[StoreID]],tblStores[StoreID],tblStores[Region])</f>
        <v>North</v>
      </c>
      <c r="I123">
        <v>1</v>
      </c>
      <c r="J123">
        <v>0.05</v>
      </c>
      <c r="K123" t="s">
        <v>16325</v>
      </c>
      <c r="L123" s="9">
        <f>_xlfn.XLOOKUP(tblTransactions[[#This Row],[ProductID]],tblProducts[ProductID],tblProducts[UnitPrice])</f>
        <v>52004.72</v>
      </c>
      <c r="M123" s="9">
        <f>tblTransactions[[#This Row],[Quantity]]*tblTransactions[[#This Row],[UnitPrice]]</f>
        <v>52004.72</v>
      </c>
      <c r="N123" s="9">
        <f>tblTransactions[[#This Row],[GrossSales]]*tblTransactions[[#This Row],[Discount]]</f>
        <v>2600.2360000000003</v>
      </c>
      <c r="O123" s="9">
        <f>tblTransactions[[#This Row],[GrossSales]]-tblTransactions[[#This Row],[DiscountAmount]]</f>
        <v>49404.484000000004</v>
      </c>
      <c r="P123" s="9">
        <f>_xlfn.XLOOKUP(tblTransactions[[#This Row],[ProductID]],tblProducts[ProductID],tblProducts[UnitCost])</f>
        <v>43224.87</v>
      </c>
      <c r="Q123" s="9">
        <f>tblTransactions[[#This Row],[Quantity]]*tblTransactions[[#This Row],[UnitCost]]</f>
        <v>43224.87</v>
      </c>
      <c r="R123" s="9">
        <f>tblTransactions[[#This Row],[NetRevenue]]-tblTransactions[[#This Row],[TotalCost]]</f>
        <v>6179.6140000000014</v>
      </c>
      <c r="S123" t="str">
        <f>_xlfn.XLOOKUP(tblTransactions[[#This Row],[ProductID]],tblProducts[ProductID],tblProducts[Category])</f>
        <v>Electronics</v>
      </c>
    </row>
    <row r="124" spans="1:19">
      <c r="A124" t="s">
        <v>16441</v>
      </c>
      <c r="B124" s="1">
        <v>45066</v>
      </c>
      <c r="C124" t="s">
        <v>13347</v>
      </c>
      <c r="D124" t="str">
        <f>_xlfn.XLOOKUP(tblTransactions[[#This Row],[CustomerID]],tblCustomers[CustomerID],tblCustomers[CustomerName])</f>
        <v>Udarsh Wable</v>
      </c>
      <c r="E124" t="s">
        <v>16213</v>
      </c>
      <c r="F124" t="str">
        <f>_xlfn.XLOOKUP(tblTransactions[[#This Row],[ProductID]],tblProducts[ProductID],tblProducts[ProductName])</f>
        <v>Hair Serum C3</v>
      </c>
      <c r="G124" t="s">
        <v>16281</v>
      </c>
      <c r="H124" t="str">
        <f>_xlfn.XLOOKUP(tblTransactions[[#This Row],[StoreID]],tblStores[StoreID],tblStores[Region])</f>
        <v>West</v>
      </c>
      <c r="I124">
        <v>1</v>
      </c>
      <c r="J124">
        <v>0.05</v>
      </c>
      <c r="K124" t="s">
        <v>16317</v>
      </c>
      <c r="L124" s="9">
        <f>_xlfn.XLOOKUP(tblTransactions[[#This Row],[ProductID]],tblProducts[ProductID],tblProducts[UnitPrice])</f>
        <v>4869.55</v>
      </c>
      <c r="M124" s="9">
        <f>tblTransactions[[#This Row],[Quantity]]*tblTransactions[[#This Row],[UnitPrice]]</f>
        <v>4869.55</v>
      </c>
      <c r="N124" s="9">
        <f>tblTransactions[[#This Row],[GrossSales]]*tblTransactions[[#This Row],[Discount]]</f>
        <v>243.47750000000002</v>
      </c>
      <c r="O124" s="9">
        <f>tblTransactions[[#This Row],[GrossSales]]-tblTransactions[[#This Row],[DiscountAmount]]</f>
        <v>4626.0725000000002</v>
      </c>
      <c r="P124" s="9">
        <f>_xlfn.XLOOKUP(tblTransactions[[#This Row],[ProductID]],tblProducts[ProductID],tblProducts[UnitCost])</f>
        <v>3039.73</v>
      </c>
      <c r="Q124" s="9">
        <f>tblTransactions[[#This Row],[Quantity]]*tblTransactions[[#This Row],[UnitCost]]</f>
        <v>3039.73</v>
      </c>
      <c r="R124" s="9">
        <f>tblTransactions[[#This Row],[NetRevenue]]-tblTransactions[[#This Row],[TotalCost]]</f>
        <v>1586.3425000000002</v>
      </c>
      <c r="S124" t="str">
        <f>_xlfn.XLOOKUP(tblTransactions[[#This Row],[ProductID]],tblProducts[ProductID],tblProducts[Category])</f>
        <v>Personal Care</v>
      </c>
    </row>
    <row r="125" spans="1:19">
      <c r="A125" t="s">
        <v>16442</v>
      </c>
      <c r="B125" s="1">
        <v>45068</v>
      </c>
      <c r="C125" t="s">
        <v>5692</v>
      </c>
      <c r="D125" t="str">
        <f>_xlfn.XLOOKUP(tblTransactions[[#This Row],[CustomerID]],tblCustomers[CustomerID],tblCustomers[CustomerName])</f>
        <v>Aditya Pathak</v>
      </c>
      <c r="E125" t="s">
        <v>15960</v>
      </c>
      <c r="F125" t="str">
        <f>_xlfn.XLOOKUP(tblTransactions[[#This Row],[ProductID]],tblProducts[ProductID],tblProducts[ProductName])</f>
        <v>Budget Smartphone C8</v>
      </c>
      <c r="G125" t="s">
        <v>16299</v>
      </c>
      <c r="H125" t="str">
        <f>_xlfn.XLOOKUP(tblTransactions[[#This Row],[StoreID]],tblStores[StoreID],tblStores[Region])</f>
        <v>South</v>
      </c>
      <c r="I125">
        <v>1</v>
      </c>
      <c r="J125">
        <v>0</v>
      </c>
      <c r="K125" t="s">
        <v>16325</v>
      </c>
      <c r="L125" s="9">
        <f>_xlfn.XLOOKUP(tblTransactions[[#This Row],[ProductID]],tblProducts[ProductID],tblProducts[UnitPrice])</f>
        <v>63665.16</v>
      </c>
      <c r="M125" s="9">
        <f>tblTransactions[[#This Row],[Quantity]]*tblTransactions[[#This Row],[UnitPrice]]</f>
        <v>63665.16</v>
      </c>
      <c r="N125" s="9">
        <f>tblTransactions[[#This Row],[GrossSales]]*tblTransactions[[#This Row],[Discount]]</f>
        <v>0</v>
      </c>
      <c r="O125" s="9">
        <f>tblTransactions[[#This Row],[GrossSales]]-tblTransactions[[#This Row],[DiscountAmount]]</f>
        <v>63665.16</v>
      </c>
      <c r="P125" s="9">
        <f>_xlfn.XLOOKUP(tblTransactions[[#This Row],[ProductID]],tblProducts[ProductID],tblProducts[UnitCost])</f>
        <v>52565.61</v>
      </c>
      <c r="Q125" s="9">
        <f>tblTransactions[[#This Row],[Quantity]]*tblTransactions[[#This Row],[UnitCost]]</f>
        <v>52565.61</v>
      </c>
      <c r="R125" s="9">
        <f>tblTransactions[[#This Row],[NetRevenue]]-tblTransactions[[#This Row],[TotalCost]]</f>
        <v>11099.550000000003</v>
      </c>
      <c r="S125" t="str">
        <f>_xlfn.XLOOKUP(tblTransactions[[#This Row],[ProductID]],tblProducts[ProductID],tblProducts[Category])</f>
        <v>Electronics</v>
      </c>
    </row>
    <row r="126" spans="1:19">
      <c r="A126" t="s">
        <v>16443</v>
      </c>
      <c r="B126" s="1">
        <v>45069</v>
      </c>
      <c r="C126" t="s">
        <v>194</v>
      </c>
      <c r="D126" t="str">
        <f>_xlfn.XLOOKUP(tblTransactions[[#This Row],[CustomerID]],tblCustomers[CustomerID],tblCustomers[CustomerName])</f>
        <v>Nitesh Raghavan</v>
      </c>
      <c r="E126" t="s">
        <v>16093</v>
      </c>
      <c r="F126" t="str">
        <f>_xlfn.XLOOKUP(tblTransactions[[#This Row],[ProductID]],tblProducts[ProductID],tblProducts[ProductName])</f>
        <v>Women's Jeans D4</v>
      </c>
      <c r="G126" t="s">
        <v>16303</v>
      </c>
      <c r="H126" t="str">
        <f>_xlfn.XLOOKUP(tblTransactions[[#This Row],[StoreID]],tblStores[StoreID],tblStores[Region])</f>
        <v>West</v>
      </c>
      <c r="I126">
        <v>2</v>
      </c>
      <c r="J126">
        <v>0.15</v>
      </c>
      <c r="K126" t="s">
        <v>16321</v>
      </c>
      <c r="L126" s="9">
        <f>_xlfn.XLOOKUP(tblTransactions[[#This Row],[ProductID]],tblProducts[ProductID],tblProducts[UnitPrice])</f>
        <v>6178.38</v>
      </c>
      <c r="M126" s="9">
        <f>tblTransactions[[#This Row],[Quantity]]*tblTransactions[[#This Row],[UnitPrice]]</f>
        <v>12356.76</v>
      </c>
      <c r="N126" s="9">
        <f>tblTransactions[[#This Row],[GrossSales]]*tblTransactions[[#This Row],[Discount]]</f>
        <v>1853.5139999999999</v>
      </c>
      <c r="O126" s="9">
        <f>tblTransactions[[#This Row],[GrossSales]]-tblTransactions[[#This Row],[DiscountAmount]]</f>
        <v>10503.246000000001</v>
      </c>
      <c r="P126" s="9">
        <f>_xlfn.XLOOKUP(tblTransactions[[#This Row],[ProductID]],tblProducts[ProductID],tblProducts[UnitCost])</f>
        <v>4740.8599999999997</v>
      </c>
      <c r="Q126" s="9">
        <f>tblTransactions[[#This Row],[Quantity]]*tblTransactions[[#This Row],[UnitCost]]</f>
        <v>9481.7199999999993</v>
      </c>
      <c r="R126" s="9">
        <f>tblTransactions[[#This Row],[NetRevenue]]-tblTransactions[[#This Row],[TotalCost]]</f>
        <v>1021.5260000000017</v>
      </c>
      <c r="S126" t="str">
        <f>_xlfn.XLOOKUP(tblTransactions[[#This Row],[ProductID]],tblProducts[ProductID],tblProducts[Category])</f>
        <v>Clothing</v>
      </c>
    </row>
    <row r="127" spans="1:19">
      <c r="A127" t="s">
        <v>16444</v>
      </c>
      <c r="B127" s="1">
        <v>45070</v>
      </c>
      <c r="C127" t="s">
        <v>13573</v>
      </c>
      <c r="D127" t="str">
        <f>_xlfn.XLOOKUP(tblTransactions[[#This Row],[CustomerID]],tblCustomers[CustomerID],tblCustomers[CustomerName])</f>
        <v>Deepa Hayre</v>
      </c>
      <c r="E127" t="s">
        <v>15999</v>
      </c>
      <c r="F127" t="str">
        <f>_xlfn.XLOOKUP(tblTransactions[[#This Row],[ProductID]],tblProducts[ProductID],tblProducts[ProductName])</f>
        <v>Wireless Charger C3</v>
      </c>
      <c r="G127" t="s">
        <v>16297</v>
      </c>
      <c r="H127" t="str">
        <f>_xlfn.XLOOKUP(tblTransactions[[#This Row],[StoreID]],tblStores[StoreID],tblStores[Region])</f>
        <v>North</v>
      </c>
      <c r="I127">
        <v>3</v>
      </c>
      <c r="J127">
        <v>0</v>
      </c>
      <c r="K127" t="s">
        <v>16317</v>
      </c>
      <c r="L127" s="9">
        <f>_xlfn.XLOOKUP(tblTransactions[[#This Row],[ProductID]],tblProducts[ProductID],tblProducts[UnitPrice])</f>
        <v>70426.350000000006</v>
      </c>
      <c r="M127" s="9">
        <f>tblTransactions[[#This Row],[Quantity]]*tblTransactions[[#This Row],[UnitPrice]]</f>
        <v>211279.05000000002</v>
      </c>
      <c r="N127" s="9">
        <f>tblTransactions[[#This Row],[GrossSales]]*tblTransactions[[#This Row],[Discount]]</f>
        <v>0</v>
      </c>
      <c r="O127" s="9">
        <f>tblTransactions[[#This Row],[GrossSales]]-tblTransactions[[#This Row],[DiscountAmount]]</f>
        <v>211279.05000000002</v>
      </c>
      <c r="P127" s="9">
        <f>_xlfn.XLOOKUP(tblTransactions[[#This Row],[ProductID]],tblProducts[ProductID],tblProducts[UnitCost])</f>
        <v>41048.31</v>
      </c>
      <c r="Q127" s="9">
        <f>tblTransactions[[#This Row],[Quantity]]*tblTransactions[[#This Row],[UnitCost]]</f>
        <v>123144.93</v>
      </c>
      <c r="R127" s="9">
        <f>tblTransactions[[#This Row],[NetRevenue]]-tblTransactions[[#This Row],[TotalCost]]</f>
        <v>88134.120000000024</v>
      </c>
      <c r="S127" t="str">
        <f>_xlfn.XLOOKUP(tblTransactions[[#This Row],[ProductID]],tblProducts[ProductID],tblProducts[Category])</f>
        <v>Electronics</v>
      </c>
    </row>
    <row r="128" spans="1:19">
      <c r="A128" t="s">
        <v>16445</v>
      </c>
      <c r="B128" s="1">
        <v>45072</v>
      </c>
      <c r="C128" t="s">
        <v>14589</v>
      </c>
      <c r="D128" t="str">
        <f>_xlfn.XLOOKUP(tblTransactions[[#This Row],[CustomerID]],tblCustomers[CustomerID],tblCustomers[CustomerName])</f>
        <v>Yoshita Prabhu</v>
      </c>
      <c r="E128" t="s">
        <v>16038</v>
      </c>
      <c r="F128" t="str">
        <f>_xlfn.XLOOKUP(tblTransactions[[#This Row],[ProductID]],tblProducts[ProductID],tblProducts[ProductName])</f>
        <v>Study Table B7</v>
      </c>
      <c r="G128" t="s">
        <v>16307</v>
      </c>
      <c r="H128" t="str">
        <f>_xlfn.XLOOKUP(tblTransactions[[#This Row],[StoreID]],tblStores[StoreID],tblStores[Region])</f>
        <v>East</v>
      </c>
      <c r="I128">
        <v>4</v>
      </c>
      <c r="J128">
        <v>0</v>
      </c>
      <c r="K128" t="s">
        <v>16317</v>
      </c>
      <c r="L128" s="9">
        <f>_xlfn.XLOOKUP(tblTransactions[[#This Row],[ProductID]],tblProducts[ProductID],tblProducts[UnitPrice])</f>
        <v>4684.91</v>
      </c>
      <c r="M128" s="9">
        <f>tblTransactions[[#This Row],[Quantity]]*tblTransactions[[#This Row],[UnitPrice]]</f>
        <v>18739.64</v>
      </c>
      <c r="N128" s="9">
        <f>tblTransactions[[#This Row],[GrossSales]]*tblTransactions[[#This Row],[Discount]]</f>
        <v>0</v>
      </c>
      <c r="O128" s="9">
        <f>tblTransactions[[#This Row],[GrossSales]]-tblTransactions[[#This Row],[DiscountAmount]]</f>
        <v>18739.64</v>
      </c>
      <c r="P128" s="9">
        <f>_xlfn.XLOOKUP(tblTransactions[[#This Row],[ProductID]],tblProducts[ProductID],tblProducts[UnitCost])</f>
        <v>3005.28</v>
      </c>
      <c r="Q128" s="9">
        <f>tblTransactions[[#This Row],[Quantity]]*tblTransactions[[#This Row],[UnitCost]]</f>
        <v>12021.12</v>
      </c>
      <c r="R128" s="9">
        <f>tblTransactions[[#This Row],[NetRevenue]]-tblTransactions[[#This Row],[TotalCost]]</f>
        <v>6718.5199999999986</v>
      </c>
      <c r="S128" t="str">
        <f>_xlfn.XLOOKUP(tblTransactions[[#This Row],[ProductID]],tblProducts[ProductID],tblProducts[Category])</f>
        <v>Home &amp; Kitchen</v>
      </c>
    </row>
    <row r="129" spans="1:19">
      <c r="A129" t="s">
        <v>16446</v>
      </c>
      <c r="B129" s="1">
        <v>45073</v>
      </c>
      <c r="C129" t="s">
        <v>7740</v>
      </c>
      <c r="D129" t="str">
        <f>_xlfn.XLOOKUP(tblTransactions[[#This Row],[CustomerID]],tblCustomers[CustomerID],tblCustomers[CustomerName])</f>
        <v>Yoshita Zacharia</v>
      </c>
      <c r="E129" t="s">
        <v>15994</v>
      </c>
      <c r="F129" t="str">
        <f>_xlfn.XLOOKUP(tblTransactions[[#This Row],[ProductID]],tblProducts[ProductID],tblProducts[ProductName])</f>
        <v>Power Bank A1</v>
      </c>
      <c r="G129" t="s">
        <v>16289</v>
      </c>
      <c r="H129" t="str">
        <f>_xlfn.XLOOKUP(tblTransactions[[#This Row],[StoreID]],tblStores[StoreID],tblStores[Region])</f>
        <v>South</v>
      </c>
      <c r="I129">
        <v>4</v>
      </c>
      <c r="J129">
        <v>0</v>
      </c>
      <c r="K129" t="s">
        <v>16317</v>
      </c>
      <c r="L129" s="9">
        <f>_xlfn.XLOOKUP(tblTransactions[[#This Row],[ProductID]],tblProducts[ProductID],tblProducts[UnitPrice])</f>
        <v>18113.48</v>
      </c>
      <c r="M129" s="9">
        <f>tblTransactions[[#This Row],[Quantity]]*tblTransactions[[#This Row],[UnitPrice]]</f>
        <v>72453.919999999998</v>
      </c>
      <c r="N129" s="9">
        <f>tblTransactions[[#This Row],[GrossSales]]*tblTransactions[[#This Row],[Discount]]</f>
        <v>0</v>
      </c>
      <c r="O129" s="9">
        <f>tblTransactions[[#This Row],[GrossSales]]-tblTransactions[[#This Row],[DiscountAmount]]</f>
        <v>72453.919999999998</v>
      </c>
      <c r="P129" s="9">
        <f>_xlfn.XLOOKUP(tblTransactions[[#This Row],[ProductID]],tblProducts[ProductID],tblProducts[UnitCost])</f>
        <v>12531.14</v>
      </c>
      <c r="Q129" s="9">
        <f>tblTransactions[[#This Row],[Quantity]]*tblTransactions[[#This Row],[UnitCost]]</f>
        <v>50124.56</v>
      </c>
      <c r="R129" s="9">
        <f>tblTransactions[[#This Row],[NetRevenue]]-tblTransactions[[#This Row],[TotalCost]]</f>
        <v>22329.360000000001</v>
      </c>
      <c r="S129" t="str">
        <f>_xlfn.XLOOKUP(tblTransactions[[#This Row],[ProductID]],tblProducts[ProductID],tblProducts[Category])</f>
        <v>Electronics</v>
      </c>
    </row>
    <row r="130" spans="1:19">
      <c r="A130" t="s">
        <v>16447</v>
      </c>
      <c r="B130" s="1">
        <v>45073</v>
      </c>
      <c r="C130" t="s">
        <v>2135</v>
      </c>
      <c r="D130" t="str">
        <f>_xlfn.XLOOKUP(tblTransactions[[#This Row],[CustomerID]],tblCustomers[CustomerID],tblCustomers[CustomerName])</f>
        <v>Gagan Menon</v>
      </c>
      <c r="E130" t="s">
        <v>16251</v>
      </c>
      <c r="F130" t="str">
        <f>_xlfn.XLOOKUP(tblTransactions[[#This Row],[ProductID]],tblProducts[ProductID],tblProducts[ProductName])</f>
        <v>Trimmer B7</v>
      </c>
      <c r="G130" t="s">
        <v>16267</v>
      </c>
      <c r="H130" t="str">
        <f>_xlfn.XLOOKUP(tblTransactions[[#This Row],[StoreID]],tblStores[StoreID],tblStores[Region])</f>
        <v>West</v>
      </c>
      <c r="I130">
        <v>1</v>
      </c>
      <c r="J130">
        <v>0</v>
      </c>
      <c r="K130" t="s">
        <v>16317</v>
      </c>
      <c r="L130" s="9">
        <f>_xlfn.XLOOKUP(tblTransactions[[#This Row],[ProductID]],tblProducts[ProductID],tblProducts[UnitPrice])</f>
        <v>4199.75</v>
      </c>
      <c r="M130" s="9">
        <f>tblTransactions[[#This Row],[Quantity]]*tblTransactions[[#This Row],[UnitPrice]]</f>
        <v>4199.75</v>
      </c>
      <c r="N130" s="9">
        <f>tblTransactions[[#This Row],[GrossSales]]*tblTransactions[[#This Row],[Discount]]</f>
        <v>0</v>
      </c>
      <c r="O130" s="9">
        <f>tblTransactions[[#This Row],[GrossSales]]-tblTransactions[[#This Row],[DiscountAmount]]</f>
        <v>4199.75</v>
      </c>
      <c r="P130" s="9">
        <f>_xlfn.XLOOKUP(tblTransactions[[#This Row],[ProductID]],tblProducts[ProductID],tblProducts[UnitCost])</f>
        <v>2546.5700000000002</v>
      </c>
      <c r="Q130" s="9">
        <f>tblTransactions[[#This Row],[Quantity]]*tblTransactions[[#This Row],[UnitCost]]</f>
        <v>2546.5700000000002</v>
      </c>
      <c r="R130" s="9">
        <f>tblTransactions[[#This Row],[NetRevenue]]-tblTransactions[[#This Row],[TotalCost]]</f>
        <v>1653.1799999999998</v>
      </c>
      <c r="S130" t="str">
        <f>_xlfn.XLOOKUP(tblTransactions[[#This Row],[ProductID]],tblProducts[ProductID],tblProducts[Category])</f>
        <v>Personal Care</v>
      </c>
    </row>
    <row r="131" spans="1:19">
      <c r="A131" t="s">
        <v>16448</v>
      </c>
      <c r="B131" s="1">
        <v>45074</v>
      </c>
      <c r="C131" t="s">
        <v>5867</v>
      </c>
      <c r="D131" t="str">
        <f>_xlfn.XLOOKUP(tblTransactions[[#This Row],[CustomerID]],tblCustomers[CustomerID],tblCustomers[CustomerName])</f>
        <v>Falguni Misra</v>
      </c>
      <c r="E131" t="s">
        <v>16028</v>
      </c>
      <c r="F131" t="str">
        <f>_xlfn.XLOOKUP(tblTransactions[[#This Row],[ProductID]],tblProducts[ProductID],tblProducts[ProductName])</f>
        <v>Bookshelf B2</v>
      </c>
      <c r="G131" t="s">
        <v>16259</v>
      </c>
      <c r="H131" t="str">
        <f>_xlfn.XLOOKUP(tblTransactions[[#This Row],[StoreID]],tblStores[StoreID],tblStores[Region])</f>
        <v>East</v>
      </c>
      <c r="I131">
        <v>1</v>
      </c>
      <c r="J131">
        <v>0</v>
      </c>
      <c r="K131" t="s">
        <v>16317</v>
      </c>
      <c r="L131" s="9">
        <f>_xlfn.XLOOKUP(tblTransactions[[#This Row],[ProductID]],tblProducts[ProductID],tblProducts[UnitPrice])</f>
        <v>11987.07</v>
      </c>
      <c r="M131" s="9">
        <f>tblTransactions[[#This Row],[Quantity]]*tblTransactions[[#This Row],[UnitPrice]]</f>
        <v>11987.07</v>
      </c>
      <c r="N131" s="9">
        <f>tblTransactions[[#This Row],[GrossSales]]*tblTransactions[[#This Row],[Discount]]</f>
        <v>0</v>
      </c>
      <c r="O131" s="9">
        <f>tblTransactions[[#This Row],[GrossSales]]-tblTransactions[[#This Row],[DiscountAmount]]</f>
        <v>11987.07</v>
      </c>
      <c r="P131" s="9">
        <f>_xlfn.XLOOKUP(tblTransactions[[#This Row],[ProductID]],tblProducts[ProductID],tblProducts[UnitCost])</f>
        <v>8332.57</v>
      </c>
      <c r="Q131" s="9">
        <f>tblTransactions[[#This Row],[Quantity]]*tblTransactions[[#This Row],[UnitCost]]</f>
        <v>8332.57</v>
      </c>
      <c r="R131" s="9">
        <f>tblTransactions[[#This Row],[NetRevenue]]-tblTransactions[[#This Row],[TotalCost]]</f>
        <v>3654.5</v>
      </c>
      <c r="S131" t="str">
        <f>_xlfn.XLOOKUP(tblTransactions[[#This Row],[ProductID]],tblProducts[ProductID],tblProducts[Category])</f>
        <v>Home &amp; Kitchen</v>
      </c>
    </row>
    <row r="132" spans="1:19">
      <c r="A132" t="s">
        <v>16449</v>
      </c>
      <c r="B132" s="1">
        <v>45074</v>
      </c>
      <c r="C132" t="s">
        <v>3047</v>
      </c>
      <c r="D132" t="str">
        <f>_xlfn.XLOOKUP(tblTransactions[[#This Row],[CustomerID]],tblCustomers[CustomerID],tblCustomers[CustomerName])</f>
        <v>Chandran Warrior</v>
      </c>
      <c r="E132" t="s">
        <v>16137</v>
      </c>
      <c r="F132" t="str">
        <f>_xlfn.XLOOKUP(tblTransactions[[#This Row],[ProductID]],tblProducts[ProductID],tblProducts[ProductName])</f>
        <v>Sugar C3</v>
      </c>
      <c r="G132" t="s">
        <v>16262</v>
      </c>
      <c r="H132" t="str">
        <f>_xlfn.XLOOKUP(tblTransactions[[#This Row],[StoreID]],tblStores[StoreID],tblStores[Region])</f>
        <v>North</v>
      </c>
      <c r="I132">
        <v>1</v>
      </c>
      <c r="J132">
        <v>0.1</v>
      </c>
      <c r="K132" t="s">
        <v>16317</v>
      </c>
      <c r="L132" s="9">
        <f>_xlfn.XLOOKUP(tblTransactions[[#This Row],[ProductID]],tblProducts[ProductID],tblProducts[UnitPrice])</f>
        <v>1140.1600000000001</v>
      </c>
      <c r="M132" s="9">
        <f>tblTransactions[[#This Row],[Quantity]]*tblTransactions[[#This Row],[UnitPrice]]</f>
        <v>1140.1600000000001</v>
      </c>
      <c r="N132" s="9">
        <f>tblTransactions[[#This Row],[GrossSales]]*tblTransactions[[#This Row],[Discount]]</f>
        <v>114.01600000000002</v>
      </c>
      <c r="O132" s="9">
        <f>tblTransactions[[#This Row],[GrossSales]]-tblTransactions[[#This Row],[DiscountAmount]]</f>
        <v>1026.144</v>
      </c>
      <c r="P132" s="9">
        <f>_xlfn.XLOOKUP(tblTransactions[[#This Row],[ProductID]],tblProducts[ProductID],tblProducts[UnitCost])</f>
        <v>763.74</v>
      </c>
      <c r="Q132" s="9">
        <f>tblTransactions[[#This Row],[Quantity]]*tblTransactions[[#This Row],[UnitCost]]</f>
        <v>763.74</v>
      </c>
      <c r="R132" s="9">
        <f>tblTransactions[[#This Row],[NetRevenue]]-tblTransactions[[#This Row],[TotalCost]]</f>
        <v>262.404</v>
      </c>
      <c r="S132" t="str">
        <f>_xlfn.XLOOKUP(tblTransactions[[#This Row],[ProductID]],tblProducts[ProductID],tblProducts[Category])</f>
        <v>Grocery</v>
      </c>
    </row>
    <row r="133" spans="1:19">
      <c r="A133" t="s">
        <v>16450</v>
      </c>
      <c r="B133" s="1">
        <v>45076</v>
      </c>
      <c r="C133" t="s">
        <v>15137</v>
      </c>
      <c r="D133" t="str">
        <f>_xlfn.XLOOKUP(tblTransactions[[#This Row],[CustomerID]],tblCustomers[CustomerID],tblCustomers[CustomerName])</f>
        <v>Wazir Rastogi</v>
      </c>
      <c r="E133" t="s">
        <v>16034</v>
      </c>
      <c r="F133" t="str">
        <f>_xlfn.XLOOKUP(tblTransactions[[#This Row],[ProductID]],tblProducts[ProductID],tblProducts[ProductName])</f>
        <v>Bookshelf E5</v>
      </c>
      <c r="G133" t="s">
        <v>16273</v>
      </c>
      <c r="H133" t="str">
        <f>_xlfn.XLOOKUP(tblTransactions[[#This Row],[StoreID]],tblStores[StoreID],tblStores[Region])</f>
        <v>West</v>
      </c>
      <c r="I133">
        <v>3</v>
      </c>
      <c r="J133">
        <v>0.05</v>
      </c>
      <c r="K133" t="s">
        <v>16315</v>
      </c>
      <c r="L133" s="9">
        <f>_xlfn.XLOOKUP(tblTransactions[[#This Row],[ProductID]],tblProducts[ProductID],tblProducts[UnitPrice])</f>
        <v>14006.13</v>
      </c>
      <c r="M133" s="9">
        <f>tblTransactions[[#This Row],[Quantity]]*tblTransactions[[#This Row],[UnitPrice]]</f>
        <v>42018.39</v>
      </c>
      <c r="N133" s="9">
        <f>tblTransactions[[#This Row],[GrossSales]]*tblTransactions[[#This Row],[Discount]]</f>
        <v>2100.9195</v>
      </c>
      <c r="O133" s="9">
        <f>tblTransactions[[#This Row],[GrossSales]]-tblTransactions[[#This Row],[DiscountAmount]]</f>
        <v>39917.470499999996</v>
      </c>
      <c r="P133" s="9">
        <f>_xlfn.XLOOKUP(tblTransactions[[#This Row],[ProductID]],tblProducts[ProductID],tblProducts[UnitCost])</f>
        <v>9829.2800000000007</v>
      </c>
      <c r="Q133" s="9">
        <f>tblTransactions[[#This Row],[Quantity]]*tblTransactions[[#This Row],[UnitCost]]</f>
        <v>29487.840000000004</v>
      </c>
      <c r="R133" s="9">
        <f>tblTransactions[[#This Row],[NetRevenue]]-tblTransactions[[#This Row],[TotalCost]]</f>
        <v>10429.630499999992</v>
      </c>
      <c r="S133" t="str">
        <f>_xlfn.XLOOKUP(tblTransactions[[#This Row],[ProductID]],tblProducts[ProductID],tblProducts[Category])</f>
        <v>Home &amp; Kitchen</v>
      </c>
    </row>
    <row r="134" spans="1:19">
      <c r="A134" t="s">
        <v>16451</v>
      </c>
      <c r="B134" s="1">
        <v>45076</v>
      </c>
      <c r="C134" t="s">
        <v>14452</v>
      </c>
      <c r="D134" t="str">
        <f>_xlfn.XLOOKUP(tblTransactions[[#This Row],[CustomerID]],tblCustomers[CustomerID],tblCustomers[CustomerName])</f>
        <v>Yatin Chandran</v>
      </c>
      <c r="E134" t="s">
        <v>15950</v>
      </c>
      <c r="F134" t="str">
        <f>_xlfn.XLOOKUP(tblTransactions[[#This Row],[ProductID]],tblProducts[ProductID],tblProducts[ProductName])</f>
        <v>Premium Smartphone C3</v>
      </c>
      <c r="G134" t="s">
        <v>16281</v>
      </c>
      <c r="H134" t="str">
        <f>_xlfn.XLOOKUP(tblTransactions[[#This Row],[StoreID]],tblStores[StoreID],tblStores[Region])</f>
        <v>West</v>
      </c>
      <c r="I134">
        <v>1</v>
      </c>
      <c r="J134">
        <v>0</v>
      </c>
      <c r="K134" t="s">
        <v>16317</v>
      </c>
      <c r="L134" s="9">
        <f>_xlfn.XLOOKUP(tblTransactions[[#This Row],[ProductID]],tblProducts[ProductID],tblProducts[UnitPrice])</f>
        <v>14902.07</v>
      </c>
      <c r="M134" s="9">
        <f>tblTransactions[[#This Row],[Quantity]]*tblTransactions[[#This Row],[UnitPrice]]</f>
        <v>14902.07</v>
      </c>
      <c r="N134" s="9">
        <f>tblTransactions[[#This Row],[GrossSales]]*tblTransactions[[#This Row],[Discount]]</f>
        <v>0</v>
      </c>
      <c r="O134" s="9">
        <f>tblTransactions[[#This Row],[GrossSales]]-tblTransactions[[#This Row],[DiscountAmount]]</f>
        <v>14902.07</v>
      </c>
      <c r="P134" s="9">
        <f>_xlfn.XLOOKUP(tblTransactions[[#This Row],[ProductID]],tblProducts[ProductID],tblProducts[UnitCost])</f>
        <v>9305.33</v>
      </c>
      <c r="Q134" s="9">
        <f>tblTransactions[[#This Row],[Quantity]]*tblTransactions[[#This Row],[UnitCost]]</f>
        <v>9305.33</v>
      </c>
      <c r="R134" s="9">
        <f>tblTransactions[[#This Row],[NetRevenue]]-tblTransactions[[#This Row],[TotalCost]]</f>
        <v>5596.74</v>
      </c>
      <c r="S134" t="str">
        <f>_xlfn.XLOOKUP(tblTransactions[[#This Row],[ProductID]],tblProducts[ProductID],tblProducts[Category])</f>
        <v>Electronics</v>
      </c>
    </row>
    <row r="135" spans="1:19">
      <c r="A135" t="s">
        <v>16452</v>
      </c>
      <c r="B135" s="1">
        <v>45077</v>
      </c>
      <c r="C135" t="s">
        <v>13010</v>
      </c>
      <c r="D135" t="str">
        <f>_xlfn.XLOOKUP(tblTransactions[[#This Row],[CustomerID]],tblCustomers[CustomerID],tblCustomers[CustomerName])</f>
        <v>Siya Bumb</v>
      </c>
      <c r="E135" t="s">
        <v>15971</v>
      </c>
      <c r="F135" t="str">
        <f>_xlfn.XLOOKUP(tblTransactions[[#This Row],[ProductID]],tblProducts[ProductID],tblProducts[ProductName])</f>
        <v>Ultrabook E5</v>
      </c>
      <c r="G135" t="s">
        <v>16285</v>
      </c>
      <c r="H135" t="str">
        <f>_xlfn.XLOOKUP(tblTransactions[[#This Row],[StoreID]],tblStores[StoreID],tblStores[Region])</f>
        <v>West</v>
      </c>
      <c r="I135">
        <v>4</v>
      </c>
      <c r="J135">
        <v>0</v>
      </c>
      <c r="K135" t="s">
        <v>16321</v>
      </c>
      <c r="L135" s="9">
        <f>_xlfn.XLOOKUP(tblTransactions[[#This Row],[ProductID]],tblProducts[ProductID],tblProducts[UnitPrice])</f>
        <v>48777.16</v>
      </c>
      <c r="M135" s="9">
        <f>tblTransactions[[#This Row],[Quantity]]*tblTransactions[[#This Row],[UnitPrice]]</f>
        <v>195108.64</v>
      </c>
      <c r="N135" s="9">
        <f>tblTransactions[[#This Row],[GrossSales]]*tblTransactions[[#This Row],[Discount]]</f>
        <v>0</v>
      </c>
      <c r="O135" s="9">
        <f>tblTransactions[[#This Row],[GrossSales]]-tblTransactions[[#This Row],[DiscountAmount]]</f>
        <v>195108.64</v>
      </c>
      <c r="P135" s="9">
        <f>_xlfn.XLOOKUP(tblTransactions[[#This Row],[ProductID]],tblProducts[ProductID],tblProducts[UnitCost])</f>
        <v>29771.48</v>
      </c>
      <c r="Q135" s="9">
        <f>tblTransactions[[#This Row],[Quantity]]*tblTransactions[[#This Row],[UnitCost]]</f>
        <v>119085.92</v>
      </c>
      <c r="R135" s="9">
        <f>tblTransactions[[#This Row],[NetRevenue]]-tblTransactions[[#This Row],[TotalCost]]</f>
        <v>76022.720000000016</v>
      </c>
      <c r="S135" t="str">
        <f>_xlfn.XLOOKUP(tblTransactions[[#This Row],[ProductID]],tblProducts[ProductID],tblProducts[Category])</f>
        <v>Electronics</v>
      </c>
    </row>
    <row r="136" spans="1:19">
      <c r="A136" t="s">
        <v>16453</v>
      </c>
      <c r="B136" s="1">
        <v>45077</v>
      </c>
      <c r="C136" t="s">
        <v>3958</v>
      </c>
      <c r="D136" t="str">
        <f>_xlfn.XLOOKUP(tblTransactions[[#This Row],[CustomerID]],tblCustomers[CustomerID],tblCustomers[CustomerName])</f>
        <v>Pavani Wali</v>
      </c>
      <c r="E136" t="s">
        <v>16043</v>
      </c>
      <c r="F136" t="str">
        <f>_xlfn.XLOOKUP(tblTransactions[[#This Row],[ProductID]],tblProducts[ProductID],tblProducts[ProductName])</f>
        <v>Non-stick Pan B2</v>
      </c>
      <c r="G136" t="s">
        <v>16259</v>
      </c>
      <c r="H136" t="str">
        <f>_xlfn.XLOOKUP(tblTransactions[[#This Row],[StoreID]],tblStores[StoreID],tblStores[Region])</f>
        <v>East</v>
      </c>
      <c r="I136">
        <v>1</v>
      </c>
      <c r="J136">
        <v>0.05</v>
      </c>
      <c r="K136" t="s">
        <v>16317</v>
      </c>
      <c r="L136" s="9">
        <f>_xlfn.XLOOKUP(tblTransactions[[#This Row],[ProductID]],tblProducts[ProductID],tblProducts[UnitPrice])</f>
        <v>17619.849999999999</v>
      </c>
      <c r="M136" s="9">
        <f>tblTransactions[[#This Row],[Quantity]]*tblTransactions[[#This Row],[UnitPrice]]</f>
        <v>17619.849999999999</v>
      </c>
      <c r="N136" s="9">
        <f>tblTransactions[[#This Row],[GrossSales]]*tblTransactions[[#This Row],[Discount]]</f>
        <v>880.99249999999995</v>
      </c>
      <c r="O136" s="9">
        <f>tblTransactions[[#This Row],[GrossSales]]-tblTransactions[[#This Row],[DiscountAmount]]</f>
        <v>16738.857499999998</v>
      </c>
      <c r="P136" s="9">
        <f>_xlfn.XLOOKUP(tblTransactions[[#This Row],[ProductID]],tblProducts[ProductID],tblProducts[UnitCost])</f>
        <v>13837.65</v>
      </c>
      <c r="Q136" s="9">
        <f>tblTransactions[[#This Row],[Quantity]]*tblTransactions[[#This Row],[UnitCost]]</f>
        <v>13837.65</v>
      </c>
      <c r="R136" s="9">
        <f>tblTransactions[[#This Row],[NetRevenue]]-tblTransactions[[#This Row],[TotalCost]]</f>
        <v>2901.2074999999986</v>
      </c>
      <c r="S136" t="str">
        <f>_xlfn.XLOOKUP(tblTransactions[[#This Row],[ProductID]],tblProducts[ProductID],tblProducts[Category])</f>
        <v>Home &amp; Kitchen</v>
      </c>
    </row>
    <row r="137" spans="1:19">
      <c r="A137" t="s">
        <v>16454</v>
      </c>
      <c r="B137" s="1">
        <v>45078</v>
      </c>
      <c r="C137" t="s">
        <v>5404</v>
      </c>
      <c r="D137" t="str">
        <f>_xlfn.XLOOKUP(tblTransactions[[#This Row],[CustomerID]],tblCustomers[CustomerID],tblCustomers[CustomerName])</f>
        <v>Oscar Aurora</v>
      </c>
      <c r="E137" t="s">
        <v>15992</v>
      </c>
      <c r="F137" t="str">
        <f>_xlfn.XLOOKUP(tblTransactions[[#This Row],[ProductID]],tblProducts[ProductID],tblProducts[ProductName])</f>
        <v>Wireless Headphones B7</v>
      </c>
      <c r="G137" t="s">
        <v>16275</v>
      </c>
      <c r="H137" t="str">
        <f>_xlfn.XLOOKUP(tblTransactions[[#This Row],[StoreID]],tblStores[StoreID],tblStores[Region])</f>
        <v>South</v>
      </c>
      <c r="I137">
        <v>2</v>
      </c>
      <c r="J137">
        <v>0.05</v>
      </c>
      <c r="K137" t="s">
        <v>16321</v>
      </c>
      <c r="L137" s="9">
        <f>_xlfn.XLOOKUP(tblTransactions[[#This Row],[ProductID]],tblProducts[ProductID],tblProducts[UnitPrice])</f>
        <v>52596.38</v>
      </c>
      <c r="M137" s="9">
        <f>tblTransactions[[#This Row],[Quantity]]*tblTransactions[[#This Row],[UnitPrice]]</f>
        <v>105192.76</v>
      </c>
      <c r="N137" s="9">
        <f>tblTransactions[[#This Row],[GrossSales]]*tblTransactions[[#This Row],[Discount]]</f>
        <v>5259.6379999999999</v>
      </c>
      <c r="O137" s="9">
        <f>tblTransactions[[#This Row],[GrossSales]]-tblTransactions[[#This Row],[DiscountAmount]]</f>
        <v>99933.121999999988</v>
      </c>
      <c r="P137" s="9">
        <f>_xlfn.XLOOKUP(tblTransactions[[#This Row],[ProductID]],tblProducts[ProductID],tblProducts[UnitCost])</f>
        <v>36028.78</v>
      </c>
      <c r="Q137" s="9">
        <f>tblTransactions[[#This Row],[Quantity]]*tblTransactions[[#This Row],[UnitCost]]</f>
        <v>72057.56</v>
      </c>
      <c r="R137" s="9">
        <f>tblTransactions[[#This Row],[NetRevenue]]-tblTransactions[[#This Row],[TotalCost]]</f>
        <v>27875.561999999991</v>
      </c>
      <c r="S137" t="str">
        <f>_xlfn.XLOOKUP(tblTransactions[[#This Row],[ProductID]],tblProducts[ProductID],tblProducts[Category])</f>
        <v>Electronics</v>
      </c>
    </row>
    <row r="138" spans="1:19">
      <c r="A138" t="s">
        <v>16455</v>
      </c>
      <c r="B138" s="1">
        <v>45079</v>
      </c>
      <c r="C138" t="s">
        <v>10888</v>
      </c>
      <c r="D138" t="str">
        <f>_xlfn.XLOOKUP(tblTransactions[[#This Row],[CustomerID]],tblCustomers[CustomerID],tblCustomers[CustomerName])</f>
        <v>Yasti Hans</v>
      </c>
      <c r="E138" t="s">
        <v>16213</v>
      </c>
      <c r="F138" t="str">
        <f>_xlfn.XLOOKUP(tblTransactions[[#This Row],[ProductID]],tblProducts[ProductID],tblProducts[ProductName])</f>
        <v>Hair Serum C3</v>
      </c>
      <c r="G138" t="s">
        <v>16259</v>
      </c>
      <c r="H138" t="str">
        <f>_xlfn.XLOOKUP(tblTransactions[[#This Row],[StoreID]],tblStores[StoreID],tblStores[Region])</f>
        <v>East</v>
      </c>
      <c r="I138">
        <v>1</v>
      </c>
      <c r="J138">
        <v>0</v>
      </c>
      <c r="K138" t="s">
        <v>16317</v>
      </c>
      <c r="L138" s="9">
        <f>_xlfn.XLOOKUP(tblTransactions[[#This Row],[ProductID]],tblProducts[ProductID],tblProducts[UnitPrice])</f>
        <v>4869.55</v>
      </c>
      <c r="M138" s="9">
        <f>tblTransactions[[#This Row],[Quantity]]*tblTransactions[[#This Row],[UnitPrice]]</f>
        <v>4869.55</v>
      </c>
      <c r="N138" s="9">
        <f>tblTransactions[[#This Row],[GrossSales]]*tblTransactions[[#This Row],[Discount]]</f>
        <v>0</v>
      </c>
      <c r="O138" s="9">
        <f>tblTransactions[[#This Row],[GrossSales]]-tblTransactions[[#This Row],[DiscountAmount]]</f>
        <v>4869.55</v>
      </c>
      <c r="P138" s="9">
        <f>_xlfn.XLOOKUP(tblTransactions[[#This Row],[ProductID]],tblProducts[ProductID],tblProducts[UnitCost])</f>
        <v>3039.73</v>
      </c>
      <c r="Q138" s="9">
        <f>tblTransactions[[#This Row],[Quantity]]*tblTransactions[[#This Row],[UnitCost]]</f>
        <v>3039.73</v>
      </c>
      <c r="R138" s="9">
        <f>tblTransactions[[#This Row],[NetRevenue]]-tblTransactions[[#This Row],[TotalCost]]</f>
        <v>1829.8200000000002</v>
      </c>
      <c r="S138" t="str">
        <f>_xlfn.XLOOKUP(tblTransactions[[#This Row],[ProductID]],tblProducts[ProductID],tblProducts[Category])</f>
        <v>Personal Care</v>
      </c>
    </row>
    <row r="139" spans="1:19">
      <c r="A139" t="s">
        <v>16456</v>
      </c>
      <c r="B139" s="1">
        <v>45081</v>
      </c>
      <c r="C139" t="s">
        <v>13016</v>
      </c>
      <c r="D139" t="str">
        <f>_xlfn.XLOOKUP(tblTransactions[[#This Row],[CustomerID]],tblCustomers[CustomerID],tblCustomers[CustomerName])</f>
        <v>Amaira Jhaveri</v>
      </c>
      <c r="E139" t="s">
        <v>16221</v>
      </c>
      <c r="F139" t="str">
        <f>_xlfn.XLOOKUP(tblTransactions[[#This Row],[ProductID]],tblProducts[ProductID],tblProducts[ProductName])</f>
        <v>Conditioner B7</v>
      </c>
      <c r="G139" t="s">
        <v>16273</v>
      </c>
      <c r="H139" t="str">
        <f>_xlfn.XLOOKUP(tblTransactions[[#This Row],[StoreID]],tblStores[StoreID],tblStores[Region])</f>
        <v>West</v>
      </c>
      <c r="I139">
        <v>3</v>
      </c>
      <c r="J139">
        <v>0.05</v>
      </c>
      <c r="K139" t="s">
        <v>16325</v>
      </c>
      <c r="L139" s="9">
        <f>_xlfn.XLOOKUP(tblTransactions[[#This Row],[ProductID]],tblProducts[ProductID],tblProducts[UnitPrice])</f>
        <v>1702.4</v>
      </c>
      <c r="M139" s="9">
        <f>tblTransactions[[#This Row],[Quantity]]*tblTransactions[[#This Row],[UnitPrice]]</f>
        <v>5107.2000000000007</v>
      </c>
      <c r="N139" s="9">
        <f>tblTransactions[[#This Row],[GrossSales]]*tblTransactions[[#This Row],[Discount]]</f>
        <v>255.36000000000004</v>
      </c>
      <c r="O139" s="9">
        <f>tblTransactions[[#This Row],[GrossSales]]-tblTransactions[[#This Row],[DiscountAmount]]</f>
        <v>4851.8400000000011</v>
      </c>
      <c r="P139" s="9">
        <f>_xlfn.XLOOKUP(tblTransactions[[#This Row],[ProductID]],tblProducts[ProductID],tblProducts[UnitCost])</f>
        <v>1284.8900000000001</v>
      </c>
      <c r="Q139" s="9">
        <f>tblTransactions[[#This Row],[Quantity]]*tblTransactions[[#This Row],[UnitCost]]</f>
        <v>3854.67</v>
      </c>
      <c r="R139" s="9">
        <f>tblTransactions[[#This Row],[NetRevenue]]-tblTransactions[[#This Row],[TotalCost]]</f>
        <v>997.17000000000098</v>
      </c>
      <c r="S139" t="str">
        <f>_xlfn.XLOOKUP(tblTransactions[[#This Row],[ProductID]],tblProducts[ProductID],tblProducts[Category])</f>
        <v>Personal Care</v>
      </c>
    </row>
    <row r="140" spans="1:19">
      <c r="A140" t="s">
        <v>16457</v>
      </c>
      <c r="B140" s="1">
        <v>45083</v>
      </c>
      <c r="C140" t="s">
        <v>10888</v>
      </c>
      <c r="D140" t="str">
        <f>_xlfn.XLOOKUP(tblTransactions[[#This Row],[CustomerID]],tblCustomers[CustomerID],tblCustomers[CustomerName])</f>
        <v>Yasti Hans</v>
      </c>
      <c r="E140" t="s">
        <v>16196</v>
      </c>
      <c r="F140" t="str">
        <f>_xlfn.XLOOKUP(tblTransactions[[#This Row],[ProductID]],tblProducts[ProductID],tblProducts[ProductName])</f>
        <v>Sunscreen B2</v>
      </c>
      <c r="G140" t="s">
        <v>16279</v>
      </c>
      <c r="H140" t="str">
        <f>_xlfn.XLOOKUP(tblTransactions[[#This Row],[StoreID]],tblStores[StoreID],tblStores[Region])</f>
        <v>South</v>
      </c>
      <c r="I140">
        <v>1</v>
      </c>
      <c r="J140">
        <v>0</v>
      </c>
      <c r="K140" t="s">
        <v>16315</v>
      </c>
      <c r="L140" s="9">
        <f>_xlfn.XLOOKUP(tblTransactions[[#This Row],[ProductID]],tblProducts[ProductID],tblProducts[UnitPrice])</f>
        <v>1841.85</v>
      </c>
      <c r="M140" s="9">
        <f>tblTransactions[[#This Row],[Quantity]]*tblTransactions[[#This Row],[UnitPrice]]</f>
        <v>1841.85</v>
      </c>
      <c r="N140" s="9">
        <f>tblTransactions[[#This Row],[GrossSales]]*tblTransactions[[#This Row],[Discount]]</f>
        <v>0</v>
      </c>
      <c r="O140" s="9">
        <f>tblTransactions[[#This Row],[GrossSales]]-tblTransactions[[#This Row],[DiscountAmount]]</f>
        <v>1841.85</v>
      </c>
      <c r="P140" s="9">
        <f>_xlfn.XLOOKUP(tblTransactions[[#This Row],[ProductID]],tblProducts[ProductID],tblProducts[UnitCost])</f>
        <v>1327.7</v>
      </c>
      <c r="Q140" s="9">
        <f>tblTransactions[[#This Row],[Quantity]]*tblTransactions[[#This Row],[UnitCost]]</f>
        <v>1327.7</v>
      </c>
      <c r="R140" s="9">
        <f>tblTransactions[[#This Row],[NetRevenue]]-tblTransactions[[#This Row],[TotalCost]]</f>
        <v>514.14999999999986</v>
      </c>
      <c r="S140" t="str">
        <f>_xlfn.XLOOKUP(tblTransactions[[#This Row],[ProductID]],tblProducts[ProductID],tblProducts[Category])</f>
        <v>Personal Care</v>
      </c>
    </row>
    <row r="141" spans="1:19">
      <c r="A141" t="s">
        <v>16458</v>
      </c>
      <c r="B141" s="1">
        <v>45084</v>
      </c>
      <c r="C141" t="s">
        <v>7153</v>
      </c>
      <c r="D141" t="str">
        <f>_xlfn.XLOOKUP(tblTransactions[[#This Row],[CustomerID]],tblCustomers[CustomerID],tblCustomers[CustomerName])</f>
        <v>Upma Chaudhuri</v>
      </c>
      <c r="E141" t="s">
        <v>16156</v>
      </c>
      <c r="F141" t="str">
        <f>_xlfn.XLOOKUP(tblTransactions[[#This Row],[ProductID]],tblProducts[ProductID],tblProducts[ProductName])</f>
        <v>Chocolate E5</v>
      </c>
      <c r="G141" t="s">
        <v>16267</v>
      </c>
      <c r="H141" t="str">
        <f>_xlfn.XLOOKUP(tblTransactions[[#This Row],[StoreID]],tblStores[StoreID],tblStores[Region])</f>
        <v>West</v>
      </c>
      <c r="I141">
        <v>5</v>
      </c>
      <c r="J141">
        <v>0.05</v>
      </c>
      <c r="K141" t="s">
        <v>16325</v>
      </c>
      <c r="L141" s="9">
        <f>_xlfn.XLOOKUP(tblTransactions[[#This Row],[ProductID]],tblProducts[ProductID],tblProducts[UnitPrice])</f>
        <v>817.37</v>
      </c>
      <c r="M141" s="9">
        <f>tblTransactions[[#This Row],[Quantity]]*tblTransactions[[#This Row],[UnitPrice]]</f>
        <v>4086.85</v>
      </c>
      <c r="N141" s="9">
        <f>tblTransactions[[#This Row],[GrossSales]]*tblTransactions[[#This Row],[Discount]]</f>
        <v>204.3425</v>
      </c>
      <c r="O141" s="9">
        <f>tblTransactions[[#This Row],[GrossSales]]-tblTransactions[[#This Row],[DiscountAmount]]</f>
        <v>3882.5074999999997</v>
      </c>
      <c r="P141" s="9">
        <f>_xlfn.XLOOKUP(tblTransactions[[#This Row],[ProductID]],tblProducts[ProductID],tblProducts[UnitCost])</f>
        <v>595.03</v>
      </c>
      <c r="Q141" s="9">
        <f>tblTransactions[[#This Row],[Quantity]]*tblTransactions[[#This Row],[UnitCost]]</f>
        <v>2975.1499999999996</v>
      </c>
      <c r="R141" s="9">
        <f>tblTransactions[[#This Row],[NetRevenue]]-tblTransactions[[#This Row],[TotalCost]]</f>
        <v>907.35750000000007</v>
      </c>
      <c r="S141" t="str">
        <f>_xlfn.XLOOKUP(tblTransactions[[#This Row],[ProductID]],tblProducts[ProductID],tblProducts[Category])</f>
        <v>Grocery</v>
      </c>
    </row>
    <row r="142" spans="1:19">
      <c r="A142" t="s">
        <v>16459</v>
      </c>
      <c r="B142" s="1">
        <v>45085</v>
      </c>
      <c r="C142" t="s">
        <v>11511</v>
      </c>
      <c r="D142" t="str">
        <f>_xlfn.XLOOKUP(tblTransactions[[#This Row],[CustomerID]],tblCustomers[CustomerID],tblCustomers[CustomerName])</f>
        <v>Sanya Naik</v>
      </c>
      <c r="E142" t="s">
        <v>15933</v>
      </c>
      <c r="F142" t="str">
        <f>_xlfn.XLOOKUP(tblTransactions[[#This Row],[ProductID]],tblProducts[ProductID],tblProducts[ProductName])</f>
        <v>Smart LED TV C3</v>
      </c>
      <c r="G142" t="s">
        <v>16287</v>
      </c>
      <c r="H142" t="str">
        <f>_xlfn.XLOOKUP(tblTransactions[[#This Row],[StoreID]],tblStores[StoreID],tblStores[Region])</f>
        <v>North</v>
      </c>
      <c r="I142">
        <v>3</v>
      </c>
      <c r="J142">
        <v>0.1</v>
      </c>
      <c r="K142" t="s">
        <v>16317</v>
      </c>
      <c r="L142" s="9">
        <f>_xlfn.XLOOKUP(tblTransactions[[#This Row],[ProductID]],tblProducts[ProductID],tblProducts[UnitPrice])</f>
        <v>14374.7</v>
      </c>
      <c r="M142" s="9">
        <f>tblTransactions[[#This Row],[Quantity]]*tblTransactions[[#This Row],[UnitPrice]]</f>
        <v>43124.100000000006</v>
      </c>
      <c r="N142" s="9">
        <f>tblTransactions[[#This Row],[GrossSales]]*tblTransactions[[#This Row],[Discount]]</f>
        <v>4312.4100000000008</v>
      </c>
      <c r="O142" s="9">
        <f>tblTransactions[[#This Row],[GrossSales]]-tblTransactions[[#This Row],[DiscountAmount]]</f>
        <v>38811.69</v>
      </c>
      <c r="P142" s="9">
        <f>_xlfn.XLOOKUP(tblTransactions[[#This Row],[ProductID]],tblProducts[ProductID],tblProducts[UnitCost])</f>
        <v>11335.72</v>
      </c>
      <c r="Q142" s="9">
        <f>tblTransactions[[#This Row],[Quantity]]*tblTransactions[[#This Row],[UnitCost]]</f>
        <v>34007.159999999996</v>
      </c>
      <c r="R142" s="9">
        <f>tblTransactions[[#This Row],[NetRevenue]]-tblTransactions[[#This Row],[TotalCost]]</f>
        <v>4804.5300000000061</v>
      </c>
      <c r="S142" t="str">
        <f>_xlfn.XLOOKUP(tblTransactions[[#This Row],[ProductID]],tblProducts[ProductID],tblProducts[Category])</f>
        <v>Electronics</v>
      </c>
    </row>
    <row r="143" spans="1:19">
      <c r="A143" t="s">
        <v>16460</v>
      </c>
      <c r="B143" s="1">
        <v>45086</v>
      </c>
      <c r="C143" t="s">
        <v>12962</v>
      </c>
      <c r="D143" t="str">
        <f>_xlfn.XLOOKUP(tblTransactions[[#This Row],[CustomerID]],tblCustomers[CustomerID],tblCustomers[CustomerName])</f>
        <v>Ishani Sandal</v>
      </c>
      <c r="E143" t="s">
        <v>16053</v>
      </c>
      <c r="F143" t="str">
        <f>_xlfn.XLOOKUP(tblTransactions[[#This Row],[ProductID]],tblProducts[ProductID],tblProducts[ProductName])</f>
        <v>Pressure Cooker B7</v>
      </c>
      <c r="G143" t="s">
        <v>16307</v>
      </c>
      <c r="H143" t="str">
        <f>_xlfn.XLOOKUP(tblTransactions[[#This Row],[StoreID]],tblStores[StoreID],tblStores[Region])</f>
        <v>East</v>
      </c>
      <c r="I143">
        <v>1</v>
      </c>
      <c r="J143">
        <v>0.1</v>
      </c>
      <c r="K143" t="s">
        <v>16315</v>
      </c>
      <c r="L143" s="9">
        <f>_xlfn.XLOOKUP(tblTransactions[[#This Row],[ProductID]],tblProducts[ProductID],tblProducts[UnitPrice])</f>
        <v>24743.52</v>
      </c>
      <c r="M143" s="9">
        <f>tblTransactions[[#This Row],[Quantity]]*tblTransactions[[#This Row],[UnitPrice]]</f>
        <v>24743.52</v>
      </c>
      <c r="N143" s="9">
        <f>tblTransactions[[#This Row],[GrossSales]]*tblTransactions[[#This Row],[Discount]]</f>
        <v>2474.3520000000003</v>
      </c>
      <c r="O143" s="9">
        <f>tblTransactions[[#This Row],[GrossSales]]-tblTransactions[[#This Row],[DiscountAmount]]</f>
        <v>22269.168000000001</v>
      </c>
      <c r="P143" s="9">
        <f>_xlfn.XLOOKUP(tblTransactions[[#This Row],[ProductID]],tblProducts[ProductID],tblProducts[UnitCost])</f>
        <v>16620.189999999999</v>
      </c>
      <c r="Q143" s="9">
        <f>tblTransactions[[#This Row],[Quantity]]*tblTransactions[[#This Row],[UnitCost]]</f>
        <v>16620.189999999999</v>
      </c>
      <c r="R143" s="9">
        <f>tblTransactions[[#This Row],[NetRevenue]]-tblTransactions[[#This Row],[TotalCost]]</f>
        <v>5648.9780000000028</v>
      </c>
      <c r="S143" t="str">
        <f>_xlfn.XLOOKUP(tblTransactions[[#This Row],[ProductID]],tblProducts[ProductID],tblProducts[Category])</f>
        <v>Home &amp; Kitchen</v>
      </c>
    </row>
    <row r="144" spans="1:19">
      <c r="A144" t="s">
        <v>16461</v>
      </c>
      <c r="B144" s="1">
        <v>45087</v>
      </c>
      <c r="C144" t="s">
        <v>6929</v>
      </c>
      <c r="D144" t="str">
        <f>_xlfn.XLOOKUP(tblTransactions[[#This Row],[CustomerID]],tblCustomers[CustomerID],tblCustomers[CustomerName])</f>
        <v>Falan Warrior</v>
      </c>
      <c r="E144" t="s">
        <v>16066</v>
      </c>
      <c r="F144" t="str">
        <f>_xlfn.XLOOKUP(tblTransactions[[#This Row],[ProductID]],tblProducts[ProductID],tblProducts[ProductName])</f>
        <v>Decorative Vase A6</v>
      </c>
      <c r="G144" t="s">
        <v>16267</v>
      </c>
      <c r="H144" t="str">
        <f>_xlfn.XLOOKUP(tblTransactions[[#This Row],[StoreID]],tblStores[StoreID],tblStores[Region])</f>
        <v>West</v>
      </c>
      <c r="I144">
        <v>1</v>
      </c>
      <c r="J144">
        <v>0</v>
      </c>
      <c r="K144" t="s">
        <v>16317</v>
      </c>
      <c r="L144" s="9">
        <f>_xlfn.XLOOKUP(tblTransactions[[#This Row],[ProductID]],tblProducts[ProductID],tblProducts[UnitPrice])</f>
        <v>3429.74</v>
      </c>
      <c r="M144" s="9">
        <f>tblTransactions[[#This Row],[Quantity]]*tblTransactions[[#This Row],[UnitPrice]]</f>
        <v>3429.74</v>
      </c>
      <c r="N144" s="9">
        <f>tblTransactions[[#This Row],[GrossSales]]*tblTransactions[[#This Row],[Discount]]</f>
        <v>0</v>
      </c>
      <c r="O144" s="9">
        <f>tblTransactions[[#This Row],[GrossSales]]-tblTransactions[[#This Row],[DiscountAmount]]</f>
        <v>3429.74</v>
      </c>
      <c r="P144" s="9">
        <f>_xlfn.XLOOKUP(tblTransactions[[#This Row],[ProductID]],tblProducts[ProductID],tblProducts[UnitCost])</f>
        <v>2172.39</v>
      </c>
      <c r="Q144" s="9">
        <f>tblTransactions[[#This Row],[Quantity]]*tblTransactions[[#This Row],[UnitCost]]</f>
        <v>2172.39</v>
      </c>
      <c r="R144" s="9">
        <f>tblTransactions[[#This Row],[NetRevenue]]-tblTransactions[[#This Row],[TotalCost]]</f>
        <v>1257.3499999999999</v>
      </c>
      <c r="S144" t="str">
        <f>_xlfn.XLOOKUP(tblTransactions[[#This Row],[ProductID]],tblProducts[ProductID],tblProducts[Category])</f>
        <v>Home &amp; Kitchen</v>
      </c>
    </row>
    <row r="145" spans="1:19">
      <c r="A145" t="s">
        <v>16462</v>
      </c>
      <c r="B145" s="1">
        <v>45087</v>
      </c>
      <c r="C145" t="s">
        <v>7659</v>
      </c>
      <c r="D145" t="str">
        <f>_xlfn.XLOOKUP(tblTransactions[[#This Row],[CustomerID]],tblCustomers[CustomerID],tblCustomers[CustomerName])</f>
        <v>Girik Nori</v>
      </c>
      <c r="E145" t="s">
        <v>16198</v>
      </c>
      <c r="F145" t="str">
        <f>_xlfn.XLOOKUP(tblTransactions[[#This Row],[ProductID]],tblProducts[ProductID],tblProducts[ProductName])</f>
        <v>Face Wash C3</v>
      </c>
      <c r="G145" t="s">
        <v>16297</v>
      </c>
      <c r="H145" t="str">
        <f>_xlfn.XLOOKUP(tblTransactions[[#This Row],[StoreID]],tblStores[StoreID],tblStores[Region])</f>
        <v>North</v>
      </c>
      <c r="I145">
        <v>1</v>
      </c>
      <c r="J145">
        <v>0</v>
      </c>
      <c r="K145" t="s">
        <v>16315</v>
      </c>
      <c r="L145" s="9">
        <f>_xlfn.XLOOKUP(tblTransactions[[#This Row],[ProductID]],tblProducts[ProductID],tblProducts[UnitPrice])</f>
        <v>1783.65</v>
      </c>
      <c r="M145" s="9">
        <f>tblTransactions[[#This Row],[Quantity]]*tblTransactions[[#This Row],[UnitPrice]]</f>
        <v>1783.65</v>
      </c>
      <c r="N145" s="9">
        <f>tblTransactions[[#This Row],[GrossSales]]*tblTransactions[[#This Row],[Discount]]</f>
        <v>0</v>
      </c>
      <c r="O145" s="9">
        <f>tblTransactions[[#This Row],[GrossSales]]-tblTransactions[[#This Row],[DiscountAmount]]</f>
        <v>1783.65</v>
      </c>
      <c r="P145" s="9">
        <f>_xlfn.XLOOKUP(tblTransactions[[#This Row],[ProductID]],tblProducts[ProductID],tblProducts[UnitCost])</f>
        <v>1128.95</v>
      </c>
      <c r="Q145" s="9">
        <f>tblTransactions[[#This Row],[Quantity]]*tblTransactions[[#This Row],[UnitCost]]</f>
        <v>1128.95</v>
      </c>
      <c r="R145" s="9">
        <f>tblTransactions[[#This Row],[NetRevenue]]-tblTransactions[[#This Row],[TotalCost]]</f>
        <v>654.70000000000005</v>
      </c>
      <c r="S145" t="str">
        <f>_xlfn.XLOOKUP(tblTransactions[[#This Row],[ProductID]],tblProducts[ProductID],tblProducts[Category])</f>
        <v>Personal Care</v>
      </c>
    </row>
    <row r="146" spans="1:19">
      <c r="A146" t="s">
        <v>16463</v>
      </c>
      <c r="B146" s="1">
        <v>45087</v>
      </c>
      <c r="C146" t="s">
        <v>12054</v>
      </c>
      <c r="D146" t="str">
        <f>_xlfn.XLOOKUP(tblTransactions[[#This Row],[CustomerID]],tblCustomers[CustomerID],tblCustomers[CustomerName])</f>
        <v>Thomas Shankar</v>
      </c>
      <c r="E146" t="s">
        <v>16121</v>
      </c>
      <c r="F146" t="str">
        <f>_xlfn.XLOOKUP(tblTransactions[[#This Row],[ProductID]],tblProducts[ProductID],tblProducts[ProductName])</f>
        <v>Sandals C3</v>
      </c>
      <c r="G146" t="s">
        <v>16285</v>
      </c>
      <c r="H146" t="str">
        <f>_xlfn.XLOOKUP(tblTransactions[[#This Row],[StoreID]],tblStores[StoreID],tblStores[Region])</f>
        <v>West</v>
      </c>
      <c r="I146">
        <v>1</v>
      </c>
      <c r="J146">
        <v>0</v>
      </c>
      <c r="K146" t="s">
        <v>16321</v>
      </c>
      <c r="L146" s="9">
        <f>_xlfn.XLOOKUP(tblTransactions[[#This Row],[ProductID]],tblProducts[ProductID],tblProducts[UnitPrice])</f>
        <v>6708.36</v>
      </c>
      <c r="M146" s="9">
        <f>tblTransactions[[#This Row],[Quantity]]*tblTransactions[[#This Row],[UnitPrice]]</f>
        <v>6708.36</v>
      </c>
      <c r="N146" s="9">
        <f>tblTransactions[[#This Row],[GrossSales]]*tblTransactions[[#This Row],[Discount]]</f>
        <v>0</v>
      </c>
      <c r="O146" s="9">
        <f>tblTransactions[[#This Row],[GrossSales]]-tblTransactions[[#This Row],[DiscountAmount]]</f>
        <v>6708.36</v>
      </c>
      <c r="P146" s="9">
        <f>_xlfn.XLOOKUP(tblTransactions[[#This Row],[ProductID]],tblProducts[ProductID],tblProducts[UnitCost])</f>
        <v>5031.45</v>
      </c>
      <c r="Q146" s="9">
        <f>tblTransactions[[#This Row],[Quantity]]*tblTransactions[[#This Row],[UnitCost]]</f>
        <v>5031.45</v>
      </c>
      <c r="R146" s="9">
        <f>tblTransactions[[#This Row],[NetRevenue]]-tblTransactions[[#This Row],[TotalCost]]</f>
        <v>1676.9099999999999</v>
      </c>
      <c r="S146" t="str">
        <f>_xlfn.XLOOKUP(tblTransactions[[#This Row],[ProductID]],tblProducts[ProductID],tblProducts[Category])</f>
        <v>Clothing</v>
      </c>
    </row>
    <row r="147" spans="1:19">
      <c r="A147" t="s">
        <v>16464</v>
      </c>
      <c r="B147" s="1">
        <v>45089</v>
      </c>
      <c r="C147" t="s">
        <v>2793</v>
      </c>
      <c r="D147" t="str">
        <f>_xlfn.XLOOKUP(tblTransactions[[#This Row],[CustomerID]],tblCustomers[CustomerID],tblCustomers[CustomerName])</f>
        <v>Samesh Mutti</v>
      </c>
      <c r="E147" t="s">
        <v>16198</v>
      </c>
      <c r="F147" t="str">
        <f>_xlfn.XLOOKUP(tblTransactions[[#This Row],[ProductID]],tblProducts[ProductID],tblProducts[ProductName])</f>
        <v>Face Wash C3</v>
      </c>
      <c r="G147" t="s">
        <v>16259</v>
      </c>
      <c r="H147" t="str">
        <f>_xlfn.XLOOKUP(tblTransactions[[#This Row],[StoreID]],tblStores[StoreID],tblStores[Region])</f>
        <v>East</v>
      </c>
      <c r="I147">
        <v>1</v>
      </c>
      <c r="J147">
        <v>0</v>
      </c>
      <c r="K147" t="s">
        <v>16321</v>
      </c>
      <c r="L147" s="9">
        <f>_xlfn.XLOOKUP(tblTransactions[[#This Row],[ProductID]],tblProducts[ProductID],tblProducts[UnitPrice])</f>
        <v>1783.65</v>
      </c>
      <c r="M147" s="9">
        <f>tblTransactions[[#This Row],[Quantity]]*tblTransactions[[#This Row],[UnitPrice]]</f>
        <v>1783.65</v>
      </c>
      <c r="N147" s="9">
        <f>tblTransactions[[#This Row],[GrossSales]]*tblTransactions[[#This Row],[Discount]]</f>
        <v>0</v>
      </c>
      <c r="O147" s="9">
        <f>tblTransactions[[#This Row],[GrossSales]]-tblTransactions[[#This Row],[DiscountAmount]]</f>
        <v>1783.65</v>
      </c>
      <c r="P147" s="9">
        <f>_xlfn.XLOOKUP(tblTransactions[[#This Row],[ProductID]],tblProducts[ProductID],tblProducts[UnitCost])</f>
        <v>1128.95</v>
      </c>
      <c r="Q147" s="9">
        <f>tblTransactions[[#This Row],[Quantity]]*tblTransactions[[#This Row],[UnitCost]]</f>
        <v>1128.95</v>
      </c>
      <c r="R147" s="9">
        <f>tblTransactions[[#This Row],[NetRevenue]]-tblTransactions[[#This Row],[TotalCost]]</f>
        <v>654.70000000000005</v>
      </c>
      <c r="S147" t="str">
        <f>_xlfn.XLOOKUP(tblTransactions[[#This Row],[ProductID]],tblProducts[ProductID],tblProducts[Category])</f>
        <v>Personal Care</v>
      </c>
    </row>
    <row r="148" spans="1:19">
      <c r="A148" t="s">
        <v>16465</v>
      </c>
      <c r="B148" s="1">
        <v>45089</v>
      </c>
      <c r="C148" t="s">
        <v>7452</v>
      </c>
      <c r="D148" t="str">
        <f>_xlfn.XLOOKUP(tblTransactions[[#This Row],[CustomerID]],tblCustomers[CustomerID],tblCustomers[CustomerName])</f>
        <v>Manan Dhar</v>
      </c>
      <c r="E148" t="s">
        <v>16247</v>
      </c>
      <c r="F148" t="str">
        <f>_xlfn.XLOOKUP(tblTransactions[[#This Row],[ProductID]],tblProducts[ProductID],tblProducts[ProductName])</f>
        <v>Shaving Kit E5</v>
      </c>
      <c r="G148" t="s">
        <v>16271</v>
      </c>
      <c r="H148" t="str">
        <f>_xlfn.XLOOKUP(tblTransactions[[#This Row],[StoreID]],tblStores[StoreID],tblStores[Region])</f>
        <v>South</v>
      </c>
      <c r="I148">
        <v>3</v>
      </c>
      <c r="J148">
        <v>0.05</v>
      </c>
      <c r="K148" t="s">
        <v>16317</v>
      </c>
      <c r="L148" s="9">
        <f>_xlfn.XLOOKUP(tblTransactions[[#This Row],[ProductID]],tblProducts[ProductID],tblProducts[UnitPrice])</f>
        <v>3430.41</v>
      </c>
      <c r="M148" s="9">
        <f>tblTransactions[[#This Row],[Quantity]]*tblTransactions[[#This Row],[UnitPrice]]</f>
        <v>10291.23</v>
      </c>
      <c r="N148" s="9">
        <f>tblTransactions[[#This Row],[GrossSales]]*tblTransactions[[#This Row],[Discount]]</f>
        <v>514.56150000000002</v>
      </c>
      <c r="O148" s="9">
        <f>tblTransactions[[#This Row],[GrossSales]]-tblTransactions[[#This Row],[DiscountAmount]]</f>
        <v>9776.6684999999998</v>
      </c>
      <c r="P148" s="9">
        <f>_xlfn.XLOOKUP(tblTransactions[[#This Row],[ProductID]],tblProducts[ProductID],tblProducts[UnitCost])</f>
        <v>2912.56</v>
      </c>
      <c r="Q148" s="9">
        <f>tblTransactions[[#This Row],[Quantity]]*tblTransactions[[#This Row],[UnitCost]]</f>
        <v>8737.68</v>
      </c>
      <c r="R148" s="9">
        <f>tblTransactions[[#This Row],[NetRevenue]]-tblTransactions[[#This Row],[TotalCost]]</f>
        <v>1038.9884999999995</v>
      </c>
      <c r="S148" t="str">
        <f>_xlfn.XLOOKUP(tblTransactions[[#This Row],[ProductID]],tblProducts[ProductID],tblProducts[Category])</f>
        <v>Personal Care</v>
      </c>
    </row>
    <row r="149" spans="1:19">
      <c r="A149" t="s">
        <v>16466</v>
      </c>
      <c r="B149" s="1">
        <v>45089</v>
      </c>
      <c r="C149" t="s">
        <v>13086</v>
      </c>
      <c r="D149" t="str">
        <f>_xlfn.XLOOKUP(tblTransactions[[#This Row],[CustomerID]],tblCustomers[CustomerID],tblCustomers[CustomerName])</f>
        <v>Yatin Chadha</v>
      </c>
      <c r="E149" t="s">
        <v>16021</v>
      </c>
      <c r="F149" t="str">
        <f>_xlfn.XLOOKUP(tblTransactions[[#This Row],[ProductID]],tblProducts[ProductID],tblProducts[ProductName])</f>
        <v>Microwave Oven A6</v>
      </c>
      <c r="G149" t="s">
        <v>16291</v>
      </c>
      <c r="H149" t="str">
        <f>_xlfn.XLOOKUP(tblTransactions[[#This Row],[StoreID]],tblStores[StoreID],tblStores[Region])</f>
        <v>South</v>
      </c>
      <c r="I149">
        <v>4</v>
      </c>
      <c r="J149">
        <v>0.05</v>
      </c>
      <c r="K149" t="s">
        <v>16317</v>
      </c>
      <c r="L149" s="9">
        <f>_xlfn.XLOOKUP(tblTransactions[[#This Row],[ProductID]],tblProducts[ProductID],tblProducts[UnitPrice])</f>
        <v>20212.79</v>
      </c>
      <c r="M149" s="9">
        <f>tblTransactions[[#This Row],[Quantity]]*tblTransactions[[#This Row],[UnitPrice]]</f>
        <v>80851.16</v>
      </c>
      <c r="N149" s="9">
        <f>tblTransactions[[#This Row],[GrossSales]]*tblTransactions[[#This Row],[Discount]]</f>
        <v>4042.5580000000004</v>
      </c>
      <c r="O149" s="9">
        <f>tblTransactions[[#This Row],[GrossSales]]-tblTransactions[[#This Row],[DiscountAmount]]</f>
        <v>76808.601999999999</v>
      </c>
      <c r="P149" s="9">
        <f>_xlfn.XLOOKUP(tblTransactions[[#This Row],[ProductID]],tblProducts[ProductID],tblProducts[UnitCost])</f>
        <v>16868.88</v>
      </c>
      <c r="Q149" s="9">
        <f>tblTransactions[[#This Row],[Quantity]]*tblTransactions[[#This Row],[UnitCost]]</f>
        <v>67475.520000000004</v>
      </c>
      <c r="R149" s="9">
        <f>tblTransactions[[#This Row],[NetRevenue]]-tblTransactions[[#This Row],[TotalCost]]</f>
        <v>9333.0819999999949</v>
      </c>
      <c r="S149" t="str">
        <f>_xlfn.XLOOKUP(tblTransactions[[#This Row],[ProductID]],tblProducts[ProductID],tblProducts[Category])</f>
        <v>Home &amp; Kitchen</v>
      </c>
    </row>
    <row r="150" spans="1:19">
      <c r="A150" t="s">
        <v>16467</v>
      </c>
      <c r="B150" s="1">
        <v>45089</v>
      </c>
      <c r="C150" t="s">
        <v>544</v>
      </c>
      <c r="D150" t="str">
        <f>_xlfn.XLOOKUP(tblTransactions[[#This Row],[CustomerID]],tblCustomers[CustomerID],tblCustomers[CustomerName])</f>
        <v>Raksha Buch</v>
      </c>
      <c r="E150" t="s">
        <v>15990</v>
      </c>
      <c r="F150" t="str">
        <f>_xlfn.XLOOKUP(tblTransactions[[#This Row],[ProductID]],tblProducts[ProductID],tblProducts[ProductName])</f>
        <v>Earbuds A6</v>
      </c>
      <c r="G150" t="s">
        <v>16305</v>
      </c>
      <c r="H150" t="str">
        <f>_xlfn.XLOOKUP(tblTransactions[[#This Row],[StoreID]],tblStores[StoreID],tblStores[Region])</f>
        <v>South</v>
      </c>
      <c r="I150">
        <v>1</v>
      </c>
      <c r="J150">
        <v>0</v>
      </c>
      <c r="K150" t="s">
        <v>16317</v>
      </c>
      <c r="L150" s="9">
        <f>_xlfn.XLOOKUP(tblTransactions[[#This Row],[ProductID]],tblProducts[ProductID],tblProducts[UnitPrice])</f>
        <v>76019.78</v>
      </c>
      <c r="M150" s="9">
        <f>tblTransactions[[#This Row],[Quantity]]*tblTransactions[[#This Row],[UnitPrice]]</f>
        <v>76019.78</v>
      </c>
      <c r="N150" s="9">
        <f>tblTransactions[[#This Row],[GrossSales]]*tblTransactions[[#This Row],[Discount]]</f>
        <v>0</v>
      </c>
      <c r="O150" s="9">
        <f>tblTransactions[[#This Row],[GrossSales]]-tblTransactions[[#This Row],[DiscountAmount]]</f>
        <v>76019.78</v>
      </c>
      <c r="P150" s="9">
        <f>_xlfn.XLOOKUP(tblTransactions[[#This Row],[ProductID]],tblProducts[ProductID],tblProducts[UnitCost])</f>
        <v>53305.15</v>
      </c>
      <c r="Q150" s="9">
        <f>tblTransactions[[#This Row],[Quantity]]*tblTransactions[[#This Row],[UnitCost]]</f>
        <v>53305.15</v>
      </c>
      <c r="R150" s="9">
        <f>tblTransactions[[#This Row],[NetRevenue]]-tblTransactions[[#This Row],[TotalCost]]</f>
        <v>22714.629999999997</v>
      </c>
      <c r="S150" t="str">
        <f>_xlfn.XLOOKUP(tblTransactions[[#This Row],[ProductID]],tblProducts[ProductID],tblProducts[Category])</f>
        <v>Electronics</v>
      </c>
    </row>
    <row r="151" spans="1:19">
      <c r="A151" t="s">
        <v>16468</v>
      </c>
      <c r="B151" s="1">
        <v>45090</v>
      </c>
      <c r="C151" t="s">
        <v>9029</v>
      </c>
      <c r="D151" t="str">
        <f>_xlfn.XLOOKUP(tblTransactions[[#This Row],[CustomerID]],tblCustomers[CustomerID],tblCustomers[CustomerName])</f>
        <v>Mekhala Kala</v>
      </c>
      <c r="E151" t="s">
        <v>16108</v>
      </c>
      <c r="F151" t="str">
        <f>_xlfn.XLOOKUP(tblTransactions[[#This Row],[ProductID]],tblProducts[ProductID],tblProducts[ProductName])</f>
        <v>Kids Dress D4</v>
      </c>
      <c r="G151" t="s">
        <v>16265</v>
      </c>
      <c r="H151" t="str">
        <f>_xlfn.XLOOKUP(tblTransactions[[#This Row],[StoreID]],tblStores[StoreID],tblStores[Region])</f>
        <v>North</v>
      </c>
      <c r="I151">
        <v>1</v>
      </c>
      <c r="J151">
        <v>0</v>
      </c>
      <c r="K151" t="s">
        <v>16317</v>
      </c>
      <c r="L151" s="9">
        <f>_xlfn.XLOOKUP(tblTransactions[[#This Row],[ProductID]],tblProducts[ProductID],tblProducts[UnitPrice])</f>
        <v>1332.31</v>
      </c>
      <c r="M151" s="9">
        <f>tblTransactions[[#This Row],[Quantity]]*tblTransactions[[#This Row],[UnitPrice]]</f>
        <v>1332.31</v>
      </c>
      <c r="N151" s="9">
        <f>tblTransactions[[#This Row],[GrossSales]]*tblTransactions[[#This Row],[Discount]]</f>
        <v>0</v>
      </c>
      <c r="O151" s="9">
        <f>tblTransactions[[#This Row],[GrossSales]]-tblTransactions[[#This Row],[DiscountAmount]]</f>
        <v>1332.31</v>
      </c>
      <c r="P151" s="9">
        <f>_xlfn.XLOOKUP(tblTransactions[[#This Row],[ProductID]],tblProducts[ProductID],tblProducts[UnitCost])</f>
        <v>957.87</v>
      </c>
      <c r="Q151" s="9">
        <f>tblTransactions[[#This Row],[Quantity]]*tblTransactions[[#This Row],[UnitCost]]</f>
        <v>957.87</v>
      </c>
      <c r="R151" s="9">
        <f>tblTransactions[[#This Row],[NetRevenue]]-tblTransactions[[#This Row],[TotalCost]]</f>
        <v>374.43999999999994</v>
      </c>
      <c r="S151" t="str">
        <f>_xlfn.XLOOKUP(tblTransactions[[#This Row],[ProductID]],tblProducts[ProductID],tblProducts[Category])</f>
        <v>Clothing</v>
      </c>
    </row>
    <row r="152" spans="1:19">
      <c r="A152" t="s">
        <v>16469</v>
      </c>
      <c r="B152" s="1">
        <v>45093</v>
      </c>
      <c r="C152" t="s">
        <v>15469</v>
      </c>
      <c r="D152" t="str">
        <f>_xlfn.XLOOKUP(tblTransactions[[#This Row],[CustomerID]],tblCustomers[CustomerID],tblCustomers[CustomerName])</f>
        <v>Aishani Vala</v>
      </c>
      <c r="E152" t="s">
        <v>16007</v>
      </c>
      <c r="F152" t="str">
        <f>_xlfn.XLOOKUP(tblTransactions[[#This Row],[ProductID]],tblProducts[ProductID],tblProducts[ProductName])</f>
        <v>USB-C Cable B7</v>
      </c>
      <c r="G152" t="s">
        <v>16299</v>
      </c>
      <c r="H152" t="str">
        <f>_xlfn.XLOOKUP(tblTransactions[[#This Row],[StoreID]],tblStores[StoreID],tblStores[Region])</f>
        <v>South</v>
      </c>
      <c r="I152">
        <v>2</v>
      </c>
      <c r="J152">
        <v>0.1</v>
      </c>
      <c r="K152" t="s">
        <v>16321</v>
      </c>
      <c r="L152" s="9">
        <f>_xlfn.XLOOKUP(tblTransactions[[#This Row],[ProductID]],tblProducts[ProductID],tblProducts[UnitPrice])</f>
        <v>22362.17</v>
      </c>
      <c r="M152" s="9">
        <f>tblTransactions[[#This Row],[Quantity]]*tblTransactions[[#This Row],[UnitPrice]]</f>
        <v>44724.34</v>
      </c>
      <c r="N152" s="9">
        <f>tblTransactions[[#This Row],[GrossSales]]*tblTransactions[[#This Row],[Discount]]</f>
        <v>4472.4340000000002</v>
      </c>
      <c r="O152" s="9">
        <f>tblTransactions[[#This Row],[GrossSales]]-tblTransactions[[#This Row],[DiscountAmount]]</f>
        <v>40251.905999999995</v>
      </c>
      <c r="P152" s="9">
        <f>_xlfn.XLOOKUP(tblTransactions[[#This Row],[ProductID]],tblProducts[ProductID],tblProducts[UnitCost])</f>
        <v>12317.6</v>
      </c>
      <c r="Q152" s="9">
        <f>tblTransactions[[#This Row],[Quantity]]*tblTransactions[[#This Row],[UnitCost]]</f>
        <v>24635.200000000001</v>
      </c>
      <c r="R152" s="9">
        <f>tblTransactions[[#This Row],[NetRevenue]]-tblTransactions[[#This Row],[TotalCost]]</f>
        <v>15616.705999999995</v>
      </c>
      <c r="S152" t="str">
        <f>_xlfn.XLOOKUP(tblTransactions[[#This Row],[ProductID]],tblProducts[ProductID],tblProducts[Category])</f>
        <v>Electronics</v>
      </c>
    </row>
    <row r="153" spans="1:19">
      <c r="A153" t="s">
        <v>16470</v>
      </c>
      <c r="B153" s="1">
        <v>45093</v>
      </c>
      <c r="C153" t="s">
        <v>13911</v>
      </c>
      <c r="D153" t="str">
        <f>_xlfn.XLOOKUP(tblTransactions[[#This Row],[CustomerID]],tblCustomers[CustomerID],tblCustomers[CustomerName])</f>
        <v>Omkaar Basu</v>
      </c>
      <c r="E153" t="s">
        <v>16160</v>
      </c>
      <c r="F153" t="str">
        <f>_xlfn.XLOOKUP(tblTransactions[[#This Row],[ProductID]],tblProducts[ProductID],tblProducts[ProductName])</f>
        <v>Namkeen B7</v>
      </c>
      <c r="G153" t="s">
        <v>16303</v>
      </c>
      <c r="H153" t="str">
        <f>_xlfn.XLOOKUP(tblTransactions[[#This Row],[StoreID]],tblStores[StoreID],tblStores[Region])</f>
        <v>West</v>
      </c>
      <c r="I153">
        <v>2</v>
      </c>
      <c r="J153">
        <v>0.05</v>
      </c>
      <c r="K153" t="s">
        <v>16321</v>
      </c>
      <c r="L153" s="9">
        <f>_xlfn.XLOOKUP(tblTransactions[[#This Row],[ProductID]],tblProducts[ProductID],tblProducts[UnitPrice])</f>
        <v>1123.58</v>
      </c>
      <c r="M153" s="9">
        <f>tblTransactions[[#This Row],[Quantity]]*tblTransactions[[#This Row],[UnitPrice]]</f>
        <v>2247.16</v>
      </c>
      <c r="N153" s="9">
        <f>tblTransactions[[#This Row],[GrossSales]]*tblTransactions[[#This Row],[Discount]]</f>
        <v>112.358</v>
      </c>
      <c r="O153" s="9">
        <f>tblTransactions[[#This Row],[GrossSales]]-tblTransactions[[#This Row],[DiscountAmount]]</f>
        <v>2134.8019999999997</v>
      </c>
      <c r="P153" s="9">
        <f>_xlfn.XLOOKUP(tblTransactions[[#This Row],[ProductID]],tblProducts[ProductID],tblProducts[UnitCost])</f>
        <v>665.75</v>
      </c>
      <c r="Q153" s="9">
        <f>tblTransactions[[#This Row],[Quantity]]*tblTransactions[[#This Row],[UnitCost]]</f>
        <v>1331.5</v>
      </c>
      <c r="R153" s="9">
        <f>tblTransactions[[#This Row],[NetRevenue]]-tblTransactions[[#This Row],[TotalCost]]</f>
        <v>803.30199999999968</v>
      </c>
      <c r="S153" t="str">
        <f>_xlfn.XLOOKUP(tblTransactions[[#This Row],[ProductID]],tblProducts[ProductID],tblProducts[Category])</f>
        <v>Grocery</v>
      </c>
    </row>
    <row r="154" spans="1:19">
      <c r="A154" t="s">
        <v>16471</v>
      </c>
      <c r="B154" s="1">
        <v>45093</v>
      </c>
      <c r="C154" t="s">
        <v>3079</v>
      </c>
      <c r="D154" t="str">
        <f>_xlfn.XLOOKUP(tblTransactions[[#This Row],[CustomerID]],tblCustomers[CustomerID],tblCustomers[CustomerName])</f>
        <v>Devika Naidu</v>
      </c>
      <c r="E154" t="s">
        <v>16110</v>
      </c>
      <c r="F154" t="str">
        <f>_xlfn.XLOOKUP(tblTransactions[[#This Row],[ProductID]],tblProducts[ProductID],tblProducts[ProductName])</f>
        <v>Kids T-Shirt E5</v>
      </c>
      <c r="G154" t="s">
        <v>16283</v>
      </c>
      <c r="H154" t="str">
        <f>_xlfn.XLOOKUP(tblTransactions[[#This Row],[StoreID]],tblStores[StoreID],tblStores[Region])</f>
        <v>South</v>
      </c>
      <c r="I154">
        <v>1</v>
      </c>
      <c r="J154">
        <v>0.05</v>
      </c>
      <c r="K154" t="s">
        <v>16317</v>
      </c>
      <c r="L154" s="9">
        <f>_xlfn.XLOOKUP(tblTransactions[[#This Row],[ProductID]],tblProducts[ProductID],tblProducts[UnitPrice])</f>
        <v>508.67</v>
      </c>
      <c r="M154" s="9">
        <f>tblTransactions[[#This Row],[Quantity]]*tblTransactions[[#This Row],[UnitPrice]]</f>
        <v>508.67</v>
      </c>
      <c r="N154" s="9">
        <f>tblTransactions[[#This Row],[GrossSales]]*tblTransactions[[#This Row],[Discount]]</f>
        <v>25.433500000000002</v>
      </c>
      <c r="O154" s="9">
        <f>tblTransactions[[#This Row],[GrossSales]]-tblTransactions[[#This Row],[DiscountAmount]]</f>
        <v>483.23650000000004</v>
      </c>
      <c r="P154" s="9">
        <f>_xlfn.XLOOKUP(tblTransactions[[#This Row],[ProductID]],tblProducts[ProductID],tblProducts[UnitCost])</f>
        <v>386.39</v>
      </c>
      <c r="Q154" s="9">
        <f>tblTransactions[[#This Row],[Quantity]]*tblTransactions[[#This Row],[UnitCost]]</f>
        <v>386.39</v>
      </c>
      <c r="R154" s="9">
        <f>tblTransactions[[#This Row],[NetRevenue]]-tblTransactions[[#This Row],[TotalCost]]</f>
        <v>96.846500000000049</v>
      </c>
      <c r="S154" t="str">
        <f>_xlfn.XLOOKUP(tblTransactions[[#This Row],[ProductID]],tblProducts[ProductID],tblProducts[Category])</f>
        <v>Clothing</v>
      </c>
    </row>
    <row r="155" spans="1:19">
      <c r="A155" t="s">
        <v>16472</v>
      </c>
      <c r="B155" s="1">
        <v>45094</v>
      </c>
      <c r="C155" t="s">
        <v>13020</v>
      </c>
      <c r="D155" t="str">
        <f>_xlfn.XLOOKUP(tblTransactions[[#This Row],[CustomerID]],tblCustomers[CustomerID],tblCustomers[CustomerName])</f>
        <v>Henry Butala</v>
      </c>
      <c r="E155" t="s">
        <v>16021</v>
      </c>
      <c r="F155" t="str">
        <f>_xlfn.XLOOKUP(tblTransactions[[#This Row],[ProductID]],tblProducts[ProductID],tblProducts[ProductName])</f>
        <v>Microwave Oven A6</v>
      </c>
      <c r="G155" t="s">
        <v>16262</v>
      </c>
      <c r="H155" t="str">
        <f>_xlfn.XLOOKUP(tblTransactions[[#This Row],[StoreID]],tblStores[StoreID],tblStores[Region])</f>
        <v>North</v>
      </c>
      <c r="I155">
        <v>1</v>
      </c>
      <c r="J155">
        <v>0.1</v>
      </c>
      <c r="K155" t="s">
        <v>16317</v>
      </c>
      <c r="L155" s="9">
        <f>_xlfn.XLOOKUP(tblTransactions[[#This Row],[ProductID]],tblProducts[ProductID],tblProducts[UnitPrice])</f>
        <v>20212.79</v>
      </c>
      <c r="M155" s="9">
        <f>tblTransactions[[#This Row],[Quantity]]*tblTransactions[[#This Row],[UnitPrice]]</f>
        <v>20212.79</v>
      </c>
      <c r="N155" s="9">
        <f>tblTransactions[[#This Row],[GrossSales]]*tblTransactions[[#This Row],[Discount]]</f>
        <v>2021.2790000000002</v>
      </c>
      <c r="O155" s="9">
        <f>tblTransactions[[#This Row],[GrossSales]]-tblTransactions[[#This Row],[DiscountAmount]]</f>
        <v>18191.511000000002</v>
      </c>
      <c r="P155" s="9">
        <f>_xlfn.XLOOKUP(tblTransactions[[#This Row],[ProductID]],tblProducts[ProductID],tblProducts[UnitCost])</f>
        <v>16868.88</v>
      </c>
      <c r="Q155" s="9">
        <f>tblTransactions[[#This Row],[Quantity]]*tblTransactions[[#This Row],[UnitCost]]</f>
        <v>16868.88</v>
      </c>
      <c r="R155" s="9">
        <f>tblTransactions[[#This Row],[NetRevenue]]-tblTransactions[[#This Row],[TotalCost]]</f>
        <v>1322.6310000000012</v>
      </c>
      <c r="S155" t="str">
        <f>_xlfn.XLOOKUP(tblTransactions[[#This Row],[ProductID]],tblProducts[ProductID],tblProducts[Category])</f>
        <v>Home &amp; Kitchen</v>
      </c>
    </row>
    <row r="156" spans="1:19">
      <c r="A156" t="s">
        <v>16473</v>
      </c>
      <c r="B156" s="1">
        <v>45094</v>
      </c>
      <c r="C156" t="s">
        <v>9636</v>
      </c>
      <c r="D156" t="str">
        <f>_xlfn.XLOOKUP(tblTransactions[[#This Row],[CustomerID]],tblCustomers[CustomerID],tblCustomers[CustomerName])</f>
        <v>Nidra Sankaran</v>
      </c>
      <c r="E156" t="s">
        <v>15992</v>
      </c>
      <c r="F156" t="str">
        <f>_xlfn.XLOOKUP(tblTransactions[[#This Row],[ProductID]],tblProducts[ProductID],tblProducts[ProductName])</f>
        <v>Wireless Headphones B7</v>
      </c>
      <c r="G156" t="s">
        <v>16297</v>
      </c>
      <c r="H156" t="str">
        <f>_xlfn.XLOOKUP(tblTransactions[[#This Row],[StoreID]],tblStores[StoreID],tblStores[Region])</f>
        <v>North</v>
      </c>
      <c r="I156">
        <v>1</v>
      </c>
      <c r="J156">
        <v>0</v>
      </c>
      <c r="K156" t="s">
        <v>16317</v>
      </c>
      <c r="L156" s="9">
        <f>_xlfn.XLOOKUP(tblTransactions[[#This Row],[ProductID]],tblProducts[ProductID],tblProducts[UnitPrice])</f>
        <v>52596.38</v>
      </c>
      <c r="M156" s="9">
        <f>tblTransactions[[#This Row],[Quantity]]*tblTransactions[[#This Row],[UnitPrice]]</f>
        <v>52596.38</v>
      </c>
      <c r="N156" s="9">
        <f>tblTransactions[[#This Row],[GrossSales]]*tblTransactions[[#This Row],[Discount]]</f>
        <v>0</v>
      </c>
      <c r="O156" s="9">
        <f>tblTransactions[[#This Row],[GrossSales]]-tblTransactions[[#This Row],[DiscountAmount]]</f>
        <v>52596.38</v>
      </c>
      <c r="P156" s="9">
        <f>_xlfn.XLOOKUP(tblTransactions[[#This Row],[ProductID]],tblProducts[ProductID],tblProducts[UnitCost])</f>
        <v>36028.78</v>
      </c>
      <c r="Q156" s="9">
        <f>tblTransactions[[#This Row],[Quantity]]*tblTransactions[[#This Row],[UnitCost]]</f>
        <v>36028.78</v>
      </c>
      <c r="R156" s="9">
        <f>tblTransactions[[#This Row],[NetRevenue]]-tblTransactions[[#This Row],[TotalCost]]</f>
        <v>16567.599999999999</v>
      </c>
      <c r="S156" t="str">
        <f>_xlfn.XLOOKUP(tblTransactions[[#This Row],[ProductID]],tblProducts[ProductID],tblProducts[Category])</f>
        <v>Electronics</v>
      </c>
    </row>
    <row r="157" spans="1:19">
      <c r="A157" t="s">
        <v>16474</v>
      </c>
      <c r="B157" s="1">
        <v>45095</v>
      </c>
      <c r="C157" t="s">
        <v>15349</v>
      </c>
      <c r="D157" t="str">
        <f>_xlfn.XLOOKUP(tblTransactions[[#This Row],[CustomerID]],tblCustomers[CustomerID],tblCustomers[CustomerName])</f>
        <v>Aadi Mital</v>
      </c>
      <c r="E157" t="s">
        <v>15997</v>
      </c>
      <c r="F157" t="str">
        <f>_xlfn.XLOOKUP(tblTransactions[[#This Row],[ProductID]],tblProducts[ProductID],tblProducts[ProductName])</f>
        <v>USB-C Cable B2</v>
      </c>
      <c r="G157" t="s">
        <v>16277</v>
      </c>
      <c r="H157" t="str">
        <f>_xlfn.XLOOKUP(tblTransactions[[#This Row],[StoreID]],tblStores[StoreID],tblStores[Region])</f>
        <v>West</v>
      </c>
      <c r="I157">
        <v>1</v>
      </c>
      <c r="J157">
        <v>0.1</v>
      </c>
      <c r="K157" t="s">
        <v>16315</v>
      </c>
      <c r="L157" s="9">
        <f>_xlfn.XLOOKUP(tblTransactions[[#This Row],[ProductID]],tblProducts[ProductID],tblProducts[UnitPrice])</f>
        <v>77394.210000000006</v>
      </c>
      <c r="M157" s="9">
        <f>tblTransactions[[#This Row],[Quantity]]*tblTransactions[[#This Row],[UnitPrice]]</f>
        <v>77394.210000000006</v>
      </c>
      <c r="N157" s="9">
        <f>tblTransactions[[#This Row],[GrossSales]]*tblTransactions[[#This Row],[Discount]]</f>
        <v>7739.4210000000012</v>
      </c>
      <c r="O157" s="9">
        <f>tblTransactions[[#This Row],[GrossSales]]-tblTransactions[[#This Row],[DiscountAmount]]</f>
        <v>69654.789000000004</v>
      </c>
      <c r="P157" s="9">
        <f>_xlfn.XLOOKUP(tblTransactions[[#This Row],[ProductID]],tblProducts[ProductID],tblProducts[UnitCost])</f>
        <v>49038.67</v>
      </c>
      <c r="Q157" s="9">
        <f>tblTransactions[[#This Row],[Quantity]]*tblTransactions[[#This Row],[UnitCost]]</f>
        <v>49038.67</v>
      </c>
      <c r="R157" s="9">
        <f>tblTransactions[[#This Row],[NetRevenue]]-tblTransactions[[#This Row],[TotalCost]]</f>
        <v>20616.119000000006</v>
      </c>
      <c r="S157" t="str">
        <f>_xlfn.XLOOKUP(tblTransactions[[#This Row],[ProductID]],tblProducts[ProductID],tblProducts[Category])</f>
        <v>Electronics</v>
      </c>
    </row>
    <row r="158" spans="1:19">
      <c r="A158" t="s">
        <v>16475</v>
      </c>
      <c r="B158" s="1">
        <v>45097</v>
      </c>
      <c r="C158" t="s">
        <v>900</v>
      </c>
      <c r="D158" t="str">
        <f>_xlfn.XLOOKUP(tblTransactions[[#This Row],[CustomerID]],tblCustomers[CustomerID],tblCustomers[CustomerName])</f>
        <v>Ekansh Singh</v>
      </c>
      <c r="E158" t="s">
        <v>16091</v>
      </c>
      <c r="F158" t="str">
        <f>_xlfn.XLOOKUP(tblTransactions[[#This Row],[ProductID]],tblProducts[ProductID],tblProducts[ProductName])</f>
        <v>Women's Jacket C3</v>
      </c>
      <c r="G158" t="s">
        <v>16256</v>
      </c>
      <c r="H158" t="str">
        <f>_xlfn.XLOOKUP(tblTransactions[[#This Row],[StoreID]],tblStores[StoreID],tblStores[Region])</f>
        <v>East</v>
      </c>
      <c r="I158">
        <v>1</v>
      </c>
      <c r="J158">
        <v>0.05</v>
      </c>
      <c r="K158" t="s">
        <v>16321</v>
      </c>
      <c r="L158" s="9">
        <f>_xlfn.XLOOKUP(tblTransactions[[#This Row],[ProductID]],tblProducts[ProductID],tblProducts[UnitPrice])</f>
        <v>3661.03</v>
      </c>
      <c r="M158" s="9">
        <f>tblTransactions[[#This Row],[Quantity]]*tblTransactions[[#This Row],[UnitPrice]]</f>
        <v>3661.03</v>
      </c>
      <c r="N158" s="9">
        <f>tblTransactions[[#This Row],[GrossSales]]*tblTransactions[[#This Row],[Discount]]</f>
        <v>183.05150000000003</v>
      </c>
      <c r="O158" s="9">
        <f>tblTransactions[[#This Row],[GrossSales]]-tblTransactions[[#This Row],[DiscountAmount]]</f>
        <v>3477.9785000000002</v>
      </c>
      <c r="P158" s="9">
        <f>_xlfn.XLOOKUP(tblTransactions[[#This Row],[ProductID]],tblProducts[ProductID],tblProducts[UnitCost])</f>
        <v>2588.56</v>
      </c>
      <c r="Q158" s="9">
        <f>tblTransactions[[#This Row],[Quantity]]*tblTransactions[[#This Row],[UnitCost]]</f>
        <v>2588.56</v>
      </c>
      <c r="R158" s="9">
        <f>tblTransactions[[#This Row],[NetRevenue]]-tblTransactions[[#This Row],[TotalCost]]</f>
        <v>889.41850000000022</v>
      </c>
      <c r="S158" t="str">
        <f>_xlfn.XLOOKUP(tblTransactions[[#This Row],[ProductID]],tblProducts[ProductID],tblProducts[Category])</f>
        <v>Clothing</v>
      </c>
    </row>
    <row r="159" spans="1:19">
      <c r="A159" t="s">
        <v>16476</v>
      </c>
      <c r="B159" s="1">
        <v>45097</v>
      </c>
      <c r="C159" t="s">
        <v>1097</v>
      </c>
      <c r="D159" t="str">
        <f>_xlfn.XLOOKUP(tblTransactions[[#This Row],[CustomerID]],tblCustomers[CustomerID],tblCustomers[CustomerName])</f>
        <v>Zarna Ram</v>
      </c>
      <c r="E159" t="s">
        <v>16236</v>
      </c>
      <c r="F159" t="str">
        <f>_xlfn.XLOOKUP(tblTransactions[[#This Row],[ProductID]],tblProducts[ProductID],tblProducts[ProductName])</f>
        <v>Body Lotion B7</v>
      </c>
      <c r="G159" t="s">
        <v>16303</v>
      </c>
      <c r="H159" t="str">
        <f>_xlfn.XLOOKUP(tblTransactions[[#This Row],[StoreID]],tblStores[StoreID],tblStores[Region])</f>
        <v>West</v>
      </c>
      <c r="I159">
        <v>3</v>
      </c>
      <c r="J159">
        <v>0</v>
      </c>
      <c r="K159" t="s">
        <v>16319</v>
      </c>
      <c r="L159" s="9">
        <f>_xlfn.XLOOKUP(tblTransactions[[#This Row],[ProductID]],tblProducts[ProductID],tblProducts[UnitPrice])</f>
        <v>4198.8999999999996</v>
      </c>
      <c r="M159" s="9">
        <f>tblTransactions[[#This Row],[Quantity]]*tblTransactions[[#This Row],[UnitPrice]]</f>
        <v>12596.699999999999</v>
      </c>
      <c r="N159" s="9">
        <f>tblTransactions[[#This Row],[GrossSales]]*tblTransactions[[#This Row],[Discount]]</f>
        <v>0</v>
      </c>
      <c r="O159" s="9">
        <f>tblTransactions[[#This Row],[GrossSales]]-tblTransactions[[#This Row],[DiscountAmount]]</f>
        <v>12596.699999999999</v>
      </c>
      <c r="P159" s="9">
        <f>_xlfn.XLOOKUP(tblTransactions[[#This Row],[ProductID]],tblProducts[ProductID],tblProducts[UnitCost])</f>
        <v>2920.65</v>
      </c>
      <c r="Q159" s="9">
        <f>tblTransactions[[#This Row],[Quantity]]*tblTransactions[[#This Row],[UnitCost]]</f>
        <v>8761.9500000000007</v>
      </c>
      <c r="R159" s="9">
        <f>tblTransactions[[#This Row],[NetRevenue]]-tblTransactions[[#This Row],[TotalCost]]</f>
        <v>3834.7499999999982</v>
      </c>
      <c r="S159" t="str">
        <f>_xlfn.XLOOKUP(tblTransactions[[#This Row],[ProductID]],tblProducts[ProductID],tblProducts[Category])</f>
        <v>Personal Care</v>
      </c>
    </row>
    <row r="160" spans="1:19">
      <c r="A160" t="s">
        <v>16477</v>
      </c>
      <c r="B160" s="1">
        <v>45099</v>
      </c>
      <c r="C160" t="s">
        <v>12898</v>
      </c>
      <c r="D160" t="str">
        <f>_xlfn.XLOOKUP(tblTransactions[[#This Row],[CustomerID]],tblCustomers[CustomerID],tblCustomers[CustomerName])</f>
        <v>Pratyush Mody</v>
      </c>
      <c r="E160" t="s">
        <v>15975</v>
      </c>
      <c r="F160" t="str">
        <f>_xlfn.XLOOKUP(tblTransactions[[#This Row],[ProductID]],tblProducts[ProductID],tblProducts[ProductName])</f>
        <v>Student Laptop B7</v>
      </c>
      <c r="G160" t="s">
        <v>16285</v>
      </c>
      <c r="H160" t="str">
        <f>_xlfn.XLOOKUP(tblTransactions[[#This Row],[StoreID]],tblStores[StoreID],tblStores[Region])</f>
        <v>West</v>
      </c>
      <c r="I160">
        <v>4</v>
      </c>
      <c r="J160">
        <v>0</v>
      </c>
      <c r="K160" t="s">
        <v>16319</v>
      </c>
      <c r="L160" s="9">
        <f>_xlfn.XLOOKUP(tblTransactions[[#This Row],[ProductID]],tblProducts[ProductID],tblProducts[UnitPrice])</f>
        <v>36481.47</v>
      </c>
      <c r="M160" s="9">
        <f>tblTransactions[[#This Row],[Quantity]]*tblTransactions[[#This Row],[UnitPrice]]</f>
        <v>145925.88</v>
      </c>
      <c r="N160" s="9">
        <f>tblTransactions[[#This Row],[GrossSales]]*tblTransactions[[#This Row],[Discount]]</f>
        <v>0</v>
      </c>
      <c r="O160" s="9">
        <f>tblTransactions[[#This Row],[GrossSales]]-tblTransactions[[#This Row],[DiscountAmount]]</f>
        <v>145925.88</v>
      </c>
      <c r="P160" s="9">
        <f>_xlfn.XLOOKUP(tblTransactions[[#This Row],[ProductID]],tblProducts[ProductID],tblProducts[UnitCost])</f>
        <v>30666.16</v>
      </c>
      <c r="Q160" s="9">
        <f>tblTransactions[[#This Row],[Quantity]]*tblTransactions[[#This Row],[UnitCost]]</f>
        <v>122664.64</v>
      </c>
      <c r="R160" s="9">
        <f>tblTransactions[[#This Row],[NetRevenue]]-tblTransactions[[#This Row],[TotalCost]]</f>
        <v>23261.240000000005</v>
      </c>
      <c r="S160" t="str">
        <f>_xlfn.XLOOKUP(tblTransactions[[#This Row],[ProductID]],tblProducts[ProductID],tblProducts[Category])</f>
        <v>Electronics</v>
      </c>
    </row>
    <row r="161" spans="1:19">
      <c r="A161" t="s">
        <v>16478</v>
      </c>
      <c r="B161" s="1">
        <v>45099</v>
      </c>
      <c r="C161" t="s">
        <v>1314</v>
      </c>
      <c r="D161" t="str">
        <f>_xlfn.XLOOKUP(tblTransactions[[#This Row],[CustomerID]],tblCustomers[CustomerID],tblCustomers[CustomerName])</f>
        <v>Aarini Grewal</v>
      </c>
      <c r="E161" t="s">
        <v>15984</v>
      </c>
      <c r="F161" t="str">
        <f>_xlfn.XLOOKUP(tblTransactions[[#This Row],[ProductID]],tblProducts[ProductID],tblProducts[ProductName])</f>
        <v>Bluetooth Speaker C3</v>
      </c>
      <c r="G161" t="s">
        <v>16287</v>
      </c>
      <c r="H161" t="str">
        <f>_xlfn.XLOOKUP(tblTransactions[[#This Row],[StoreID]],tblStores[StoreID],tblStores[Region])</f>
        <v>North</v>
      </c>
      <c r="I161">
        <v>1</v>
      </c>
      <c r="J161">
        <v>0.1</v>
      </c>
      <c r="K161" t="s">
        <v>16317</v>
      </c>
      <c r="L161" s="9">
        <f>_xlfn.XLOOKUP(tblTransactions[[#This Row],[ProductID]],tblProducts[ProductID],tblProducts[UnitPrice])</f>
        <v>76661.149999999994</v>
      </c>
      <c r="M161" s="9">
        <f>tblTransactions[[#This Row],[Quantity]]*tblTransactions[[#This Row],[UnitPrice]]</f>
        <v>76661.149999999994</v>
      </c>
      <c r="N161" s="9">
        <f>tblTransactions[[#This Row],[GrossSales]]*tblTransactions[[#This Row],[Discount]]</f>
        <v>7666.1149999999998</v>
      </c>
      <c r="O161" s="9">
        <f>tblTransactions[[#This Row],[GrossSales]]-tblTransactions[[#This Row],[DiscountAmount]]</f>
        <v>68995.034999999989</v>
      </c>
      <c r="P161" s="9">
        <f>_xlfn.XLOOKUP(tblTransactions[[#This Row],[ProductID]],tblProducts[ProductID],tblProducts[UnitCost])</f>
        <v>44142.48</v>
      </c>
      <c r="Q161" s="9">
        <f>tblTransactions[[#This Row],[Quantity]]*tblTransactions[[#This Row],[UnitCost]]</f>
        <v>44142.48</v>
      </c>
      <c r="R161" s="9">
        <f>tblTransactions[[#This Row],[NetRevenue]]-tblTransactions[[#This Row],[TotalCost]]</f>
        <v>24852.554999999986</v>
      </c>
      <c r="S161" t="str">
        <f>_xlfn.XLOOKUP(tblTransactions[[#This Row],[ProductID]],tblProducts[ProductID],tblProducts[Category])</f>
        <v>Electronics</v>
      </c>
    </row>
    <row r="162" spans="1:19">
      <c r="A162" t="s">
        <v>16479</v>
      </c>
      <c r="B162" s="1">
        <v>45101</v>
      </c>
      <c r="C162" t="s">
        <v>8299</v>
      </c>
      <c r="D162" t="str">
        <f>_xlfn.XLOOKUP(tblTransactions[[#This Row],[CustomerID]],tblCustomers[CustomerID],tblCustomers[CustomerName])</f>
        <v>Deepa Viswanathan</v>
      </c>
      <c r="E162" t="s">
        <v>16226</v>
      </c>
      <c r="F162" t="str">
        <f>_xlfn.XLOOKUP(tblTransactions[[#This Row],[ProductID]],tblProducts[ProductID],tblProducts[ProductName])</f>
        <v>Body Wash B2</v>
      </c>
      <c r="G162" t="s">
        <v>16283</v>
      </c>
      <c r="H162" t="str">
        <f>_xlfn.XLOOKUP(tblTransactions[[#This Row],[StoreID]],tblStores[StoreID],tblStores[Region])</f>
        <v>South</v>
      </c>
      <c r="I162">
        <v>2</v>
      </c>
      <c r="J162">
        <v>0</v>
      </c>
      <c r="K162" t="s">
        <v>16321</v>
      </c>
      <c r="L162" s="9">
        <f>_xlfn.XLOOKUP(tblTransactions[[#This Row],[ProductID]],tblProducts[ProductID],tblProducts[UnitPrice])</f>
        <v>3897.08</v>
      </c>
      <c r="M162" s="9">
        <f>tblTransactions[[#This Row],[Quantity]]*tblTransactions[[#This Row],[UnitPrice]]</f>
        <v>7794.16</v>
      </c>
      <c r="N162" s="9">
        <f>tblTransactions[[#This Row],[GrossSales]]*tblTransactions[[#This Row],[Discount]]</f>
        <v>0</v>
      </c>
      <c r="O162" s="9">
        <f>tblTransactions[[#This Row],[GrossSales]]-tblTransactions[[#This Row],[DiscountAmount]]</f>
        <v>7794.16</v>
      </c>
      <c r="P162" s="9">
        <f>_xlfn.XLOOKUP(tblTransactions[[#This Row],[ProductID]],tblProducts[ProductID],tblProducts[UnitCost])</f>
        <v>3214.46</v>
      </c>
      <c r="Q162" s="9">
        <f>tblTransactions[[#This Row],[Quantity]]*tblTransactions[[#This Row],[UnitCost]]</f>
        <v>6428.92</v>
      </c>
      <c r="R162" s="9">
        <f>tblTransactions[[#This Row],[NetRevenue]]-tblTransactions[[#This Row],[TotalCost]]</f>
        <v>1365.2399999999998</v>
      </c>
      <c r="S162" t="str">
        <f>_xlfn.XLOOKUP(tblTransactions[[#This Row],[ProductID]],tblProducts[ProductID],tblProducts[Category])</f>
        <v>Personal Care</v>
      </c>
    </row>
    <row r="163" spans="1:19">
      <c r="A163" t="s">
        <v>16480</v>
      </c>
      <c r="B163" s="1">
        <v>45104</v>
      </c>
      <c r="C163" t="s">
        <v>8675</v>
      </c>
      <c r="D163" t="str">
        <f>_xlfn.XLOOKUP(tblTransactions[[#This Row],[CustomerID]],tblCustomers[CustomerID],tblCustomers[CustomerName])</f>
        <v>Triveni Sethi</v>
      </c>
      <c r="E163" t="s">
        <v>16095</v>
      </c>
      <c r="F163" t="str">
        <f>_xlfn.XLOOKUP(tblTransactions[[#This Row],[ProductID]],tblProducts[ProductID],tblProducts[ProductName])</f>
        <v>Women's Jeans E5</v>
      </c>
      <c r="G163" t="s">
        <v>16273</v>
      </c>
      <c r="H163" t="str">
        <f>_xlfn.XLOOKUP(tblTransactions[[#This Row],[StoreID]],tblStores[StoreID],tblStores[Region])</f>
        <v>West</v>
      </c>
      <c r="I163">
        <v>1</v>
      </c>
      <c r="J163">
        <v>0.15</v>
      </c>
      <c r="K163" t="s">
        <v>16317</v>
      </c>
      <c r="L163" s="9">
        <f>_xlfn.XLOOKUP(tblTransactions[[#This Row],[ProductID]],tblProducts[ProductID],tblProducts[UnitPrice])</f>
        <v>909.72</v>
      </c>
      <c r="M163" s="9">
        <f>tblTransactions[[#This Row],[Quantity]]*tblTransactions[[#This Row],[UnitPrice]]</f>
        <v>909.72</v>
      </c>
      <c r="N163" s="9">
        <f>tblTransactions[[#This Row],[GrossSales]]*tblTransactions[[#This Row],[Discount]]</f>
        <v>136.458</v>
      </c>
      <c r="O163" s="9">
        <f>tblTransactions[[#This Row],[GrossSales]]-tblTransactions[[#This Row],[DiscountAmount]]</f>
        <v>773.26200000000006</v>
      </c>
      <c r="P163" s="9">
        <f>_xlfn.XLOOKUP(tblTransactions[[#This Row],[ProductID]],tblProducts[ProductID],tblProducts[UnitCost])</f>
        <v>546.83000000000004</v>
      </c>
      <c r="Q163" s="9">
        <f>tblTransactions[[#This Row],[Quantity]]*tblTransactions[[#This Row],[UnitCost]]</f>
        <v>546.83000000000004</v>
      </c>
      <c r="R163" s="9">
        <f>tblTransactions[[#This Row],[NetRevenue]]-tblTransactions[[#This Row],[TotalCost]]</f>
        <v>226.43200000000002</v>
      </c>
      <c r="S163" t="str">
        <f>_xlfn.XLOOKUP(tblTransactions[[#This Row],[ProductID]],tblProducts[ProductID],tblProducts[Category])</f>
        <v>Clothing</v>
      </c>
    </row>
    <row r="164" spans="1:19">
      <c r="A164" t="s">
        <v>16481</v>
      </c>
      <c r="B164" s="1">
        <v>45109</v>
      </c>
      <c r="C164" t="s">
        <v>6517</v>
      </c>
      <c r="D164" t="str">
        <f>_xlfn.XLOOKUP(tblTransactions[[#This Row],[CustomerID]],tblCustomers[CustomerID],tblCustomers[CustomerName])</f>
        <v>Advay Narasimhan</v>
      </c>
      <c r="E164" t="s">
        <v>16080</v>
      </c>
      <c r="F164" t="str">
        <f>_xlfn.XLOOKUP(tblTransactions[[#This Row],[ProductID]],tblProducts[ProductID],tblProducts[ProductName])</f>
        <v>Men's Jacket E5</v>
      </c>
      <c r="G164" t="s">
        <v>16301</v>
      </c>
      <c r="H164" t="str">
        <f>_xlfn.XLOOKUP(tblTransactions[[#This Row],[StoreID]],tblStores[StoreID],tblStores[Region])</f>
        <v>East</v>
      </c>
      <c r="I164">
        <v>1</v>
      </c>
      <c r="J164">
        <v>0.1</v>
      </c>
      <c r="K164" t="s">
        <v>16317</v>
      </c>
      <c r="L164" s="9">
        <f>_xlfn.XLOOKUP(tblTransactions[[#This Row],[ProductID]],tblProducts[ProductID],tblProducts[UnitPrice])</f>
        <v>2211.5500000000002</v>
      </c>
      <c r="M164" s="9">
        <f>tblTransactions[[#This Row],[Quantity]]*tblTransactions[[#This Row],[UnitPrice]]</f>
        <v>2211.5500000000002</v>
      </c>
      <c r="N164" s="9">
        <f>tblTransactions[[#This Row],[GrossSales]]*tblTransactions[[#This Row],[Discount]]</f>
        <v>221.15500000000003</v>
      </c>
      <c r="O164" s="9">
        <f>tblTransactions[[#This Row],[GrossSales]]-tblTransactions[[#This Row],[DiscountAmount]]</f>
        <v>1990.3950000000002</v>
      </c>
      <c r="P164" s="9">
        <f>_xlfn.XLOOKUP(tblTransactions[[#This Row],[ProductID]],tblProducts[ProductID],tblProducts[UnitCost])</f>
        <v>1820.39</v>
      </c>
      <c r="Q164" s="9">
        <f>tblTransactions[[#This Row],[Quantity]]*tblTransactions[[#This Row],[UnitCost]]</f>
        <v>1820.39</v>
      </c>
      <c r="R164" s="9">
        <f>tblTransactions[[#This Row],[NetRevenue]]-tblTransactions[[#This Row],[TotalCost]]</f>
        <v>170.00500000000011</v>
      </c>
      <c r="S164" t="str">
        <f>_xlfn.XLOOKUP(tblTransactions[[#This Row],[ProductID]],tblProducts[ProductID],tblProducts[Category])</f>
        <v>Clothing</v>
      </c>
    </row>
    <row r="165" spans="1:19">
      <c r="A165" t="s">
        <v>16482</v>
      </c>
      <c r="B165" s="1">
        <v>45111</v>
      </c>
      <c r="C165" t="s">
        <v>7113</v>
      </c>
      <c r="D165" t="str">
        <f>_xlfn.XLOOKUP(tblTransactions[[#This Row],[CustomerID]],tblCustomers[CustomerID],tblCustomers[CustomerName])</f>
        <v>Mason Raj</v>
      </c>
      <c r="E165" t="s">
        <v>16060</v>
      </c>
      <c r="F165" t="str">
        <f>_xlfn.XLOOKUP(tblTransactions[[#This Row],[ProductID]],tblProducts[ProductID],tblProducts[ProductName])</f>
        <v>Decorative Vase C3</v>
      </c>
      <c r="G165" t="s">
        <v>16275</v>
      </c>
      <c r="H165" t="str">
        <f>_xlfn.XLOOKUP(tblTransactions[[#This Row],[StoreID]],tblStores[StoreID],tblStores[Region])</f>
        <v>South</v>
      </c>
      <c r="I165">
        <v>3</v>
      </c>
      <c r="J165">
        <v>0</v>
      </c>
      <c r="K165" t="s">
        <v>16325</v>
      </c>
      <c r="L165" s="9">
        <f>_xlfn.XLOOKUP(tblTransactions[[#This Row],[ProductID]],tblProducts[ProductID],tblProducts[UnitPrice])</f>
        <v>26039.41</v>
      </c>
      <c r="M165" s="9">
        <f>tblTransactions[[#This Row],[Quantity]]*tblTransactions[[#This Row],[UnitPrice]]</f>
        <v>78118.23</v>
      </c>
      <c r="N165" s="9">
        <f>tblTransactions[[#This Row],[GrossSales]]*tblTransactions[[#This Row],[Discount]]</f>
        <v>0</v>
      </c>
      <c r="O165" s="9">
        <f>tblTransactions[[#This Row],[GrossSales]]-tblTransactions[[#This Row],[DiscountAmount]]</f>
        <v>78118.23</v>
      </c>
      <c r="P165" s="9">
        <f>_xlfn.XLOOKUP(tblTransactions[[#This Row],[ProductID]],tblProducts[ProductID],tblProducts[UnitCost])</f>
        <v>20592.23</v>
      </c>
      <c r="Q165" s="9">
        <f>tblTransactions[[#This Row],[Quantity]]*tblTransactions[[#This Row],[UnitCost]]</f>
        <v>61776.69</v>
      </c>
      <c r="R165" s="9">
        <f>tblTransactions[[#This Row],[NetRevenue]]-tblTransactions[[#This Row],[TotalCost]]</f>
        <v>16341.539999999994</v>
      </c>
      <c r="S165" t="str">
        <f>_xlfn.XLOOKUP(tblTransactions[[#This Row],[ProductID]],tblProducts[ProductID],tblProducts[Category])</f>
        <v>Home &amp; Kitchen</v>
      </c>
    </row>
    <row r="166" spans="1:19">
      <c r="A166" t="s">
        <v>16483</v>
      </c>
      <c r="B166" s="1">
        <v>45112</v>
      </c>
      <c r="C166" t="s">
        <v>9348</v>
      </c>
      <c r="D166" t="str">
        <f>_xlfn.XLOOKUP(tblTransactions[[#This Row],[CustomerID]],tblCustomers[CustomerID],tblCustomers[CustomerName])</f>
        <v>Samesh Nazareth</v>
      </c>
      <c r="E166" t="s">
        <v>16206</v>
      </c>
      <c r="F166" t="str">
        <f>_xlfn.XLOOKUP(tblTransactions[[#This Row],[ProductID]],tblProducts[ProductID],tblProducts[ProductName])</f>
        <v>Moisturizer B7</v>
      </c>
      <c r="G166" t="s">
        <v>16285</v>
      </c>
      <c r="H166" t="str">
        <f>_xlfn.XLOOKUP(tblTransactions[[#This Row],[StoreID]],tblStores[StoreID],tblStores[Region])</f>
        <v>West</v>
      </c>
      <c r="I166">
        <v>1</v>
      </c>
      <c r="J166">
        <v>0</v>
      </c>
      <c r="K166" t="s">
        <v>16325</v>
      </c>
      <c r="L166" s="9">
        <f>_xlfn.XLOOKUP(tblTransactions[[#This Row],[ProductID]],tblProducts[ProductID],tblProducts[UnitPrice])</f>
        <v>3285.82</v>
      </c>
      <c r="M166" s="9">
        <f>tblTransactions[[#This Row],[Quantity]]*tblTransactions[[#This Row],[UnitPrice]]</f>
        <v>3285.82</v>
      </c>
      <c r="N166" s="9">
        <f>tblTransactions[[#This Row],[GrossSales]]*tblTransactions[[#This Row],[Discount]]</f>
        <v>0</v>
      </c>
      <c r="O166" s="9">
        <f>tblTransactions[[#This Row],[GrossSales]]-tblTransactions[[#This Row],[DiscountAmount]]</f>
        <v>3285.82</v>
      </c>
      <c r="P166" s="9">
        <f>_xlfn.XLOOKUP(tblTransactions[[#This Row],[ProductID]],tblProducts[ProductID],tblProducts[UnitCost])</f>
        <v>2256.9699999999998</v>
      </c>
      <c r="Q166" s="9">
        <f>tblTransactions[[#This Row],[Quantity]]*tblTransactions[[#This Row],[UnitCost]]</f>
        <v>2256.9699999999998</v>
      </c>
      <c r="R166" s="9">
        <f>tblTransactions[[#This Row],[NetRevenue]]-tblTransactions[[#This Row],[TotalCost]]</f>
        <v>1028.8500000000004</v>
      </c>
      <c r="S166" t="str">
        <f>_xlfn.XLOOKUP(tblTransactions[[#This Row],[ProductID]],tblProducts[ProductID],tblProducts[Category])</f>
        <v>Personal Care</v>
      </c>
    </row>
    <row r="167" spans="1:19">
      <c r="A167" t="s">
        <v>16484</v>
      </c>
      <c r="B167" s="1">
        <v>45112</v>
      </c>
      <c r="C167" t="s">
        <v>11400</v>
      </c>
      <c r="D167" t="str">
        <f>_xlfn.XLOOKUP(tblTransactions[[#This Row],[CustomerID]],tblCustomers[CustomerID],tblCustomers[CustomerName])</f>
        <v>Robert Bali</v>
      </c>
      <c r="E167" t="s">
        <v>16131</v>
      </c>
      <c r="F167" t="str">
        <f>_xlfn.XLOOKUP(tblTransactions[[#This Row],[ProductID]],tblProducts[ProductID],tblProducts[ProductName])</f>
        <v>Cooking Oil A1</v>
      </c>
      <c r="G167" t="s">
        <v>16297</v>
      </c>
      <c r="H167" t="str">
        <f>_xlfn.XLOOKUP(tblTransactions[[#This Row],[StoreID]],tblStores[StoreID],tblStores[Region])</f>
        <v>North</v>
      </c>
      <c r="I167">
        <v>1</v>
      </c>
      <c r="J167">
        <v>0.05</v>
      </c>
      <c r="K167" t="s">
        <v>16315</v>
      </c>
      <c r="L167" s="9">
        <f>_xlfn.XLOOKUP(tblTransactions[[#This Row],[ProductID]],tblProducts[ProductID],tblProducts[UnitPrice])</f>
        <v>587.35</v>
      </c>
      <c r="M167" s="9">
        <f>tblTransactions[[#This Row],[Quantity]]*tblTransactions[[#This Row],[UnitPrice]]</f>
        <v>587.35</v>
      </c>
      <c r="N167" s="9">
        <f>tblTransactions[[#This Row],[GrossSales]]*tblTransactions[[#This Row],[Discount]]</f>
        <v>29.367500000000003</v>
      </c>
      <c r="O167" s="9">
        <f>tblTransactions[[#This Row],[GrossSales]]-tblTransactions[[#This Row],[DiscountAmount]]</f>
        <v>557.98250000000007</v>
      </c>
      <c r="P167" s="9">
        <f>_xlfn.XLOOKUP(tblTransactions[[#This Row],[ProductID]],tblProducts[ProductID],tblProducts[UnitCost])</f>
        <v>438.09</v>
      </c>
      <c r="Q167" s="9">
        <f>tblTransactions[[#This Row],[Quantity]]*tblTransactions[[#This Row],[UnitCost]]</f>
        <v>438.09</v>
      </c>
      <c r="R167" s="9">
        <f>tblTransactions[[#This Row],[NetRevenue]]-tblTransactions[[#This Row],[TotalCost]]</f>
        <v>119.8925000000001</v>
      </c>
      <c r="S167" t="str">
        <f>_xlfn.XLOOKUP(tblTransactions[[#This Row],[ProductID]],tblProducts[ProductID],tblProducts[Category])</f>
        <v>Grocery</v>
      </c>
    </row>
    <row r="168" spans="1:19">
      <c r="A168" t="s">
        <v>16485</v>
      </c>
      <c r="B168" s="1">
        <v>45112</v>
      </c>
      <c r="C168" t="s">
        <v>12733</v>
      </c>
      <c r="D168" t="str">
        <f>_xlfn.XLOOKUP(tblTransactions[[#This Row],[CustomerID]],tblCustomers[CustomerID],tblCustomers[CustomerName])</f>
        <v>Triveni Thakur</v>
      </c>
      <c r="E168" t="s">
        <v>16091</v>
      </c>
      <c r="F168" t="str">
        <f>_xlfn.XLOOKUP(tblTransactions[[#This Row],[ProductID]],tblProducts[ProductID],tblProducts[ProductName])</f>
        <v>Women's Jacket C3</v>
      </c>
      <c r="G168" t="s">
        <v>16283</v>
      </c>
      <c r="H168" t="str">
        <f>_xlfn.XLOOKUP(tblTransactions[[#This Row],[StoreID]],tblStores[StoreID],tblStores[Region])</f>
        <v>South</v>
      </c>
      <c r="I168">
        <v>1</v>
      </c>
      <c r="J168">
        <v>0.1</v>
      </c>
      <c r="K168" t="s">
        <v>16321</v>
      </c>
      <c r="L168" s="9">
        <f>_xlfn.XLOOKUP(tblTransactions[[#This Row],[ProductID]],tblProducts[ProductID],tblProducts[UnitPrice])</f>
        <v>3661.03</v>
      </c>
      <c r="M168" s="9">
        <f>tblTransactions[[#This Row],[Quantity]]*tblTransactions[[#This Row],[UnitPrice]]</f>
        <v>3661.03</v>
      </c>
      <c r="N168" s="9">
        <f>tblTransactions[[#This Row],[GrossSales]]*tblTransactions[[#This Row],[Discount]]</f>
        <v>366.10300000000007</v>
      </c>
      <c r="O168" s="9">
        <f>tblTransactions[[#This Row],[GrossSales]]-tblTransactions[[#This Row],[DiscountAmount]]</f>
        <v>3294.9270000000001</v>
      </c>
      <c r="P168" s="9">
        <f>_xlfn.XLOOKUP(tblTransactions[[#This Row],[ProductID]],tblProducts[ProductID],tblProducts[UnitCost])</f>
        <v>2588.56</v>
      </c>
      <c r="Q168" s="9">
        <f>tblTransactions[[#This Row],[Quantity]]*tblTransactions[[#This Row],[UnitCost]]</f>
        <v>2588.56</v>
      </c>
      <c r="R168" s="9">
        <f>tblTransactions[[#This Row],[NetRevenue]]-tblTransactions[[#This Row],[TotalCost]]</f>
        <v>706.36700000000019</v>
      </c>
      <c r="S168" t="str">
        <f>_xlfn.XLOOKUP(tblTransactions[[#This Row],[ProductID]],tblProducts[ProductID],tblProducts[Category])</f>
        <v>Clothing</v>
      </c>
    </row>
    <row r="169" spans="1:19">
      <c r="A169" t="s">
        <v>16486</v>
      </c>
      <c r="B169" s="1">
        <v>45112</v>
      </c>
      <c r="C169" t="s">
        <v>14465</v>
      </c>
      <c r="D169" t="str">
        <f>_xlfn.XLOOKUP(tblTransactions[[#This Row],[CustomerID]],tblCustomers[CustomerID],tblCustomers[CustomerName])</f>
        <v>Dalaja Karan</v>
      </c>
      <c r="E169" t="s">
        <v>16038</v>
      </c>
      <c r="F169" t="str">
        <f>_xlfn.XLOOKUP(tblTransactions[[#This Row],[ProductID]],tblProducts[ProductID],tblProducts[ProductName])</f>
        <v>Study Table B7</v>
      </c>
      <c r="G169" t="s">
        <v>16271</v>
      </c>
      <c r="H169" t="str">
        <f>_xlfn.XLOOKUP(tblTransactions[[#This Row],[StoreID]],tblStores[StoreID],tblStores[Region])</f>
        <v>South</v>
      </c>
      <c r="I169">
        <v>1</v>
      </c>
      <c r="J169">
        <v>0</v>
      </c>
      <c r="K169" t="s">
        <v>16325</v>
      </c>
      <c r="L169" s="9">
        <f>_xlfn.XLOOKUP(tblTransactions[[#This Row],[ProductID]],tblProducts[ProductID],tblProducts[UnitPrice])</f>
        <v>4684.91</v>
      </c>
      <c r="M169" s="9">
        <f>tblTransactions[[#This Row],[Quantity]]*tblTransactions[[#This Row],[UnitPrice]]</f>
        <v>4684.91</v>
      </c>
      <c r="N169" s="9">
        <f>tblTransactions[[#This Row],[GrossSales]]*tblTransactions[[#This Row],[Discount]]</f>
        <v>0</v>
      </c>
      <c r="O169" s="9">
        <f>tblTransactions[[#This Row],[GrossSales]]-tblTransactions[[#This Row],[DiscountAmount]]</f>
        <v>4684.91</v>
      </c>
      <c r="P169" s="9">
        <f>_xlfn.XLOOKUP(tblTransactions[[#This Row],[ProductID]],tblProducts[ProductID],tblProducts[UnitCost])</f>
        <v>3005.28</v>
      </c>
      <c r="Q169" s="9">
        <f>tblTransactions[[#This Row],[Quantity]]*tblTransactions[[#This Row],[UnitCost]]</f>
        <v>3005.28</v>
      </c>
      <c r="R169" s="9">
        <f>tblTransactions[[#This Row],[NetRevenue]]-tblTransactions[[#This Row],[TotalCost]]</f>
        <v>1679.6299999999997</v>
      </c>
      <c r="S169" t="str">
        <f>_xlfn.XLOOKUP(tblTransactions[[#This Row],[ProductID]],tblProducts[ProductID],tblProducts[Category])</f>
        <v>Home &amp; Kitchen</v>
      </c>
    </row>
    <row r="170" spans="1:19">
      <c r="A170" t="s">
        <v>16487</v>
      </c>
      <c r="B170" s="1">
        <v>45112</v>
      </c>
      <c r="C170" t="s">
        <v>15219</v>
      </c>
      <c r="D170" t="str">
        <f>_xlfn.XLOOKUP(tblTransactions[[#This Row],[CustomerID]],tblCustomers[CustomerID],tblCustomers[CustomerName])</f>
        <v>Dominic Sankaran</v>
      </c>
      <c r="E170" t="s">
        <v>16202</v>
      </c>
      <c r="F170" t="str">
        <f>_xlfn.XLOOKUP(tblTransactions[[#This Row],[ProductID]],tblProducts[ProductID],tblProducts[ProductName])</f>
        <v>Sunscreen E5</v>
      </c>
      <c r="G170" t="s">
        <v>16283</v>
      </c>
      <c r="H170" t="str">
        <f>_xlfn.XLOOKUP(tblTransactions[[#This Row],[StoreID]],tblStores[StoreID],tblStores[Region])</f>
        <v>South</v>
      </c>
      <c r="I170">
        <v>3</v>
      </c>
      <c r="J170">
        <v>0</v>
      </c>
      <c r="K170" t="s">
        <v>16321</v>
      </c>
      <c r="L170" s="9">
        <f>_xlfn.XLOOKUP(tblTransactions[[#This Row],[ProductID]],tblProducts[ProductID],tblProducts[UnitPrice])</f>
        <v>2328.63</v>
      </c>
      <c r="M170" s="9">
        <f>tblTransactions[[#This Row],[Quantity]]*tblTransactions[[#This Row],[UnitPrice]]</f>
        <v>6985.89</v>
      </c>
      <c r="N170" s="9">
        <f>tblTransactions[[#This Row],[GrossSales]]*tblTransactions[[#This Row],[Discount]]</f>
        <v>0</v>
      </c>
      <c r="O170" s="9">
        <f>tblTransactions[[#This Row],[GrossSales]]-tblTransactions[[#This Row],[DiscountAmount]]</f>
        <v>6985.89</v>
      </c>
      <c r="P170" s="9">
        <f>_xlfn.XLOOKUP(tblTransactions[[#This Row],[ProductID]],tblProducts[ProductID],tblProducts[UnitCost])</f>
        <v>1946.99</v>
      </c>
      <c r="Q170" s="9">
        <f>tblTransactions[[#This Row],[Quantity]]*tblTransactions[[#This Row],[UnitCost]]</f>
        <v>5840.97</v>
      </c>
      <c r="R170" s="9">
        <f>tblTransactions[[#This Row],[NetRevenue]]-tblTransactions[[#This Row],[TotalCost]]</f>
        <v>1144.92</v>
      </c>
      <c r="S170" t="str">
        <f>_xlfn.XLOOKUP(tblTransactions[[#This Row],[ProductID]],tblProducts[ProductID],tblProducts[Category])</f>
        <v>Personal Care</v>
      </c>
    </row>
    <row r="171" spans="1:19">
      <c r="A171" t="s">
        <v>16488</v>
      </c>
      <c r="B171" s="1">
        <v>45115</v>
      </c>
      <c r="C171" t="s">
        <v>14766</v>
      </c>
      <c r="D171" t="str">
        <f>_xlfn.XLOOKUP(tblTransactions[[#This Row],[CustomerID]],tblCustomers[CustomerID],tblCustomers[CustomerName])</f>
        <v>Gunbir Nagarajan</v>
      </c>
      <c r="E171" t="s">
        <v>16177</v>
      </c>
      <c r="F171" t="str">
        <f>_xlfn.XLOOKUP(tblTransactions[[#This Row],[ProductID]],tblProducts[ProductID],tblProducts[ProductName])</f>
        <v>Instant Noodles A1</v>
      </c>
      <c r="G171" t="s">
        <v>16281</v>
      </c>
      <c r="H171" t="str">
        <f>_xlfn.XLOOKUP(tblTransactions[[#This Row],[StoreID]],tblStores[StoreID],tblStores[Region])</f>
        <v>West</v>
      </c>
      <c r="I171">
        <v>1</v>
      </c>
      <c r="J171">
        <v>0</v>
      </c>
      <c r="K171" t="s">
        <v>16325</v>
      </c>
      <c r="L171" s="9">
        <f>_xlfn.XLOOKUP(tblTransactions[[#This Row],[ProductID]],tblProducts[ProductID],tblProducts[UnitPrice])</f>
        <v>1210.1500000000001</v>
      </c>
      <c r="M171" s="9">
        <f>tblTransactions[[#This Row],[Quantity]]*tblTransactions[[#This Row],[UnitPrice]]</f>
        <v>1210.1500000000001</v>
      </c>
      <c r="N171" s="9">
        <f>tblTransactions[[#This Row],[GrossSales]]*tblTransactions[[#This Row],[Discount]]</f>
        <v>0</v>
      </c>
      <c r="O171" s="9">
        <f>tblTransactions[[#This Row],[GrossSales]]-tblTransactions[[#This Row],[DiscountAmount]]</f>
        <v>1210.1500000000001</v>
      </c>
      <c r="P171" s="9">
        <f>_xlfn.XLOOKUP(tblTransactions[[#This Row],[ProductID]],tblProducts[ProductID],tblProducts[UnitCost])</f>
        <v>697.43</v>
      </c>
      <c r="Q171" s="9">
        <f>tblTransactions[[#This Row],[Quantity]]*tblTransactions[[#This Row],[UnitCost]]</f>
        <v>697.43</v>
      </c>
      <c r="R171" s="9">
        <f>tblTransactions[[#This Row],[NetRevenue]]-tblTransactions[[#This Row],[TotalCost]]</f>
        <v>512.72000000000014</v>
      </c>
      <c r="S171" t="str">
        <f>_xlfn.XLOOKUP(tblTransactions[[#This Row],[ProductID]],tblProducts[ProductID],tblProducts[Category])</f>
        <v>Grocery</v>
      </c>
    </row>
    <row r="172" spans="1:19">
      <c r="A172" t="s">
        <v>16489</v>
      </c>
      <c r="B172" s="1">
        <v>45116</v>
      </c>
      <c r="C172" t="s">
        <v>11725</v>
      </c>
      <c r="D172" t="str">
        <f>_xlfn.XLOOKUP(tblTransactions[[#This Row],[CustomerID]],tblCustomers[CustomerID],tblCustomers[CustomerName])</f>
        <v>Aashi Sarraf</v>
      </c>
      <c r="E172" t="s">
        <v>16076</v>
      </c>
      <c r="F172" t="str">
        <f>_xlfn.XLOOKUP(tblTransactions[[#This Row],[ProductID]],tblProducts[ProductID],tblProducts[ProductName])</f>
        <v>Men's Jeans C3</v>
      </c>
      <c r="G172" t="s">
        <v>16277</v>
      </c>
      <c r="H172" t="str">
        <f>_xlfn.XLOOKUP(tblTransactions[[#This Row],[StoreID]],tblStores[StoreID],tblStores[Region])</f>
        <v>West</v>
      </c>
      <c r="I172">
        <v>4</v>
      </c>
      <c r="J172">
        <v>0.2</v>
      </c>
      <c r="K172" t="s">
        <v>16319</v>
      </c>
      <c r="L172" s="9">
        <f>_xlfn.XLOOKUP(tblTransactions[[#This Row],[ProductID]],tblProducts[ProductID],tblProducts[UnitPrice])</f>
        <v>7177.2</v>
      </c>
      <c r="M172" s="9">
        <f>tblTransactions[[#This Row],[Quantity]]*tblTransactions[[#This Row],[UnitPrice]]</f>
        <v>28708.799999999999</v>
      </c>
      <c r="N172" s="9">
        <f>tblTransactions[[#This Row],[GrossSales]]*tblTransactions[[#This Row],[Discount]]</f>
        <v>5741.76</v>
      </c>
      <c r="O172" s="9">
        <f>tblTransactions[[#This Row],[GrossSales]]-tblTransactions[[#This Row],[DiscountAmount]]</f>
        <v>22967.040000000001</v>
      </c>
      <c r="P172" s="9">
        <f>_xlfn.XLOOKUP(tblTransactions[[#This Row],[ProductID]],tblProducts[ProductID],tblProducts[UnitCost])</f>
        <v>4558.34</v>
      </c>
      <c r="Q172" s="9">
        <f>tblTransactions[[#This Row],[Quantity]]*tblTransactions[[#This Row],[UnitCost]]</f>
        <v>18233.36</v>
      </c>
      <c r="R172" s="9">
        <f>tblTransactions[[#This Row],[NetRevenue]]-tblTransactions[[#This Row],[TotalCost]]</f>
        <v>4733.68</v>
      </c>
      <c r="S172" t="str">
        <f>_xlfn.XLOOKUP(tblTransactions[[#This Row],[ProductID]],tblProducts[ProductID],tblProducts[Category])</f>
        <v>Clothing</v>
      </c>
    </row>
    <row r="173" spans="1:19">
      <c r="A173" t="s">
        <v>16490</v>
      </c>
      <c r="B173" s="1">
        <v>45118</v>
      </c>
      <c r="C173" t="s">
        <v>12189</v>
      </c>
      <c r="D173" t="str">
        <f>_xlfn.XLOOKUP(tblTransactions[[#This Row],[CustomerID]],tblCustomers[CustomerID],tblCustomers[CustomerName])</f>
        <v>Anya Cheema</v>
      </c>
      <c r="E173" t="s">
        <v>15958</v>
      </c>
      <c r="F173" t="str">
        <f>_xlfn.XLOOKUP(tblTransactions[[#This Row],[ProductID]],tblProducts[ProductID],tblProducts[ProductName])</f>
        <v>Budget Smartphone B7</v>
      </c>
      <c r="G173" t="s">
        <v>16301</v>
      </c>
      <c r="H173" t="str">
        <f>_xlfn.XLOOKUP(tblTransactions[[#This Row],[StoreID]],tblStores[StoreID],tblStores[Region])</f>
        <v>East</v>
      </c>
      <c r="I173">
        <v>1</v>
      </c>
      <c r="J173">
        <v>0.1</v>
      </c>
      <c r="K173" t="s">
        <v>16315</v>
      </c>
      <c r="L173" s="9">
        <f>_xlfn.XLOOKUP(tblTransactions[[#This Row],[ProductID]],tblProducts[ProductID],tblProducts[UnitPrice])</f>
        <v>61606.59</v>
      </c>
      <c r="M173" s="9">
        <f>tblTransactions[[#This Row],[Quantity]]*tblTransactions[[#This Row],[UnitPrice]]</f>
        <v>61606.59</v>
      </c>
      <c r="N173" s="9">
        <f>tblTransactions[[#This Row],[GrossSales]]*tblTransactions[[#This Row],[Discount]]</f>
        <v>6160.6589999999997</v>
      </c>
      <c r="O173" s="9">
        <f>tblTransactions[[#This Row],[GrossSales]]-tblTransactions[[#This Row],[DiscountAmount]]</f>
        <v>55445.930999999997</v>
      </c>
      <c r="P173" s="9">
        <f>_xlfn.XLOOKUP(tblTransactions[[#This Row],[ProductID]],tblProducts[ProductID],tblProducts[UnitCost])</f>
        <v>36366.370000000003</v>
      </c>
      <c r="Q173" s="9">
        <f>tblTransactions[[#This Row],[Quantity]]*tblTransactions[[#This Row],[UnitCost]]</f>
        <v>36366.370000000003</v>
      </c>
      <c r="R173" s="9">
        <f>tblTransactions[[#This Row],[NetRevenue]]-tblTransactions[[#This Row],[TotalCost]]</f>
        <v>19079.560999999994</v>
      </c>
      <c r="S173" t="str">
        <f>_xlfn.XLOOKUP(tblTransactions[[#This Row],[ProductID]],tblProducts[ProductID],tblProducts[Category])</f>
        <v>Electronics</v>
      </c>
    </row>
    <row r="174" spans="1:19">
      <c r="A174" t="s">
        <v>16491</v>
      </c>
      <c r="B174" s="1">
        <v>45118</v>
      </c>
      <c r="C174" t="s">
        <v>1753</v>
      </c>
      <c r="D174" t="str">
        <f>_xlfn.XLOOKUP(tblTransactions[[#This Row],[CustomerID]],tblCustomers[CustomerID],tblCustomers[CustomerName])</f>
        <v>Bimala Loke</v>
      </c>
      <c r="E174" t="s">
        <v>16112</v>
      </c>
      <c r="F174" t="str">
        <f>_xlfn.XLOOKUP(tblTransactions[[#This Row],[ProductID]],tblProducts[ProductID],tblProducts[ProductName])</f>
        <v>Kids T-Shirt A6</v>
      </c>
      <c r="G174" t="s">
        <v>16279</v>
      </c>
      <c r="H174" t="str">
        <f>_xlfn.XLOOKUP(tblTransactions[[#This Row],[StoreID]],tblStores[StoreID],tblStores[Region])</f>
        <v>South</v>
      </c>
      <c r="I174">
        <v>2</v>
      </c>
      <c r="J174">
        <v>0</v>
      </c>
      <c r="K174" t="s">
        <v>16321</v>
      </c>
      <c r="L174" s="9">
        <f>_xlfn.XLOOKUP(tblTransactions[[#This Row],[ProductID]],tblProducts[ProductID],tblProducts[UnitPrice])</f>
        <v>2008.33</v>
      </c>
      <c r="M174" s="9">
        <f>tblTransactions[[#This Row],[Quantity]]*tblTransactions[[#This Row],[UnitPrice]]</f>
        <v>4016.66</v>
      </c>
      <c r="N174" s="9">
        <f>tblTransactions[[#This Row],[GrossSales]]*tblTransactions[[#This Row],[Discount]]</f>
        <v>0</v>
      </c>
      <c r="O174" s="9">
        <f>tblTransactions[[#This Row],[GrossSales]]-tblTransactions[[#This Row],[DiscountAmount]]</f>
        <v>4016.66</v>
      </c>
      <c r="P174" s="9">
        <f>_xlfn.XLOOKUP(tblTransactions[[#This Row],[ProductID]],tblProducts[ProductID],tblProducts[UnitCost])</f>
        <v>1688.91</v>
      </c>
      <c r="Q174" s="9">
        <f>tblTransactions[[#This Row],[Quantity]]*tblTransactions[[#This Row],[UnitCost]]</f>
        <v>3377.82</v>
      </c>
      <c r="R174" s="9">
        <f>tblTransactions[[#This Row],[NetRevenue]]-tblTransactions[[#This Row],[TotalCost]]</f>
        <v>638.83999999999969</v>
      </c>
      <c r="S174" t="str">
        <f>_xlfn.XLOOKUP(tblTransactions[[#This Row],[ProductID]],tblProducts[ProductID],tblProducts[Category])</f>
        <v>Clothing</v>
      </c>
    </row>
    <row r="175" spans="1:19">
      <c r="A175" t="s">
        <v>16492</v>
      </c>
      <c r="B175" s="1">
        <v>45120</v>
      </c>
      <c r="C175" t="s">
        <v>7386</v>
      </c>
      <c r="D175" t="str">
        <f>_xlfn.XLOOKUP(tblTransactions[[#This Row],[CustomerID]],tblCustomers[CustomerID],tblCustomers[CustomerName])</f>
        <v>Yoshita Bumb</v>
      </c>
      <c r="E175" t="s">
        <v>16162</v>
      </c>
      <c r="F175" t="str">
        <f>_xlfn.XLOOKUP(tblTransactions[[#This Row],[ProductID]],tblProducts[ProductID],tblProducts[ProductName])</f>
        <v>Tea A1</v>
      </c>
      <c r="G175" t="s">
        <v>16277</v>
      </c>
      <c r="H175" t="str">
        <f>_xlfn.XLOOKUP(tblTransactions[[#This Row],[StoreID]],tblStores[StoreID],tblStores[Region])</f>
        <v>West</v>
      </c>
      <c r="I175">
        <v>1</v>
      </c>
      <c r="J175">
        <v>0.05</v>
      </c>
      <c r="K175" t="s">
        <v>16325</v>
      </c>
      <c r="L175" s="9">
        <f>_xlfn.XLOOKUP(tblTransactions[[#This Row],[ProductID]],tblProducts[ProductID],tblProducts[UnitPrice])</f>
        <v>675.13</v>
      </c>
      <c r="M175" s="9">
        <f>tblTransactions[[#This Row],[Quantity]]*tblTransactions[[#This Row],[UnitPrice]]</f>
        <v>675.13</v>
      </c>
      <c r="N175" s="9">
        <f>tblTransactions[[#This Row],[GrossSales]]*tblTransactions[[#This Row],[Discount]]</f>
        <v>33.756500000000003</v>
      </c>
      <c r="O175" s="9">
        <f>tblTransactions[[#This Row],[GrossSales]]-tblTransactions[[#This Row],[DiscountAmount]]</f>
        <v>641.37350000000004</v>
      </c>
      <c r="P175" s="9">
        <f>_xlfn.XLOOKUP(tblTransactions[[#This Row],[ProductID]],tblProducts[ProductID],tblProducts[UnitCost])</f>
        <v>510.45</v>
      </c>
      <c r="Q175" s="9">
        <f>tblTransactions[[#This Row],[Quantity]]*tblTransactions[[#This Row],[UnitCost]]</f>
        <v>510.45</v>
      </c>
      <c r="R175" s="9">
        <f>tblTransactions[[#This Row],[NetRevenue]]-tblTransactions[[#This Row],[TotalCost]]</f>
        <v>130.92350000000005</v>
      </c>
      <c r="S175" t="str">
        <f>_xlfn.XLOOKUP(tblTransactions[[#This Row],[ProductID]],tblProducts[ProductID],tblProducts[Category])</f>
        <v>Grocery</v>
      </c>
    </row>
    <row r="176" spans="1:19">
      <c r="A176" t="s">
        <v>16493</v>
      </c>
      <c r="B176" s="1">
        <v>45120</v>
      </c>
      <c r="C176" t="s">
        <v>4345</v>
      </c>
      <c r="D176" t="str">
        <f>_xlfn.XLOOKUP(tblTransactions[[#This Row],[CustomerID]],tblCustomers[CustomerID],tblCustomers[CustomerName])</f>
        <v>Ekantika Chaudhari</v>
      </c>
      <c r="E176" t="s">
        <v>16169</v>
      </c>
      <c r="F176" t="str">
        <f>_xlfn.XLOOKUP(tblTransactions[[#This Row],[ProductID]],tblProducts[ProductID],tblProducts[ProductName])</f>
        <v>Coffee D4</v>
      </c>
      <c r="G176" t="s">
        <v>16281</v>
      </c>
      <c r="H176" t="str">
        <f>_xlfn.XLOOKUP(tblTransactions[[#This Row],[StoreID]],tblStores[StoreID],tblStores[Region])</f>
        <v>West</v>
      </c>
      <c r="I176">
        <v>2</v>
      </c>
      <c r="J176">
        <v>0</v>
      </c>
      <c r="K176" t="s">
        <v>16319</v>
      </c>
      <c r="L176" s="9">
        <f>_xlfn.XLOOKUP(tblTransactions[[#This Row],[ProductID]],tblProducts[ProductID],tblProducts[UnitPrice])</f>
        <v>985.76</v>
      </c>
      <c r="M176" s="9">
        <f>tblTransactions[[#This Row],[Quantity]]*tblTransactions[[#This Row],[UnitPrice]]</f>
        <v>1971.52</v>
      </c>
      <c r="N176" s="9">
        <f>tblTransactions[[#This Row],[GrossSales]]*tblTransactions[[#This Row],[Discount]]</f>
        <v>0</v>
      </c>
      <c r="O176" s="9">
        <f>tblTransactions[[#This Row],[GrossSales]]-tblTransactions[[#This Row],[DiscountAmount]]</f>
        <v>1971.52</v>
      </c>
      <c r="P176" s="9">
        <f>_xlfn.XLOOKUP(tblTransactions[[#This Row],[ProductID]],tblProducts[ProductID],tblProducts[UnitCost])</f>
        <v>669.86</v>
      </c>
      <c r="Q176" s="9">
        <f>tblTransactions[[#This Row],[Quantity]]*tblTransactions[[#This Row],[UnitCost]]</f>
        <v>1339.72</v>
      </c>
      <c r="R176" s="9">
        <f>tblTransactions[[#This Row],[NetRevenue]]-tblTransactions[[#This Row],[TotalCost]]</f>
        <v>631.79999999999995</v>
      </c>
      <c r="S176" t="str">
        <f>_xlfn.XLOOKUP(tblTransactions[[#This Row],[ProductID]],tblProducts[ProductID],tblProducts[Category])</f>
        <v>Grocery</v>
      </c>
    </row>
    <row r="177" spans="1:19">
      <c r="A177" t="s">
        <v>16494</v>
      </c>
      <c r="B177" s="1">
        <v>45121</v>
      </c>
      <c r="C177" t="s">
        <v>11351</v>
      </c>
      <c r="D177" t="str">
        <f>_xlfn.XLOOKUP(tblTransactions[[#This Row],[CustomerID]],tblCustomers[CustomerID],tblCustomers[CustomerName])</f>
        <v>Indrajit Gala</v>
      </c>
      <c r="E177" t="s">
        <v>16099</v>
      </c>
      <c r="F177" t="str">
        <f>_xlfn.XLOOKUP(tblTransactions[[#This Row],[ProductID]],tblProducts[ProductID],tblProducts[ProductName])</f>
        <v>Women's Jeans B7</v>
      </c>
      <c r="G177" t="s">
        <v>16279</v>
      </c>
      <c r="H177" t="str">
        <f>_xlfn.XLOOKUP(tblTransactions[[#This Row],[StoreID]],tblStores[StoreID],tblStores[Region])</f>
        <v>South</v>
      </c>
      <c r="I177">
        <v>1</v>
      </c>
      <c r="J177">
        <v>0.1</v>
      </c>
      <c r="K177" t="s">
        <v>16315</v>
      </c>
      <c r="L177" s="9">
        <f>_xlfn.XLOOKUP(tblTransactions[[#This Row],[ProductID]],tblProducts[ProductID],tblProducts[UnitPrice])</f>
        <v>1227.0899999999999</v>
      </c>
      <c r="M177" s="9">
        <f>tblTransactions[[#This Row],[Quantity]]*tblTransactions[[#This Row],[UnitPrice]]</f>
        <v>1227.0899999999999</v>
      </c>
      <c r="N177" s="9">
        <f>tblTransactions[[#This Row],[GrossSales]]*tblTransactions[[#This Row],[Discount]]</f>
        <v>122.709</v>
      </c>
      <c r="O177" s="9">
        <f>tblTransactions[[#This Row],[GrossSales]]-tblTransactions[[#This Row],[DiscountAmount]]</f>
        <v>1104.3809999999999</v>
      </c>
      <c r="P177" s="9">
        <f>_xlfn.XLOOKUP(tblTransactions[[#This Row],[ProductID]],tblProducts[ProductID],tblProducts[UnitCost])</f>
        <v>945.11</v>
      </c>
      <c r="Q177" s="9">
        <f>tblTransactions[[#This Row],[Quantity]]*tblTransactions[[#This Row],[UnitCost]]</f>
        <v>945.11</v>
      </c>
      <c r="R177" s="9">
        <f>tblTransactions[[#This Row],[NetRevenue]]-tblTransactions[[#This Row],[TotalCost]]</f>
        <v>159.27099999999984</v>
      </c>
      <c r="S177" t="str">
        <f>_xlfn.XLOOKUP(tblTransactions[[#This Row],[ProductID]],tblProducts[ProductID],tblProducts[Category])</f>
        <v>Clothing</v>
      </c>
    </row>
    <row r="178" spans="1:19">
      <c r="A178" t="s">
        <v>16495</v>
      </c>
      <c r="B178" s="1">
        <v>45123</v>
      </c>
      <c r="C178" t="s">
        <v>6002</v>
      </c>
      <c r="D178" t="str">
        <f>_xlfn.XLOOKUP(tblTransactions[[#This Row],[CustomerID]],tblCustomers[CustomerID],tblCustomers[CustomerName])</f>
        <v>Ranveer Rao</v>
      </c>
      <c r="E178" t="s">
        <v>15956</v>
      </c>
      <c r="F178" t="str">
        <f>_xlfn.XLOOKUP(tblTransactions[[#This Row],[ProductID]],tblProducts[ProductID],tblProducts[ProductName])</f>
        <v>Budget Smartphone A6</v>
      </c>
      <c r="G178" t="s">
        <v>16265</v>
      </c>
      <c r="H178" t="str">
        <f>_xlfn.XLOOKUP(tblTransactions[[#This Row],[StoreID]],tblStores[StoreID],tblStores[Region])</f>
        <v>North</v>
      </c>
      <c r="I178">
        <v>1</v>
      </c>
      <c r="J178">
        <v>0</v>
      </c>
      <c r="K178" t="s">
        <v>16317</v>
      </c>
      <c r="L178" s="9">
        <f>_xlfn.XLOOKUP(tblTransactions[[#This Row],[ProductID]],tblProducts[ProductID],tblProducts[UnitPrice])</f>
        <v>9246.34</v>
      </c>
      <c r="M178" s="9">
        <f>tblTransactions[[#This Row],[Quantity]]*tblTransactions[[#This Row],[UnitPrice]]</f>
        <v>9246.34</v>
      </c>
      <c r="N178" s="9">
        <f>tblTransactions[[#This Row],[GrossSales]]*tblTransactions[[#This Row],[Discount]]</f>
        <v>0</v>
      </c>
      <c r="O178" s="9">
        <f>tblTransactions[[#This Row],[GrossSales]]-tblTransactions[[#This Row],[DiscountAmount]]</f>
        <v>9246.34</v>
      </c>
      <c r="P178" s="9">
        <f>_xlfn.XLOOKUP(tblTransactions[[#This Row],[ProductID]],tblProducts[ProductID],tblProducts[UnitCost])</f>
        <v>7613.27</v>
      </c>
      <c r="Q178" s="9">
        <f>tblTransactions[[#This Row],[Quantity]]*tblTransactions[[#This Row],[UnitCost]]</f>
        <v>7613.27</v>
      </c>
      <c r="R178" s="9">
        <f>tblTransactions[[#This Row],[NetRevenue]]-tblTransactions[[#This Row],[TotalCost]]</f>
        <v>1633.0699999999997</v>
      </c>
      <c r="S178" t="str">
        <f>_xlfn.XLOOKUP(tblTransactions[[#This Row],[ProductID]],tblProducts[ProductID],tblProducts[Category])</f>
        <v>Electronics</v>
      </c>
    </row>
    <row r="179" spans="1:19">
      <c r="A179" t="s">
        <v>16496</v>
      </c>
      <c r="B179" s="1">
        <v>45123</v>
      </c>
      <c r="C179" t="s">
        <v>3697</v>
      </c>
      <c r="D179" t="str">
        <f>_xlfn.XLOOKUP(tblTransactions[[#This Row],[CustomerID]],tblCustomers[CustomerID],tblCustomers[CustomerName])</f>
        <v>Avni Maharaj</v>
      </c>
      <c r="E179" t="s">
        <v>16043</v>
      </c>
      <c r="F179" t="str">
        <f>_xlfn.XLOOKUP(tblTransactions[[#This Row],[ProductID]],tblProducts[ProductID],tblProducts[ProductName])</f>
        <v>Non-stick Pan B2</v>
      </c>
      <c r="G179" t="s">
        <v>16287</v>
      </c>
      <c r="H179" t="str">
        <f>_xlfn.XLOOKUP(tblTransactions[[#This Row],[StoreID]],tblStores[StoreID],tblStores[Region])</f>
        <v>North</v>
      </c>
      <c r="I179">
        <v>1</v>
      </c>
      <c r="J179">
        <v>0</v>
      </c>
      <c r="K179" t="s">
        <v>16321</v>
      </c>
      <c r="L179" s="9">
        <f>_xlfn.XLOOKUP(tblTransactions[[#This Row],[ProductID]],tblProducts[ProductID],tblProducts[UnitPrice])</f>
        <v>17619.849999999999</v>
      </c>
      <c r="M179" s="9">
        <f>tblTransactions[[#This Row],[Quantity]]*tblTransactions[[#This Row],[UnitPrice]]</f>
        <v>17619.849999999999</v>
      </c>
      <c r="N179" s="9">
        <f>tblTransactions[[#This Row],[GrossSales]]*tblTransactions[[#This Row],[Discount]]</f>
        <v>0</v>
      </c>
      <c r="O179" s="9">
        <f>tblTransactions[[#This Row],[GrossSales]]-tblTransactions[[#This Row],[DiscountAmount]]</f>
        <v>17619.849999999999</v>
      </c>
      <c r="P179" s="9">
        <f>_xlfn.XLOOKUP(tblTransactions[[#This Row],[ProductID]],tblProducts[ProductID],tblProducts[UnitCost])</f>
        <v>13837.65</v>
      </c>
      <c r="Q179" s="9">
        <f>tblTransactions[[#This Row],[Quantity]]*tblTransactions[[#This Row],[UnitCost]]</f>
        <v>13837.65</v>
      </c>
      <c r="R179" s="9">
        <f>tblTransactions[[#This Row],[NetRevenue]]-tblTransactions[[#This Row],[TotalCost]]</f>
        <v>3782.1999999999989</v>
      </c>
      <c r="S179" t="str">
        <f>_xlfn.XLOOKUP(tblTransactions[[#This Row],[ProductID]],tblProducts[ProductID],tblProducts[Category])</f>
        <v>Home &amp; Kitchen</v>
      </c>
    </row>
    <row r="180" spans="1:19">
      <c r="A180" t="s">
        <v>16497</v>
      </c>
      <c r="B180" s="1">
        <v>45124</v>
      </c>
      <c r="C180" t="s">
        <v>10945</v>
      </c>
      <c r="D180" t="str">
        <f>_xlfn.XLOOKUP(tblTransactions[[#This Row],[CustomerID]],tblCustomers[CustomerID],tblCustomers[CustomerName])</f>
        <v>Gunbir Karnik</v>
      </c>
      <c r="E180" t="s">
        <v>16236</v>
      </c>
      <c r="F180" t="str">
        <f>_xlfn.XLOOKUP(tblTransactions[[#This Row],[ProductID]],tblProducts[ProductID],tblProducts[ProductName])</f>
        <v>Body Lotion B7</v>
      </c>
      <c r="G180" t="s">
        <v>16269</v>
      </c>
      <c r="H180" t="str">
        <f>_xlfn.XLOOKUP(tblTransactions[[#This Row],[StoreID]],tblStores[StoreID],tblStores[Region])</f>
        <v>North</v>
      </c>
      <c r="I180">
        <v>1</v>
      </c>
      <c r="J180">
        <v>0</v>
      </c>
      <c r="K180" t="s">
        <v>16315</v>
      </c>
      <c r="L180" s="9">
        <f>_xlfn.XLOOKUP(tblTransactions[[#This Row],[ProductID]],tblProducts[ProductID],tblProducts[UnitPrice])</f>
        <v>4198.8999999999996</v>
      </c>
      <c r="M180" s="9">
        <f>tblTransactions[[#This Row],[Quantity]]*tblTransactions[[#This Row],[UnitPrice]]</f>
        <v>4198.8999999999996</v>
      </c>
      <c r="N180" s="9">
        <f>tblTransactions[[#This Row],[GrossSales]]*tblTransactions[[#This Row],[Discount]]</f>
        <v>0</v>
      </c>
      <c r="O180" s="9">
        <f>tblTransactions[[#This Row],[GrossSales]]-tblTransactions[[#This Row],[DiscountAmount]]</f>
        <v>4198.8999999999996</v>
      </c>
      <c r="P180" s="9">
        <f>_xlfn.XLOOKUP(tblTransactions[[#This Row],[ProductID]],tblProducts[ProductID],tblProducts[UnitCost])</f>
        <v>2920.65</v>
      </c>
      <c r="Q180" s="9">
        <f>tblTransactions[[#This Row],[Quantity]]*tblTransactions[[#This Row],[UnitCost]]</f>
        <v>2920.65</v>
      </c>
      <c r="R180" s="9">
        <f>tblTransactions[[#This Row],[NetRevenue]]-tblTransactions[[#This Row],[TotalCost]]</f>
        <v>1278.2499999999995</v>
      </c>
      <c r="S180" t="str">
        <f>_xlfn.XLOOKUP(tblTransactions[[#This Row],[ProductID]],tblProducts[ProductID],tblProducts[Category])</f>
        <v>Personal Care</v>
      </c>
    </row>
    <row r="181" spans="1:19">
      <c r="A181" t="s">
        <v>16498</v>
      </c>
      <c r="B181" s="1">
        <v>45126</v>
      </c>
      <c r="C181" t="s">
        <v>7950</v>
      </c>
      <c r="D181" t="str">
        <f>_xlfn.XLOOKUP(tblTransactions[[#This Row],[CustomerID]],tblCustomers[CustomerID],tblCustomers[CustomerName])</f>
        <v>Fiyaz Soni</v>
      </c>
      <c r="E181" t="s">
        <v>15948</v>
      </c>
      <c r="F181" t="str">
        <f>_xlfn.XLOOKUP(tblTransactions[[#This Row],[ProductID]],tblProducts[ProductID],tblProducts[ProductName])</f>
        <v>Budget Smartphone B2</v>
      </c>
      <c r="G181" t="s">
        <v>16291</v>
      </c>
      <c r="H181" t="str">
        <f>_xlfn.XLOOKUP(tblTransactions[[#This Row],[StoreID]],tblStores[StoreID],tblStores[Region])</f>
        <v>South</v>
      </c>
      <c r="I181">
        <v>2</v>
      </c>
      <c r="J181">
        <v>0</v>
      </c>
      <c r="K181" t="s">
        <v>16317</v>
      </c>
      <c r="L181" s="9">
        <f>_xlfn.XLOOKUP(tblTransactions[[#This Row],[ProductID]],tblProducts[ProductID],tblProducts[UnitPrice])</f>
        <v>4404.4399999999996</v>
      </c>
      <c r="M181" s="9">
        <f>tblTransactions[[#This Row],[Quantity]]*tblTransactions[[#This Row],[UnitPrice]]</f>
        <v>8808.8799999999992</v>
      </c>
      <c r="N181" s="9">
        <f>tblTransactions[[#This Row],[GrossSales]]*tblTransactions[[#This Row],[Discount]]</f>
        <v>0</v>
      </c>
      <c r="O181" s="9">
        <f>tblTransactions[[#This Row],[GrossSales]]-tblTransactions[[#This Row],[DiscountAmount]]</f>
        <v>8808.8799999999992</v>
      </c>
      <c r="P181" s="9">
        <f>_xlfn.XLOOKUP(tblTransactions[[#This Row],[ProductID]],tblProducts[ProductID],tblProducts[UnitCost])</f>
        <v>3239.84</v>
      </c>
      <c r="Q181" s="9">
        <f>tblTransactions[[#This Row],[Quantity]]*tblTransactions[[#This Row],[UnitCost]]</f>
        <v>6479.68</v>
      </c>
      <c r="R181" s="9">
        <f>tblTransactions[[#This Row],[NetRevenue]]-tblTransactions[[#This Row],[TotalCost]]</f>
        <v>2329.1999999999989</v>
      </c>
      <c r="S181" t="str">
        <f>_xlfn.XLOOKUP(tblTransactions[[#This Row],[ProductID]],tblProducts[ProductID],tblProducts[Category])</f>
        <v>Electronics</v>
      </c>
    </row>
    <row r="182" spans="1:19">
      <c r="A182" t="s">
        <v>16499</v>
      </c>
      <c r="B182" s="1">
        <v>45127</v>
      </c>
      <c r="C182" t="s">
        <v>938</v>
      </c>
      <c r="D182" t="str">
        <f>_xlfn.XLOOKUP(tblTransactions[[#This Row],[CustomerID]],tblCustomers[CustomerID],tblCustomers[CustomerName])</f>
        <v>Inaya Mukherjee</v>
      </c>
      <c r="E182" t="s">
        <v>16147</v>
      </c>
      <c r="F182" t="str">
        <f>_xlfn.XLOOKUP(tblTransactions[[#This Row],[ProductID]],tblProducts[ProductID],tblProducts[ProductName])</f>
        <v>Namkeen A1</v>
      </c>
      <c r="G182" t="s">
        <v>16285</v>
      </c>
      <c r="H182" t="str">
        <f>_xlfn.XLOOKUP(tblTransactions[[#This Row],[StoreID]],tblStores[StoreID],tblStores[Region])</f>
        <v>West</v>
      </c>
      <c r="I182">
        <v>1</v>
      </c>
      <c r="J182">
        <v>0.05</v>
      </c>
      <c r="K182" t="s">
        <v>16317</v>
      </c>
      <c r="L182" s="9">
        <f>_xlfn.XLOOKUP(tblTransactions[[#This Row],[ProductID]],tblProducts[ProductID],tblProducts[UnitPrice])</f>
        <v>1282.31</v>
      </c>
      <c r="M182" s="9">
        <f>tblTransactions[[#This Row],[Quantity]]*tblTransactions[[#This Row],[UnitPrice]]</f>
        <v>1282.31</v>
      </c>
      <c r="N182" s="9">
        <f>tblTransactions[[#This Row],[GrossSales]]*tblTransactions[[#This Row],[Discount]]</f>
        <v>64.115499999999997</v>
      </c>
      <c r="O182" s="9">
        <f>tblTransactions[[#This Row],[GrossSales]]-tblTransactions[[#This Row],[DiscountAmount]]</f>
        <v>1218.1945000000001</v>
      </c>
      <c r="P182" s="9">
        <f>_xlfn.XLOOKUP(tblTransactions[[#This Row],[ProductID]],tblProducts[ProductID],tblProducts[UnitCost])</f>
        <v>759</v>
      </c>
      <c r="Q182" s="9">
        <f>tblTransactions[[#This Row],[Quantity]]*tblTransactions[[#This Row],[UnitCost]]</f>
        <v>759</v>
      </c>
      <c r="R182" s="9">
        <f>tblTransactions[[#This Row],[NetRevenue]]-tblTransactions[[#This Row],[TotalCost]]</f>
        <v>459.19450000000006</v>
      </c>
      <c r="S182" t="str">
        <f>_xlfn.XLOOKUP(tblTransactions[[#This Row],[ProductID]],tblProducts[ProductID],tblProducts[Category])</f>
        <v>Grocery</v>
      </c>
    </row>
    <row r="183" spans="1:19">
      <c r="A183" t="s">
        <v>16500</v>
      </c>
      <c r="B183" s="1">
        <v>45129</v>
      </c>
      <c r="C183" t="s">
        <v>7017</v>
      </c>
      <c r="D183" t="str">
        <f>_xlfn.XLOOKUP(tblTransactions[[#This Row],[CustomerID]],tblCustomers[CustomerID],tblCustomers[CustomerName])</f>
        <v>Leena Mital</v>
      </c>
      <c r="E183" t="s">
        <v>16036</v>
      </c>
      <c r="F183" t="str">
        <f>_xlfn.XLOOKUP(tblTransactions[[#This Row],[ProductID]],tblProducts[ProductID],tblProducts[ProductName])</f>
        <v>Bookshelf A6</v>
      </c>
      <c r="G183" t="s">
        <v>16283</v>
      </c>
      <c r="H183" t="str">
        <f>_xlfn.XLOOKUP(tblTransactions[[#This Row],[StoreID]],tblStores[StoreID],tblStores[Region])</f>
        <v>South</v>
      </c>
      <c r="I183">
        <v>1</v>
      </c>
      <c r="J183">
        <v>0</v>
      </c>
      <c r="K183" t="s">
        <v>16321</v>
      </c>
      <c r="L183" s="9">
        <f>_xlfn.XLOOKUP(tblTransactions[[#This Row],[ProductID]],tblProducts[ProductID],tblProducts[UnitPrice])</f>
        <v>23736.31</v>
      </c>
      <c r="M183" s="9">
        <f>tblTransactions[[#This Row],[Quantity]]*tblTransactions[[#This Row],[UnitPrice]]</f>
        <v>23736.31</v>
      </c>
      <c r="N183" s="9">
        <f>tblTransactions[[#This Row],[GrossSales]]*tblTransactions[[#This Row],[Discount]]</f>
        <v>0</v>
      </c>
      <c r="O183" s="9">
        <f>tblTransactions[[#This Row],[GrossSales]]-tblTransactions[[#This Row],[DiscountAmount]]</f>
        <v>23736.31</v>
      </c>
      <c r="P183" s="9">
        <f>_xlfn.XLOOKUP(tblTransactions[[#This Row],[ProductID]],tblProducts[ProductID],tblProducts[UnitCost])</f>
        <v>13874.86</v>
      </c>
      <c r="Q183" s="9">
        <f>tblTransactions[[#This Row],[Quantity]]*tblTransactions[[#This Row],[UnitCost]]</f>
        <v>13874.86</v>
      </c>
      <c r="R183" s="9">
        <f>tblTransactions[[#This Row],[NetRevenue]]-tblTransactions[[#This Row],[TotalCost]]</f>
        <v>9861.4500000000007</v>
      </c>
      <c r="S183" t="str">
        <f>_xlfn.XLOOKUP(tblTransactions[[#This Row],[ProductID]],tblProducts[ProductID],tblProducts[Category])</f>
        <v>Home &amp; Kitchen</v>
      </c>
    </row>
    <row r="184" spans="1:19">
      <c r="A184" t="s">
        <v>16501</v>
      </c>
      <c r="B184" s="1">
        <v>45129</v>
      </c>
      <c r="C184" t="s">
        <v>9313</v>
      </c>
      <c r="D184" t="str">
        <f>_xlfn.XLOOKUP(tblTransactions[[#This Row],[CustomerID]],tblCustomers[CustomerID],tblCustomers[CustomerName])</f>
        <v>Frado Dhingra</v>
      </c>
      <c r="E184" t="s">
        <v>16158</v>
      </c>
      <c r="F184" t="str">
        <f>_xlfn.XLOOKUP(tblTransactions[[#This Row],[ProductID]],tblProducts[ProductID],tblProducts[ProductName])</f>
        <v>Chocolate A6</v>
      </c>
      <c r="G184" t="s">
        <v>16293</v>
      </c>
      <c r="H184" t="str">
        <f>_xlfn.XLOOKUP(tblTransactions[[#This Row],[StoreID]],tblStores[StoreID],tblStores[Region])</f>
        <v>South</v>
      </c>
      <c r="I184">
        <v>3</v>
      </c>
      <c r="J184">
        <v>0</v>
      </c>
      <c r="K184" t="s">
        <v>16317</v>
      </c>
      <c r="L184" s="9">
        <f>_xlfn.XLOOKUP(tblTransactions[[#This Row],[ProductID]],tblProducts[ProductID],tblProducts[UnitPrice])</f>
        <v>1494.3</v>
      </c>
      <c r="M184" s="9">
        <f>tblTransactions[[#This Row],[Quantity]]*tblTransactions[[#This Row],[UnitPrice]]</f>
        <v>4482.8999999999996</v>
      </c>
      <c r="N184" s="9">
        <f>tblTransactions[[#This Row],[GrossSales]]*tblTransactions[[#This Row],[Discount]]</f>
        <v>0</v>
      </c>
      <c r="O184" s="9">
        <f>tblTransactions[[#This Row],[GrossSales]]-tblTransactions[[#This Row],[DiscountAmount]]</f>
        <v>4482.8999999999996</v>
      </c>
      <c r="P184" s="9">
        <f>_xlfn.XLOOKUP(tblTransactions[[#This Row],[ProductID]],tblProducts[ProductID],tblProducts[UnitCost])</f>
        <v>1031.67</v>
      </c>
      <c r="Q184" s="9">
        <f>tblTransactions[[#This Row],[Quantity]]*tblTransactions[[#This Row],[UnitCost]]</f>
        <v>3095.01</v>
      </c>
      <c r="R184" s="9">
        <f>tblTransactions[[#This Row],[NetRevenue]]-tblTransactions[[#This Row],[TotalCost]]</f>
        <v>1387.8899999999994</v>
      </c>
      <c r="S184" t="str">
        <f>_xlfn.XLOOKUP(tblTransactions[[#This Row],[ProductID]],tblProducts[ProductID],tblProducts[Category])</f>
        <v>Grocery</v>
      </c>
    </row>
    <row r="185" spans="1:19">
      <c r="A185" t="s">
        <v>16502</v>
      </c>
      <c r="B185" s="1">
        <v>45131</v>
      </c>
      <c r="C185" t="s">
        <v>708</v>
      </c>
      <c r="D185" t="str">
        <f>_xlfn.XLOOKUP(tblTransactions[[#This Row],[CustomerID]],tblCustomers[CustomerID],tblCustomers[CustomerName])</f>
        <v>Hritik Kaur</v>
      </c>
      <c r="E185" t="s">
        <v>16131</v>
      </c>
      <c r="F185" t="str">
        <f>_xlfn.XLOOKUP(tblTransactions[[#This Row],[ProductID]],tblProducts[ProductID],tblProducts[ProductName])</f>
        <v>Cooking Oil A1</v>
      </c>
      <c r="G185" t="s">
        <v>16295</v>
      </c>
      <c r="H185" t="str">
        <f>_xlfn.XLOOKUP(tblTransactions[[#This Row],[StoreID]],tblStores[StoreID],tblStores[Region])</f>
        <v>South</v>
      </c>
      <c r="I185">
        <v>1</v>
      </c>
      <c r="J185">
        <v>0</v>
      </c>
      <c r="K185" t="s">
        <v>16315</v>
      </c>
      <c r="L185" s="9">
        <f>_xlfn.XLOOKUP(tblTransactions[[#This Row],[ProductID]],tblProducts[ProductID],tblProducts[UnitPrice])</f>
        <v>587.35</v>
      </c>
      <c r="M185" s="9">
        <f>tblTransactions[[#This Row],[Quantity]]*tblTransactions[[#This Row],[UnitPrice]]</f>
        <v>587.35</v>
      </c>
      <c r="N185" s="9">
        <f>tblTransactions[[#This Row],[GrossSales]]*tblTransactions[[#This Row],[Discount]]</f>
        <v>0</v>
      </c>
      <c r="O185" s="9">
        <f>tblTransactions[[#This Row],[GrossSales]]-tblTransactions[[#This Row],[DiscountAmount]]</f>
        <v>587.35</v>
      </c>
      <c r="P185" s="9">
        <f>_xlfn.XLOOKUP(tblTransactions[[#This Row],[ProductID]],tblProducts[ProductID],tblProducts[UnitCost])</f>
        <v>438.09</v>
      </c>
      <c r="Q185" s="9">
        <f>tblTransactions[[#This Row],[Quantity]]*tblTransactions[[#This Row],[UnitCost]]</f>
        <v>438.09</v>
      </c>
      <c r="R185" s="9">
        <f>tblTransactions[[#This Row],[NetRevenue]]-tblTransactions[[#This Row],[TotalCost]]</f>
        <v>149.26000000000005</v>
      </c>
      <c r="S185" t="str">
        <f>_xlfn.XLOOKUP(tblTransactions[[#This Row],[ProductID]],tblProducts[ProductID],tblProducts[Category])</f>
        <v>Grocery</v>
      </c>
    </row>
    <row r="186" spans="1:19">
      <c r="A186" t="s">
        <v>16503</v>
      </c>
      <c r="B186" s="1">
        <v>45132</v>
      </c>
      <c r="C186" t="s">
        <v>15286</v>
      </c>
      <c r="D186" t="str">
        <f>_xlfn.XLOOKUP(tblTransactions[[#This Row],[CustomerID]],tblCustomers[CustomerID],tblCustomers[CustomerName])</f>
        <v>Ojasvi Purohit</v>
      </c>
      <c r="E186" t="s">
        <v>16093</v>
      </c>
      <c r="F186" t="str">
        <f>_xlfn.XLOOKUP(tblTransactions[[#This Row],[ProductID]],tblProducts[ProductID],tblProducts[ProductName])</f>
        <v>Women's Jeans D4</v>
      </c>
      <c r="G186" t="s">
        <v>16297</v>
      </c>
      <c r="H186" t="str">
        <f>_xlfn.XLOOKUP(tblTransactions[[#This Row],[StoreID]],tblStores[StoreID],tblStores[Region])</f>
        <v>North</v>
      </c>
      <c r="I186">
        <v>2</v>
      </c>
      <c r="J186">
        <v>0.15</v>
      </c>
      <c r="K186" t="s">
        <v>16317</v>
      </c>
      <c r="L186" s="9">
        <f>_xlfn.XLOOKUP(tblTransactions[[#This Row],[ProductID]],tblProducts[ProductID],tblProducts[UnitPrice])</f>
        <v>6178.38</v>
      </c>
      <c r="M186" s="9">
        <f>tblTransactions[[#This Row],[Quantity]]*tblTransactions[[#This Row],[UnitPrice]]</f>
        <v>12356.76</v>
      </c>
      <c r="N186" s="9">
        <f>tblTransactions[[#This Row],[GrossSales]]*tblTransactions[[#This Row],[Discount]]</f>
        <v>1853.5139999999999</v>
      </c>
      <c r="O186" s="9">
        <f>tblTransactions[[#This Row],[GrossSales]]-tblTransactions[[#This Row],[DiscountAmount]]</f>
        <v>10503.246000000001</v>
      </c>
      <c r="P186" s="9">
        <f>_xlfn.XLOOKUP(tblTransactions[[#This Row],[ProductID]],tblProducts[ProductID],tblProducts[UnitCost])</f>
        <v>4740.8599999999997</v>
      </c>
      <c r="Q186" s="9">
        <f>tblTransactions[[#This Row],[Quantity]]*tblTransactions[[#This Row],[UnitCost]]</f>
        <v>9481.7199999999993</v>
      </c>
      <c r="R186" s="9">
        <f>tblTransactions[[#This Row],[NetRevenue]]-tblTransactions[[#This Row],[TotalCost]]</f>
        <v>1021.5260000000017</v>
      </c>
      <c r="S186" t="str">
        <f>_xlfn.XLOOKUP(tblTransactions[[#This Row],[ProductID]],tblProducts[ProductID],tblProducts[Category])</f>
        <v>Clothing</v>
      </c>
    </row>
    <row r="187" spans="1:19">
      <c r="A187" t="s">
        <v>16504</v>
      </c>
      <c r="B187" s="1">
        <v>45132</v>
      </c>
      <c r="C187" t="s">
        <v>15384</v>
      </c>
      <c r="D187" t="str">
        <f>_xlfn.XLOOKUP(tblTransactions[[#This Row],[CustomerID]],tblCustomers[CustomerID],tblCustomers[CustomerName])</f>
        <v>George Bhattacharyya</v>
      </c>
      <c r="E187" t="s">
        <v>15965</v>
      </c>
      <c r="F187" t="str">
        <f>_xlfn.XLOOKUP(tblTransactions[[#This Row],[ProductID]],tblProducts[ProductID],tblProducts[ProductName])</f>
        <v>Business Laptop B2</v>
      </c>
      <c r="G187" t="s">
        <v>16269</v>
      </c>
      <c r="H187" t="str">
        <f>_xlfn.XLOOKUP(tblTransactions[[#This Row],[StoreID]],tblStores[StoreID],tblStores[Region])</f>
        <v>North</v>
      </c>
      <c r="I187">
        <v>1</v>
      </c>
      <c r="J187">
        <v>0.1</v>
      </c>
      <c r="K187" t="s">
        <v>16321</v>
      </c>
      <c r="L187" s="9">
        <f>_xlfn.XLOOKUP(tblTransactions[[#This Row],[ProductID]],tblProducts[ProductID],tblProducts[UnitPrice])</f>
        <v>54876.34</v>
      </c>
      <c r="M187" s="9">
        <f>tblTransactions[[#This Row],[Quantity]]*tblTransactions[[#This Row],[UnitPrice]]</f>
        <v>54876.34</v>
      </c>
      <c r="N187" s="9">
        <f>tblTransactions[[#This Row],[GrossSales]]*tblTransactions[[#This Row],[Discount]]</f>
        <v>5487.634</v>
      </c>
      <c r="O187" s="9">
        <f>tblTransactions[[#This Row],[GrossSales]]-tblTransactions[[#This Row],[DiscountAmount]]</f>
        <v>49388.705999999998</v>
      </c>
      <c r="P187" s="9">
        <f>_xlfn.XLOOKUP(tblTransactions[[#This Row],[ProductID]],tblProducts[ProductID],tblProducts[UnitCost])</f>
        <v>41521.22</v>
      </c>
      <c r="Q187" s="9">
        <f>tblTransactions[[#This Row],[Quantity]]*tblTransactions[[#This Row],[UnitCost]]</f>
        <v>41521.22</v>
      </c>
      <c r="R187" s="9">
        <f>tblTransactions[[#This Row],[NetRevenue]]-tblTransactions[[#This Row],[TotalCost]]</f>
        <v>7867.4859999999971</v>
      </c>
      <c r="S187" t="str">
        <f>_xlfn.XLOOKUP(tblTransactions[[#This Row],[ProductID]],tblProducts[ProductID],tblProducts[Category])</f>
        <v>Electronics</v>
      </c>
    </row>
    <row r="188" spans="1:19">
      <c r="A188" t="s">
        <v>16505</v>
      </c>
      <c r="B188" s="1">
        <v>45132</v>
      </c>
      <c r="C188" t="s">
        <v>6537</v>
      </c>
      <c r="D188" t="str">
        <f>_xlfn.XLOOKUP(tblTransactions[[#This Row],[CustomerID]],tblCustomers[CustomerID],tblCustomers[CustomerName])</f>
        <v>Onveer Narain</v>
      </c>
      <c r="E188" t="s">
        <v>16078</v>
      </c>
      <c r="F188" t="str">
        <f>_xlfn.XLOOKUP(tblTransactions[[#This Row],[ProductID]],tblProducts[ProductID],tblProducts[ProductName])</f>
        <v>Men's Jacket D4</v>
      </c>
      <c r="G188" t="s">
        <v>16281</v>
      </c>
      <c r="H188" t="str">
        <f>_xlfn.XLOOKUP(tblTransactions[[#This Row],[StoreID]],tblStores[StoreID],tblStores[Region])</f>
        <v>West</v>
      </c>
      <c r="I188">
        <v>1</v>
      </c>
      <c r="J188">
        <v>0.15</v>
      </c>
      <c r="K188" t="s">
        <v>16317</v>
      </c>
      <c r="L188" s="9">
        <f>_xlfn.XLOOKUP(tblTransactions[[#This Row],[ProductID]],tblProducts[ProductID],tblProducts[UnitPrice])</f>
        <v>4654.63</v>
      </c>
      <c r="M188" s="9">
        <f>tblTransactions[[#This Row],[Quantity]]*tblTransactions[[#This Row],[UnitPrice]]</f>
        <v>4654.63</v>
      </c>
      <c r="N188" s="9">
        <f>tblTransactions[[#This Row],[GrossSales]]*tblTransactions[[#This Row],[Discount]]</f>
        <v>698.19449999999995</v>
      </c>
      <c r="O188" s="9">
        <f>tblTransactions[[#This Row],[GrossSales]]-tblTransactions[[#This Row],[DiscountAmount]]</f>
        <v>3956.4355</v>
      </c>
      <c r="P188" s="9">
        <f>_xlfn.XLOOKUP(tblTransactions[[#This Row],[ProductID]],tblProducts[ProductID],tblProducts[UnitCost])</f>
        <v>2675.18</v>
      </c>
      <c r="Q188" s="9">
        <f>tblTransactions[[#This Row],[Quantity]]*tblTransactions[[#This Row],[UnitCost]]</f>
        <v>2675.18</v>
      </c>
      <c r="R188" s="9">
        <f>tblTransactions[[#This Row],[NetRevenue]]-tblTransactions[[#This Row],[TotalCost]]</f>
        <v>1281.2555000000002</v>
      </c>
      <c r="S188" t="str">
        <f>_xlfn.XLOOKUP(tblTransactions[[#This Row],[ProductID]],tblProducts[ProductID],tblProducts[Category])</f>
        <v>Clothing</v>
      </c>
    </row>
    <row r="189" spans="1:19">
      <c r="A189" t="s">
        <v>16506</v>
      </c>
      <c r="B189" s="1">
        <v>45134</v>
      </c>
      <c r="C189" t="s">
        <v>10912</v>
      </c>
      <c r="D189" t="str">
        <f>_xlfn.XLOOKUP(tblTransactions[[#This Row],[CustomerID]],tblCustomers[CustomerID],tblCustomers[CustomerName])</f>
        <v>Jai Balay</v>
      </c>
      <c r="E189" t="s">
        <v>15994</v>
      </c>
      <c r="F189" t="str">
        <f>_xlfn.XLOOKUP(tblTransactions[[#This Row],[ProductID]],tblProducts[ProductID],tblProducts[ProductName])</f>
        <v>Power Bank A1</v>
      </c>
      <c r="G189" t="s">
        <v>16307</v>
      </c>
      <c r="H189" t="str">
        <f>_xlfn.XLOOKUP(tblTransactions[[#This Row],[StoreID]],tblStores[StoreID],tblStores[Region])</f>
        <v>East</v>
      </c>
      <c r="I189">
        <v>1</v>
      </c>
      <c r="J189">
        <v>0.1</v>
      </c>
      <c r="K189" t="s">
        <v>16325</v>
      </c>
      <c r="L189" s="9">
        <f>_xlfn.XLOOKUP(tblTransactions[[#This Row],[ProductID]],tblProducts[ProductID],tblProducts[UnitPrice])</f>
        <v>18113.48</v>
      </c>
      <c r="M189" s="9">
        <f>tblTransactions[[#This Row],[Quantity]]*tblTransactions[[#This Row],[UnitPrice]]</f>
        <v>18113.48</v>
      </c>
      <c r="N189" s="9">
        <f>tblTransactions[[#This Row],[GrossSales]]*tblTransactions[[#This Row],[Discount]]</f>
        <v>1811.348</v>
      </c>
      <c r="O189" s="9">
        <f>tblTransactions[[#This Row],[GrossSales]]-tblTransactions[[#This Row],[DiscountAmount]]</f>
        <v>16302.132</v>
      </c>
      <c r="P189" s="9">
        <f>_xlfn.XLOOKUP(tblTransactions[[#This Row],[ProductID]],tblProducts[ProductID],tblProducts[UnitCost])</f>
        <v>12531.14</v>
      </c>
      <c r="Q189" s="9">
        <f>tblTransactions[[#This Row],[Quantity]]*tblTransactions[[#This Row],[UnitCost]]</f>
        <v>12531.14</v>
      </c>
      <c r="R189" s="9">
        <f>tblTransactions[[#This Row],[NetRevenue]]-tblTransactions[[#This Row],[TotalCost]]</f>
        <v>3770.9920000000002</v>
      </c>
      <c r="S189" t="str">
        <f>_xlfn.XLOOKUP(tblTransactions[[#This Row],[ProductID]],tblProducts[ProductID],tblProducts[Category])</f>
        <v>Electronics</v>
      </c>
    </row>
    <row r="190" spans="1:19">
      <c r="A190" t="s">
        <v>16507</v>
      </c>
      <c r="B190" s="1">
        <v>45135</v>
      </c>
      <c r="C190" t="s">
        <v>10700</v>
      </c>
      <c r="D190" t="str">
        <f>_xlfn.XLOOKUP(tblTransactions[[#This Row],[CustomerID]],tblCustomers[CustomerID],tblCustomers[CustomerName])</f>
        <v>Leela Wadhwa</v>
      </c>
      <c r="E190" t="s">
        <v>16104</v>
      </c>
      <c r="F190" t="str">
        <f>_xlfn.XLOOKUP(tblTransactions[[#This Row],[ProductID]],tblProducts[ProductID],tblProducts[ProductName])</f>
        <v>Kids Jeans B2</v>
      </c>
      <c r="G190" t="s">
        <v>16301</v>
      </c>
      <c r="H190" t="str">
        <f>_xlfn.XLOOKUP(tblTransactions[[#This Row],[StoreID]],tblStores[StoreID],tblStores[Region])</f>
        <v>East</v>
      </c>
      <c r="I190">
        <v>4</v>
      </c>
      <c r="J190">
        <v>0</v>
      </c>
      <c r="K190" t="s">
        <v>16321</v>
      </c>
      <c r="L190" s="9">
        <f>_xlfn.XLOOKUP(tblTransactions[[#This Row],[ProductID]],tblProducts[ProductID],tblProducts[UnitPrice])</f>
        <v>5613.98</v>
      </c>
      <c r="M190" s="9">
        <f>tblTransactions[[#This Row],[Quantity]]*tblTransactions[[#This Row],[UnitPrice]]</f>
        <v>22455.919999999998</v>
      </c>
      <c r="N190" s="9">
        <f>tblTransactions[[#This Row],[GrossSales]]*tblTransactions[[#This Row],[Discount]]</f>
        <v>0</v>
      </c>
      <c r="O190" s="9">
        <f>tblTransactions[[#This Row],[GrossSales]]-tblTransactions[[#This Row],[DiscountAmount]]</f>
        <v>22455.919999999998</v>
      </c>
      <c r="P190" s="9">
        <f>_xlfn.XLOOKUP(tblTransactions[[#This Row],[ProductID]],tblProducts[ProductID],tblProducts[UnitCost])</f>
        <v>3377.41</v>
      </c>
      <c r="Q190" s="9">
        <f>tblTransactions[[#This Row],[Quantity]]*tblTransactions[[#This Row],[UnitCost]]</f>
        <v>13509.64</v>
      </c>
      <c r="R190" s="9">
        <f>tblTransactions[[#This Row],[NetRevenue]]-tblTransactions[[#This Row],[TotalCost]]</f>
        <v>8946.2799999999988</v>
      </c>
      <c r="S190" t="str">
        <f>_xlfn.XLOOKUP(tblTransactions[[#This Row],[ProductID]],tblProducts[ProductID],tblProducts[Category])</f>
        <v>Clothing</v>
      </c>
    </row>
    <row r="191" spans="1:19">
      <c r="A191" t="s">
        <v>16508</v>
      </c>
      <c r="B191" s="1">
        <v>45136</v>
      </c>
      <c r="C191" t="s">
        <v>11633</v>
      </c>
      <c r="D191" t="str">
        <f>_xlfn.XLOOKUP(tblTransactions[[#This Row],[CustomerID]],tblCustomers[CustomerID],tblCustomers[CustomerName])</f>
        <v>Gabriel Thaman</v>
      </c>
      <c r="E191" t="s">
        <v>15962</v>
      </c>
      <c r="F191" t="str">
        <f>_xlfn.XLOOKUP(tblTransactions[[#This Row],[ProductID]],tblProducts[ProductID],tblProducts[ProductName])</f>
        <v>Ultrabook A1</v>
      </c>
      <c r="G191" t="s">
        <v>16289</v>
      </c>
      <c r="H191" t="str">
        <f>_xlfn.XLOOKUP(tblTransactions[[#This Row],[StoreID]],tblStores[StoreID],tblStores[Region])</f>
        <v>South</v>
      </c>
      <c r="I191">
        <v>1</v>
      </c>
      <c r="J191">
        <v>0.05</v>
      </c>
      <c r="K191" t="s">
        <v>16317</v>
      </c>
      <c r="L191" s="9">
        <f>_xlfn.XLOOKUP(tblTransactions[[#This Row],[ProductID]],tblProducts[ProductID],tblProducts[UnitPrice])</f>
        <v>61469.2</v>
      </c>
      <c r="M191" s="9">
        <f>tblTransactions[[#This Row],[Quantity]]*tblTransactions[[#This Row],[UnitPrice]]</f>
        <v>61469.2</v>
      </c>
      <c r="N191" s="9">
        <f>tblTransactions[[#This Row],[GrossSales]]*tblTransactions[[#This Row],[Discount]]</f>
        <v>3073.46</v>
      </c>
      <c r="O191" s="9">
        <f>tblTransactions[[#This Row],[GrossSales]]-tblTransactions[[#This Row],[DiscountAmount]]</f>
        <v>58395.74</v>
      </c>
      <c r="P191" s="9">
        <f>_xlfn.XLOOKUP(tblTransactions[[#This Row],[ProductID]],tblProducts[ProductID],tblProducts[UnitCost])</f>
        <v>39781.99</v>
      </c>
      <c r="Q191" s="9">
        <f>tblTransactions[[#This Row],[Quantity]]*tblTransactions[[#This Row],[UnitCost]]</f>
        <v>39781.99</v>
      </c>
      <c r="R191" s="9">
        <f>tblTransactions[[#This Row],[NetRevenue]]-tblTransactions[[#This Row],[TotalCost]]</f>
        <v>18613.75</v>
      </c>
      <c r="S191" t="str">
        <f>_xlfn.XLOOKUP(tblTransactions[[#This Row],[ProductID]],tblProducts[ProductID],tblProducts[Category])</f>
        <v>Electronics</v>
      </c>
    </row>
    <row r="192" spans="1:19">
      <c r="A192" t="s">
        <v>16509</v>
      </c>
      <c r="B192" s="1">
        <v>45137</v>
      </c>
      <c r="C192" t="s">
        <v>13369</v>
      </c>
      <c r="D192" t="str">
        <f>_xlfn.XLOOKUP(tblTransactions[[#This Row],[CustomerID]],tblCustomers[CustomerID],tblCustomers[CustomerName])</f>
        <v>Aayush Aggarwal</v>
      </c>
      <c r="E192" t="s">
        <v>15988</v>
      </c>
      <c r="F192" t="str">
        <f>_xlfn.XLOOKUP(tblTransactions[[#This Row],[ProductID]],tblProducts[ProductID],tblProducts[ProductName])</f>
        <v>Soundbar E5</v>
      </c>
      <c r="G192" t="s">
        <v>16279</v>
      </c>
      <c r="H192" t="str">
        <f>_xlfn.XLOOKUP(tblTransactions[[#This Row],[StoreID]],tblStores[StoreID],tblStores[Region])</f>
        <v>South</v>
      </c>
      <c r="I192">
        <v>2</v>
      </c>
      <c r="J192">
        <v>0.05</v>
      </c>
      <c r="K192" t="s">
        <v>16325</v>
      </c>
      <c r="L192" s="9">
        <f>_xlfn.XLOOKUP(tblTransactions[[#This Row],[ProductID]],tblProducts[ProductID],tblProducts[UnitPrice])</f>
        <v>51647.41</v>
      </c>
      <c r="M192" s="9">
        <f>tblTransactions[[#This Row],[Quantity]]*tblTransactions[[#This Row],[UnitPrice]]</f>
        <v>103294.82</v>
      </c>
      <c r="N192" s="9">
        <f>tblTransactions[[#This Row],[GrossSales]]*tblTransactions[[#This Row],[Discount]]</f>
        <v>5164.7410000000009</v>
      </c>
      <c r="O192" s="9">
        <f>tblTransactions[[#This Row],[GrossSales]]-tblTransactions[[#This Row],[DiscountAmount]]</f>
        <v>98130.079000000012</v>
      </c>
      <c r="P192" s="9">
        <f>_xlfn.XLOOKUP(tblTransactions[[#This Row],[ProductID]],tblProducts[ProductID],tblProducts[UnitCost])</f>
        <v>43564.65</v>
      </c>
      <c r="Q192" s="9">
        <f>tblTransactions[[#This Row],[Quantity]]*tblTransactions[[#This Row],[UnitCost]]</f>
        <v>87129.3</v>
      </c>
      <c r="R192" s="9">
        <f>tblTransactions[[#This Row],[NetRevenue]]-tblTransactions[[#This Row],[TotalCost]]</f>
        <v>11000.77900000001</v>
      </c>
      <c r="S192" t="str">
        <f>_xlfn.XLOOKUP(tblTransactions[[#This Row],[ProductID]],tblProducts[ProductID],tblProducts[Category])</f>
        <v>Electronics</v>
      </c>
    </row>
    <row r="193" spans="1:19">
      <c r="A193" t="s">
        <v>16510</v>
      </c>
      <c r="B193" s="1">
        <v>45137</v>
      </c>
      <c r="C193" t="s">
        <v>8681</v>
      </c>
      <c r="D193" t="str">
        <f>_xlfn.XLOOKUP(tblTransactions[[#This Row],[CustomerID]],tblCustomers[CustomerID],tblCustomers[CustomerName])</f>
        <v>Kiaan Wagle</v>
      </c>
      <c r="E193" t="s">
        <v>16165</v>
      </c>
      <c r="F193" t="str">
        <f>_xlfn.XLOOKUP(tblTransactions[[#This Row],[ProductID]],tblProducts[ProductID],tblProducts[ProductName])</f>
        <v>Juice B2</v>
      </c>
      <c r="G193" t="s">
        <v>16289</v>
      </c>
      <c r="H193" t="str">
        <f>_xlfn.XLOOKUP(tblTransactions[[#This Row],[StoreID]],tblStores[StoreID],tblStores[Region])</f>
        <v>South</v>
      </c>
      <c r="I193">
        <v>1</v>
      </c>
      <c r="J193">
        <v>0</v>
      </c>
      <c r="K193" t="s">
        <v>16321</v>
      </c>
      <c r="L193" s="9">
        <f>_xlfn.XLOOKUP(tblTransactions[[#This Row],[ProductID]],tblProducts[ProductID],tblProducts[UnitPrice])</f>
        <v>1053.9000000000001</v>
      </c>
      <c r="M193" s="9">
        <f>tblTransactions[[#This Row],[Quantity]]*tblTransactions[[#This Row],[UnitPrice]]</f>
        <v>1053.9000000000001</v>
      </c>
      <c r="N193" s="9">
        <f>tblTransactions[[#This Row],[GrossSales]]*tblTransactions[[#This Row],[Discount]]</f>
        <v>0</v>
      </c>
      <c r="O193" s="9">
        <f>tblTransactions[[#This Row],[GrossSales]]-tblTransactions[[#This Row],[DiscountAmount]]</f>
        <v>1053.9000000000001</v>
      </c>
      <c r="P193" s="9">
        <f>_xlfn.XLOOKUP(tblTransactions[[#This Row],[ProductID]],tblProducts[ProductID],tblProducts[UnitCost])</f>
        <v>710.59</v>
      </c>
      <c r="Q193" s="9">
        <f>tblTransactions[[#This Row],[Quantity]]*tblTransactions[[#This Row],[UnitCost]]</f>
        <v>710.59</v>
      </c>
      <c r="R193" s="9">
        <f>tblTransactions[[#This Row],[NetRevenue]]-tblTransactions[[#This Row],[TotalCost]]</f>
        <v>343.31000000000006</v>
      </c>
      <c r="S193" t="str">
        <f>_xlfn.XLOOKUP(tblTransactions[[#This Row],[ProductID]],tblProducts[ProductID],tblProducts[Category])</f>
        <v>Grocery</v>
      </c>
    </row>
    <row r="194" spans="1:19">
      <c r="A194" t="s">
        <v>16511</v>
      </c>
      <c r="B194" s="1">
        <v>45138</v>
      </c>
      <c r="C194" t="s">
        <v>5215</v>
      </c>
      <c r="D194" t="str">
        <f>_xlfn.XLOOKUP(tblTransactions[[#This Row],[CustomerID]],tblCustomers[CustomerID],tblCustomers[CustomerName])</f>
        <v>Yauvani Nayar</v>
      </c>
      <c r="E194" t="s">
        <v>15931</v>
      </c>
      <c r="F194" t="str">
        <f>_xlfn.XLOOKUP(tblTransactions[[#This Row],[ProductID]],tblProducts[ProductID],tblProducts[ProductName])</f>
        <v>QLED Smart TV B2</v>
      </c>
      <c r="G194" t="s">
        <v>16307</v>
      </c>
      <c r="H194" t="str">
        <f>_xlfn.XLOOKUP(tblTransactions[[#This Row],[StoreID]],tblStores[StoreID],tblStores[Region])</f>
        <v>East</v>
      </c>
      <c r="I194">
        <v>1</v>
      </c>
      <c r="J194">
        <v>0</v>
      </c>
      <c r="K194" t="s">
        <v>16321</v>
      </c>
      <c r="L194" s="9">
        <f>_xlfn.XLOOKUP(tblTransactions[[#This Row],[ProductID]],tblProducts[ProductID],tblProducts[UnitPrice])</f>
        <v>75177.759999999995</v>
      </c>
      <c r="M194" s="9">
        <f>tblTransactions[[#This Row],[Quantity]]*tblTransactions[[#This Row],[UnitPrice]]</f>
        <v>75177.759999999995</v>
      </c>
      <c r="N194" s="9">
        <f>tblTransactions[[#This Row],[GrossSales]]*tblTransactions[[#This Row],[Discount]]</f>
        <v>0</v>
      </c>
      <c r="O194" s="9">
        <f>tblTransactions[[#This Row],[GrossSales]]-tblTransactions[[#This Row],[DiscountAmount]]</f>
        <v>75177.759999999995</v>
      </c>
      <c r="P194" s="9">
        <f>_xlfn.XLOOKUP(tblTransactions[[#This Row],[ProductID]],tblProducts[ProductID],tblProducts[UnitCost])</f>
        <v>51831.839999999997</v>
      </c>
      <c r="Q194" s="9">
        <f>tblTransactions[[#This Row],[Quantity]]*tblTransactions[[#This Row],[UnitCost]]</f>
        <v>51831.839999999997</v>
      </c>
      <c r="R194" s="9">
        <f>tblTransactions[[#This Row],[NetRevenue]]-tblTransactions[[#This Row],[TotalCost]]</f>
        <v>23345.919999999998</v>
      </c>
      <c r="S194" t="str">
        <f>_xlfn.XLOOKUP(tblTransactions[[#This Row],[ProductID]],tblProducts[ProductID],tblProducts[Category])</f>
        <v>Electronics</v>
      </c>
    </row>
    <row r="195" spans="1:19">
      <c r="A195" t="s">
        <v>16512</v>
      </c>
      <c r="B195" s="1">
        <v>45140</v>
      </c>
      <c r="C195" t="s">
        <v>10369</v>
      </c>
      <c r="D195" t="str">
        <f>_xlfn.XLOOKUP(tblTransactions[[#This Row],[CustomerID]],tblCustomers[CustomerID],tblCustomers[CustomerName])</f>
        <v>Aadhya Gandhi</v>
      </c>
      <c r="E195" t="s">
        <v>15927</v>
      </c>
      <c r="F195" t="str">
        <f>_xlfn.XLOOKUP(tblTransactions[[#This Row],[ProductID]],tblProducts[ProductID],tblProducts[ProductName])</f>
        <v>Full HD TV A1</v>
      </c>
      <c r="G195" t="s">
        <v>16291</v>
      </c>
      <c r="H195" t="str">
        <f>_xlfn.XLOOKUP(tblTransactions[[#This Row],[StoreID]],tblStores[StoreID],tblStores[Region])</f>
        <v>South</v>
      </c>
      <c r="I195">
        <v>1</v>
      </c>
      <c r="J195">
        <v>0.05</v>
      </c>
      <c r="K195" t="s">
        <v>16317</v>
      </c>
      <c r="L195" s="9">
        <f>_xlfn.XLOOKUP(tblTransactions[[#This Row],[ProductID]],tblProducts[ProductID],tblProducts[UnitPrice])</f>
        <v>69234.210000000006</v>
      </c>
      <c r="M195" s="9">
        <f>tblTransactions[[#This Row],[Quantity]]*tblTransactions[[#This Row],[UnitPrice]]</f>
        <v>69234.210000000006</v>
      </c>
      <c r="N195" s="9">
        <f>tblTransactions[[#This Row],[GrossSales]]*tblTransactions[[#This Row],[Discount]]</f>
        <v>3461.7105000000006</v>
      </c>
      <c r="O195" s="9">
        <f>tblTransactions[[#This Row],[GrossSales]]-tblTransactions[[#This Row],[DiscountAmount]]</f>
        <v>65772.499500000005</v>
      </c>
      <c r="P195" s="9">
        <f>_xlfn.XLOOKUP(tblTransactions[[#This Row],[ProductID]],tblProducts[ProductID],tblProducts[UnitCost])</f>
        <v>56481.05</v>
      </c>
      <c r="Q195" s="9">
        <f>tblTransactions[[#This Row],[Quantity]]*tblTransactions[[#This Row],[UnitCost]]</f>
        <v>56481.05</v>
      </c>
      <c r="R195" s="9">
        <f>tblTransactions[[#This Row],[NetRevenue]]-tblTransactions[[#This Row],[TotalCost]]</f>
        <v>9291.4495000000024</v>
      </c>
      <c r="S195" t="str">
        <f>_xlfn.XLOOKUP(tblTransactions[[#This Row],[ProductID]],tblProducts[ProductID],tblProducts[Category])</f>
        <v>Electronics</v>
      </c>
    </row>
    <row r="196" spans="1:19">
      <c r="A196" t="s">
        <v>16513</v>
      </c>
      <c r="B196" s="1">
        <v>45140</v>
      </c>
      <c r="C196" t="s">
        <v>15189</v>
      </c>
      <c r="D196" t="str">
        <f>_xlfn.XLOOKUP(tblTransactions[[#This Row],[CustomerID]],tblCustomers[CustomerID],tblCustomers[CustomerName])</f>
        <v>Deepa Pillai</v>
      </c>
      <c r="E196" t="s">
        <v>16051</v>
      </c>
      <c r="F196" t="str">
        <f>_xlfn.XLOOKUP(tblTransactions[[#This Row],[ProductID]],tblProducts[ProductID],tblProducts[ProductName])</f>
        <v>Pressure Cooker A6</v>
      </c>
      <c r="G196" t="s">
        <v>16299</v>
      </c>
      <c r="H196" t="str">
        <f>_xlfn.XLOOKUP(tblTransactions[[#This Row],[StoreID]],tblStores[StoreID],tblStores[Region])</f>
        <v>South</v>
      </c>
      <c r="I196">
        <v>2</v>
      </c>
      <c r="J196">
        <v>0</v>
      </c>
      <c r="K196" t="s">
        <v>16315</v>
      </c>
      <c r="L196" s="9">
        <f>_xlfn.XLOOKUP(tblTransactions[[#This Row],[ProductID]],tblProducts[ProductID],tblProducts[UnitPrice])</f>
        <v>27105.29</v>
      </c>
      <c r="M196" s="9">
        <f>tblTransactions[[#This Row],[Quantity]]*tblTransactions[[#This Row],[UnitPrice]]</f>
        <v>54210.58</v>
      </c>
      <c r="N196" s="9">
        <f>tblTransactions[[#This Row],[GrossSales]]*tblTransactions[[#This Row],[Discount]]</f>
        <v>0</v>
      </c>
      <c r="O196" s="9">
        <f>tblTransactions[[#This Row],[GrossSales]]-tblTransactions[[#This Row],[DiscountAmount]]</f>
        <v>54210.58</v>
      </c>
      <c r="P196" s="9">
        <f>_xlfn.XLOOKUP(tblTransactions[[#This Row],[ProductID]],tblProducts[ProductID],tblProducts[UnitCost])</f>
        <v>17092.599999999999</v>
      </c>
      <c r="Q196" s="9">
        <f>tblTransactions[[#This Row],[Quantity]]*tblTransactions[[#This Row],[UnitCost]]</f>
        <v>34185.199999999997</v>
      </c>
      <c r="R196" s="9">
        <f>tblTransactions[[#This Row],[NetRevenue]]-tblTransactions[[#This Row],[TotalCost]]</f>
        <v>20025.380000000005</v>
      </c>
      <c r="S196" t="str">
        <f>_xlfn.XLOOKUP(tblTransactions[[#This Row],[ProductID]],tblProducts[ProductID],tblProducts[Category])</f>
        <v>Home &amp; Kitchen</v>
      </c>
    </row>
    <row r="197" spans="1:19">
      <c r="A197" t="s">
        <v>16514</v>
      </c>
      <c r="B197" s="1">
        <v>45141</v>
      </c>
      <c r="C197" t="s">
        <v>6085</v>
      </c>
      <c r="D197" t="str">
        <f>_xlfn.XLOOKUP(tblTransactions[[#This Row],[CustomerID]],tblCustomers[CustomerID],tblCustomers[CustomerName])</f>
        <v>Garima Srinivas</v>
      </c>
      <c r="E197" t="s">
        <v>16030</v>
      </c>
      <c r="F197" t="str">
        <f>_xlfn.XLOOKUP(tblTransactions[[#This Row],[ProductID]],tblProducts[ProductID],tblProducts[ProductName])</f>
        <v>Study Table C3</v>
      </c>
      <c r="G197" t="s">
        <v>16285</v>
      </c>
      <c r="H197" t="str">
        <f>_xlfn.XLOOKUP(tblTransactions[[#This Row],[StoreID]],tblStores[StoreID],tblStores[Region])</f>
        <v>West</v>
      </c>
      <c r="I197">
        <v>1</v>
      </c>
      <c r="J197">
        <v>0</v>
      </c>
      <c r="K197" t="s">
        <v>16315</v>
      </c>
      <c r="L197" s="9">
        <f>_xlfn.XLOOKUP(tblTransactions[[#This Row],[ProductID]],tblProducts[ProductID],tblProducts[UnitPrice])</f>
        <v>29675.72</v>
      </c>
      <c r="M197" s="9">
        <f>tblTransactions[[#This Row],[Quantity]]*tblTransactions[[#This Row],[UnitPrice]]</f>
        <v>29675.72</v>
      </c>
      <c r="N197" s="9">
        <f>tblTransactions[[#This Row],[GrossSales]]*tblTransactions[[#This Row],[Discount]]</f>
        <v>0</v>
      </c>
      <c r="O197" s="9">
        <f>tblTransactions[[#This Row],[GrossSales]]-tblTransactions[[#This Row],[DiscountAmount]]</f>
        <v>29675.72</v>
      </c>
      <c r="P197" s="9">
        <f>_xlfn.XLOOKUP(tblTransactions[[#This Row],[ProductID]],tblProducts[ProductID],tblProducts[UnitCost])</f>
        <v>17695.330000000002</v>
      </c>
      <c r="Q197" s="9">
        <f>tblTransactions[[#This Row],[Quantity]]*tblTransactions[[#This Row],[UnitCost]]</f>
        <v>17695.330000000002</v>
      </c>
      <c r="R197" s="9">
        <f>tblTransactions[[#This Row],[NetRevenue]]-tblTransactions[[#This Row],[TotalCost]]</f>
        <v>11980.39</v>
      </c>
      <c r="S197" t="str">
        <f>_xlfn.XLOOKUP(tblTransactions[[#This Row],[ProductID]],tblProducts[ProductID],tblProducts[Category])</f>
        <v>Home &amp; Kitchen</v>
      </c>
    </row>
    <row r="198" spans="1:19">
      <c r="A198" t="s">
        <v>16515</v>
      </c>
      <c r="B198" s="1">
        <v>45142</v>
      </c>
      <c r="C198" t="s">
        <v>10732</v>
      </c>
      <c r="D198" t="str">
        <f>_xlfn.XLOOKUP(tblTransactions[[#This Row],[CustomerID]],tblCustomers[CustomerID],tblCustomers[CustomerName])</f>
        <v>Gaurangi Bal</v>
      </c>
      <c r="E198" t="s">
        <v>16249</v>
      </c>
      <c r="F198" t="str">
        <f>_xlfn.XLOOKUP(tblTransactions[[#This Row],[ProductID]],tblProducts[ProductID],tblProducts[ProductName])</f>
        <v>Beard Oil A6</v>
      </c>
      <c r="G198" t="s">
        <v>16299</v>
      </c>
      <c r="H198" t="str">
        <f>_xlfn.XLOOKUP(tblTransactions[[#This Row],[StoreID]],tblStores[StoreID],tblStores[Region])</f>
        <v>South</v>
      </c>
      <c r="I198">
        <v>5</v>
      </c>
      <c r="J198">
        <v>0</v>
      </c>
      <c r="K198" t="s">
        <v>16319</v>
      </c>
      <c r="L198" s="9">
        <f>_xlfn.XLOOKUP(tblTransactions[[#This Row],[ProductID]],tblProducts[ProductID],tblProducts[UnitPrice])</f>
        <v>4294.7</v>
      </c>
      <c r="M198" s="9">
        <f>tblTransactions[[#This Row],[Quantity]]*tblTransactions[[#This Row],[UnitPrice]]</f>
        <v>21473.5</v>
      </c>
      <c r="N198" s="9">
        <f>tblTransactions[[#This Row],[GrossSales]]*tblTransactions[[#This Row],[Discount]]</f>
        <v>0</v>
      </c>
      <c r="O198" s="9">
        <f>tblTransactions[[#This Row],[GrossSales]]-tblTransactions[[#This Row],[DiscountAmount]]</f>
        <v>21473.5</v>
      </c>
      <c r="P198" s="9">
        <f>_xlfn.XLOOKUP(tblTransactions[[#This Row],[ProductID]],tblProducts[ProductID],tblProducts[UnitCost])</f>
        <v>3317.06</v>
      </c>
      <c r="Q198" s="9">
        <f>tblTransactions[[#This Row],[Quantity]]*tblTransactions[[#This Row],[UnitCost]]</f>
        <v>16585.3</v>
      </c>
      <c r="R198" s="9">
        <f>tblTransactions[[#This Row],[NetRevenue]]-tblTransactions[[#This Row],[TotalCost]]</f>
        <v>4888.2000000000007</v>
      </c>
      <c r="S198" t="str">
        <f>_xlfn.XLOOKUP(tblTransactions[[#This Row],[ProductID]],tblProducts[ProductID],tblProducts[Category])</f>
        <v>Personal Care</v>
      </c>
    </row>
    <row r="199" spans="1:19">
      <c r="A199" t="s">
        <v>16516</v>
      </c>
      <c r="B199" s="1">
        <v>45142</v>
      </c>
      <c r="C199" t="s">
        <v>6538</v>
      </c>
      <c r="D199" t="str">
        <f>_xlfn.XLOOKUP(tblTransactions[[#This Row],[CustomerID]],tblCustomers[CustomerID],tblCustomers[CustomerName])</f>
        <v>Warjas Bail</v>
      </c>
      <c r="E199" t="s">
        <v>16152</v>
      </c>
      <c r="F199" t="str">
        <f>_xlfn.XLOOKUP(tblTransactions[[#This Row],[ProductID]],tblProducts[ProductID],tblProducts[ProductName])</f>
        <v>Chips C3</v>
      </c>
      <c r="G199" t="s">
        <v>16275</v>
      </c>
      <c r="H199" t="str">
        <f>_xlfn.XLOOKUP(tblTransactions[[#This Row],[StoreID]],tblStores[StoreID],tblStores[Region])</f>
        <v>South</v>
      </c>
      <c r="I199">
        <v>1</v>
      </c>
      <c r="J199">
        <v>0</v>
      </c>
      <c r="K199" t="s">
        <v>16317</v>
      </c>
      <c r="L199" s="9">
        <f>_xlfn.XLOOKUP(tblTransactions[[#This Row],[ProductID]],tblProducts[ProductID],tblProducts[UnitPrice])</f>
        <v>152.38</v>
      </c>
      <c r="M199" s="9">
        <f>tblTransactions[[#This Row],[Quantity]]*tblTransactions[[#This Row],[UnitPrice]]</f>
        <v>152.38</v>
      </c>
      <c r="N199" s="9">
        <f>tblTransactions[[#This Row],[GrossSales]]*tblTransactions[[#This Row],[Discount]]</f>
        <v>0</v>
      </c>
      <c r="O199" s="9">
        <f>tblTransactions[[#This Row],[GrossSales]]-tblTransactions[[#This Row],[DiscountAmount]]</f>
        <v>152.38</v>
      </c>
      <c r="P199" s="9">
        <f>_xlfn.XLOOKUP(tblTransactions[[#This Row],[ProductID]],tblProducts[ProductID],tblProducts[UnitCost])</f>
        <v>100.44</v>
      </c>
      <c r="Q199" s="9">
        <f>tblTransactions[[#This Row],[Quantity]]*tblTransactions[[#This Row],[UnitCost]]</f>
        <v>100.44</v>
      </c>
      <c r="R199" s="9">
        <f>tblTransactions[[#This Row],[NetRevenue]]-tblTransactions[[#This Row],[TotalCost]]</f>
        <v>51.94</v>
      </c>
      <c r="S199" t="str">
        <f>_xlfn.XLOOKUP(tblTransactions[[#This Row],[ProductID]],tblProducts[ProductID],tblProducts[Category])</f>
        <v>Grocery</v>
      </c>
    </row>
    <row r="200" spans="1:19">
      <c r="A200" t="s">
        <v>16517</v>
      </c>
      <c r="B200" s="1">
        <v>45143</v>
      </c>
      <c r="C200" t="s">
        <v>5510</v>
      </c>
      <c r="D200" t="str">
        <f>_xlfn.XLOOKUP(tblTransactions[[#This Row],[CustomerID]],tblCustomers[CustomerID],tblCustomers[CustomerName])</f>
        <v>Nicholas Hari</v>
      </c>
      <c r="E200" t="s">
        <v>16251</v>
      </c>
      <c r="F200" t="str">
        <f>_xlfn.XLOOKUP(tblTransactions[[#This Row],[ProductID]],tblProducts[ProductID],tblProducts[ProductName])</f>
        <v>Trimmer B7</v>
      </c>
      <c r="G200" t="s">
        <v>16256</v>
      </c>
      <c r="H200" t="str">
        <f>_xlfn.XLOOKUP(tblTransactions[[#This Row],[StoreID]],tblStores[StoreID],tblStores[Region])</f>
        <v>East</v>
      </c>
      <c r="I200">
        <v>3</v>
      </c>
      <c r="J200">
        <v>0</v>
      </c>
      <c r="K200" t="s">
        <v>16321</v>
      </c>
      <c r="L200" s="9">
        <f>_xlfn.XLOOKUP(tblTransactions[[#This Row],[ProductID]],tblProducts[ProductID],tblProducts[UnitPrice])</f>
        <v>4199.75</v>
      </c>
      <c r="M200" s="9">
        <f>tblTransactions[[#This Row],[Quantity]]*tblTransactions[[#This Row],[UnitPrice]]</f>
        <v>12599.25</v>
      </c>
      <c r="N200" s="9">
        <f>tblTransactions[[#This Row],[GrossSales]]*tblTransactions[[#This Row],[Discount]]</f>
        <v>0</v>
      </c>
      <c r="O200" s="9">
        <f>tblTransactions[[#This Row],[GrossSales]]-tblTransactions[[#This Row],[DiscountAmount]]</f>
        <v>12599.25</v>
      </c>
      <c r="P200" s="9">
        <f>_xlfn.XLOOKUP(tblTransactions[[#This Row],[ProductID]],tblProducts[ProductID],tblProducts[UnitCost])</f>
        <v>2546.5700000000002</v>
      </c>
      <c r="Q200" s="9">
        <f>tblTransactions[[#This Row],[Quantity]]*tblTransactions[[#This Row],[UnitCost]]</f>
        <v>7639.7100000000009</v>
      </c>
      <c r="R200" s="9">
        <f>tblTransactions[[#This Row],[NetRevenue]]-tblTransactions[[#This Row],[TotalCost]]</f>
        <v>4959.5399999999991</v>
      </c>
      <c r="S200" t="str">
        <f>_xlfn.XLOOKUP(tblTransactions[[#This Row],[ProductID]],tblProducts[ProductID],tblProducts[Category])</f>
        <v>Personal Care</v>
      </c>
    </row>
    <row r="201" spans="1:19">
      <c r="A201" t="s">
        <v>16518</v>
      </c>
      <c r="B201" s="1">
        <v>45145</v>
      </c>
      <c r="C201" t="s">
        <v>10768</v>
      </c>
      <c r="D201" t="str">
        <f>_xlfn.XLOOKUP(tblTransactions[[#This Row],[CustomerID]],tblCustomers[CustomerID],tblCustomers[CustomerName])</f>
        <v>Oscar Cherian</v>
      </c>
      <c r="E201" t="s">
        <v>16217</v>
      </c>
      <c r="F201" t="str">
        <f>_xlfn.XLOOKUP(tblTransactions[[#This Row],[ProductID]],tblProducts[ProductID],tblProducts[ProductName])</f>
        <v>Hair Oil E5</v>
      </c>
      <c r="G201" t="s">
        <v>16291</v>
      </c>
      <c r="H201" t="str">
        <f>_xlfn.XLOOKUP(tblTransactions[[#This Row],[StoreID]],tblStores[StoreID],tblStores[Region])</f>
        <v>South</v>
      </c>
      <c r="I201">
        <v>3</v>
      </c>
      <c r="J201">
        <v>0</v>
      </c>
      <c r="K201" t="s">
        <v>16317</v>
      </c>
      <c r="L201" s="9">
        <f>_xlfn.XLOOKUP(tblTransactions[[#This Row],[ProductID]],tblProducts[ProductID],tblProducts[UnitPrice])</f>
        <v>3581.9</v>
      </c>
      <c r="M201" s="9">
        <f>tblTransactions[[#This Row],[Quantity]]*tblTransactions[[#This Row],[UnitPrice]]</f>
        <v>10745.7</v>
      </c>
      <c r="N201" s="9">
        <f>tblTransactions[[#This Row],[GrossSales]]*tblTransactions[[#This Row],[Discount]]</f>
        <v>0</v>
      </c>
      <c r="O201" s="9">
        <f>tblTransactions[[#This Row],[GrossSales]]-tblTransactions[[#This Row],[DiscountAmount]]</f>
        <v>10745.7</v>
      </c>
      <c r="P201" s="9">
        <f>_xlfn.XLOOKUP(tblTransactions[[#This Row],[ProductID]],tblProducts[ProductID],tblProducts[UnitCost])</f>
        <v>2770.12</v>
      </c>
      <c r="Q201" s="9">
        <f>tblTransactions[[#This Row],[Quantity]]*tblTransactions[[#This Row],[UnitCost]]</f>
        <v>8310.36</v>
      </c>
      <c r="R201" s="9">
        <f>tblTransactions[[#This Row],[NetRevenue]]-tblTransactions[[#This Row],[TotalCost]]</f>
        <v>2435.34</v>
      </c>
      <c r="S201" t="str">
        <f>_xlfn.XLOOKUP(tblTransactions[[#This Row],[ProductID]],tblProducts[ProductID],tblProducts[Category])</f>
        <v>Personal Care</v>
      </c>
    </row>
    <row r="202" spans="1:19">
      <c r="A202" t="s">
        <v>16519</v>
      </c>
      <c r="B202" s="1">
        <v>45145</v>
      </c>
      <c r="C202" t="s">
        <v>12946</v>
      </c>
      <c r="D202" t="str">
        <f>_xlfn.XLOOKUP(tblTransactions[[#This Row],[CustomerID]],tblCustomers[CustomerID],tblCustomers[CustomerName])</f>
        <v>Varsha Soman</v>
      </c>
      <c r="E202" t="s">
        <v>16141</v>
      </c>
      <c r="F202" t="str">
        <f>_xlfn.XLOOKUP(tblTransactions[[#This Row],[ProductID]],tblProducts[ProductID],tblProducts[ProductName])</f>
        <v>Sugar E5</v>
      </c>
      <c r="G202" t="s">
        <v>16281</v>
      </c>
      <c r="H202" t="str">
        <f>_xlfn.XLOOKUP(tblTransactions[[#This Row],[StoreID]],tblStores[StoreID],tblStores[Region])</f>
        <v>West</v>
      </c>
      <c r="I202">
        <v>1</v>
      </c>
      <c r="J202">
        <v>0</v>
      </c>
      <c r="K202" t="s">
        <v>16317</v>
      </c>
      <c r="L202" s="9">
        <f>_xlfn.XLOOKUP(tblTransactions[[#This Row],[ProductID]],tblProducts[ProductID],tblProducts[UnitPrice])</f>
        <v>631.26</v>
      </c>
      <c r="M202" s="9">
        <f>tblTransactions[[#This Row],[Quantity]]*tblTransactions[[#This Row],[UnitPrice]]</f>
        <v>631.26</v>
      </c>
      <c r="N202" s="9">
        <f>tblTransactions[[#This Row],[GrossSales]]*tblTransactions[[#This Row],[Discount]]</f>
        <v>0</v>
      </c>
      <c r="O202" s="9">
        <f>tblTransactions[[#This Row],[GrossSales]]-tblTransactions[[#This Row],[DiscountAmount]]</f>
        <v>631.26</v>
      </c>
      <c r="P202" s="9">
        <f>_xlfn.XLOOKUP(tblTransactions[[#This Row],[ProductID]],tblProducts[ProductID],tblProducts[UnitCost])</f>
        <v>394.86</v>
      </c>
      <c r="Q202" s="9">
        <f>tblTransactions[[#This Row],[Quantity]]*tblTransactions[[#This Row],[UnitCost]]</f>
        <v>394.86</v>
      </c>
      <c r="R202" s="9">
        <f>tblTransactions[[#This Row],[NetRevenue]]-tblTransactions[[#This Row],[TotalCost]]</f>
        <v>236.39999999999998</v>
      </c>
      <c r="S202" t="str">
        <f>_xlfn.XLOOKUP(tblTransactions[[#This Row],[ProductID]],tblProducts[ProductID],tblProducts[Category])</f>
        <v>Grocery</v>
      </c>
    </row>
    <row r="203" spans="1:19">
      <c r="A203" t="s">
        <v>16520</v>
      </c>
      <c r="B203" s="1">
        <v>45150</v>
      </c>
      <c r="C203" t="s">
        <v>12956</v>
      </c>
      <c r="D203" t="str">
        <f>_xlfn.XLOOKUP(tblTransactions[[#This Row],[CustomerID]],tblCustomers[CustomerID],tblCustomers[CustomerName])</f>
        <v>Eta Kala</v>
      </c>
      <c r="E203" t="s">
        <v>15990</v>
      </c>
      <c r="F203" t="str">
        <f>_xlfn.XLOOKUP(tblTransactions[[#This Row],[ProductID]],tblProducts[ProductID],tblProducts[ProductName])</f>
        <v>Earbuds A6</v>
      </c>
      <c r="G203" t="s">
        <v>16277</v>
      </c>
      <c r="H203" t="str">
        <f>_xlfn.XLOOKUP(tblTransactions[[#This Row],[StoreID]],tblStores[StoreID],tblStores[Region])</f>
        <v>West</v>
      </c>
      <c r="I203">
        <v>2</v>
      </c>
      <c r="J203">
        <v>0</v>
      </c>
      <c r="K203" t="s">
        <v>16317</v>
      </c>
      <c r="L203" s="9">
        <f>_xlfn.XLOOKUP(tblTransactions[[#This Row],[ProductID]],tblProducts[ProductID],tblProducts[UnitPrice])</f>
        <v>76019.78</v>
      </c>
      <c r="M203" s="9">
        <f>tblTransactions[[#This Row],[Quantity]]*tblTransactions[[#This Row],[UnitPrice]]</f>
        <v>152039.56</v>
      </c>
      <c r="N203" s="9">
        <f>tblTransactions[[#This Row],[GrossSales]]*tblTransactions[[#This Row],[Discount]]</f>
        <v>0</v>
      </c>
      <c r="O203" s="9">
        <f>tblTransactions[[#This Row],[GrossSales]]-tblTransactions[[#This Row],[DiscountAmount]]</f>
        <v>152039.56</v>
      </c>
      <c r="P203" s="9">
        <f>_xlfn.XLOOKUP(tblTransactions[[#This Row],[ProductID]],tblProducts[ProductID],tblProducts[UnitCost])</f>
        <v>53305.15</v>
      </c>
      <c r="Q203" s="9">
        <f>tblTransactions[[#This Row],[Quantity]]*tblTransactions[[#This Row],[UnitCost]]</f>
        <v>106610.3</v>
      </c>
      <c r="R203" s="9">
        <f>tblTransactions[[#This Row],[NetRevenue]]-tblTransactions[[#This Row],[TotalCost]]</f>
        <v>45429.259999999995</v>
      </c>
      <c r="S203" t="str">
        <f>_xlfn.XLOOKUP(tblTransactions[[#This Row],[ProductID]],tblProducts[ProductID],tblProducts[Category])</f>
        <v>Electronics</v>
      </c>
    </row>
    <row r="204" spans="1:19">
      <c r="A204" t="s">
        <v>16521</v>
      </c>
      <c r="B204" s="1">
        <v>45152</v>
      </c>
      <c r="C204" t="s">
        <v>9885</v>
      </c>
      <c r="D204" t="str">
        <f>_xlfn.XLOOKUP(tblTransactions[[#This Row],[CustomerID]],tblCustomers[CustomerID],tblCustomers[CustomerName])</f>
        <v>Devika Salvi</v>
      </c>
      <c r="E204" t="s">
        <v>16245</v>
      </c>
      <c r="F204" t="str">
        <f>_xlfn.XLOOKUP(tblTransactions[[#This Row],[ProductID]],tblProducts[ProductID],tblProducts[ProductName])</f>
        <v>Razor D4</v>
      </c>
      <c r="G204" t="s">
        <v>16281</v>
      </c>
      <c r="H204" t="str">
        <f>_xlfn.XLOOKUP(tblTransactions[[#This Row],[StoreID]],tblStores[StoreID],tblStores[Region])</f>
        <v>West</v>
      </c>
      <c r="I204">
        <v>1</v>
      </c>
      <c r="J204">
        <v>0</v>
      </c>
      <c r="K204" t="s">
        <v>16321</v>
      </c>
      <c r="L204" s="9">
        <f>_xlfn.XLOOKUP(tblTransactions[[#This Row],[ProductID]],tblProducts[ProductID],tblProducts[UnitPrice])</f>
        <v>4084.63</v>
      </c>
      <c r="M204" s="9">
        <f>tblTransactions[[#This Row],[Quantity]]*tblTransactions[[#This Row],[UnitPrice]]</f>
        <v>4084.63</v>
      </c>
      <c r="N204" s="9">
        <f>tblTransactions[[#This Row],[GrossSales]]*tblTransactions[[#This Row],[Discount]]</f>
        <v>0</v>
      </c>
      <c r="O204" s="9">
        <f>tblTransactions[[#This Row],[GrossSales]]-tblTransactions[[#This Row],[DiscountAmount]]</f>
        <v>4084.63</v>
      </c>
      <c r="P204" s="9">
        <f>_xlfn.XLOOKUP(tblTransactions[[#This Row],[ProductID]],tblProducts[ProductID],tblProducts[UnitCost])</f>
        <v>2990.01</v>
      </c>
      <c r="Q204" s="9">
        <f>tblTransactions[[#This Row],[Quantity]]*tblTransactions[[#This Row],[UnitCost]]</f>
        <v>2990.01</v>
      </c>
      <c r="R204" s="9">
        <f>tblTransactions[[#This Row],[NetRevenue]]-tblTransactions[[#This Row],[TotalCost]]</f>
        <v>1094.6199999999999</v>
      </c>
      <c r="S204" t="str">
        <f>_xlfn.XLOOKUP(tblTransactions[[#This Row],[ProductID]],tblProducts[ProductID],tblProducts[Category])</f>
        <v>Personal Care</v>
      </c>
    </row>
    <row r="205" spans="1:19">
      <c r="A205" t="s">
        <v>16522</v>
      </c>
      <c r="B205" s="1">
        <v>45153</v>
      </c>
      <c r="C205" t="s">
        <v>15341</v>
      </c>
      <c r="D205" t="str">
        <f>_xlfn.XLOOKUP(tblTransactions[[#This Row],[CustomerID]],tblCustomers[CustomerID],tblCustomers[CustomerName])</f>
        <v>Hemal Bhatt</v>
      </c>
      <c r="E205" t="s">
        <v>16007</v>
      </c>
      <c r="F205" t="str">
        <f>_xlfn.XLOOKUP(tblTransactions[[#This Row],[ProductID]],tblProducts[ProductID],tblProducts[ProductName])</f>
        <v>USB-C Cable B7</v>
      </c>
      <c r="G205" t="s">
        <v>16283</v>
      </c>
      <c r="H205" t="str">
        <f>_xlfn.XLOOKUP(tblTransactions[[#This Row],[StoreID]],tblStores[StoreID],tblStores[Region])</f>
        <v>South</v>
      </c>
      <c r="I205">
        <v>1</v>
      </c>
      <c r="J205">
        <v>0.05</v>
      </c>
      <c r="K205" t="s">
        <v>16315</v>
      </c>
      <c r="L205" s="9">
        <f>_xlfn.XLOOKUP(tblTransactions[[#This Row],[ProductID]],tblProducts[ProductID],tblProducts[UnitPrice])</f>
        <v>22362.17</v>
      </c>
      <c r="M205" s="9">
        <f>tblTransactions[[#This Row],[Quantity]]*tblTransactions[[#This Row],[UnitPrice]]</f>
        <v>22362.17</v>
      </c>
      <c r="N205" s="9">
        <f>tblTransactions[[#This Row],[GrossSales]]*tblTransactions[[#This Row],[Discount]]</f>
        <v>1118.1085</v>
      </c>
      <c r="O205" s="9">
        <f>tblTransactions[[#This Row],[GrossSales]]-tblTransactions[[#This Row],[DiscountAmount]]</f>
        <v>21244.0615</v>
      </c>
      <c r="P205" s="9">
        <f>_xlfn.XLOOKUP(tblTransactions[[#This Row],[ProductID]],tblProducts[ProductID],tblProducts[UnitCost])</f>
        <v>12317.6</v>
      </c>
      <c r="Q205" s="9">
        <f>tblTransactions[[#This Row],[Quantity]]*tblTransactions[[#This Row],[UnitCost]]</f>
        <v>12317.6</v>
      </c>
      <c r="R205" s="9">
        <f>tblTransactions[[#This Row],[NetRevenue]]-tblTransactions[[#This Row],[TotalCost]]</f>
        <v>8926.4614999999994</v>
      </c>
      <c r="S205" t="str">
        <f>_xlfn.XLOOKUP(tblTransactions[[#This Row],[ProductID]],tblProducts[ProductID],tblProducts[Category])</f>
        <v>Electronics</v>
      </c>
    </row>
    <row r="206" spans="1:19">
      <c r="A206" t="s">
        <v>16523</v>
      </c>
      <c r="B206" s="1">
        <v>45153</v>
      </c>
      <c r="C206" t="s">
        <v>5962</v>
      </c>
      <c r="D206" t="str">
        <f>_xlfn.XLOOKUP(tblTransactions[[#This Row],[CustomerID]],tblCustomers[CustomerID],tblCustomers[CustomerName])</f>
        <v>Simon Mangal</v>
      </c>
      <c r="E206" t="s">
        <v>16015</v>
      </c>
      <c r="F206" t="str">
        <f>_xlfn.XLOOKUP(tblTransactions[[#This Row],[ProductID]],tblProducts[ProductID],tblProducts[ProductName])</f>
        <v>Electric Kettle C3</v>
      </c>
      <c r="G206" t="s">
        <v>16287</v>
      </c>
      <c r="H206" t="str">
        <f>_xlfn.XLOOKUP(tblTransactions[[#This Row],[StoreID]],tblStores[StoreID],tblStores[Region])</f>
        <v>North</v>
      </c>
      <c r="I206">
        <v>4</v>
      </c>
      <c r="J206">
        <v>0</v>
      </c>
      <c r="K206" t="s">
        <v>16315</v>
      </c>
      <c r="L206" s="9">
        <f>_xlfn.XLOOKUP(tblTransactions[[#This Row],[ProductID]],tblProducts[ProductID],tblProducts[UnitPrice])</f>
        <v>11511.46</v>
      </c>
      <c r="M206" s="9">
        <f>tblTransactions[[#This Row],[Quantity]]*tblTransactions[[#This Row],[UnitPrice]]</f>
        <v>46045.84</v>
      </c>
      <c r="N206" s="9">
        <f>tblTransactions[[#This Row],[GrossSales]]*tblTransactions[[#This Row],[Discount]]</f>
        <v>0</v>
      </c>
      <c r="O206" s="9">
        <f>tblTransactions[[#This Row],[GrossSales]]-tblTransactions[[#This Row],[DiscountAmount]]</f>
        <v>46045.84</v>
      </c>
      <c r="P206" s="9">
        <f>_xlfn.XLOOKUP(tblTransactions[[#This Row],[ProductID]],tblProducts[ProductID],tblProducts[UnitCost])</f>
        <v>9046.98</v>
      </c>
      <c r="Q206" s="9">
        <f>tblTransactions[[#This Row],[Quantity]]*tblTransactions[[#This Row],[UnitCost]]</f>
        <v>36187.919999999998</v>
      </c>
      <c r="R206" s="9">
        <f>tblTransactions[[#This Row],[NetRevenue]]-tblTransactions[[#This Row],[TotalCost]]</f>
        <v>9857.9199999999983</v>
      </c>
      <c r="S206" t="str">
        <f>_xlfn.XLOOKUP(tblTransactions[[#This Row],[ProductID]],tblProducts[ProductID],tblProducts[Category])</f>
        <v>Home &amp; Kitchen</v>
      </c>
    </row>
    <row r="207" spans="1:19">
      <c r="A207" t="s">
        <v>16524</v>
      </c>
      <c r="B207" s="1">
        <v>45154</v>
      </c>
      <c r="C207" t="s">
        <v>4485</v>
      </c>
      <c r="D207" t="str">
        <f>_xlfn.XLOOKUP(tblTransactions[[#This Row],[CustomerID]],tblCustomers[CustomerID],tblCustomers[CustomerName])</f>
        <v>Frado Sachdeva</v>
      </c>
      <c r="E207" t="s">
        <v>15945</v>
      </c>
      <c r="F207" t="str">
        <f>_xlfn.XLOOKUP(tblTransactions[[#This Row],[ProductID]],tblProducts[ProductID],tblProducts[ProductName])</f>
        <v>Budget Smartphone A1</v>
      </c>
      <c r="G207" t="s">
        <v>16281</v>
      </c>
      <c r="H207" t="str">
        <f>_xlfn.XLOOKUP(tblTransactions[[#This Row],[StoreID]],tblStores[StoreID],tblStores[Region])</f>
        <v>West</v>
      </c>
      <c r="I207">
        <v>3</v>
      </c>
      <c r="J207">
        <v>0.05</v>
      </c>
      <c r="K207" t="s">
        <v>16319</v>
      </c>
      <c r="L207" s="9">
        <f>_xlfn.XLOOKUP(tblTransactions[[#This Row],[ProductID]],tblProducts[ProductID],tblProducts[UnitPrice])</f>
        <v>46428.19</v>
      </c>
      <c r="M207" s="9">
        <f>tblTransactions[[#This Row],[Quantity]]*tblTransactions[[#This Row],[UnitPrice]]</f>
        <v>139284.57</v>
      </c>
      <c r="N207" s="9">
        <f>tblTransactions[[#This Row],[GrossSales]]*tblTransactions[[#This Row],[Discount]]</f>
        <v>6964.2285000000011</v>
      </c>
      <c r="O207" s="9">
        <f>tblTransactions[[#This Row],[GrossSales]]-tblTransactions[[#This Row],[DiscountAmount]]</f>
        <v>132320.34150000001</v>
      </c>
      <c r="P207" s="9">
        <f>_xlfn.XLOOKUP(tblTransactions[[#This Row],[ProductID]],tblProducts[ProductID],tblProducts[UnitCost])</f>
        <v>26886.09</v>
      </c>
      <c r="Q207" s="9">
        <f>tblTransactions[[#This Row],[Quantity]]*tblTransactions[[#This Row],[UnitCost]]</f>
        <v>80658.27</v>
      </c>
      <c r="R207" s="9">
        <f>tblTransactions[[#This Row],[NetRevenue]]-tblTransactions[[#This Row],[TotalCost]]</f>
        <v>51662.071500000005</v>
      </c>
      <c r="S207" t="str">
        <f>_xlfn.XLOOKUP(tblTransactions[[#This Row],[ProductID]],tblProducts[ProductID],tblProducts[Category])</f>
        <v>Electronics</v>
      </c>
    </row>
    <row r="208" spans="1:19">
      <c r="A208" t="s">
        <v>16525</v>
      </c>
      <c r="B208" s="1">
        <v>45154</v>
      </c>
      <c r="C208" t="s">
        <v>11609</v>
      </c>
      <c r="D208" t="str">
        <f>_xlfn.XLOOKUP(tblTransactions[[#This Row],[CustomerID]],tblCustomers[CustomerID],tblCustomers[CustomerName])</f>
        <v>Kashvi Ahuja</v>
      </c>
      <c r="E208" t="s">
        <v>16226</v>
      </c>
      <c r="F208" t="str">
        <f>_xlfn.XLOOKUP(tblTransactions[[#This Row],[ProductID]],tblProducts[ProductID],tblProducts[ProductName])</f>
        <v>Body Wash B2</v>
      </c>
      <c r="G208" t="s">
        <v>16256</v>
      </c>
      <c r="H208" t="str">
        <f>_xlfn.XLOOKUP(tblTransactions[[#This Row],[StoreID]],tblStores[StoreID],tblStores[Region])</f>
        <v>East</v>
      </c>
      <c r="I208">
        <v>1</v>
      </c>
      <c r="J208">
        <v>0.05</v>
      </c>
      <c r="K208" t="s">
        <v>16325</v>
      </c>
      <c r="L208" s="9">
        <f>_xlfn.XLOOKUP(tblTransactions[[#This Row],[ProductID]],tblProducts[ProductID],tblProducts[UnitPrice])</f>
        <v>3897.08</v>
      </c>
      <c r="M208" s="9">
        <f>tblTransactions[[#This Row],[Quantity]]*tblTransactions[[#This Row],[UnitPrice]]</f>
        <v>3897.08</v>
      </c>
      <c r="N208" s="9">
        <f>tblTransactions[[#This Row],[GrossSales]]*tblTransactions[[#This Row],[Discount]]</f>
        <v>194.85400000000001</v>
      </c>
      <c r="O208" s="9">
        <f>tblTransactions[[#This Row],[GrossSales]]-tblTransactions[[#This Row],[DiscountAmount]]</f>
        <v>3702.2260000000001</v>
      </c>
      <c r="P208" s="9">
        <f>_xlfn.XLOOKUP(tblTransactions[[#This Row],[ProductID]],tblProducts[ProductID],tblProducts[UnitCost])</f>
        <v>3214.46</v>
      </c>
      <c r="Q208" s="9">
        <f>tblTransactions[[#This Row],[Quantity]]*tblTransactions[[#This Row],[UnitCost]]</f>
        <v>3214.46</v>
      </c>
      <c r="R208" s="9">
        <f>tblTransactions[[#This Row],[NetRevenue]]-tblTransactions[[#This Row],[TotalCost]]</f>
        <v>487.76600000000008</v>
      </c>
      <c r="S208" t="str">
        <f>_xlfn.XLOOKUP(tblTransactions[[#This Row],[ProductID]],tblProducts[ProductID],tblProducts[Category])</f>
        <v>Personal Care</v>
      </c>
    </row>
    <row r="209" spans="1:19">
      <c r="A209" t="s">
        <v>16526</v>
      </c>
      <c r="B209" s="1">
        <v>45156</v>
      </c>
      <c r="C209" t="s">
        <v>11258</v>
      </c>
      <c r="D209" t="str">
        <f>_xlfn.XLOOKUP(tblTransactions[[#This Row],[CustomerID]],tblCustomers[CustomerID],tblCustomers[CustomerName])</f>
        <v>Pranit Bhardwaj</v>
      </c>
      <c r="E209" t="s">
        <v>15988</v>
      </c>
      <c r="F209" t="str">
        <f>_xlfn.XLOOKUP(tblTransactions[[#This Row],[ProductID]],tblProducts[ProductID],tblProducts[ProductName])</f>
        <v>Soundbar E5</v>
      </c>
      <c r="G209" t="s">
        <v>16267</v>
      </c>
      <c r="H209" t="str">
        <f>_xlfn.XLOOKUP(tblTransactions[[#This Row],[StoreID]],tblStores[StoreID],tblStores[Region])</f>
        <v>West</v>
      </c>
      <c r="I209">
        <v>5</v>
      </c>
      <c r="J209">
        <v>0</v>
      </c>
      <c r="K209" t="s">
        <v>16321</v>
      </c>
      <c r="L209" s="9">
        <f>_xlfn.XLOOKUP(tblTransactions[[#This Row],[ProductID]],tblProducts[ProductID],tblProducts[UnitPrice])</f>
        <v>51647.41</v>
      </c>
      <c r="M209" s="9">
        <f>tblTransactions[[#This Row],[Quantity]]*tblTransactions[[#This Row],[UnitPrice]]</f>
        <v>258237.05000000002</v>
      </c>
      <c r="N209" s="9">
        <f>tblTransactions[[#This Row],[GrossSales]]*tblTransactions[[#This Row],[Discount]]</f>
        <v>0</v>
      </c>
      <c r="O209" s="9">
        <f>tblTransactions[[#This Row],[GrossSales]]-tblTransactions[[#This Row],[DiscountAmount]]</f>
        <v>258237.05000000002</v>
      </c>
      <c r="P209" s="9">
        <f>_xlfn.XLOOKUP(tblTransactions[[#This Row],[ProductID]],tblProducts[ProductID],tblProducts[UnitCost])</f>
        <v>43564.65</v>
      </c>
      <c r="Q209" s="9">
        <f>tblTransactions[[#This Row],[Quantity]]*tblTransactions[[#This Row],[UnitCost]]</f>
        <v>217823.25</v>
      </c>
      <c r="R209" s="9">
        <f>tblTransactions[[#This Row],[NetRevenue]]-tblTransactions[[#This Row],[TotalCost]]</f>
        <v>40413.800000000017</v>
      </c>
      <c r="S209" t="str">
        <f>_xlfn.XLOOKUP(tblTransactions[[#This Row],[ProductID]],tblProducts[ProductID],tblProducts[Category])</f>
        <v>Electronics</v>
      </c>
    </row>
    <row r="210" spans="1:19">
      <c r="A210" t="s">
        <v>16527</v>
      </c>
      <c r="B210" s="1">
        <v>45157</v>
      </c>
      <c r="C210" t="s">
        <v>11359</v>
      </c>
      <c r="D210" t="str">
        <f>_xlfn.XLOOKUP(tblTransactions[[#This Row],[CustomerID]],tblCustomers[CustomerID],tblCustomers[CustomerName])</f>
        <v>Libni Walia</v>
      </c>
      <c r="E210" t="s">
        <v>15954</v>
      </c>
      <c r="F210" t="str">
        <f>_xlfn.XLOOKUP(tblTransactions[[#This Row],[ProductID]],tblProducts[ProductID],tblProducts[ProductName])</f>
        <v>5G Smartphone E5</v>
      </c>
      <c r="G210" t="s">
        <v>16279</v>
      </c>
      <c r="H210" t="str">
        <f>_xlfn.XLOOKUP(tblTransactions[[#This Row],[StoreID]],tblStores[StoreID],tblStores[Region])</f>
        <v>South</v>
      </c>
      <c r="I210">
        <v>1</v>
      </c>
      <c r="J210">
        <v>0</v>
      </c>
      <c r="K210" t="s">
        <v>16317</v>
      </c>
      <c r="L210" s="9">
        <f>_xlfn.XLOOKUP(tblTransactions[[#This Row],[ProductID]],tblProducts[ProductID],tblProducts[UnitPrice])</f>
        <v>36179.730000000003</v>
      </c>
      <c r="M210" s="9">
        <f>tblTransactions[[#This Row],[Quantity]]*tblTransactions[[#This Row],[UnitPrice]]</f>
        <v>36179.730000000003</v>
      </c>
      <c r="N210" s="9">
        <f>tblTransactions[[#This Row],[GrossSales]]*tblTransactions[[#This Row],[Discount]]</f>
        <v>0</v>
      </c>
      <c r="O210" s="9">
        <f>tblTransactions[[#This Row],[GrossSales]]-tblTransactions[[#This Row],[DiscountAmount]]</f>
        <v>36179.730000000003</v>
      </c>
      <c r="P210" s="9">
        <f>_xlfn.XLOOKUP(tblTransactions[[#This Row],[ProductID]],tblProducts[ProductID],tblProducts[UnitCost])</f>
        <v>25344.32</v>
      </c>
      <c r="Q210" s="9">
        <f>tblTransactions[[#This Row],[Quantity]]*tblTransactions[[#This Row],[UnitCost]]</f>
        <v>25344.32</v>
      </c>
      <c r="R210" s="9">
        <f>tblTransactions[[#This Row],[NetRevenue]]-tblTransactions[[#This Row],[TotalCost]]</f>
        <v>10835.410000000003</v>
      </c>
      <c r="S210" t="str">
        <f>_xlfn.XLOOKUP(tblTransactions[[#This Row],[ProductID]],tblProducts[ProductID],tblProducts[Category])</f>
        <v>Electronics</v>
      </c>
    </row>
    <row r="211" spans="1:19">
      <c r="A211" t="s">
        <v>16528</v>
      </c>
      <c r="B211" s="1">
        <v>45159</v>
      </c>
      <c r="C211" t="s">
        <v>1578</v>
      </c>
      <c r="D211" t="str">
        <f>_xlfn.XLOOKUP(tblTransactions[[#This Row],[CustomerID]],tblCustomers[CustomerID],tblCustomers[CustomerName])</f>
        <v>Girik Nair</v>
      </c>
      <c r="E211" t="s">
        <v>15965</v>
      </c>
      <c r="F211" t="str">
        <f>_xlfn.XLOOKUP(tblTransactions[[#This Row],[ProductID]],tblProducts[ProductID],tblProducts[ProductName])</f>
        <v>Business Laptop B2</v>
      </c>
      <c r="G211" t="s">
        <v>16275</v>
      </c>
      <c r="H211" t="str">
        <f>_xlfn.XLOOKUP(tblTransactions[[#This Row],[StoreID]],tblStores[StoreID],tblStores[Region])</f>
        <v>South</v>
      </c>
      <c r="I211">
        <v>1</v>
      </c>
      <c r="J211">
        <v>0</v>
      </c>
      <c r="K211" t="s">
        <v>16317</v>
      </c>
      <c r="L211" s="9">
        <f>_xlfn.XLOOKUP(tblTransactions[[#This Row],[ProductID]],tblProducts[ProductID],tblProducts[UnitPrice])</f>
        <v>54876.34</v>
      </c>
      <c r="M211" s="9">
        <f>tblTransactions[[#This Row],[Quantity]]*tblTransactions[[#This Row],[UnitPrice]]</f>
        <v>54876.34</v>
      </c>
      <c r="N211" s="9">
        <f>tblTransactions[[#This Row],[GrossSales]]*tblTransactions[[#This Row],[Discount]]</f>
        <v>0</v>
      </c>
      <c r="O211" s="9">
        <f>tblTransactions[[#This Row],[GrossSales]]-tblTransactions[[#This Row],[DiscountAmount]]</f>
        <v>54876.34</v>
      </c>
      <c r="P211" s="9">
        <f>_xlfn.XLOOKUP(tblTransactions[[#This Row],[ProductID]],tblProducts[ProductID],tblProducts[UnitCost])</f>
        <v>41521.22</v>
      </c>
      <c r="Q211" s="9">
        <f>tblTransactions[[#This Row],[Quantity]]*tblTransactions[[#This Row],[UnitCost]]</f>
        <v>41521.22</v>
      </c>
      <c r="R211" s="9">
        <f>tblTransactions[[#This Row],[NetRevenue]]-tblTransactions[[#This Row],[TotalCost]]</f>
        <v>13355.119999999995</v>
      </c>
      <c r="S211" t="str">
        <f>_xlfn.XLOOKUP(tblTransactions[[#This Row],[ProductID]],tblProducts[ProductID],tblProducts[Category])</f>
        <v>Electronics</v>
      </c>
    </row>
    <row r="212" spans="1:19">
      <c r="A212" t="s">
        <v>16529</v>
      </c>
      <c r="B212" s="1">
        <v>45160</v>
      </c>
      <c r="C212" t="s">
        <v>11305</v>
      </c>
      <c r="D212" t="str">
        <f>_xlfn.XLOOKUP(tblTransactions[[#This Row],[CustomerID]],tblCustomers[CustomerID],tblCustomers[CustomerName])</f>
        <v>Lakshmi De</v>
      </c>
      <c r="E212" t="s">
        <v>16156</v>
      </c>
      <c r="F212" t="str">
        <f>_xlfn.XLOOKUP(tblTransactions[[#This Row],[ProductID]],tblProducts[ProductID],tblProducts[ProductName])</f>
        <v>Chocolate E5</v>
      </c>
      <c r="G212" t="s">
        <v>16295</v>
      </c>
      <c r="H212" t="str">
        <f>_xlfn.XLOOKUP(tblTransactions[[#This Row],[StoreID]],tblStores[StoreID],tblStores[Region])</f>
        <v>South</v>
      </c>
      <c r="I212">
        <v>1</v>
      </c>
      <c r="J212">
        <v>0</v>
      </c>
      <c r="K212" t="s">
        <v>16317</v>
      </c>
      <c r="L212" s="9">
        <f>_xlfn.XLOOKUP(tblTransactions[[#This Row],[ProductID]],tblProducts[ProductID],tblProducts[UnitPrice])</f>
        <v>817.37</v>
      </c>
      <c r="M212" s="9">
        <f>tblTransactions[[#This Row],[Quantity]]*tblTransactions[[#This Row],[UnitPrice]]</f>
        <v>817.37</v>
      </c>
      <c r="N212" s="9">
        <f>tblTransactions[[#This Row],[GrossSales]]*tblTransactions[[#This Row],[Discount]]</f>
        <v>0</v>
      </c>
      <c r="O212" s="9">
        <f>tblTransactions[[#This Row],[GrossSales]]-tblTransactions[[#This Row],[DiscountAmount]]</f>
        <v>817.37</v>
      </c>
      <c r="P212" s="9">
        <f>_xlfn.XLOOKUP(tblTransactions[[#This Row],[ProductID]],tblProducts[ProductID],tblProducts[UnitCost])</f>
        <v>595.03</v>
      </c>
      <c r="Q212" s="9">
        <f>tblTransactions[[#This Row],[Quantity]]*tblTransactions[[#This Row],[UnitCost]]</f>
        <v>595.03</v>
      </c>
      <c r="R212" s="9">
        <f>tblTransactions[[#This Row],[NetRevenue]]-tblTransactions[[#This Row],[TotalCost]]</f>
        <v>222.34000000000003</v>
      </c>
      <c r="S212" t="str">
        <f>_xlfn.XLOOKUP(tblTransactions[[#This Row],[ProductID]],tblProducts[ProductID],tblProducts[Category])</f>
        <v>Grocery</v>
      </c>
    </row>
    <row r="213" spans="1:19">
      <c r="A213" t="s">
        <v>16530</v>
      </c>
      <c r="B213" s="1">
        <v>45161</v>
      </c>
      <c r="C213" t="s">
        <v>13637</v>
      </c>
      <c r="D213" t="str">
        <f>_xlfn.XLOOKUP(tblTransactions[[#This Row],[CustomerID]],tblCustomers[CustomerID],tblCustomers[CustomerName])</f>
        <v>Banjeet Sem</v>
      </c>
      <c r="E213" t="s">
        <v>16049</v>
      </c>
      <c r="F213" t="str">
        <f>_xlfn.XLOOKUP(tblTransactions[[#This Row],[ProductID]],tblProducts[ProductID],tblProducts[ProductName])</f>
        <v>Non-stick Pan E5</v>
      </c>
      <c r="G213" t="s">
        <v>16305</v>
      </c>
      <c r="H213" t="str">
        <f>_xlfn.XLOOKUP(tblTransactions[[#This Row],[StoreID]],tblStores[StoreID],tblStores[Region])</f>
        <v>South</v>
      </c>
      <c r="I213">
        <v>3</v>
      </c>
      <c r="J213">
        <v>0.1</v>
      </c>
      <c r="K213" t="s">
        <v>16317</v>
      </c>
      <c r="L213" s="9">
        <f>_xlfn.XLOOKUP(tblTransactions[[#This Row],[ProductID]],tblProducts[ProductID],tblProducts[UnitPrice])</f>
        <v>21084.61</v>
      </c>
      <c r="M213" s="9">
        <f>tblTransactions[[#This Row],[Quantity]]*tblTransactions[[#This Row],[UnitPrice]]</f>
        <v>63253.83</v>
      </c>
      <c r="N213" s="9">
        <f>tblTransactions[[#This Row],[GrossSales]]*tblTransactions[[#This Row],[Discount]]</f>
        <v>6325.3830000000007</v>
      </c>
      <c r="O213" s="9">
        <f>tblTransactions[[#This Row],[GrossSales]]-tblTransactions[[#This Row],[DiscountAmount]]</f>
        <v>56928.447</v>
      </c>
      <c r="P213" s="9">
        <f>_xlfn.XLOOKUP(tblTransactions[[#This Row],[ProductID]],tblProducts[ProductID],tblProducts[UnitCost])</f>
        <v>12896.65</v>
      </c>
      <c r="Q213" s="9">
        <f>tblTransactions[[#This Row],[Quantity]]*tblTransactions[[#This Row],[UnitCost]]</f>
        <v>38689.949999999997</v>
      </c>
      <c r="R213" s="9">
        <f>tblTransactions[[#This Row],[NetRevenue]]-tblTransactions[[#This Row],[TotalCost]]</f>
        <v>18238.497000000003</v>
      </c>
      <c r="S213" t="str">
        <f>_xlfn.XLOOKUP(tblTransactions[[#This Row],[ProductID]],tblProducts[ProductID],tblProducts[Category])</f>
        <v>Home &amp; Kitchen</v>
      </c>
    </row>
    <row r="214" spans="1:19">
      <c r="A214" t="s">
        <v>16531</v>
      </c>
      <c r="B214" s="1">
        <v>45163</v>
      </c>
      <c r="C214" t="s">
        <v>1905</v>
      </c>
      <c r="D214" t="str">
        <f>_xlfn.XLOOKUP(tblTransactions[[#This Row],[CustomerID]],tblCustomers[CustomerID],tblCustomers[CustomerName])</f>
        <v>Urmi Patla</v>
      </c>
      <c r="E214" t="s">
        <v>16186</v>
      </c>
      <c r="F214" t="str">
        <f>_xlfn.XLOOKUP(tblTransactions[[#This Row],[ProductID]],tblProducts[ProductID],tblProducts[ProductName])</f>
        <v>Breakfast Cereal E5</v>
      </c>
      <c r="G214" t="s">
        <v>16299</v>
      </c>
      <c r="H214" t="str">
        <f>_xlfn.XLOOKUP(tblTransactions[[#This Row],[StoreID]],tblStores[StoreID],tblStores[Region])</f>
        <v>South</v>
      </c>
      <c r="I214">
        <v>1</v>
      </c>
      <c r="J214">
        <v>0.1</v>
      </c>
      <c r="K214" t="s">
        <v>16321</v>
      </c>
      <c r="L214" s="9">
        <f>_xlfn.XLOOKUP(tblTransactions[[#This Row],[ProductID]],tblProducts[ProductID],tblProducts[UnitPrice])</f>
        <v>207.32</v>
      </c>
      <c r="M214" s="9">
        <f>tblTransactions[[#This Row],[Quantity]]*tblTransactions[[#This Row],[UnitPrice]]</f>
        <v>207.32</v>
      </c>
      <c r="N214" s="9">
        <f>tblTransactions[[#This Row],[GrossSales]]*tblTransactions[[#This Row],[Discount]]</f>
        <v>20.731999999999999</v>
      </c>
      <c r="O214" s="9">
        <f>tblTransactions[[#This Row],[GrossSales]]-tblTransactions[[#This Row],[DiscountAmount]]</f>
        <v>186.58799999999999</v>
      </c>
      <c r="P214" s="9">
        <f>_xlfn.XLOOKUP(tblTransactions[[#This Row],[ProductID]],tblProducts[ProductID],tblProducts[UnitCost])</f>
        <v>120.99</v>
      </c>
      <c r="Q214" s="9">
        <f>tblTransactions[[#This Row],[Quantity]]*tblTransactions[[#This Row],[UnitCost]]</f>
        <v>120.99</v>
      </c>
      <c r="R214" s="9">
        <f>tblTransactions[[#This Row],[NetRevenue]]-tblTransactions[[#This Row],[TotalCost]]</f>
        <v>65.597999999999999</v>
      </c>
      <c r="S214" t="str">
        <f>_xlfn.XLOOKUP(tblTransactions[[#This Row],[ProductID]],tblProducts[ProductID],tblProducts[Category])</f>
        <v>Grocery</v>
      </c>
    </row>
    <row r="215" spans="1:19">
      <c r="A215" t="s">
        <v>16532</v>
      </c>
      <c r="B215" s="1">
        <v>45163</v>
      </c>
      <c r="C215" t="s">
        <v>6588</v>
      </c>
      <c r="D215" t="str">
        <f>_xlfn.XLOOKUP(tblTransactions[[#This Row],[CustomerID]],tblCustomers[CustomerID],tblCustomers[CustomerName])</f>
        <v>Upkaar Chanda</v>
      </c>
      <c r="E215" t="s">
        <v>16234</v>
      </c>
      <c r="F215" t="str">
        <f>_xlfn.XLOOKUP(tblTransactions[[#This Row],[ProductID]],tblProducts[ProductID],tblProducts[ProductName])</f>
        <v>Body Lotion A6</v>
      </c>
      <c r="G215" t="s">
        <v>16273</v>
      </c>
      <c r="H215" t="str">
        <f>_xlfn.XLOOKUP(tblTransactions[[#This Row],[StoreID]],tblStores[StoreID],tblStores[Region])</f>
        <v>West</v>
      </c>
      <c r="I215">
        <v>1</v>
      </c>
      <c r="J215">
        <v>0</v>
      </c>
      <c r="K215" t="s">
        <v>16317</v>
      </c>
      <c r="L215" s="9">
        <f>_xlfn.XLOOKUP(tblTransactions[[#This Row],[ProductID]],tblProducts[ProductID],tblProducts[UnitPrice])</f>
        <v>773.2</v>
      </c>
      <c r="M215" s="9">
        <f>tblTransactions[[#This Row],[Quantity]]*tblTransactions[[#This Row],[UnitPrice]]</f>
        <v>773.2</v>
      </c>
      <c r="N215" s="9">
        <f>tblTransactions[[#This Row],[GrossSales]]*tblTransactions[[#This Row],[Discount]]</f>
        <v>0</v>
      </c>
      <c r="O215" s="9">
        <f>tblTransactions[[#This Row],[GrossSales]]-tblTransactions[[#This Row],[DiscountAmount]]</f>
        <v>773.2</v>
      </c>
      <c r="P215" s="9">
        <f>_xlfn.XLOOKUP(tblTransactions[[#This Row],[ProductID]],tblProducts[ProductID],tblProducts[UnitCost])</f>
        <v>547.09</v>
      </c>
      <c r="Q215" s="9">
        <f>tblTransactions[[#This Row],[Quantity]]*tblTransactions[[#This Row],[UnitCost]]</f>
        <v>547.09</v>
      </c>
      <c r="R215" s="9">
        <f>tblTransactions[[#This Row],[NetRevenue]]-tblTransactions[[#This Row],[TotalCost]]</f>
        <v>226.11</v>
      </c>
      <c r="S215" t="str">
        <f>_xlfn.XLOOKUP(tblTransactions[[#This Row],[ProductID]],tblProducts[ProductID],tblProducts[Category])</f>
        <v>Personal Care</v>
      </c>
    </row>
    <row r="216" spans="1:19">
      <c r="A216" t="s">
        <v>16533</v>
      </c>
      <c r="B216" s="1">
        <v>45167</v>
      </c>
      <c r="C216" t="s">
        <v>12091</v>
      </c>
      <c r="D216" t="str">
        <f>_xlfn.XLOOKUP(tblTransactions[[#This Row],[CustomerID]],tblCustomers[CustomerID],tblCustomers[CustomerName])</f>
        <v>Reva Yadav</v>
      </c>
      <c r="E216" t="s">
        <v>16097</v>
      </c>
      <c r="F216" t="str">
        <f>_xlfn.XLOOKUP(tblTransactions[[#This Row],[ProductID]],tblProducts[ProductID],tblProducts[ProductName])</f>
        <v>Women's Jeans A6</v>
      </c>
      <c r="G216" t="s">
        <v>16271</v>
      </c>
      <c r="H216" t="str">
        <f>_xlfn.XLOOKUP(tblTransactions[[#This Row],[StoreID]],tblStores[StoreID],tblStores[Region])</f>
        <v>South</v>
      </c>
      <c r="I216">
        <v>1</v>
      </c>
      <c r="J216">
        <v>0.1</v>
      </c>
      <c r="K216" t="s">
        <v>16319</v>
      </c>
      <c r="L216" s="9">
        <f>_xlfn.XLOOKUP(tblTransactions[[#This Row],[ProductID]],tblProducts[ProductID],tblProducts[UnitPrice])</f>
        <v>7106.08</v>
      </c>
      <c r="M216" s="9">
        <f>tblTransactions[[#This Row],[Quantity]]*tblTransactions[[#This Row],[UnitPrice]]</f>
        <v>7106.08</v>
      </c>
      <c r="N216" s="9">
        <f>tblTransactions[[#This Row],[GrossSales]]*tblTransactions[[#This Row],[Discount]]</f>
        <v>710.60800000000006</v>
      </c>
      <c r="O216" s="9">
        <f>tblTransactions[[#This Row],[GrossSales]]-tblTransactions[[#This Row],[DiscountAmount]]</f>
        <v>6395.4719999999998</v>
      </c>
      <c r="P216" s="9">
        <f>_xlfn.XLOOKUP(tblTransactions[[#This Row],[ProductID]],tblProducts[ProductID],tblProducts[UnitCost])</f>
        <v>5246.63</v>
      </c>
      <c r="Q216" s="9">
        <f>tblTransactions[[#This Row],[Quantity]]*tblTransactions[[#This Row],[UnitCost]]</f>
        <v>5246.63</v>
      </c>
      <c r="R216" s="9">
        <f>tblTransactions[[#This Row],[NetRevenue]]-tblTransactions[[#This Row],[TotalCost]]</f>
        <v>1148.8419999999996</v>
      </c>
      <c r="S216" t="str">
        <f>_xlfn.XLOOKUP(tblTransactions[[#This Row],[ProductID]],tblProducts[ProductID],tblProducts[Category])</f>
        <v>Clothing</v>
      </c>
    </row>
    <row r="217" spans="1:19">
      <c r="A217" t="s">
        <v>16534</v>
      </c>
      <c r="B217" s="1">
        <v>45167</v>
      </c>
      <c r="C217" t="s">
        <v>14515</v>
      </c>
      <c r="D217" t="str">
        <f>_xlfn.XLOOKUP(tblTransactions[[#This Row],[CustomerID]],tblCustomers[CustomerID],tblCustomers[CustomerName])</f>
        <v>Nidhi Chatterjee</v>
      </c>
      <c r="E217" t="s">
        <v>16110</v>
      </c>
      <c r="F217" t="str">
        <f>_xlfn.XLOOKUP(tblTransactions[[#This Row],[ProductID]],tblProducts[ProductID],tblProducts[ProductName])</f>
        <v>Kids T-Shirt E5</v>
      </c>
      <c r="G217" t="s">
        <v>16269</v>
      </c>
      <c r="H217" t="str">
        <f>_xlfn.XLOOKUP(tblTransactions[[#This Row],[StoreID]],tblStores[StoreID],tblStores[Region])</f>
        <v>North</v>
      </c>
      <c r="I217">
        <v>1</v>
      </c>
      <c r="J217">
        <v>0.05</v>
      </c>
      <c r="K217" t="s">
        <v>16317</v>
      </c>
      <c r="L217" s="9">
        <f>_xlfn.XLOOKUP(tblTransactions[[#This Row],[ProductID]],tblProducts[ProductID],tblProducts[UnitPrice])</f>
        <v>508.67</v>
      </c>
      <c r="M217" s="9">
        <f>tblTransactions[[#This Row],[Quantity]]*tblTransactions[[#This Row],[UnitPrice]]</f>
        <v>508.67</v>
      </c>
      <c r="N217" s="9">
        <f>tblTransactions[[#This Row],[GrossSales]]*tblTransactions[[#This Row],[Discount]]</f>
        <v>25.433500000000002</v>
      </c>
      <c r="O217" s="9">
        <f>tblTransactions[[#This Row],[GrossSales]]-tblTransactions[[#This Row],[DiscountAmount]]</f>
        <v>483.23650000000004</v>
      </c>
      <c r="P217" s="9">
        <f>_xlfn.XLOOKUP(tblTransactions[[#This Row],[ProductID]],tblProducts[ProductID],tblProducts[UnitCost])</f>
        <v>386.39</v>
      </c>
      <c r="Q217" s="9">
        <f>tblTransactions[[#This Row],[Quantity]]*tblTransactions[[#This Row],[UnitCost]]</f>
        <v>386.39</v>
      </c>
      <c r="R217" s="9">
        <f>tblTransactions[[#This Row],[NetRevenue]]-tblTransactions[[#This Row],[TotalCost]]</f>
        <v>96.846500000000049</v>
      </c>
      <c r="S217" t="str">
        <f>_xlfn.XLOOKUP(tblTransactions[[#This Row],[ProductID]],tblProducts[ProductID],tblProducts[Category])</f>
        <v>Clothing</v>
      </c>
    </row>
    <row r="218" spans="1:19">
      <c r="A218" t="s">
        <v>16535</v>
      </c>
      <c r="B218" s="1">
        <v>45167</v>
      </c>
      <c r="C218" t="s">
        <v>6055</v>
      </c>
      <c r="D218" t="str">
        <f>_xlfn.XLOOKUP(tblTransactions[[#This Row],[CustomerID]],tblCustomers[CustomerID],tblCustomers[CustomerName])</f>
        <v>Patrick Gulati</v>
      </c>
      <c r="E218" t="s">
        <v>16241</v>
      </c>
      <c r="F218" t="str">
        <f>_xlfn.XLOOKUP(tblTransactions[[#This Row],[ProductID]],tblProducts[ProductID],tblProducts[ProductName])</f>
        <v>Shaving Kit B2</v>
      </c>
      <c r="G218" t="s">
        <v>16279</v>
      </c>
      <c r="H218" t="str">
        <f>_xlfn.XLOOKUP(tblTransactions[[#This Row],[StoreID]],tblStores[StoreID],tblStores[Region])</f>
        <v>South</v>
      </c>
      <c r="I218">
        <v>2</v>
      </c>
      <c r="J218">
        <v>0</v>
      </c>
      <c r="K218" t="s">
        <v>16317</v>
      </c>
      <c r="L218" s="9">
        <f>_xlfn.XLOOKUP(tblTransactions[[#This Row],[ProductID]],tblProducts[ProductID],tblProducts[UnitPrice])</f>
        <v>543.23</v>
      </c>
      <c r="M218" s="9">
        <f>tblTransactions[[#This Row],[Quantity]]*tblTransactions[[#This Row],[UnitPrice]]</f>
        <v>1086.46</v>
      </c>
      <c r="N218" s="9">
        <f>tblTransactions[[#This Row],[GrossSales]]*tblTransactions[[#This Row],[Discount]]</f>
        <v>0</v>
      </c>
      <c r="O218" s="9">
        <f>tblTransactions[[#This Row],[GrossSales]]-tblTransactions[[#This Row],[DiscountAmount]]</f>
        <v>1086.46</v>
      </c>
      <c r="P218" s="9">
        <f>_xlfn.XLOOKUP(tblTransactions[[#This Row],[ProductID]],tblProducts[ProductID],tblProducts[UnitCost])</f>
        <v>441.82</v>
      </c>
      <c r="Q218" s="9">
        <f>tblTransactions[[#This Row],[Quantity]]*tblTransactions[[#This Row],[UnitCost]]</f>
        <v>883.64</v>
      </c>
      <c r="R218" s="9">
        <f>tblTransactions[[#This Row],[NetRevenue]]-tblTransactions[[#This Row],[TotalCost]]</f>
        <v>202.82000000000005</v>
      </c>
      <c r="S218" t="str">
        <f>_xlfn.XLOOKUP(tblTransactions[[#This Row],[ProductID]],tblProducts[ProductID],tblProducts[Category])</f>
        <v>Personal Care</v>
      </c>
    </row>
    <row r="219" spans="1:19">
      <c r="A219" t="s">
        <v>16536</v>
      </c>
      <c r="B219" s="1">
        <v>45168</v>
      </c>
      <c r="C219" t="s">
        <v>12944</v>
      </c>
      <c r="D219" t="str">
        <f>_xlfn.XLOOKUP(tblTransactions[[#This Row],[CustomerID]],tblCustomers[CustomerID],tblCustomers[CustomerName])</f>
        <v>Ekansh Pandit</v>
      </c>
      <c r="E219" t="s">
        <v>15956</v>
      </c>
      <c r="F219" t="str">
        <f>_xlfn.XLOOKUP(tblTransactions[[#This Row],[ProductID]],tblProducts[ProductID],tblProducts[ProductName])</f>
        <v>Budget Smartphone A6</v>
      </c>
      <c r="G219" t="s">
        <v>16281</v>
      </c>
      <c r="H219" t="str">
        <f>_xlfn.XLOOKUP(tblTransactions[[#This Row],[StoreID]],tblStores[StoreID],tblStores[Region])</f>
        <v>West</v>
      </c>
      <c r="I219">
        <v>2</v>
      </c>
      <c r="J219">
        <v>0.05</v>
      </c>
      <c r="K219" t="s">
        <v>16317</v>
      </c>
      <c r="L219" s="9">
        <f>_xlfn.XLOOKUP(tblTransactions[[#This Row],[ProductID]],tblProducts[ProductID],tblProducts[UnitPrice])</f>
        <v>9246.34</v>
      </c>
      <c r="M219" s="9">
        <f>tblTransactions[[#This Row],[Quantity]]*tblTransactions[[#This Row],[UnitPrice]]</f>
        <v>18492.68</v>
      </c>
      <c r="N219" s="9">
        <f>tblTransactions[[#This Row],[GrossSales]]*tblTransactions[[#This Row],[Discount]]</f>
        <v>924.63400000000001</v>
      </c>
      <c r="O219" s="9">
        <f>tblTransactions[[#This Row],[GrossSales]]-tblTransactions[[#This Row],[DiscountAmount]]</f>
        <v>17568.046000000002</v>
      </c>
      <c r="P219" s="9">
        <f>_xlfn.XLOOKUP(tblTransactions[[#This Row],[ProductID]],tblProducts[ProductID],tblProducts[UnitCost])</f>
        <v>7613.27</v>
      </c>
      <c r="Q219" s="9">
        <f>tblTransactions[[#This Row],[Quantity]]*tblTransactions[[#This Row],[UnitCost]]</f>
        <v>15226.54</v>
      </c>
      <c r="R219" s="9">
        <f>tblTransactions[[#This Row],[NetRevenue]]-tblTransactions[[#This Row],[TotalCost]]</f>
        <v>2341.5060000000012</v>
      </c>
      <c r="S219" t="str">
        <f>_xlfn.XLOOKUP(tblTransactions[[#This Row],[ProductID]],tblProducts[ProductID],tblProducts[Category])</f>
        <v>Electronics</v>
      </c>
    </row>
    <row r="220" spans="1:19">
      <c r="A220" t="s">
        <v>16537</v>
      </c>
      <c r="B220" s="1">
        <v>45168</v>
      </c>
      <c r="C220" t="s">
        <v>10547</v>
      </c>
      <c r="D220" t="str">
        <f>_xlfn.XLOOKUP(tblTransactions[[#This Row],[CustomerID]],tblCustomers[CustomerID],tblCustomers[CustomerName])</f>
        <v>Neha Dani</v>
      </c>
      <c r="E220" t="s">
        <v>16023</v>
      </c>
      <c r="F220" t="str">
        <f>_xlfn.XLOOKUP(tblTransactions[[#This Row],[ProductID]],tblProducts[ProductID],tblProducts[ProductName])</f>
        <v>Microwave Oven B7</v>
      </c>
      <c r="G220" t="s">
        <v>16295</v>
      </c>
      <c r="H220" t="str">
        <f>_xlfn.XLOOKUP(tblTransactions[[#This Row],[StoreID]],tblStores[StoreID],tblStores[Region])</f>
        <v>South</v>
      </c>
      <c r="I220">
        <v>3</v>
      </c>
      <c r="J220">
        <v>0</v>
      </c>
      <c r="K220" t="s">
        <v>16325</v>
      </c>
      <c r="L220" s="9">
        <f>_xlfn.XLOOKUP(tblTransactions[[#This Row],[ProductID]],tblProducts[ProductID],tblProducts[UnitPrice])</f>
        <v>14353.88</v>
      </c>
      <c r="M220" s="9">
        <f>tblTransactions[[#This Row],[Quantity]]*tblTransactions[[#This Row],[UnitPrice]]</f>
        <v>43061.64</v>
      </c>
      <c r="N220" s="9">
        <f>tblTransactions[[#This Row],[GrossSales]]*tblTransactions[[#This Row],[Discount]]</f>
        <v>0</v>
      </c>
      <c r="O220" s="9">
        <f>tblTransactions[[#This Row],[GrossSales]]-tblTransactions[[#This Row],[DiscountAmount]]</f>
        <v>43061.64</v>
      </c>
      <c r="P220" s="9">
        <f>_xlfn.XLOOKUP(tblTransactions[[#This Row],[ProductID]],tblProducts[ProductID],tblProducts[UnitCost])</f>
        <v>8791.7900000000009</v>
      </c>
      <c r="Q220" s="9">
        <f>tblTransactions[[#This Row],[Quantity]]*tblTransactions[[#This Row],[UnitCost]]</f>
        <v>26375.370000000003</v>
      </c>
      <c r="R220" s="9">
        <f>tblTransactions[[#This Row],[NetRevenue]]-tblTransactions[[#This Row],[TotalCost]]</f>
        <v>16686.269999999997</v>
      </c>
      <c r="S220" t="str">
        <f>_xlfn.XLOOKUP(tblTransactions[[#This Row],[ProductID]],tblProducts[ProductID],tblProducts[Category])</f>
        <v>Home &amp; Kitchen</v>
      </c>
    </row>
    <row r="221" spans="1:19">
      <c r="A221" t="s">
        <v>16538</v>
      </c>
      <c r="B221" s="1">
        <v>45171</v>
      </c>
      <c r="C221" t="s">
        <v>13217</v>
      </c>
      <c r="D221" t="str">
        <f>_xlfn.XLOOKUP(tblTransactions[[#This Row],[CustomerID]],tblCustomers[CustomerID],tblCustomers[CustomerName])</f>
        <v>Tanish Gera</v>
      </c>
      <c r="E221" t="s">
        <v>16001</v>
      </c>
      <c r="F221" t="str">
        <f>_xlfn.XLOOKUP(tblTransactions[[#This Row],[ProductID]],tblProducts[ProductID],tblProducts[ProductName])</f>
        <v>Power Bank D4</v>
      </c>
      <c r="G221" t="s">
        <v>16283</v>
      </c>
      <c r="H221" t="str">
        <f>_xlfn.XLOOKUP(tblTransactions[[#This Row],[StoreID]],tblStores[StoreID],tblStores[Region])</f>
        <v>South</v>
      </c>
      <c r="I221">
        <v>1</v>
      </c>
      <c r="J221">
        <v>0.05</v>
      </c>
      <c r="K221" t="s">
        <v>16315</v>
      </c>
      <c r="L221" s="9">
        <f>_xlfn.XLOOKUP(tblTransactions[[#This Row],[ProductID]],tblProducts[ProductID],tblProducts[UnitPrice])</f>
        <v>29153.55</v>
      </c>
      <c r="M221" s="9">
        <f>tblTransactions[[#This Row],[Quantity]]*tblTransactions[[#This Row],[UnitPrice]]</f>
        <v>29153.55</v>
      </c>
      <c r="N221" s="9">
        <f>tblTransactions[[#This Row],[GrossSales]]*tblTransactions[[#This Row],[Discount]]</f>
        <v>1457.6775</v>
      </c>
      <c r="O221" s="9">
        <f>tblTransactions[[#This Row],[GrossSales]]-tblTransactions[[#This Row],[DiscountAmount]]</f>
        <v>27695.872499999998</v>
      </c>
      <c r="P221" s="9">
        <f>_xlfn.XLOOKUP(tblTransactions[[#This Row],[ProductID]],tblProducts[ProductID],tblProducts[UnitCost])</f>
        <v>21894.27</v>
      </c>
      <c r="Q221" s="9">
        <f>tblTransactions[[#This Row],[Quantity]]*tblTransactions[[#This Row],[UnitCost]]</f>
        <v>21894.27</v>
      </c>
      <c r="R221" s="9">
        <f>tblTransactions[[#This Row],[NetRevenue]]-tblTransactions[[#This Row],[TotalCost]]</f>
        <v>5801.6024999999972</v>
      </c>
      <c r="S221" t="str">
        <f>_xlfn.XLOOKUP(tblTransactions[[#This Row],[ProductID]],tblProducts[ProductID],tblProducts[Category])</f>
        <v>Electronics</v>
      </c>
    </row>
    <row r="222" spans="1:19">
      <c r="A222" t="s">
        <v>16539</v>
      </c>
      <c r="B222" s="1">
        <v>45172</v>
      </c>
      <c r="C222" t="s">
        <v>2163</v>
      </c>
      <c r="D222" t="str">
        <f>_xlfn.XLOOKUP(tblTransactions[[#This Row],[CustomerID]],tblCustomers[CustomerID],tblCustomers[CustomerName])</f>
        <v>Vaishnavi Keer</v>
      </c>
      <c r="E222" t="s">
        <v>15941</v>
      </c>
      <c r="F222" t="str">
        <f>_xlfn.XLOOKUP(tblTransactions[[#This Row],[ProductID]],tblProducts[ProductID],tblProducts[ProductName])</f>
        <v>Full HD TV B7</v>
      </c>
      <c r="G222" t="s">
        <v>16287</v>
      </c>
      <c r="H222" t="str">
        <f>_xlfn.XLOOKUP(tblTransactions[[#This Row],[StoreID]],tblStores[StoreID],tblStores[Region])</f>
        <v>North</v>
      </c>
      <c r="I222">
        <v>5</v>
      </c>
      <c r="J222">
        <v>0</v>
      </c>
      <c r="K222" t="s">
        <v>16315</v>
      </c>
      <c r="L222" s="9">
        <f>_xlfn.XLOOKUP(tblTransactions[[#This Row],[ProductID]],tblProducts[ProductID],tblProducts[UnitPrice])</f>
        <v>26638.81</v>
      </c>
      <c r="M222" s="9">
        <f>tblTransactions[[#This Row],[Quantity]]*tblTransactions[[#This Row],[UnitPrice]]</f>
        <v>133194.05000000002</v>
      </c>
      <c r="N222" s="9">
        <f>tblTransactions[[#This Row],[GrossSales]]*tblTransactions[[#This Row],[Discount]]</f>
        <v>0</v>
      </c>
      <c r="O222" s="9">
        <f>tblTransactions[[#This Row],[GrossSales]]-tblTransactions[[#This Row],[DiscountAmount]]</f>
        <v>133194.05000000002</v>
      </c>
      <c r="P222" s="9">
        <f>_xlfn.XLOOKUP(tblTransactions[[#This Row],[ProductID]],tblProducts[ProductID],tblProducts[UnitCost])</f>
        <v>20107.810000000001</v>
      </c>
      <c r="Q222" s="9">
        <f>tblTransactions[[#This Row],[Quantity]]*tblTransactions[[#This Row],[UnitCost]]</f>
        <v>100539.05</v>
      </c>
      <c r="R222" s="9">
        <f>tblTransactions[[#This Row],[NetRevenue]]-tblTransactions[[#This Row],[TotalCost]]</f>
        <v>32655.000000000015</v>
      </c>
      <c r="S222" t="str">
        <f>_xlfn.XLOOKUP(tblTransactions[[#This Row],[ProductID]],tblProducts[ProductID],tblProducts[Category])</f>
        <v>Electronics</v>
      </c>
    </row>
    <row r="223" spans="1:19">
      <c r="A223" t="s">
        <v>16540</v>
      </c>
      <c r="B223" s="1">
        <v>45174</v>
      </c>
      <c r="C223" t="s">
        <v>9860</v>
      </c>
      <c r="D223" t="str">
        <f>_xlfn.XLOOKUP(tblTransactions[[#This Row],[CustomerID]],tblCustomers[CustomerID],tblCustomers[CustomerName])</f>
        <v>Michael Mand</v>
      </c>
      <c r="E223" t="s">
        <v>16251</v>
      </c>
      <c r="F223" t="str">
        <f>_xlfn.XLOOKUP(tblTransactions[[#This Row],[ProductID]],tblProducts[ProductID],tblProducts[ProductName])</f>
        <v>Trimmer B7</v>
      </c>
      <c r="G223" t="s">
        <v>16277</v>
      </c>
      <c r="H223" t="str">
        <f>_xlfn.XLOOKUP(tblTransactions[[#This Row],[StoreID]],tblStores[StoreID],tblStores[Region])</f>
        <v>West</v>
      </c>
      <c r="I223">
        <v>1</v>
      </c>
      <c r="J223">
        <v>0</v>
      </c>
      <c r="K223" t="s">
        <v>16317</v>
      </c>
      <c r="L223" s="9">
        <f>_xlfn.XLOOKUP(tblTransactions[[#This Row],[ProductID]],tblProducts[ProductID],tblProducts[UnitPrice])</f>
        <v>4199.75</v>
      </c>
      <c r="M223" s="9">
        <f>tblTransactions[[#This Row],[Quantity]]*tblTransactions[[#This Row],[UnitPrice]]</f>
        <v>4199.75</v>
      </c>
      <c r="N223" s="9">
        <f>tblTransactions[[#This Row],[GrossSales]]*tblTransactions[[#This Row],[Discount]]</f>
        <v>0</v>
      </c>
      <c r="O223" s="9">
        <f>tblTransactions[[#This Row],[GrossSales]]-tblTransactions[[#This Row],[DiscountAmount]]</f>
        <v>4199.75</v>
      </c>
      <c r="P223" s="9">
        <f>_xlfn.XLOOKUP(tblTransactions[[#This Row],[ProductID]],tblProducts[ProductID],tblProducts[UnitCost])</f>
        <v>2546.5700000000002</v>
      </c>
      <c r="Q223" s="9">
        <f>tblTransactions[[#This Row],[Quantity]]*tblTransactions[[#This Row],[UnitCost]]</f>
        <v>2546.5700000000002</v>
      </c>
      <c r="R223" s="9">
        <f>tblTransactions[[#This Row],[NetRevenue]]-tblTransactions[[#This Row],[TotalCost]]</f>
        <v>1653.1799999999998</v>
      </c>
      <c r="S223" t="str">
        <f>_xlfn.XLOOKUP(tblTransactions[[#This Row],[ProductID]],tblProducts[ProductID],tblProducts[Category])</f>
        <v>Personal Care</v>
      </c>
    </row>
    <row r="224" spans="1:19">
      <c r="A224" t="s">
        <v>16541</v>
      </c>
      <c r="B224" s="1">
        <v>45175</v>
      </c>
      <c r="C224" t="s">
        <v>14126</v>
      </c>
      <c r="D224" t="str">
        <f>_xlfn.XLOOKUP(tblTransactions[[#This Row],[CustomerID]],tblCustomers[CustomerID],tblCustomers[CustomerName])</f>
        <v>Ishwar Arora</v>
      </c>
      <c r="E224" t="s">
        <v>16182</v>
      </c>
      <c r="F224" t="str">
        <f>_xlfn.XLOOKUP(tblTransactions[[#This Row],[ProductID]],tblProducts[ProductID],tblProducts[ProductName])</f>
        <v>Instant Noodles C3</v>
      </c>
      <c r="G224" t="s">
        <v>16262</v>
      </c>
      <c r="H224" t="str">
        <f>_xlfn.XLOOKUP(tblTransactions[[#This Row],[StoreID]],tblStores[StoreID],tblStores[Region])</f>
        <v>North</v>
      </c>
      <c r="I224">
        <v>1</v>
      </c>
      <c r="J224">
        <v>0</v>
      </c>
      <c r="K224" t="s">
        <v>16315</v>
      </c>
      <c r="L224" s="9">
        <f>_xlfn.XLOOKUP(tblTransactions[[#This Row],[ProductID]],tblProducts[ProductID],tblProducts[UnitPrice])</f>
        <v>1499.75</v>
      </c>
      <c r="M224" s="9">
        <f>tblTransactions[[#This Row],[Quantity]]*tblTransactions[[#This Row],[UnitPrice]]</f>
        <v>1499.75</v>
      </c>
      <c r="N224" s="9">
        <f>tblTransactions[[#This Row],[GrossSales]]*tblTransactions[[#This Row],[Discount]]</f>
        <v>0</v>
      </c>
      <c r="O224" s="9">
        <f>tblTransactions[[#This Row],[GrossSales]]-tblTransactions[[#This Row],[DiscountAmount]]</f>
        <v>1499.75</v>
      </c>
      <c r="P224" s="9">
        <f>_xlfn.XLOOKUP(tblTransactions[[#This Row],[ProductID]],tblProducts[ProductID],tblProducts[UnitCost])</f>
        <v>1194.1400000000001</v>
      </c>
      <c r="Q224" s="9">
        <f>tblTransactions[[#This Row],[Quantity]]*tblTransactions[[#This Row],[UnitCost]]</f>
        <v>1194.1400000000001</v>
      </c>
      <c r="R224" s="9">
        <f>tblTransactions[[#This Row],[NetRevenue]]-tblTransactions[[#This Row],[TotalCost]]</f>
        <v>305.6099999999999</v>
      </c>
      <c r="S224" t="str">
        <f>_xlfn.XLOOKUP(tblTransactions[[#This Row],[ProductID]],tblProducts[ProductID],tblProducts[Category])</f>
        <v>Grocery</v>
      </c>
    </row>
    <row r="225" spans="1:19">
      <c r="A225" t="s">
        <v>16542</v>
      </c>
      <c r="B225" s="1">
        <v>45178</v>
      </c>
      <c r="C225" t="s">
        <v>9023</v>
      </c>
      <c r="D225" t="str">
        <f>_xlfn.XLOOKUP(tblTransactions[[#This Row],[CustomerID]],tblCustomers[CustomerID],tblCustomers[CustomerName])</f>
        <v>Balendra Joshi</v>
      </c>
      <c r="E225" t="s">
        <v>16123</v>
      </c>
      <c r="F225" t="str">
        <f>_xlfn.XLOOKUP(tblTransactions[[#This Row],[ProductID]],tblProducts[ProductID],tblProducts[ProductName])</f>
        <v>Running Shoes D4</v>
      </c>
      <c r="G225" t="s">
        <v>16305</v>
      </c>
      <c r="H225" t="str">
        <f>_xlfn.XLOOKUP(tblTransactions[[#This Row],[StoreID]],tblStores[StoreID],tblStores[Region])</f>
        <v>South</v>
      </c>
      <c r="I225">
        <v>2</v>
      </c>
      <c r="J225">
        <v>0.2</v>
      </c>
      <c r="K225" t="s">
        <v>16321</v>
      </c>
      <c r="L225" s="9">
        <f>_xlfn.XLOOKUP(tblTransactions[[#This Row],[ProductID]],tblProducts[ProductID],tblProducts[UnitPrice])</f>
        <v>5979.07</v>
      </c>
      <c r="M225" s="9">
        <f>tblTransactions[[#This Row],[Quantity]]*tblTransactions[[#This Row],[UnitPrice]]</f>
        <v>11958.14</v>
      </c>
      <c r="N225" s="9">
        <f>tblTransactions[[#This Row],[GrossSales]]*tblTransactions[[#This Row],[Discount]]</f>
        <v>2391.6280000000002</v>
      </c>
      <c r="O225" s="9">
        <f>tblTransactions[[#This Row],[GrossSales]]-tblTransactions[[#This Row],[DiscountAmount]]</f>
        <v>9566.5119999999988</v>
      </c>
      <c r="P225" s="9">
        <f>_xlfn.XLOOKUP(tblTransactions[[#This Row],[ProductID]],tblProducts[ProductID],tblProducts[UnitCost])</f>
        <v>4121.96</v>
      </c>
      <c r="Q225" s="9">
        <f>tblTransactions[[#This Row],[Quantity]]*tblTransactions[[#This Row],[UnitCost]]</f>
        <v>8243.92</v>
      </c>
      <c r="R225" s="9">
        <f>tblTransactions[[#This Row],[NetRevenue]]-tblTransactions[[#This Row],[TotalCost]]</f>
        <v>1322.5919999999987</v>
      </c>
      <c r="S225" t="str">
        <f>_xlfn.XLOOKUP(tblTransactions[[#This Row],[ProductID]],tblProducts[ProductID],tblProducts[Category])</f>
        <v>Clothing</v>
      </c>
    </row>
    <row r="226" spans="1:19">
      <c r="A226" t="s">
        <v>16543</v>
      </c>
      <c r="B226" s="1">
        <v>45182</v>
      </c>
      <c r="C226" t="s">
        <v>1000</v>
      </c>
      <c r="D226" t="str">
        <f>_xlfn.XLOOKUP(tblTransactions[[#This Row],[CustomerID]],tblCustomers[CustomerID],tblCustomers[CustomerName])</f>
        <v>Urmi Dewan</v>
      </c>
      <c r="E226" t="s">
        <v>16017</v>
      </c>
      <c r="F226" t="str">
        <f>_xlfn.XLOOKUP(tblTransactions[[#This Row],[ProductID]],tblProducts[ProductID],tblProducts[ProductName])</f>
        <v>Microwave Oven D4</v>
      </c>
      <c r="G226" t="s">
        <v>16279</v>
      </c>
      <c r="H226" t="str">
        <f>_xlfn.XLOOKUP(tblTransactions[[#This Row],[StoreID]],tblStores[StoreID],tblStores[Region])</f>
        <v>South</v>
      </c>
      <c r="I226">
        <v>1</v>
      </c>
      <c r="J226">
        <v>0</v>
      </c>
      <c r="K226" t="s">
        <v>16317</v>
      </c>
      <c r="L226" s="9">
        <f>_xlfn.XLOOKUP(tblTransactions[[#This Row],[ProductID]],tblProducts[ProductID],tblProducts[UnitPrice])</f>
        <v>29579.63</v>
      </c>
      <c r="M226" s="9">
        <f>tblTransactions[[#This Row],[Quantity]]*tblTransactions[[#This Row],[UnitPrice]]</f>
        <v>29579.63</v>
      </c>
      <c r="N226" s="9">
        <f>tblTransactions[[#This Row],[GrossSales]]*tblTransactions[[#This Row],[Discount]]</f>
        <v>0</v>
      </c>
      <c r="O226" s="9">
        <f>tblTransactions[[#This Row],[GrossSales]]-tblTransactions[[#This Row],[DiscountAmount]]</f>
        <v>29579.63</v>
      </c>
      <c r="P226" s="9">
        <f>_xlfn.XLOOKUP(tblTransactions[[#This Row],[ProductID]],tblProducts[ProductID],tblProducts[UnitCost])</f>
        <v>24254.720000000001</v>
      </c>
      <c r="Q226" s="9">
        <f>tblTransactions[[#This Row],[Quantity]]*tblTransactions[[#This Row],[UnitCost]]</f>
        <v>24254.720000000001</v>
      </c>
      <c r="R226" s="9">
        <f>tblTransactions[[#This Row],[NetRevenue]]-tblTransactions[[#This Row],[TotalCost]]</f>
        <v>5324.91</v>
      </c>
      <c r="S226" t="str">
        <f>_xlfn.XLOOKUP(tblTransactions[[#This Row],[ProductID]],tblProducts[ProductID],tblProducts[Category])</f>
        <v>Home &amp; Kitchen</v>
      </c>
    </row>
    <row r="227" spans="1:19">
      <c r="A227" t="s">
        <v>16544</v>
      </c>
      <c r="B227" s="1">
        <v>45184</v>
      </c>
      <c r="C227" t="s">
        <v>14031</v>
      </c>
      <c r="D227" t="str">
        <f>_xlfn.XLOOKUP(tblTransactions[[#This Row],[CustomerID]],tblCustomers[CustomerID],tblCustomers[CustomerName])</f>
        <v>Girish Parmar</v>
      </c>
      <c r="E227" t="s">
        <v>16188</v>
      </c>
      <c r="F227" t="str">
        <f>_xlfn.XLOOKUP(tblTransactions[[#This Row],[ProductID]],tblProducts[ProductID],tblProducts[ProductName])</f>
        <v>Pasta A6</v>
      </c>
      <c r="G227" t="s">
        <v>16265</v>
      </c>
      <c r="H227" t="str">
        <f>_xlfn.XLOOKUP(tblTransactions[[#This Row],[StoreID]],tblStores[StoreID],tblStores[Region])</f>
        <v>North</v>
      </c>
      <c r="I227">
        <v>5</v>
      </c>
      <c r="J227">
        <v>0</v>
      </c>
      <c r="K227" t="s">
        <v>16321</v>
      </c>
      <c r="L227" s="9">
        <f>_xlfn.XLOOKUP(tblTransactions[[#This Row],[ProductID]],tblProducts[ProductID],tblProducts[UnitPrice])</f>
        <v>1019.45</v>
      </c>
      <c r="M227" s="9">
        <f>tblTransactions[[#This Row],[Quantity]]*tblTransactions[[#This Row],[UnitPrice]]</f>
        <v>5097.25</v>
      </c>
      <c r="N227" s="9">
        <f>tblTransactions[[#This Row],[GrossSales]]*tblTransactions[[#This Row],[Discount]]</f>
        <v>0</v>
      </c>
      <c r="O227" s="9">
        <f>tblTransactions[[#This Row],[GrossSales]]-tblTransactions[[#This Row],[DiscountAmount]]</f>
        <v>5097.25</v>
      </c>
      <c r="P227" s="9">
        <f>_xlfn.XLOOKUP(tblTransactions[[#This Row],[ProductID]],tblProducts[ProductID],tblProducts[UnitCost])</f>
        <v>683.18</v>
      </c>
      <c r="Q227" s="9">
        <f>tblTransactions[[#This Row],[Quantity]]*tblTransactions[[#This Row],[UnitCost]]</f>
        <v>3415.8999999999996</v>
      </c>
      <c r="R227" s="9">
        <f>tblTransactions[[#This Row],[NetRevenue]]-tblTransactions[[#This Row],[TotalCost]]</f>
        <v>1681.3500000000004</v>
      </c>
      <c r="S227" t="str">
        <f>_xlfn.XLOOKUP(tblTransactions[[#This Row],[ProductID]],tblProducts[ProductID],tblProducts[Category])</f>
        <v>Grocery</v>
      </c>
    </row>
    <row r="228" spans="1:19">
      <c r="A228" t="s">
        <v>16545</v>
      </c>
      <c r="B228" s="1">
        <v>45184</v>
      </c>
      <c r="C228" t="s">
        <v>7420</v>
      </c>
      <c r="D228" t="str">
        <f>_xlfn.XLOOKUP(tblTransactions[[#This Row],[CustomerID]],tblCustomers[CustomerID],tblCustomers[CustomerName])</f>
        <v>Upma Bhavsar</v>
      </c>
      <c r="E228" t="s">
        <v>16045</v>
      </c>
      <c r="F228" t="str">
        <f>_xlfn.XLOOKUP(tblTransactions[[#This Row],[ProductID]],tblProducts[ProductID],tblProducts[ProductName])</f>
        <v>Non-stick Pan C3</v>
      </c>
      <c r="G228" t="s">
        <v>16293</v>
      </c>
      <c r="H228" t="str">
        <f>_xlfn.XLOOKUP(tblTransactions[[#This Row],[StoreID]],tblStores[StoreID],tblStores[Region])</f>
        <v>South</v>
      </c>
      <c r="I228">
        <v>1</v>
      </c>
      <c r="J228">
        <v>0</v>
      </c>
      <c r="K228" t="s">
        <v>16315</v>
      </c>
      <c r="L228" s="9">
        <f>_xlfn.XLOOKUP(tblTransactions[[#This Row],[ProductID]],tblProducts[ProductID],tblProducts[UnitPrice])</f>
        <v>26326.12</v>
      </c>
      <c r="M228" s="9">
        <f>tblTransactions[[#This Row],[Quantity]]*tblTransactions[[#This Row],[UnitPrice]]</f>
        <v>26326.12</v>
      </c>
      <c r="N228" s="9">
        <f>tblTransactions[[#This Row],[GrossSales]]*tblTransactions[[#This Row],[Discount]]</f>
        <v>0</v>
      </c>
      <c r="O228" s="9">
        <f>tblTransactions[[#This Row],[GrossSales]]-tblTransactions[[#This Row],[DiscountAmount]]</f>
        <v>26326.12</v>
      </c>
      <c r="P228" s="9">
        <f>_xlfn.XLOOKUP(tblTransactions[[#This Row],[ProductID]],tblProducts[ProductID],tblProducts[UnitCost])</f>
        <v>17114.43</v>
      </c>
      <c r="Q228" s="9">
        <f>tblTransactions[[#This Row],[Quantity]]*tblTransactions[[#This Row],[UnitCost]]</f>
        <v>17114.43</v>
      </c>
      <c r="R228" s="9">
        <f>tblTransactions[[#This Row],[NetRevenue]]-tblTransactions[[#This Row],[TotalCost]]</f>
        <v>9211.6899999999987</v>
      </c>
      <c r="S228" t="str">
        <f>_xlfn.XLOOKUP(tblTransactions[[#This Row],[ProductID]],tblProducts[ProductID],tblProducts[Category])</f>
        <v>Home &amp; Kitchen</v>
      </c>
    </row>
    <row r="229" spans="1:19">
      <c r="A229" t="s">
        <v>16546</v>
      </c>
      <c r="B229" s="1">
        <v>45185</v>
      </c>
      <c r="C229" t="s">
        <v>13802</v>
      </c>
      <c r="D229" t="str">
        <f>_xlfn.XLOOKUP(tblTransactions[[#This Row],[CustomerID]],tblCustomers[CustomerID],tblCustomers[CustomerName])</f>
        <v>Pushti Kurian</v>
      </c>
      <c r="E229" t="s">
        <v>16175</v>
      </c>
      <c r="F229" t="str">
        <f>_xlfn.XLOOKUP(tblTransactions[[#This Row],[ProductID]],tblProducts[ProductID],tblProducts[ProductName])</f>
        <v>Soft Drink B7</v>
      </c>
      <c r="G229" t="s">
        <v>16303</v>
      </c>
      <c r="H229" t="str">
        <f>_xlfn.XLOOKUP(tblTransactions[[#This Row],[StoreID]],tblStores[StoreID],tblStores[Region])</f>
        <v>West</v>
      </c>
      <c r="I229">
        <v>1</v>
      </c>
      <c r="J229">
        <v>0.05</v>
      </c>
      <c r="K229" t="s">
        <v>16325</v>
      </c>
      <c r="L229" s="9">
        <f>_xlfn.XLOOKUP(tblTransactions[[#This Row],[ProductID]],tblProducts[ProductID],tblProducts[UnitPrice])</f>
        <v>343.15</v>
      </c>
      <c r="M229" s="9">
        <f>tblTransactions[[#This Row],[Quantity]]*tblTransactions[[#This Row],[UnitPrice]]</f>
        <v>343.15</v>
      </c>
      <c r="N229" s="9">
        <f>tblTransactions[[#This Row],[GrossSales]]*tblTransactions[[#This Row],[Discount]]</f>
        <v>17.157499999999999</v>
      </c>
      <c r="O229" s="9">
        <f>tblTransactions[[#This Row],[GrossSales]]-tblTransactions[[#This Row],[DiscountAmount]]</f>
        <v>325.99249999999995</v>
      </c>
      <c r="P229" s="9">
        <f>_xlfn.XLOOKUP(tblTransactions[[#This Row],[ProductID]],tblProducts[ProductID],tblProducts[UnitCost])</f>
        <v>192.59</v>
      </c>
      <c r="Q229" s="9">
        <f>tblTransactions[[#This Row],[Quantity]]*tblTransactions[[#This Row],[UnitCost]]</f>
        <v>192.59</v>
      </c>
      <c r="R229" s="9">
        <f>tblTransactions[[#This Row],[NetRevenue]]-tblTransactions[[#This Row],[TotalCost]]</f>
        <v>133.40249999999995</v>
      </c>
      <c r="S229" t="str">
        <f>_xlfn.XLOOKUP(tblTransactions[[#This Row],[ProductID]],tblProducts[ProductID],tblProducts[Category])</f>
        <v>Grocery</v>
      </c>
    </row>
    <row r="230" spans="1:19">
      <c r="A230" t="s">
        <v>16547</v>
      </c>
      <c r="B230" s="1">
        <v>45186</v>
      </c>
      <c r="C230" t="s">
        <v>13824</v>
      </c>
      <c r="D230" t="str">
        <f>_xlfn.XLOOKUP(tblTransactions[[#This Row],[CustomerID]],tblCustomers[CustomerID],tblCustomers[CustomerName])</f>
        <v>Parth Din</v>
      </c>
      <c r="E230" t="s">
        <v>16226</v>
      </c>
      <c r="F230" t="str">
        <f>_xlfn.XLOOKUP(tblTransactions[[#This Row],[ProductID]],tblProducts[ProductID],tblProducts[ProductName])</f>
        <v>Body Wash B2</v>
      </c>
      <c r="G230" t="s">
        <v>16295</v>
      </c>
      <c r="H230" t="str">
        <f>_xlfn.XLOOKUP(tblTransactions[[#This Row],[StoreID]],tblStores[StoreID],tblStores[Region])</f>
        <v>South</v>
      </c>
      <c r="I230">
        <v>1</v>
      </c>
      <c r="J230">
        <v>0.05</v>
      </c>
      <c r="K230" t="s">
        <v>16321</v>
      </c>
      <c r="L230" s="9">
        <f>_xlfn.XLOOKUP(tblTransactions[[#This Row],[ProductID]],tblProducts[ProductID],tblProducts[UnitPrice])</f>
        <v>3897.08</v>
      </c>
      <c r="M230" s="9">
        <f>tblTransactions[[#This Row],[Quantity]]*tblTransactions[[#This Row],[UnitPrice]]</f>
        <v>3897.08</v>
      </c>
      <c r="N230" s="9">
        <f>tblTransactions[[#This Row],[GrossSales]]*tblTransactions[[#This Row],[Discount]]</f>
        <v>194.85400000000001</v>
      </c>
      <c r="O230" s="9">
        <f>tblTransactions[[#This Row],[GrossSales]]-tblTransactions[[#This Row],[DiscountAmount]]</f>
        <v>3702.2260000000001</v>
      </c>
      <c r="P230" s="9">
        <f>_xlfn.XLOOKUP(tblTransactions[[#This Row],[ProductID]],tblProducts[ProductID],tblProducts[UnitCost])</f>
        <v>3214.46</v>
      </c>
      <c r="Q230" s="9">
        <f>tblTransactions[[#This Row],[Quantity]]*tblTransactions[[#This Row],[UnitCost]]</f>
        <v>3214.46</v>
      </c>
      <c r="R230" s="9">
        <f>tblTransactions[[#This Row],[NetRevenue]]-tblTransactions[[#This Row],[TotalCost]]</f>
        <v>487.76600000000008</v>
      </c>
      <c r="S230" t="str">
        <f>_xlfn.XLOOKUP(tblTransactions[[#This Row],[ProductID]],tblProducts[ProductID],tblProducts[Category])</f>
        <v>Personal Care</v>
      </c>
    </row>
    <row r="231" spans="1:19">
      <c r="A231" t="s">
        <v>16548</v>
      </c>
      <c r="B231" s="1">
        <v>45188</v>
      </c>
      <c r="C231" t="s">
        <v>9941</v>
      </c>
      <c r="D231" t="str">
        <f>_xlfn.XLOOKUP(tblTransactions[[#This Row],[CustomerID]],tblCustomers[CustomerID],tblCustomers[CustomerName])</f>
        <v>Jatin Pillay</v>
      </c>
      <c r="E231" t="s">
        <v>16076</v>
      </c>
      <c r="F231" t="str">
        <f>_xlfn.XLOOKUP(tblTransactions[[#This Row],[ProductID]],tblProducts[ProductID],tblProducts[ProductName])</f>
        <v>Men's Jeans C3</v>
      </c>
      <c r="G231" t="s">
        <v>16269</v>
      </c>
      <c r="H231" t="str">
        <f>_xlfn.XLOOKUP(tblTransactions[[#This Row],[StoreID]],tblStores[StoreID],tblStores[Region])</f>
        <v>North</v>
      </c>
      <c r="I231">
        <v>1</v>
      </c>
      <c r="J231">
        <v>0</v>
      </c>
      <c r="K231" t="s">
        <v>16325</v>
      </c>
      <c r="L231" s="9">
        <f>_xlfn.XLOOKUP(tblTransactions[[#This Row],[ProductID]],tblProducts[ProductID],tblProducts[UnitPrice])</f>
        <v>7177.2</v>
      </c>
      <c r="M231" s="9">
        <f>tblTransactions[[#This Row],[Quantity]]*tblTransactions[[#This Row],[UnitPrice]]</f>
        <v>7177.2</v>
      </c>
      <c r="N231" s="9">
        <f>tblTransactions[[#This Row],[GrossSales]]*tblTransactions[[#This Row],[Discount]]</f>
        <v>0</v>
      </c>
      <c r="O231" s="9">
        <f>tblTransactions[[#This Row],[GrossSales]]-tblTransactions[[#This Row],[DiscountAmount]]</f>
        <v>7177.2</v>
      </c>
      <c r="P231" s="9">
        <f>_xlfn.XLOOKUP(tblTransactions[[#This Row],[ProductID]],tblProducts[ProductID],tblProducts[UnitCost])</f>
        <v>4558.34</v>
      </c>
      <c r="Q231" s="9">
        <f>tblTransactions[[#This Row],[Quantity]]*tblTransactions[[#This Row],[UnitCost]]</f>
        <v>4558.34</v>
      </c>
      <c r="R231" s="9">
        <f>tblTransactions[[#This Row],[NetRevenue]]-tblTransactions[[#This Row],[TotalCost]]</f>
        <v>2618.8599999999997</v>
      </c>
      <c r="S231" t="str">
        <f>_xlfn.XLOOKUP(tblTransactions[[#This Row],[ProductID]],tblProducts[ProductID],tblProducts[Category])</f>
        <v>Clothing</v>
      </c>
    </row>
    <row r="232" spans="1:19">
      <c r="A232" t="s">
        <v>16549</v>
      </c>
      <c r="B232" s="1">
        <v>45188</v>
      </c>
      <c r="C232" t="s">
        <v>5373</v>
      </c>
      <c r="D232" t="str">
        <f>_xlfn.XLOOKUP(tblTransactions[[#This Row],[CustomerID]],tblCustomers[CustomerID],tblCustomers[CustomerName])</f>
        <v>Ishita Gokhale</v>
      </c>
      <c r="E232" t="s">
        <v>15977</v>
      </c>
      <c r="F232" t="str">
        <f>_xlfn.XLOOKUP(tblTransactions[[#This Row],[ProductID]],tblProducts[ProductID],tblProducts[ProductName])</f>
        <v>Student Laptop C8</v>
      </c>
      <c r="G232" t="s">
        <v>16305</v>
      </c>
      <c r="H232" t="str">
        <f>_xlfn.XLOOKUP(tblTransactions[[#This Row],[StoreID]],tblStores[StoreID],tblStores[Region])</f>
        <v>South</v>
      </c>
      <c r="I232">
        <v>1</v>
      </c>
      <c r="J232">
        <v>0</v>
      </c>
      <c r="K232" t="s">
        <v>16321</v>
      </c>
      <c r="L232" s="9">
        <f>_xlfn.XLOOKUP(tblTransactions[[#This Row],[ProductID]],tblProducts[ProductID],tblProducts[UnitPrice])</f>
        <v>44917.11</v>
      </c>
      <c r="M232" s="9">
        <f>tblTransactions[[#This Row],[Quantity]]*tblTransactions[[#This Row],[UnitPrice]]</f>
        <v>44917.11</v>
      </c>
      <c r="N232" s="9">
        <f>tblTransactions[[#This Row],[GrossSales]]*tblTransactions[[#This Row],[Discount]]</f>
        <v>0</v>
      </c>
      <c r="O232" s="9">
        <f>tblTransactions[[#This Row],[GrossSales]]-tblTransactions[[#This Row],[DiscountAmount]]</f>
        <v>44917.11</v>
      </c>
      <c r="P232" s="9">
        <f>_xlfn.XLOOKUP(tblTransactions[[#This Row],[ProductID]],tblProducts[ProductID],tblProducts[UnitCost])</f>
        <v>33851.120000000003</v>
      </c>
      <c r="Q232" s="9">
        <f>tblTransactions[[#This Row],[Quantity]]*tblTransactions[[#This Row],[UnitCost]]</f>
        <v>33851.120000000003</v>
      </c>
      <c r="R232" s="9">
        <f>tblTransactions[[#This Row],[NetRevenue]]-tblTransactions[[#This Row],[TotalCost]]</f>
        <v>11065.989999999998</v>
      </c>
      <c r="S232" t="str">
        <f>_xlfn.XLOOKUP(tblTransactions[[#This Row],[ProductID]],tblProducts[ProductID],tblProducts[Category])</f>
        <v>Electronics</v>
      </c>
    </row>
    <row r="233" spans="1:19">
      <c r="A233" t="s">
        <v>16550</v>
      </c>
      <c r="B233" s="1">
        <v>45189</v>
      </c>
      <c r="C233" t="s">
        <v>14803</v>
      </c>
      <c r="D233" t="str">
        <f>_xlfn.XLOOKUP(tblTransactions[[#This Row],[CustomerID]],tblCustomers[CustomerID],tblCustomers[CustomerName])</f>
        <v>Ekanta Khatri</v>
      </c>
      <c r="E233" t="s">
        <v>16206</v>
      </c>
      <c r="F233" t="str">
        <f>_xlfn.XLOOKUP(tblTransactions[[#This Row],[ProductID]],tblProducts[ProductID],tblProducts[ProductName])</f>
        <v>Moisturizer B7</v>
      </c>
      <c r="G233" t="s">
        <v>16303</v>
      </c>
      <c r="H233" t="str">
        <f>_xlfn.XLOOKUP(tblTransactions[[#This Row],[StoreID]],tblStores[StoreID],tblStores[Region])</f>
        <v>West</v>
      </c>
      <c r="I233">
        <v>1</v>
      </c>
      <c r="J233">
        <v>0</v>
      </c>
      <c r="K233" t="s">
        <v>16315</v>
      </c>
      <c r="L233" s="9">
        <f>_xlfn.XLOOKUP(tblTransactions[[#This Row],[ProductID]],tblProducts[ProductID],tblProducts[UnitPrice])</f>
        <v>3285.82</v>
      </c>
      <c r="M233" s="9">
        <f>tblTransactions[[#This Row],[Quantity]]*tblTransactions[[#This Row],[UnitPrice]]</f>
        <v>3285.82</v>
      </c>
      <c r="N233" s="9">
        <f>tblTransactions[[#This Row],[GrossSales]]*tblTransactions[[#This Row],[Discount]]</f>
        <v>0</v>
      </c>
      <c r="O233" s="9">
        <f>tblTransactions[[#This Row],[GrossSales]]-tblTransactions[[#This Row],[DiscountAmount]]</f>
        <v>3285.82</v>
      </c>
      <c r="P233" s="9">
        <f>_xlfn.XLOOKUP(tblTransactions[[#This Row],[ProductID]],tblProducts[ProductID],tblProducts[UnitCost])</f>
        <v>2256.9699999999998</v>
      </c>
      <c r="Q233" s="9">
        <f>tblTransactions[[#This Row],[Quantity]]*tblTransactions[[#This Row],[UnitCost]]</f>
        <v>2256.9699999999998</v>
      </c>
      <c r="R233" s="9">
        <f>tblTransactions[[#This Row],[NetRevenue]]-tblTransactions[[#This Row],[TotalCost]]</f>
        <v>1028.8500000000004</v>
      </c>
      <c r="S233" t="str">
        <f>_xlfn.XLOOKUP(tblTransactions[[#This Row],[ProductID]],tblProducts[ProductID],tblProducts[Category])</f>
        <v>Personal Care</v>
      </c>
    </row>
    <row r="234" spans="1:19">
      <c r="A234" t="s">
        <v>16551</v>
      </c>
      <c r="B234" s="1">
        <v>45190</v>
      </c>
      <c r="C234" t="s">
        <v>8767</v>
      </c>
      <c r="D234" t="str">
        <f>_xlfn.XLOOKUP(tblTransactions[[#This Row],[CustomerID]],tblCustomers[CustomerID],tblCustomers[CustomerName])</f>
        <v>William Mohan</v>
      </c>
      <c r="E234" t="s">
        <v>15986</v>
      </c>
      <c r="F234" t="str">
        <f>_xlfn.XLOOKUP(tblTransactions[[#This Row],[ProductID]],tblProducts[ProductID],tblProducts[ProductName])</f>
        <v>Soundbar D4</v>
      </c>
      <c r="G234" t="s">
        <v>16279</v>
      </c>
      <c r="H234" t="str">
        <f>_xlfn.XLOOKUP(tblTransactions[[#This Row],[StoreID]],tblStores[StoreID],tblStores[Region])</f>
        <v>South</v>
      </c>
      <c r="I234">
        <v>1</v>
      </c>
      <c r="J234">
        <v>0</v>
      </c>
      <c r="K234" t="s">
        <v>16321</v>
      </c>
      <c r="L234" s="9">
        <f>_xlfn.XLOOKUP(tblTransactions[[#This Row],[ProductID]],tblProducts[ProductID],tblProducts[UnitPrice])</f>
        <v>52004.72</v>
      </c>
      <c r="M234" s="9">
        <f>tblTransactions[[#This Row],[Quantity]]*tblTransactions[[#This Row],[UnitPrice]]</f>
        <v>52004.72</v>
      </c>
      <c r="N234" s="9">
        <f>tblTransactions[[#This Row],[GrossSales]]*tblTransactions[[#This Row],[Discount]]</f>
        <v>0</v>
      </c>
      <c r="O234" s="9">
        <f>tblTransactions[[#This Row],[GrossSales]]-tblTransactions[[#This Row],[DiscountAmount]]</f>
        <v>52004.72</v>
      </c>
      <c r="P234" s="9">
        <f>_xlfn.XLOOKUP(tblTransactions[[#This Row],[ProductID]],tblProducts[ProductID],tblProducts[UnitCost])</f>
        <v>43224.87</v>
      </c>
      <c r="Q234" s="9">
        <f>tblTransactions[[#This Row],[Quantity]]*tblTransactions[[#This Row],[UnitCost]]</f>
        <v>43224.87</v>
      </c>
      <c r="R234" s="9">
        <f>tblTransactions[[#This Row],[NetRevenue]]-tblTransactions[[#This Row],[TotalCost]]</f>
        <v>8779.8499999999985</v>
      </c>
      <c r="S234" t="str">
        <f>_xlfn.XLOOKUP(tblTransactions[[#This Row],[ProductID]],tblProducts[ProductID],tblProducts[Category])</f>
        <v>Electronics</v>
      </c>
    </row>
    <row r="235" spans="1:19">
      <c r="A235" t="s">
        <v>16552</v>
      </c>
      <c r="B235" s="1">
        <v>45192</v>
      </c>
      <c r="C235" t="s">
        <v>2239</v>
      </c>
      <c r="D235" t="str">
        <f>_xlfn.XLOOKUP(tblTransactions[[#This Row],[CustomerID]],tblCustomers[CustomerID],tblCustomers[CustomerName])</f>
        <v>Peter Som</v>
      </c>
      <c r="E235" t="s">
        <v>16074</v>
      </c>
      <c r="F235" t="str">
        <f>_xlfn.XLOOKUP(tblTransactions[[#This Row],[ProductID]],tblProducts[ProductID],tblProducts[ProductName])</f>
        <v>Men's T-Shirt B2</v>
      </c>
      <c r="G235" t="s">
        <v>16267</v>
      </c>
      <c r="H235" t="str">
        <f>_xlfn.XLOOKUP(tblTransactions[[#This Row],[StoreID]],tblStores[StoreID],tblStores[Region])</f>
        <v>West</v>
      </c>
      <c r="I235">
        <v>1</v>
      </c>
      <c r="J235">
        <v>0.15</v>
      </c>
      <c r="K235" t="s">
        <v>16321</v>
      </c>
      <c r="L235" s="9">
        <f>_xlfn.XLOOKUP(tblTransactions[[#This Row],[ProductID]],tblProducts[ProductID],tblProducts[UnitPrice])</f>
        <v>5944.75</v>
      </c>
      <c r="M235" s="9">
        <f>tblTransactions[[#This Row],[Quantity]]*tblTransactions[[#This Row],[UnitPrice]]</f>
        <v>5944.75</v>
      </c>
      <c r="N235" s="9">
        <f>tblTransactions[[#This Row],[GrossSales]]*tblTransactions[[#This Row],[Discount]]</f>
        <v>891.71249999999998</v>
      </c>
      <c r="O235" s="9">
        <f>tblTransactions[[#This Row],[GrossSales]]-tblTransactions[[#This Row],[DiscountAmount]]</f>
        <v>5053.0375000000004</v>
      </c>
      <c r="P235" s="9">
        <f>_xlfn.XLOOKUP(tblTransactions[[#This Row],[ProductID]],tblProducts[ProductID],tblProducts[UnitCost])</f>
        <v>4447.5200000000004</v>
      </c>
      <c r="Q235" s="9">
        <f>tblTransactions[[#This Row],[Quantity]]*tblTransactions[[#This Row],[UnitCost]]</f>
        <v>4447.5200000000004</v>
      </c>
      <c r="R235" s="9">
        <f>tblTransactions[[#This Row],[NetRevenue]]-tblTransactions[[#This Row],[TotalCost]]</f>
        <v>605.51749999999993</v>
      </c>
      <c r="S235" t="str">
        <f>_xlfn.XLOOKUP(tblTransactions[[#This Row],[ProductID]],tblProducts[ProductID],tblProducts[Category])</f>
        <v>Clothing</v>
      </c>
    </row>
    <row r="236" spans="1:19">
      <c r="A236" t="s">
        <v>16553</v>
      </c>
      <c r="B236" s="1">
        <v>45192</v>
      </c>
      <c r="C236" t="s">
        <v>12759</v>
      </c>
      <c r="D236" t="str">
        <f>_xlfn.XLOOKUP(tblTransactions[[#This Row],[CustomerID]],tblCustomers[CustomerID],tblCustomers[CustomerName])</f>
        <v>Vaishnavi Dhar</v>
      </c>
      <c r="E236" t="s">
        <v>16150</v>
      </c>
      <c r="F236" t="str">
        <f>_xlfn.XLOOKUP(tblTransactions[[#This Row],[ProductID]],tblProducts[ProductID],tblProducts[ProductName])</f>
        <v>Chocolate B2</v>
      </c>
      <c r="G236" t="s">
        <v>16305</v>
      </c>
      <c r="H236" t="str">
        <f>_xlfn.XLOOKUP(tblTransactions[[#This Row],[StoreID]],tblStores[StoreID],tblStores[Region])</f>
        <v>South</v>
      </c>
      <c r="I236">
        <v>1</v>
      </c>
      <c r="J236">
        <v>0.05</v>
      </c>
      <c r="K236" t="s">
        <v>16321</v>
      </c>
      <c r="L236" s="9">
        <f>_xlfn.XLOOKUP(tblTransactions[[#This Row],[ProductID]],tblProducts[ProductID],tblProducts[UnitPrice])</f>
        <v>500.73</v>
      </c>
      <c r="M236" s="9">
        <f>tblTransactions[[#This Row],[Quantity]]*tblTransactions[[#This Row],[UnitPrice]]</f>
        <v>500.73</v>
      </c>
      <c r="N236" s="9">
        <f>tblTransactions[[#This Row],[GrossSales]]*tblTransactions[[#This Row],[Discount]]</f>
        <v>25.036500000000004</v>
      </c>
      <c r="O236" s="9">
        <f>tblTransactions[[#This Row],[GrossSales]]-tblTransactions[[#This Row],[DiscountAmount]]</f>
        <v>475.69350000000003</v>
      </c>
      <c r="P236" s="9">
        <f>_xlfn.XLOOKUP(tblTransactions[[#This Row],[ProductID]],tblProducts[ProductID],tblProducts[UnitCost])</f>
        <v>407.66</v>
      </c>
      <c r="Q236" s="9">
        <f>tblTransactions[[#This Row],[Quantity]]*tblTransactions[[#This Row],[UnitCost]]</f>
        <v>407.66</v>
      </c>
      <c r="R236" s="9">
        <f>tblTransactions[[#This Row],[NetRevenue]]-tblTransactions[[#This Row],[TotalCost]]</f>
        <v>68.033500000000004</v>
      </c>
      <c r="S236" t="str">
        <f>_xlfn.XLOOKUP(tblTransactions[[#This Row],[ProductID]],tblProducts[ProductID],tblProducts[Category])</f>
        <v>Grocery</v>
      </c>
    </row>
    <row r="237" spans="1:19">
      <c r="A237" t="s">
        <v>16554</v>
      </c>
      <c r="B237" s="1">
        <v>45193</v>
      </c>
      <c r="C237" t="s">
        <v>6377</v>
      </c>
      <c r="D237" t="str">
        <f>_xlfn.XLOOKUP(tblTransactions[[#This Row],[CustomerID]],tblCustomers[CustomerID],tblCustomers[CustomerName])</f>
        <v>Bhanumati Chaudhary</v>
      </c>
      <c r="E237" t="s">
        <v>16112</v>
      </c>
      <c r="F237" t="str">
        <f>_xlfn.XLOOKUP(tblTransactions[[#This Row],[ProductID]],tblProducts[ProductID],tblProducts[ProductName])</f>
        <v>Kids T-Shirt A6</v>
      </c>
      <c r="G237" t="s">
        <v>16293</v>
      </c>
      <c r="H237" t="str">
        <f>_xlfn.XLOOKUP(tblTransactions[[#This Row],[StoreID]],tblStores[StoreID],tblStores[Region])</f>
        <v>South</v>
      </c>
      <c r="I237">
        <v>3</v>
      </c>
      <c r="J237">
        <v>0.1</v>
      </c>
      <c r="K237" t="s">
        <v>16317</v>
      </c>
      <c r="L237" s="9">
        <f>_xlfn.XLOOKUP(tblTransactions[[#This Row],[ProductID]],tblProducts[ProductID],tblProducts[UnitPrice])</f>
        <v>2008.33</v>
      </c>
      <c r="M237" s="9">
        <f>tblTransactions[[#This Row],[Quantity]]*tblTransactions[[#This Row],[UnitPrice]]</f>
        <v>6024.99</v>
      </c>
      <c r="N237" s="9">
        <f>tblTransactions[[#This Row],[GrossSales]]*tblTransactions[[#This Row],[Discount]]</f>
        <v>602.49900000000002</v>
      </c>
      <c r="O237" s="9">
        <f>tblTransactions[[#This Row],[GrossSales]]-tblTransactions[[#This Row],[DiscountAmount]]</f>
        <v>5422.491</v>
      </c>
      <c r="P237" s="9">
        <f>_xlfn.XLOOKUP(tblTransactions[[#This Row],[ProductID]],tblProducts[ProductID],tblProducts[UnitCost])</f>
        <v>1688.91</v>
      </c>
      <c r="Q237" s="9">
        <f>tblTransactions[[#This Row],[Quantity]]*tblTransactions[[#This Row],[UnitCost]]</f>
        <v>5066.7300000000005</v>
      </c>
      <c r="R237" s="9">
        <f>tblTransactions[[#This Row],[NetRevenue]]-tblTransactions[[#This Row],[TotalCost]]</f>
        <v>355.76099999999951</v>
      </c>
      <c r="S237" t="str">
        <f>_xlfn.XLOOKUP(tblTransactions[[#This Row],[ProductID]],tblProducts[ProductID],tblProducts[Category])</f>
        <v>Clothing</v>
      </c>
    </row>
    <row r="238" spans="1:19">
      <c r="A238" t="s">
        <v>16555</v>
      </c>
      <c r="B238" s="1">
        <v>45194</v>
      </c>
      <c r="C238" t="s">
        <v>10553</v>
      </c>
      <c r="D238" t="str">
        <f>_xlfn.XLOOKUP(tblTransactions[[#This Row],[CustomerID]],tblCustomers[CustomerID],tblCustomers[CustomerName])</f>
        <v>Zarna Din</v>
      </c>
      <c r="E238" t="s">
        <v>15956</v>
      </c>
      <c r="F238" t="str">
        <f>_xlfn.XLOOKUP(tblTransactions[[#This Row],[ProductID]],tblProducts[ProductID],tblProducts[ProductName])</f>
        <v>Budget Smartphone A6</v>
      </c>
      <c r="G238" t="s">
        <v>16267</v>
      </c>
      <c r="H238" t="str">
        <f>_xlfn.XLOOKUP(tblTransactions[[#This Row],[StoreID]],tblStores[StoreID],tblStores[Region])</f>
        <v>West</v>
      </c>
      <c r="I238">
        <v>5</v>
      </c>
      <c r="J238">
        <v>0</v>
      </c>
      <c r="K238" t="s">
        <v>16317</v>
      </c>
      <c r="L238" s="9">
        <f>_xlfn.XLOOKUP(tblTransactions[[#This Row],[ProductID]],tblProducts[ProductID],tblProducts[UnitPrice])</f>
        <v>9246.34</v>
      </c>
      <c r="M238" s="9">
        <f>tblTransactions[[#This Row],[Quantity]]*tblTransactions[[#This Row],[UnitPrice]]</f>
        <v>46231.7</v>
      </c>
      <c r="N238" s="9">
        <f>tblTransactions[[#This Row],[GrossSales]]*tblTransactions[[#This Row],[Discount]]</f>
        <v>0</v>
      </c>
      <c r="O238" s="9">
        <f>tblTransactions[[#This Row],[GrossSales]]-tblTransactions[[#This Row],[DiscountAmount]]</f>
        <v>46231.7</v>
      </c>
      <c r="P238" s="9">
        <f>_xlfn.XLOOKUP(tblTransactions[[#This Row],[ProductID]],tblProducts[ProductID],tblProducts[UnitCost])</f>
        <v>7613.27</v>
      </c>
      <c r="Q238" s="9">
        <f>tblTransactions[[#This Row],[Quantity]]*tblTransactions[[#This Row],[UnitCost]]</f>
        <v>38066.350000000006</v>
      </c>
      <c r="R238" s="9">
        <f>tblTransactions[[#This Row],[NetRevenue]]-tblTransactions[[#This Row],[TotalCost]]</f>
        <v>8165.3499999999913</v>
      </c>
      <c r="S238" t="str">
        <f>_xlfn.XLOOKUP(tblTransactions[[#This Row],[ProductID]],tblProducts[ProductID],tblProducts[Category])</f>
        <v>Electronics</v>
      </c>
    </row>
    <row r="239" spans="1:19">
      <c r="A239" t="s">
        <v>16556</v>
      </c>
      <c r="B239" s="1">
        <v>45194</v>
      </c>
      <c r="C239" t="s">
        <v>5823</v>
      </c>
      <c r="D239" t="str">
        <f>_xlfn.XLOOKUP(tblTransactions[[#This Row],[CustomerID]],tblCustomers[CustomerID],tblCustomers[CustomerName])</f>
        <v>Dalaja Chahal</v>
      </c>
      <c r="E239" t="s">
        <v>15935</v>
      </c>
      <c r="F239" t="str">
        <f>_xlfn.XLOOKUP(tblTransactions[[#This Row],[ProductID]],tblProducts[ProductID],tblProducts[ProductName])</f>
        <v>QLED Smart TV D4</v>
      </c>
      <c r="G239" t="s">
        <v>16277</v>
      </c>
      <c r="H239" t="str">
        <f>_xlfn.XLOOKUP(tblTransactions[[#This Row],[StoreID]],tblStores[StoreID],tblStores[Region])</f>
        <v>West</v>
      </c>
      <c r="I239">
        <v>1</v>
      </c>
      <c r="J239">
        <v>0</v>
      </c>
      <c r="K239" t="s">
        <v>16315</v>
      </c>
      <c r="L239" s="9">
        <f>_xlfn.XLOOKUP(tblTransactions[[#This Row],[ProductID]],tblProducts[ProductID],tblProducts[UnitPrice])</f>
        <v>10619.36</v>
      </c>
      <c r="M239" s="9">
        <f>tblTransactions[[#This Row],[Quantity]]*tblTransactions[[#This Row],[UnitPrice]]</f>
        <v>10619.36</v>
      </c>
      <c r="N239" s="9">
        <f>tblTransactions[[#This Row],[GrossSales]]*tblTransactions[[#This Row],[Discount]]</f>
        <v>0</v>
      </c>
      <c r="O239" s="9">
        <f>tblTransactions[[#This Row],[GrossSales]]-tblTransactions[[#This Row],[DiscountAmount]]</f>
        <v>10619.36</v>
      </c>
      <c r="P239" s="9">
        <f>_xlfn.XLOOKUP(tblTransactions[[#This Row],[ProductID]],tblProducts[ProductID],tblProducts[UnitCost])</f>
        <v>6544.82</v>
      </c>
      <c r="Q239" s="9">
        <f>tblTransactions[[#This Row],[Quantity]]*tblTransactions[[#This Row],[UnitCost]]</f>
        <v>6544.82</v>
      </c>
      <c r="R239" s="9">
        <f>tblTransactions[[#This Row],[NetRevenue]]-tblTransactions[[#This Row],[TotalCost]]</f>
        <v>4074.5400000000009</v>
      </c>
      <c r="S239" t="str">
        <f>_xlfn.XLOOKUP(tblTransactions[[#This Row],[ProductID]],tblProducts[ProductID],tblProducts[Category])</f>
        <v>Electronics</v>
      </c>
    </row>
    <row r="240" spans="1:19">
      <c r="A240" t="s">
        <v>16557</v>
      </c>
      <c r="B240" s="1">
        <v>45196</v>
      </c>
      <c r="C240" t="s">
        <v>2413</v>
      </c>
      <c r="D240" t="str">
        <f>_xlfn.XLOOKUP(tblTransactions[[#This Row],[CustomerID]],tblCustomers[CustomerID],tblCustomers[CustomerName])</f>
        <v>Girik Pradhan</v>
      </c>
      <c r="E240" t="s">
        <v>16114</v>
      </c>
      <c r="F240" t="str">
        <f>_xlfn.XLOOKUP(tblTransactions[[#This Row],[ProductID]],tblProducts[ProductID],tblProducts[ProductName])</f>
        <v>Kids T-Shirt B7</v>
      </c>
      <c r="G240" t="s">
        <v>16265</v>
      </c>
      <c r="H240" t="str">
        <f>_xlfn.XLOOKUP(tblTransactions[[#This Row],[StoreID]],tblStores[StoreID],tblStores[Region])</f>
        <v>North</v>
      </c>
      <c r="I240">
        <v>2</v>
      </c>
      <c r="J240">
        <v>0.2</v>
      </c>
      <c r="K240" t="s">
        <v>16319</v>
      </c>
      <c r="L240" s="9">
        <f>_xlfn.XLOOKUP(tblTransactions[[#This Row],[ProductID]],tblProducts[ProductID],tblProducts[UnitPrice])</f>
        <v>2599.96</v>
      </c>
      <c r="M240" s="9">
        <f>tblTransactions[[#This Row],[Quantity]]*tblTransactions[[#This Row],[UnitPrice]]</f>
        <v>5199.92</v>
      </c>
      <c r="N240" s="9">
        <f>tblTransactions[[#This Row],[GrossSales]]*tblTransactions[[#This Row],[Discount]]</f>
        <v>1039.9840000000002</v>
      </c>
      <c r="O240" s="9">
        <f>tblTransactions[[#This Row],[GrossSales]]-tblTransactions[[#This Row],[DiscountAmount]]</f>
        <v>4159.9359999999997</v>
      </c>
      <c r="P240" s="9">
        <f>_xlfn.XLOOKUP(tblTransactions[[#This Row],[ProductID]],tblProducts[ProductID],tblProducts[UnitCost])</f>
        <v>1643</v>
      </c>
      <c r="Q240" s="9">
        <f>tblTransactions[[#This Row],[Quantity]]*tblTransactions[[#This Row],[UnitCost]]</f>
        <v>3286</v>
      </c>
      <c r="R240" s="9">
        <f>tblTransactions[[#This Row],[NetRevenue]]-tblTransactions[[#This Row],[TotalCost]]</f>
        <v>873.93599999999969</v>
      </c>
      <c r="S240" t="str">
        <f>_xlfn.XLOOKUP(tblTransactions[[#This Row],[ProductID]],tblProducts[ProductID],tblProducts[Category])</f>
        <v>Clothing</v>
      </c>
    </row>
    <row r="241" spans="1:19">
      <c r="A241" t="s">
        <v>16558</v>
      </c>
      <c r="B241" s="1">
        <v>45198</v>
      </c>
      <c r="C241" t="s">
        <v>12910</v>
      </c>
      <c r="D241" t="str">
        <f>_xlfn.XLOOKUP(tblTransactions[[#This Row],[CustomerID]],tblCustomers[CustomerID],tblCustomers[CustomerName])</f>
        <v>Charles Wadhwa</v>
      </c>
      <c r="E241" t="s">
        <v>16223</v>
      </c>
      <c r="F241" t="str">
        <f>_xlfn.XLOOKUP(tblTransactions[[#This Row],[ProductID]],tblProducts[ProductID],tblProducts[ProductName])</f>
        <v>Body Wash A1</v>
      </c>
      <c r="G241" t="s">
        <v>16301</v>
      </c>
      <c r="H241" t="str">
        <f>_xlfn.XLOOKUP(tblTransactions[[#This Row],[StoreID]],tblStores[StoreID],tblStores[Region])</f>
        <v>East</v>
      </c>
      <c r="I241">
        <v>4</v>
      </c>
      <c r="J241">
        <v>0</v>
      </c>
      <c r="K241" t="s">
        <v>16317</v>
      </c>
      <c r="L241" s="9">
        <f>_xlfn.XLOOKUP(tblTransactions[[#This Row],[ProductID]],tblProducts[ProductID],tblProducts[UnitPrice])</f>
        <v>3493.25</v>
      </c>
      <c r="M241" s="9">
        <f>tblTransactions[[#This Row],[Quantity]]*tblTransactions[[#This Row],[UnitPrice]]</f>
        <v>13973</v>
      </c>
      <c r="N241" s="9">
        <f>tblTransactions[[#This Row],[GrossSales]]*tblTransactions[[#This Row],[Discount]]</f>
        <v>0</v>
      </c>
      <c r="O241" s="9">
        <f>tblTransactions[[#This Row],[GrossSales]]-tblTransactions[[#This Row],[DiscountAmount]]</f>
        <v>13973</v>
      </c>
      <c r="P241" s="9">
        <f>_xlfn.XLOOKUP(tblTransactions[[#This Row],[ProductID]],tblProducts[ProductID],tblProducts[UnitCost])</f>
        <v>2550.08</v>
      </c>
      <c r="Q241" s="9">
        <f>tblTransactions[[#This Row],[Quantity]]*tblTransactions[[#This Row],[UnitCost]]</f>
        <v>10200.32</v>
      </c>
      <c r="R241" s="9">
        <f>tblTransactions[[#This Row],[NetRevenue]]-tblTransactions[[#This Row],[TotalCost]]</f>
        <v>3772.6800000000003</v>
      </c>
      <c r="S241" t="str">
        <f>_xlfn.XLOOKUP(tblTransactions[[#This Row],[ProductID]],tblProducts[ProductID],tblProducts[Category])</f>
        <v>Personal Care</v>
      </c>
    </row>
    <row r="242" spans="1:19">
      <c r="A242" t="s">
        <v>16559</v>
      </c>
      <c r="B242" s="1">
        <v>45198</v>
      </c>
      <c r="C242" t="s">
        <v>14210</v>
      </c>
      <c r="D242" t="str">
        <f>_xlfn.XLOOKUP(tblTransactions[[#This Row],[CustomerID]],tblCustomers[CustomerID],tblCustomers[CustomerName])</f>
        <v>Unni Deep</v>
      </c>
      <c r="E242" t="s">
        <v>16127</v>
      </c>
      <c r="F242" t="str">
        <f>_xlfn.XLOOKUP(tblTransactions[[#This Row],[ProductID]],tblProducts[ProductID],tblProducts[ProductName])</f>
        <v>Sports Shoes A6</v>
      </c>
      <c r="G242" t="s">
        <v>16307</v>
      </c>
      <c r="H242" t="str">
        <f>_xlfn.XLOOKUP(tblTransactions[[#This Row],[StoreID]],tblStores[StoreID],tblStores[Region])</f>
        <v>East</v>
      </c>
      <c r="I242">
        <v>1</v>
      </c>
      <c r="J242">
        <v>0.15</v>
      </c>
      <c r="K242" t="s">
        <v>16317</v>
      </c>
      <c r="L242" s="9">
        <f>_xlfn.XLOOKUP(tblTransactions[[#This Row],[ProductID]],tblProducts[ProductID],tblProducts[UnitPrice])</f>
        <v>4565.2299999999996</v>
      </c>
      <c r="M242" s="9">
        <f>tblTransactions[[#This Row],[Quantity]]*tblTransactions[[#This Row],[UnitPrice]]</f>
        <v>4565.2299999999996</v>
      </c>
      <c r="N242" s="9">
        <f>tblTransactions[[#This Row],[GrossSales]]*tblTransactions[[#This Row],[Discount]]</f>
        <v>684.78449999999987</v>
      </c>
      <c r="O242" s="9">
        <f>tblTransactions[[#This Row],[GrossSales]]-tblTransactions[[#This Row],[DiscountAmount]]</f>
        <v>3880.4454999999998</v>
      </c>
      <c r="P242" s="9">
        <f>_xlfn.XLOOKUP(tblTransactions[[#This Row],[ProductID]],tblProducts[ProductID],tblProducts[UnitCost])</f>
        <v>3658.34</v>
      </c>
      <c r="Q242" s="9">
        <f>tblTransactions[[#This Row],[Quantity]]*tblTransactions[[#This Row],[UnitCost]]</f>
        <v>3658.34</v>
      </c>
      <c r="R242" s="9">
        <f>tblTransactions[[#This Row],[NetRevenue]]-tblTransactions[[#This Row],[TotalCost]]</f>
        <v>222.10549999999967</v>
      </c>
      <c r="S242" t="str">
        <f>_xlfn.XLOOKUP(tblTransactions[[#This Row],[ProductID]],tblProducts[ProductID],tblProducts[Category])</f>
        <v>Clothing</v>
      </c>
    </row>
    <row r="243" spans="1:19">
      <c r="A243" t="s">
        <v>16560</v>
      </c>
      <c r="B243" s="1">
        <v>45199</v>
      </c>
      <c r="C243" t="s">
        <v>9126</v>
      </c>
      <c r="D243" t="str">
        <f>_xlfn.XLOOKUP(tblTransactions[[#This Row],[CustomerID]],tblCustomers[CustomerID],tblCustomers[CustomerName])</f>
        <v>Owen Ratti</v>
      </c>
      <c r="E243" t="s">
        <v>16070</v>
      </c>
      <c r="F243" t="str">
        <f>_xlfn.XLOOKUP(tblTransactions[[#This Row],[ProductID]],tblProducts[ProductID],tblProducts[ProductName])</f>
        <v>Men's T-Shirt A1</v>
      </c>
      <c r="G243" t="s">
        <v>16256</v>
      </c>
      <c r="H243" t="str">
        <f>_xlfn.XLOOKUP(tblTransactions[[#This Row],[StoreID]],tblStores[StoreID],tblStores[Region])</f>
        <v>East</v>
      </c>
      <c r="I243">
        <v>1</v>
      </c>
      <c r="J243">
        <v>0.15</v>
      </c>
      <c r="K243" t="s">
        <v>16315</v>
      </c>
      <c r="L243" s="9">
        <f>_xlfn.XLOOKUP(tblTransactions[[#This Row],[ProductID]],tblProducts[ProductID],tblProducts[UnitPrice])</f>
        <v>6357.9</v>
      </c>
      <c r="M243" s="9">
        <f>tblTransactions[[#This Row],[Quantity]]*tblTransactions[[#This Row],[UnitPrice]]</f>
        <v>6357.9</v>
      </c>
      <c r="N243" s="9">
        <f>tblTransactions[[#This Row],[GrossSales]]*tblTransactions[[#This Row],[Discount]]</f>
        <v>953.68499999999995</v>
      </c>
      <c r="O243" s="9">
        <f>tblTransactions[[#This Row],[GrossSales]]-tblTransactions[[#This Row],[DiscountAmount]]</f>
        <v>5404.2150000000001</v>
      </c>
      <c r="P243" s="9">
        <f>_xlfn.XLOOKUP(tblTransactions[[#This Row],[ProductID]],tblProducts[ProductID],tblProducts[UnitCost])</f>
        <v>4895.43</v>
      </c>
      <c r="Q243" s="9">
        <f>tblTransactions[[#This Row],[Quantity]]*tblTransactions[[#This Row],[UnitCost]]</f>
        <v>4895.43</v>
      </c>
      <c r="R243" s="9">
        <f>tblTransactions[[#This Row],[NetRevenue]]-tblTransactions[[#This Row],[TotalCost]]</f>
        <v>508.78499999999985</v>
      </c>
      <c r="S243" t="str">
        <f>_xlfn.XLOOKUP(tblTransactions[[#This Row],[ProductID]],tblProducts[ProductID],tblProducts[Category])</f>
        <v>Clothing</v>
      </c>
    </row>
    <row r="244" spans="1:19">
      <c r="A244" t="s">
        <v>16561</v>
      </c>
      <c r="B244" s="1">
        <v>45200</v>
      </c>
      <c r="C244" t="s">
        <v>7918</v>
      </c>
      <c r="D244" t="str">
        <f>_xlfn.XLOOKUP(tblTransactions[[#This Row],[CustomerID]],tblCustomers[CustomerID],tblCustomers[CustomerName])</f>
        <v>Wishi Sharaf</v>
      </c>
      <c r="E244" t="s">
        <v>16005</v>
      </c>
      <c r="F244" t="str">
        <f>_xlfn.XLOOKUP(tblTransactions[[#This Row],[ProductID]],tblProducts[ProductID],tblProducts[ProductName])</f>
        <v>Wireless Charger A6</v>
      </c>
      <c r="G244" t="s">
        <v>16293</v>
      </c>
      <c r="H244" t="str">
        <f>_xlfn.XLOOKUP(tblTransactions[[#This Row],[StoreID]],tblStores[StoreID],tblStores[Region])</f>
        <v>South</v>
      </c>
      <c r="I244">
        <v>4</v>
      </c>
      <c r="J244">
        <v>0</v>
      </c>
      <c r="K244" t="s">
        <v>16325</v>
      </c>
      <c r="L244" s="9">
        <f>_xlfn.XLOOKUP(tblTransactions[[#This Row],[ProductID]],tblProducts[ProductID],tblProducts[UnitPrice])</f>
        <v>78938.720000000001</v>
      </c>
      <c r="M244" s="9">
        <f>tblTransactions[[#This Row],[Quantity]]*tblTransactions[[#This Row],[UnitPrice]]</f>
        <v>315754.88</v>
      </c>
      <c r="N244" s="9">
        <f>tblTransactions[[#This Row],[GrossSales]]*tblTransactions[[#This Row],[Discount]]</f>
        <v>0</v>
      </c>
      <c r="O244" s="9">
        <f>tblTransactions[[#This Row],[GrossSales]]-tblTransactions[[#This Row],[DiscountAmount]]</f>
        <v>315754.88</v>
      </c>
      <c r="P244" s="9">
        <f>_xlfn.XLOOKUP(tblTransactions[[#This Row],[ProductID]],tblProducts[ProductID],tblProducts[UnitCost])</f>
        <v>53801.63</v>
      </c>
      <c r="Q244" s="9">
        <f>tblTransactions[[#This Row],[Quantity]]*tblTransactions[[#This Row],[UnitCost]]</f>
        <v>215206.52</v>
      </c>
      <c r="R244" s="9">
        <f>tblTransactions[[#This Row],[NetRevenue]]-tblTransactions[[#This Row],[TotalCost]]</f>
        <v>100548.36000000002</v>
      </c>
      <c r="S244" t="str">
        <f>_xlfn.XLOOKUP(tblTransactions[[#This Row],[ProductID]],tblProducts[ProductID],tblProducts[Category])</f>
        <v>Electronics</v>
      </c>
    </row>
    <row r="245" spans="1:19">
      <c r="A245" t="s">
        <v>16562</v>
      </c>
      <c r="B245" s="1">
        <v>45202</v>
      </c>
      <c r="C245" t="s">
        <v>5211</v>
      </c>
      <c r="D245" t="str">
        <f>_xlfn.XLOOKUP(tblTransactions[[#This Row],[CustomerID]],tblCustomers[CustomerID],tblCustomers[CustomerName])</f>
        <v>Chakrika Saxena</v>
      </c>
      <c r="E245" t="s">
        <v>16173</v>
      </c>
      <c r="F245" t="str">
        <f>_xlfn.XLOOKUP(tblTransactions[[#This Row],[ProductID]],tblProducts[ProductID],tblProducts[ProductName])</f>
        <v>Soft Drink A6</v>
      </c>
      <c r="G245" t="s">
        <v>16285</v>
      </c>
      <c r="H245" t="str">
        <f>_xlfn.XLOOKUP(tblTransactions[[#This Row],[StoreID]],tblStores[StoreID],tblStores[Region])</f>
        <v>West</v>
      </c>
      <c r="I245">
        <v>1</v>
      </c>
      <c r="J245">
        <v>0</v>
      </c>
      <c r="K245" t="s">
        <v>16321</v>
      </c>
      <c r="L245" s="9">
        <f>_xlfn.XLOOKUP(tblTransactions[[#This Row],[ProductID]],tblProducts[ProductID],tblProducts[UnitPrice])</f>
        <v>252.55</v>
      </c>
      <c r="M245" s="9">
        <f>tblTransactions[[#This Row],[Quantity]]*tblTransactions[[#This Row],[UnitPrice]]</f>
        <v>252.55</v>
      </c>
      <c r="N245" s="9">
        <f>tblTransactions[[#This Row],[GrossSales]]*tblTransactions[[#This Row],[Discount]]</f>
        <v>0</v>
      </c>
      <c r="O245" s="9">
        <f>tblTransactions[[#This Row],[GrossSales]]-tblTransactions[[#This Row],[DiscountAmount]]</f>
        <v>252.55</v>
      </c>
      <c r="P245" s="9">
        <f>_xlfn.XLOOKUP(tblTransactions[[#This Row],[ProductID]],tblProducts[ProductID],tblProducts[UnitCost])</f>
        <v>170.34</v>
      </c>
      <c r="Q245" s="9">
        <f>tblTransactions[[#This Row],[Quantity]]*tblTransactions[[#This Row],[UnitCost]]</f>
        <v>170.34</v>
      </c>
      <c r="R245" s="9">
        <f>tblTransactions[[#This Row],[NetRevenue]]-tblTransactions[[#This Row],[TotalCost]]</f>
        <v>82.210000000000008</v>
      </c>
      <c r="S245" t="str">
        <f>_xlfn.XLOOKUP(tblTransactions[[#This Row],[ProductID]],tblProducts[ProductID],tblProducts[Category])</f>
        <v>Grocery</v>
      </c>
    </row>
    <row r="246" spans="1:19">
      <c r="A246" t="s">
        <v>16563</v>
      </c>
      <c r="B246" s="1">
        <v>45203</v>
      </c>
      <c r="C246" t="s">
        <v>10557</v>
      </c>
      <c r="D246" t="str">
        <f>_xlfn.XLOOKUP(tblTransactions[[#This Row],[CustomerID]],tblCustomers[CustomerID],tblCustomers[CustomerName])</f>
        <v>Maanas Chad</v>
      </c>
      <c r="E246" t="s">
        <v>16040</v>
      </c>
      <c r="F246" t="str">
        <f>_xlfn.XLOOKUP(tblTransactions[[#This Row],[ProductID]],tblProducts[ProductID],tblProducts[ProductName])</f>
        <v>Cookware Set A1</v>
      </c>
      <c r="G246" t="s">
        <v>16289</v>
      </c>
      <c r="H246" t="str">
        <f>_xlfn.XLOOKUP(tblTransactions[[#This Row],[StoreID]],tblStores[StoreID],tblStores[Region])</f>
        <v>South</v>
      </c>
      <c r="I246">
        <v>4</v>
      </c>
      <c r="J246">
        <v>0.1</v>
      </c>
      <c r="K246" t="s">
        <v>16319</v>
      </c>
      <c r="L246" s="9">
        <f>_xlfn.XLOOKUP(tblTransactions[[#This Row],[ProductID]],tblProducts[ProductID],tblProducts[UnitPrice])</f>
        <v>23380</v>
      </c>
      <c r="M246" s="9">
        <f>tblTransactions[[#This Row],[Quantity]]*tblTransactions[[#This Row],[UnitPrice]]</f>
        <v>93520</v>
      </c>
      <c r="N246" s="9">
        <f>tblTransactions[[#This Row],[GrossSales]]*tblTransactions[[#This Row],[Discount]]</f>
        <v>9352</v>
      </c>
      <c r="O246" s="9">
        <f>tblTransactions[[#This Row],[GrossSales]]-tblTransactions[[#This Row],[DiscountAmount]]</f>
        <v>84168</v>
      </c>
      <c r="P246" s="9">
        <f>_xlfn.XLOOKUP(tblTransactions[[#This Row],[ProductID]],tblProducts[ProductID],tblProducts[UnitCost])</f>
        <v>15528.93</v>
      </c>
      <c r="Q246" s="9">
        <f>tblTransactions[[#This Row],[Quantity]]*tblTransactions[[#This Row],[UnitCost]]</f>
        <v>62115.72</v>
      </c>
      <c r="R246" s="9">
        <f>tblTransactions[[#This Row],[NetRevenue]]-tblTransactions[[#This Row],[TotalCost]]</f>
        <v>22052.28</v>
      </c>
      <c r="S246" t="str">
        <f>_xlfn.XLOOKUP(tblTransactions[[#This Row],[ProductID]],tblProducts[ProductID],tblProducts[Category])</f>
        <v>Home &amp; Kitchen</v>
      </c>
    </row>
    <row r="247" spans="1:19">
      <c r="A247" t="s">
        <v>16564</v>
      </c>
      <c r="B247" s="1">
        <v>45203</v>
      </c>
      <c r="C247" t="s">
        <v>12467</v>
      </c>
      <c r="D247" t="str">
        <f>_xlfn.XLOOKUP(tblTransactions[[#This Row],[CustomerID]],tblCustomers[CustomerID],tblCustomers[CustomerName])</f>
        <v>Vinaya Garde</v>
      </c>
      <c r="E247" t="s">
        <v>15945</v>
      </c>
      <c r="F247" t="str">
        <f>_xlfn.XLOOKUP(tblTransactions[[#This Row],[ProductID]],tblProducts[ProductID],tblProducts[ProductName])</f>
        <v>Budget Smartphone A1</v>
      </c>
      <c r="G247" t="s">
        <v>16273</v>
      </c>
      <c r="H247" t="str">
        <f>_xlfn.XLOOKUP(tblTransactions[[#This Row],[StoreID]],tblStores[StoreID],tblStores[Region])</f>
        <v>West</v>
      </c>
      <c r="I247">
        <v>1</v>
      </c>
      <c r="J247">
        <v>0</v>
      </c>
      <c r="K247" t="s">
        <v>16321</v>
      </c>
      <c r="L247" s="9">
        <f>_xlfn.XLOOKUP(tblTransactions[[#This Row],[ProductID]],tblProducts[ProductID],tblProducts[UnitPrice])</f>
        <v>46428.19</v>
      </c>
      <c r="M247" s="9">
        <f>tblTransactions[[#This Row],[Quantity]]*tblTransactions[[#This Row],[UnitPrice]]</f>
        <v>46428.19</v>
      </c>
      <c r="N247" s="9">
        <f>tblTransactions[[#This Row],[GrossSales]]*tblTransactions[[#This Row],[Discount]]</f>
        <v>0</v>
      </c>
      <c r="O247" s="9">
        <f>tblTransactions[[#This Row],[GrossSales]]-tblTransactions[[#This Row],[DiscountAmount]]</f>
        <v>46428.19</v>
      </c>
      <c r="P247" s="9">
        <f>_xlfn.XLOOKUP(tblTransactions[[#This Row],[ProductID]],tblProducts[ProductID],tblProducts[UnitCost])</f>
        <v>26886.09</v>
      </c>
      <c r="Q247" s="9">
        <f>tblTransactions[[#This Row],[Quantity]]*tblTransactions[[#This Row],[UnitCost]]</f>
        <v>26886.09</v>
      </c>
      <c r="R247" s="9">
        <f>tblTransactions[[#This Row],[NetRevenue]]-tblTransactions[[#This Row],[TotalCost]]</f>
        <v>19542.100000000002</v>
      </c>
      <c r="S247" t="str">
        <f>_xlfn.XLOOKUP(tblTransactions[[#This Row],[ProductID]],tblProducts[ProductID],tblProducts[Category])</f>
        <v>Electronics</v>
      </c>
    </row>
    <row r="248" spans="1:19">
      <c r="A248" t="s">
        <v>16565</v>
      </c>
      <c r="B248" s="1">
        <v>45205</v>
      </c>
      <c r="C248" t="s">
        <v>12271</v>
      </c>
      <c r="D248" t="str">
        <f>_xlfn.XLOOKUP(tblTransactions[[#This Row],[CustomerID]],tblCustomers[CustomerID],tblCustomers[CustomerName])</f>
        <v>Arjun Palla</v>
      </c>
      <c r="E248" t="s">
        <v>15956</v>
      </c>
      <c r="F248" t="str">
        <f>_xlfn.XLOOKUP(tblTransactions[[#This Row],[ProductID]],tblProducts[ProductID],tblProducts[ProductName])</f>
        <v>Budget Smartphone A6</v>
      </c>
      <c r="G248" t="s">
        <v>16303</v>
      </c>
      <c r="H248" t="str">
        <f>_xlfn.XLOOKUP(tblTransactions[[#This Row],[StoreID]],tblStores[StoreID],tblStores[Region])</f>
        <v>West</v>
      </c>
      <c r="I248">
        <v>4</v>
      </c>
      <c r="J248">
        <v>0</v>
      </c>
      <c r="K248" t="s">
        <v>16315</v>
      </c>
      <c r="L248" s="9">
        <f>_xlfn.XLOOKUP(tblTransactions[[#This Row],[ProductID]],tblProducts[ProductID],tblProducts[UnitPrice])</f>
        <v>9246.34</v>
      </c>
      <c r="M248" s="9">
        <f>tblTransactions[[#This Row],[Quantity]]*tblTransactions[[#This Row],[UnitPrice]]</f>
        <v>36985.360000000001</v>
      </c>
      <c r="N248" s="9">
        <f>tblTransactions[[#This Row],[GrossSales]]*tblTransactions[[#This Row],[Discount]]</f>
        <v>0</v>
      </c>
      <c r="O248" s="9">
        <f>tblTransactions[[#This Row],[GrossSales]]-tblTransactions[[#This Row],[DiscountAmount]]</f>
        <v>36985.360000000001</v>
      </c>
      <c r="P248" s="9">
        <f>_xlfn.XLOOKUP(tblTransactions[[#This Row],[ProductID]],tblProducts[ProductID],tblProducts[UnitCost])</f>
        <v>7613.27</v>
      </c>
      <c r="Q248" s="9">
        <f>tblTransactions[[#This Row],[Quantity]]*tblTransactions[[#This Row],[UnitCost]]</f>
        <v>30453.08</v>
      </c>
      <c r="R248" s="9">
        <f>tblTransactions[[#This Row],[NetRevenue]]-tblTransactions[[#This Row],[TotalCost]]</f>
        <v>6532.2799999999988</v>
      </c>
      <c r="S248" t="str">
        <f>_xlfn.XLOOKUP(tblTransactions[[#This Row],[ProductID]],tblProducts[ProductID],tblProducts[Category])</f>
        <v>Electronics</v>
      </c>
    </row>
    <row r="249" spans="1:19">
      <c r="A249" t="s">
        <v>16566</v>
      </c>
      <c r="B249" s="1">
        <v>45205</v>
      </c>
      <c r="C249" t="s">
        <v>10846</v>
      </c>
      <c r="D249" t="str">
        <f>_xlfn.XLOOKUP(tblTransactions[[#This Row],[CustomerID]],tblCustomers[CustomerID],tblCustomers[CustomerName])</f>
        <v>Garima Koshy</v>
      </c>
      <c r="E249" t="s">
        <v>16110</v>
      </c>
      <c r="F249" t="str">
        <f>_xlfn.XLOOKUP(tblTransactions[[#This Row],[ProductID]],tblProducts[ProductID],tblProducts[ProductName])</f>
        <v>Kids T-Shirt E5</v>
      </c>
      <c r="G249" t="s">
        <v>16273</v>
      </c>
      <c r="H249" t="str">
        <f>_xlfn.XLOOKUP(tblTransactions[[#This Row],[StoreID]],tblStores[StoreID],tblStores[Region])</f>
        <v>West</v>
      </c>
      <c r="I249">
        <v>4</v>
      </c>
      <c r="J249">
        <v>0</v>
      </c>
      <c r="K249" t="s">
        <v>16325</v>
      </c>
      <c r="L249" s="9">
        <f>_xlfn.XLOOKUP(tblTransactions[[#This Row],[ProductID]],tblProducts[ProductID],tblProducts[UnitPrice])</f>
        <v>508.67</v>
      </c>
      <c r="M249" s="9">
        <f>tblTransactions[[#This Row],[Quantity]]*tblTransactions[[#This Row],[UnitPrice]]</f>
        <v>2034.68</v>
      </c>
      <c r="N249" s="9">
        <f>tblTransactions[[#This Row],[GrossSales]]*tblTransactions[[#This Row],[Discount]]</f>
        <v>0</v>
      </c>
      <c r="O249" s="9">
        <f>tblTransactions[[#This Row],[GrossSales]]-tblTransactions[[#This Row],[DiscountAmount]]</f>
        <v>2034.68</v>
      </c>
      <c r="P249" s="9">
        <f>_xlfn.XLOOKUP(tblTransactions[[#This Row],[ProductID]],tblProducts[ProductID],tblProducts[UnitCost])</f>
        <v>386.39</v>
      </c>
      <c r="Q249" s="9">
        <f>tblTransactions[[#This Row],[Quantity]]*tblTransactions[[#This Row],[UnitCost]]</f>
        <v>1545.56</v>
      </c>
      <c r="R249" s="9">
        <f>tblTransactions[[#This Row],[NetRevenue]]-tblTransactions[[#This Row],[TotalCost]]</f>
        <v>489.12000000000012</v>
      </c>
      <c r="S249" t="str">
        <f>_xlfn.XLOOKUP(tblTransactions[[#This Row],[ProductID]],tblProducts[ProductID],tblProducts[Category])</f>
        <v>Clothing</v>
      </c>
    </row>
    <row r="250" spans="1:19">
      <c r="A250" t="s">
        <v>16567</v>
      </c>
      <c r="B250" s="1">
        <v>45211</v>
      </c>
      <c r="C250" t="s">
        <v>11881</v>
      </c>
      <c r="D250" t="str">
        <f>_xlfn.XLOOKUP(tblTransactions[[#This Row],[CustomerID]],tblCustomers[CustomerID],tblCustomers[CustomerName])</f>
        <v>Chatura Goel</v>
      </c>
      <c r="E250" t="s">
        <v>16032</v>
      </c>
      <c r="F250" t="str">
        <f>_xlfn.XLOOKUP(tblTransactions[[#This Row],[ProductID]],tblProducts[ProductID],tblProducts[ProductName])</f>
        <v>Study Table D4</v>
      </c>
      <c r="G250" t="s">
        <v>16262</v>
      </c>
      <c r="H250" t="str">
        <f>_xlfn.XLOOKUP(tblTransactions[[#This Row],[StoreID]],tblStores[StoreID],tblStores[Region])</f>
        <v>North</v>
      </c>
      <c r="I250">
        <v>1</v>
      </c>
      <c r="J250">
        <v>0</v>
      </c>
      <c r="K250" t="s">
        <v>16325</v>
      </c>
      <c r="L250" s="9">
        <f>_xlfn.XLOOKUP(tblTransactions[[#This Row],[ProductID]],tblProducts[ProductID],tblProducts[UnitPrice])</f>
        <v>643.36</v>
      </c>
      <c r="M250" s="9">
        <f>tblTransactions[[#This Row],[Quantity]]*tblTransactions[[#This Row],[UnitPrice]]</f>
        <v>643.36</v>
      </c>
      <c r="N250" s="9">
        <f>tblTransactions[[#This Row],[GrossSales]]*tblTransactions[[#This Row],[Discount]]</f>
        <v>0</v>
      </c>
      <c r="O250" s="9">
        <f>tblTransactions[[#This Row],[GrossSales]]-tblTransactions[[#This Row],[DiscountAmount]]</f>
        <v>643.36</v>
      </c>
      <c r="P250" s="9">
        <f>_xlfn.XLOOKUP(tblTransactions[[#This Row],[ProductID]],tblProducts[ProductID],tblProducts[UnitCost])</f>
        <v>460.5</v>
      </c>
      <c r="Q250" s="9">
        <f>tblTransactions[[#This Row],[Quantity]]*tblTransactions[[#This Row],[UnitCost]]</f>
        <v>460.5</v>
      </c>
      <c r="R250" s="9">
        <f>tblTransactions[[#This Row],[NetRevenue]]-tblTransactions[[#This Row],[TotalCost]]</f>
        <v>182.86</v>
      </c>
      <c r="S250" t="str">
        <f>_xlfn.XLOOKUP(tblTransactions[[#This Row],[ProductID]],tblProducts[ProductID],tblProducts[Category])</f>
        <v>Home &amp; Kitchen</v>
      </c>
    </row>
    <row r="251" spans="1:19">
      <c r="A251" t="s">
        <v>16568</v>
      </c>
      <c r="B251" s="1">
        <v>45211</v>
      </c>
      <c r="C251" t="s">
        <v>3970</v>
      </c>
      <c r="D251" t="str">
        <f>_xlfn.XLOOKUP(tblTransactions[[#This Row],[CustomerID]],tblCustomers[CustomerID],tblCustomers[CustomerName])</f>
        <v>Varsha Mody</v>
      </c>
      <c r="E251" t="s">
        <v>16158</v>
      </c>
      <c r="F251" t="str">
        <f>_xlfn.XLOOKUP(tblTransactions[[#This Row],[ProductID]],tblProducts[ProductID],tblProducts[ProductName])</f>
        <v>Chocolate A6</v>
      </c>
      <c r="G251" t="s">
        <v>16293</v>
      </c>
      <c r="H251" t="str">
        <f>_xlfn.XLOOKUP(tblTransactions[[#This Row],[StoreID]],tblStores[StoreID],tblStores[Region])</f>
        <v>South</v>
      </c>
      <c r="I251">
        <v>1</v>
      </c>
      <c r="J251">
        <v>0</v>
      </c>
      <c r="K251" t="s">
        <v>16321</v>
      </c>
      <c r="L251" s="9">
        <f>_xlfn.XLOOKUP(tblTransactions[[#This Row],[ProductID]],tblProducts[ProductID],tblProducts[UnitPrice])</f>
        <v>1494.3</v>
      </c>
      <c r="M251" s="9">
        <f>tblTransactions[[#This Row],[Quantity]]*tblTransactions[[#This Row],[UnitPrice]]</f>
        <v>1494.3</v>
      </c>
      <c r="N251" s="9">
        <f>tblTransactions[[#This Row],[GrossSales]]*tblTransactions[[#This Row],[Discount]]</f>
        <v>0</v>
      </c>
      <c r="O251" s="9">
        <f>tblTransactions[[#This Row],[GrossSales]]-tblTransactions[[#This Row],[DiscountAmount]]</f>
        <v>1494.3</v>
      </c>
      <c r="P251" s="9">
        <f>_xlfn.XLOOKUP(tblTransactions[[#This Row],[ProductID]],tblProducts[ProductID],tblProducts[UnitCost])</f>
        <v>1031.67</v>
      </c>
      <c r="Q251" s="9">
        <f>tblTransactions[[#This Row],[Quantity]]*tblTransactions[[#This Row],[UnitCost]]</f>
        <v>1031.67</v>
      </c>
      <c r="R251" s="9">
        <f>tblTransactions[[#This Row],[NetRevenue]]-tblTransactions[[#This Row],[TotalCost]]</f>
        <v>462.62999999999988</v>
      </c>
      <c r="S251" t="str">
        <f>_xlfn.XLOOKUP(tblTransactions[[#This Row],[ProductID]],tblProducts[ProductID],tblProducts[Category])</f>
        <v>Grocery</v>
      </c>
    </row>
    <row r="252" spans="1:19">
      <c r="A252" t="s">
        <v>16569</v>
      </c>
      <c r="B252" s="1">
        <v>45212</v>
      </c>
      <c r="C252" t="s">
        <v>13433</v>
      </c>
      <c r="D252" t="str">
        <f>_xlfn.XLOOKUP(tblTransactions[[#This Row],[CustomerID]],tblCustomers[CustomerID],tblCustomers[CustomerName])</f>
        <v>Hiral Tella</v>
      </c>
      <c r="E252" t="s">
        <v>15997</v>
      </c>
      <c r="F252" t="str">
        <f>_xlfn.XLOOKUP(tblTransactions[[#This Row],[ProductID]],tblProducts[ProductID],tblProducts[ProductName])</f>
        <v>USB-C Cable B2</v>
      </c>
      <c r="G252" t="s">
        <v>16269</v>
      </c>
      <c r="H252" t="str">
        <f>_xlfn.XLOOKUP(tblTransactions[[#This Row],[StoreID]],tblStores[StoreID],tblStores[Region])</f>
        <v>North</v>
      </c>
      <c r="I252">
        <v>1</v>
      </c>
      <c r="J252">
        <v>0</v>
      </c>
      <c r="K252" t="s">
        <v>16325</v>
      </c>
      <c r="L252" s="9">
        <f>_xlfn.XLOOKUP(tblTransactions[[#This Row],[ProductID]],tblProducts[ProductID],tblProducts[UnitPrice])</f>
        <v>77394.210000000006</v>
      </c>
      <c r="M252" s="9">
        <f>tblTransactions[[#This Row],[Quantity]]*tblTransactions[[#This Row],[UnitPrice]]</f>
        <v>77394.210000000006</v>
      </c>
      <c r="N252" s="9">
        <f>tblTransactions[[#This Row],[GrossSales]]*tblTransactions[[#This Row],[Discount]]</f>
        <v>0</v>
      </c>
      <c r="O252" s="9">
        <f>tblTransactions[[#This Row],[GrossSales]]-tblTransactions[[#This Row],[DiscountAmount]]</f>
        <v>77394.210000000006</v>
      </c>
      <c r="P252" s="9">
        <f>_xlfn.XLOOKUP(tblTransactions[[#This Row],[ProductID]],tblProducts[ProductID],tblProducts[UnitCost])</f>
        <v>49038.67</v>
      </c>
      <c r="Q252" s="9">
        <f>tblTransactions[[#This Row],[Quantity]]*tblTransactions[[#This Row],[UnitCost]]</f>
        <v>49038.67</v>
      </c>
      <c r="R252" s="9">
        <f>tblTransactions[[#This Row],[NetRevenue]]-tblTransactions[[#This Row],[TotalCost]]</f>
        <v>28355.540000000008</v>
      </c>
      <c r="S252" t="str">
        <f>_xlfn.XLOOKUP(tblTransactions[[#This Row],[ProductID]],tblProducts[ProductID],tblProducts[Category])</f>
        <v>Electronics</v>
      </c>
    </row>
    <row r="253" spans="1:19">
      <c r="A253" t="s">
        <v>16570</v>
      </c>
      <c r="B253" s="1">
        <v>45213</v>
      </c>
      <c r="C253" t="s">
        <v>524</v>
      </c>
      <c r="D253" t="str">
        <f>_xlfn.XLOOKUP(tblTransactions[[#This Row],[CustomerID]],tblCustomers[CustomerID],tblCustomers[CustomerName])</f>
        <v>Shravya Singhal</v>
      </c>
      <c r="E253" t="s">
        <v>16051</v>
      </c>
      <c r="F253" t="str">
        <f>_xlfn.XLOOKUP(tblTransactions[[#This Row],[ProductID]],tblProducts[ProductID],tblProducts[ProductName])</f>
        <v>Pressure Cooker A6</v>
      </c>
      <c r="G253" t="s">
        <v>16299</v>
      </c>
      <c r="H253" t="str">
        <f>_xlfn.XLOOKUP(tblTransactions[[#This Row],[StoreID]],tblStores[StoreID],tblStores[Region])</f>
        <v>South</v>
      </c>
      <c r="I253">
        <v>2</v>
      </c>
      <c r="J253">
        <v>0.1</v>
      </c>
      <c r="K253" t="s">
        <v>16319</v>
      </c>
      <c r="L253" s="9">
        <f>_xlfn.XLOOKUP(tblTransactions[[#This Row],[ProductID]],tblProducts[ProductID],tblProducts[UnitPrice])</f>
        <v>27105.29</v>
      </c>
      <c r="M253" s="9">
        <f>tblTransactions[[#This Row],[Quantity]]*tblTransactions[[#This Row],[UnitPrice]]</f>
        <v>54210.58</v>
      </c>
      <c r="N253" s="9">
        <f>tblTransactions[[#This Row],[GrossSales]]*tblTransactions[[#This Row],[Discount]]</f>
        <v>5421.0580000000009</v>
      </c>
      <c r="O253" s="9">
        <f>tblTransactions[[#This Row],[GrossSales]]-tblTransactions[[#This Row],[DiscountAmount]]</f>
        <v>48789.521999999997</v>
      </c>
      <c r="P253" s="9">
        <f>_xlfn.XLOOKUP(tblTransactions[[#This Row],[ProductID]],tblProducts[ProductID],tblProducts[UnitCost])</f>
        <v>17092.599999999999</v>
      </c>
      <c r="Q253" s="9">
        <f>tblTransactions[[#This Row],[Quantity]]*tblTransactions[[#This Row],[UnitCost]]</f>
        <v>34185.199999999997</v>
      </c>
      <c r="R253" s="9">
        <f>tblTransactions[[#This Row],[NetRevenue]]-tblTransactions[[#This Row],[TotalCost]]</f>
        <v>14604.322</v>
      </c>
      <c r="S253" t="str">
        <f>_xlfn.XLOOKUP(tblTransactions[[#This Row],[ProductID]],tblProducts[ProductID],tblProducts[Category])</f>
        <v>Home &amp; Kitchen</v>
      </c>
    </row>
    <row r="254" spans="1:19">
      <c r="A254" t="s">
        <v>16571</v>
      </c>
      <c r="B254" s="1">
        <v>45213</v>
      </c>
      <c r="C254" t="s">
        <v>14210</v>
      </c>
      <c r="D254" t="str">
        <f>_xlfn.XLOOKUP(tblTransactions[[#This Row],[CustomerID]],tblCustomers[CustomerID],tblCustomers[CustomerName])</f>
        <v>Unni Deep</v>
      </c>
      <c r="E254" t="s">
        <v>16019</v>
      </c>
      <c r="F254" t="str">
        <f>_xlfn.XLOOKUP(tblTransactions[[#This Row],[ProductID]],tblProducts[ProductID],tblProducts[ProductName])</f>
        <v>Microwave Oven E5</v>
      </c>
      <c r="G254" t="s">
        <v>16277</v>
      </c>
      <c r="H254" t="str">
        <f>_xlfn.XLOOKUP(tblTransactions[[#This Row],[StoreID]],tblStores[StoreID],tblStores[Region])</f>
        <v>West</v>
      </c>
      <c r="I254">
        <v>1</v>
      </c>
      <c r="J254">
        <v>0.1</v>
      </c>
      <c r="K254" t="s">
        <v>16325</v>
      </c>
      <c r="L254" s="9">
        <f>_xlfn.XLOOKUP(tblTransactions[[#This Row],[ProductID]],tblProducts[ProductID],tblProducts[UnitPrice])</f>
        <v>22827.119999999999</v>
      </c>
      <c r="M254" s="9">
        <f>tblTransactions[[#This Row],[Quantity]]*tblTransactions[[#This Row],[UnitPrice]]</f>
        <v>22827.119999999999</v>
      </c>
      <c r="N254" s="9">
        <f>tblTransactions[[#This Row],[GrossSales]]*tblTransactions[[#This Row],[Discount]]</f>
        <v>2282.712</v>
      </c>
      <c r="O254" s="9">
        <f>tblTransactions[[#This Row],[GrossSales]]-tblTransactions[[#This Row],[DiscountAmount]]</f>
        <v>20544.407999999999</v>
      </c>
      <c r="P254" s="9">
        <f>_xlfn.XLOOKUP(tblTransactions[[#This Row],[ProductID]],tblProducts[ProductID],tblProducts[UnitCost])</f>
        <v>18264.07</v>
      </c>
      <c r="Q254" s="9">
        <f>tblTransactions[[#This Row],[Quantity]]*tblTransactions[[#This Row],[UnitCost]]</f>
        <v>18264.07</v>
      </c>
      <c r="R254" s="9">
        <f>tblTransactions[[#This Row],[NetRevenue]]-tblTransactions[[#This Row],[TotalCost]]</f>
        <v>2280.3379999999997</v>
      </c>
      <c r="S254" t="str">
        <f>_xlfn.XLOOKUP(tblTransactions[[#This Row],[ProductID]],tblProducts[ProductID],tblProducts[Category])</f>
        <v>Home &amp; Kitchen</v>
      </c>
    </row>
    <row r="255" spans="1:19">
      <c r="A255" t="s">
        <v>16572</v>
      </c>
      <c r="B255" s="1">
        <v>45215</v>
      </c>
      <c r="C255" t="s">
        <v>6117</v>
      </c>
      <c r="D255" t="str">
        <f>_xlfn.XLOOKUP(tblTransactions[[#This Row],[CustomerID]],tblCustomers[CustomerID],tblCustomers[CustomerName])</f>
        <v>Charvi Mangat</v>
      </c>
      <c r="E255" t="s">
        <v>15948</v>
      </c>
      <c r="F255" t="str">
        <f>_xlfn.XLOOKUP(tblTransactions[[#This Row],[ProductID]],tblProducts[ProductID],tblProducts[ProductName])</f>
        <v>Budget Smartphone B2</v>
      </c>
      <c r="G255" t="s">
        <v>16287</v>
      </c>
      <c r="H255" t="str">
        <f>_xlfn.XLOOKUP(tblTransactions[[#This Row],[StoreID]],tblStores[StoreID],tblStores[Region])</f>
        <v>North</v>
      </c>
      <c r="I255">
        <v>2</v>
      </c>
      <c r="J255">
        <v>0.05</v>
      </c>
      <c r="K255" t="s">
        <v>16321</v>
      </c>
      <c r="L255" s="9">
        <f>_xlfn.XLOOKUP(tblTransactions[[#This Row],[ProductID]],tblProducts[ProductID],tblProducts[UnitPrice])</f>
        <v>4404.4399999999996</v>
      </c>
      <c r="M255" s="9">
        <f>tblTransactions[[#This Row],[Quantity]]*tblTransactions[[#This Row],[UnitPrice]]</f>
        <v>8808.8799999999992</v>
      </c>
      <c r="N255" s="9">
        <f>tblTransactions[[#This Row],[GrossSales]]*tblTransactions[[#This Row],[Discount]]</f>
        <v>440.44399999999996</v>
      </c>
      <c r="O255" s="9">
        <f>tblTransactions[[#This Row],[GrossSales]]-tblTransactions[[#This Row],[DiscountAmount]]</f>
        <v>8368.4359999999997</v>
      </c>
      <c r="P255" s="9">
        <f>_xlfn.XLOOKUP(tblTransactions[[#This Row],[ProductID]],tblProducts[ProductID],tblProducts[UnitCost])</f>
        <v>3239.84</v>
      </c>
      <c r="Q255" s="9">
        <f>tblTransactions[[#This Row],[Quantity]]*tblTransactions[[#This Row],[UnitCost]]</f>
        <v>6479.68</v>
      </c>
      <c r="R255" s="9">
        <f>tblTransactions[[#This Row],[NetRevenue]]-tblTransactions[[#This Row],[TotalCost]]</f>
        <v>1888.7559999999994</v>
      </c>
      <c r="S255" t="str">
        <f>_xlfn.XLOOKUP(tblTransactions[[#This Row],[ProductID]],tblProducts[ProductID],tblProducts[Category])</f>
        <v>Electronics</v>
      </c>
    </row>
    <row r="256" spans="1:19">
      <c r="A256" t="s">
        <v>16573</v>
      </c>
      <c r="B256" s="1">
        <v>45219</v>
      </c>
      <c r="C256" t="s">
        <v>5835</v>
      </c>
      <c r="D256" t="str">
        <f>_xlfn.XLOOKUP(tblTransactions[[#This Row],[CustomerID]],tblCustomers[CustomerID],tblCustomers[CustomerName])</f>
        <v>Varsha Tank</v>
      </c>
      <c r="E256" t="s">
        <v>15958</v>
      </c>
      <c r="F256" t="str">
        <f>_xlfn.XLOOKUP(tblTransactions[[#This Row],[ProductID]],tblProducts[ProductID],tblProducts[ProductName])</f>
        <v>Budget Smartphone B7</v>
      </c>
      <c r="G256" t="s">
        <v>16285</v>
      </c>
      <c r="H256" t="str">
        <f>_xlfn.XLOOKUP(tblTransactions[[#This Row],[StoreID]],tblStores[StoreID],tblStores[Region])</f>
        <v>West</v>
      </c>
      <c r="I256">
        <v>2</v>
      </c>
      <c r="J256">
        <v>0.05</v>
      </c>
      <c r="K256" t="s">
        <v>16321</v>
      </c>
      <c r="L256" s="9">
        <f>_xlfn.XLOOKUP(tblTransactions[[#This Row],[ProductID]],tblProducts[ProductID],tblProducts[UnitPrice])</f>
        <v>61606.59</v>
      </c>
      <c r="M256" s="9">
        <f>tblTransactions[[#This Row],[Quantity]]*tblTransactions[[#This Row],[UnitPrice]]</f>
        <v>123213.18</v>
      </c>
      <c r="N256" s="9">
        <f>tblTransactions[[#This Row],[GrossSales]]*tblTransactions[[#This Row],[Discount]]</f>
        <v>6160.6589999999997</v>
      </c>
      <c r="O256" s="9">
        <f>tblTransactions[[#This Row],[GrossSales]]-tblTransactions[[#This Row],[DiscountAmount]]</f>
        <v>117052.52099999999</v>
      </c>
      <c r="P256" s="9">
        <f>_xlfn.XLOOKUP(tblTransactions[[#This Row],[ProductID]],tblProducts[ProductID],tblProducts[UnitCost])</f>
        <v>36366.370000000003</v>
      </c>
      <c r="Q256" s="9">
        <f>tblTransactions[[#This Row],[Quantity]]*tblTransactions[[#This Row],[UnitCost]]</f>
        <v>72732.740000000005</v>
      </c>
      <c r="R256" s="9">
        <f>tblTransactions[[#This Row],[NetRevenue]]-tblTransactions[[#This Row],[TotalCost]]</f>
        <v>44319.780999999988</v>
      </c>
      <c r="S256" t="str">
        <f>_xlfn.XLOOKUP(tblTransactions[[#This Row],[ProductID]],tblProducts[ProductID],tblProducts[Category])</f>
        <v>Electronics</v>
      </c>
    </row>
    <row r="257" spans="1:19">
      <c r="A257" t="s">
        <v>16574</v>
      </c>
      <c r="B257" s="1">
        <v>45219</v>
      </c>
      <c r="C257" t="s">
        <v>7792</v>
      </c>
      <c r="D257" t="str">
        <f>_xlfn.XLOOKUP(tblTransactions[[#This Row],[CustomerID]],tblCustomers[CustomerID],tblCustomers[CustomerName])</f>
        <v>Kritika Dasgupta</v>
      </c>
      <c r="E257" t="s">
        <v>16143</v>
      </c>
      <c r="F257" t="str">
        <f>_xlfn.XLOOKUP(tblTransactions[[#This Row],[ProductID]],tblProducts[ProductID],tblProducts[ProductName])</f>
        <v>Sugar A6</v>
      </c>
      <c r="G257" t="s">
        <v>16295</v>
      </c>
      <c r="H257" t="str">
        <f>_xlfn.XLOOKUP(tblTransactions[[#This Row],[StoreID]],tblStores[StoreID],tblStores[Region])</f>
        <v>South</v>
      </c>
      <c r="I257">
        <v>1</v>
      </c>
      <c r="J257">
        <v>0.1</v>
      </c>
      <c r="K257" t="s">
        <v>16325</v>
      </c>
      <c r="L257" s="9">
        <f>_xlfn.XLOOKUP(tblTransactions[[#This Row],[ProductID]],tblProducts[ProductID],tblProducts[UnitPrice])</f>
        <v>117.96</v>
      </c>
      <c r="M257" s="9">
        <f>tblTransactions[[#This Row],[Quantity]]*tblTransactions[[#This Row],[UnitPrice]]</f>
        <v>117.96</v>
      </c>
      <c r="N257" s="9">
        <f>tblTransactions[[#This Row],[GrossSales]]*tblTransactions[[#This Row],[Discount]]</f>
        <v>11.795999999999999</v>
      </c>
      <c r="O257" s="9">
        <f>tblTransactions[[#This Row],[GrossSales]]-tblTransactions[[#This Row],[DiscountAmount]]</f>
        <v>106.16399999999999</v>
      </c>
      <c r="P257" s="9">
        <f>_xlfn.XLOOKUP(tblTransactions[[#This Row],[ProductID]],tblProducts[ProductID],tblProducts[UnitCost])</f>
        <v>77.36</v>
      </c>
      <c r="Q257" s="9">
        <f>tblTransactions[[#This Row],[Quantity]]*tblTransactions[[#This Row],[UnitCost]]</f>
        <v>77.36</v>
      </c>
      <c r="R257" s="9">
        <f>tblTransactions[[#This Row],[NetRevenue]]-tblTransactions[[#This Row],[TotalCost]]</f>
        <v>28.803999999999988</v>
      </c>
      <c r="S257" t="str">
        <f>_xlfn.XLOOKUP(tblTransactions[[#This Row],[ProductID]],tblProducts[ProductID],tblProducts[Category])</f>
        <v>Grocery</v>
      </c>
    </row>
    <row r="258" spans="1:19">
      <c r="A258" t="s">
        <v>16575</v>
      </c>
      <c r="B258" s="1">
        <v>45219</v>
      </c>
      <c r="C258" t="s">
        <v>4210</v>
      </c>
      <c r="D258" t="str">
        <f>_xlfn.XLOOKUP(tblTransactions[[#This Row],[CustomerID]],tblCustomers[CustomerID],tblCustomers[CustomerName])</f>
        <v>Ryan Goyal</v>
      </c>
      <c r="E258" t="s">
        <v>15962</v>
      </c>
      <c r="F258" t="str">
        <f>_xlfn.XLOOKUP(tblTransactions[[#This Row],[ProductID]],tblProducts[ProductID],tblProducts[ProductName])</f>
        <v>Ultrabook A1</v>
      </c>
      <c r="G258" t="s">
        <v>16285</v>
      </c>
      <c r="H258" t="str">
        <f>_xlfn.XLOOKUP(tblTransactions[[#This Row],[StoreID]],tblStores[StoreID],tblStores[Region])</f>
        <v>West</v>
      </c>
      <c r="I258">
        <v>2</v>
      </c>
      <c r="J258">
        <v>0.1</v>
      </c>
      <c r="K258" t="s">
        <v>16317</v>
      </c>
      <c r="L258" s="9">
        <f>_xlfn.XLOOKUP(tblTransactions[[#This Row],[ProductID]],tblProducts[ProductID],tblProducts[UnitPrice])</f>
        <v>61469.2</v>
      </c>
      <c r="M258" s="9">
        <f>tblTransactions[[#This Row],[Quantity]]*tblTransactions[[#This Row],[UnitPrice]]</f>
        <v>122938.4</v>
      </c>
      <c r="N258" s="9">
        <f>tblTransactions[[#This Row],[GrossSales]]*tblTransactions[[#This Row],[Discount]]</f>
        <v>12293.84</v>
      </c>
      <c r="O258" s="9">
        <f>tblTransactions[[#This Row],[GrossSales]]-tblTransactions[[#This Row],[DiscountAmount]]</f>
        <v>110644.56</v>
      </c>
      <c r="P258" s="9">
        <f>_xlfn.XLOOKUP(tblTransactions[[#This Row],[ProductID]],tblProducts[ProductID],tblProducts[UnitCost])</f>
        <v>39781.99</v>
      </c>
      <c r="Q258" s="9">
        <f>tblTransactions[[#This Row],[Quantity]]*tblTransactions[[#This Row],[UnitCost]]</f>
        <v>79563.98</v>
      </c>
      <c r="R258" s="9">
        <f>tblTransactions[[#This Row],[NetRevenue]]-tblTransactions[[#This Row],[TotalCost]]</f>
        <v>31080.58</v>
      </c>
      <c r="S258" t="str">
        <f>_xlfn.XLOOKUP(tblTransactions[[#This Row],[ProductID]],tblProducts[ProductID],tblProducts[Category])</f>
        <v>Electronics</v>
      </c>
    </row>
    <row r="259" spans="1:19">
      <c r="A259" t="s">
        <v>16576</v>
      </c>
      <c r="B259" s="1">
        <v>45224</v>
      </c>
      <c r="C259" t="s">
        <v>498</v>
      </c>
      <c r="D259" t="str">
        <f>_xlfn.XLOOKUP(tblTransactions[[#This Row],[CustomerID]],tblCustomers[CustomerID],tblCustomers[CustomerName])</f>
        <v>Harini Gour</v>
      </c>
      <c r="E259" t="s">
        <v>16032</v>
      </c>
      <c r="F259" t="str">
        <f>_xlfn.XLOOKUP(tblTransactions[[#This Row],[ProductID]],tblProducts[ProductID],tblProducts[ProductName])</f>
        <v>Study Table D4</v>
      </c>
      <c r="G259" t="s">
        <v>16273</v>
      </c>
      <c r="H259" t="str">
        <f>_xlfn.XLOOKUP(tblTransactions[[#This Row],[StoreID]],tblStores[StoreID],tblStores[Region])</f>
        <v>West</v>
      </c>
      <c r="I259">
        <v>2</v>
      </c>
      <c r="J259">
        <v>0</v>
      </c>
      <c r="K259" t="s">
        <v>16319</v>
      </c>
      <c r="L259" s="9">
        <f>_xlfn.XLOOKUP(tblTransactions[[#This Row],[ProductID]],tblProducts[ProductID],tblProducts[UnitPrice])</f>
        <v>643.36</v>
      </c>
      <c r="M259" s="9">
        <f>tblTransactions[[#This Row],[Quantity]]*tblTransactions[[#This Row],[UnitPrice]]</f>
        <v>1286.72</v>
      </c>
      <c r="N259" s="9">
        <f>tblTransactions[[#This Row],[GrossSales]]*tblTransactions[[#This Row],[Discount]]</f>
        <v>0</v>
      </c>
      <c r="O259" s="9">
        <f>tblTransactions[[#This Row],[GrossSales]]-tblTransactions[[#This Row],[DiscountAmount]]</f>
        <v>1286.72</v>
      </c>
      <c r="P259" s="9">
        <f>_xlfn.XLOOKUP(tblTransactions[[#This Row],[ProductID]],tblProducts[ProductID],tblProducts[UnitCost])</f>
        <v>460.5</v>
      </c>
      <c r="Q259" s="9">
        <f>tblTransactions[[#This Row],[Quantity]]*tblTransactions[[#This Row],[UnitCost]]</f>
        <v>921</v>
      </c>
      <c r="R259" s="9">
        <f>tblTransactions[[#This Row],[NetRevenue]]-tblTransactions[[#This Row],[TotalCost]]</f>
        <v>365.72</v>
      </c>
      <c r="S259" t="str">
        <f>_xlfn.XLOOKUP(tblTransactions[[#This Row],[ProductID]],tblProducts[ProductID],tblProducts[Category])</f>
        <v>Home &amp; Kitchen</v>
      </c>
    </row>
    <row r="260" spans="1:19">
      <c r="A260" t="s">
        <v>16577</v>
      </c>
      <c r="B260" s="1">
        <v>45225</v>
      </c>
      <c r="C260" t="s">
        <v>4587</v>
      </c>
      <c r="D260" t="str">
        <f>_xlfn.XLOOKUP(tblTransactions[[#This Row],[CustomerID]],tblCustomers[CustomerID],tblCustomers[CustomerName])</f>
        <v>Atharv Mane</v>
      </c>
      <c r="E260" t="s">
        <v>16097</v>
      </c>
      <c r="F260" t="str">
        <f>_xlfn.XLOOKUP(tblTransactions[[#This Row],[ProductID]],tblProducts[ProductID],tblProducts[ProductName])</f>
        <v>Women's Jeans A6</v>
      </c>
      <c r="G260" t="s">
        <v>16301</v>
      </c>
      <c r="H260" t="str">
        <f>_xlfn.XLOOKUP(tblTransactions[[#This Row],[StoreID]],tblStores[StoreID],tblStores[Region])</f>
        <v>East</v>
      </c>
      <c r="I260">
        <v>2</v>
      </c>
      <c r="J260">
        <v>0.2</v>
      </c>
      <c r="K260" t="s">
        <v>16317</v>
      </c>
      <c r="L260" s="9">
        <f>_xlfn.XLOOKUP(tblTransactions[[#This Row],[ProductID]],tblProducts[ProductID],tblProducts[UnitPrice])</f>
        <v>7106.08</v>
      </c>
      <c r="M260" s="9">
        <f>tblTransactions[[#This Row],[Quantity]]*tblTransactions[[#This Row],[UnitPrice]]</f>
        <v>14212.16</v>
      </c>
      <c r="N260" s="9">
        <f>tblTransactions[[#This Row],[GrossSales]]*tblTransactions[[#This Row],[Discount]]</f>
        <v>2842.4320000000002</v>
      </c>
      <c r="O260" s="9">
        <f>tblTransactions[[#This Row],[GrossSales]]-tblTransactions[[#This Row],[DiscountAmount]]</f>
        <v>11369.727999999999</v>
      </c>
      <c r="P260" s="9">
        <f>_xlfn.XLOOKUP(tblTransactions[[#This Row],[ProductID]],tblProducts[ProductID],tblProducts[UnitCost])</f>
        <v>5246.63</v>
      </c>
      <c r="Q260" s="9">
        <f>tblTransactions[[#This Row],[Quantity]]*tblTransactions[[#This Row],[UnitCost]]</f>
        <v>10493.26</v>
      </c>
      <c r="R260" s="9">
        <f>tblTransactions[[#This Row],[NetRevenue]]-tblTransactions[[#This Row],[TotalCost]]</f>
        <v>876.46799999999894</v>
      </c>
      <c r="S260" t="str">
        <f>_xlfn.XLOOKUP(tblTransactions[[#This Row],[ProductID]],tblProducts[ProductID],tblProducts[Category])</f>
        <v>Clothing</v>
      </c>
    </row>
    <row r="261" spans="1:19">
      <c r="A261" t="s">
        <v>16578</v>
      </c>
      <c r="B261" s="1">
        <v>45226</v>
      </c>
      <c r="C261" t="s">
        <v>3492</v>
      </c>
      <c r="D261" t="str">
        <f>_xlfn.XLOOKUP(tblTransactions[[#This Row],[CustomerID]],tblCustomers[CustomerID],tblCustomers[CustomerName])</f>
        <v>Chandani Mutti</v>
      </c>
      <c r="E261" t="s">
        <v>16005</v>
      </c>
      <c r="F261" t="str">
        <f>_xlfn.XLOOKUP(tblTransactions[[#This Row],[ProductID]],tblProducts[ProductID],tblProducts[ProductName])</f>
        <v>Wireless Charger A6</v>
      </c>
      <c r="G261" t="s">
        <v>16279</v>
      </c>
      <c r="H261" t="str">
        <f>_xlfn.XLOOKUP(tblTransactions[[#This Row],[StoreID]],tblStores[StoreID],tblStores[Region])</f>
        <v>South</v>
      </c>
      <c r="I261">
        <v>1</v>
      </c>
      <c r="J261">
        <v>0</v>
      </c>
      <c r="K261" t="s">
        <v>16321</v>
      </c>
      <c r="L261" s="9">
        <f>_xlfn.XLOOKUP(tblTransactions[[#This Row],[ProductID]],tblProducts[ProductID],tblProducts[UnitPrice])</f>
        <v>78938.720000000001</v>
      </c>
      <c r="M261" s="9">
        <f>tblTransactions[[#This Row],[Quantity]]*tblTransactions[[#This Row],[UnitPrice]]</f>
        <v>78938.720000000001</v>
      </c>
      <c r="N261" s="9">
        <f>tblTransactions[[#This Row],[GrossSales]]*tblTransactions[[#This Row],[Discount]]</f>
        <v>0</v>
      </c>
      <c r="O261" s="9">
        <f>tblTransactions[[#This Row],[GrossSales]]-tblTransactions[[#This Row],[DiscountAmount]]</f>
        <v>78938.720000000001</v>
      </c>
      <c r="P261" s="9">
        <f>_xlfn.XLOOKUP(tblTransactions[[#This Row],[ProductID]],tblProducts[ProductID],tblProducts[UnitCost])</f>
        <v>53801.63</v>
      </c>
      <c r="Q261" s="9">
        <f>tblTransactions[[#This Row],[Quantity]]*tblTransactions[[#This Row],[UnitCost]]</f>
        <v>53801.63</v>
      </c>
      <c r="R261" s="9">
        <f>tblTransactions[[#This Row],[NetRevenue]]-tblTransactions[[#This Row],[TotalCost]]</f>
        <v>25137.090000000004</v>
      </c>
      <c r="S261" t="str">
        <f>_xlfn.XLOOKUP(tblTransactions[[#This Row],[ProductID]],tblProducts[ProductID],tblProducts[Category])</f>
        <v>Electronics</v>
      </c>
    </row>
    <row r="262" spans="1:19">
      <c r="A262" t="s">
        <v>16579</v>
      </c>
      <c r="B262" s="1">
        <v>45226</v>
      </c>
      <c r="C262" t="s">
        <v>14178</v>
      </c>
      <c r="D262" t="str">
        <f>_xlfn.XLOOKUP(tblTransactions[[#This Row],[CustomerID]],tblCustomers[CustomerID],tblCustomers[CustomerName])</f>
        <v>Zaitra Saraf</v>
      </c>
      <c r="E262" t="s">
        <v>16165</v>
      </c>
      <c r="F262" t="str">
        <f>_xlfn.XLOOKUP(tblTransactions[[#This Row],[ProductID]],tblProducts[ProductID],tblProducts[ProductName])</f>
        <v>Juice B2</v>
      </c>
      <c r="G262" t="s">
        <v>16299</v>
      </c>
      <c r="H262" t="str">
        <f>_xlfn.XLOOKUP(tblTransactions[[#This Row],[StoreID]],tblStores[StoreID],tblStores[Region])</f>
        <v>South</v>
      </c>
      <c r="I262">
        <v>1</v>
      </c>
      <c r="J262">
        <v>0</v>
      </c>
      <c r="K262" t="s">
        <v>16317</v>
      </c>
      <c r="L262" s="9">
        <f>_xlfn.XLOOKUP(tblTransactions[[#This Row],[ProductID]],tblProducts[ProductID],tblProducts[UnitPrice])</f>
        <v>1053.9000000000001</v>
      </c>
      <c r="M262" s="9">
        <f>tblTransactions[[#This Row],[Quantity]]*tblTransactions[[#This Row],[UnitPrice]]</f>
        <v>1053.9000000000001</v>
      </c>
      <c r="N262" s="9">
        <f>tblTransactions[[#This Row],[GrossSales]]*tblTransactions[[#This Row],[Discount]]</f>
        <v>0</v>
      </c>
      <c r="O262" s="9">
        <f>tblTransactions[[#This Row],[GrossSales]]-tblTransactions[[#This Row],[DiscountAmount]]</f>
        <v>1053.9000000000001</v>
      </c>
      <c r="P262" s="9">
        <f>_xlfn.XLOOKUP(tblTransactions[[#This Row],[ProductID]],tblProducts[ProductID],tblProducts[UnitCost])</f>
        <v>710.59</v>
      </c>
      <c r="Q262" s="9">
        <f>tblTransactions[[#This Row],[Quantity]]*tblTransactions[[#This Row],[UnitCost]]</f>
        <v>710.59</v>
      </c>
      <c r="R262" s="9">
        <f>tblTransactions[[#This Row],[NetRevenue]]-tblTransactions[[#This Row],[TotalCost]]</f>
        <v>343.31000000000006</v>
      </c>
      <c r="S262" t="str">
        <f>_xlfn.XLOOKUP(tblTransactions[[#This Row],[ProductID]],tblProducts[ProductID],tblProducts[Category])</f>
        <v>Grocery</v>
      </c>
    </row>
    <row r="263" spans="1:19">
      <c r="A263" t="s">
        <v>16580</v>
      </c>
      <c r="B263" s="1">
        <v>45228</v>
      </c>
      <c r="C263" t="s">
        <v>13049</v>
      </c>
      <c r="D263" t="str">
        <f>_xlfn.XLOOKUP(tblTransactions[[#This Row],[CustomerID]],tblCustomers[CustomerID],tblCustomers[CustomerName])</f>
        <v>Wridesh Buch</v>
      </c>
      <c r="E263" t="s">
        <v>15962</v>
      </c>
      <c r="F263" t="str">
        <f>_xlfn.XLOOKUP(tblTransactions[[#This Row],[ProductID]],tblProducts[ProductID],tblProducts[ProductName])</f>
        <v>Ultrabook A1</v>
      </c>
      <c r="G263" t="s">
        <v>16291</v>
      </c>
      <c r="H263" t="str">
        <f>_xlfn.XLOOKUP(tblTransactions[[#This Row],[StoreID]],tblStores[StoreID],tblStores[Region])</f>
        <v>South</v>
      </c>
      <c r="I263">
        <v>3</v>
      </c>
      <c r="J263">
        <v>0.1</v>
      </c>
      <c r="K263" t="s">
        <v>16319</v>
      </c>
      <c r="L263" s="9">
        <f>_xlfn.XLOOKUP(tblTransactions[[#This Row],[ProductID]],tblProducts[ProductID],tblProducts[UnitPrice])</f>
        <v>61469.2</v>
      </c>
      <c r="M263" s="9">
        <f>tblTransactions[[#This Row],[Quantity]]*tblTransactions[[#This Row],[UnitPrice]]</f>
        <v>184407.59999999998</v>
      </c>
      <c r="N263" s="9">
        <f>tblTransactions[[#This Row],[GrossSales]]*tblTransactions[[#This Row],[Discount]]</f>
        <v>18440.759999999998</v>
      </c>
      <c r="O263" s="9">
        <f>tblTransactions[[#This Row],[GrossSales]]-tblTransactions[[#This Row],[DiscountAmount]]</f>
        <v>165966.83999999997</v>
      </c>
      <c r="P263" s="9">
        <f>_xlfn.XLOOKUP(tblTransactions[[#This Row],[ProductID]],tblProducts[ProductID],tblProducts[UnitCost])</f>
        <v>39781.99</v>
      </c>
      <c r="Q263" s="9">
        <f>tblTransactions[[#This Row],[Quantity]]*tblTransactions[[#This Row],[UnitCost]]</f>
        <v>119345.97</v>
      </c>
      <c r="R263" s="9">
        <f>tblTransactions[[#This Row],[NetRevenue]]-tblTransactions[[#This Row],[TotalCost]]</f>
        <v>46620.869999999966</v>
      </c>
      <c r="S263" t="str">
        <f>_xlfn.XLOOKUP(tblTransactions[[#This Row],[ProductID]],tblProducts[ProductID],tblProducts[Category])</f>
        <v>Electronics</v>
      </c>
    </row>
    <row r="264" spans="1:19">
      <c r="A264" t="s">
        <v>16581</v>
      </c>
      <c r="B264" s="1">
        <v>45229</v>
      </c>
      <c r="C264" t="s">
        <v>4477</v>
      </c>
      <c r="D264" t="str">
        <f>_xlfn.XLOOKUP(tblTransactions[[#This Row],[CustomerID]],tblCustomers[CustomerID],tblCustomers[CustomerName])</f>
        <v>Zaitra De</v>
      </c>
      <c r="E264" t="s">
        <v>16234</v>
      </c>
      <c r="F264" t="str">
        <f>_xlfn.XLOOKUP(tblTransactions[[#This Row],[ProductID]],tblProducts[ProductID],tblProducts[ProductName])</f>
        <v>Body Lotion A6</v>
      </c>
      <c r="G264" t="s">
        <v>16289</v>
      </c>
      <c r="H264" t="str">
        <f>_xlfn.XLOOKUP(tblTransactions[[#This Row],[StoreID]],tblStores[StoreID],tblStores[Region])</f>
        <v>South</v>
      </c>
      <c r="I264">
        <v>1</v>
      </c>
      <c r="J264">
        <v>0</v>
      </c>
      <c r="K264" t="s">
        <v>16325</v>
      </c>
      <c r="L264" s="9">
        <f>_xlfn.XLOOKUP(tblTransactions[[#This Row],[ProductID]],tblProducts[ProductID],tblProducts[UnitPrice])</f>
        <v>773.2</v>
      </c>
      <c r="M264" s="9">
        <f>tblTransactions[[#This Row],[Quantity]]*tblTransactions[[#This Row],[UnitPrice]]</f>
        <v>773.2</v>
      </c>
      <c r="N264" s="9">
        <f>tblTransactions[[#This Row],[GrossSales]]*tblTransactions[[#This Row],[Discount]]</f>
        <v>0</v>
      </c>
      <c r="O264" s="9">
        <f>tblTransactions[[#This Row],[GrossSales]]-tblTransactions[[#This Row],[DiscountAmount]]</f>
        <v>773.2</v>
      </c>
      <c r="P264" s="9">
        <f>_xlfn.XLOOKUP(tblTransactions[[#This Row],[ProductID]],tblProducts[ProductID],tblProducts[UnitCost])</f>
        <v>547.09</v>
      </c>
      <c r="Q264" s="9">
        <f>tblTransactions[[#This Row],[Quantity]]*tblTransactions[[#This Row],[UnitCost]]</f>
        <v>547.09</v>
      </c>
      <c r="R264" s="9">
        <f>tblTransactions[[#This Row],[NetRevenue]]-tblTransactions[[#This Row],[TotalCost]]</f>
        <v>226.11</v>
      </c>
      <c r="S264" t="str">
        <f>_xlfn.XLOOKUP(tblTransactions[[#This Row],[ProductID]],tblProducts[ProductID],tblProducts[Category])</f>
        <v>Personal Care</v>
      </c>
    </row>
    <row r="265" spans="1:19">
      <c r="A265" t="s">
        <v>16582</v>
      </c>
      <c r="B265" s="1">
        <v>45229</v>
      </c>
      <c r="C265" t="s">
        <v>2602</v>
      </c>
      <c r="D265" t="str">
        <f>_xlfn.XLOOKUP(tblTransactions[[#This Row],[CustomerID]],tblCustomers[CustomerID],tblCustomers[CustomerName])</f>
        <v>Radhika Bora</v>
      </c>
      <c r="E265" t="s">
        <v>16167</v>
      </c>
      <c r="F265" t="str">
        <f>_xlfn.XLOOKUP(tblTransactions[[#This Row],[ProductID]],tblProducts[ProductID],tblProducts[ProductName])</f>
        <v>Coffee C3</v>
      </c>
      <c r="G265" t="s">
        <v>16269</v>
      </c>
      <c r="H265" t="str">
        <f>_xlfn.XLOOKUP(tblTransactions[[#This Row],[StoreID]],tblStores[StoreID],tblStores[Region])</f>
        <v>North</v>
      </c>
      <c r="I265">
        <v>1</v>
      </c>
      <c r="J265">
        <v>0.1</v>
      </c>
      <c r="K265" t="s">
        <v>16319</v>
      </c>
      <c r="L265" s="9">
        <f>_xlfn.XLOOKUP(tblTransactions[[#This Row],[ProductID]],tblProducts[ProductID],tblProducts[UnitPrice])</f>
        <v>912.62</v>
      </c>
      <c r="M265" s="9">
        <f>tblTransactions[[#This Row],[Quantity]]*tblTransactions[[#This Row],[UnitPrice]]</f>
        <v>912.62</v>
      </c>
      <c r="N265" s="9">
        <f>tblTransactions[[#This Row],[GrossSales]]*tblTransactions[[#This Row],[Discount]]</f>
        <v>91.262</v>
      </c>
      <c r="O265" s="9">
        <f>tblTransactions[[#This Row],[GrossSales]]-tblTransactions[[#This Row],[DiscountAmount]]</f>
        <v>821.35799999999995</v>
      </c>
      <c r="P265" s="9">
        <f>_xlfn.XLOOKUP(tblTransactions[[#This Row],[ProductID]],tblProducts[ProductID],tblProducts[UnitCost])</f>
        <v>648.75</v>
      </c>
      <c r="Q265" s="9">
        <f>tblTransactions[[#This Row],[Quantity]]*tblTransactions[[#This Row],[UnitCost]]</f>
        <v>648.75</v>
      </c>
      <c r="R265" s="9">
        <f>tblTransactions[[#This Row],[NetRevenue]]-tblTransactions[[#This Row],[TotalCost]]</f>
        <v>172.60799999999995</v>
      </c>
      <c r="S265" t="str">
        <f>_xlfn.XLOOKUP(tblTransactions[[#This Row],[ProductID]],tblProducts[ProductID],tblProducts[Category])</f>
        <v>Grocery</v>
      </c>
    </row>
    <row r="266" spans="1:19">
      <c r="A266" t="s">
        <v>16583</v>
      </c>
      <c r="B266" s="1">
        <v>45230</v>
      </c>
      <c r="C266" t="s">
        <v>2955</v>
      </c>
      <c r="D266" t="str">
        <f>_xlfn.XLOOKUP(tblTransactions[[#This Row],[CustomerID]],tblCustomers[CustomerID],tblCustomers[CustomerName])</f>
        <v>Jairaj Panchal</v>
      </c>
      <c r="E266" t="s">
        <v>16108</v>
      </c>
      <c r="F266" t="str">
        <f>_xlfn.XLOOKUP(tblTransactions[[#This Row],[ProductID]],tblProducts[ProductID],tblProducts[ProductName])</f>
        <v>Kids Dress D4</v>
      </c>
      <c r="G266" t="s">
        <v>16275</v>
      </c>
      <c r="H266" t="str">
        <f>_xlfn.XLOOKUP(tblTransactions[[#This Row],[StoreID]],tblStores[StoreID],tblStores[Region])</f>
        <v>South</v>
      </c>
      <c r="I266">
        <v>1</v>
      </c>
      <c r="J266">
        <v>0.2</v>
      </c>
      <c r="K266" t="s">
        <v>16319</v>
      </c>
      <c r="L266" s="9">
        <f>_xlfn.XLOOKUP(tblTransactions[[#This Row],[ProductID]],tblProducts[ProductID],tblProducts[UnitPrice])</f>
        <v>1332.31</v>
      </c>
      <c r="M266" s="9">
        <f>tblTransactions[[#This Row],[Quantity]]*tblTransactions[[#This Row],[UnitPrice]]</f>
        <v>1332.31</v>
      </c>
      <c r="N266" s="9">
        <f>tblTransactions[[#This Row],[GrossSales]]*tblTransactions[[#This Row],[Discount]]</f>
        <v>266.46199999999999</v>
      </c>
      <c r="O266" s="9">
        <f>tblTransactions[[#This Row],[GrossSales]]-tblTransactions[[#This Row],[DiscountAmount]]</f>
        <v>1065.848</v>
      </c>
      <c r="P266" s="9">
        <f>_xlfn.XLOOKUP(tblTransactions[[#This Row],[ProductID]],tblProducts[ProductID],tblProducts[UnitCost])</f>
        <v>957.87</v>
      </c>
      <c r="Q266" s="9">
        <f>tblTransactions[[#This Row],[Quantity]]*tblTransactions[[#This Row],[UnitCost]]</f>
        <v>957.87</v>
      </c>
      <c r="R266" s="9">
        <f>tblTransactions[[#This Row],[NetRevenue]]-tblTransactions[[#This Row],[TotalCost]]</f>
        <v>107.97799999999995</v>
      </c>
      <c r="S266" t="str">
        <f>_xlfn.XLOOKUP(tblTransactions[[#This Row],[ProductID]],tblProducts[ProductID],tblProducts[Category])</f>
        <v>Clothing</v>
      </c>
    </row>
    <row r="267" spans="1:19">
      <c r="A267" t="s">
        <v>16584</v>
      </c>
      <c r="B267" s="1">
        <v>45231</v>
      </c>
      <c r="C267" t="s">
        <v>13903</v>
      </c>
      <c r="D267" t="str">
        <f>_xlfn.XLOOKUP(tblTransactions[[#This Row],[CustomerID]],tblCustomers[CustomerID],tblCustomers[CustomerName])</f>
        <v>Arin Sethi</v>
      </c>
      <c r="E267" t="s">
        <v>16089</v>
      </c>
      <c r="F267" t="str">
        <f>_xlfn.XLOOKUP(tblTransactions[[#This Row],[ProductID]],tblProducts[ProductID],tblProducts[ProductName])</f>
        <v>Women's Jeans B2</v>
      </c>
      <c r="G267" t="s">
        <v>16262</v>
      </c>
      <c r="H267" t="str">
        <f>_xlfn.XLOOKUP(tblTransactions[[#This Row],[StoreID]],tblStores[StoreID],tblStores[Region])</f>
        <v>North</v>
      </c>
      <c r="I267">
        <v>1</v>
      </c>
      <c r="J267">
        <v>0.1</v>
      </c>
      <c r="K267" t="s">
        <v>16317</v>
      </c>
      <c r="L267" s="9">
        <f>_xlfn.XLOOKUP(tblTransactions[[#This Row],[ProductID]],tblProducts[ProductID],tblProducts[UnitPrice])</f>
        <v>7788.99</v>
      </c>
      <c r="M267" s="9">
        <f>tblTransactions[[#This Row],[Quantity]]*tblTransactions[[#This Row],[UnitPrice]]</f>
        <v>7788.99</v>
      </c>
      <c r="N267" s="9">
        <f>tblTransactions[[#This Row],[GrossSales]]*tblTransactions[[#This Row],[Discount]]</f>
        <v>778.899</v>
      </c>
      <c r="O267" s="9">
        <f>tblTransactions[[#This Row],[GrossSales]]-tblTransactions[[#This Row],[DiscountAmount]]</f>
        <v>7010.0909999999994</v>
      </c>
      <c r="P267" s="9">
        <f>_xlfn.XLOOKUP(tblTransactions[[#This Row],[ProductID]],tblProducts[ProductID],tblProducts[UnitCost])</f>
        <v>6231.21</v>
      </c>
      <c r="Q267" s="9">
        <f>tblTransactions[[#This Row],[Quantity]]*tblTransactions[[#This Row],[UnitCost]]</f>
        <v>6231.21</v>
      </c>
      <c r="R267" s="9">
        <f>tblTransactions[[#This Row],[NetRevenue]]-tblTransactions[[#This Row],[TotalCost]]</f>
        <v>778.8809999999994</v>
      </c>
      <c r="S267" t="str">
        <f>_xlfn.XLOOKUP(tblTransactions[[#This Row],[ProductID]],tblProducts[ProductID],tblProducts[Category])</f>
        <v>Clothing</v>
      </c>
    </row>
    <row r="268" spans="1:19">
      <c r="A268" t="s">
        <v>16585</v>
      </c>
      <c r="B268" s="1">
        <v>45232</v>
      </c>
      <c r="C268" t="s">
        <v>3683</v>
      </c>
      <c r="D268" t="str">
        <f>_xlfn.XLOOKUP(tblTransactions[[#This Row],[CustomerID]],tblCustomers[CustomerID],tblCustomers[CustomerName])</f>
        <v>Chaitaly Mann</v>
      </c>
      <c r="E268" t="s">
        <v>16217</v>
      </c>
      <c r="F268" t="str">
        <f>_xlfn.XLOOKUP(tblTransactions[[#This Row],[ProductID]],tblProducts[ProductID],tblProducts[ProductName])</f>
        <v>Hair Oil E5</v>
      </c>
      <c r="G268" t="s">
        <v>16305</v>
      </c>
      <c r="H268" t="str">
        <f>_xlfn.XLOOKUP(tblTransactions[[#This Row],[StoreID]],tblStores[StoreID],tblStores[Region])</f>
        <v>South</v>
      </c>
      <c r="I268">
        <v>2</v>
      </c>
      <c r="J268">
        <v>0.05</v>
      </c>
      <c r="K268" t="s">
        <v>16319</v>
      </c>
      <c r="L268" s="9">
        <f>_xlfn.XLOOKUP(tblTransactions[[#This Row],[ProductID]],tblProducts[ProductID],tblProducts[UnitPrice])</f>
        <v>3581.9</v>
      </c>
      <c r="M268" s="9">
        <f>tblTransactions[[#This Row],[Quantity]]*tblTransactions[[#This Row],[UnitPrice]]</f>
        <v>7163.8</v>
      </c>
      <c r="N268" s="9">
        <f>tblTransactions[[#This Row],[GrossSales]]*tblTransactions[[#This Row],[Discount]]</f>
        <v>358.19000000000005</v>
      </c>
      <c r="O268" s="9">
        <f>tblTransactions[[#This Row],[GrossSales]]-tblTransactions[[#This Row],[DiscountAmount]]</f>
        <v>6805.6100000000006</v>
      </c>
      <c r="P268" s="9">
        <f>_xlfn.XLOOKUP(tblTransactions[[#This Row],[ProductID]],tblProducts[ProductID],tblProducts[UnitCost])</f>
        <v>2770.12</v>
      </c>
      <c r="Q268" s="9">
        <f>tblTransactions[[#This Row],[Quantity]]*tblTransactions[[#This Row],[UnitCost]]</f>
        <v>5540.24</v>
      </c>
      <c r="R268" s="9">
        <f>tblTransactions[[#This Row],[NetRevenue]]-tblTransactions[[#This Row],[TotalCost]]</f>
        <v>1265.3700000000008</v>
      </c>
      <c r="S268" t="str">
        <f>_xlfn.XLOOKUP(tblTransactions[[#This Row],[ProductID]],tblProducts[ProductID],tblProducts[Category])</f>
        <v>Personal Care</v>
      </c>
    </row>
    <row r="269" spans="1:19">
      <c r="A269" t="s">
        <v>16586</v>
      </c>
      <c r="B269" s="1">
        <v>45233</v>
      </c>
      <c r="C269" t="s">
        <v>4322</v>
      </c>
      <c r="D269" t="str">
        <f>_xlfn.XLOOKUP(tblTransactions[[#This Row],[CustomerID]],tblCustomers[CustomerID],tblCustomers[CustomerName])</f>
        <v>Ikshita Bala</v>
      </c>
      <c r="E269" t="s">
        <v>16234</v>
      </c>
      <c r="F269" t="str">
        <f>_xlfn.XLOOKUP(tblTransactions[[#This Row],[ProductID]],tblProducts[ProductID],tblProducts[ProductName])</f>
        <v>Body Lotion A6</v>
      </c>
      <c r="G269" t="s">
        <v>16262</v>
      </c>
      <c r="H269" t="str">
        <f>_xlfn.XLOOKUP(tblTransactions[[#This Row],[StoreID]],tblStores[StoreID],tblStores[Region])</f>
        <v>North</v>
      </c>
      <c r="I269">
        <v>1</v>
      </c>
      <c r="J269">
        <v>0</v>
      </c>
      <c r="K269" t="s">
        <v>16321</v>
      </c>
      <c r="L269" s="9">
        <f>_xlfn.XLOOKUP(tblTransactions[[#This Row],[ProductID]],tblProducts[ProductID],tblProducts[UnitPrice])</f>
        <v>773.2</v>
      </c>
      <c r="M269" s="9">
        <f>tblTransactions[[#This Row],[Quantity]]*tblTransactions[[#This Row],[UnitPrice]]</f>
        <v>773.2</v>
      </c>
      <c r="N269" s="9">
        <f>tblTransactions[[#This Row],[GrossSales]]*tblTransactions[[#This Row],[Discount]]</f>
        <v>0</v>
      </c>
      <c r="O269" s="9">
        <f>tblTransactions[[#This Row],[GrossSales]]-tblTransactions[[#This Row],[DiscountAmount]]</f>
        <v>773.2</v>
      </c>
      <c r="P269" s="9">
        <f>_xlfn.XLOOKUP(tblTransactions[[#This Row],[ProductID]],tblProducts[ProductID],tblProducts[UnitCost])</f>
        <v>547.09</v>
      </c>
      <c r="Q269" s="9">
        <f>tblTransactions[[#This Row],[Quantity]]*tblTransactions[[#This Row],[UnitCost]]</f>
        <v>547.09</v>
      </c>
      <c r="R269" s="9">
        <f>tblTransactions[[#This Row],[NetRevenue]]-tblTransactions[[#This Row],[TotalCost]]</f>
        <v>226.11</v>
      </c>
      <c r="S269" t="str">
        <f>_xlfn.XLOOKUP(tblTransactions[[#This Row],[ProductID]],tblProducts[ProductID],tblProducts[Category])</f>
        <v>Personal Care</v>
      </c>
    </row>
    <row r="270" spans="1:19">
      <c r="A270" t="s">
        <v>16587</v>
      </c>
      <c r="B270" s="1">
        <v>45233</v>
      </c>
      <c r="C270" t="s">
        <v>14264</v>
      </c>
      <c r="D270" t="str">
        <f>_xlfn.XLOOKUP(tblTransactions[[#This Row],[CustomerID]],tblCustomers[CustomerID],tblCustomers[CustomerName])</f>
        <v>Lakshit Dewan</v>
      </c>
      <c r="E270" t="s">
        <v>15931</v>
      </c>
      <c r="F270" t="str">
        <f>_xlfn.XLOOKUP(tblTransactions[[#This Row],[ProductID]],tblProducts[ProductID],tblProducts[ProductName])</f>
        <v>QLED Smart TV B2</v>
      </c>
      <c r="G270" t="s">
        <v>16287</v>
      </c>
      <c r="H270" t="str">
        <f>_xlfn.XLOOKUP(tblTransactions[[#This Row],[StoreID]],tblStores[StoreID],tblStores[Region])</f>
        <v>North</v>
      </c>
      <c r="I270">
        <v>4</v>
      </c>
      <c r="J270">
        <v>0.1</v>
      </c>
      <c r="K270" t="s">
        <v>16317</v>
      </c>
      <c r="L270" s="9">
        <f>_xlfn.XLOOKUP(tblTransactions[[#This Row],[ProductID]],tblProducts[ProductID],tblProducts[UnitPrice])</f>
        <v>75177.759999999995</v>
      </c>
      <c r="M270" s="9">
        <f>tblTransactions[[#This Row],[Quantity]]*tblTransactions[[#This Row],[UnitPrice]]</f>
        <v>300711.03999999998</v>
      </c>
      <c r="N270" s="9">
        <f>tblTransactions[[#This Row],[GrossSales]]*tblTransactions[[#This Row],[Discount]]</f>
        <v>30071.103999999999</v>
      </c>
      <c r="O270" s="9">
        <f>tblTransactions[[#This Row],[GrossSales]]-tblTransactions[[#This Row],[DiscountAmount]]</f>
        <v>270639.93599999999</v>
      </c>
      <c r="P270" s="9">
        <f>_xlfn.XLOOKUP(tblTransactions[[#This Row],[ProductID]],tblProducts[ProductID],tblProducts[UnitCost])</f>
        <v>51831.839999999997</v>
      </c>
      <c r="Q270" s="9">
        <f>tblTransactions[[#This Row],[Quantity]]*tblTransactions[[#This Row],[UnitCost]]</f>
        <v>207327.35999999999</v>
      </c>
      <c r="R270" s="9">
        <f>tblTransactions[[#This Row],[NetRevenue]]-tblTransactions[[#This Row],[TotalCost]]</f>
        <v>63312.576000000001</v>
      </c>
      <c r="S270" t="str">
        <f>_xlfn.XLOOKUP(tblTransactions[[#This Row],[ProductID]],tblProducts[ProductID],tblProducts[Category])</f>
        <v>Electronics</v>
      </c>
    </row>
    <row r="271" spans="1:19">
      <c r="A271" t="s">
        <v>16588</v>
      </c>
      <c r="B271" s="1">
        <v>45234</v>
      </c>
      <c r="C271" t="s">
        <v>2889</v>
      </c>
      <c r="D271" t="str">
        <f>_xlfn.XLOOKUP(tblTransactions[[#This Row],[CustomerID]],tblCustomers[CustomerID],tblCustomers[CustomerName])</f>
        <v>Ishani Dugal</v>
      </c>
      <c r="E271" t="s">
        <v>16034</v>
      </c>
      <c r="F271" t="str">
        <f>_xlfn.XLOOKUP(tblTransactions[[#This Row],[ProductID]],tblProducts[ProductID],tblProducts[ProductName])</f>
        <v>Bookshelf E5</v>
      </c>
      <c r="G271" t="s">
        <v>16256</v>
      </c>
      <c r="H271" t="str">
        <f>_xlfn.XLOOKUP(tblTransactions[[#This Row],[StoreID]],tblStores[StoreID],tblStores[Region])</f>
        <v>East</v>
      </c>
      <c r="I271">
        <v>1</v>
      </c>
      <c r="J271">
        <v>0</v>
      </c>
      <c r="K271" t="s">
        <v>16321</v>
      </c>
      <c r="L271" s="9">
        <f>_xlfn.XLOOKUP(tblTransactions[[#This Row],[ProductID]],tblProducts[ProductID],tblProducts[UnitPrice])</f>
        <v>14006.13</v>
      </c>
      <c r="M271" s="9">
        <f>tblTransactions[[#This Row],[Quantity]]*tblTransactions[[#This Row],[UnitPrice]]</f>
        <v>14006.13</v>
      </c>
      <c r="N271" s="9">
        <f>tblTransactions[[#This Row],[GrossSales]]*tblTransactions[[#This Row],[Discount]]</f>
        <v>0</v>
      </c>
      <c r="O271" s="9">
        <f>tblTransactions[[#This Row],[GrossSales]]-tblTransactions[[#This Row],[DiscountAmount]]</f>
        <v>14006.13</v>
      </c>
      <c r="P271" s="9">
        <f>_xlfn.XLOOKUP(tblTransactions[[#This Row],[ProductID]],tblProducts[ProductID],tblProducts[UnitCost])</f>
        <v>9829.2800000000007</v>
      </c>
      <c r="Q271" s="9">
        <f>tblTransactions[[#This Row],[Quantity]]*tblTransactions[[#This Row],[UnitCost]]</f>
        <v>9829.2800000000007</v>
      </c>
      <c r="R271" s="9">
        <f>tblTransactions[[#This Row],[NetRevenue]]-tblTransactions[[#This Row],[TotalCost]]</f>
        <v>4176.8499999999985</v>
      </c>
      <c r="S271" t="str">
        <f>_xlfn.XLOOKUP(tblTransactions[[#This Row],[ProductID]],tblProducts[ProductID],tblProducts[Category])</f>
        <v>Home &amp; Kitchen</v>
      </c>
    </row>
    <row r="272" spans="1:19">
      <c r="A272" t="s">
        <v>16589</v>
      </c>
      <c r="B272" s="1">
        <v>45235</v>
      </c>
      <c r="C272" t="s">
        <v>4038</v>
      </c>
      <c r="D272" t="str">
        <f>_xlfn.XLOOKUP(tblTransactions[[#This Row],[CustomerID]],tblCustomers[CustomerID],tblCustomers[CustomerName])</f>
        <v>Vedika Wagle</v>
      </c>
      <c r="E272" t="s">
        <v>16093</v>
      </c>
      <c r="F272" t="str">
        <f>_xlfn.XLOOKUP(tblTransactions[[#This Row],[ProductID]],tblProducts[ProductID],tblProducts[ProductName])</f>
        <v>Women's Jeans D4</v>
      </c>
      <c r="G272" t="s">
        <v>16297</v>
      </c>
      <c r="H272" t="str">
        <f>_xlfn.XLOOKUP(tblTransactions[[#This Row],[StoreID]],tblStores[StoreID],tblStores[Region])</f>
        <v>North</v>
      </c>
      <c r="I272">
        <v>4</v>
      </c>
      <c r="J272">
        <v>0.1</v>
      </c>
      <c r="K272" t="s">
        <v>16317</v>
      </c>
      <c r="L272" s="9">
        <f>_xlfn.XLOOKUP(tblTransactions[[#This Row],[ProductID]],tblProducts[ProductID],tblProducts[UnitPrice])</f>
        <v>6178.38</v>
      </c>
      <c r="M272" s="9">
        <f>tblTransactions[[#This Row],[Quantity]]*tblTransactions[[#This Row],[UnitPrice]]</f>
        <v>24713.52</v>
      </c>
      <c r="N272" s="9">
        <f>tblTransactions[[#This Row],[GrossSales]]*tblTransactions[[#This Row],[Discount]]</f>
        <v>2471.3520000000003</v>
      </c>
      <c r="O272" s="9">
        <f>tblTransactions[[#This Row],[GrossSales]]-tblTransactions[[#This Row],[DiscountAmount]]</f>
        <v>22242.168000000001</v>
      </c>
      <c r="P272" s="9">
        <f>_xlfn.XLOOKUP(tblTransactions[[#This Row],[ProductID]],tblProducts[ProductID],tblProducts[UnitCost])</f>
        <v>4740.8599999999997</v>
      </c>
      <c r="Q272" s="9">
        <f>tblTransactions[[#This Row],[Quantity]]*tblTransactions[[#This Row],[UnitCost]]</f>
        <v>18963.439999999999</v>
      </c>
      <c r="R272" s="9">
        <f>tblTransactions[[#This Row],[NetRevenue]]-tblTransactions[[#This Row],[TotalCost]]</f>
        <v>3278.7280000000028</v>
      </c>
      <c r="S272" t="str">
        <f>_xlfn.XLOOKUP(tblTransactions[[#This Row],[ProductID]],tblProducts[ProductID],tblProducts[Category])</f>
        <v>Clothing</v>
      </c>
    </row>
    <row r="273" spans="1:19">
      <c r="A273" t="s">
        <v>16590</v>
      </c>
      <c r="B273" s="1">
        <v>45236</v>
      </c>
      <c r="C273" t="s">
        <v>258</v>
      </c>
      <c r="D273" t="str">
        <f>_xlfn.XLOOKUP(tblTransactions[[#This Row],[CustomerID]],tblCustomers[CustomerID],tblCustomers[CustomerName])</f>
        <v>Faqid Dixit</v>
      </c>
      <c r="E273" t="s">
        <v>16062</v>
      </c>
      <c r="F273" t="str">
        <f>_xlfn.XLOOKUP(tblTransactions[[#This Row],[ProductID]],tblProducts[ProductID],tblProducts[ProductName])</f>
        <v>Table Lamp D4</v>
      </c>
      <c r="G273" t="s">
        <v>16293</v>
      </c>
      <c r="H273" t="str">
        <f>_xlfn.XLOOKUP(tblTransactions[[#This Row],[StoreID]],tblStores[StoreID],tblStores[Region])</f>
        <v>South</v>
      </c>
      <c r="I273">
        <v>1</v>
      </c>
      <c r="J273">
        <v>0.05</v>
      </c>
      <c r="K273" t="s">
        <v>16325</v>
      </c>
      <c r="L273" s="9">
        <f>_xlfn.XLOOKUP(tblTransactions[[#This Row],[ProductID]],tblProducts[ProductID],tblProducts[UnitPrice])</f>
        <v>22222.83</v>
      </c>
      <c r="M273" s="9">
        <f>tblTransactions[[#This Row],[Quantity]]*tblTransactions[[#This Row],[UnitPrice]]</f>
        <v>22222.83</v>
      </c>
      <c r="N273" s="9">
        <f>tblTransactions[[#This Row],[GrossSales]]*tblTransactions[[#This Row],[Discount]]</f>
        <v>1111.1415000000002</v>
      </c>
      <c r="O273" s="9">
        <f>tblTransactions[[#This Row],[GrossSales]]-tblTransactions[[#This Row],[DiscountAmount]]</f>
        <v>21111.6885</v>
      </c>
      <c r="P273" s="9">
        <f>_xlfn.XLOOKUP(tblTransactions[[#This Row],[ProductID]],tblProducts[ProductID],tblProducts[UnitCost])</f>
        <v>17564.490000000002</v>
      </c>
      <c r="Q273" s="9">
        <f>tblTransactions[[#This Row],[Quantity]]*tblTransactions[[#This Row],[UnitCost]]</f>
        <v>17564.490000000002</v>
      </c>
      <c r="R273" s="9">
        <f>tblTransactions[[#This Row],[NetRevenue]]-tblTransactions[[#This Row],[TotalCost]]</f>
        <v>3547.1984999999986</v>
      </c>
      <c r="S273" t="str">
        <f>_xlfn.XLOOKUP(tblTransactions[[#This Row],[ProductID]],tblProducts[ProductID],tblProducts[Category])</f>
        <v>Home &amp; Kitchen</v>
      </c>
    </row>
    <row r="274" spans="1:19">
      <c r="A274" t="s">
        <v>16591</v>
      </c>
      <c r="B274" s="1">
        <v>45236</v>
      </c>
      <c r="C274" t="s">
        <v>14633</v>
      </c>
      <c r="D274" t="str">
        <f>_xlfn.XLOOKUP(tblTransactions[[#This Row],[CustomerID]],tblCustomers[CustomerID],tblCustomers[CustomerName])</f>
        <v>Suhani Dutt</v>
      </c>
      <c r="E274" t="s">
        <v>16217</v>
      </c>
      <c r="F274" t="str">
        <f>_xlfn.XLOOKUP(tblTransactions[[#This Row],[ProductID]],tblProducts[ProductID],tblProducts[ProductName])</f>
        <v>Hair Oil E5</v>
      </c>
      <c r="G274" t="s">
        <v>16273</v>
      </c>
      <c r="H274" t="str">
        <f>_xlfn.XLOOKUP(tblTransactions[[#This Row],[StoreID]],tblStores[StoreID],tblStores[Region])</f>
        <v>West</v>
      </c>
      <c r="I274">
        <v>1</v>
      </c>
      <c r="J274">
        <v>0</v>
      </c>
      <c r="K274" t="s">
        <v>16319</v>
      </c>
      <c r="L274" s="9">
        <f>_xlfn.XLOOKUP(tblTransactions[[#This Row],[ProductID]],tblProducts[ProductID],tblProducts[UnitPrice])</f>
        <v>3581.9</v>
      </c>
      <c r="M274" s="9">
        <f>tblTransactions[[#This Row],[Quantity]]*tblTransactions[[#This Row],[UnitPrice]]</f>
        <v>3581.9</v>
      </c>
      <c r="N274" s="9">
        <f>tblTransactions[[#This Row],[GrossSales]]*tblTransactions[[#This Row],[Discount]]</f>
        <v>0</v>
      </c>
      <c r="O274" s="9">
        <f>tblTransactions[[#This Row],[GrossSales]]-tblTransactions[[#This Row],[DiscountAmount]]</f>
        <v>3581.9</v>
      </c>
      <c r="P274" s="9">
        <f>_xlfn.XLOOKUP(tblTransactions[[#This Row],[ProductID]],tblProducts[ProductID],tblProducts[UnitCost])</f>
        <v>2770.12</v>
      </c>
      <c r="Q274" s="9">
        <f>tblTransactions[[#This Row],[Quantity]]*tblTransactions[[#This Row],[UnitCost]]</f>
        <v>2770.12</v>
      </c>
      <c r="R274" s="9">
        <f>tblTransactions[[#This Row],[NetRevenue]]-tblTransactions[[#This Row],[TotalCost]]</f>
        <v>811.7800000000002</v>
      </c>
      <c r="S274" t="str">
        <f>_xlfn.XLOOKUP(tblTransactions[[#This Row],[ProductID]],tblProducts[ProductID],tblProducts[Category])</f>
        <v>Personal Care</v>
      </c>
    </row>
    <row r="275" spans="1:19">
      <c r="A275" t="s">
        <v>16592</v>
      </c>
      <c r="B275" s="1">
        <v>45236</v>
      </c>
      <c r="C275" t="s">
        <v>6429</v>
      </c>
      <c r="D275" t="str">
        <f>_xlfn.XLOOKUP(tblTransactions[[#This Row],[CustomerID]],tblCustomers[CustomerID],tblCustomers[CustomerName])</f>
        <v>Kalpit Setty</v>
      </c>
      <c r="E275" t="s">
        <v>16032</v>
      </c>
      <c r="F275" t="str">
        <f>_xlfn.XLOOKUP(tblTransactions[[#This Row],[ProductID]],tblProducts[ProductID],tblProducts[ProductName])</f>
        <v>Study Table D4</v>
      </c>
      <c r="G275" t="s">
        <v>16271</v>
      </c>
      <c r="H275" t="str">
        <f>_xlfn.XLOOKUP(tblTransactions[[#This Row],[StoreID]],tblStores[StoreID],tblStores[Region])</f>
        <v>South</v>
      </c>
      <c r="I275">
        <v>1</v>
      </c>
      <c r="J275">
        <v>0</v>
      </c>
      <c r="K275" t="s">
        <v>16315</v>
      </c>
      <c r="L275" s="9">
        <f>_xlfn.XLOOKUP(tblTransactions[[#This Row],[ProductID]],tblProducts[ProductID],tblProducts[UnitPrice])</f>
        <v>643.36</v>
      </c>
      <c r="M275" s="9">
        <f>tblTransactions[[#This Row],[Quantity]]*tblTransactions[[#This Row],[UnitPrice]]</f>
        <v>643.36</v>
      </c>
      <c r="N275" s="9">
        <f>tblTransactions[[#This Row],[GrossSales]]*tblTransactions[[#This Row],[Discount]]</f>
        <v>0</v>
      </c>
      <c r="O275" s="9">
        <f>tblTransactions[[#This Row],[GrossSales]]-tblTransactions[[#This Row],[DiscountAmount]]</f>
        <v>643.36</v>
      </c>
      <c r="P275" s="9">
        <f>_xlfn.XLOOKUP(tblTransactions[[#This Row],[ProductID]],tblProducts[ProductID],tblProducts[UnitCost])</f>
        <v>460.5</v>
      </c>
      <c r="Q275" s="9">
        <f>tblTransactions[[#This Row],[Quantity]]*tblTransactions[[#This Row],[UnitCost]]</f>
        <v>460.5</v>
      </c>
      <c r="R275" s="9">
        <f>tblTransactions[[#This Row],[NetRevenue]]-tblTransactions[[#This Row],[TotalCost]]</f>
        <v>182.86</v>
      </c>
      <c r="S275" t="str">
        <f>_xlfn.XLOOKUP(tblTransactions[[#This Row],[ProductID]],tblProducts[ProductID],tblProducts[Category])</f>
        <v>Home &amp; Kitchen</v>
      </c>
    </row>
    <row r="276" spans="1:19">
      <c r="A276" t="s">
        <v>16593</v>
      </c>
      <c r="B276" s="1">
        <v>45238</v>
      </c>
      <c r="C276" t="s">
        <v>8432</v>
      </c>
      <c r="D276" t="str">
        <f>_xlfn.XLOOKUP(tblTransactions[[#This Row],[CustomerID]],tblCustomers[CustomerID],tblCustomers[CustomerName])</f>
        <v>Dhruv Garg</v>
      </c>
      <c r="E276" t="s">
        <v>15935</v>
      </c>
      <c r="F276" t="str">
        <f>_xlfn.XLOOKUP(tblTransactions[[#This Row],[ProductID]],tblProducts[ProductID],tblProducts[ProductName])</f>
        <v>QLED Smart TV D4</v>
      </c>
      <c r="G276" t="s">
        <v>16273</v>
      </c>
      <c r="H276" t="str">
        <f>_xlfn.XLOOKUP(tblTransactions[[#This Row],[StoreID]],tblStores[StoreID],tblStores[Region])</f>
        <v>West</v>
      </c>
      <c r="I276">
        <v>4</v>
      </c>
      <c r="J276">
        <v>0.05</v>
      </c>
      <c r="K276" t="s">
        <v>16317</v>
      </c>
      <c r="L276" s="9">
        <f>_xlfn.XLOOKUP(tblTransactions[[#This Row],[ProductID]],tblProducts[ProductID],tblProducts[UnitPrice])</f>
        <v>10619.36</v>
      </c>
      <c r="M276" s="9">
        <f>tblTransactions[[#This Row],[Quantity]]*tblTransactions[[#This Row],[UnitPrice]]</f>
        <v>42477.440000000002</v>
      </c>
      <c r="N276" s="9">
        <f>tblTransactions[[#This Row],[GrossSales]]*tblTransactions[[#This Row],[Discount]]</f>
        <v>2123.8720000000003</v>
      </c>
      <c r="O276" s="9">
        <f>tblTransactions[[#This Row],[GrossSales]]-tblTransactions[[#This Row],[DiscountAmount]]</f>
        <v>40353.567999999999</v>
      </c>
      <c r="P276" s="9">
        <f>_xlfn.XLOOKUP(tblTransactions[[#This Row],[ProductID]],tblProducts[ProductID],tblProducts[UnitCost])</f>
        <v>6544.82</v>
      </c>
      <c r="Q276" s="9">
        <f>tblTransactions[[#This Row],[Quantity]]*tblTransactions[[#This Row],[UnitCost]]</f>
        <v>26179.279999999999</v>
      </c>
      <c r="R276" s="9">
        <f>tblTransactions[[#This Row],[NetRevenue]]-tblTransactions[[#This Row],[TotalCost]]</f>
        <v>14174.288</v>
      </c>
      <c r="S276" t="str">
        <f>_xlfn.XLOOKUP(tblTransactions[[#This Row],[ProductID]],tblProducts[ProductID],tblProducts[Category])</f>
        <v>Electronics</v>
      </c>
    </row>
    <row r="277" spans="1:19">
      <c r="A277" t="s">
        <v>16594</v>
      </c>
      <c r="B277" s="1">
        <v>45240</v>
      </c>
      <c r="C277" t="s">
        <v>6418</v>
      </c>
      <c r="D277" t="str">
        <f>_xlfn.XLOOKUP(tblTransactions[[#This Row],[CustomerID]],tblCustomers[CustomerID],tblCustomers[CustomerName])</f>
        <v>Jonathan Thaman</v>
      </c>
      <c r="E277" t="s">
        <v>16147</v>
      </c>
      <c r="F277" t="str">
        <f>_xlfn.XLOOKUP(tblTransactions[[#This Row],[ProductID]],tblProducts[ProductID],tblProducts[ProductName])</f>
        <v>Namkeen A1</v>
      </c>
      <c r="G277" t="s">
        <v>16291</v>
      </c>
      <c r="H277" t="str">
        <f>_xlfn.XLOOKUP(tblTransactions[[#This Row],[StoreID]],tblStores[StoreID],tblStores[Region])</f>
        <v>South</v>
      </c>
      <c r="I277">
        <v>1</v>
      </c>
      <c r="J277">
        <v>0</v>
      </c>
      <c r="K277" t="s">
        <v>16315</v>
      </c>
      <c r="L277" s="9">
        <f>_xlfn.XLOOKUP(tblTransactions[[#This Row],[ProductID]],tblProducts[ProductID],tblProducts[UnitPrice])</f>
        <v>1282.31</v>
      </c>
      <c r="M277" s="9">
        <f>tblTransactions[[#This Row],[Quantity]]*tblTransactions[[#This Row],[UnitPrice]]</f>
        <v>1282.31</v>
      </c>
      <c r="N277" s="9">
        <f>tblTransactions[[#This Row],[GrossSales]]*tblTransactions[[#This Row],[Discount]]</f>
        <v>0</v>
      </c>
      <c r="O277" s="9">
        <f>tblTransactions[[#This Row],[GrossSales]]-tblTransactions[[#This Row],[DiscountAmount]]</f>
        <v>1282.31</v>
      </c>
      <c r="P277" s="9">
        <f>_xlfn.XLOOKUP(tblTransactions[[#This Row],[ProductID]],tblProducts[ProductID],tblProducts[UnitCost])</f>
        <v>759</v>
      </c>
      <c r="Q277" s="9">
        <f>tblTransactions[[#This Row],[Quantity]]*tblTransactions[[#This Row],[UnitCost]]</f>
        <v>759</v>
      </c>
      <c r="R277" s="9">
        <f>tblTransactions[[#This Row],[NetRevenue]]-tblTransactions[[#This Row],[TotalCost]]</f>
        <v>523.30999999999995</v>
      </c>
      <c r="S277" t="str">
        <f>_xlfn.XLOOKUP(tblTransactions[[#This Row],[ProductID]],tblProducts[ProductID],tblProducts[Category])</f>
        <v>Grocery</v>
      </c>
    </row>
    <row r="278" spans="1:19">
      <c r="A278" t="s">
        <v>16595</v>
      </c>
      <c r="B278" s="1">
        <v>45241</v>
      </c>
      <c r="C278" t="s">
        <v>13226</v>
      </c>
      <c r="D278" t="str">
        <f>_xlfn.XLOOKUP(tblTransactions[[#This Row],[CustomerID]],tblCustomers[CustomerID],tblCustomers[CustomerName])</f>
        <v>Chandresh Soman</v>
      </c>
      <c r="E278" t="s">
        <v>16001</v>
      </c>
      <c r="F278" t="str">
        <f>_xlfn.XLOOKUP(tblTransactions[[#This Row],[ProductID]],tblProducts[ProductID],tblProducts[ProductName])</f>
        <v>Power Bank D4</v>
      </c>
      <c r="G278" t="s">
        <v>16256</v>
      </c>
      <c r="H278" t="str">
        <f>_xlfn.XLOOKUP(tblTransactions[[#This Row],[StoreID]],tblStores[StoreID],tblStores[Region])</f>
        <v>East</v>
      </c>
      <c r="I278">
        <v>1</v>
      </c>
      <c r="J278">
        <v>0</v>
      </c>
      <c r="K278" t="s">
        <v>16317</v>
      </c>
      <c r="L278" s="9">
        <f>_xlfn.XLOOKUP(tblTransactions[[#This Row],[ProductID]],tblProducts[ProductID],tblProducts[UnitPrice])</f>
        <v>29153.55</v>
      </c>
      <c r="M278" s="9">
        <f>tblTransactions[[#This Row],[Quantity]]*tblTransactions[[#This Row],[UnitPrice]]</f>
        <v>29153.55</v>
      </c>
      <c r="N278" s="9">
        <f>tblTransactions[[#This Row],[GrossSales]]*tblTransactions[[#This Row],[Discount]]</f>
        <v>0</v>
      </c>
      <c r="O278" s="9">
        <f>tblTransactions[[#This Row],[GrossSales]]-tblTransactions[[#This Row],[DiscountAmount]]</f>
        <v>29153.55</v>
      </c>
      <c r="P278" s="9">
        <f>_xlfn.XLOOKUP(tblTransactions[[#This Row],[ProductID]],tblProducts[ProductID],tblProducts[UnitCost])</f>
        <v>21894.27</v>
      </c>
      <c r="Q278" s="9">
        <f>tblTransactions[[#This Row],[Quantity]]*tblTransactions[[#This Row],[UnitCost]]</f>
        <v>21894.27</v>
      </c>
      <c r="R278" s="9">
        <f>tblTransactions[[#This Row],[NetRevenue]]-tblTransactions[[#This Row],[TotalCost]]</f>
        <v>7259.2799999999988</v>
      </c>
      <c r="S278" t="str">
        <f>_xlfn.XLOOKUP(tblTransactions[[#This Row],[ProductID]],tblProducts[ProductID],tblProducts[Category])</f>
        <v>Electronics</v>
      </c>
    </row>
    <row r="279" spans="1:19">
      <c r="A279" t="s">
        <v>16596</v>
      </c>
      <c r="B279" s="1">
        <v>45243</v>
      </c>
      <c r="C279" t="s">
        <v>5440</v>
      </c>
      <c r="D279" t="str">
        <f>_xlfn.XLOOKUP(tblTransactions[[#This Row],[CustomerID]],tblCustomers[CustomerID],tblCustomers[CustomerName])</f>
        <v>Samarth Barad</v>
      </c>
      <c r="E279" t="s">
        <v>15969</v>
      </c>
      <c r="F279" t="str">
        <f>_xlfn.XLOOKUP(tblTransactions[[#This Row],[ProductID]],tblProducts[ProductID],tblProducts[ProductName])</f>
        <v>Student Laptop D4</v>
      </c>
      <c r="G279" t="s">
        <v>16269</v>
      </c>
      <c r="H279" t="str">
        <f>_xlfn.XLOOKUP(tblTransactions[[#This Row],[StoreID]],tblStores[StoreID],tblStores[Region])</f>
        <v>North</v>
      </c>
      <c r="I279">
        <v>1</v>
      </c>
      <c r="J279">
        <v>0</v>
      </c>
      <c r="K279" t="s">
        <v>16319</v>
      </c>
      <c r="L279" s="9">
        <f>_xlfn.XLOOKUP(tblTransactions[[#This Row],[ProductID]],tblProducts[ProductID],tblProducts[UnitPrice])</f>
        <v>21602.44</v>
      </c>
      <c r="M279" s="9">
        <f>tblTransactions[[#This Row],[Quantity]]*tblTransactions[[#This Row],[UnitPrice]]</f>
        <v>21602.44</v>
      </c>
      <c r="N279" s="9">
        <f>tblTransactions[[#This Row],[GrossSales]]*tblTransactions[[#This Row],[Discount]]</f>
        <v>0</v>
      </c>
      <c r="O279" s="9">
        <f>tblTransactions[[#This Row],[GrossSales]]-tblTransactions[[#This Row],[DiscountAmount]]</f>
        <v>21602.44</v>
      </c>
      <c r="P279" s="9">
        <f>_xlfn.XLOOKUP(tblTransactions[[#This Row],[ProductID]],tblProducts[ProductID],tblProducts[UnitCost])</f>
        <v>13134.58</v>
      </c>
      <c r="Q279" s="9">
        <f>tblTransactions[[#This Row],[Quantity]]*tblTransactions[[#This Row],[UnitCost]]</f>
        <v>13134.58</v>
      </c>
      <c r="R279" s="9">
        <f>tblTransactions[[#This Row],[NetRevenue]]-tblTransactions[[#This Row],[TotalCost]]</f>
        <v>8467.8599999999988</v>
      </c>
      <c r="S279" t="str">
        <f>_xlfn.XLOOKUP(tblTransactions[[#This Row],[ProductID]],tblProducts[ProductID],tblProducts[Category])</f>
        <v>Electronics</v>
      </c>
    </row>
    <row r="280" spans="1:19">
      <c r="A280" t="s">
        <v>16597</v>
      </c>
      <c r="B280" s="1">
        <v>45244</v>
      </c>
      <c r="C280" t="s">
        <v>2973</v>
      </c>
      <c r="D280" t="str">
        <f>_xlfn.XLOOKUP(tblTransactions[[#This Row],[CustomerID]],tblCustomers[CustomerID],tblCustomers[CustomerName])</f>
        <v>Amara Rana</v>
      </c>
      <c r="E280" t="s">
        <v>16238</v>
      </c>
      <c r="F280" t="str">
        <f>_xlfn.XLOOKUP(tblTransactions[[#This Row],[ProductID]],tblProducts[ProductID],tblProducts[ProductName])</f>
        <v>Razor A1</v>
      </c>
      <c r="G280" t="s">
        <v>16267</v>
      </c>
      <c r="H280" t="str">
        <f>_xlfn.XLOOKUP(tblTransactions[[#This Row],[StoreID]],tblStores[StoreID],tblStores[Region])</f>
        <v>West</v>
      </c>
      <c r="I280">
        <v>1</v>
      </c>
      <c r="J280">
        <v>0.1</v>
      </c>
      <c r="K280" t="s">
        <v>16315</v>
      </c>
      <c r="L280" s="9">
        <f>_xlfn.XLOOKUP(tblTransactions[[#This Row],[ProductID]],tblProducts[ProductID],tblProducts[UnitPrice])</f>
        <v>1037.07</v>
      </c>
      <c r="M280" s="9">
        <f>tblTransactions[[#This Row],[Quantity]]*tblTransactions[[#This Row],[UnitPrice]]</f>
        <v>1037.07</v>
      </c>
      <c r="N280" s="9">
        <f>tblTransactions[[#This Row],[GrossSales]]*tblTransactions[[#This Row],[Discount]]</f>
        <v>103.70699999999999</v>
      </c>
      <c r="O280" s="9">
        <f>tblTransactions[[#This Row],[GrossSales]]-tblTransactions[[#This Row],[DiscountAmount]]</f>
        <v>933.36299999999994</v>
      </c>
      <c r="P280" s="9">
        <f>_xlfn.XLOOKUP(tblTransactions[[#This Row],[ProductID]],tblProducts[ProductID],tblProducts[UnitCost])</f>
        <v>720.16</v>
      </c>
      <c r="Q280" s="9">
        <f>tblTransactions[[#This Row],[Quantity]]*tblTransactions[[#This Row],[UnitCost]]</f>
        <v>720.16</v>
      </c>
      <c r="R280" s="9">
        <f>tblTransactions[[#This Row],[NetRevenue]]-tblTransactions[[#This Row],[TotalCost]]</f>
        <v>213.20299999999997</v>
      </c>
      <c r="S280" t="str">
        <f>_xlfn.XLOOKUP(tblTransactions[[#This Row],[ProductID]],tblProducts[ProductID],tblProducts[Category])</f>
        <v>Personal Care</v>
      </c>
    </row>
    <row r="281" spans="1:19">
      <c r="A281" t="s">
        <v>16598</v>
      </c>
      <c r="B281" s="1">
        <v>45244</v>
      </c>
      <c r="C281" t="s">
        <v>2973</v>
      </c>
      <c r="D281" t="str">
        <f>_xlfn.XLOOKUP(tblTransactions[[#This Row],[CustomerID]],tblCustomers[CustomerID],tblCustomers[CustomerName])</f>
        <v>Amara Rana</v>
      </c>
      <c r="E281" t="s">
        <v>16245</v>
      </c>
      <c r="F281" t="str">
        <f>_xlfn.XLOOKUP(tblTransactions[[#This Row],[ProductID]],tblProducts[ProductID],tblProducts[ProductName])</f>
        <v>Razor D4</v>
      </c>
      <c r="G281" t="s">
        <v>16275</v>
      </c>
      <c r="H281" t="str">
        <f>_xlfn.XLOOKUP(tblTransactions[[#This Row],[StoreID]],tblStores[StoreID],tblStores[Region])</f>
        <v>South</v>
      </c>
      <c r="I281">
        <v>1</v>
      </c>
      <c r="J281">
        <v>0</v>
      </c>
      <c r="K281" t="s">
        <v>16319</v>
      </c>
      <c r="L281" s="9">
        <f>_xlfn.XLOOKUP(tblTransactions[[#This Row],[ProductID]],tblProducts[ProductID],tblProducts[UnitPrice])</f>
        <v>4084.63</v>
      </c>
      <c r="M281" s="9">
        <f>tblTransactions[[#This Row],[Quantity]]*tblTransactions[[#This Row],[UnitPrice]]</f>
        <v>4084.63</v>
      </c>
      <c r="N281" s="9">
        <f>tblTransactions[[#This Row],[GrossSales]]*tblTransactions[[#This Row],[Discount]]</f>
        <v>0</v>
      </c>
      <c r="O281" s="9">
        <f>tblTransactions[[#This Row],[GrossSales]]-tblTransactions[[#This Row],[DiscountAmount]]</f>
        <v>4084.63</v>
      </c>
      <c r="P281" s="9">
        <f>_xlfn.XLOOKUP(tblTransactions[[#This Row],[ProductID]],tblProducts[ProductID],tblProducts[UnitCost])</f>
        <v>2990.01</v>
      </c>
      <c r="Q281" s="9">
        <f>tblTransactions[[#This Row],[Quantity]]*tblTransactions[[#This Row],[UnitCost]]</f>
        <v>2990.01</v>
      </c>
      <c r="R281" s="9">
        <f>tblTransactions[[#This Row],[NetRevenue]]-tblTransactions[[#This Row],[TotalCost]]</f>
        <v>1094.6199999999999</v>
      </c>
      <c r="S281" t="str">
        <f>_xlfn.XLOOKUP(tblTransactions[[#This Row],[ProductID]],tblProducts[ProductID],tblProducts[Category])</f>
        <v>Personal Care</v>
      </c>
    </row>
    <row r="282" spans="1:19">
      <c r="A282" t="s">
        <v>16599</v>
      </c>
      <c r="B282" s="1">
        <v>45244</v>
      </c>
      <c r="C282" t="s">
        <v>476</v>
      </c>
      <c r="D282" t="str">
        <f>_xlfn.XLOOKUP(tblTransactions[[#This Row],[CustomerID]],tblCustomers[CustomerID],tblCustomers[CustomerName])</f>
        <v>Zayan Kashyap</v>
      </c>
      <c r="E282" t="s">
        <v>15956</v>
      </c>
      <c r="F282" t="str">
        <f>_xlfn.XLOOKUP(tblTransactions[[#This Row],[ProductID]],tblProducts[ProductID],tblProducts[ProductName])</f>
        <v>Budget Smartphone A6</v>
      </c>
      <c r="G282" t="s">
        <v>16279</v>
      </c>
      <c r="H282" t="str">
        <f>_xlfn.XLOOKUP(tblTransactions[[#This Row],[StoreID]],tblStores[StoreID],tblStores[Region])</f>
        <v>South</v>
      </c>
      <c r="I282">
        <v>3</v>
      </c>
      <c r="J282">
        <v>0.05</v>
      </c>
      <c r="K282" t="s">
        <v>16317</v>
      </c>
      <c r="L282" s="9">
        <f>_xlfn.XLOOKUP(tblTransactions[[#This Row],[ProductID]],tblProducts[ProductID],tblProducts[UnitPrice])</f>
        <v>9246.34</v>
      </c>
      <c r="M282" s="9">
        <f>tblTransactions[[#This Row],[Quantity]]*tblTransactions[[#This Row],[UnitPrice]]</f>
        <v>27739.02</v>
      </c>
      <c r="N282" s="9">
        <f>tblTransactions[[#This Row],[GrossSales]]*tblTransactions[[#This Row],[Discount]]</f>
        <v>1386.951</v>
      </c>
      <c r="O282" s="9">
        <f>tblTransactions[[#This Row],[GrossSales]]-tblTransactions[[#This Row],[DiscountAmount]]</f>
        <v>26352.069</v>
      </c>
      <c r="P282" s="9">
        <f>_xlfn.XLOOKUP(tblTransactions[[#This Row],[ProductID]],tblProducts[ProductID],tblProducts[UnitCost])</f>
        <v>7613.27</v>
      </c>
      <c r="Q282" s="9">
        <f>tblTransactions[[#This Row],[Quantity]]*tblTransactions[[#This Row],[UnitCost]]</f>
        <v>22839.81</v>
      </c>
      <c r="R282" s="9">
        <f>tblTransactions[[#This Row],[NetRevenue]]-tblTransactions[[#This Row],[TotalCost]]</f>
        <v>3512.2589999999982</v>
      </c>
      <c r="S282" t="str">
        <f>_xlfn.XLOOKUP(tblTransactions[[#This Row],[ProductID]],tblProducts[ProductID],tblProducts[Category])</f>
        <v>Electronics</v>
      </c>
    </row>
    <row r="283" spans="1:19">
      <c r="A283" t="s">
        <v>16600</v>
      </c>
      <c r="B283" s="1">
        <v>45245</v>
      </c>
      <c r="C283" t="s">
        <v>12137</v>
      </c>
      <c r="D283" t="str">
        <f>_xlfn.XLOOKUP(tblTransactions[[#This Row],[CustomerID]],tblCustomers[CustomerID],tblCustomers[CustomerName])</f>
        <v>Pallavi Sane</v>
      </c>
      <c r="E283" t="s">
        <v>16110</v>
      </c>
      <c r="F283" t="str">
        <f>_xlfn.XLOOKUP(tblTransactions[[#This Row],[ProductID]],tblProducts[ProductID],tblProducts[ProductName])</f>
        <v>Kids T-Shirt E5</v>
      </c>
      <c r="G283" t="s">
        <v>16262</v>
      </c>
      <c r="H283" t="str">
        <f>_xlfn.XLOOKUP(tblTransactions[[#This Row],[StoreID]],tblStores[StoreID],tblStores[Region])</f>
        <v>North</v>
      </c>
      <c r="I283">
        <v>1</v>
      </c>
      <c r="J283">
        <v>0.05</v>
      </c>
      <c r="K283" t="s">
        <v>16325</v>
      </c>
      <c r="L283" s="9">
        <f>_xlfn.XLOOKUP(tblTransactions[[#This Row],[ProductID]],tblProducts[ProductID],tblProducts[UnitPrice])</f>
        <v>508.67</v>
      </c>
      <c r="M283" s="9">
        <f>tblTransactions[[#This Row],[Quantity]]*tblTransactions[[#This Row],[UnitPrice]]</f>
        <v>508.67</v>
      </c>
      <c r="N283" s="9">
        <f>tblTransactions[[#This Row],[GrossSales]]*tblTransactions[[#This Row],[Discount]]</f>
        <v>25.433500000000002</v>
      </c>
      <c r="O283" s="9">
        <f>tblTransactions[[#This Row],[GrossSales]]-tblTransactions[[#This Row],[DiscountAmount]]</f>
        <v>483.23650000000004</v>
      </c>
      <c r="P283" s="9">
        <f>_xlfn.XLOOKUP(tblTransactions[[#This Row],[ProductID]],tblProducts[ProductID],tblProducts[UnitCost])</f>
        <v>386.39</v>
      </c>
      <c r="Q283" s="9">
        <f>tblTransactions[[#This Row],[Quantity]]*tblTransactions[[#This Row],[UnitCost]]</f>
        <v>386.39</v>
      </c>
      <c r="R283" s="9">
        <f>tblTransactions[[#This Row],[NetRevenue]]-tblTransactions[[#This Row],[TotalCost]]</f>
        <v>96.846500000000049</v>
      </c>
      <c r="S283" t="str">
        <f>_xlfn.XLOOKUP(tblTransactions[[#This Row],[ProductID]],tblProducts[ProductID],tblProducts[Category])</f>
        <v>Clothing</v>
      </c>
    </row>
    <row r="284" spans="1:19">
      <c r="A284" t="s">
        <v>16601</v>
      </c>
      <c r="B284" s="1">
        <v>45246</v>
      </c>
      <c r="C284" t="s">
        <v>14295</v>
      </c>
      <c r="D284" t="str">
        <f>_xlfn.XLOOKUP(tblTransactions[[#This Row],[CustomerID]],tblCustomers[CustomerID],tblCustomers[CustomerName])</f>
        <v>Eta Mittal</v>
      </c>
      <c r="E284" t="s">
        <v>16219</v>
      </c>
      <c r="F284" t="str">
        <f>_xlfn.XLOOKUP(tblTransactions[[#This Row],[ProductID]],tblProducts[ProductID],tblProducts[ProductName])</f>
        <v>Hair Serum A6</v>
      </c>
      <c r="G284" t="s">
        <v>16283</v>
      </c>
      <c r="H284" t="str">
        <f>_xlfn.XLOOKUP(tblTransactions[[#This Row],[StoreID]],tblStores[StoreID],tblStores[Region])</f>
        <v>South</v>
      </c>
      <c r="I284">
        <v>1</v>
      </c>
      <c r="J284">
        <v>0</v>
      </c>
      <c r="K284" t="s">
        <v>16317</v>
      </c>
      <c r="L284" s="9">
        <f>_xlfn.XLOOKUP(tblTransactions[[#This Row],[ProductID]],tblProducts[ProductID],tblProducts[UnitPrice])</f>
        <v>3355.04</v>
      </c>
      <c r="M284" s="9">
        <f>tblTransactions[[#This Row],[Quantity]]*tblTransactions[[#This Row],[UnitPrice]]</f>
        <v>3355.04</v>
      </c>
      <c r="N284" s="9">
        <f>tblTransactions[[#This Row],[GrossSales]]*tblTransactions[[#This Row],[Discount]]</f>
        <v>0</v>
      </c>
      <c r="O284" s="9">
        <f>tblTransactions[[#This Row],[GrossSales]]-tblTransactions[[#This Row],[DiscountAmount]]</f>
        <v>3355.04</v>
      </c>
      <c r="P284" s="9">
        <f>_xlfn.XLOOKUP(tblTransactions[[#This Row],[ProductID]],tblProducts[ProductID],tblProducts[UnitCost])</f>
        <v>1914.01</v>
      </c>
      <c r="Q284" s="9">
        <f>tblTransactions[[#This Row],[Quantity]]*tblTransactions[[#This Row],[UnitCost]]</f>
        <v>1914.01</v>
      </c>
      <c r="R284" s="9">
        <f>tblTransactions[[#This Row],[NetRevenue]]-tblTransactions[[#This Row],[TotalCost]]</f>
        <v>1441.03</v>
      </c>
      <c r="S284" t="str">
        <f>_xlfn.XLOOKUP(tblTransactions[[#This Row],[ProductID]],tblProducts[ProductID],tblProducts[Category])</f>
        <v>Personal Care</v>
      </c>
    </row>
    <row r="285" spans="1:19">
      <c r="A285" t="s">
        <v>16602</v>
      </c>
      <c r="B285" s="1">
        <v>45246</v>
      </c>
      <c r="C285" t="s">
        <v>3158</v>
      </c>
      <c r="D285" t="str">
        <f>_xlfn.XLOOKUP(tblTransactions[[#This Row],[CustomerID]],tblCustomers[CustomerID],tblCustomers[CustomerName])</f>
        <v>Amaira Wadhwa</v>
      </c>
      <c r="E285" t="s">
        <v>15984</v>
      </c>
      <c r="F285" t="str">
        <f>_xlfn.XLOOKUP(tblTransactions[[#This Row],[ProductID]],tblProducts[ProductID],tblProducts[ProductName])</f>
        <v>Bluetooth Speaker C3</v>
      </c>
      <c r="G285" t="s">
        <v>16256</v>
      </c>
      <c r="H285" t="str">
        <f>_xlfn.XLOOKUP(tblTransactions[[#This Row],[StoreID]],tblStores[StoreID],tblStores[Region])</f>
        <v>East</v>
      </c>
      <c r="I285">
        <v>1</v>
      </c>
      <c r="J285">
        <v>0</v>
      </c>
      <c r="K285" t="s">
        <v>16315</v>
      </c>
      <c r="L285" s="9">
        <f>_xlfn.XLOOKUP(tblTransactions[[#This Row],[ProductID]],tblProducts[ProductID],tblProducts[UnitPrice])</f>
        <v>76661.149999999994</v>
      </c>
      <c r="M285" s="9">
        <f>tblTransactions[[#This Row],[Quantity]]*tblTransactions[[#This Row],[UnitPrice]]</f>
        <v>76661.149999999994</v>
      </c>
      <c r="N285" s="9">
        <f>tblTransactions[[#This Row],[GrossSales]]*tblTransactions[[#This Row],[Discount]]</f>
        <v>0</v>
      </c>
      <c r="O285" s="9">
        <f>tblTransactions[[#This Row],[GrossSales]]-tblTransactions[[#This Row],[DiscountAmount]]</f>
        <v>76661.149999999994</v>
      </c>
      <c r="P285" s="9">
        <f>_xlfn.XLOOKUP(tblTransactions[[#This Row],[ProductID]],tblProducts[ProductID],tblProducts[UnitCost])</f>
        <v>44142.48</v>
      </c>
      <c r="Q285" s="9">
        <f>tblTransactions[[#This Row],[Quantity]]*tblTransactions[[#This Row],[UnitCost]]</f>
        <v>44142.48</v>
      </c>
      <c r="R285" s="9">
        <f>tblTransactions[[#This Row],[NetRevenue]]-tblTransactions[[#This Row],[TotalCost]]</f>
        <v>32518.669999999991</v>
      </c>
      <c r="S285" t="str">
        <f>_xlfn.XLOOKUP(tblTransactions[[#This Row],[ProductID]],tblProducts[ProductID],tblProducts[Category])</f>
        <v>Electronics</v>
      </c>
    </row>
    <row r="286" spans="1:19">
      <c r="A286" t="s">
        <v>16603</v>
      </c>
      <c r="B286" s="1">
        <v>45247</v>
      </c>
      <c r="C286" t="s">
        <v>10192</v>
      </c>
      <c r="D286" t="str">
        <f>_xlfn.XLOOKUP(tblTransactions[[#This Row],[CustomerID]],tblCustomers[CustomerID],tblCustomers[CustomerName])</f>
        <v>Urvi Tara</v>
      </c>
      <c r="E286" t="s">
        <v>16135</v>
      </c>
      <c r="F286" t="str">
        <f>_xlfn.XLOOKUP(tblTransactions[[#This Row],[ProductID]],tblProducts[ProductID],tblProducts[ProductName])</f>
        <v>Sugar B2</v>
      </c>
      <c r="G286" t="s">
        <v>16259</v>
      </c>
      <c r="H286" t="str">
        <f>_xlfn.XLOOKUP(tblTransactions[[#This Row],[StoreID]],tblStores[StoreID],tblStores[Region])</f>
        <v>East</v>
      </c>
      <c r="I286">
        <v>2</v>
      </c>
      <c r="J286">
        <v>0.1</v>
      </c>
      <c r="K286" t="s">
        <v>16321</v>
      </c>
      <c r="L286" s="9">
        <f>_xlfn.XLOOKUP(tblTransactions[[#This Row],[ProductID]],tblProducts[ProductID],tblProducts[UnitPrice])</f>
        <v>1384.91</v>
      </c>
      <c r="M286" s="9">
        <f>tblTransactions[[#This Row],[Quantity]]*tblTransactions[[#This Row],[UnitPrice]]</f>
        <v>2769.82</v>
      </c>
      <c r="N286" s="9">
        <f>tblTransactions[[#This Row],[GrossSales]]*tblTransactions[[#This Row],[Discount]]</f>
        <v>276.98200000000003</v>
      </c>
      <c r="O286" s="9">
        <f>tblTransactions[[#This Row],[GrossSales]]-tblTransactions[[#This Row],[DiscountAmount]]</f>
        <v>2492.8380000000002</v>
      </c>
      <c r="P286" s="9">
        <f>_xlfn.XLOOKUP(tblTransactions[[#This Row],[ProductID]],tblProducts[ProductID],tblProducts[UnitCost])</f>
        <v>1102.07</v>
      </c>
      <c r="Q286" s="9">
        <f>tblTransactions[[#This Row],[Quantity]]*tblTransactions[[#This Row],[UnitCost]]</f>
        <v>2204.14</v>
      </c>
      <c r="R286" s="9">
        <f>tblTransactions[[#This Row],[NetRevenue]]-tblTransactions[[#This Row],[TotalCost]]</f>
        <v>288.69800000000032</v>
      </c>
      <c r="S286" t="str">
        <f>_xlfn.XLOOKUP(tblTransactions[[#This Row],[ProductID]],tblProducts[ProductID],tblProducts[Category])</f>
        <v>Grocery</v>
      </c>
    </row>
    <row r="287" spans="1:19">
      <c r="A287" t="s">
        <v>16604</v>
      </c>
      <c r="B287" s="1">
        <v>45248</v>
      </c>
      <c r="C287" t="s">
        <v>12759</v>
      </c>
      <c r="D287" t="str">
        <f>_xlfn.XLOOKUP(tblTransactions[[#This Row],[CustomerID]],tblCustomers[CustomerID],tblCustomers[CustomerName])</f>
        <v>Vaishnavi Dhar</v>
      </c>
      <c r="E287" t="s">
        <v>16249</v>
      </c>
      <c r="F287" t="str">
        <f>_xlfn.XLOOKUP(tblTransactions[[#This Row],[ProductID]],tblProducts[ProductID],tblProducts[ProductName])</f>
        <v>Beard Oil A6</v>
      </c>
      <c r="G287" t="s">
        <v>16287</v>
      </c>
      <c r="H287" t="str">
        <f>_xlfn.XLOOKUP(tblTransactions[[#This Row],[StoreID]],tblStores[StoreID],tblStores[Region])</f>
        <v>North</v>
      </c>
      <c r="I287">
        <v>2</v>
      </c>
      <c r="J287">
        <v>0</v>
      </c>
      <c r="K287" t="s">
        <v>16319</v>
      </c>
      <c r="L287" s="9">
        <f>_xlfn.XLOOKUP(tblTransactions[[#This Row],[ProductID]],tblProducts[ProductID],tblProducts[UnitPrice])</f>
        <v>4294.7</v>
      </c>
      <c r="M287" s="9">
        <f>tblTransactions[[#This Row],[Quantity]]*tblTransactions[[#This Row],[UnitPrice]]</f>
        <v>8589.4</v>
      </c>
      <c r="N287" s="9">
        <f>tblTransactions[[#This Row],[GrossSales]]*tblTransactions[[#This Row],[Discount]]</f>
        <v>0</v>
      </c>
      <c r="O287" s="9">
        <f>tblTransactions[[#This Row],[GrossSales]]-tblTransactions[[#This Row],[DiscountAmount]]</f>
        <v>8589.4</v>
      </c>
      <c r="P287" s="9">
        <f>_xlfn.XLOOKUP(tblTransactions[[#This Row],[ProductID]],tblProducts[ProductID],tblProducts[UnitCost])</f>
        <v>3317.06</v>
      </c>
      <c r="Q287" s="9">
        <f>tblTransactions[[#This Row],[Quantity]]*tblTransactions[[#This Row],[UnitCost]]</f>
        <v>6634.12</v>
      </c>
      <c r="R287" s="9">
        <f>tblTransactions[[#This Row],[NetRevenue]]-tblTransactions[[#This Row],[TotalCost]]</f>
        <v>1955.2799999999997</v>
      </c>
      <c r="S287" t="str">
        <f>_xlfn.XLOOKUP(tblTransactions[[#This Row],[ProductID]],tblProducts[ProductID],tblProducts[Category])</f>
        <v>Personal Care</v>
      </c>
    </row>
    <row r="288" spans="1:19">
      <c r="A288" t="s">
        <v>16605</v>
      </c>
      <c r="B288" s="1">
        <v>45249</v>
      </c>
      <c r="C288" t="s">
        <v>13106</v>
      </c>
      <c r="D288" t="str">
        <f>_xlfn.XLOOKUP(tblTransactions[[#This Row],[CustomerID]],tblCustomers[CustomerID],tblCustomers[CustomerName])</f>
        <v>Hemal Krish</v>
      </c>
      <c r="E288" t="s">
        <v>16158</v>
      </c>
      <c r="F288" t="str">
        <f>_xlfn.XLOOKUP(tblTransactions[[#This Row],[ProductID]],tblProducts[ProductID],tblProducts[ProductName])</f>
        <v>Chocolate A6</v>
      </c>
      <c r="G288" t="s">
        <v>16273</v>
      </c>
      <c r="H288" t="str">
        <f>_xlfn.XLOOKUP(tblTransactions[[#This Row],[StoreID]],tblStores[StoreID],tblStores[Region])</f>
        <v>West</v>
      </c>
      <c r="I288">
        <v>1</v>
      </c>
      <c r="J288">
        <v>0</v>
      </c>
      <c r="K288" t="s">
        <v>16317</v>
      </c>
      <c r="L288" s="9">
        <f>_xlfn.XLOOKUP(tblTransactions[[#This Row],[ProductID]],tblProducts[ProductID],tblProducts[UnitPrice])</f>
        <v>1494.3</v>
      </c>
      <c r="M288" s="9">
        <f>tblTransactions[[#This Row],[Quantity]]*tblTransactions[[#This Row],[UnitPrice]]</f>
        <v>1494.3</v>
      </c>
      <c r="N288" s="9">
        <f>tblTransactions[[#This Row],[GrossSales]]*tblTransactions[[#This Row],[Discount]]</f>
        <v>0</v>
      </c>
      <c r="O288" s="9">
        <f>tblTransactions[[#This Row],[GrossSales]]-tblTransactions[[#This Row],[DiscountAmount]]</f>
        <v>1494.3</v>
      </c>
      <c r="P288" s="9">
        <f>_xlfn.XLOOKUP(tblTransactions[[#This Row],[ProductID]],tblProducts[ProductID],tblProducts[UnitCost])</f>
        <v>1031.67</v>
      </c>
      <c r="Q288" s="9">
        <f>tblTransactions[[#This Row],[Quantity]]*tblTransactions[[#This Row],[UnitCost]]</f>
        <v>1031.67</v>
      </c>
      <c r="R288" s="9">
        <f>tblTransactions[[#This Row],[NetRevenue]]-tblTransactions[[#This Row],[TotalCost]]</f>
        <v>462.62999999999988</v>
      </c>
      <c r="S288" t="str">
        <f>_xlfn.XLOOKUP(tblTransactions[[#This Row],[ProductID]],tblProducts[ProductID],tblProducts[Category])</f>
        <v>Grocery</v>
      </c>
    </row>
    <row r="289" spans="1:19">
      <c r="A289" t="s">
        <v>16606</v>
      </c>
      <c r="B289" s="1">
        <v>45250</v>
      </c>
      <c r="C289" t="s">
        <v>1346</v>
      </c>
      <c r="D289" t="str">
        <f>_xlfn.XLOOKUP(tblTransactions[[#This Row],[CustomerID]],tblCustomers[CustomerID],tblCustomers[CustomerName])</f>
        <v>Kashvi Sagar</v>
      </c>
      <c r="E289" t="s">
        <v>16005</v>
      </c>
      <c r="F289" t="str">
        <f>_xlfn.XLOOKUP(tblTransactions[[#This Row],[ProductID]],tblProducts[ProductID],tblProducts[ProductName])</f>
        <v>Wireless Charger A6</v>
      </c>
      <c r="G289" t="s">
        <v>16273</v>
      </c>
      <c r="H289" t="str">
        <f>_xlfn.XLOOKUP(tblTransactions[[#This Row],[StoreID]],tblStores[StoreID],tblStores[Region])</f>
        <v>West</v>
      </c>
      <c r="I289">
        <v>1</v>
      </c>
      <c r="J289">
        <v>0.1</v>
      </c>
      <c r="K289" t="s">
        <v>16321</v>
      </c>
      <c r="L289" s="9">
        <f>_xlfn.XLOOKUP(tblTransactions[[#This Row],[ProductID]],tblProducts[ProductID],tblProducts[UnitPrice])</f>
        <v>78938.720000000001</v>
      </c>
      <c r="M289" s="9">
        <f>tblTransactions[[#This Row],[Quantity]]*tblTransactions[[#This Row],[UnitPrice]]</f>
        <v>78938.720000000001</v>
      </c>
      <c r="N289" s="9">
        <f>tblTransactions[[#This Row],[GrossSales]]*tblTransactions[[#This Row],[Discount]]</f>
        <v>7893.8720000000003</v>
      </c>
      <c r="O289" s="9">
        <f>tblTransactions[[#This Row],[GrossSales]]-tblTransactions[[#This Row],[DiscountAmount]]</f>
        <v>71044.847999999998</v>
      </c>
      <c r="P289" s="9">
        <f>_xlfn.XLOOKUP(tblTransactions[[#This Row],[ProductID]],tblProducts[ProductID],tblProducts[UnitCost])</f>
        <v>53801.63</v>
      </c>
      <c r="Q289" s="9">
        <f>tblTransactions[[#This Row],[Quantity]]*tblTransactions[[#This Row],[UnitCost]]</f>
        <v>53801.63</v>
      </c>
      <c r="R289" s="9">
        <f>tblTransactions[[#This Row],[NetRevenue]]-tblTransactions[[#This Row],[TotalCost]]</f>
        <v>17243.218000000001</v>
      </c>
      <c r="S289" t="str">
        <f>_xlfn.XLOOKUP(tblTransactions[[#This Row],[ProductID]],tblProducts[ProductID],tblProducts[Category])</f>
        <v>Electronics</v>
      </c>
    </row>
    <row r="290" spans="1:19">
      <c r="A290" t="s">
        <v>16607</v>
      </c>
      <c r="B290" s="1">
        <v>45250</v>
      </c>
      <c r="C290" t="s">
        <v>14993</v>
      </c>
      <c r="D290" t="str">
        <f>_xlfn.XLOOKUP(tblTransactions[[#This Row],[CustomerID]],tblCustomers[CustomerID],tblCustomers[CustomerName])</f>
        <v>Eesha Singhal</v>
      </c>
      <c r="E290" t="s">
        <v>16015</v>
      </c>
      <c r="F290" t="str">
        <f>_xlfn.XLOOKUP(tblTransactions[[#This Row],[ProductID]],tblProducts[ProductID],tblProducts[ProductName])</f>
        <v>Electric Kettle C3</v>
      </c>
      <c r="G290" t="s">
        <v>16305</v>
      </c>
      <c r="H290" t="str">
        <f>_xlfn.XLOOKUP(tblTransactions[[#This Row],[StoreID]],tblStores[StoreID],tblStores[Region])</f>
        <v>South</v>
      </c>
      <c r="I290">
        <v>2</v>
      </c>
      <c r="J290">
        <v>0</v>
      </c>
      <c r="K290" t="s">
        <v>16317</v>
      </c>
      <c r="L290" s="9">
        <f>_xlfn.XLOOKUP(tblTransactions[[#This Row],[ProductID]],tblProducts[ProductID],tblProducts[UnitPrice])</f>
        <v>11511.46</v>
      </c>
      <c r="M290" s="9">
        <f>tblTransactions[[#This Row],[Quantity]]*tblTransactions[[#This Row],[UnitPrice]]</f>
        <v>23022.92</v>
      </c>
      <c r="N290" s="9">
        <f>tblTransactions[[#This Row],[GrossSales]]*tblTransactions[[#This Row],[Discount]]</f>
        <v>0</v>
      </c>
      <c r="O290" s="9">
        <f>tblTransactions[[#This Row],[GrossSales]]-tblTransactions[[#This Row],[DiscountAmount]]</f>
        <v>23022.92</v>
      </c>
      <c r="P290" s="9">
        <f>_xlfn.XLOOKUP(tblTransactions[[#This Row],[ProductID]],tblProducts[ProductID],tblProducts[UnitCost])</f>
        <v>9046.98</v>
      </c>
      <c r="Q290" s="9">
        <f>tblTransactions[[#This Row],[Quantity]]*tblTransactions[[#This Row],[UnitCost]]</f>
        <v>18093.96</v>
      </c>
      <c r="R290" s="9">
        <f>tblTransactions[[#This Row],[NetRevenue]]-tblTransactions[[#This Row],[TotalCost]]</f>
        <v>4928.9599999999991</v>
      </c>
      <c r="S290" t="str">
        <f>_xlfn.XLOOKUP(tblTransactions[[#This Row],[ProductID]],tblProducts[ProductID],tblProducts[Category])</f>
        <v>Home &amp; Kitchen</v>
      </c>
    </row>
    <row r="291" spans="1:19">
      <c r="A291" t="s">
        <v>16608</v>
      </c>
      <c r="B291" s="1">
        <v>45252</v>
      </c>
      <c r="C291" t="s">
        <v>14341</v>
      </c>
      <c r="D291" t="str">
        <f>_xlfn.XLOOKUP(tblTransactions[[#This Row],[CustomerID]],tblCustomers[CustomerID],tblCustomers[CustomerName])</f>
        <v>Noah Sachdeva</v>
      </c>
      <c r="E291" t="s">
        <v>16125</v>
      </c>
      <c r="F291" t="str">
        <f>_xlfn.XLOOKUP(tblTransactions[[#This Row],[ProductID]],tblProducts[ProductID],tblProducts[ProductName])</f>
        <v>Sports Shoes E5</v>
      </c>
      <c r="G291" t="s">
        <v>16305</v>
      </c>
      <c r="H291" t="str">
        <f>_xlfn.XLOOKUP(tblTransactions[[#This Row],[StoreID]],tblStores[StoreID],tblStores[Region])</f>
        <v>South</v>
      </c>
      <c r="I291">
        <v>1</v>
      </c>
      <c r="J291">
        <v>0.1</v>
      </c>
      <c r="K291" t="s">
        <v>16317</v>
      </c>
      <c r="L291" s="9">
        <f>_xlfn.XLOOKUP(tblTransactions[[#This Row],[ProductID]],tblProducts[ProductID],tblProducts[UnitPrice])</f>
        <v>3368.47</v>
      </c>
      <c r="M291" s="9">
        <f>tblTransactions[[#This Row],[Quantity]]*tblTransactions[[#This Row],[UnitPrice]]</f>
        <v>3368.47</v>
      </c>
      <c r="N291" s="9">
        <f>tblTransactions[[#This Row],[GrossSales]]*tblTransactions[[#This Row],[Discount]]</f>
        <v>336.84699999999998</v>
      </c>
      <c r="O291" s="9">
        <f>tblTransactions[[#This Row],[GrossSales]]-tblTransactions[[#This Row],[DiscountAmount]]</f>
        <v>3031.6229999999996</v>
      </c>
      <c r="P291" s="9">
        <f>_xlfn.XLOOKUP(tblTransactions[[#This Row],[ProductID]],tblProducts[ProductID],tblProducts[UnitCost])</f>
        <v>2152.4899999999998</v>
      </c>
      <c r="Q291" s="9">
        <f>tblTransactions[[#This Row],[Quantity]]*tblTransactions[[#This Row],[UnitCost]]</f>
        <v>2152.4899999999998</v>
      </c>
      <c r="R291" s="9">
        <f>tblTransactions[[#This Row],[NetRevenue]]-tblTransactions[[#This Row],[TotalCost]]</f>
        <v>879.13299999999981</v>
      </c>
      <c r="S291" t="str">
        <f>_xlfn.XLOOKUP(tblTransactions[[#This Row],[ProductID]],tblProducts[ProductID],tblProducts[Category])</f>
        <v>Clothing</v>
      </c>
    </row>
    <row r="292" spans="1:19">
      <c r="A292" t="s">
        <v>16609</v>
      </c>
      <c r="B292" s="1">
        <v>45258</v>
      </c>
      <c r="C292" t="s">
        <v>3465</v>
      </c>
      <c r="D292" t="str">
        <f>_xlfn.XLOOKUP(tblTransactions[[#This Row],[CustomerID]],tblCustomers[CustomerID],tblCustomers[CustomerName])</f>
        <v>Rishi Agarwal</v>
      </c>
      <c r="E292" t="s">
        <v>16147</v>
      </c>
      <c r="F292" t="str">
        <f>_xlfn.XLOOKUP(tblTransactions[[#This Row],[ProductID]],tblProducts[ProductID],tblProducts[ProductName])</f>
        <v>Namkeen A1</v>
      </c>
      <c r="G292" t="s">
        <v>16289</v>
      </c>
      <c r="H292" t="str">
        <f>_xlfn.XLOOKUP(tblTransactions[[#This Row],[StoreID]],tblStores[StoreID],tblStores[Region])</f>
        <v>South</v>
      </c>
      <c r="I292">
        <v>1</v>
      </c>
      <c r="J292">
        <v>0.1</v>
      </c>
      <c r="K292" t="s">
        <v>16319</v>
      </c>
      <c r="L292" s="9">
        <f>_xlfn.XLOOKUP(tblTransactions[[#This Row],[ProductID]],tblProducts[ProductID],tblProducts[UnitPrice])</f>
        <v>1282.31</v>
      </c>
      <c r="M292" s="9">
        <f>tblTransactions[[#This Row],[Quantity]]*tblTransactions[[#This Row],[UnitPrice]]</f>
        <v>1282.31</v>
      </c>
      <c r="N292" s="9">
        <f>tblTransactions[[#This Row],[GrossSales]]*tblTransactions[[#This Row],[Discount]]</f>
        <v>128.23099999999999</v>
      </c>
      <c r="O292" s="9">
        <f>tblTransactions[[#This Row],[GrossSales]]-tblTransactions[[#This Row],[DiscountAmount]]</f>
        <v>1154.079</v>
      </c>
      <c r="P292" s="9">
        <f>_xlfn.XLOOKUP(tblTransactions[[#This Row],[ProductID]],tblProducts[ProductID],tblProducts[UnitCost])</f>
        <v>759</v>
      </c>
      <c r="Q292" s="9">
        <f>tblTransactions[[#This Row],[Quantity]]*tblTransactions[[#This Row],[UnitCost]]</f>
        <v>759</v>
      </c>
      <c r="R292" s="9">
        <f>tblTransactions[[#This Row],[NetRevenue]]-tblTransactions[[#This Row],[TotalCost]]</f>
        <v>395.07899999999995</v>
      </c>
      <c r="S292" t="str">
        <f>_xlfn.XLOOKUP(tblTransactions[[#This Row],[ProductID]],tblProducts[ProductID],tblProducts[Category])</f>
        <v>Grocery</v>
      </c>
    </row>
    <row r="293" spans="1:19">
      <c r="A293" t="s">
        <v>16610</v>
      </c>
      <c r="B293" s="1">
        <v>45262</v>
      </c>
      <c r="C293" t="s">
        <v>8977</v>
      </c>
      <c r="D293" t="str">
        <f>_xlfn.XLOOKUP(tblTransactions[[#This Row],[CustomerID]],tblCustomers[CustomerID],tblCustomers[CustomerName])</f>
        <v>Keya Bal</v>
      </c>
      <c r="E293" t="s">
        <v>16089</v>
      </c>
      <c r="F293" t="str">
        <f>_xlfn.XLOOKUP(tblTransactions[[#This Row],[ProductID]],tblProducts[ProductID],tblProducts[ProductName])</f>
        <v>Women's Jeans B2</v>
      </c>
      <c r="G293" t="s">
        <v>16285</v>
      </c>
      <c r="H293" t="str">
        <f>_xlfn.XLOOKUP(tblTransactions[[#This Row],[StoreID]],tblStores[StoreID],tblStores[Region])</f>
        <v>West</v>
      </c>
      <c r="I293">
        <v>4</v>
      </c>
      <c r="J293">
        <v>0.15</v>
      </c>
      <c r="K293" t="s">
        <v>16317</v>
      </c>
      <c r="L293" s="9">
        <f>_xlfn.XLOOKUP(tblTransactions[[#This Row],[ProductID]],tblProducts[ProductID],tblProducts[UnitPrice])</f>
        <v>7788.99</v>
      </c>
      <c r="M293" s="9">
        <f>tblTransactions[[#This Row],[Quantity]]*tblTransactions[[#This Row],[UnitPrice]]</f>
        <v>31155.96</v>
      </c>
      <c r="N293" s="9">
        <f>tblTransactions[[#This Row],[GrossSales]]*tblTransactions[[#This Row],[Discount]]</f>
        <v>4673.3939999999993</v>
      </c>
      <c r="O293" s="9">
        <f>tblTransactions[[#This Row],[GrossSales]]-tblTransactions[[#This Row],[DiscountAmount]]</f>
        <v>26482.565999999999</v>
      </c>
      <c r="P293" s="9">
        <f>_xlfn.XLOOKUP(tblTransactions[[#This Row],[ProductID]],tblProducts[ProductID],tblProducts[UnitCost])</f>
        <v>6231.21</v>
      </c>
      <c r="Q293" s="9">
        <f>tblTransactions[[#This Row],[Quantity]]*tblTransactions[[#This Row],[UnitCost]]</f>
        <v>24924.84</v>
      </c>
      <c r="R293" s="9">
        <f>tblTransactions[[#This Row],[NetRevenue]]-tblTransactions[[#This Row],[TotalCost]]</f>
        <v>1557.7259999999987</v>
      </c>
      <c r="S293" t="str">
        <f>_xlfn.XLOOKUP(tblTransactions[[#This Row],[ProductID]],tblProducts[ProductID],tblProducts[Category])</f>
        <v>Clothing</v>
      </c>
    </row>
    <row r="294" spans="1:19">
      <c r="A294" t="s">
        <v>16611</v>
      </c>
      <c r="B294" s="1">
        <v>45262</v>
      </c>
      <c r="C294" t="s">
        <v>1907</v>
      </c>
      <c r="D294" t="str">
        <f>_xlfn.XLOOKUP(tblTransactions[[#This Row],[CustomerID]],tblCustomers[CustomerID],tblCustomers[CustomerName])</f>
        <v>Mason Gola</v>
      </c>
      <c r="E294" t="s">
        <v>16089</v>
      </c>
      <c r="F294" t="str">
        <f>_xlfn.XLOOKUP(tblTransactions[[#This Row],[ProductID]],tblProducts[ProductID],tblProducts[ProductName])</f>
        <v>Women's Jeans B2</v>
      </c>
      <c r="G294" t="s">
        <v>16259</v>
      </c>
      <c r="H294" t="str">
        <f>_xlfn.XLOOKUP(tblTransactions[[#This Row],[StoreID]],tblStores[StoreID],tblStores[Region])</f>
        <v>East</v>
      </c>
      <c r="I294">
        <v>1</v>
      </c>
      <c r="J294">
        <v>0.05</v>
      </c>
      <c r="K294" t="s">
        <v>16321</v>
      </c>
      <c r="L294" s="9">
        <f>_xlfn.XLOOKUP(tblTransactions[[#This Row],[ProductID]],tblProducts[ProductID],tblProducts[UnitPrice])</f>
        <v>7788.99</v>
      </c>
      <c r="M294" s="9">
        <f>tblTransactions[[#This Row],[Quantity]]*tblTransactions[[#This Row],[UnitPrice]]</f>
        <v>7788.99</v>
      </c>
      <c r="N294" s="9">
        <f>tblTransactions[[#This Row],[GrossSales]]*tblTransactions[[#This Row],[Discount]]</f>
        <v>389.4495</v>
      </c>
      <c r="O294" s="9">
        <f>tblTransactions[[#This Row],[GrossSales]]-tblTransactions[[#This Row],[DiscountAmount]]</f>
        <v>7399.5405000000001</v>
      </c>
      <c r="P294" s="9">
        <f>_xlfn.XLOOKUP(tblTransactions[[#This Row],[ProductID]],tblProducts[ProductID],tblProducts[UnitCost])</f>
        <v>6231.21</v>
      </c>
      <c r="Q294" s="9">
        <f>tblTransactions[[#This Row],[Quantity]]*tblTransactions[[#This Row],[UnitCost]]</f>
        <v>6231.21</v>
      </c>
      <c r="R294" s="9">
        <f>tblTransactions[[#This Row],[NetRevenue]]-tblTransactions[[#This Row],[TotalCost]]</f>
        <v>1168.3305</v>
      </c>
      <c r="S294" t="str">
        <f>_xlfn.XLOOKUP(tblTransactions[[#This Row],[ProductID]],tblProducts[ProductID],tblProducts[Category])</f>
        <v>Clothing</v>
      </c>
    </row>
    <row r="295" spans="1:19">
      <c r="A295" t="s">
        <v>16612</v>
      </c>
      <c r="B295" s="1">
        <v>45264</v>
      </c>
      <c r="C295" t="s">
        <v>4266</v>
      </c>
      <c r="D295" t="str">
        <f>_xlfn.XLOOKUP(tblTransactions[[#This Row],[CustomerID]],tblCustomers[CustomerID],tblCustomers[CustomerName])</f>
        <v>Jason Kaul</v>
      </c>
      <c r="E295" t="s">
        <v>16247</v>
      </c>
      <c r="F295" t="str">
        <f>_xlfn.XLOOKUP(tblTransactions[[#This Row],[ProductID]],tblProducts[ProductID],tblProducts[ProductName])</f>
        <v>Shaving Kit E5</v>
      </c>
      <c r="G295" t="s">
        <v>16301</v>
      </c>
      <c r="H295" t="str">
        <f>_xlfn.XLOOKUP(tblTransactions[[#This Row],[StoreID]],tblStores[StoreID],tblStores[Region])</f>
        <v>East</v>
      </c>
      <c r="I295">
        <v>2</v>
      </c>
      <c r="J295">
        <v>0.1</v>
      </c>
      <c r="K295" t="s">
        <v>16325</v>
      </c>
      <c r="L295" s="9">
        <f>_xlfn.XLOOKUP(tblTransactions[[#This Row],[ProductID]],tblProducts[ProductID],tblProducts[UnitPrice])</f>
        <v>3430.41</v>
      </c>
      <c r="M295" s="9">
        <f>tblTransactions[[#This Row],[Quantity]]*tblTransactions[[#This Row],[UnitPrice]]</f>
        <v>6860.82</v>
      </c>
      <c r="N295" s="9">
        <f>tblTransactions[[#This Row],[GrossSales]]*tblTransactions[[#This Row],[Discount]]</f>
        <v>686.08199999999999</v>
      </c>
      <c r="O295" s="9">
        <f>tblTransactions[[#This Row],[GrossSales]]-tblTransactions[[#This Row],[DiscountAmount]]</f>
        <v>6174.7379999999994</v>
      </c>
      <c r="P295" s="9">
        <f>_xlfn.XLOOKUP(tblTransactions[[#This Row],[ProductID]],tblProducts[ProductID],tblProducts[UnitCost])</f>
        <v>2912.56</v>
      </c>
      <c r="Q295" s="9">
        <f>tblTransactions[[#This Row],[Quantity]]*tblTransactions[[#This Row],[UnitCost]]</f>
        <v>5825.12</v>
      </c>
      <c r="R295" s="9">
        <f>tblTransactions[[#This Row],[NetRevenue]]-tblTransactions[[#This Row],[TotalCost]]</f>
        <v>349.61799999999948</v>
      </c>
      <c r="S295" t="str">
        <f>_xlfn.XLOOKUP(tblTransactions[[#This Row],[ProductID]],tblProducts[ProductID],tblProducts[Category])</f>
        <v>Personal Care</v>
      </c>
    </row>
    <row r="296" spans="1:19">
      <c r="A296" t="s">
        <v>16613</v>
      </c>
      <c r="B296" s="1">
        <v>45265</v>
      </c>
      <c r="C296" t="s">
        <v>5635</v>
      </c>
      <c r="D296" t="str">
        <f>_xlfn.XLOOKUP(tblTransactions[[#This Row],[CustomerID]],tblCustomers[CustomerID],tblCustomers[CustomerName])</f>
        <v>Udant Lad</v>
      </c>
      <c r="E296" t="s">
        <v>16152</v>
      </c>
      <c r="F296" t="str">
        <f>_xlfn.XLOOKUP(tblTransactions[[#This Row],[ProductID]],tblProducts[ProductID],tblProducts[ProductName])</f>
        <v>Chips C3</v>
      </c>
      <c r="G296" t="s">
        <v>16267</v>
      </c>
      <c r="H296" t="str">
        <f>_xlfn.XLOOKUP(tblTransactions[[#This Row],[StoreID]],tblStores[StoreID],tblStores[Region])</f>
        <v>West</v>
      </c>
      <c r="I296">
        <v>1</v>
      </c>
      <c r="J296">
        <v>0</v>
      </c>
      <c r="K296" t="s">
        <v>16321</v>
      </c>
      <c r="L296" s="9">
        <f>_xlfn.XLOOKUP(tblTransactions[[#This Row],[ProductID]],tblProducts[ProductID],tblProducts[UnitPrice])</f>
        <v>152.38</v>
      </c>
      <c r="M296" s="9">
        <f>tblTransactions[[#This Row],[Quantity]]*tblTransactions[[#This Row],[UnitPrice]]</f>
        <v>152.38</v>
      </c>
      <c r="N296" s="9">
        <f>tblTransactions[[#This Row],[GrossSales]]*tblTransactions[[#This Row],[Discount]]</f>
        <v>0</v>
      </c>
      <c r="O296" s="9">
        <f>tblTransactions[[#This Row],[GrossSales]]-tblTransactions[[#This Row],[DiscountAmount]]</f>
        <v>152.38</v>
      </c>
      <c r="P296" s="9">
        <f>_xlfn.XLOOKUP(tblTransactions[[#This Row],[ProductID]],tblProducts[ProductID],tblProducts[UnitCost])</f>
        <v>100.44</v>
      </c>
      <c r="Q296" s="9">
        <f>tblTransactions[[#This Row],[Quantity]]*tblTransactions[[#This Row],[UnitCost]]</f>
        <v>100.44</v>
      </c>
      <c r="R296" s="9">
        <f>tblTransactions[[#This Row],[NetRevenue]]-tblTransactions[[#This Row],[TotalCost]]</f>
        <v>51.94</v>
      </c>
      <c r="S296" t="str">
        <f>_xlfn.XLOOKUP(tblTransactions[[#This Row],[ProductID]],tblProducts[ProductID],tblProducts[Category])</f>
        <v>Grocery</v>
      </c>
    </row>
    <row r="297" spans="1:19">
      <c r="A297" t="s">
        <v>16614</v>
      </c>
      <c r="B297" s="1">
        <v>45266</v>
      </c>
      <c r="C297" t="s">
        <v>4826</v>
      </c>
      <c r="D297" t="str">
        <f>_xlfn.XLOOKUP(tblTransactions[[#This Row],[CustomerID]],tblCustomers[CustomerID],tblCustomers[CustomerName])</f>
        <v>Kashish Lad</v>
      </c>
      <c r="E297" t="s">
        <v>16249</v>
      </c>
      <c r="F297" t="str">
        <f>_xlfn.XLOOKUP(tblTransactions[[#This Row],[ProductID]],tblProducts[ProductID],tblProducts[ProductName])</f>
        <v>Beard Oil A6</v>
      </c>
      <c r="G297" t="s">
        <v>16269</v>
      </c>
      <c r="H297" t="str">
        <f>_xlfn.XLOOKUP(tblTransactions[[#This Row],[StoreID]],tblStores[StoreID],tblStores[Region])</f>
        <v>North</v>
      </c>
      <c r="I297">
        <v>1</v>
      </c>
      <c r="J297">
        <v>0</v>
      </c>
      <c r="K297" t="s">
        <v>16321</v>
      </c>
      <c r="L297" s="9">
        <f>_xlfn.XLOOKUP(tblTransactions[[#This Row],[ProductID]],tblProducts[ProductID],tblProducts[UnitPrice])</f>
        <v>4294.7</v>
      </c>
      <c r="M297" s="9">
        <f>tblTransactions[[#This Row],[Quantity]]*tblTransactions[[#This Row],[UnitPrice]]</f>
        <v>4294.7</v>
      </c>
      <c r="N297" s="9">
        <f>tblTransactions[[#This Row],[GrossSales]]*tblTransactions[[#This Row],[Discount]]</f>
        <v>0</v>
      </c>
      <c r="O297" s="9">
        <f>tblTransactions[[#This Row],[GrossSales]]-tblTransactions[[#This Row],[DiscountAmount]]</f>
        <v>4294.7</v>
      </c>
      <c r="P297" s="9">
        <f>_xlfn.XLOOKUP(tblTransactions[[#This Row],[ProductID]],tblProducts[ProductID],tblProducts[UnitCost])</f>
        <v>3317.06</v>
      </c>
      <c r="Q297" s="9">
        <f>tblTransactions[[#This Row],[Quantity]]*tblTransactions[[#This Row],[UnitCost]]</f>
        <v>3317.06</v>
      </c>
      <c r="R297" s="9">
        <f>tblTransactions[[#This Row],[NetRevenue]]-tblTransactions[[#This Row],[TotalCost]]</f>
        <v>977.63999999999987</v>
      </c>
      <c r="S297" t="str">
        <f>_xlfn.XLOOKUP(tblTransactions[[#This Row],[ProductID]],tblProducts[ProductID],tblProducts[Category])</f>
        <v>Personal Care</v>
      </c>
    </row>
    <row r="298" spans="1:19">
      <c r="A298" t="s">
        <v>16615</v>
      </c>
      <c r="B298" s="1">
        <v>45267</v>
      </c>
      <c r="C298" t="s">
        <v>9943</v>
      </c>
      <c r="D298" t="str">
        <f>_xlfn.XLOOKUP(tblTransactions[[#This Row],[CustomerID]],tblCustomers[CustomerID],tblCustomers[CustomerName])</f>
        <v>Nirja Radhakrishnan</v>
      </c>
      <c r="E298" t="s">
        <v>16131</v>
      </c>
      <c r="F298" t="str">
        <f>_xlfn.XLOOKUP(tblTransactions[[#This Row],[ProductID]],tblProducts[ProductID],tblProducts[ProductName])</f>
        <v>Cooking Oil A1</v>
      </c>
      <c r="G298" t="s">
        <v>16259</v>
      </c>
      <c r="H298" t="str">
        <f>_xlfn.XLOOKUP(tblTransactions[[#This Row],[StoreID]],tblStores[StoreID],tblStores[Region])</f>
        <v>East</v>
      </c>
      <c r="I298">
        <v>1</v>
      </c>
      <c r="J298">
        <v>0</v>
      </c>
      <c r="K298" t="s">
        <v>16321</v>
      </c>
      <c r="L298" s="9">
        <f>_xlfn.XLOOKUP(tblTransactions[[#This Row],[ProductID]],tblProducts[ProductID],tblProducts[UnitPrice])</f>
        <v>587.35</v>
      </c>
      <c r="M298" s="9">
        <f>tblTransactions[[#This Row],[Quantity]]*tblTransactions[[#This Row],[UnitPrice]]</f>
        <v>587.35</v>
      </c>
      <c r="N298" s="9">
        <f>tblTransactions[[#This Row],[GrossSales]]*tblTransactions[[#This Row],[Discount]]</f>
        <v>0</v>
      </c>
      <c r="O298" s="9">
        <f>tblTransactions[[#This Row],[GrossSales]]-tblTransactions[[#This Row],[DiscountAmount]]</f>
        <v>587.35</v>
      </c>
      <c r="P298" s="9">
        <f>_xlfn.XLOOKUP(tblTransactions[[#This Row],[ProductID]],tblProducts[ProductID],tblProducts[UnitCost])</f>
        <v>438.09</v>
      </c>
      <c r="Q298" s="9">
        <f>tblTransactions[[#This Row],[Quantity]]*tblTransactions[[#This Row],[UnitCost]]</f>
        <v>438.09</v>
      </c>
      <c r="R298" s="9">
        <f>tblTransactions[[#This Row],[NetRevenue]]-tblTransactions[[#This Row],[TotalCost]]</f>
        <v>149.26000000000005</v>
      </c>
      <c r="S298" t="str">
        <f>_xlfn.XLOOKUP(tblTransactions[[#This Row],[ProductID]],tblProducts[ProductID],tblProducts[Category])</f>
        <v>Grocery</v>
      </c>
    </row>
    <row r="299" spans="1:19">
      <c r="A299" t="s">
        <v>16616</v>
      </c>
      <c r="B299" s="1">
        <v>45267</v>
      </c>
      <c r="C299" t="s">
        <v>10824</v>
      </c>
      <c r="D299" t="str">
        <f>_xlfn.XLOOKUP(tblTransactions[[#This Row],[CustomerID]],tblCustomers[CustomerID],tblCustomers[CustomerName])</f>
        <v>Ekta Patla</v>
      </c>
      <c r="E299" t="s">
        <v>16247</v>
      </c>
      <c r="F299" t="str">
        <f>_xlfn.XLOOKUP(tblTransactions[[#This Row],[ProductID]],tblProducts[ProductID],tblProducts[ProductName])</f>
        <v>Shaving Kit E5</v>
      </c>
      <c r="G299" t="s">
        <v>16277</v>
      </c>
      <c r="H299" t="str">
        <f>_xlfn.XLOOKUP(tblTransactions[[#This Row],[StoreID]],tblStores[StoreID],tblStores[Region])</f>
        <v>West</v>
      </c>
      <c r="I299">
        <v>1</v>
      </c>
      <c r="J299">
        <v>0</v>
      </c>
      <c r="K299" t="s">
        <v>16317</v>
      </c>
      <c r="L299" s="9">
        <f>_xlfn.XLOOKUP(tblTransactions[[#This Row],[ProductID]],tblProducts[ProductID],tblProducts[UnitPrice])</f>
        <v>3430.41</v>
      </c>
      <c r="M299" s="9">
        <f>tblTransactions[[#This Row],[Quantity]]*tblTransactions[[#This Row],[UnitPrice]]</f>
        <v>3430.41</v>
      </c>
      <c r="N299" s="9">
        <f>tblTransactions[[#This Row],[GrossSales]]*tblTransactions[[#This Row],[Discount]]</f>
        <v>0</v>
      </c>
      <c r="O299" s="9">
        <f>tblTransactions[[#This Row],[GrossSales]]-tblTransactions[[#This Row],[DiscountAmount]]</f>
        <v>3430.41</v>
      </c>
      <c r="P299" s="9">
        <f>_xlfn.XLOOKUP(tblTransactions[[#This Row],[ProductID]],tblProducts[ProductID],tblProducts[UnitCost])</f>
        <v>2912.56</v>
      </c>
      <c r="Q299" s="9">
        <f>tblTransactions[[#This Row],[Quantity]]*tblTransactions[[#This Row],[UnitCost]]</f>
        <v>2912.56</v>
      </c>
      <c r="R299" s="9">
        <f>tblTransactions[[#This Row],[NetRevenue]]-tblTransactions[[#This Row],[TotalCost]]</f>
        <v>517.84999999999991</v>
      </c>
      <c r="S299" t="str">
        <f>_xlfn.XLOOKUP(tblTransactions[[#This Row],[ProductID]],tblProducts[ProductID],tblProducts[Category])</f>
        <v>Personal Care</v>
      </c>
    </row>
    <row r="300" spans="1:19">
      <c r="A300" t="s">
        <v>16617</v>
      </c>
      <c r="B300" s="1">
        <v>45268</v>
      </c>
      <c r="C300" t="s">
        <v>15408</v>
      </c>
      <c r="D300" t="str">
        <f>_xlfn.XLOOKUP(tblTransactions[[#This Row],[CustomerID]],tblCustomers[CustomerID],tblCustomers[CustomerName])</f>
        <v>Netra Bandi</v>
      </c>
      <c r="E300" t="s">
        <v>16206</v>
      </c>
      <c r="F300" t="str">
        <f>_xlfn.XLOOKUP(tblTransactions[[#This Row],[ProductID]],tblProducts[ProductID],tblProducts[ProductName])</f>
        <v>Moisturizer B7</v>
      </c>
      <c r="G300" t="s">
        <v>16305</v>
      </c>
      <c r="H300" t="str">
        <f>_xlfn.XLOOKUP(tblTransactions[[#This Row],[StoreID]],tblStores[StoreID],tblStores[Region])</f>
        <v>South</v>
      </c>
      <c r="I300">
        <v>1</v>
      </c>
      <c r="J300">
        <v>0</v>
      </c>
      <c r="K300" t="s">
        <v>16321</v>
      </c>
      <c r="L300" s="9">
        <f>_xlfn.XLOOKUP(tblTransactions[[#This Row],[ProductID]],tblProducts[ProductID],tblProducts[UnitPrice])</f>
        <v>3285.82</v>
      </c>
      <c r="M300" s="9">
        <f>tblTransactions[[#This Row],[Quantity]]*tblTransactions[[#This Row],[UnitPrice]]</f>
        <v>3285.82</v>
      </c>
      <c r="N300" s="9">
        <f>tblTransactions[[#This Row],[GrossSales]]*tblTransactions[[#This Row],[Discount]]</f>
        <v>0</v>
      </c>
      <c r="O300" s="9">
        <f>tblTransactions[[#This Row],[GrossSales]]-tblTransactions[[#This Row],[DiscountAmount]]</f>
        <v>3285.82</v>
      </c>
      <c r="P300" s="9">
        <f>_xlfn.XLOOKUP(tblTransactions[[#This Row],[ProductID]],tblProducts[ProductID],tblProducts[UnitCost])</f>
        <v>2256.9699999999998</v>
      </c>
      <c r="Q300" s="9">
        <f>tblTransactions[[#This Row],[Quantity]]*tblTransactions[[#This Row],[UnitCost]]</f>
        <v>2256.9699999999998</v>
      </c>
      <c r="R300" s="9">
        <f>tblTransactions[[#This Row],[NetRevenue]]-tblTransactions[[#This Row],[TotalCost]]</f>
        <v>1028.8500000000004</v>
      </c>
      <c r="S300" t="str">
        <f>_xlfn.XLOOKUP(tblTransactions[[#This Row],[ProductID]],tblProducts[ProductID],tblProducts[Category])</f>
        <v>Personal Care</v>
      </c>
    </row>
    <row r="301" spans="1:19">
      <c r="A301" t="s">
        <v>16618</v>
      </c>
      <c r="B301" s="1">
        <v>45271</v>
      </c>
      <c r="C301" t="s">
        <v>7980</v>
      </c>
      <c r="D301" t="str">
        <f>_xlfn.XLOOKUP(tblTransactions[[#This Row],[CustomerID]],tblCustomers[CustomerID],tblCustomers[CustomerName])</f>
        <v>Saanvi Oommen</v>
      </c>
      <c r="E301" t="s">
        <v>16066</v>
      </c>
      <c r="F301" t="str">
        <f>_xlfn.XLOOKUP(tblTransactions[[#This Row],[ProductID]],tblProducts[ProductID],tblProducts[ProductName])</f>
        <v>Decorative Vase A6</v>
      </c>
      <c r="G301" t="s">
        <v>16297</v>
      </c>
      <c r="H301" t="str">
        <f>_xlfn.XLOOKUP(tblTransactions[[#This Row],[StoreID]],tblStores[StoreID],tblStores[Region])</f>
        <v>North</v>
      </c>
      <c r="I301">
        <v>1</v>
      </c>
      <c r="J301">
        <v>0</v>
      </c>
      <c r="K301" t="s">
        <v>16315</v>
      </c>
      <c r="L301" s="9">
        <f>_xlfn.XLOOKUP(tblTransactions[[#This Row],[ProductID]],tblProducts[ProductID],tblProducts[UnitPrice])</f>
        <v>3429.74</v>
      </c>
      <c r="M301" s="9">
        <f>tblTransactions[[#This Row],[Quantity]]*tblTransactions[[#This Row],[UnitPrice]]</f>
        <v>3429.74</v>
      </c>
      <c r="N301" s="9">
        <f>tblTransactions[[#This Row],[GrossSales]]*tblTransactions[[#This Row],[Discount]]</f>
        <v>0</v>
      </c>
      <c r="O301" s="9">
        <f>tblTransactions[[#This Row],[GrossSales]]-tblTransactions[[#This Row],[DiscountAmount]]</f>
        <v>3429.74</v>
      </c>
      <c r="P301" s="9">
        <f>_xlfn.XLOOKUP(tblTransactions[[#This Row],[ProductID]],tblProducts[ProductID],tblProducts[UnitCost])</f>
        <v>2172.39</v>
      </c>
      <c r="Q301" s="9">
        <f>tblTransactions[[#This Row],[Quantity]]*tblTransactions[[#This Row],[UnitCost]]</f>
        <v>2172.39</v>
      </c>
      <c r="R301" s="9">
        <f>tblTransactions[[#This Row],[NetRevenue]]-tblTransactions[[#This Row],[TotalCost]]</f>
        <v>1257.3499999999999</v>
      </c>
      <c r="S301" t="str">
        <f>_xlfn.XLOOKUP(tblTransactions[[#This Row],[ProductID]],tblProducts[ProductID],tblProducts[Category])</f>
        <v>Home &amp; Kitchen</v>
      </c>
    </row>
    <row r="302" spans="1:19">
      <c r="A302" t="s">
        <v>16619</v>
      </c>
      <c r="B302" s="1">
        <v>45272</v>
      </c>
      <c r="C302" t="s">
        <v>4032</v>
      </c>
      <c r="D302" t="str">
        <f>_xlfn.XLOOKUP(tblTransactions[[#This Row],[CustomerID]],tblCustomers[CustomerID],tblCustomers[CustomerName])</f>
        <v>Ranbir Bhatnagar</v>
      </c>
      <c r="E302" t="s">
        <v>15941</v>
      </c>
      <c r="F302" t="str">
        <f>_xlfn.XLOOKUP(tblTransactions[[#This Row],[ProductID]],tblProducts[ProductID],tblProducts[ProductName])</f>
        <v>Full HD TV B7</v>
      </c>
      <c r="G302" t="s">
        <v>16281</v>
      </c>
      <c r="H302" t="str">
        <f>_xlfn.XLOOKUP(tblTransactions[[#This Row],[StoreID]],tblStores[StoreID],tblStores[Region])</f>
        <v>West</v>
      </c>
      <c r="I302">
        <v>2</v>
      </c>
      <c r="J302">
        <v>0</v>
      </c>
      <c r="K302" t="s">
        <v>16325</v>
      </c>
      <c r="L302" s="9">
        <f>_xlfn.XLOOKUP(tblTransactions[[#This Row],[ProductID]],tblProducts[ProductID],tblProducts[UnitPrice])</f>
        <v>26638.81</v>
      </c>
      <c r="M302" s="9">
        <f>tblTransactions[[#This Row],[Quantity]]*tblTransactions[[#This Row],[UnitPrice]]</f>
        <v>53277.62</v>
      </c>
      <c r="N302" s="9">
        <f>tblTransactions[[#This Row],[GrossSales]]*tblTransactions[[#This Row],[Discount]]</f>
        <v>0</v>
      </c>
      <c r="O302" s="9">
        <f>tblTransactions[[#This Row],[GrossSales]]-tblTransactions[[#This Row],[DiscountAmount]]</f>
        <v>53277.62</v>
      </c>
      <c r="P302" s="9">
        <f>_xlfn.XLOOKUP(tblTransactions[[#This Row],[ProductID]],tblProducts[ProductID],tblProducts[UnitCost])</f>
        <v>20107.810000000001</v>
      </c>
      <c r="Q302" s="9">
        <f>tblTransactions[[#This Row],[Quantity]]*tblTransactions[[#This Row],[UnitCost]]</f>
        <v>40215.620000000003</v>
      </c>
      <c r="R302" s="9">
        <f>tblTransactions[[#This Row],[NetRevenue]]-tblTransactions[[#This Row],[TotalCost]]</f>
        <v>13062</v>
      </c>
      <c r="S302" t="str">
        <f>_xlfn.XLOOKUP(tblTransactions[[#This Row],[ProductID]],tblProducts[ProductID],tblProducts[Category])</f>
        <v>Electronics</v>
      </c>
    </row>
    <row r="303" spans="1:19">
      <c r="A303" t="s">
        <v>16620</v>
      </c>
      <c r="B303" s="1">
        <v>45275</v>
      </c>
      <c r="C303" t="s">
        <v>4781</v>
      </c>
      <c r="D303" t="str">
        <f>_xlfn.XLOOKUP(tblTransactions[[#This Row],[CustomerID]],tblCustomers[CustomerID],tblCustomers[CustomerName])</f>
        <v>Max Wagle</v>
      </c>
      <c r="E303" t="s">
        <v>16053</v>
      </c>
      <c r="F303" t="str">
        <f>_xlfn.XLOOKUP(tblTransactions[[#This Row],[ProductID]],tblProducts[ProductID],tblProducts[ProductName])</f>
        <v>Pressure Cooker B7</v>
      </c>
      <c r="G303" t="s">
        <v>16281</v>
      </c>
      <c r="H303" t="str">
        <f>_xlfn.XLOOKUP(tblTransactions[[#This Row],[StoreID]],tblStores[StoreID],tblStores[Region])</f>
        <v>West</v>
      </c>
      <c r="I303">
        <v>1</v>
      </c>
      <c r="J303">
        <v>0.1</v>
      </c>
      <c r="K303" t="s">
        <v>16315</v>
      </c>
      <c r="L303" s="9">
        <f>_xlfn.XLOOKUP(tblTransactions[[#This Row],[ProductID]],tblProducts[ProductID],tblProducts[UnitPrice])</f>
        <v>24743.52</v>
      </c>
      <c r="M303" s="9">
        <f>tblTransactions[[#This Row],[Quantity]]*tblTransactions[[#This Row],[UnitPrice]]</f>
        <v>24743.52</v>
      </c>
      <c r="N303" s="9">
        <f>tblTransactions[[#This Row],[GrossSales]]*tblTransactions[[#This Row],[Discount]]</f>
        <v>2474.3520000000003</v>
      </c>
      <c r="O303" s="9">
        <f>tblTransactions[[#This Row],[GrossSales]]-tblTransactions[[#This Row],[DiscountAmount]]</f>
        <v>22269.168000000001</v>
      </c>
      <c r="P303" s="9">
        <f>_xlfn.XLOOKUP(tblTransactions[[#This Row],[ProductID]],tblProducts[ProductID],tblProducts[UnitCost])</f>
        <v>16620.189999999999</v>
      </c>
      <c r="Q303" s="9">
        <f>tblTransactions[[#This Row],[Quantity]]*tblTransactions[[#This Row],[UnitCost]]</f>
        <v>16620.189999999999</v>
      </c>
      <c r="R303" s="9">
        <f>tblTransactions[[#This Row],[NetRevenue]]-tblTransactions[[#This Row],[TotalCost]]</f>
        <v>5648.9780000000028</v>
      </c>
      <c r="S303" t="str">
        <f>_xlfn.XLOOKUP(tblTransactions[[#This Row],[ProductID]],tblProducts[ProductID],tblProducts[Category])</f>
        <v>Home &amp; Kitchen</v>
      </c>
    </row>
    <row r="304" spans="1:19">
      <c r="A304" t="s">
        <v>16621</v>
      </c>
      <c r="B304" s="1">
        <v>45275</v>
      </c>
      <c r="C304" t="s">
        <v>7149</v>
      </c>
      <c r="D304" t="str">
        <f>_xlfn.XLOOKUP(tblTransactions[[#This Row],[CustomerID]],tblCustomers[CustomerID],tblCustomers[CustomerName])</f>
        <v>Sudiksha Aurora</v>
      </c>
      <c r="E304" t="s">
        <v>15994</v>
      </c>
      <c r="F304" t="str">
        <f>_xlfn.XLOOKUP(tblTransactions[[#This Row],[ProductID]],tblProducts[ProductID],tblProducts[ProductName])</f>
        <v>Power Bank A1</v>
      </c>
      <c r="G304" t="s">
        <v>16271</v>
      </c>
      <c r="H304" t="str">
        <f>_xlfn.XLOOKUP(tblTransactions[[#This Row],[StoreID]],tblStores[StoreID],tblStores[Region])</f>
        <v>South</v>
      </c>
      <c r="I304">
        <v>1</v>
      </c>
      <c r="J304">
        <v>0</v>
      </c>
      <c r="K304" t="s">
        <v>16317</v>
      </c>
      <c r="L304" s="9">
        <f>_xlfn.XLOOKUP(tblTransactions[[#This Row],[ProductID]],tblProducts[ProductID],tblProducts[UnitPrice])</f>
        <v>18113.48</v>
      </c>
      <c r="M304" s="9">
        <f>tblTransactions[[#This Row],[Quantity]]*tblTransactions[[#This Row],[UnitPrice]]</f>
        <v>18113.48</v>
      </c>
      <c r="N304" s="9">
        <f>tblTransactions[[#This Row],[GrossSales]]*tblTransactions[[#This Row],[Discount]]</f>
        <v>0</v>
      </c>
      <c r="O304" s="9">
        <f>tblTransactions[[#This Row],[GrossSales]]-tblTransactions[[#This Row],[DiscountAmount]]</f>
        <v>18113.48</v>
      </c>
      <c r="P304" s="9">
        <f>_xlfn.XLOOKUP(tblTransactions[[#This Row],[ProductID]],tblProducts[ProductID],tblProducts[UnitCost])</f>
        <v>12531.14</v>
      </c>
      <c r="Q304" s="9">
        <f>tblTransactions[[#This Row],[Quantity]]*tblTransactions[[#This Row],[UnitCost]]</f>
        <v>12531.14</v>
      </c>
      <c r="R304" s="9">
        <f>tblTransactions[[#This Row],[NetRevenue]]-tblTransactions[[#This Row],[TotalCost]]</f>
        <v>5582.34</v>
      </c>
      <c r="S304" t="str">
        <f>_xlfn.XLOOKUP(tblTransactions[[#This Row],[ProductID]],tblProducts[ProductID],tblProducts[Category])</f>
        <v>Electronics</v>
      </c>
    </row>
    <row r="305" spans="1:19">
      <c r="A305" t="s">
        <v>16622</v>
      </c>
      <c r="B305" s="1">
        <v>45276</v>
      </c>
      <c r="C305" t="s">
        <v>5111</v>
      </c>
      <c r="D305" t="str">
        <f>_xlfn.XLOOKUP(tblTransactions[[#This Row],[CustomerID]],tblCustomers[CustomerID],tblCustomers[CustomerName])</f>
        <v>Yochana Parmar</v>
      </c>
      <c r="E305" t="s">
        <v>15973</v>
      </c>
      <c r="F305" t="str">
        <f>_xlfn.XLOOKUP(tblTransactions[[#This Row],[ProductID]],tblProducts[ProductID],tblProducts[ProductName])</f>
        <v>Ultrabook A6</v>
      </c>
      <c r="G305" t="s">
        <v>16273</v>
      </c>
      <c r="H305" t="str">
        <f>_xlfn.XLOOKUP(tblTransactions[[#This Row],[StoreID]],tblStores[StoreID],tblStores[Region])</f>
        <v>West</v>
      </c>
      <c r="I305">
        <v>1</v>
      </c>
      <c r="J305">
        <v>0.05</v>
      </c>
      <c r="K305" t="s">
        <v>16317</v>
      </c>
      <c r="L305" s="9">
        <f>_xlfn.XLOOKUP(tblTransactions[[#This Row],[ProductID]],tblProducts[ProductID],tblProducts[UnitPrice])</f>
        <v>9422.92</v>
      </c>
      <c r="M305" s="9">
        <f>tblTransactions[[#This Row],[Quantity]]*tblTransactions[[#This Row],[UnitPrice]]</f>
        <v>9422.92</v>
      </c>
      <c r="N305" s="9">
        <f>tblTransactions[[#This Row],[GrossSales]]*tblTransactions[[#This Row],[Discount]]</f>
        <v>471.14600000000002</v>
      </c>
      <c r="O305" s="9">
        <f>tblTransactions[[#This Row],[GrossSales]]-tblTransactions[[#This Row],[DiscountAmount]]</f>
        <v>8951.7739999999994</v>
      </c>
      <c r="P305" s="9">
        <f>_xlfn.XLOOKUP(tblTransactions[[#This Row],[ProductID]],tblProducts[ProductID],tblProducts[UnitCost])</f>
        <v>7399.19</v>
      </c>
      <c r="Q305" s="9">
        <f>tblTransactions[[#This Row],[Quantity]]*tblTransactions[[#This Row],[UnitCost]]</f>
        <v>7399.19</v>
      </c>
      <c r="R305" s="9">
        <f>tblTransactions[[#This Row],[NetRevenue]]-tblTransactions[[#This Row],[TotalCost]]</f>
        <v>1552.5839999999998</v>
      </c>
      <c r="S305" t="str">
        <f>_xlfn.XLOOKUP(tblTransactions[[#This Row],[ProductID]],tblProducts[ProductID],tblProducts[Category])</f>
        <v>Electronics</v>
      </c>
    </row>
    <row r="306" spans="1:19">
      <c r="A306" t="s">
        <v>16623</v>
      </c>
      <c r="B306" s="1">
        <v>45277</v>
      </c>
      <c r="C306" t="s">
        <v>13061</v>
      </c>
      <c r="D306" t="str">
        <f>_xlfn.XLOOKUP(tblTransactions[[#This Row],[CustomerID]],tblCustomers[CustomerID],tblCustomers[CustomerName])</f>
        <v>Harrison Thakkar</v>
      </c>
      <c r="E306" t="s">
        <v>16221</v>
      </c>
      <c r="F306" t="str">
        <f>_xlfn.XLOOKUP(tblTransactions[[#This Row],[ProductID]],tblProducts[ProductID],tblProducts[ProductName])</f>
        <v>Conditioner B7</v>
      </c>
      <c r="G306" t="s">
        <v>16293</v>
      </c>
      <c r="H306" t="str">
        <f>_xlfn.XLOOKUP(tblTransactions[[#This Row],[StoreID]],tblStores[StoreID],tblStores[Region])</f>
        <v>South</v>
      </c>
      <c r="I306">
        <v>1</v>
      </c>
      <c r="J306">
        <v>0</v>
      </c>
      <c r="K306" t="s">
        <v>16317</v>
      </c>
      <c r="L306" s="9">
        <f>_xlfn.XLOOKUP(tblTransactions[[#This Row],[ProductID]],tblProducts[ProductID],tblProducts[UnitPrice])</f>
        <v>1702.4</v>
      </c>
      <c r="M306" s="9">
        <f>tblTransactions[[#This Row],[Quantity]]*tblTransactions[[#This Row],[UnitPrice]]</f>
        <v>1702.4</v>
      </c>
      <c r="N306" s="9">
        <f>tblTransactions[[#This Row],[GrossSales]]*tblTransactions[[#This Row],[Discount]]</f>
        <v>0</v>
      </c>
      <c r="O306" s="9">
        <f>tblTransactions[[#This Row],[GrossSales]]-tblTransactions[[#This Row],[DiscountAmount]]</f>
        <v>1702.4</v>
      </c>
      <c r="P306" s="9">
        <f>_xlfn.XLOOKUP(tblTransactions[[#This Row],[ProductID]],tblProducts[ProductID],tblProducts[UnitCost])</f>
        <v>1284.8900000000001</v>
      </c>
      <c r="Q306" s="9">
        <f>tblTransactions[[#This Row],[Quantity]]*tblTransactions[[#This Row],[UnitCost]]</f>
        <v>1284.8900000000001</v>
      </c>
      <c r="R306" s="9">
        <f>tblTransactions[[#This Row],[NetRevenue]]-tblTransactions[[#This Row],[TotalCost]]</f>
        <v>417.51</v>
      </c>
      <c r="S306" t="str">
        <f>_xlfn.XLOOKUP(tblTransactions[[#This Row],[ProductID]],tblProducts[ProductID],tblProducts[Category])</f>
        <v>Personal Care</v>
      </c>
    </row>
    <row r="307" spans="1:19">
      <c r="A307" t="s">
        <v>16624</v>
      </c>
      <c r="B307" s="1">
        <v>45278</v>
      </c>
      <c r="C307" t="s">
        <v>4296</v>
      </c>
      <c r="D307" t="str">
        <f>_xlfn.XLOOKUP(tblTransactions[[#This Row],[CustomerID]],tblCustomers[CustomerID],tblCustomers[CustomerName])</f>
        <v>Azad Sani</v>
      </c>
      <c r="E307" t="s">
        <v>16108</v>
      </c>
      <c r="F307" t="str">
        <f>_xlfn.XLOOKUP(tblTransactions[[#This Row],[ProductID]],tblProducts[ProductID],tblProducts[ProductName])</f>
        <v>Kids Dress D4</v>
      </c>
      <c r="G307" t="s">
        <v>16305</v>
      </c>
      <c r="H307" t="str">
        <f>_xlfn.XLOOKUP(tblTransactions[[#This Row],[StoreID]],tblStores[StoreID],tblStores[Region])</f>
        <v>South</v>
      </c>
      <c r="I307">
        <v>1</v>
      </c>
      <c r="J307">
        <v>0</v>
      </c>
      <c r="K307" t="s">
        <v>16317</v>
      </c>
      <c r="L307" s="9">
        <f>_xlfn.XLOOKUP(tblTransactions[[#This Row],[ProductID]],tblProducts[ProductID],tblProducts[UnitPrice])</f>
        <v>1332.31</v>
      </c>
      <c r="M307" s="9">
        <f>tblTransactions[[#This Row],[Quantity]]*tblTransactions[[#This Row],[UnitPrice]]</f>
        <v>1332.31</v>
      </c>
      <c r="N307" s="9">
        <f>tblTransactions[[#This Row],[GrossSales]]*tblTransactions[[#This Row],[Discount]]</f>
        <v>0</v>
      </c>
      <c r="O307" s="9">
        <f>tblTransactions[[#This Row],[GrossSales]]-tblTransactions[[#This Row],[DiscountAmount]]</f>
        <v>1332.31</v>
      </c>
      <c r="P307" s="9">
        <f>_xlfn.XLOOKUP(tblTransactions[[#This Row],[ProductID]],tblProducts[ProductID],tblProducts[UnitCost])</f>
        <v>957.87</v>
      </c>
      <c r="Q307" s="9">
        <f>tblTransactions[[#This Row],[Quantity]]*tblTransactions[[#This Row],[UnitCost]]</f>
        <v>957.87</v>
      </c>
      <c r="R307" s="9">
        <f>tblTransactions[[#This Row],[NetRevenue]]-tblTransactions[[#This Row],[TotalCost]]</f>
        <v>374.43999999999994</v>
      </c>
      <c r="S307" t="str">
        <f>_xlfn.XLOOKUP(tblTransactions[[#This Row],[ProductID]],tblProducts[ProductID],tblProducts[Category])</f>
        <v>Clothing</v>
      </c>
    </row>
    <row r="308" spans="1:19">
      <c r="A308" t="s">
        <v>16625</v>
      </c>
      <c r="B308" s="1">
        <v>45279</v>
      </c>
      <c r="C308" t="s">
        <v>296</v>
      </c>
      <c r="D308" t="str">
        <f>_xlfn.XLOOKUP(tblTransactions[[#This Row],[CustomerID]],tblCustomers[CustomerID],tblCustomers[CustomerName])</f>
        <v>Ikbal Saraf</v>
      </c>
      <c r="E308" t="s">
        <v>16167</v>
      </c>
      <c r="F308" t="str">
        <f>_xlfn.XLOOKUP(tblTransactions[[#This Row],[ProductID]],tblProducts[ProductID],tblProducts[ProductName])</f>
        <v>Coffee C3</v>
      </c>
      <c r="G308" t="s">
        <v>16297</v>
      </c>
      <c r="H308" t="str">
        <f>_xlfn.XLOOKUP(tblTransactions[[#This Row],[StoreID]],tblStores[StoreID],tblStores[Region])</f>
        <v>North</v>
      </c>
      <c r="I308">
        <v>1</v>
      </c>
      <c r="J308">
        <v>0.05</v>
      </c>
      <c r="K308" t="s">
        <v>16321</v>
      </c>
      <c r="L308" s="9">
        <f>_xlfn.XLOOKUP(tblTransactions[[#This Row],[ProductID]],tblProducts[ProductID],tblProducts[UnitPrice])</f>
        <v>912.62</v>
      </c>
      <c r="M308" s="9">
        <f>tblTransactions[[#This Row],[Quantity]]*tblTransactions[[#This Row],[UnitPrice]]</f>
        <v>912.62</v>
      </c>
      <c r="N308" s="9">
        <f>tblTransactions[[#This Row],[GrossSales]]*tblTransactions[[#This Row],[Discount]]</f>
        <v>45.631</v>
      </c>
      <c r="O308" s="9">
        <f>tblTransactions[[#This Row],[GrossSales]]-tblTransactions[[#This Row],[DiscountAmount]]</f>
        <v>866.98900000000003</v>
      </c>
      <c r="P308" s="9">
        <f>_xlfn.XLOOKUP(tblTransactions[[#This Row],[ProductID]],tblProducts[ProductID],tblProducts[UnitCost])</f>
        <v>648.75</v>
      </c>
      <c r="Q308" s="9">
        <f>tblTransactions[[#This Row],[Quantity]]*tblTransactions[[#This Row],[UnitCost]]</f>
        <v>648.75</v>
      </c>
      <c r="R308" s="9">
        <f>tblTransactions[[#This Row],[NetRevenue]]-tblTransactions[[#This Row],[TotalCost]]</f>
        <v>218.23900000000003</v>
      </c>
      <c r="S308" t="str">
        <f>_xlfn.XLOOKUP(tblTransactions[[#This Row],[ProductID]],tblProducts[ProductID],tblProducts[Category])</f>
        <v>Grocery</v>
      </c>
    </row>
    <row r="309" spans="1:19">
      <c r="A309" t="s">
        <v>16626</v>
      </c>
      <c r="B309" s="1">
        <v>45279</v>
      </c>
      <c r="C309" t="s">
        <v>4751</v>
      </c>
      <c r="D309" t="str">
        <f>_xlfn.XLOOKUP(tblTransactions[[#This Row],[CustomerID]],tblCustomers[CustomerID],tblCustomers[CustomerName])</f>
        <v>Harini Pant</v>
      </c>
      <c r="E309" t="s">
        <v>15969</v>
      </c>
      <c r="F309" t="str">
        <f>_xlfn.XLOOKUP(tblTransactions[[#This Row],[ProductID]],tblProducts[ProductID],tblProducts[ProductName])</f>
        <v>Student Laptop D4</v>
      </c>
      <c r="G309" t="s">
        <v>16285</v>
      </c>
      <c r="H309" t="str">
        <f>_xlfn.XLOOKUP(tblTransactions[[#This Row],[StoreID]],tblStores[StoreID],tblStores[Region])</f>
        <v>West</v>
      </c>
      <c r="I309">
        <v>4</v>
      </c>
      <c r="J309">
        <v>0</v>
      </c>
      <c r="K309" t="s">
        <v>16317</v>
      </c>
      <c r="L309" s="9">
        <f>_xlfn.XLOOKUP(tblTransactions[[#This Row],[ProductID]],tblProducts[ProductID],tblProducts[UnitPrice])</f>
        <v>21602.44</v>
      </c>
      <c r="M309" s="9">
        <f>tblTransactions[[#This Row],[Quantity]]*tblTransactions[[#This Row],[UnitPrice]]</f>
        <v>86409.76</v>
      </c>
      <c r="N309" s="9">
        <f>tblTransactions[[#This Row],[GrossSales]]*tblTransactions[[#This Row],[Discount]]</f>
        <v>0</v>
      </c>
      <c r="O309" s="9">
        <f>tblTransactions[[#This Row],[GrossSales]]-tblTransactions[[#This Row],[DiscountAmount]]</f>
        <v>86409.76</v>
      </c>
      <c r="P309" s="9">
        <f>_xlfn.XLOOKUP(tblTransactions[[#This Row],[ProductID]],tblProducts[ProductID],tblProducts[UnitCost])</f>
        <v>13134.58</v>
      </c>
      <c r="Q309" s="9">
        <f>tblTransactions[[#This Row],[Quantity]]*tblTransactions[[#This Row],[UnitCost]]</f>
        <v>52538.32</v>
      </c>
      <c r="R309" s="9">
        <f>tblTransactions[[#This Row],[NetRevenue]]-tblTransactions[[#This Row],[TotalCost]]</f>
        <v>33871.439999999995</v>
      </c>
      <c r="S309" t="str">
        <f>_xlfn.XLOOKUP(tblTransactions[[#This Row],[ProductID]],tblProducts[ProductID],tblProducts[Category])</f>
        <v>Electronics</v>
      </c>
    </row>
    <row r="310" spans="1:19">
      <c r="A310" t="s">
        <v>16627</v>
      </c>
      <c r="B310" s="1">
        <v>45280</v>
      </c>
      <c r="C310" t="s">
        <v>4993</v>
      </c>
      <c r="D310" t="str">
        <f>_xlfn.XLOOKUP(tblTransactions[[#This Row],[CustomerID]],tblCustomers[CustomerID],tblCustomers[CustomerName])</f>
        <v>Harita Kade</v>
      </c>
      <c r="E310" t="s">
        <v>15965</v>
      </c>
      <c r="F310" t="str">
        <f>_xlfn.XLOOKUP(tblTransactions[[#This Row],[ProductID]],tblProducts[ProductID],tblProducts[ProductName])</f>
        <v>Business Laptop B2</v>
      </c>
      <c r="G310" t="s">
        <v>16265</v>
      </c>
      <c r="H310" t="str">
        <f>_xlfn.XLOOKUP(tblTransactions[[#This Row],[StoreID]],tblStores[StoreID],tblStores[Region])</f>
        <v>North</v>
      </c>
      <c r="I310">
        <v>1</v>
      </c>
      <c r="J310">
        <v>0.05</v>
      </c>
      <c r="K310" t="s">
        <v>16317</v>
      </c>
      <c r="L310" s="9">
        <f>_xlfn.XLOOKUP(tblTransactions[[#This Row],[ProductID]],tblProducts[ProductID],tblProducts[UnitPrice])</f>
        <v>54876.34</v>
      </c>
      <c r="M310" s="9">
        <f>tblTransactions[[#This Row],[Quantity]]*tblTransactions[[#This Row],[UnitPrice]]</f>
        <v>54876.34</v>
      </c>
      <c r="N310" s="9">
        <f>tblTransactions[[#This Row],[GrossSales]]*tblTransactions[[#This Row],[Discount]]</f>
        <v>2743.817</v>
      </c>
      <c r="O310" s="9">
        <f>tblTransactions[[#This Row],[GrossSales]]-tblTransactions[[#This Row],[DiscountAmount]]</f>
        <v>52132.522999999994</v>
      </c>
      <c r="P310" s="9">
        <f>_xlfn.XLOOKUP(tblTransactions[[#This Row],[ProductID]],tblProducts[ProductID],tblProducts[UnitCost])</f>
        <v>41521.22</v>
      </c>
      <c r="Q310" s="9">
        <f>tblTransactions[[#This Row],[Quantity]]*tblTransactions[[#This Row],[UnitCost]]</f>
        <v>41521.22</v>
      </c>
      <c r="R310" s="9">
        <f>tblTransactions[[#This Row],[NetRevenue]]-tblTransactions[[#This Row],[TotalCost]]</f>
        <v>10611.302999999993</v>
      </c>
      <c r="S310" t="str">
        <f>_xlfn.XLOOKUP(tblTransactions[[#This Row],[ProductID]],tblProducts[ProductID],tblProducts[Category])</f>
        <v>Electronics</v>
      </c>
    </row>
    <row r="311" spans="1:19">
      <c r="A311" t="s">
        <v>16628</v>
      </c>
      <c r="B311" s="1">
        <v>45280</v>
      </c>
      <c r="C311" t="s">
        <v>10491</v>
      </c>
      <c r="D311" t="str">
        <f>_xlfn.XLOOKUP(tblTransactions[[#This Row],[CustomerID]],tblCustomers[CustomerID],tblCustomers[CustomerName])</f>
        <v>Harsh Brar</v>
      </c>
      <c r="E311" t="s">
        <v>16086</v>
      </c>
      <c r="F311" t="str">
        <f>_xlfn.XLOOKUP(tblTransactions[[#This Row],[ProductID]],tblProducts[ProductID],tblProducts[ProductName])</f>
        <v>Women's Jeans A1</v>
      </c>
      <c r="G311" t="s">
        <v>16271</v>
      </c>
      <c r="H311" t="str">
        <f>_xlfn.XLOOKUP(tblTransactions[[#This Row],[StoreID]],tblStores[StoreID],tblStores[Region])</f>
        <v>South</v>
      </c>
      <c r="I311">
        <v>2</v>
      </c>
      <c r="J311">
        <v>0</v>
      </c>
      <c r="K311" t="s">
        <v>16317</v>
      </c>
      <c r="L311" s="9">
        <f>_xlfn.XLOOKUP(tblTransactions[[#This Row],[ProductID]],tblProducts[ProductID],tblProducts[UnitPrice])</f>
        <v>6726.61</v>
      </c>
      <c r="M311" s="9">
        <f>tblTransactions[[#This Row],[Quantity]]*tblTransactions[[#This Row],[UnitPrice]]</f>
        <v>13453.22</v>
      </c>
      <c r="N311" s="9">
        <f>tblTransactions[[#This Row],[GrossSales]]*tblTransactions[[#This Row],[Discount]]</f>
        <v>0</v>
      </c>
      <c r="O311" s="9">
        <f>tblTransactions[[#This Row],[GrossSales]]-tblTransactions[[#This Row],[DiscountAmount]]</f>
        <v>13453.22</v>
      </c>
      <c r="P311" s="9">
        <f>_xlfn.XLOOKUP(tblTransactions[[#This Row],[ProductID]],tblProducts[ProductID],tblProducts[UnitCost])</f>
        <v>5191.03</v>
      </c>
      <c r="Q311" s="9">
        <f>tblTransactions[[#This Row],[Quantity]]*tblTransactions[[#This Row],[UnitCost]]</f>
        <v>10382.06</v>
      </c>
      <c r="R311" s="9">
        <f>tblTransactions[[#This Row],[NetRevenue]]-tblTransactions[[#This Row],[TotalCost]]</f>
        <v>3071.16</v>
      </c>
      <c r="S311" t="str">
        <f>_xlfn.XLOOKUP(tblTransactions[[#This Row],[ProductID]],tblProducts[ProductID],tblProducts[Category])</f>
        <v>Clothing</v>
      </c>
    </row>
    <row r="312" spans="1:19">
      <c r="A312" t="s">
        <v>16629</v>
      </c>
      <c r="B312" s="1">
        <v>45284</v>
      </c>
      <c r="C312" t="s">
        <v>13221</v>
      </c>
      <c r="D312" t="str">
        <f>_xlfn.XLOOKUP(tblTransactions[[#This Row],[CustomerID]],tblCustomers[CustomerID],tblCustomers[CustomerName])</f>
        <v>Balendra Hans</v>
      </c>
      <c r="E312" t="s">
        <v>16005</v>
      </c>
      <c r="F312" t="str">
        <f>_xlfn.XLOOKUP(tblTransactions[[#This Row],[ProductID]],tblProducts[ProductID],tblProducts[ProductName])</f>
        <v>Wireless Charger A6</v>
      </c>
      <c r="G312" t="s">
        <v>16277</v>
      </c>
      <c r="H312" t="str">
        <f>_xlfn.XLOOKUP(tblTransactions[[#This Row],[StoreID]],tblStores[StoreID],tblStores[Region])</f>
        <v>West</v>
      </c>
      <c r="I312">
        <v>3</v>
      </c>
      <c r="J312">
        <v>0.05</v>
      </c>
      <c r="K312" t="s">
        <v>16321</v>
      </c>
      <c r="L312" s="9">
        <f>_xlfn.XLOOKUP(tblTransactions[[#This Row],[ProductID]],tblProducts[ProductID],tblProducts[UnitPrice])</f>
        <v>78938.720000000001</v>
      </c>
      <c r="M312" s="9">
        <f>tblTransactions[[#This Row],[Quantity]]*tblTransactions[[#This Row],[UnitPrice]]</f>
        <v>236816.16</v>
      </c>
      <c r="N312" s="9">
        <f>tblTransactions[[#This Row],[GrossSales]]*tblTransactions[[#This Row],[Discount]]</f>
        <v>11840.808000000001</v>
      </c>
      <c r="O312" s="9">
        <f>tblTransactions[[#This Row],[GrossSales]]-tblTransactions[[#This Row],[DiscountAmount]]</f>
        <v>224975.35200000001</v>
      </c>
      <c r="P312" s="9">
        <f>_xlfn.XLOOKUP(tblTransactions[[#This Row],[ProductID]],tblProducts[ProductID],tblProducts[UnitCost])</f>
        <v>53801.63</v>
      </c>
      <c r="Q312" s="9">
        <f>tblTransactions[[#This Row],[Quantity]]*tblTransactions[[#This Row],[UnitCost]]</f>
        <v>161404.88999999998</v>
      </c>
      <c r="R312" s="9">
        <f>tblTransactions[[#This Row],[NetRevenue]]-tblTransactions[[#This Row],[TotalCost]]</f>
        <v>63570.462000000029</v>
      </c>
      <c r="S312" t="str">
        <f>_xlfn.XLOOKUP(tblTransactions[[#This Row],[ProductID]],tblProducts[ProductID],tblProducts[Category])</f>
        <v>Electronics</v>
      </c>
    </row>
    <row r="313" spans="1:19">
      <c r="A313" t="s">
        <v>16630</v>
      </c>
      <c r="B313" s="1">
        <v>45285</v>
      </c>
      <c r="C313" t="s">
        <v>10165</v>
      </c>
      <c r="D313" t="str">
        <f>_xlfn.XLOOKUP(tblTransactions[[#This Row],[CustomerID]],tblCustomers[CustomerID],tblCustomers[CustomerName])</f>
        <v>Mason Ravel</v>
      </c>
      <c r="E313" t="s">
        <v>16080</v>
      </c>
      <c r="F313" t="str">
        <f>_xlfn.XLOOKUP(tblTransactions[[#This Row],[ProductID]],tblProducts[ProductID],tblProducts[ProductName])</f>
        <v>Men's Jacket E5</v>
      </c>
      <c r="G313" t="s">
        <v>16295</v>
      </c>
      <c r="H313" t="str">
        <f>_xlfn.XLOOKUP(tblTransactions[[#This Row],[StoreID]],tblStores[StoreID],tblStores[Region])</f>
        <v>South</v>
      </c>
      <c r="I313">
        <v>2</v>
      </c>
      <c r="J313">
        <v>0.15</v>
      </c>
      <c r="K313" t="s">
        <v>16317</v>
      </c>
      <c r="L313" s="9">
        <f>_xlfn.XLOOKUP(tblTransactions[[#This Row],[ProductID]],tblProducts[ProductID],tblProducts[UnitPrice])</f>
        <v>2211.5500000000002</v>
      </c>
      <c r="M313" s="9">
        <f>tblTransactions[[#This Row],[Quantity]]*tblTransactions[[#This Row],[UnitPrice]]</f>
        <v>4423.1000000000004</v>
      </c>
      <c r="N313" s="9">
        <f>tblTransactions[[#This Row],[GrossSales]]*tblTransactions[[#This Row],[Discount]]</f>
        <v>663.46500000000003</v>
      </c>
      <c r="O313" s="9">
        <f>tblTransactions[[#This Row],[GrossSales]]-tblTransactions[[#This Row],[DiscountAmount]]</f>
        <v>3759.6350000000002</v>
      </c>
      <c r="P313" s="9">
        <f>_xlfn.XLOOKUP(tblTransactions[[#This Row],[ProductID]],tblProducts[ProductID],tblProducts[UnitCost])</f>
        <v>1820.39</v>
      </c>
      <c r="Q313" s="9">
        <f>tblTransactions[[#This Row],[Quantity]]*tblTransactions[[#This Row],[UnitCost]]</f>
        <v>3640.78</v>
      </c>
      <c r="R313" s="9">
        <f>tblTransactions[[#This Row],[NetRevenue]]-tblTransactions[[#This Row],[TotalCost]]</f>
        <v>118.85500000000002</v>
      </c>
      <c r="S313" t="str">
        <f>_xlfn.XLOOKUP(tblTransactions[[#This Row],[ProductID]],tblProducts[ProductID],tblProducts[Category])</f>
        <v>Clothing</v>
      </c>
    </row>
    <row r="314" spans="1:19">
      <c r="A314" t="s">
        <v>16631</v>
      </c>
      <c r="B314" s="1">
        <v>45285</v>
      </c>
      <c r="C314" t="s">
        <v>8319</v>
      </c>
      <c r="D314" t="str">
        <f>_xlfn.XLOOKUP(tblTransactions[[#This Row],[CustomerID]],tblCustomers[CustomerID],tblCustomers[CustomerName])</f>
        <v>Dakshesh Cheema</v>
      </c>
      <c r="E314" t="s">
        <v>15967</v>
      </c>
      <c r="F314" t="str">
        <f>_xlfn.XLOOKUP(tblTransactions[[#This Row],[ProductID]],tblProducts[ProductID],tblProducts[ProductName])</f>
        <v>Student Laptop C3</v>
      </c>
      <c r="G314" t="s">
        <v>16299</v>
      </c>
      <c r="H314" t="str">
        <f>_xlfn.XLOOKUP(tblTransactions[[#This Row],[StoreID]],tblStores[StoreID],tblStores[Region])</f>
        <v>South</v>
      </c>
      <c r="I314">
        <v>1</v>
      </c>
      <c r="J314">
        <v>0.05</v>
      </c>
      <c r="K314" t="s">
        <v>16319</v>
      </c>
      <c r="L314" s="9">
        <f>_xlfn.XLOOKUP(tblTransactions[[#This Row],[ProductID]],tblProducts[ProductID],tblProducts[UnitPrice])</f>
        <v>12552.69</v>
      </c>
      <c r="M314" s="9">
        <f>tblTransactions[[#This Row],[Quantity]]*tblTransactions[[#This Row],[UnitPrice]]</f>
        <v>12552.69</v>
      </c>
      <c r="N314" s="9">
        <f>tblTransactions[[#This Row],[GrossSales]]*tblTransactions[[#This Row],[Discount]]</f>
        <v>627.63450000000012</v>
      </c>
      <c r="O314" s="9">
        <f>tblTransactions[[#This Row],[GrossSales]]-tblTransactions[[#This Row],[DiscountAmount]]</f>
        <v>11925.0555</v>
      </c>
      <c r="P314" s="9">
        <f>_xlfn.XLOOKUP(tblTransactions[[#This Row],[ProductID]],tblProducts[ProductID],tblProducts[UnitCost])</f>
        <v>8737.9</v>
      </c>
      <c r="Q314" s="9">
        <f>tblTransactions[[#This Row],[Quantity]]*tblTransactions[[#This Row],[UnitCost]]</f>
        <v>8737.9</v>
      </c>
      <c r="R314" s="9">
        <f>tblTransactions[[#This Row],[NetRevenue]]-tblTransactions[[#This Row],[TotalCost]]</f>
        <v>3187.1555000000008</v>
      </c>
      <c r="S314" t="str">
        <f>_xlfn.XLOOKUP(tblTransactions[[#This Row],[ProductID]],tblProducts[ProductID],tblProducts[Category])</f>
        <v>Electronics</v>
      </c>
    </row>
    <row r="315" spans="1:19">
      <c r="A315" t="s">
        <v>16632</v>
      </c>
      <c r="B315" s="1">
        <v>45285</v>
      </c>
      <c r="C315" t="s">
        <v>5899</v>
      </c>
      <c r="D315" t="str">
        <f>_xlfn.XLOOKUP(tblTransactions[[#This Row],[CustomerID]],tblCustomers[CustomerID],tblCustomers[CustomerName])</f>
        <v>Megha Sama</v>
      </c>
      <c r="E315" t="s">
        <v>15965</v>
      </c>
      <c r="F315" t="str">
        <f>_xlfn.XLOOKUP(tblTransactions[[#This Row],[ProductID]],tblProducts[ProductID],tblProducts[ProductName])</f>
        <v>Business Laptop B2</v>
      </c>
      <c r="G315" t="s">
        <v>16265</v>
      </c>
      <c r="H315" t="str">
        <f>_xlfn.XLOOKUP(tblTransactions[[#This Row],[StoreID]],tblStores[StoreID],tblStores[Region])</f>
        <v>North</v>
      </c>
      <c r="I315">
        <v>1</v>
      </c>
      <c r="J315">
        <v>0.1</v>
      </c>
      <c r="K315" t="s">
        <v>16315</v>
      </c>
      <c r="L315" s="9">
        <f>_xlfn.XLOOKUP(tblTransactions[[#This Row],[ProductID]],tblProducts[ProductID],tblProducts[UnitPrice])</f>
        <v>54876.34</v>
      </c>
      <c r="M315" s="9">
        <f>tblTransactions[[#This Row],[Quantity]]*tblTransactions[[#This Row],[UnitPrice]]</f>
        <v>54876.34</v>
      </c>
      <c r="N315" s="9">
        <f>tblTransactions[[#This Row],[GrossSales]]*tblTransactions[[#This Row],[Discount]]</f>
        <v>5487.634</v>
      </c>
      <c r="O315" s="9">
        <f>tblTransactions[[#This Row],[GrossSales]]-tblTransactions[[#This Row],[DiscountAmount]]</f>
        <v>49388.705999999998</v>
      </c>
      <c r="P315" s="9">
        <f>_xlfn.XLOOKUP(tblTransactions[[#This Row],[ProductID]],tblProducts[ProductID],tblProducts[UnitCost])</f>
        <v>41521.22</v>
      </c>
      <c r="Q315" s="9">
        <f>tblTransactions[[#This Row],[Quantity]]*tblTransactions[[#This Row],[UnitCost]]</f>
        <v>41521.22</v>
      </c>
      <c r="R315" s="9">
        <f>tblTransactions[[#This Row],[NetRevenue]]-tblTransactions[[#This Row],[TotalCost]]</f>
        <v>7867.4859999999971</v>
      </c>
      <c r="S315" t="str">
        <f>_xlfn.XLOOKUP(tblTransactions[[#This Row],[ProductID]],tblProducts[ProductID],tblProducts[Category])</f>
        <v>Electronics</v>
      </c>
    </row>
    <row r="316" spans="1:19">
      <c r="A316" t="s">
        <v>16633</v>
      </c>
      <c r="B316" s="1">
        <v>45286</v>
      </c>
      <c r="C316" t="s">
        <v>12380</v>
      </c>
      <c r="D316" t="str">
        <f>_xlfn.XLOOKUP(tblTransactions[[#This Row],[CustomerID]],tblCustomers[CustomerID],tblCustomers[CustomerName])</f>
        <v>Maya Parekh</v>
      </c>
      <c r="E316" t="s">
        <v>16082</v>
      </c>
      <c r="F316" t="str">
        <f>_xlfn.XLOOKUP(tblTransactions[[#This Row],[ProductID]],tblProducts[ProductID],tblProducts[ProductName])</f>
        <v>Men's Jacket A6</v>
      </c>
      <c r="G316" t="s">
        <v>16297</v>
      </c>
      <c r="H316" t="str">
        <f>_xlfn.XLOOKUP(tblTransactions[[#This Row],[StoreID]],tblStores[StoreID],tblStores[Region])</f>
        <v>North</v>
      </c>
      <c r="I316">
        <v>-1</v>
      </c>
      <c r="J316">
        <v>0.2</v>
      </c>
      <c r="K316" t="s">
        <v>16317</v>
      </c>
      <c r="L316" s="9">
        <f>_xlfn.XLOOKUP(tblTransactions[[#This Row],[ProductID]],tblProducts[ProductID],tblProducts[UnitPrice])</f>
        <v>3718.64</v>
      </c>
      <c r="M316" s="9">
        <f>tblTransactions[[#This Row],[Quantity]]*tblTransactions[[#This Row],[UnitPrice]]</f>
        <v>-3718.64</v>
      </c>
      <c r="N316" s="9">
        <f>tblTransactions[[#This Row],[GrossSales]]*tblTransactions[[#This Row],[Discount]]</f>
        <v>-743.72800000000007</v>
      </c>
      <c r="O316" s="9">
        <f>tblTransactions[[#This Row],[GrossSales]]-tblTransactions[[#This Row],[DiscountAmount]]</f>
        <v>-2974.9119999999998</v>
      </c>
      <c r="P316" s="9">
        <f>_xlfn.XLOOKUP(tblTransactions[[#This Row],[ProductID]],tblProducts[ProductID],tblProducts[UnitCost])</f>
        <v>3021.38</v>
      </c>
      <c r="Q316" s="9">
        <f>tblTransactions[[#This Row],[Quantity]]*tblTransactions[[#This Row],[UnitCost]]</f>
        <v>-3021.38</v>
      </c>
      <c r="R316" s="9">
        <f>tblTransactions[[#This Row],[NetRevenue]]-tblTransactions[[#This Row],[TotalCost]]</f>
        <v>46.468000000000302</v>
      </c>
      <c r="S316" t="str">
        <f>_xlfn.XLOOKUP(tblTransactions[[#This Row],[ProductID]],tblProducts[ProductID],tblProducts[Category])</f>
        <v>Clothing</v>
      </c>
    </row>
    <row r="317" spans="1:19">
      <c r="A317" t="s">
        <v>16634</v>
      </c>
      <c r="B317" s="1">
        <v>45287</v>
      </c>
      <c r="C317" t="s">
        <v>6937</v>
      </c>
      <c r="D317" t="str">
        <f>_xlfn.XLOOKUP(tblTransactions[[#This Row],[CustomerID]],tblCustomers[CustomerID],tblCustomers[CustomerName])</f>
        <v>Bachittar Nigam</v>
      </c>
      <c r="E317" t="s">
        <v>16160</v>
      </c>
      <c r="F317" t="str">
        <f>_xlfn.XLOOKUP(tblTransactions[[#This Row],[ProductID]],tblProducts[ProductID],tblProducts[ProductName])</f>
        <v>Namkeen B7</v>
      </c>
      <c r="G317" t="s">
        <v>16267</v>
      </c>
      <c r="H317" t="str">
        <f>_xlfn.XLOOKUP(tblTransactions[[#This Row],[StoreID]],tblStores[StoreID],tblStores[Region])</f>
        <v>West</v>
      </c>
      <c r="I317">
        <v>1</v>
      </c>
      <c r="J317">
        <v>0.05</v>
      </c>
      <c r="K317" t="s">
        <v>16315</v>
      </c>
      <c r="L317" s="9">
        <f>_xlfn.XLOOKUP(tblTransactions[[#This Row],[ProductID]],tblProducts[ProductID],tblProducts[UnitPrice])</f>
        <v>1123.58</v>
      </c>
      <c r="M317" s="9">
        <f>tblTransactions[[#This Row],[Quantity]]*tblTransactions[[#This Row],[UnitPrice]]</f>
        <v>1123.58</v>
      </c>
      <c r="N317" s="9">
        <f>tblTransactions[[#This Row],[GrossSales]]*tblTransactions[[#This Row],[Discount]]</f>
        <v>56.179000000000002</v>
      </c>
      <c r="O317" s="9">
        <f>tblTransactions[[#This Row],[GrossSales]]-tblTransactions[[#This Row],[DiscountAmount]]</f>
        <v>1067.4009999999998</v>
      </c>
      <c r="P317" s="9">
        <f>_xlfn.XLOOKUP(tblTransactions[[#This Row],[ProductID]],tblProducts[ProductID],tblProducts[UnitCost])</f>
        <v>665.75</v>
      </c>
      <c r="Q317" s="9">
        <f>tblTransactions[[#This Row],[Quantity]]*tblTransactions[[#This Row],[UnitCost]]</f>
        <v>665.75</v>
      </c>
      <c r="R317" s="9">
        <f>tblTransactions[[#This Row],[NetRevenue]]-tblTransactions[[#This Row],[TotalCost]]</f>
        <v>401.65099999999984</v>
      </c>
      <c r="S317" t="str">
        <f>_xlfn.XLOOKUP(tblTransactions[[#This Row],[ProductID]],tblProducts[ProductID],tblProducts[Category])</f>
        <v>Grocery</v>
      </c>
    </row>
    <row r="318" spans="1:19">
      <c r="A318" t="s">
        <v>16635</v>
      </c>
      <c r="B318" s="1">
        <v>45289</v>
      </c>
      <c r="C318" t="s">
        <v>6745</v>
      </c>
      <c r="D318" t="str">
        <f>_xlfn.XLOOKUP(tblTransactions[[#This Row],[CustomerID]],tblCustomers[CustomerID],tblCustomers[CustomerName])</f>
        <v>Lakshit Palla</v>
      </c>
      <c r="E318" t="s">
        <v>16211</v>
      </c>
      <c r="F318" t="str">
        <f>_xlfn.XLOOKUP(tblTransactions[[#This Row],[ProductID]],tblProducts[ProductID],tblProducts[ProductName])</f>
        <v>Hair Serum B2</v>
      </c>
      <c r="G318" t="s">
        <v>16275</v>
      </c>
      <c r="H318" t="str">
        <f>_xlfn.XLOOKUP(tblTransactions[[#This Row],[StoreID]],tblStores[StoreID],tblStores[Region])</f>
        <v>South</v>
      </c>
      <c r="I318">
        <v>3</v>
      </c>
      <c r="J318">
        <v>0.05</v>
      </c>
      <c r="K318" t="s">
        <v>16317</v>
      </c>
      <c r="L318" s="9">
        <f>_xlfn.XLOOKUP(tblTransactions[[#This Row],[ProductID]],tblProducts[ProductID],tblProducts[UnitPrice])</f>
        <v>4780.68</v>
      </c>
      <c r="M318" s="9">
        <f>tblTransactions[[#This Row],[Quantity]]*tblTransactions[[#This Row],[UnitPrice]]</f>
        <v>14342.04</v>
      </c>
      <c r="N318" s="9">
        <f>tblTransactions[[#This Row],[GrossSales]]*tblTransactions[[#This Row],[Discount]]</f>
        <v>717.10200000000009</v>
      </c>
      <c r="O318" s="9">
        <f>tblTransactions[[#This Row],[GrossSales]]-tblTransactions[[#This Row],[DiscountAmount]]</f>
        <v>13624.938</v>
      </c>
      <c r="P318" s="9">
        <f>_xlfn.XLOOKUP(tblTransactions[[#This Row],[ProductID]],tblProducts[ProductID],tblProducts[UnitCost])</f>
        <v>3940.05</v>
      </c>
      <c r="Q318" s="9">
        <f>tblTransactions[[#This Row],[Quantity]]*tblTransactions[[#This Row],[UnitCost]]</f>
        <v>11820.150000000001</v>
      </c>
      <c r="R318" s="9">
        <f>tblTransactions[[#This Row],[NetRevenue]]-tblTransactions[[#This Row],[TotalCost]]</f>
        <v>1804.7879999999986</v>
      </c>
      <c r="S318" t="str">
        <f>_xlfn.XLOOKUP(tblTransactions[[#This Row],[ProductID]],tblProducts[ProductID],tblProducts[Category])</f>
        <v>Personal Care</v>
      </c>
    </row>
    <row r="319" spans="1:19">
      <c r="A319" t="s">
        <v>16636</v>
      </c>
      <c r="B319" s="1">
        <v>45290</v>
      </c>
      <c r="C319" t="s">
        <v>14963</v>
      </c>
      <c r="D319" t="str">
        <f>_xlfn.XLOOKUP(tblTransactions[[#This Row],[CustomerID]],tblCustomers[CustomerID],tblCustomers[CustomerName])</f>
        <v>Mohini Naidu</v>
      </c>
      <c r="E319" t="s">
        <v>16058</v>
      </c>
      <c r="F319" t="str">
        <f>_xlfn.XLOOKUP(tblTransactions[[#This Row],[ProductID]],tblProducts[ProductID],tblProducts[ProductName])</f>
        <v>Decorative Vase B2</v>
      </c>
      <c r="G319" t="s">
        <v>16259</v>
      </c>
      <c r="H319" t="str">
        <f>_xlfn.XLOOKUP(tblTransactions[[#This Row],[StoreID]],tblStores[StoreID],tblStores[Region])</f>
        <v>East</v>
      </c>
      <c r="I319">
        <v>1</v>
      </c>
      <c r="J319">
        <v>0.05</v>
      </c>
      <c r="K319" t="s">
        <v>16325</v>
      </c>
      <c r="L319" s="9">
        <f>_xlfn.XLOOKUP(tblTransactions[[#This Row],[ProductID]],tblProducts[ProductID],tblProducts[UnitPrice])</f>
        <v>22102.15</v>
      </c>
      <c r="M319" s="9">
        <f>tblTransactions[[#This Row],[Quantity]]*tblTransactions[[#This Row],[UnitPrice]]</f>
        <v>22102.15</v>
      </c>
      <c r="N319" s="9">
        <f>tblTransactions[[#This Row],[GrossSales]]*tblTransactions[[#This Row],[Discount]]</f>
        <v>1105.1075000000001</v>
      </c>
      <c r="O319" s="9">
        <f>tblTransactions[[#This Row],[GrossSales]]-tblTransactions[[#This Row],[DiscountAmount]]</f>
        <v>20997.042500000003</v>
      </c>
      <c r="P319" s="9">
        <f>_xlfn.XLOOKUP(tblTransactions[[#This Row],[ProductID]],tblProducts[ProductID],tblProducts[UnitCost])</f>
        <v>15710.91</v>
      </c>
      <c r="Q319" s="9">
        <f>tblTransactions[[#This Row],[Quantity]]*tblTransactions[[#This Row],[UnitCost]]</f>
        <v>15710.91</v>
      </c>
      <c r="R319" s="9">
        <f>tblTransactions[[#This Row],[NetRevenue]]-tblTransactions[[#This Row],[TotalCost]]</f>
        <v>5286.1325000000033</v>
      </c>
      <c r="S319" t="str">
        <f>_xlfn.XLOOKUP(tblTransactions[[#This Row],[ProductID]],tblProducts[ProductID],tblProducts[Category])</f>
        <v>Home &amp; Kitchen</v>
      </c>
    </row>
    <row r="320" spans="1:19">
      <c r="A320" t="s">
        <v>16637</v>
      </c>
      <c r="B320" s="1">
        <v>45290</v>
      </c>
      <c r="C320" t="s">
        <v>9959</v>
      </c>
      <c r="D320" t="str">
        <f>_xlfn.XLOOKUP(tblTransactions[[#This Row],[CustomerID]],tblCustomers[CustomerID],tblCustomers[CustomerName])</f>
        <v>Bimala Jani</v>
      </c>
      <c r="E320" t="s">
        <v>16051</v>
      </c>
      <c r="F320" t="str">
        <f>_xlfn.XLOOKUP(tblTransactions[[#This Row],[ProductID]],tblProducts[ProductID],tblProducts[ProductName])</f>
        <v>Pressure Cooker A6</v>
      </c>
      <c r="G320" t="s">
        <v>16273</v>
      </c>
      <c r="H320" t="str">
        <f>_xlfn.XLOOKUP(tblTransactions[[#This Row],[StoreID]],tblStores[StoreID],tblStores[Region])</f>
        <v>West</v>
      </c>
      <c r="I320">
        <v>1</v>
      </c>
      <c r="J320">
        <v>0</v>
      </c>
      <c r="K320" t="s">
        <v>16321</v>
      </c>
      <c r="L320" s="9">
        <f>_xlfn.XLOOKUP(tblTransactions[[#This Row],[ProductID]],tblProducts[ProductID],tblProducts[UnitPrice])</f>
        <v>27105.29</v>
      </c>
      <c r="M320" s="9">
        <f>tblTransactions[[#This Row],[Quantity]]*tblTransactions[[#This Row],[UnitPrice]]</f>
        <v>27105.29</v>
      </c>
      <c r="N320" s="9">
        <f>tblTransactions[[#This Row],[GrossSales]]*tblTransactions[[#This Row],[Discount]]</f>
        <v>0</v>
      </c>
      <c r="O320" s="9">
        <f>tblTransactions[[#This Row],[GrossSales]]-tblTransactions[[#This Row],[DiscountAmount]]</f>
        <v>27105.29</v>
      </c>
      <c r="P320" s="9">
        <f>_xlfn.XLOOKUP(tblTransactions[[#This Row],[ProductID]],tblProducts[ProductID],tblProducts[UnitCost])</f>
        <v>17092.599999999999</v>
      </c>
      <c r="Q320" s="9">
        <f>tblTransactions[[#This Row],[Quantity]]*tblTransactions[[#This Row],[UnitCost]]</f>
        <v>17092.599999999999</v>
      </c>
      <c r="R320" s="9">
        <f>tblTransactions[[#This Row],[NetRevenue]]-tblTransactions[[#This Row],[TotalCost]]</f>
        <v>10012.690000000002</v>
      </c>
      <c r="S320" t="str">
        <f>_xlfn.XLOOKUP(tblTransactions[[#This Row],[ProductID]],tblProducts[ProductID],tblProducts[Category])</f>
        <v>Home &amp; Kitchen</v>
      </c>
    </row>
    <row r="321" spans="1:19">
      <c r="A321" t="s">
        <v>16638</v>
      </c>
      <c r="B321" s="1">
        <v>45291</v>
      </c>
      <c r="C321" t="s">
        <v>6093</v>
      </c>
      <c r="D321" t="str">
        <f>_xlfn.XLOOKUP(tblTransactions[[#This Row],[CustomerID]],tblCustomers[CustomerID],tblCustomers[CustomerName])</f>
        <v>Yasti Sagar</v>
      </c>
      <c r="E321" t="s">
        <v>16158</v>
      </c>
      <c r="F321" t="str">
        <f>_xlfn.XLOOKUP(tblTransactions[[#This Row],[ProductID]],tblProducts[ProductID],tblProducts[ProductName])</f>
        <v>Chocolate A6</v>
      </c>
      <c r="G321" t="s">
        <v>16267</v>
      </c>
      <c r="H321" t="str">
        <f>_xlfn.XLOOKUP(tblTransactions[[#This Row],[StoreID]],tblStores[StoreID],tblStores[Region])</f>
        <v>West</v>
      </c>
      <c r="I321">
        <v>4</v>
      </c>
      <c r="J321">
        <v>0.05</v>
      </c>
      <c r="K321" t="s">
        <v>16315</v>
      </c>
      <c r="L321" s="9">
        <f>_xlfn.XLOOKUP(tblTransactions[[#This Row],[ProductID]],tblProducts[ProductID],tblProducts[UnitPrice])</f>
        <v>1494.3</v>
      </c>
      <c r="M321" s="9">
        <f>tblTransactions[[#This Row],[Quantity]]*tblTransactions[[#This Row],[UnitPrice]]</f>
        <v>5977.2</v>
      </c>
      <c r="N321" s="9">
        <f>tblTransactions[[#This Row],[GrossSales]]*tblTransactions[[#This Row],[Discount]]</f>
        <v>298.86</v>
      </c>
      <c r="O321" s="9">
        <f>tblTransactions[[#This Row],[GrossSales]]-tblTransactions[[#This Row],[DiscountAmount]]</f>
        <v>5678.34</v>
      </c>
      <c r="P321" s="9">
        <f>_xlfn.XLOOKUP(tblTransactions[[#This Row],[ProductID]],tblProducts[ProductID],tblProducts[UnitCost])</f>
        <v>1031.67</v>
      </c>
      <c r="Q321" s="9">
        <f>tblTransactions[[#This Row],[Quantity]]*tblTransactions[[#This Row],[UnitCost]]</f>
        <v>4126.68</v>
      </c>
      <c r="R321" s="9">
        <f>tblTransactions[[#This Row],[NetRevenue]]-tblTransactions[[#This Row],[TotalCost]]</f>
        <v>1551.6599999999999</v>
      </c>
      <c r="S321" t="str">
        <f>_xlfn.XLOOKUP(tblTransactions[[#This Row],[ProductID]],tblProducts[ProductID],tblProducts[Category])</f>
        <v>Grocery</v>
      </c>
    </row>
    <row r="322" spans="1:19">
      <c r="A322" t="s">
        <v>16639</v>
      </c>
      <c r="B322" s="1">
        <v>45293</v>
      </c>
      <c r="C322" t="s">
        <v>11725</v>
      </c>
      <c r="D322" t="str">
        <f>_xlfn.XLOOKUP(tblTransactions[[#This Row],[CustomerID]],tblCustomers[CustomerID],tblCustomers[CustomerName])</f>
        <v>Aashi Sarraf</v>
      </c>
      <c r="E322" t="s">
        <v>16206</v>
      </c>
      <c r="F322" t="str">
        <f>_xlfn.XLOOKUP(tblTransactions[[#This Row],[ProductID]],tblProducts[ProductID],tblProducts[ProductName])</f>
        <v>Moisturizer B7</v>
      </c>
      <c r="G322" t="s">
        <v>16303</v>
      </c>
      <c r="H322" t="str">
        <f>_xlfn.XLOOKUP(tblTransactions[[#This Row],[StoreID]],tblStores[StoreID],tblStores[Region])</f>
        <v>West</v>
      </c>
      <c r="I322">
        <v>4</v>
      </c>
      <c r="J322">
        <v>0</v>
      </c>
      <c r="K322" t="s">
        <v>16325</v>
      </c>
      <c r="L322" s="9">
        <f>_xlfn.XLOOKUP(tblTransactions[[#This Row],[ProductID]],tblProducts[ProductID],tblProducts[UnitPrice])</f>
        <v>3285.82</v>
      </c>
      <c r="M322" s="9">
        <f>tblTransactions[[#This Row],[Quantity]]*tblTransactions[[#This Row],[UnitPrice]]</f>
        <v>13143.28</v>
      </c>
      <c r="N322" s="9">
        <f>tblTransactions[[#This Row],[GrossSales]]*tblTransactions[[#This Row],[Discount]]</f>
        <v>0</v>
      </c>
      <c r="O322" s="9">
        <f>tblTransactions[[#This Row],[GrossSales]]-tblTransactions[[#This Row],[DiscountAmount]]</f>
        <v>13143.28</v>
      </c>
      <c r="P322" s="9">
        <f>_xlfn.XLOOKUP(tblTransactions[[#This Row],[ProductID]],tblProducts[ProductID],tblProducts[UnitCost])</f>
        <v>2256.9699999999998</v>
      </c>
      <c r="Q322" s="9">
        <f>tblTransactions[[#This Row],[Quantity]]*tblTransactions[[#This Row],[UnitCost]]</f>
        <v>9027.8799999999992</v>
      </c>
      <c r="R322" s="9">
        <f>tblTransactions[[#This Row],[NetRevenue]]-tblTransactions[[#This Row],[TotalCost]]</f>
        <v>4115.4000000000015</v>
      </c>
      <c r="S322" t="str">
        <f>_xlfn.XLOOKUP(tblTransactions[[#This Row],[ProductID]],tblProducts[ProductID],tblProducts[Category])</f>
        <v>Personal Care</v>
      </c>
    </row>
    <row r="323" spans="1:19">
      <c r="A323" t="s">
        <v>16640</v>
      </c>
      <c r="B323" s="1">
        <v>45295</v>
      </c>
      <c r="C323" t="s">
        <v>15533</v>
      </c>
      <c r="D323" t="str">
        <f>_xlfn.XLOOKUP(tblTransactions[[#This Row],[CustomerID]],tblCustomers[CustomerID],tblCustomers[CustomerName])</f>
        <v>Irya Kapur</v>
      </c>
      <c r="E323" t="s">
        <v>16047</v>
      </c>
      <c r="F323" t="str">
        <f>_xlfn.XLOOKUP(tblTransactions[[#This Row],[ProductID]],tblProducts[ProductID],tblProducts[ProductName])</f>
        <v>Frying Pan D4</v>
      </c>
      <c r="G323" t="s">
        <v>16299</v>
      </c>
      <c r="H323" t="str">
        <f>_xlfn.XLOOKUP(tblTransactions[[#This Row],[StoreID]],tblStores[StoreID],tblStores[Region])</f>
        <v>South</v>
      </c>
      <c r="I323">
        <v>1</v>
      </c>
      <c r="J323">
        <v>0</v>
      </c>
      <c r="K323" t="s">
        <v>16315</v>
      </c>
      <c r="L323" s="9">
        <f>_xlfn.XLOOKUP(tblTransactions[[#This Row],[ProductID]],tblProducts[ProductID],tblProducts[UnitPrice])</f>
        <v>24430.33</v>
      </c>
      <c r="M323" s="9">
        <f>tblTransactions[[#This Row],[Quantity]]*tblTransactions[[#This Row],[UnitPrice]]</f>
        <v>24430.33</v>
      </c>
      <c r="N323" s="9">
        <f>tblTransactions[[#This Row],[GrossSales]]*tblTransactions[[#This Row],[Discount]]</f>
        <v>0</v>
      </c>
      <c r="O323" s="9">
        <f>tblTransactions[[#This Row],[GrossSales]]-tblTransactions[[#This Row],[DiscountAmount]]</f>
        <v>24430.33</v>
      </c>
      <c r="P323" s="9">
        <f>_xlfn.XLOOKUP(tblTransactions[[#This Row],[ProductID]],tblProducts[ProductID],tblProducts[UnitCost])</f>
        <v>14996.73</v>
      </c>
      <c r="Q323" s="9">
        <f>tblTransactions[[#This Row],[Quantity]]*tblTransactions[[#This Row],[UnitCost]]</f>
        <v>14996.73</v>
      </c>
      <c r="R323" s="9">
        <f>tblTransactions[[#This Row],[NetRevenue]]-tblTransactions[[#This Row],[TotalCost]]</f>
        <v>9433.6000000000022</v>
      </c>
      <c r="S323" t="str">
        <f>_xlfn.XLOOKUP(tblTransactions[[#This Row],[ProductID]],tblProducts[ProductID],tblProducts[Category])</f>
        <v>Home &amp; Kitchen</v>
      </c>
    </row>
    <row r="324" spans="1:19">
      <c r="A324" t="s">
        <v>16641</v>
      </c>
      <c r="B324" s="1">
        <v>45297</v>
      </c>
      <c r="C324" t="s">
        <v>5504</v>
      </c>
      <c r="D324" t="str">
        <f>_xlfn.XLOOKUP(tblTransactions[[#This Row],[CustomerID]],tblCustomers[CustomerID],tblCustomers[CustomerName])</f>
        <v>Kashvi Rajagopalan</v>
      </c>
      <c r="E324" t="s">
        <v>16165</v>
      </c>
      <c r="F324" t="str">
        <f>_xlfn.XLOOKUP(tblTransactions[[#This Row],[ProductID]],tblProducts[ProductID],tblProducts[ProductName])</f>
        <v>Juice B2</v>
      </c>
      <c r="G324" t="s">
        <v>16269</v>
      </c>
      <c r="H324" t="str">
        <f>_xlfn.XLOOKUP(tblTransactions[[#This Row],[StoreID]],tblStores[StoreID],tblStores[Region])</f>
        <v>North</v>
      </c>
      <c r="I324">
        <v>2</v>
      </c>
      <c r="J324">
        <v>0</v>
      </c>
      <c r="K324" t="s">
        <v>16317</v>
      </c>
      <c r="L324" s="9">
        <f>_xlfn.XLOOKUP(tblTransactions[[#This Row],[ProductID]],tblProducts[ProductID],tblProducts[UnitPrice])</f>
        <v>1053.9000000000001</v>
      </c>
      <c r="M324" s="9">
        <f>tblTransactions[[#This Row],[Quantity]]*tblTransactions[[#This Row],[UnitPrice]]</f>
        <v>2107.8000000000002</v>
      </c>
      <c r="N324" s="9">
        <f>tblTransactions[[#This Row],[GrossSales]]*tblTransactions[[#This Row],[Discount]]</f>
        <v>0</v>
      </c>
      <c r="O324" s="9">
        <f>tblTransactions[[#This Row],[GrossSales]]-tblTransactions[[#This Row],[DiscountAmount]]</f>
        <v>2107.8000000000002</v>
      </c>
      <c r="P324" s="9">
        <f>_xlfn.XLOOKUP(tblTransactions[[#This Row],[ProductID]],tblProducts[ProductID],tblProducts[UnitCost])</f>
        <v>710.59</v>
      </c>
      <c r="Q324" s="9">
        <f>tblTransactions[[#This Row],[Quantity]]*tblTransactions[[#This Row],[UnitCost]]</f>
        <v>1421.18</v>
      </c>
      <c r="R324" s="9">
        <f>tblTransactions[[#This Row],[NetRevenue]]-tblTransactions[[#This Row],[TotalCost]]</f>
        <v>686.62000000000012</v>
      </c>
      <c r="S324" t="str">
        <f>_xlfn.XLOOKUP(tblTransactions[[#This Row],[ProductID]],tblProducts[ProductID],tblProducts[Category])</f>
        <v>Grocery</v>
      </c>
    </row>
    <row r="325" spans="1:19">
      <c r="A325" t="s">
        <v>16642</v>
      </c>
      <c r="B325" s="1">
        <v>45297</v>
      </c>
      <c r="C325" t="s">
        <v>11070</v>
      </c>
      <c r="D325" t="str">
        <f>_xlfn.XLOOKUP(tblTransactions[[#This Row],[CustomerID]],tblCustomers[CustomerID],tblCustomers[CustomerName])</f>
        <v>Baljiwan Bahri</v>
      </c>
      <c r="E325" t="s">
        <v>15937</v>
      </c>
      <c r="F325" t="str">
        <f>_xlfn.XLOOKUP(tblTransactions[[#This Row],[ProductID]],tblProducts[ProductID],tblProducts[ProductName])</f>
        <v>Smart LED TV E5</v>
      </c>
      <c r="G325" t="s">
        <v>16299</v>
      </c>
      <c r="H325" t="str">
        <f>_xlfn.XLOOKUP(tblTransactions[[#This Row],[StoreID]],tblStores[StoreID],tblStores[Region])</f>
        <v>South</v>
      </c>
      <c r="I325">
        <v>2</v>
      </c>
      <c r="J325">
        <v>0</v>
      </c>
      <c r="K325" t="s">
        <v>16317</v>
      </c>
      <c r="L325" s="9">
        <f>_xlfn.XLOOKUP(tblTransactions[[#This Row],[ProductID]],tblProducts[ProductID],tblProducts[UnitPrice])</f>
        <v>4719.2700000000004</v>
      </c>
      <c r="M325" s="9">
        <f>tblTransactions[[#This Row],[Quantity]]*tblTransactions[[#This Row],[UnitPrice]]</f>
        <v>9438.5400000000009</v>
      </c>
      <c r="N325" s="9">
        <f>tblTransactions[[#This Row],[GrossSales]]*tblTransactions[[#This Row],[Discount]]</f>
        <v>0</v>
      </c>
      <c r="O325" s="9">
        <f>tblTransactions[[#This Row],[GrossSales]]-tblTransactions[[#This Row],[DiscountAmount]]</f>
        <v>9438.5400000000009</v>
      </c>
      <c r="P325" s="9">
        <f>_xlfn.XLOOKUP(tblTransactions[[#This Row],[ProductID]],tblProducts[ProductID],tblProducts[UnitCost])</f>
        <v>3322.23</v>
      </c>
      <c r="Q325" s="9">
        <f>tblTransactions[[#This Row],[Quantity]]*tblTransactions[[#This Row],[UnitCost]]</f>
        <v>6644.46</v>
      </c>
      <c r="R325" s="9">
        <f>tblTransactions[[#This Row],[NetRevenue]]-tblTransactions[[#This Row],[TotalCost]]</f>
        <v>2794.0800000000008</v>
      </c>
      <c r="S325" t="str">
        <f>_xlfn.XLOOKUP(tblTransactions[[#This Row],[ProductID]],tblProducts[ProductID],tblProducts[Category])</f>
        <v>Electronics</v>
      </c>
    </row>
    <row r="326" spans="1:19">
      <c r="A326" t="s">
        <v>16643</v>
      </c>
      <c r="B326" s="1">
        <v>45297</v>
      </c>
      <c r="C326" t="s">
        <v>3832</v>
      </c>
      <c r="D326" t="str">
        <f>_xlfn.XLOOKUP(tblTransactions[[#This Row],[CustomerID]],tblCustomers[CustomerID],tblCustomers[CustomerName])</f>
        <v>Tara Yadav</v>
      </c>
      <c r="E326" t="s">
        <v>16156</v>
      </c>
      <c r="F326" t="str">
        <f>_xlfn.XLOOKUP(tblTransactions[[#This Row],[ProductID]],tblProducts[ProductID],tblProducts[ProductName])</f>
        <v>Chocolate E5</v>
      </c>
      <c r="G326" t="s">
        <v>16273</v>
      </c>
      <c r="H326" t="str">
        <f>_xlfn.XLOOKUP(tblTransactions[[#This Row],[StoreID]],tblStores[StoreID],tblStores[Region])</f>
        <v>West</v>
      </c>
      <c r="I326">
        <v>1</v>
      </c>
      <c r="J326">
        <v>0</v>
      </c>
      <c r="K326" t="s">
        <v>16317</v>
      </c>
      <c r="L326" s="9">
        <f>_xlfn.XLOOKUP(tblTransactions[[#This Row],[ProductID]],tblProducts[ProductID],tblProducts[UnitPrice])</f>
        <v>817.37</v>
      </c>
      <c r="M326" s="9">
        <f>tblTransactions[[#This Row],[Quantity]]*tblTransactions[[#This Row],[UnitPrice]]</f>
        <v>817.37</v>
      </c>
      <c r="N326" s="9">
        <f>tblTransactions[[#This Row],[GrossSales]]*tblTransactions[[#This Row],[Discount]]</f>
        <v>0</v>
      </c>
      <c r="O326" s="9">
        <f>tblTransactions[[#This Row],[GrossSales]]-tblTransactions[[#This Row],[DiscountAmount]]</f>
        <v>817.37</v>
      </c>
      <c r="P326" s="9">
        <f>_xlfn.XLOOKUP(tblTransactions[[#This Row],[ProductID]],tblProducts[ProductID],tblProducts[UnitCost])</f>
        <v>595.03</v>
      </c>
      <c r="Q326" s="9">
        <f>tblTransactions[[#This Row],[Quantity]]*tblTransactions[[#This Row],[UnitCost]]</f>
        <v>595.03</v>
      </c>
      <c r="R326" s="9">
        <f>tblTransactions[[#This Row],[NetRevenue]]-tblTransactions[[#This Row],[TotalCost]]</f>
        <v>222.34000000000003</v>
      </c>
      <c r="S326" t="str">
        <f>_xlfn.XLOOKUP(tblTransactions[[#This Row],[ProductID]],tblProducts[ProductID],tblProducts[Category])</f>
        <v>Grocery</v>
      </c>
    </row>
    <row r="327" spans="1:19">
      <c r="A327" t="s">
        <v>16644</v>
      </c>
      <c r="B327" s="1">
        <v>45298</v>
      </c>
      <c r="C327" t="s">
        <v>7486</v>
      </c>
      <c r="D327" t="str">
        <f>_xlfn.XLOOKUP(tblTransactions[[#This Row],[CustomerID]],tblCustomers[CustomerID],tblCustomers[CustomerName])</f>
        <v>Riya Patel</v>
      </c>
      <c r="E327" t="s">
        <v>16180</v>
      </c>
      <c r="F327" t="str">
        <f>_xlfn.XLOOKUP(tblTransactions[[#This Row],[ProductID]],tblProducts[ProductID],tblProducts[ProductName])</f>
        <v>Instant Noodles B2</v>
      </c>
      <c r="G327" t="s">
        <v>16275</v>
      </c>
      <c r="H327" t="str">
        <f>_xlfn.XLOOKUP(tblTransactions[[#This Row],[StoreID]],tblStores[StoreID],tblStores[Region])</f>
        <v>South</v>
      </c>
      <c r="I327">
        <v>1</v>
      </c>
      <c r="J327">
        <v>0</v>
      </c>
      <c r="K327" t="s">
        <v>16317</v>
      </c>
      <c r="L327" s="9">
        <f>_xlfn.XLOOKUP(tblTransactions[[#This Row],[ProductID]],tblProducts[ProductID],tblProducts[UnitPrice])</f>
        <v>130.63</v>
      </c>
      <c r="M327" s="9">
        <f>tblTransactions[[#This Row],[Quantity]]*tblTransactions[[#This Row],[UnitPrice]]</f>
        <v>130.63</v>
      </c>
      <c r="N327" s="9">
        <f>tblTransactions[[#This Row],[GrossSales]]*tblTransactions[[#This Row],[Discount]]</f>
        <v>0</v>
      </c>
      <c r="O327" s="9">
        <f>tblTransactions[[#This Row],[GrossSales]]-tblTransactions[[#This Row],[DiscountAmount]]</f>
        <v>130.63</v>
      </c>
      <c r="P327" s="9">
        <f>_xlfn.XLOOKUP(tblTransactions[[#This Row],[ProductID]],tblProducts[ProductID],tblProducts[UnitCost])</f>
        <v>75.33</v>
      </c>
      <c r="Q327" s="9">
        <f>tblTransactions[[#This Row],[Quantity]]*tblTransactions[[#This Row],[UnitCost]]</f>
        <v>75.33</v>
      </c>
      <c r="R327" s="9">
        <f>tblTransactions[[#This Row],[NetRevenue]]-tblTransactions[[#This Row],[TotalCost]]</f>
        <v>55.3</v>
      </c>
      <c r="S327" t="str">
        <f>_xlfn.XLOOKUP(tblTransactions[[#This Row],[ProductID]],tblProducts[ProductID],tblProducts[Category])</f>
        <v>Grocery</v>
      </c>
    </row>
    <row r="328" spans="1:19">
      <c r="A328" t="s">
        <v>16645</v>
      </c>
      <c r="B328" s="1">
        <v>45299</v>
      </c>
      <c r="C328" t="s">
        <v>11276</v>
      </c>
      <c r="D328" t="str">
        <f>_xlfn.XLOOKUP(tblTransactions[[#This Row],[CustomerID]],tblCustomers[CustomerID],tblCustomers[CustomerName])</f>
        <v>Ladli Sunder</v>
      </c>
      <c r="E328" t="s">
        <v>16007</v>
      </c>
      <c r="F328" t="str">
        <f>_xlfn.XLOOKUP(tblTransactions[[#This Row],[ProductID]],tblProducts[ProductID],tblProducts[ProductName])</f>
        <v>USB-C Cable B7</v>
      </c>
      <c r="G328" t="s">
        <v>16283</v>
      </c>
      <c r="H328" t="str">
        <f>_xlfn.XLOOKUP(tblTransactions[[#This Row],[StoreID]],tblStores[StoreID],tblStores[Region])</f>
        <v>South</v>
      </c>
      <c r="I328">
        <v>1</v>
      </c>
      <c r="J328">
        <v>0.05</v>
      </c>
      <c r="K328" t="s">
        <v>16321</v>
      </c>
      <c r="L328" s="9">
        <f>_xlfn.XLOOKUP(tblTransactions[[#This Row],[ProductID]],tblProducts[ProductID],tblProducts[UnitPrice])</f>
        <v>22362.17</v>
      </c>
      <c r="M328" s="9">
        <f>tblTransactions[[#This Row],[Quantity]]*tblTransactions[[#This Row],[UnitPrice]]</f>
        <v>22362.17</v>
      </c>
      <c r="N328" s="9">
        <f>tblTransactions[[#This Row],[GrossSales]]*tblTransactions[[#This Row],[Discount]]</f>
        <v>1118.1085</v>
      </c>
      <c r="O328" s="9">
        <f>tblTransactions[[#This Row],[GrossSales]]-tblTransactions[[#This Row],[DiscountAmount]]</f>
        <v>21244.0615</v>
      </c>
      <c r="P328" s="9">
        <f>_xlfn.XLOOKUP(tblTransactions[[#This Row],[ProductID]],tblProducts[ProductID],tblProducts[UnitCost])</f>
        <v>12317.6</v>
      </c>
      <c r="Q328" s="9">
        <f>tblTransactions[[#This Row],[Quantity]]*tblTransactions[[#This Row],[UnitCost]]</f>
        <v>12317.6</v>
      </c>
      <c r="R328" s="9">
        <f>tblTransactions[[#This Row],[NetRevenue]]-tblTransactions[[#This Row],[TotalCost]]</f>
        <v>8926.4614999999994</v>
      </c>
      <c r="S328" t="str">
        <f>_xlfn.XLOOKUP(tblTransactions[[#This Row],[ProductID]],tblProducts[ProductID],tblProducts[Category])</f>
        <v>Electronics</v>
      </c>
    </row>
    <row r="329" spans="1:19">
      <c r="A329" t="s">
        <v>16646</v>
      </c>
      <c r="B329" s="1">
        <v>45300</v>
      </c>
      <c r="C329" t="s">
        <v>11335</v>
      </c>
      <c r="D329" t="str">
        <f>_xlfn.XLOOKUP(tblTransactions[[#This Row],[CustomerID]],tblCustomers[CustomerID],tblCustomers[CustomerName])</f>
        <v>Abeer Yadav</v>
      </c>
      <c r="E329" t="s">
        <v>16141</v>
      </c>
      <c r="F329" t="str">
        <f>_xlfn.XLOOKUP(tblTransactions[[#This Row],[ProductID]],tblProducts[ProductID],tblProducts[ProductName])</f>
        <v>Sugar E5</v>
      </c>
      <c r="G329" t="s">
        <v>16297</v>
      </c>
      <c r="H329" t="str">
        <f>_xlfn.XLOOKUP(tblTransactions[[#This Row],[StoreID]],tblStores[StoreID],tblStores[Region])</f>
        <v>North</v>
      </c>
      <c r="I329">
        <v>2</v>
      </c>
      <c r="J329">
        <v>0</v>
      </c>
      <c r="K329" t="s">
        <v>16317</v>
      </c>
      <c r="L329" s="9">
        <f>_xlfn.XLOOKUP(tblTransactions[[#This Row],[ProductID]],tblProducts[ProductID],tblProducts[UnitPrice])</f>
        <v>631.26</v>
      </c>
      <c r="M329" s="9">
        <f>tblTransactions[[#This Row],[Quantity]]*tblTransactions[[#This Row],[UnitPrice]]</f>
        <v>1262.52</v>
      </c>
      <c r="N329" s="9">
        <f>tblTransactions[[#This Row],[GrossSales]]*tblTransactions[[#This Row],[Discount]]</f>
        <v>0</v>
      </c>
      <c r="O329" s="9">
        <f>tblTransactions[[#This Row],[GrossSales]]-tblTransactions[[#This Row],[DiscountAmount]]</f>
        <v>1262.52</v>
      </c>
      <c r="P329" s="9">
        <f>_xlfn.XLOOKUP(tblTransactions[[#This Row],[ProductID]],tblProducts[ProductID],tblProducts[UnitCost])</f>
        <v>394.86</v>
      </c>
      <c r="Q329" s="9">
        <f>tblTransactions[[#This Row],[Quantity]]*tblTransactions[[#This Row],[UnitCost]]</f>
        <v>789.72</v>
      </c>
      <c r="R329" s="9">
        <f>tblTransactions[[#This Row],[NetRevenue]]-tblTransactions[[#This Row],[TotalCost]]</f>
        <v>472.79999999999995</v>
      </c>
      <c r="S329" t="str">
        <f>_xlfn.XLOOKUP(tblTransactions[[#This Row],[ProductID]],tblProducts[ProductID],tblProducts[Category])</f>
        <v>Grocery</v>
      </c>
    </row>
    <row r="330" spans="1:19">
      <c r="A330" t="s">
        <v>16647</v>
      </c>
      <c r="B330" s="1">
        <v>45301</v>
      </c>
      <c r="C330" t="s">
        <v>15877</v>
      </c>
      <c r="D330" t="str">
        <f>_xlfn.XLOOKUP(tblTransactions[[#This Row],[CustomerID]],tblCustomers[CustomerID],tblCustomers[CustomerName])</f>
        <v>Fitan Nagy</v>
      </c>
      <c r="E330" t="s">
        <v>16192</v>
      </c>
      <c r="F330" t="str">
        <f>_xlfn.XLOOKUP(tblTransactions[[#This Row],[ProductID]],tblProducts[ProductID],tblProducts[ProductName])</f>
        <v>Face Cream A1</v>
      </c>
      <c r="G330" t="s">
        <v>16256</v>
      </c>
      <c r="H330" t="str">
        <f>_xlfn.XLOOKUP(tblTransactions[[#This Row],[StoreID]],tblStores[StoreID],tblStores[Region])</f>
        <v>East</v>
      </c>
      <c r="I330">
        <v>1</v>
      </c>
      <c r="J330">
        <v>0</v>
      </c>
      <c r="K330" t="s">
        <v>16321</v>
      </c>
      <c r="L330" s="9">
        <f>_xlfn.XLOOKUP(tblTransactions[[#This Row],[ProductID]],tblProducts[ProductID],tblProducts[UnitPrice])</f>
        <v>1666.93</v>
      </c>
      <c r="M330" s="9">
        <f>tblTransactions[[#This Row],[Quantity]]*tblTransactions[[#This Row],[UnitPrice]]</f>
        <v>1666.93</v>
      </c>
      <c r="N330" s="9">
        <f>tblTransactions[[#This Row],[GrossSales]]*tblTransactions[[#This Row],[Discount]]</f>
        <v>0</v>
      </c>
      <c r="O330" s="9">
        <f>tblTransactions[[#This Row],[GrossSales]]-tblTransactions[[#This Row],[DiscountAmount]]</f>
        <v>1666.93</v>
      </c>
      <c r="P330" s="9">
        <f>_xlfn.XLOOKUP(tblTransactions[[#This Row],[ProductID]],tblProducts[ProductID],tblProducts[UnitCost])</f>
        <v>983.54</v>
      </c>
      <c r="Q330" s="9">
        <f>tblTransactions[[#This Row],[Quantity]]*tblTransactions[[#This Row],[UnitCost]]</f>
        <v>983.54</v>
      </c>
      <c r="R330" s="9">
        <f>tblTransactions[[#This Row],[NetRevenue]]-tblTransactions[[#This Row],[TotalCost]]</f>
        <v>683.3900000000001</v>
      </c>
      <c r="S330" t="str">
        <f>_xlfn.XLOOKUP(tblTransactions[[#This Row],[ProductID]],tblProducts[ProductID],tblProducts[Category])</f>
        <v>Personal Care</v>
      </c>
    </row>
    <row r="331" spans="1:19">
      <c r="A331" t="s">
        <v>16648</v>
      </c>
      <c r="B331" s="1">
        <v>45302</v>
      </c>
      <c r="C331" t="s">
        <v>4505</v>
      </c>
      <c r="D331" t="str">
        <f>_xlfn.XLOOKUP(tblTransactions[[#This Row],[CustomerID]],tblCustomers[CustomerID],tblCustomers[CustomerName])</f>
        <v>Udarsh Jani</v>
      </c>
      <c r="E331" t="s">
        <v>16015</v>
      </c>
      <c r="F331" t="str">
        <f>_xlfn.XLOOKUP(tblTransactions[[#This Row],[ProductID]],tblProducts[ProductID],tblProducts[ProductName])</f>
        <v>Electric Kettle C3</v>
      </c>
      <c r="G331" t="s">
        <v>16301</v>
      </c>
      <c r="H331" t="str">
        <f>_xlfn.XLOOKUP(tblTransactions[[#This Row],[StoreID]],tblStores[StoreID],tblStores[Region])</f>
        <v>East</v>
      </c>
      <c r="I331">
        <v>1</v>
      </c>
      <c r="J331">
        <v>0</v>
      </c>
      <c r="K331" t="s">
        <v>16325</v>
      </c>
      <c r="L331" s="9">
        <f>_xlfn.XLOOKUP(tblTransactions[[#This Row],[ProductID]],tblProducts[ProductID],tblProducts[UnitPrice])</f>
        <v>11511.46</v>
      </c>
      <c r="M331" s="9">
        <f>tblTransactions[[#This Row],[Quantity]]*tblTransactions[[#This Row],[UnitPrice]]</f>
        <v>11511.46</v>
      </c>
      <c r="N331" s="9">
        <f>tblTransactions[[#This Row],[GrossSales]]*tblTransactions[[#This Row],[Discount]]</f>
        <v>0</v>
      </c>
      <c r="O331" s="9">
        <f>tblTransactions[[#This Row],[GrossSales]]-tblTransactions[[#This Row],[DiscountAmount]]</f>
        <v>11511.46</v>
      </c>
      <c r="P331" s="9">
        <f>_xlfn.XLOOKUP(tblTransactions[[#This Row],[ProductID]],tblProducts[ProductID],tblProducts[UnitCost])</f>
        <v>9046.98</v>
      </c>
      <c r="Q331" s="9">
        <f>tblTransactions[[#This Row],[Quantity]]*tblTransactions[[#This Row],[UnitCost]]</f>
        <v>9046.98</v>
      </c>
      <c r="R331" s="9">
        <f>tblTransactions[[#This Row],[NetRevenue]]-tblTransactions[[#This Row],[TotalCost]]</f>
        <v>2464.4799999999996</v>
      </c>
      <c r="S331" t="str">
        <f>_xlfn.XLOOKUP(tblTransactions[[#This Row],[ProductID]],tblProducts[ProductID],tblProducts[Category])</f>
        <v>Home &amp; Kitchen</v>
      </c>
    </row>
    <row r="332" spans="1:19">
      <c r="A332" t="s">
        <v>16649</v>
      </c>
      <c r="B332" s="1">
        <v>45303</v>
      </c>
      <c r="C332" t="s">
        <v>14153</v>
      </c>
      <c r="D332" t="str">
        <f>_xlfn.XLOOKUP(tblTransactions[[#This Row],[CustomerID]],tblCustomers[CustomerID],tblCustomers[CustomerName])</f>
        <v>Ranbir Gera</v>
      </c>
      <c r="E332" t="s">
        <v>16162</v>
      </c>
      <c r="F332" t="str">
        <f>_xlfn.XLOOKUP(tblTransactions[[#This Row],[ProductID]],tblProducts[ProductID],tblProducts[ProductName])</f>
        <v>Tea A1</v>
      </c>
      <c r="G332" t="s">
        <v>16291</v>
      </c>
      <c r="H332" t="str">
        <f>_xlfn.XLOOKUP(tblTransactions[[#This Row],[StoreID]],tblStores[StoreID],tblStores[Region])</f>
        <v>South</v>
      </c>
      <c r="I332">
        <v>1</v>
      </c>
      <c r="J332">
        <v>0</v>
      </c>
      <c r="K332" t="s">
        <v>16317</v>
      </c>
      <c r="L332" s="9">
        <f>_xlfn.XLOOKUP(tblTransactions[[#This Row],[ProductID]],tblProducts[ProductID],tblProducts[UnitPrice])</f>
        <v>675.13</v>
      </c>
      <c r="M332" s="9">
        <f>tblTransactions[[#This Row],[Quantity]]*tblTransactions[[#This Row],[UnitPrice]]</f>
        <v>675.13</v>
      </c>
      <c r="N332" s="9">
        <f>tblTransactions[[#This Row],[GrossSales]]*tblTransactions[[#This Row],[Discount]]</f>
        <v>0</v>
      </c>
      <c r="O332" s="9">
        <f>tblTransactions[[#This Row],[GrossSales]]-tblTransactions[[#This Row],[DiscountAmount]]</f>
        <v>675.13</v>
      </c>
      <c r="P332" s="9">
        <f>_xlfn.XLOOKUP(tblTransactions[[#This Row],[ProductID]],tblProducts[ProductID],tblProducts[UnitCost])</f>
        <v>510.45</v>
      </c>
      <c r="Q332" s="9">
        <f>tblTransactions[[#This Row],[Quantity]]*tblTransactions[[#This Row],[UnitCost]]</f>
        <v>510.45</v>
      </c>
      <c r="R332" s="9">
        <f>tblTransactions[[#This Row],[NetRevenue]]-tblTransactions[[#This Row],[TotalCost]]</f>
        <v>164.68</v>
      </c>
      <c r="S332" t="str">
        <f>_xlfn.XLOOKUP(tblTransactions[[#This Row],[ProductID]],tblProducts[ProductID],tblProducts[Category])</f>
        <v>Grocery</v>
      </c>
    </row>
    <row r="333" spans="1:19">
      <c r="A333" t="s">
        <v>16650</v>
      </c>
      <c r="B333" s="1">
        <v>45303</v>
      </c>
      <c r="C333" t="s">
        <v>89</v>
      </c>
      <c r="D333" t="str">
        <f>_xlfn.XLOOKUP(tblTransactions[[#This Row],[CustomerID]],tblCustomers[CustomerID],tblCustomers[CustomerName])</f>
        <v>Simon Tata</v>
      </c>
      <c r="E333" t="s">
        <v>16112</v>
      </c>
      <c r="F333" t="str">
        <f>_xlfn.XLOOKUP(tblTransactions[[#This Row],[ProductID]],tblProducts[ProductID],tblProducts[ProductName])</f>
        <v>Kids T-Shirt A6</v>
      </c>
      <c r="G333" t="s">
        <v>16256</v>
      </c>
      <c r="H333" t="str">
        <f>_xlfn.XLOOKUP(tblTransactions[[#This Row],[StoreID]],tblStores[StoreID],tblStores[Region])</f>
        <v>East</v>
      </c>
      <c r="I333">
        <v>5</v>
      </c>
      <c r="J333">
        <v>0.1</v>
      </c>
      <c r="K333" t="s">
        <v>16319</v>
      </c>
      <c r="L333" s="9">
        <f>_xlfn.XLOOKUP(tblTransactions[[#This Row],[ProductID]],tblProducts[ProductID],tblProducts[UnitPrice])</f>
        <v>2008.33</v>
      </c>
      <c r="M333" s="9">
        <f>tblTransactions[[#This Row],[Quantity]]*tblTransactions[[#This Row],[UnitPrice]]</f>
        <v>10041.65</v>
      </c>
      <c r="N333" s="9">
        <f>tblTransactions[[#This Row],[GrossSales]]*tblTransactions[[#This Row],[Discount]]</f>
        <v>1004.165</v>
      </c>
      <c r="O333" s="9">
        <f>tblTransactions[[#This Row],[GrossSales]]-tblTransactions[[#This Row],[DiscountAmount]]</f>
        <v>9037.4850000000006</v>
      </c>
      <c r="P333" s="9">
        <f>_xlfn.XLOOKUP(tblTransactions[[#This Row],[ProductID]],tblProducts[ProductID],tblProducts[UnitCost])</f>
        <v>1688.91</v>
      </c>
      <c r="Q333" s="9">
        <f>tblTransactions[[#This Row],[Quantity]]*tblTransactions[[#This Row],[UnitCost]]</f>
        <v>8444.5500000000011</v>
      </c>
      <c r="R333" s="9">
        <f>tblTransactions[[#This Row],[NetRevenue]]-tblTransactions[[#This Row],[TotalCost]]</f>
        <v>592.93499999999949</v>
      </c>
      <c r="S333" t="str">
        <f>_xlfn.XLOOKUP(tblTransactions[[#This Row],[ProductID]],tblProducts[ProductID],tblProducts[Category])</f>
        <v>Clothing</v>
      </c>
    </row>
    <row r="334" spans="1:19">
      <c r="A334" t="s">
        <v>16651</v>
      </c>
      <c r="B334" s="1">
        <v>45306</v>
      </c>
      <c r="C334" t="s">
        <v>6787</v>
      </c>
      <c r="D334" t="str">
        <f>_xlfn.XLOOKUP(tblTransactions[[#This Row],[CustomerID]],tblCustomers[CustomerID],tblCustomers[CustomerName])</f>
        <v>Joshua Memon</v>
      </c>
      <c r="E334" t="s">
        <v>16219</v>
      </c>
      <c r="F334" t="str">
        <f>_xlfn.XLOOKUP(tblTransactions[[#This Row],[ProductID]],tblProducts[ProductID],tblProducts[ProductName])</f>
        <v>Hair Serum A6</v>
      </c>
      <c r="G334" t="s">
        <v>16265</v>
      </c>
      <c r="H334" t="str">
        <f>_xlfn.XLOOKUP(tblTransactions[[#This Row],[StoreID]],tblStores[StoreID],tblStores[Region])</f>
        <v>North</v>
      </c>
      <c r="I334">
        <v>2</v>
      </c>
      <c r="J334">
        <v>0</v>
      </c>
      <c r="K334" t="s">
        <v>16325</v>
      </c>
      <c r="L334" s="9">
        <f>_xlfn.XLOOKUP(tblTransactions[[#This Row],[ProductID]],tblProducts[ProductID],tblProducts[UnitPrice])</f>
        <v>3355.04</v>
      </c>
      <c r="M334" s="9">
        <f>tblTransactions[[#This Row],[Quantity]]*tblTransactions[[#This Row],[UnitPrice]]</f>
        <v>6710.08</v>
      </c>
      <c r="N334" s="9">
        <f>tblTransactions[[#This Row],[GrossSales]]*tblTransactions[[#This Row],[Discount]]</f>
        <v>0</v>
      </c>
      <c r="O334" s="9">
        <f>tblTransactions[[#This Row],[GrossSales]]-tblTransactions[[#This Row],[DiscountAmount]]</f>
        <v>6710.08</v>
      </c>
      <c r="P334" s="9">
        <f>_xlfn.XLOOKUP(tblTransactions[[#This Row],[ProductID]],tblProducts[ProductID],tblProducts[UnitCost])</f>
        <v>1914.01</v>
      </c>
      <c r="Q334" s="9">
        <f>tblTransactions[[#This Row],[Quantity]]*tblTransactions[[#This Row],[UnitCost]]</f>
        <v>3828.02</v>
      </c>
      <c r="R334" s="9">
        <f>tblTransactions[[#This Row],[NetRevenue]]-tblTransactions[[#This Row],[TotalCost]]</f>
        <v>2882.06</v>
      </c>
      <c r="S334" t="str">
        <f>_xlfn.XLOOKUP(tblTransactions[[#This Row],[ProductID]],tblProducts[ProductID],tblProducts[Category])</f>
        <v>Personal Care</v>
      </c>
    </row>
    <row r="335" spans="1:19">
      <c r="A335" t="s">
        <v>16652</v>
      </c>
      <c r="B335" s="1">
        <v>45307</v>
      </c>
      <c r="C335" t="s">
        <v>3940</v>
      </c>
      <c r="D335" t="str">
        <f>_xlfn.XLOOKUP(tblTransactions[[#This Row],[CustomerID]],tblCustomers[CustomerID],tblCustomers[CustomerName])</f>
        <v>Thomas Merchant</v>
      </c>
      <c r="E335" t="s">
        <v>15935</v>
      </c>
      <c r="F335" t="str">
        <f>_xlfn.XLOOKUP(tblTransactions[[#This Row],[ProductID]],tblProducts[ProductID],tblProducts[ProductName])</f>
        <v>QLED Smart TV D4</v>
      </c>
      <c r="G335" t="s">
        <v>16271</v>
      </c>
      <c r="H335" t="str">
        <f>_xlfn.XLOOKUP(tblTransactions[[#This Row],[StoreID]],tblStores[StoreID],tblStores[Region])</f>
        <v>South</v>
      </c>
      <c r="I335">
        <v>1</v>
      </c>
      <c r="J335">
        <v>0.05</v>
      </c>
      <c r="K335" t="s">
        <v>16321</v>
      </c>
      <c r="L335" s="9">
        <f>_xlfn.XLOOKUP(tblTransactions[[#This Row],[ProductID]],tblProducts[ProductID],tblProducts[UnitPrice])</f>
        <v>10619.36</v>
      </c>
      <c r="M335" s="9">
        <f>tblTransactions[[#This Row],[Quantity]]*tblTransactions[[#This Row],[UnitPrice]]</f>
        <v>10619.36</v>
      </c>
      <c r="N335" s="9">
        <f>tblTransactions[[#This Row],[GrossSales]]*tblTransactions[[#This Row],[Discount]]</f>
        <v>530.96800000000007</v>
      </c>
      <c r="O335" s="9">
        <f>tblTransactions[[#This Row],[GrossSales]]-tblTransactions[[#This Row],[DiscountAmount]]</f>
        <v>10088.392</v>
      </c>
      <c r="P335" s="9">
        <f>_xlfn.XLOOKUP(tblTransactions[[#This Row],[ProductID]],tblProducts[ProductID],tblProducts[UnitCost])</f>
        <v>6544.82</v>
      </c>
      <c r="Q335" s="9">
        <f>tblTransactions[[#This Row],[Quantity]]*tblTransactions[[#This Row],[UnitCost]]</f>
        <v>6544.82</v>
      </c>
      <c r="R335" s="9">
        <f>tblTransactions[[#This Row],[NetRevenue]]-tblTransactions[[#This Row],[TotalCost]]</f>
        <v>3543.5720000000001</v>
      </c>
      <c r="S335" t="str">
        <f>_xlfn.XLOOKUP(tblTransactions[[#This Row],[ProductID]],tblProducts[ProductID],tblProducts[Category])</f>
        <v>Electronics</v>
      </c>
    </row>
    <row r="336" spans="1:19">
      <c r="A336" t="s">
        <v>16653</v>
      </c>
      <c r="B336" s="1">
        <v>45312</v>
      </c>
      <c r="C336" t="s">
        <v>6306</v>
      </c>
      <c r="D336" t="str">
        <f>_xlfn.XLOOKUP(tblTransactions[[#This Row],[CustomerID]],tblCustomers[CustomerID],tblCustomers[CustomerName])</f>
        <v>Ishwar Mallick</v>
      </c>
      <c r="E336" t="s">
        <v>15935</v>
      </c>
      <c r="F336" t="str">
        <f>_xlfn.XLOOKUP(tblTransactions[[#This Row],[ProductID]],tblProducts[ProductID],tblProducts[ProductName])</f>
        <v>QLED Smart TV D4</v>
      </c>
      <c r="G336" t="s">
        <v>16265</v>
      </c>
      <c r="H336" t="str">
        <f>_xlfn.XLOOKUP(tblTransactions[[#This Row],[StoreID]],tblStores[StoreID],tblStores[Region])</f>
        <v>North</v>
      </c>
      <c r="I336">
        <v>2</v>
      </c>
      <c r="J336">
        <v>0</v>
      </c>
      <c r="K336" t="s">
        <v>16317</v>
      </c>
      <c r="L336" s="9">
        <f>_xlfn.XLOOKUP(tblTransactions[[#This Row],[ProductID]],tblProducts[ProductID],tblProducts[UnitPrice])</f>
        <v>10619.36</v>
      </c>
      <c r="M336" s="9">
        <f>tblTransactions[[#This Row],[Quantity]]*tblTransactions[[#This Row],[UnitPrice]]</f>
        <v>21238.720000000001</v>
      </c>
      <c r="N336" s="9">
        <f>tblTransactions[[#This Row],[GrossSales]]*tblTransactions[[#This Row],[Discount]]</f>
        <v>0</v>
      </c>
      <c r="O336" s="9">
        <f>tblTransactions[[#This Row],[GrossSales]]-tblTransactions[[#This Row],[DiscountAmount]]</f>
        <v>21238.720000000001</v>
      </c>
      <c r="P336" s="9">
        <f>_xlfn.XLOOKUP(tblTransactions[[#This Row],[ProductID]],tblProducts[ProductID],tblProducts[UnitCost])</f>
        <v>6544.82</v>
      </c>
      <c r="Q336" s="9">
        <f>tblTransactions[[#This Row],[Quantity]]*tblTransactions[[#This Row],[UnitCost]]</f>
        <v>13089.64</v>
      </c>
      <c r="R336" s="9">
        <f>tblTransactions[[#This Row],[NetRevenue]]-tblTransactions[[#This Row],[TotalCost]]</f>
        <v>8149.0800000000017</v>
      </c>
      <c r="S336" t="str">
        <f>_xlfn.XLOOKUP(tblTransactions[[#This Row],[ProductID]],tblProducts[ProductID],tblProducts[Category])</f>
        <v>Electronics</v>
      </c>
    </row>
    <row r="337" spans="1:19">
      <c r="A337" t="s">
        <v>16654</v>
      </c>
      <c r="B337" s="1">
        <v>45313</v>
      </c>
      <c r="C337" t="s">
        <v>8319</v>
      </c>
      <c r="D337" t="str">
        <f>_xlfn.XLOOKUP(tblTransactions[[#This Row],[CustomerID]],tblCustomers[CustomerID],tblCustomers[CustomerName])</f>
        <v>Dakshesh Cheema</v>
      </c>
      <c r="E337" t="s">
        <v>16147</v>
      </c>
      <c r="F337" t="str">
        <f>_xlfn.XLOOKUP(tblTransactions[[#This Row],[ProductID]],tblProducts[ProductID],tblProducts[ProductName])</f>
        <v>Namkeen A1</v>
      </c>
      <c r="G337" t="s">
        <v>16275</v>
      </c>
      <c r="H337" t="str">
        <f>_xlfn.XLOOKUP(tblTransactions[[#This Row],[StoreID]],tblStores[StoreID],tblStores[Region])</f>
        <v>South</v>
      </c>
      <c r="I337">
        <v>2</v>
      </c>
      <c r="J337">
        <v>0.05</v>
      </c>
      <c r="K337" t="s">
        <v>16321</v>
      </c>
      <c r="L337" s="9">
        <f>_xlfn.XLOOKUP(tblTransactions[[#This Row],[ProductID]],tblProducts[ProductID],tblProducts[UnitPrice])</f>
        <v>1282.31</v>
      </c>
      <c r="M337" s="9">
        <f>tblTransactions[[#This Row],[Quantity]]*tblTransactions[[#This Row],[UnitPrice]]</f>
        <v>2564.62</v>
      </c>
      <c r="N337" s="9">
        <f>tblTransactions[[#This Row],[GrossSales]]*tblTransactions[[#This Row],[Discount]]</f>
        <v>128.23099999999999</v>
      </c>
      <c r="O337" s="9">
        <f>tblTransactions[[#This Row],[GrossSales]]-tblTransactions[[#This Row],[DiscountAmount]]</f>
        <v>2436.3890000000001</v>
      </c>
      <c r="P337" s="9">
        <f>_xlfn.XLOOKUP(tblTransactions[[#This Row],[ProductID]],tblProducts[ProductID],tblProducts[UnitCost])</f>
        <v>759</v>
      </c>
      <c r="Q337" s="9">
        <f>tblTransactions[[#This Row],[Quantity]]*tblTransactions[[#This Row],[UnitCost]]</f>
        <v>1518</v>
      </c>
      <c r="R337" s="9">
        <f>tblTransactions[[#This Row],[NetRevenue]]-tblTransactions[[#This Row],[TotalCost]]</f>
        <v>918.38900000000012</v>
      </c>
      <c r="S337" t="str">
        <f>_xlfn.XLOOKUP(tblTransactions[[#This Row],[ProductID]],tblProducts[ProductID],tblProducts[Category])</f>
        <v>Grocery</v>
      </c>
    </row>
    <row r="338" spans="1:19">
      <c r="A338" t="s">
        <v>16655</v>
      </c>
      <c r="B338" s="1">
        <v>45315</v>
      </c>
      <c r="C338" t="s">
        <v>8709</v>
      </c>
      <c r="D338" t="str">
        <f>_xlfn.XLOOKUP(tblTransactions[[#This Row],[CustomerID]],tblCustomers[CustomerID],tblCustomers[CustomerName])</f>
        <v>Kalpit Sur</v>
      </c>
      <c r="E338" t="s">
        <v>16053</v>
      </c>
      <c r="F338" t="str">
        <f>_xlfn.XLOOKUP(tblTransactions[[#This Row],[ProductID]],tblProducts[ProductID],tblProducts[ProductName])</f>
        <v>Pressure Cooker B7</v>
      </c>
      <c r="G338" t="s">
        <v>16295</v>
      </c>
      <c r="H338" t="str">
        <f>_xlfn.XLOOKUP(tblTransactions[[#This Row],[StoreID]],tblStores[StoreID],tblStores[Region])</f>
        <v>South</v>
      </c>
      <c r="I338">
        <v>3</v>
      </c>
      <c r="J338">
        <v>0.1</v>
      </c>
      <c r="K338" t="s">
        <v>16321</v>
      </c>
      <c r="L338" s="9">
        <f>_xlfn.XLOOKUP(tblTransactions[[#This Row],[ProductID]],tblProducts[ProductID],tblProducts[UnitPrice])</f>
        <v>24743.52</v>
      </c>
      <c r="M338" s="9">
        <f>tblTransactions[[#This Row],[Quantity]]*tblTransactions[[#This Row],[UnitPrice]]</f>
        <v>74230.559999999998</v>
      </c>
      <c r="N338" s="9">
        <f>tblTransactions[[#This Row],[GrossSales]]*tblTransactions[[#This Row],[Discount]]</f>
        <v>7423.0560000000005</v>
      </c>
      <c r="O338" s="9">
        <f>tblTransactions[[#This Row],[GrossSales]]-tblTransactions[[#This Row],[DiscountAmount]]</f>
        <v>66807.504000000001</v>
      </c>
      <c r="P338" s="9">
        <f>_xlfn.XLOOKUP(tblTransactions[[#This Row],[ProductID]],tblProducts[ProductID],tblProducts[UnitCost])</f>
        <v>16620.189999999999</v>
      </c>
      <c r="Q338" s="9">
        <f>tblTransactions[[#This Row],[Quantity]]*tblTransactions[[#This Row],[UnitCost]]</f>
        <v>49860.569999999992</v>
      </c>
      <c r="R338" s="9">
        <f>tblTransactions[[#This Row],[NetRevenue]]-tblTransactions[[#This Row],[TotalCost]]</f>
        <v>16946.934000000008</v>
      </c>
      <c r="S338" t="str">
        <f>_xlfn.XLOOKUP(tblTransactions[[#This Row],[ProductID]],tblProducts[ProductID],tblProducts[Category])</f>
        <v>Home &amp; Kitchen</v>
      </c>
    </row>
    <row r="339" spans="1:19">
      <c r="A339" t="s">
        <v>16656</v>
      </c>
      <c r="B339" s="1">
        <v>45315</v>
      </c>
      <c r="C339" t="s">
        <v>13909</v>
      </c>
      <c r="D339" t="str">
        <f>_xlfn.XLOOKUP(tblTransactions[[#This Row],[CustomerID]],tblCustomers[CustomerID],tblCustomers[CustomerName])</f>
        <v>Januja Sachar</v>
      </c>
      <c r="E339" t="s">
        <v>15952</v>
      </c>
      <c r="F339" t="str">
        <f>_xlfn.XLOOKUP(tblTransactions[[#This Row],[ProductID]],tblProducts[ProductID],tblProducts[ProductName])</f>
        <v>Premium Smartphone D4</v>
      </c>
      <c r="G339" t="s">
        <v>16285</v>
      </c>
      <c r="H339" t="str">
        <f>_xlfn.XLOOKUP(tblTransactions[[#This Row],[StoreID]],tblStores[StoreID],tblStores[Region])</f>
        <v>West</v>
      </c>
      <c r="I339">
        <v>2</v>
      </c>
      <c r="J339">
        <v>0.05</v>
      </c>
      <c r="K339" t="s">
        <v>16317</v>
      </c>
      <c r="L339" s="9">
        <f>_xlfn.XLOOKUP(tblTransactions[[#This Row],[ProductID]],tblProducts[ProductID],tblProducts[UnitPrice])</f>
        <v>50139.94</v>
      </c>
      <c r="M339" s="9">
        <f>tblTransactions[[#This Row],[Quantity]]*tblTransactions[[#This Row],[UnitPrice]]</f>
        <v>100279.88</v>
      </c>
      <c r="N339" s="9">
        <f>tblTransactions[[#This Row],[GrossSales]]*tblTransactions[[#This Row],[Discount]]</f>
        <v>5013.9940000000006</v>
      </c>
      <c r="O339" s="9">
        <f>tblTransactions[[#This Row],[GrossSales]]-tblTransactions[[#This Row],[DiscountAmount]]</f>
        <v>95265.885999999999</v>
      </c>
      <c r="P339" s="9">
        <f>_xlfn.XLOOKUP(tblTransactions[[#This Row],[ProductID]],tblProducts[ProductID],tblProducts[UnitCost])</f>
        <v>37762.71</v>
      </c>
      <c r="Q339" s="9">
        <f>tblTransactions[[#This Row],[Quantity]]*tblTransactions[[#This Row],[UnitCost]]</f>
        <v>75525.42</v>
      </c>
      <c r="R339" s="9">
        <f>tblTransactions[[#This Row],[NetRevenue]]-tblTransactions[[#This Row],[TotalCost]]</f>
        <v>19740.466</v>
      </c>
      <c r="S339" t="str">
        <f>_xlfn.XLOOKUP(tblTransactions[[#This Row],[ProductID]],tblProducts[ProductID],tblProducts[Category])</f>
        <v>Electronics</v>
      </c>
    </row>
    <row r="340" spans="1:19">
      <c r="A340" t="s">
        <v>16657</v>
      </c>
      <c r="B340" s="1">
        <v>45316</v>
      </c>
      <c r="C340" t="s">
        <v>3559</v>
      </c>
      <c r="D340" t="str">
        <f>_xlfn.XLOOKUP(tblTransactions[[#This Row],[CustomerID]],tblCustomers[CustomerID],tblCustomers[CustomerName])</f>
        <v>Leela Bhagat</v>
      </c>
      <c r="E340" t="s">
        <v>16114</v>
      </c>
      <c r="F340" t="str">
        <f>_xlfn.XLOOKUP(tblTransactions[[#This Row],[ProductID]],tblProducts[ProductID],tblProducts[ProductName])</f>
        <v>Kids T-Shirt B7</v>
      </c>
      <c r="G340" t="s">
        <v>16303</v>
      </c>
      <c r="H340" t="str">
        <f>_xlfn.XLOOKUP(tblTransactions[[#This Row],[StoreID]],tblStores[StoreID],tblStores[Region])</f>
        <v>West</v>
      </c>
      <c r="I340">
        <v>1</v>
      </c>
      <c r="J340">
        <v>0</v>
      </c>
      <c r="K340" t="s">
        <v>16317</v>
      </c>
      <c r="L340" s="9">
        <f>_xlfn.XLOOKUP(tblTransactions[[#This Row],[ProductID]],tblProducts[ProductID],tblProducts[UnitPrice])</f>
        <v>2599.96</v>
      </c>
      <c r="M340" s="9">
        <f>tblTransactions[[#This Row],[Quantity]]*tblTransactions[[#This Row],[UnitPrice]]</f>
        <v>2599.96</v>
      </c>
      <c r="N340" s="9">
        <f>tblTransactions[[#This Row],[GrossSales]]*tblTransactions[[#This Row],[Discount]]</f>
        <v>0</v>
      </c>
      <c r="O340" s="9">
        <f>tblTransactions[[#This Row],[GrossSales]]-tblTransactions[[#This Row],[DiscountAmount]]</f>
        <v>2599.96</v>
      </c>
      <c r="P340" s="9">
        <f>_xlfn.XLOOKUP(tblTransactions[[#This Row],[ProductID]],tblProducts[ProductID],tblProducts[UnitCost])</f>
        <v>1643</v>
      </c>
      <c r="Q340" s="9">
        <f>tblTransactions[[#This Row],[Quantity]]*tblTransactions[[#This Row],[UnitCost]]</f>
        <v>1643</v>
      </c>
      <c r="R340" s="9">
        <f>tblTransactions[[#This Row],[NetRevenue]]-tblTransactions[[#This Row],[TotalCost]]</f>
        <v>956.96</v>
      </c>
      <c r="S340" t="str">
        <f>_xlfn.XLOOKUP(tblTransactions[[#This Row],[ProductID]],tblProducts[ProductID],tblProducts[Category])</f>
        <v>Clothing</v>
      </c>
    </row>
    <row r="341" spans="1:19">
      <c r="A341" t="s">
        <v>16658</v>
      </c>
      <c r="B341" s="1">
        <v>45317</v>
      </c>
      <c r="C341" t="s">
        <v>13047</v>
      </c>
      <c r="D341" t="str">
        <f>_xlfn.XLOOKUP(tblTransactions[[#This Row],[CustomerID]],tblCustomers[CustomerID],tblCustomers[CustomerName])</f>
        <v>Anmol Dara</v>
      </c>
      <c r="E341" t="s">
        <v>16080</v>
      </c>
      <c r="F341" t="str">
        <f>_xlfn.XLOOKUP(tblTransactions[[#This Row],[ProductID]],tblProducts[ProductID],tblProducts[ProductName])</f>
        <v>Men's Jacket E5</v>
      </c>
      <c r="G341" t="s">
        <v>16307</v>
      </c>
      <c r="H341" t="str">
        <f>_xlfn.XLOOKUP(tblTransactions[[#This Row],[StoreID]],tblStores[StoreID],tblStores[Region])</f>
        <v>East</v>
      </c>
      <c r="I341">
        <v>1</v>
      </c>
      <c r="J341">
        <v>0.15</v>
      </c>
      <c r="K341" t="s">
        <v>16321</v>
      </c>
      <c r="L341" s="9">
        <f>_xlfn.XLOOKUP(tblTransactions[[#This Row],[ProductID]],tblProducts[ProductID],tblProducts[UnitPrice])</f>
        <v>2211.5500000000002</v>
      </c>
      <c r="M341" s="9">
        <f>tblTransactions[[#This Row],[Quantity]]*tblTransactions[[#This Row],[UnitPrice]]</f>
        <v>2211.5500000000002</v>
      </c>
      <c r="N341" s="9">
        <f>tblTransactions[[#This Row],[GrossSales]]*tblTransactions[[#This Row],[Discount]]</f>
        <v>331.73250000000002</v>
      </c>
      <c r="O341" s="9">
        <f>tblTransactions[[#This Row],[GrossSales]]-tblTransactions[[#This Row],[DiscountAmount]]</f>
        <v>1879.8175000000001</v>
      </c>
      <c r="P341" s="9">
        <f>_xlfn.XLOOKUP(tblTransactions[[#This Row],[ProductID]],tblProducts[ProductID],tblProducts[UnitCost])</f>
        <v>1820.39</v>
      </c>
      <c r="Q341" s="9">
        <f>tblTransactions[[#This Row],[Quantity]]*tblTransactions[[#This Row],[UnitCost]]</f>
        <v>1820.39</v>
      </c>
      <c r="R341" s="9">
        <f>tblTransactions[[#This Row],[NetRevenue]]-tblTransactions[[#This Row],[TotalCost]]</f>
        <v>59.427500000000009</v>
      </c>
      <c r="S341" t="str">
        <f>_xlfn.XLOOKUP(tblTransactions[[#This Row],[ProductID]],tblProducts[ProductID],tblProducts[Category])</f>
        <v>Clothing</v>
      </c>
    </row>
    <row r="342" spans="1:19">
      <c r="A342" t="s">
        <v>16659</v>
      </c>
      <c r="B342" s="1">
        <v>45320</v>
      </c>
      <c r="C342" t="s">
        <v>7294</v>
      </c>
      <c r="D342" t="str">
        <f>_xlfn.XLOOKUP(tblTransactions[[#This Row],[CustomerID]],tblCustomers[CustomerID],tblCustomers[CustomerName])</f>
        <v>Harinakshi Bath</v>
      </c>
      <c r="E342" t="s">
        <v>16064</v>
      </c>
      <c r="F342" t="str">
        <f>_xlfn.XLOOKUP(tblTransactions[[#This Row],[ProductID]],tblProducts[ProductID],tblProducts[ProductName])</f>
        <v>Decorative Vase E5</v>
      </c>
      <c r="G342" t="s">
        <v>16297</v>
      </c>
      <c r="H342" t="str">
        <f>_xlfn.XLOOKUP(tblTransactions[[#This Row],[StoreID]],tblStores[StoreID],tblStores[Region])</f>
        <v>North</v>
      </c>
      <c r="I342">
        <v>1</v>
      </c>
      <c r="J342">
        <v>0</v>
      </c>
      <c r="K342" t="s">
        <v>16315</v>
      </c>
      <c r="L342" s="9">
        <f>_xlfn.XLOOKUP(tblTransactions[[#This Row],[ProductID]],tblProducts[ProductID],tblProducts[UnitPrice])</f>
        <v>1797.31</v>
      </c>
      <c r="M342" s="9">
        <f>tblTransactions[[#This Row],[Quantity]]*tblTransactions[[#This Row],[UnitPrice]]</f>
        <v>1797.31</v>
      </c>
      <c r="N342" s="9">
        <f>tblTransactions[[#This Row],[GrossSales]]*tblTransactions[[#This Row],[Discount]]</f>
        <v>0</v>
      </c>
      <c r="O342" s="9">
        <f>tblTransactions[[#This Row],[GrossSales]]-tblTransactions[[#This Row],[DiscountAmount]]</f>
        <v>1797.31</v>
      </c>
      <c r="P342" s="9">
        <f>_xlfn.XLOOKUP(tblTransactions[[#This Row],[ProductID]],tblProducts[ProductID],tblProducts[UnitCost])</f>
        <v>1257.43</v>
      </c>
      <c r="Q342" s="9">
        <f>tblTransactions[[#This Row],[Quantity]]*tblTransactions[[#This Row],[UnitCost]]</f>
        <v>1257.43</v>
      </c>
      <c r="R342" s="9">
        <f>tblTransactions[[#This Row],[NetRevenue]]-tblTransactions[[#This Row],[TotalCost]]</f>
        <v>539.87999999999988</v>
      </c>
      <c r="S342" t="str">
        <f>_xlfn.XLOOKUP(tblTransactions[[#This Row],[ProductID]],tblProducts[ProductID],tblProducts[Category])</f>
        <v>Home &amp; Kitchen</v>
      </c>
    </row>
    <row r="343" spans="1:19">
      <c r="A343" t="s">
        <v>16660</v>
      </c>
      <c r="B343" s="1">
        <v>45322</v>
      </c>
      <c r="C343" t="s">
        <v>4224</v>
      </c>
      <c r="D343" t="str">
        <f>_xlfn.XLOOKUP(tblTransactions[[#This Row],[CustomerID]],tblCustomers[CustomerID],tblCustomers[CustomerName])</f>
        <v>Aayush Chaudhary</v>
      </c>
      <c r="E343" t="s">
        <v>15943</v>
      </c>
      <c r="F343" t="str">
        <f>_xlfn.XLOOKUP(tblTransactions[[#This Row],[ProductID]],tblProducts[ProductID],tblProducts[ProductName])</f>
        <v>QLED Smart TV C8</v>
      </c>
      <c r="G343" t="s">
        <v>16285</v>
      </c>
      <c r="H343" t="str">
        <f>_xlfn.XLOOKUP(tblTransactions[[#This Row],[StoreID]],tblStores[StoreID],tblStores[Region])</f>
        <v>West</v>
      </c>
      <c r="I343">
        <v>3</v>
      </c>
      <c r="J343">
        <v>0.05</v>
      </c>
      <c r="K343" t="s">
        <v>16321</v>
      </c>
      <c r="L343" s="9">
        <f>_xlfn.XLOOKUP(tblTransactions[[#This Row],[ProductID]],tblProducts[ProductID],tblProducts[UnitPrice])</f>
        <v>76009.95</v>
      </c>
      <c r="M343" s="9">
        <f>tblTransactions[[#This Row],[Quantity]]*tblTransactions[[#This Row],[UnitPrice]]</f>
        <v>228029.84999999998</v>
      </c>
      <c r="N343" s="9">
        <f>tblTransactions[[#This Row],[GrossSales]]*tblTransactions[[#This Row],[Discount]]</f>
        <v>11401.4925</v>
      </c>
      <c r="O343" s="9">
        <f>tblTransactions[[#This Row],[GrossSales]]-tblTransactions[[#This Row],[DiscountAmount]]</f>
        <v>216628.35749999998</v>
      </c>
      <c r="P343" s="9">
        <f>_xlfn.XLOOKUP(tblTransactions[[#This Row],[ProductID]],tblProducts[ProductID],tblProducts[UnitCost])</f>
        <v>41916.89</v>
      </c>
      <c r="Q343" s="9">
        <f>tblTransactions[[#This Row],[Quantity]]*tblTransactions[[#This Row],[UnitCost]]</f>
        <v>125750.67</v>
      </c>
      <c r="R343" s="9">
        <f>tblTransactions[[#This Row],[NetRevenue]]-tblTransactions[[#This Row],[TotalCost]]</f>
        <v>90877.687499999985</v>
      </c>
      <c r="S343" t="str">
        <f>_xlfn.XLOOKUP(tblTransactions[[#This Row],[ProductID]],tblProducts[ProductID],tblProducts[Category])</f>
        <v>Electronics</v>
      </c>
    </row>
    <row r="344" spans="1:19">
      <c r="A344" t="s">
        <v>16661</v>
      </c>
      <c r="B344" s="1">
        <v>45322</v>
      </c>
      <c r="C344" t="s">
        <v>7165</v>
      </c>
      <c r="D344" t="str">
        <f>_xlfn.XLOOKUP(tblTransactions[[#This Row],[CustomerID]],tblCustomers[CustomerID],tblCustomers[CustomerName])</f>
        <v>Jagat Nayar</v>
      </c>
      <c r="E344" t="s">
        <v>16215</v>
      </c>
      <c r="F344" t="str">
        <f>_xlfn.XLOOKUP(tblTransactions[[#This Row],[ProductID]],tblProducts[ProductID],tblProducts[ProductName])</f>
        <v>Conditioner D4</v>
      </c>
      <c r="G344" t="s">
        <v>16297</v>
      </c>
      <c r="H344" t="str">
        <f>_xlfn.XLOOKUP(tblTransactions[[#This Row],[StoreID]],tblStores[StoreID],tblStores[Region])</f>
        <v>North</v>
      </c>
      <c r="I344">
        <v>1</v>
      </c>
      <c r="J344">
        <v>0</v>
      </c>
      <c r="K344" t="s">
        <v>16317</v>
      </c>
      <c r="L344" s="9">
        <f>_xlfn.XLOOKUP(tblTransactions[[#This Row],[ProductID]],tblProducts[ProductID],tblProducts[UnitPrice])</f>
        <v>4058.64</v>
      </c>
      <c r="M344" s="9">
        <f>tblTransactions[[#This Row],[Quantity]]*tblTransactions[[#This Row],[UnitPrice]]</f>
        <v>4058.64</v>
      </c>
      <c r="N344" s="9">
        <f>tblTransactions[[#This Row],[GrossSales]]*tblTransactions[[#This Row],[Discount]]</f>
        <v>0</v>
      </c>
      <c r="O344" s="9">
        <f>tblTransactions[[#This Row],[GrossSales]]-tblTransactions[[#This Row],[DiscountAmount]]</f>
        <v>4058.64</v>
      </c>
      <c r="P344" s="9">
        <f>_xlfn.XLOOKUP(tblTransactions[[#This Row],[ProductID]],tblProducts[ProductID],tblProducts[UnitCost])</f>
        <v>2892.93</v>
      </c>
      <c r="Q344" s="9">
        <f>tblTransactions[[#This Row],[Quantity]]*tblTransactions[[#This Row],[UnitCost]]</f>
        <v>2892.93</v>
      </c>
      <c r="R344" s="9">
        <f>tblTransactions[[#This Row],[NetRevenue]]-tblTransactions[[#This Row],[TotalCost]]</f>
        <v>1165.71</v>
      </c>
      <c r="S344" t="str">
        <f>_xlfn.XLOOKUP(tblTransactions[[#This Row],[ProductID]],tblProducts[ProductID],tblProducts[Category])</f>
        <v>Personal Care</v>
      </c>
    </row>
    <row r="345" spans="1:19">
      <c r="A345" t="s">
        <v>16662</v>
      </c>
      <c r="B345" s="1">
        <v>45323</v>
      </c>
      <c r="C345" t="s">
        <v>9646</v>
      </c>
      <c r="D345" t="str">
        <f>_xlfn.XLOOKUP(tblTransactions[[#This Row],[CustomerID]],tblCustomers[CustomerID],tblCustomers[CustomerName])</f>
        <v>Nidra Sani</v>
      </c>
      <c r="E345" t="s">
        <v>16154</v>
      </c>
      <c r="F345" t="str">
        <f>_xlfn.XLOOKUP(tblTransactions[[#This Row],[ProductID]],tblProducts[ProductID],tblProducts[ProductName])</f>
        <v>Namkeen D4</v>
      </c>
      <c r="G345" t="s">
        <v>16289</v>
      </c>
      <c r="H345" t="str">
        <f>_xlfn.XLOOKUP(tblTransactions[[#This Row],[StoreID]],tblStores[StoreID],tblStores[Region])</f>
        <v>South</v>
      </c>
      <c r="I345">
        <v>1</v>
      </c>
      <c r="J345">
        <v>0</v>
      </c>
      <c r="K345" t="s">
        <v>16317</v>
      </c>
      <c r="L345" s="9">
        <f>_xlfn.XLOOKUP(tblTransactions[[#This Row],[ProductID]],tblProducts[ProductID],tblProducts[UnitPrice])</f>
        <v>881.18</v>
      </c>
      <c r="M345" s="9">
        <f>tblTransactions[[#This Row],[Quantity]]*tblTransactions[[#This Row],[UnitPrice]]</f>
        <v>881.18</v>
      </c>
      <c r="N345" s="9">
        <f>tblTransactions[[#This Row],[GrossSales]]*tblTransactions[[#This Row],[Discount]]</f>
        <v>0</v>
      </c>
      <c r="O345" s="9">
        <f>tblTransactions[[#This Row],[GrossSales]]-tblTransactions[[#This Row],[DiscountAmount]]</f>
        <v>881.18</v>
      </c>
      <c r="P345" s="9">
        <f>_xlfn.XLOOKUP(tblTransactions[[#This Row],[ProductID]],tblProducts[ProductID],tblProducts[UnitCost])</f>
        <v>626.67999999999995</v>
      </c>
      <c r="Q345" s="9">
        <f>tblTransactions[[#This Row],[Quantity]]*tblTransactions[[#This Row],[UnitCost]]</f>
        <v>626.67999999999995</v>
      </c>
      <c r="R345" s="9">
        <f>tblTransactions[[#This Row],[NetRevenue]]-tblTransactions[[#This Row],[TotalCost]]</f>
        <v>254.5</v>
      </c>
      <c r="S345" t="str">
        <f>_xlfn.XLOOKUP(tblTransactions[[#This Row],[ProductID]],tblProducts[ProductID],tblProducts[Category])</f>
        <v>Grocery</v>
      </c>
    </row>
    <row r="346" spans="1:19">
      <c r="A346" t="s">
        <v>16663</v>
      </c>
      <c r="B346" s="1">
        <v>45325</v>
      </c>
      <c r="C346" t="s">
        <v>396</v>
      </c>
      <c r="D346" t="str">
        <f>_xlfn.XLOOKUP(tblTransactions[[#This Row],[CustomerID]],tblCustomers[CustomerID],tblCustomers[CustomerName])</f>
        <v>Triya Gopal</v>
      </c>
      <c r="E346" t="s">
        <v>16221</v>
      </c>
      <c r="F346" t="str">
        <f>_xlfn.XLOOKUP(tblTransactions[[#This Row],[ProductID]],tblProducts[ProductID],tblProducts[ProductName])</f>
        <v>Conditioner B7</v>
      </c>
      <c r="G346" t="s">
        <v>16265</v>
      </c>
      <c r="H346" t="str">
        <f>_xlfn.XLOOKUP(tblTransactions[[#This Row],[StoreID]],tblStores[StoreID],tblStores[Region])</f>
        <v>North</v>
      </c>
      <c r="I346">
        <v>1</v>
      </c>
      <c r="J346">
        <v>0.05</v>
      </c>
      <c r="K346" t="s">
        <v>16317</v>
      </c>
      <c r="L346" s="9">
        <f>_xlfn.XLOOKUP(tblTransactions[[#This Row],[ProductID]],tblProducts[ProductID],tblProducts[UnitPrice])</f>
        <v>1702.4</v>
      </c>
      <c r="M346" s="9">
        <f>tblTransactions[[#This Row],[Quantity]]*tblTransactions[[#This Row],[UnitPrice]]</f>
        <v>1702.4</v>
      </c>
      <c r="N346" s="9">
        <f>tblTransactions[[#This Row],[GrossSales]]*tblTransactions[[#This Row],[Discount]]</f>
        <v>85.12</v>
      </c>
      <c r="O346" s="9">
        <f>tblTransactions[[#This Row],[GrossSales]]-tblTransactions[[#This Row],[DiscountAmount]]</f>
        <v>1617.2800000000002</v>
      </c>
      <c r="P346" s="9">
        <f>_xlfn.XLOOKUP(tblTransactions[[#This Row],[ProductID]],tblProducts[ProductID],tblProducts[UnitCost])</f>
        <v>1284.8900000000001</v>
      </c>
      <c r="Q346" s="9">
        <f>tblTransactions[[#This Row],[Quantity]]*tblTransactions[[#This Row],[UnitCost]]</f>
        <v>1284.8900000000001</v>
      </c>
      <c r="R346" s="9">
        <f>tblTransactions[[#This Row],[NetRevenue]]-tblTransactions[[#This Row],[TotalCost]]</f>
        <v>332.3900000000001</v>
      </c>
      <c r="S346" t="str">
        <f>_xlfn.XLOOKUP(tblTransactions[[#This Row],[ProductID]],tblProducts[ProductID],tblProducts[Category])</f>
        <v>Personal Care</v>
      </c>
    </row>
    <row r="347" spans="1:19">
      <c r="A347" t="s">
        <v>16664</v>
      </c>
      <c r="B347" s="1">
        <v>45326</v>
      </c>
      <c r="C347" t="s">
        <v>10321</v>
      </c>
      <c r="D347" t="str">
        <f>_xlfn.XLOOKUP(tblTransactions[[#This Row],[CustomerID]],tblCustomers[CustomerID],tblCustomers[CustomerName])</f>
        <v>Chakradhar Venkataraman</v>
      </c>
      <c r="E347" t="s">
        <v>15975</v>
      </c>
      <c r="F347" t="str">
        <f>_xlfn.XLOOKUP(tblTransactions[[#This Row],[ProductID]],tblProducts[ProductID],tblProducts[ProductName])</f>
        <v>Student Laptop B7</v>
      </c>
      <c r="G347" t="s">
        <v>16269</v>
      </c>
      <c r="H347" t="str">
        <f>_xlfn.XLOOKUP(tblTransactions[[#This Row],[StoreID]],tblStores[StoreID],tblStores[Region])</f>
        <v>North</v>
      </c>
      <c r="I347">
        <v>3</v>
      </c>
      <c r="J347">
        <v>0</v>
      </c>
      <c r="K347" t="s">
        <v>16325</v>
      </c>
      <c r="L347" s="9">
        <f>_xlfn.XLOOKUP(tblTransactions[[#This Row],[ProductID]],tblProducts[ProductID],tblProducts[UnitPrice])</f>
        <v>36481.47</v>
      </c>
      <c r="M347" s="9">
        <f>tblTransactions[[#This Row],[Quantity]]*tblTransactions[[#This Row],[UnitPrice]]</f>
        <v>109444.41</v>
      </c>
      <c r="N347" s="9">
        <f>tblTransactions[[#This Row],[GrossSales]]*tblTransactions[[#This Row],[Discount]]</f>
        <v>0</v>
      </c>
      <c r="O347" s="9">
        <f>tblTransactions[[#This Row],[GrossSales]]-tblTransactions[[#This Row],[DiscountAmount]]</f>
        <v>109444.41</v>
      </c>
      <c r="P347" s="9">
        <f>_xlfn.XLOOKUP(tblTransactions[[#This Row],[ProductID]],tblProducts[ProductID],tblProducts[UnitCost])</f>
        <v>30666.16</v>
      </c>
      <c r="Q347" s="9">
        <f>tblTransactions[[#This Row],[Quantity]]*tblTransactions[[#This Row],[UnitCost]]</f>
        <v>91998.48</v>
      </c>
      <c r="R347" s="9">
        <f>tblTransactions[[#This Row],[NetRevenue]]-tblTransactions[[#This Row],[TotalCost]]</f>
        <v>17445.930000000008</v>
      </c>
      <c r="S347" t="str">
        <f>_xlfn.XLOOKUP(tblTransactions[[#This Row],[ProductID]],tblProducts[ProductID],tblProducts[Category])</f>
        <v>Electronics</v>
      </c>
    </row>
    <row r="348" spans="1:19">
      <c r="A348" t="s">
        <v>16665</v>
      </c>
      <c r="B348" s="1">
        <v>45326</v>
      </c>
      <c r="C348" t="s">
        <v>7730</v>
      </c>
      <c r="D348" t="str">
        <f>_xlfn.XLOOKUP(tblTransactions[[#This Row],[CustomerID]],tblCustomers[CustomerID],tblCustomers[CustomerName])</f>
        <v>Yauvani Brar</v>
      </c>
      <c r="E348" t="s">
        <v>16074</v>
      </c>
      <c r="F348" t="str">
        <f>_xlfn.XLOOKUP(tblTransactions[[#This Row],[ProductID]],tblProducts[ProductID],tblProducts[ProductName])</f>
        <v>Men's T-Shirt B2</v>
      </c>
      <c r="G348" t="s">
        <v>16285</v>
      </c>
      <c r="H348" t="str">
        <f>_xlfn.XLOOKUP(tblTransactions[[#This Row],[StoreID]],tblStores[StoreID],tblStores[Region])</f>
        <v>West</v>
      </c>
      <c r="I348">
        <v>1</v>
      </c>
      <c r="J348">
        <v>0</v>
      </c>
      <c r="K348" t="s">
        <v>16317</v>
      </c>
      <c r="L348" s="9">
        <f>_xlfn.XLOOKUP(tblTransactions[[#This Row],[ProductID]],tblProducts[ProductID],tblProducts[UnitPrice])</f>
        <v>5944.75</v>
      </c>
      <c r="M348" s="9">
        <f>tblTransactions[[#This Row],[Quantity]]*tblTransactions[[#This Row],[UnitPrice]]</f>
        <v>5944.75</v>
      </c>
      <c r="N348" s="9">
        <f>tblTransactions[[#This Row],[GrossSales]]*tblTransactions[[#This Row],[Discount]]</f>
        <v>0</v>
      </c>
      <c r="O348" s="9">
        <f>tblTransactions[[#This Row],[GrossSales]]-tblTransactions[[#This Row],[DiscountAmount]]</f>
        <v>5944.75</v>
      </c>
      <c r="P348" s="9">
        <f>_xlfn.XLOOKUP(tblTransactions[[#This Row],[ProductID]],tblProducts[ProductID],tblProducts[UnitCost])</f>
        <v>4447.5200000000004</v>
      </c>
      <c r="Q348" s="9">
        <f>tblTransactions[[#This Row],[Quantity]]*tblTransactions[[#This Row],[UnitCost]]</f>
        <v>4447.5200000000004</v>
      </c>
      <c r="R348" s="9">
        <f>tblTransactions[[#This Row],[NetRevenue]]-tblTransactions[[#This Row],[TotalCost]]</f>
        <v>1497.2299999999996</v>
      </c>
      <c r="S348" t="str">
        <f>_xlfn.XLOOKUP(tblTransactions[[#This Row],[ProductID]],tblProducts[ProductID],tblProducts[Category])</f>
        <v>Clothing</v>
      </c>
    </row>
    <row r="349" spans="1:19">
      <c r="A349" t="s">
        <v>16666</v>
      </c>
      <c r="B349" s="1">
        <v>45327</v>
      </c>
      <c r="C349" t="s">
        <v>14256</v>
      </c>
      <c r="D349" t="str">
        <f>_xlfn.XLOOKUP(tblTransactions[[#This Row],[CustomerID]],tblCustomers[CustomerID],tblCustomers[CustomerName])</f>
        <v>Samesh Sachdeva</v>
      </c>
      <c r="E349" t="s">
        <v>16190</v>
      </c>
      <c r="F349" t="str">
        <f>_xlfn.XLOOKUP(tblTransactions[[#This Row],[ProductID]],tblProducts[ProductID],tblProducts[ProductName])</f>
        <v>Pasta B7</v>
      </c>
      <c r="G349" t="s">
        <v>16305</v>
      </c>
      <c r="H349" t="str">
        <f>_xlfn.XLOOKUP(tblTransactions[[#This Row],[StoreID]],tblStores[StoreID],tblStores[Region])</f>
        <v>South</v>
      </c>
      <c r="I349">
        <v>2</v>
      </c>
      <c r="J349">
        <v>0</v>
      </c>
      <c r="K349" t="s">
        <v>16321</v>
      </c>
      <c r="L349" s="9">
        <f>_xlfn.XLOOKUP(tblTransactions[[#This Row],[ProductID]],tblProducts[ProductID],tblProducts[UnitPrice])</f>
        <v>777.56</v>
      </c>
      <c r="M349" s="9">
        <f>tblTransactions[[#This Row],[Quantity]]*tblTransactions[[#This Row],[UnitPrice]]</f>
        <v>1555.12</v>
      </c>
      <c r="N349" s="9">
        <f>tblTransactions[[#This Row],[GrossSales]]*tblTransactions[[#This Row],[Discount]]</f>
        <v>0</v>
      </c>
      <c r="O349" s="9">
        <f>tblTransactions[[#This Row],[GrossSales]]-tblTransactions[[#This Row],[DiscountAmount]]</f>
        <v>1555.12</v>
      </c>
      <c r="P349" s="9">
        <f>_xlfn.XLOOKUP(tblTransactions[[#This Row],[ProductID]],tblProducts[ProductID],tblProducts[UnitCost])</f>
        <v>503.09</v>
      </c>
      <c r="Q349" s="9">
        <f>tblTransactions[[#This Row],[Quantity]]*tblTransactions[[#This Row],[UnitCost]]</f>
        <v>1006.18</v>
      </c>
      <c r="R349" s="9">
        <f>tblTransactions[[#This Row],[NetRevenue]]-tblTransactions[[#This Row],[TotalCost]]</f>
        <v>548.93999999999994</v>
      </c>
      <c r="S349" t="str">
        <f>_xlfn.XLOOKUP(tblTransactions[[#This Row],[ProductID]],tblProducts[ProductID],tblProducts[Category])</f>
        <v>Grocery</v>
      </c>
    </row>
    <row r="350" spans="1:19">
      <c r="A350" t="s">
        <v>16667</v>
      </c>
      <c r="B350" s="1">
        <v>45328</v>
      </c>
      <c r="C350" t="s">
        <v>4220</v>
      </c>
      <c r="D350" t="str">
        <f>_xlfn.XLOOKUP(tblTransactions[[#This Row],[CustomerID]],tblCustomers[CustomerID],tblCustomers[CustomerName])</f>
        <v>Akshay Wadhwa</v>
      </c>
      <c r="E350" t="s">
        <v>16116</v>
      </c>
      <c r="F350" t="str">
        <f>_xlfn.XLOOKUP(tblTransactions[[#This Row],[ProductID]],tblProducts[ProductID],tblProducts[ProductName])</f>
        <v>Sandals A1</v>
      </c>
      <c r="G350" t="s">
        <v>16269</v>
      </c>
      <c r="H350" t="str">
        <f>_xlfn.XLOOKUP(tblTransactions[[#This Row],[StoreID]],tblStores[StoreID],tblStores[Region])</f>
        <v>North</v>
      </c>
      <c r="I350">
        <v>4</v>
      </c>
      <c r="J350">
        <v>0.15</v>
      </c>
      <c r="K350" t="s">
        <v>16317</v>
      </c>
      <c r="L350" s="9">
        <f>_xlfn.XLOOKUP(tblTransactions[[#This Row],[ProductID]],tblProducts[ProductID],tblProducts[UnitPrice])</f>
        <v>7414.77</v>
      </c>
      <c r="M350" s="9">
        <f>tblTransactions[[#This Row],[Quantity]]*tblTransactions[[#This Row],[UnitPrice]]</f>
        <v>29659.08</v>
      </c>
      <c r="N350" s="9">
        <f>tblTransactions[[#This Row],[GrossSales]]*tblTransactions[[#This Row],[Discount]]</f>
        <v>4448.8620000000001</v>
      </c>
      <c r="O350" s="9">
        <f>tblTransactions[[#This Row],[GrossSales]]-tblTransactions[[#This Row],[DiscountAmount]]</f>
        <v>25210.218000000001</v>
      </c>
      <c r="P350" s="9">
        <f>_xlfn.XLOOKUP(tblTransactions[[#This Row],[ProductID]],tblProducts[ProductID],tblProducts[UnitCost])</f>
        <v>4859.1400000000003</v>
      </c>
      <c r="Q350" s="9">
        <f>tblTransactions[[#This Row],[Quantity]]*tblTransactions[[#This Row],[UnitCost]]</f>
        <v>19436.560000000001</v>
      </c>
      <c r="R350" s="9">
        <f>tblTransactions[[#This Row],[NetRevenue]]-tblTransactions[[#This Row],[TotalCost]]</f>
        <v>5773.6579999999994</v>
      </c>
      <c r="S350" t="str">
        <f>_xlfn.XLOOKUP(tblTransactions[[#This Row],[ProductID]],tblProducts[ProductID],tblProducts[Category])</f>
        <v>Clothing</v>
      </c>
    </row>
    <row r="351" spans="1:19">
      <c r="A351" t="s">
        <v>16668</v>
      </c>
      <c r="B351" s="1">
        <v>45328</v>
      </c>
      <c r="C351" t="s">
        <v>930</v>
      </c>
      <c r="D351" t="str">
        <f>_xlfn.XLOOKUP(tblTransactions[[#This Row],[CustomerID]],tblCustomers[CustomerID],tblCustomers[CustomerName])</f>
        <v>Charles Natt</v>
      </c>
      <c r="E351" t="s">
        <v>16219</v>
      </c>
      <c r="F351" t="str">
        <f>_xlfn.XLOOKUP(tblTransactions[[#This Row],[ProductID]],tblProducts[ProductID],tblProducts[ProductName])</f>
        <v>Hair Serum A6</v>
      </c>
      <c r="G351" t="s">
        <v>16301</v>
      </c>
      <c r="H351" t="str">
        <f>_xlfn.XLOOKUP(tblTransactions[[#This Row],[StoreID]],tblStores[StoreID],tblStores[Region])</f>
        <v>East</v>
      </c>
      <c r="I351">
        <v>4</v>
      </c>
      <c r="J351">
        <v>0</v>
      </c>
      <c r="K351" t="s">
        <v>16319</v>
      </c>
      <c r="L351" s="9">
        <f>_xlfn.XLOOKUP(tblTransactions[[#This Row],[ProductID]],tblProducts[ProductID],tblProducts[UnitPrice])</f>
        <v>3355.04</v>
      </c>
      <c r="M351" s="9">
        <f>tblTransactions[[#This Row],[Quantity]]*tblTransactions[[#This Row],[UnitPrice]]</f>
        <v>13420.16</v>
      </c>
      <c r="N351" s="9">
        <f>tblTransactions[[#This Row],[GrossSales]]*tblTransactions[[#This Row],[Discount]]</f>
        <v>0</v>
      </c>
      <c r="O351" s="9">
        <f>tblTransactions[[#This Row],[GrossSales]]-tblTransactions[[#This Row],[DiscountAmount]]</f>
        <v>13420.16</v>
      </c>
      <c r="P351" s="9">
        <f>_xlfn.XLOOKUP(tblTransactions[[#This Row],[ProductID]],tblProducts[ProductID],tblProducts[UnitCost])</f>
        <v>1914.01</v>
      </c>
      <c r="Q351" s="9">
        <f>tblTransactions[[#This Row],[Quantity]]*tblTransactions[[#This Row],[UnitCost]]</f>
        <v>7656.04</v>
      </c>
      <c r="R351" s="9">
        <f>tblTransactions[[#This Row],[NetRevenue]]-tblTransactions[[#This Row],[TotalCost]]</f>
        <v>5764.12</v>
      </c>
      <c r="S351" t="str">
        <f>_xlfn.XLOOKUP(tblTransactions[[#This Row],[ProductID]],tblProducts[ProductID],tblProducts[Category])</f>
        <v>Personal Care</v>
      </c>
    </row>
    <row r="352" spans="1:19">
      <c r="A352" t="s">
        <v>16669</v>
      </c>
      <c r="B352" s="1">
        <v>45329</v>
      </c>
      <c r="C352" t="s">
        <v>12344</v>
      </c>
      <c r="D352" t="str">
        <f>_xlfn.XLOOKUP(tblTransactions[[#This Row],[CustomerID]],tblCustomers[CustomerID],tblCustomers[CustomerName])</f>
        <v>Falguni Tella</v>
      </c>
      <c r="E352" t="s">
        <v>16123</v>
      </c>
      <c r="F352" t="str">
        <f>_xlfn.XLOOKUP(tblTransactions[[#This Row],[ProductID]],tblProducts[ProductID],tblProducts[ProductName])</f>
        <v>Running Shoes D4</v>
      </c>
      <c r="G352" t="s">
        <v>16297</v>
      </c>
      <c r="H352" t="str">
        <f>_xlfn.XLOOKUP(tblTransactions[[#This Row],[StoreID]],tblStores[StoreID],tblStores[Region])</f>
        <v>North</v>
      </c>
      <c r="I352">
        <v>1</v>
      </c>
      <c r="J352">
        <v>0</v>
      </c>
      <c r="K352" t="s">
        <v>16321</v>
      </c>
      <c r="L352" s="9">
        <f>_xlfn.XLOOKUP(tblTransactions[[#This Row],[ProductID]],tblProducts[ProductID],tblProducts[UnitPrice])</f>
        <v>5979.07</v>
      </c>
      <c r="M352" s="9">
        <f>tblTransactions[[#This Row],[Quantity]]*tblTransactions[[#This Row],[UnitPrice]]</f>
        <v>5979.07</v>
      </c>
      <c r="N352" s="9">
        <f>tblTransactions[[#This Row],[GrossSales]]*tblTransactions[[#This Row],[Discount]]</f>
        <v>0</v>
      </c>
      <c r="O352" s="9">
        <f>tblTransactions[[#This Row],[GrossSales]]-tblTransactions[[#This Row],[DiscountAmount]]</f>
        <v>5979.07</v>
      </c>
      <c r="P352" s="9">
        <f>_xlfn.XLOOKUP(tblTransactions[[#This Row],[ProductID]],tblProducts[ProductID],tblProducts[UnitCost])</f>
        <v>4121.96</v>
      </c>
      <c r="Q352" s="9">
        <f>tblTransactions[[#This Row],[Quantity]]*tblTransactions[[#This Row],[UnitCost]]</f>
        <v>4121.96</v>
      </c>
      <c r="R352" s="9">
        <f>tblTransactions[[#This Row],[NetRevenue]]-tblTransactions[[#This Row],[TotalCost]]</f>
        <v>1857.1099999999997</v>
      </c>
      <c r="S352" t="str">
        <f>_xlfn.XLOOKUP(tblTransactions[[#This Row],[ProductID]],tblProducts[ProductID],tblProducts[Category])</f>
        <v>Clothing</v>
      </c>
    </row>
    <row r="353" spans="1:19">
      <c r="A353" t="s">
        <v>16670</v>
      </c>
      <c r="B353" s="1">
        <v>45331</v>
      </c>
      <c r="C353" t="s">
        <v>1316</v>
      </c>
      <c r="D353" t="str">
        <f>_xlfn.XLOOKUP(tblTransactions[[#This Row],[CustomerID]],tblCustomers[CustomerID],tblCustomers[CustomerName])</f>
        <v>Geetika Merchant</v>
      </c>
      <c r="E353" t="s">
        <v>16217</v>
      </c>
      <c r="F353" t="str">
        <f>_xlfn.XLOOKUP(tblTransactions[[#This Row],[ProductID]],tblProducts[ProductID],tblProducts[ProductName])</f>
        <v>Hair Oil E5</v>
      </c>
      <c r="G353" t="s">
        <v>16275</v>
      </c>
      <c r="H353" t="str">
        <f>_xlfn.XLOOKUP(tblTransactions[[#This Row],[StoreID]],tblStores[StoreID],tblStores[Region])</f>
        <v>South</v>
      </c>
      <c r="I353">
        <v>2</v>
      </c>
      <c r="J353">
        <v>0</v>
      </c>
      <c r="K353" t="s">
        <v>16315</v>
      </c>
      <c r="L353" s="9">
        <f>_xlfn.XLOOKUP(tblTransactions[[#This Row],[ProductID]],tblProducts[ProductID],tblProducts[UnitPrice])</f>
        <v>3581.9</v>
      </c>
      <c r="M353" s="9">
        <f>tblTransactions[[#This Row],[Quantity]]*tblTransactions[[#This Row],[UnitPrice]]</f>
        <v>7163.8</v>
      </c>
      <c r="N353" s="9">
        <f>tblTransactions[[#This Row],[GrossSales]]*tblTransactions[[#This Row],[Discount]]</f>
        <v>0</v>
      </c>
      <c r="O353" s="9">
        <f>tblTransactions[[#This Row],[GrossSales]]-tblTransactions[[#This Row],[DiscountAmount]]</f>
        <v>7163.8</v>
      </c>
      <c r="P353" s="9">
        <f>_xlfn.XLOOKUP(tblTransactions[[#This Row],[ProductID]],tblProducts[ProductID],tblProducts[UnitCost])</f>
        <v>2770.12</v>
      </c>
      <c r="Q353" s="9">
        <f>tblTransactions[[#This Row],[Quantity]]*tblTransactions[[#This Row],[UnitCost]]</f>
        <v>5540.24</v>
      </c>
      <c r="R353" s="9">
        <f>tblTransactions[[#This Row],[NetRevenue]]-tblTransactions[[#This Row],[TotalCost]]</f>
        <v>1623.5600000000004</v>
      </c>
      <c r="S353" t="str">
        <f>_xlfn.XLOOKUP(tblTransactions[[#This Row],[ProductID]],tblProducts[ProductID],tblProducts[Category])</f>
        <v>Personal Care</v>
      </c>
    </row>
    <row r="354" spans="1:19">
      <c r="A354" t="s">
        <v>16671</v>
      </c>
      <c r="B354" s="1">
        <v>45331</v>
      </c>
      <c r="C354" t="s">
        <v>9478</v>
      </c>
      <c r="D354" t="str">
        <f>_xlfn.XLOOKUP(tblTransactions[[#This Row],[CustomerID]],tblCustomers[CustomerID],tblCustomers[CustomerName])</f>
        <v>Pallavi Ganesh</v>
      </c>
      <c r="E354" t="s">
        <v>15937</v>
      </c>
      <c r="F354" t="str">
        <f>_xlfn.XLOOKUP(tblTransactions[[#This Row],[ProductID]],tblProducts[ProductID],tblProducts[ProductName])</f>
        <v>Smart LED TV E5</v>
      </c>
      <c r="G354" t="s">
        <v>16271</v>
      </c>
      <c r="H354" t="str">
        <f>_xlfn.XLOOKUP(tblTransactions[[#This Row],[StoreID]],tblStores[StoreID],tblStores[Region])</f>
        <v>South</v>
      </c>
      <c r="I354">
        <v>2</v>
      </c>
      <c r="J354">
        <v>0.1</v>
      </c>
      <c r="K354" t="s">
        <v>16325</v>
      </c>
      <c r="L354" s="9">
        <f>_xlfn.XLOOKUP(tblTransactions[[#This Row],[ProductID]],tblProducts[ProductID],tblProducts[UnitPrice])</f>
        <v>4719.2700000000004</v>
      </c>
      <c r="M354" s="9">
        <f>tblTransactions[[#This Row],[Quantity]]*tblTransactions[[#This Row],[UnitPrice]]</f>
        <v>9438.5400000000009</v>
      </c>
      <c r="N354" s="9">
        <f>tblTransactions[[#This Row],[GrossSales]]*tblTransactions[[#This Row],[Discount]]</f>
        <v>943.85400000000016</v>
      </c>
      <c r="O354" s="9">
        <f>tblTransactions[[#This Row],[GrossSales]]-tblTransactions[[#This Row],[DiscountAmount]]</f>
        <v>8494.6860000000015</v>
      </c>
      <c r="P354" s="9">
        <f>_xlfn.XLOOKUP(tblTransactions[[#This Row],[ProductID]],tblProducts[ProductID],tblProducts[UnitCost])</f>
        <v>3322.23</v>
      </c>
      <c r="Q354" s="9">
        <f>tblTransactions[[#This Row],[Quantity]]*tblTransactions[[#This Row],[UnitCost]]</f>
        <v>6644.46</v>
      </c>
      <c r="R354" s="9">
        <f>tblTransactions[[#This Row],[NetRevenue]]-tblTransactions[[#This Row],[TotalCost]]</f>
        <v>1850.2260000000015</v>
      </c>
      <c r="S354" t="str">
        <f>_xlfn.XLOOKUP(tblTransactions[[#This Row],[ProductID]],tblProducts[ProductID],tblProducts[Category])</f>
        <v>Electronics</v>
      </c>
    </row>
    <row r="355" spans="1:19">
      <c r="A355" t="s">
        <v>16672</v>
      </c>
      <c r="B355" s="1">
        <v>45331</v>
      </c>
      <c r="C355" t="s">
        <v>7294</v>
      </c>
      <c r="D355" t="str">
        <f>_xlfn.XLOOKUP(tblTransactions[[#This Row],[CustomerID]],tblCustomers[CustomerID],tblCustomers[CustomerName])</f>
        <v>Harinakshi Bath</v>
      </c>
      <c r="E355" t="s">
        <v>16082</v>
      </c>
      <c r="F355" t="str">
        <f>_xlfn.XLOOKUP(tblTransactions[[#This Row],[ProductID]],tblProducts[ProductID],tblProducts[ProductName])</f>
        <v>Men's Jacket A6</v>
      </c>
      <c r="G355" t="s">
        <v>16299</v>
      </c>
      <c r="H355" t="str">
        <f>_xlfn.XLOOKUP(tblTransactions[[#This Row],[StoreID]],tblStores[StoreID],tblStores[Region])</f>
        <v>South</v>
      </c>
      <c r="I355">
        <v>1</v>
      </c>
      <c r="J355">
        <v>0.05</v>
      </c>
      <c r="K355" t="s">
        <v>16321</v>
      </c>
      <c r="L355" s="9">
        <f>_xlfn.XLOOKUP(tblTransactions[[#This Row],[ProductID]],tblProducts[ProductID],tblProducts[UnitPrice])</f>
        <v>3718.64</v>
      </c>
      <c r="M355" s="9">
        <f>tblTransactions[[#This Row],[Quantity]]*tblTransactions[[#This Row],[UnitPrice]]</f>
        <v>3718.64</v>
      </c>
      <c r="N355" s="9">
        <f>tblTransactions[[#This Row],[GrossSales]]*tblTransactions[[#This Row],[Discount]]</f>
        <v>185.93200000000002</v>
      </c>
      <c r="O355" s="9">
        <f>tblTransactions[[#This Row],[GrossSales]]-tblTransactions[[#This Row],[DiscountAmount]]</f>
        <v>3532.7079999999996</v>
      </c>
      <c r="P355" s="9">
        <f>_xlfn.XLOOKUP(tblTransactions[[#This Row],[ProductID]],tblProducts[ProductID],tblProducts[UnitCost])</f>
        <v>3021.38</v>
      </c>
      <c r="Q355" s="9">
        <f>tblTransactions[[#This Row],[Quantity]]*tblTransactions[[#This Row],[UnitCost]]</f>
        <v>3021.38</v>
      </c>
      <c r="R355" s="9">
        <f>tblTransactions[[#This Row],[NetRevenue]]-tblTransactions[[#This Row],[TotalCost]]</f>
        <v>511.32799999999952</v>
      </c>
      <c r="S355" t="str">
        <f>_xlfn.XLOOKUP(tblTransactions[[#This Row],[ProductID]],tblProducts[ProductID],tblProducts[Category])</f>
        <v>Clothing</v>
      </c>
    </row>
    <row r="356" spans="1:19">
      <c r="A356" t="s">
        <v>16673</v>
      </c>
      <c r="B356" s="1">
        <v>45332</v>
      </c>
      <c r="C356" t="s">
        <v>10898</v>
      </c>
      <c r="D356" t="str">
        <f>_xlfn.XLOOKUP(tblTransactions[[#This Row],[CustomerID]],tblCustomers[CustomerID],tblCustomers[CustomerName])</f>
        <v>Matthew Doshi</v>
      </c>
      <c r="E356" t="s">
        <v>15986</v>
      </c>
      <c r="F356" t="str">
        <f>_xlfn.XLOOKUP(tblTransactions[[#This Row],[ProductID]],tblProducts[ProductID],tblProducts[ProductName])</f>
        <v>Soundbar D4</v>
      </c>
      <c r="G356" t="s">
        <v>16301</v>
      </c>
      <c r="H356" t="str">
        <f>_xlfn.XLOOKUP(tblTransactions[[#This Row],[StoreID]],tblStores[StoreID],tblStores[Region])</f>
        <v>East</v>
      </c>
      <c r="I356">
        <v>1</v>
      </c>
      <c r="J356">
        <v>0</v>
      </c>
      <c r="K356" t="s">
        <v>16315</v>
      </c>
      <c r="L356" s="9">
        <f>_xlfn.XLOOKUP(tblTransactions[[#This Row],[ProductID]],tblProducts[ProductID],tblProducts[UnitPrice])</f>
        <v>52004.72</v>
      </c>
      <c r="M356" s="9">
        <f>tblTransactions[[#This Row],[Quantity]]*tblTransactions[[#This Row],[UnitPrice]]</f>
        <v>52004.72</v>
      </c>
      <c r="N356" s="9">
        <f>tblTransactions[[#This Row],[GrossSales]]*tblTransactions[[#This Row],[Discount]]</f>
        <v>0</v>
      </c>
      <c r="O356" s="9">
        <f>tblTransactions[[#This Row],[GrossSales]]-tblTransactions[[#This Row],[DiscountAmount]]</f>
        <v>52004.72</v>
      </c>
      <c r="P356" s="9">
        <f>_xlfn.XLOOKUP(tblTransactions[[#This Row],[ProductID]],tblProducts[ProductID],tblProducts[UnitCost])</f>
        <v>43224.87</v>
      </c>
      <c r="Q356" s="9">
        <f>tblTransactions[[#This Row],[Quantity]]*tblTransactions[[#This Row],[UnitCost]]</f>
        <v>43224.87</v>
      </c>
      <c r="R356" s="9">
        <f>tblTransactions[[#This Row],[NetRevenue]]-tblTransactions[[#This Row],[TotalCost]]</f>
        <v>8779.8499999999985</v>
      </c>
      <c r="S356" t="str">
        <f>_xlfn.XLOOKUP(tblTransactions[[#This Row],[ProductID]],tblProducts[ProductID],tblProducts[Category])</f>
        <v>Electronics</v>
      </c>
    </row>
    <row r="357" spans="1:19">
      <c r="A357" t="s">
        <v>16674</v>
      </c>
      <c r="B357" s="1">
        <v>45332</v>
      </c>
      <c r="C357" t="s">
        <v>4411</v>
      </c>
      <c r="D357" t="str">
        <f>_xlfn.XLOOKUP(tblTransactions[[#This Row],[CustomerID]],tblCustomers[CustomerID],tblCustomers[CustomerName])</f>
        <v>Fiyaz Murthy</v>
      </c>
      <c r="E357" t="s">
        <v>16066</v>
      </c>
      <c r="F357" t="str">
        <f>_xlfn.XLOOKUP(tblTransactions[[#This Row],[ProductID]],tblProducts[ProductID],tblProducts[ProductName])</f>
        <v>Decorative Vase A6</v>
      </c>
      <c r="G357" t="s">
        <v>16279</v>
      </c>
      <c r="H357" t="str">
        <f>_xlfn.XLOOKUP(tblTransactions[[#This Row],[StoreID]],tblStores[StoreID],tblStores[Region])</f>
        <v>South</v>
      </c>
      <c r="I357">
        <v>1</v>
      </c>
      <c r="J357">
        <v>0</v>
      </c>
      <c r="K357" t="s">
        <v>16315</v>
      </c>
      <c r="L357" s="9">
        <f>_xlfn.XLOOKUP(tblTransactions[[#This Row],[ProductID]],tblProducts[ProductID],tblProducts[UnitPrice])</f>
        <v>3429.74</v>
      </c>
      <c r="M357" s="9">
        <f>tblTransactions[[#This Row],[Quantity]]*tblTransactions[[#This Row],[UnitPrice]]</f>
        <v>3429.74</v>
      </c>
      <c r="N357" s="9">
        <f>tblTransactions[[#This Row],[GrossSales]]*tblTransactions[[#This Row],[Discount]]</f>
        <v>0</v>
      </c>
      <c r="O357" s="9">
        <f>tblTransactions[[#This Row],[GrossSales]]-tblTransactions[[#This Row],[DiscountAmount]]</f>
        <v>3429.74</v>
      </c>
      <c r="P357" s="9">
        <f>_xlfn.XLOOKUP(tblTransactions[[#This Row],[ProductID]],tblProducts[ProductID],tblProducts[UnitCost])</f>
        <v>2172.39</v>
      </c>
      <c r="Q357" s="9">
        <f>tblTransactions[[#This Row],[Quantity]]*tblTransactions[[#This Row],[UnitCost]]</f>
        <v>2172.39</v>
      </c>
      <c r="R357" s="9">
        <f>tblTransactions[[#This Row],[NetRevenue]]-tblTransactions[[#This Row],[TotalCost]]</f>
        <v>1257.3499999999999</v>
      </c>
      <c r="S357" t="str">
        <f>_xlfn.XLOOKUP(tblTransactions[[#This Row],[ProductID]],tblProducts[ProductID],tblProducts[Category])</f>
        <v>Home &amp; Kitchen</v>
      </c>
    </row>
    <row r="358" spans="1:19">
      <c r="A358" t="s">
        <v>16675</v>
      </c>
      <c r="B358" s="1">
        <v>45334</v>
      </c>
      <c r="C358" t="s">
        <v>12677</v>
      </c>
      <c r="D358" t="str">
        <f>_xlfn.XLOOKUP(tblTransactions[[#This Row],[CustomerID]],tblCustomers[CustomerID],tblCustomers[CustomerName])</f>
        <v>Ranbir Char</v>
      </c>
      <c r="E358" t="s">
        <v>15994</v>
      </c>
      <c r="F358" t="str">
        <f>_xlfn.XLOOKUP(tblTransactions[[#This Row],[ProductID]],tblProducts[ProductID],tblProducts[ProductName])</f>
        <v>Power Bank A1</v>
      </c>
      <c r="G358" t="s">
        <v>16289</v>
      </c>
      <c r="H358" t="str">
        <f>_xlfn.XLOOKUP(tblTransactions[[#This Row],[StoreID]],tblStores[StoreID],tblStores[Region])</f>
        <v>South</v>
      </c>
      <c r="I358">
        <v>2</v>
      </c>
      <c r="J358">
        <v>0</v>
      </c>
      <c r="K358" t="s">
        <v>16321</v>
      </c>
      <c r="L358" s="9">
        <f>_xlfn.XLOOKUP(tblTransactions[[#This Row],[ProductID]],tblProducts[ProductID],tblProducts[UnitPrice])</f>
        <v>18113.48</v>
      </c>
      <c r="M358" s="9">
        <f>tblTransactions[[#This Row],[Quantity]]*tblTransactions[[#This Row],[UnitPrice]]</f>
        <v>36226.959999999999</v>
      </c>
      <c r="N358" s="9">
        <f>tblTransactions[[#This Row],[GrossSales]]*tblTransactions[[#This Row],[Discount]]</f>
        <v>0</v>
      </c>
      <c r="O358" s="9">
        <f>tblTransactions[[#This Row],[GrossSales]]-tblTransactions[[#This Row],[DiscountAmount]]</f>
        <v>36226.959999999999</v>
      </c>
      <c r="P358" s="9">
        <f>_xlfn.XLOOKUP(tblTransactions[[#This Row],[ProductID]],tblProducts[ProductID],tblProducts[UnitCost])</f>
        <v>12531.14</v>
      </c>
      <c r="Q358" s="9">
        <f>tblTransactions[[#This Row],[Quantity]]*tblTransactions[[#This Row],[UnitCost]]</f>
        <v>25062.28</v>
      </c>
      <c r="R358" s="9">
        <f>tblTransactions[[#This Row],[NetRevenue]]-tblTransactions[[#This Row],[TotalCost]]</f>
        <v>11164.68</v>
      </c>
      <c r="S358" t="str">
        <f>_xlfn.XLOOKUP(tblTransactions[[#This Row],[ProductID]],tblProducts[ProductID],tblProducts[Category])</f>
        <v>Electronics</v>
      </c>
    </row>
    <row r="359" spans="1:19">
      <c r="A359" t="s">
        <v>16676</v>
      </c>
      <c r="B359" s="1">
        <v>45336</v>
      </c>
      <c r="C359" t="s">
        <v>10405</v>
      </c>
      <c r="D359" t="str">
        <f>_xlfn.XLOOKUP(tblTransactions[[#This Row],[CustomerID]],tblCustomers[CustomerID],tblCustomers[CustomerName])</f>
        <v>Bhavani Aggarwal</v>
      </c>
      <c r="E359" t="s">
        <v>16086</v>
      </c>
      <c r="F359" t="str">
        <f>_xlfn.XLOOKUP(tblTransactions[[#This Row],[ProductID]],tblProducts[ProductID],tblProducts[ProductName])</f>
        <v>Women's Jeans A1</v>
      </c>
      <c r="G359" t="s">
        <v>16265</v>
      </c>
      <c r="H359" t="str">
        <f>_xlfn.XLOOKUP(tblTransactions[[#This Row],[StoreID]],tblStores[StoreID],tblStores[Region])</f>
        <v>North</v>
      </c>
      <c r="I359">
        <v>2</v>
      </c>
      <c r="J359">
        <v>0</v>
      </c>
      <c r="K359" t="s">
        <v>16315</v>
      </c>
      <c r="L359" s="9">
        <f>_xlfn.XLOOKUP(tblTransactions[[#This Row],[ProductID]],tblProducts[ProductID],tblProducts[UnitPrice])</f>
        <v>6726.61</v>
      </c>
      <c r="M359" s="9">
        <f>tblTransactions[[#This Row],[Quantity]]*tblTransactions[[#This Row],[UnitPrice]]</f>
        <v>13453.22</v>
      </c>
      <c r="N359" s="9">
        <f>tblTransactions[[#This Row],[GrossSales]]*tblTransactions[[#This Row],[Discount]]</f>
        <v>0</v>
      </c>
      <c r="O359" s="9">
        <f>tblTransactions[[#This Row],[GrossSales]]-tblTransactions[[#This Row],[DiscountAmount]]</f>
        <v>13453.22</v>
      </c>
      <c r="P359" s="9">
        <f>_xlfn.XLOOKUP(tblTransactions[[#This Row],[ProductID]],tblProducts[ProductID],tblProducts[UnitCost])</f>
        <v>5191.03</v>
      </c>
      <c r="Q359" s="9">
        <f>tblTransactions[[#This Row],[Quantity]]*tblTransactions[[#This Row],[UnitCost]]</f>
        <v>10382.06</v>
      </c>
      <c r="R359" s="9">
        <f>tblTransactions[[#This Row],[NetRevenue]]-tblTransactions[[#This Row],[TotalCost]]</f>
        <v>3071.16</v>
      </c>
      <c r="S359" t="str">
        <f>_xlfn.XLOOKUP(tblTransactions[[#This Row],[ProductID]],tblProducts[ProductID],tblProducts[Category])</f>
        <v>Clothing</v>
      </c>
    </row>
    <row r="360" spans="1:19">
      <c r="A360" t="s">
        <v>16677</v>
      </c>
      <c r="B360" s="1">
        <v>45337</v>
      </c>
      <c r="C360" t="s">
        <v>11292</v>
      </c>
      <c r="D360" t="str">
        <f>_xlfn.XLOOKUP(tblTransactions[[#This Row],[CustomerID]],tblCustomers[CustomerID],tblCustomers[CustomerName])</f>
        <v>Akshay Mukhopadhyay</v>
      </c>
      <c r="E360" t="s">
        <v>16232</v>
      </c>
      <c r="F360" t="str">
        <f>_xlfn.XLOOKUP(tblTransactions[[#This Row],[ProductID]],tblProducts[ProductID],tblProducts[ProductName])</f>
        <v>Soap E5</v>
      </c>
      <c r="G360" t="s">
        <v>16256</v>
      </c>
      <c r="H360" t="str">
        <f>_xlfn.XLOOKUP(tblTransactions[[#This Row],[StoreID]],tblStores[StoreID],tblStores[Region])</f>
        <v>East</v>
      </c>
      <c r="I360">
        <v>1</v>
      </c>
      <c r="J360">
        <v>0.05</v>
      </c>
      <c r="K360" t="s">
        <v>16317</v>
      </c>
      <c r="L360" s="9">
        <f>_xlfn.XLOOKUP(tblTransactions[[#This Row],[ProductID]],tblProducts[ProductID],tblProducts[UnitPrice])</f>
        <v>3000.36</v>
      </c>
      <c r="M360" s="9">
        <f>tblTransactions[[#This Row],[Quantity]]*tblTransactions[[#This Row],[UnitPrice]]</f>
        <v>3000.36</v>
      </c>
      <c r="N360" s="9">
        <f>tblTransactions[[#This Row],[GrossSales]]*tblTransactions[[#This Row],[Discount]]</f>
        <v>150.018</v>
      </c>
      <c r="O360" s="9">
        <f>tblTransactions[[#This Row],[GrossSales]]-tblTransactions[[#This Row],[DiscountAmount]]</f>
        <v>2850.3420000000001</v>
      </c>
      <c r="P360" s="9">
        <f>_xlfn.XLOOKUP(tblTransactions[[#This Row],[ProductID]],tblProducts[ProductID],tblProducts[UnitCost])</f>
        <v>2004.24</v>
      </c>
      <c r="Q360" s="9">
        <f>tblTransactions[[#This Row],[Quantity]]*tblTransactions[[#This Row],[UnitCost]]</f>
        <v>2004.24</v>
      </c>
      <c r="R360" s="9">
        <f>tblTransactions[[#This Row],[NetRevenue]]-tblTransactions[[#This Row],[TotalCost]]</f>
        <v>846.10200000000009</v>
      </c>
      <c r="S360" t="str">
        <f>_xlfn.XLOOKUP(tblTransactions[[#This Row],[ProductID]],tblProducts[ProductID],tblProducts[Category])</f>
        <v>Personal Care</v>
      </c>
    </row>
    <row r="361" spans="1:19">
      <c r="A361" t="s">
        <v>16678</v>
      </c>
      <c r="B361" s="1">
        <v>45339</v>
      </c>
      <c r="C361" t="s">
        <v>1504</v>
      </c>
      <c r="D361" t="str">
        <f>_xlfn.XLOOKUP(tblTransactions[[#This Row],[CustomerID]],tblCustomers[CustomerID],tblCustomers[CustomerName])</f>
        <v>Anay Thakkar</v>
      </c>
      <c r="E361" t="s">
        <v>15994</v>
      </c>
      <c r="F361" t="str">
        <f>_xlfn.XLOOKUP(tblTransactions[[#This Row],[ProductID]],tblProducts[ProductID],tblProducts[ProductName])</f>
        <v>Power Bank A1</v>
      </c>
      <c r="G361" t="s">
        <v>16267</v>
      </c>
      <c r="H361" t="str">
        <f>_xlfn.XLOOKUP(tblTransactions[[#This Row],[StoreID]],tblStores[StoreID],tblStores[Region])</f>
        <v>West</v>
      </c>
      <c r="I361">
        <v>4</v>
      </c>
      <c r="J361">
        <v>0</v>
      </c>
      <c r="K361" t="s">
        <v>16321</v>
      </c>
      <c r="L361" s="9">
        <f>_xlfn.XLOOKUP(tblTransactions[[#This Row],[ProductID]],tblProducts[ProductID],tblProducts[UnitPrice])</f>
        <v>18113.48</v>
      </c>
      <c r="M361" s="9">
        <f>tblTransactions[[#This Row],[Quantity]]*tblTransactions[[#This Row],[UnitPrice]]</f>
        <v>72453.919999999998</v>
      </c>
      <c r="N361" s="9">
        <f>tblTransactions[[#This Row],[GrossSales]]*tblTransactions[[#This Row],[Discount]]</f>
        <v>0</v>
      </c>
      <c r="O361" s="9">
        <f>tblTransactions[[#This Row],[GrossSales]]-tblTransactions[[#This Row],[DiscountAmount]]</f>
        <v>72453.919999999998</v>
      </c>
      <c r="P361" s="9">
        <f>_xlfn.XLOOKUP(tblTransactions[[#This Row],[ProductID]],tblProducts[ProductID],tblProducts[UnitCost])</f>
        <v>12531.14</v>
      </c>
      <c r="Q361" s="9">
        <f>tblTransactions[[#This Row],[Quantity]]*tblTransactions[[#This Row],[UnitCost]]</f>
        <v>50124.56</v>
      </c>
      <c r="R361" s="9">
        <f>tblTransactions[[#This Row],[NetRevenue]]-tblTransactions[[#This Row],[TotalCost]]</f>
        <v>22329.360000000001</v>
      </c>
      <c r="S361" t="str">
        <f>_xlfn.XLOOKUP(tblTransactions[[#This Row],[ProductID]],tblProducts[ProductID],tblProducts[Category])</f>
        <v>Electronics</v>
      </c>
    </row>
    <row r="362" spans="1:19">
      <c r="A362" t="s">
        <v>16679</v>
      </c>
      <c r="B362" s="1">
        <v>45340</v>
      </c>
      <c r="C362" t="s">
        <v>4670</v>
      </c>
      <c r="D362" t="str">
        <f>_xlfn.XLOOKUP(tblTransactions[[#This Row],[CustomerID]],tblCustomers[CustomerID],tblCustomers[CustomerName])</f>
        <v>Agastya Garg</v>
      </c>
      <c r="E362" t="s">
        <v>16243</v>
      </c>
      <c r="F362" t="str">
        <f>_xlfn.XLOOKUP(tblTransactions[[#This Row],[ProductID]],tblProducts[ProductID],tblProducts[ProductName])</f>
        <v>Trimmer C3</v>
      </c>
      <c r="G362" t="s">
        <v>16299</v>
      </c>
      <c r="H362" t="str">
        <f>_xlfn.XLOOKUP(tblTransactions[[#This Row],[StoreID]],tblStores[StoreID],tblStores[Region])</f>
        <v>South</v>
      </c>
      <c r="I362">
        <v>1</v>
      </c>
      <c r="J362">
        <v>0</v>
      </c>
      <c r="K362" t="s">
        <v>16317</v>
      </c>
      <c r="L362" s="9">
        <f>_xlfn.XLOOKUP(tblTransactions[[#This Row],[ProductID]],tblProducts[ProductID],tblProducts[UnitPrice])</f>
        <v>3309.4</v>
      </c>
      <c r="M362" s="9">
        <f>tblTransactions[[#This Row],[Quantity]]*tblTransactions[[#This Row],[UnitPrice]]</f>
        <v>3309.4</v>
      </c>
      <c r="N362" s="9">
        <f>tblTransactions[[#This Row],[GrossSales]]*tblTransactions[[#This Row],[Discount]]</f>
        <v>0</v>
      </c>
      <c r="O362" s="9">
        <f>tblTransactions[[#This Row],[GrossSales]]-tblTransactions[[#This Row],[DiscountAmount]]</f>
        <v>3309.4</v>
      </c>
      <c r="P362" s="9">
        <f>_xlfn.XLOOKUP(tblTransactions[[#This Row],[ProductID]],tblProducts[ProductID],tblProducts[UnitCost])</f>
        <v>2744.04</v>
      </c>
      <c r="Q362" s="9">
        <f>tblTransactions[[#This Row],[Quantity]]*tblTransactions[[#This Row],[UnitCost]]</f>
        <v>2744.04</v>
      </c>
      <c r="R362" s="9">
        <f>tblTransactions[[#This Row],[NetRevenue]]-tblTransactions[[#This Row],[TotalCost]]</f>
        <v>565.36000000000013</v>
      </c>
      <c r="S362" t="str">
        <f>_xlfn.XLOOKUP(tblTransactions[[#This Row],[ProductID]],tblProducts[ProductID],tblProducts[Category])</f>
        <v>Personal Care</v>
      </c>
    </row>
    <row r="363" spans="1:19">
      <c r="A363" t="s">
        <v>16680</v>
      </c>
      <c r="B363" s="1">
        <v>45340</v>
      </c>
      <c r="C363" t="s">
        <v>11050</v>
      </c>
      <c r="D363" t="str">
        <f>_xlfn.XLOOKUP(tblTransactions[[#This Row],[CustomerID]],tblCustomers[CustomerID],tblCustomers[CustomerName])</f>
        <v>Aachal Sarkar</v>
      </c>
      <c r="E363" t="s">
        <v>16196</v>
      </c>
      <c r="F363" t="str">
        <f>_xlfn.XLOOKUP(tblTransactions[[#This Row],[ProductID]],tblProducts[ProductID],tblProducts[ProductName])</f>
        <v>Sunscreen B2</v>
      </c>
      <c r="G363" t="s">
        <v>16283</v>
      </c>
      <c r="H363" t="str">
        <f>_xlfn.XLOOKUP(tblTransactions[[#This Row],[StoreID]],tblStores[StoreID],tblStores[Region])</f>
        <v>South</v>
      </c>
      <c r="I363">
        <v>2</v>
      </c>
      <c r="J363">
        <v>0</v>
      </c>
      <c r="K363" t="s">
        <v>16317</v>
      </c>
      <c r="L363" s="9">
        <f>_xlfn.XLOOKUP(tblTransactions[[#This Row],[ProductID]],tblProducts[ProductID],tblProducts[UnitPrice])</f>
        <v>1841.85</v>
      </c>
      <c r="M363" s="9">
        <f>tblTransactions[[#This Row],[Quantity]]*tblTransactions[[#This Row],[UnitPrice]]</f>
        <v>3683.7</v>
      </c>
      <c r="N363" s="9">
        <f>tblTransactions[[#This Row],[GrossSales]]*tblTransactions[[#This Row],[Discount]]</f>
        <v>0</v>
      </c>
      <c r="O363" s="9">
        <f>tblTransactions[[#This Row],[GrossSales]]-tblTransactions[[#This Row],[DiscountAmount]]</f>
        <v>3683.7</v>
      </c>
      <c r="P363" s="9">
        <f>_xlfn.XLOOKUP(tblTransactions[[#This Row],[ProductID]],tblProducts[ProductID],tblProducts[UnitCost])</f>
        <v>1327.7</v>
      </c>
      <c r="Q363" s="9">
        <f>tblTransactions[[#This Row],[Quantity]]*tblTransactions[[#This Row],[UnitCost]]</f>
        <v>2655.4</v>
      </c>
      <c r="R363" s="9">
        <f>tblTransactions[[#This Row],[NetRevenue]]-tblTransactions[[#This Row],[TotalCost]]</f>
        <v>1028.2999999999997</v>
      </c>
      <c r="S363" t="str">
        <f>_xlfn.XLOOKUP(tblTransactions[[#This Row],[ProductID]],tblProducts[ProductID],tblProducts[Category])</f>
        <v>Personal Care</v>
      </c>
    </row>
    <row r="364" spans="1:19">
      <c r="A364" t="s">
        <v>16681</v>
      </c>
      <c r="B364" s="1">
        <v>45340</v>
      </c>
      <c r="C364" t="s">
        <v>10988</v>
      </c>
      <c r="D364" t="str">
        <f>_xlfn.XLOOKUP(tblTransactions[[#This Row],[CustomerID]],tblCustomers[CustomerID],tblCustomers[CustomerName])</f>
        <v>Kamala Savant</v>
      </c>
      <c r="E364" t="s">
        <v>16177</v>
      </c>
      <c r="F364" t="str">
        <f>_xlfn.XLOOKUP(tblTransactions[[#This Row],[ProductID]],tblProducts[ProductID],tblProducts[ProductName])</f>
        <v>Instant Noodles A1</v>
      </c>
      <c r="G364" t="s">
        <v>16287</v>
      </c>
      <c r="H364" t="str">
        <f>_xlfn.XLOOKUP(tblTransactions[[#This Row],[StoreID]],tblStores[StoreID],tblStores[Region])</f>
        <v>North</v>
      </c>
      <c r="I364">
        <v>1</v>
      </c>
      <c r="J364">
        <v>0.1</v>
      </c>
      <c r="K364" t="s">
        <v>16319</v>
      </c>
      <c r="L364" s="9">
        <f>_xlfn.XLOOKUP(tblTransactions[[#This Row],[ProductID]],tblProducts[ProductID],tblProducts[UnitPrice])</f>
        <v>1210.1500000000001</v>
      </c>
      <c r="M364" s="9">
        <f>tblTransactions[[#This Row],[Quantity]]*tblTransactions[[#This Row],[UnitPrice]]</f>
        <v>1210.1500000000001</v>
      </c>
      <c r="N364" s="9">
        <f>tblTransactions[[#This Row],[GrossSales]]*tblTransactions[[#This Row],[Discount]]</f>
        <v>121.01500000000001</v>
      </c>
      <c r="O364" s="9">
        <f>tblTransactions[[#This Row],[GrossSales]]-tblTransactions[[#This Row],[DiscountAmount]]</f>
        <v>1089.135</v>
      </c>
      <c r="P364" s="9">
        <f>_xlfn.XLOOKUP(tblTransactions[[#This Row],[ProductID]],tblProducts[ProductID],tblProducts[UnitCost])</f>
        <v>697.43</v>
      </c>
      <c r="Q364" s="9">
        <f>tblTransactions[[#This Row],[Quantity]]*tblTransactions[[#This Row],[UnitCost]]</f>
        <v>697.43</v>
      </c>
      <c r="R364" s="9">
        <f>tblTransactions[[#This Row],[NetRevenue]]-tblTransactions[[#This Row],[TotalCost]]</f>
        <v>391.70500000000004</v>
      </c>
      <c r="S364" t="str">
        <f>_xlfn.XLOOKUP(tblTransactions[[#This Row],[ProductID]],tblProducts[ProductID],tblProducts[Category])</f>
        <v>Grocery</v>
      </c>
    </row>
    <row r="365" spans="1:19">
      <c r="A365" t="s">
        <v>16682</v>
      </c>
      <c r="B365" s="1">
        <v>45341</v>
      </c>
      <c r="C365" t="s">
        <v>13132</v>
      </c>
      <c r="D365" t="str">
        <f>_xlfn.XLOOKUP(tblTransactions[[#This Row],[CustomerID]],tblCustomers[CustomerID],tblCustomers[CustomerName])</f>
        <v>Adya Lad</v>
      </c>
      <c r="E365" t="s">
        <v>16019</v>
      </c>
      <c r="F365" t="str">
        <f>_xlfn.XLOOKUP(tblTransactions[[#This Row],[ProductID]],tblProducts[ProductID],tblProducts[ProductName])</f>
        <v>Microwave Oven E5</v>
      </c>
      <c r="G365" t="s">
        <v>16275</v>
      </c>
      <c r="H365" t="str">
        <f>_xlfn.XLOOKUP(tblTransactions[[#This Row],[StoreID]],tblStores[StoreID],tblStores[Region])</f>
        <v>South</v>
      </c>
      <c r="I365">
        <v>5</v>
      </c>
      <c r="J365">
        <v>0</v>
      </c>
      <c r="K365" t="s">
        <v>16321</v>
      </c>
      <c r="L365" s="9">
        <f>_xlfn.XLOOKUP(tblTransactions[[#This Row],[ProductID]],tblProducts[ProductID],tblProducts[UnitPrice])</f>
        <v>22827.119999999999</v>
      </c>
      <c r="M365" s="9">
        <f>tblTransactions[[#This Row],[Quantity]]*tblTransactions[[#This Row],[UnitPrice]]</f>
        <v>114135.59999999999</v>
      </c>
      <c r="N365" s="9">
        <f>tblTransactions[[#This Row],[GrossSales]]*tblTransactions[[#This Row],[Discount]]</f>
        <v>0</v>
      </c>
      <c r="O365" s="9">
        <f>tblTransactions[[#This Row],[GrossSales]]-tblTransactions[[#This Row],[DiscountAmount]]</f>
        <v>114135.59999999999</v>
      </c>
      <c r="P365" s="9">
        <f>_xlfn.XLOOKUP(tblTransactions[[#This Row],[ProductID]],tblProducts[ProductID],tblProducts[UnitCost])</f>
        <v>18264.07</v>
      </c>
      <c r="Q365" s="9">
        <f>tblTransactions[[#This Row],[Quantity]]*tblTransactions[[#This Row],[UnitCost]]</f>
        <v>91320.35</v>
      </c>
      <c r="R365" s="9">
        <f>tblTransactions[[#This Row],[NetRevenue]]-tblTransactions[[#This Row],[TotalCost]]</f>
        <v>22815.249999999985</v>
      </c>
      <c r="S365" t="str">
        <f>_xlfn.XLOOKUP(tblTransactions[[#This Row],[ProductID]],tblProducts[ProductID],tblProducts[Category])</f>
        <v>Home &amp; Kitchen</v>
      </c>
    </row>
    <row r="366" spans="1:19">
      <c r="A366" t="s">
        <v>16683</v>
      </c>
      <c r="B366" s="1">
        <v>45341</v>
      </c>
      <c r="C366" t="s">
        <v>6117</v>
      </c>
      <c r="D366" t="str">
        <f>_xlfn.XLOOKUP(tblTransactions[[#This Row],[CustomerID]],tblCustomers[CustomerID],tblCustomers[CustomerName])</f>
        <v>Charvi Mangat</v>
      </c>
      <c r="E366" t="s">
        <v>16034</v>
      </c>
      <c r="F366" t="str">
        <f>_xlfn.XLOOKUP(tblTransactions[[#This Row],[ProductID]],tblProducts[ProductID],tblProducts[ProductName])</f>
        <v>Bookshelf E5</v>
      </c>
      <c r="G366" t="s">
        <v>16303</v>
      </c>
      <c r="H366" t="str">
        <f>_xlfn.XLOOKUP(tblTransactions[[#This Row],[StoreID]],tblStores[StoreID],tblStores[Region])</f>
        <v>West</v>
      </c>
      <c r="I366">
        <v>1</v>
      </c>
      <c r="J366">
        <v>0.05</v>
      </c>
      <c r="K366" t="s">
        <v>16317</v>
      </c>
      <c r="L366" s="9">
        <f>_xlfn.XLOOKUP(tblTransactions[[#This Row],[ProductID]],tblProducts[ProductID],tblProducts[UnitPrice])</f>
        <v>14006.13</v>
      </c>
      <c r="M366" s="9">
        <f>tblTransactions[[#This Row],[Quantity]]*tblTransactions[[#This Row],[UnitPrice]]</f>
        <v>14006.13</v>
      </c>
      <c r="N366" s="9">
        <f>tblTransactions[[#This Row],[GrossSales]]*tblTransactions[[#This Row],[Discount]]</f>
        <v>700.30650000000003</v>
      </c>
      <c r="O366" s="9">
        <f>tblTransactions[[#This Row],[GrossSales]]-tblTransactions[[#This Row],[DiscountAmount]]</f>
        <v>13305.823499999999</v>
      </c>
      <c r="P366" s="9">
        <f>_xlfn.XLOOKUP(tblTransactions[[#This Row],[ProductID]],tblProducts[ProductID],tblProducts[UnitCost])</f>
        <v>9829.2800000000007</v>
      </c>
      <c r="Q366" s="9">
        <f>tblTransactions[[#This Row],[Quantity]]*tblTransactions[[#This Row],[UnitCost]]</f>
        <v>9829.2800000000007</v>
      </c>
      <c r="R366" s="9">
        <f>tblTransactions[[#This Row],[NetRevenue]]-tblTransactions[[#This Row],[TotalCost]]</f>
        <v>3476.5434999999979</v>
      </c>
      <c r="S366" t="str">
        <f>_xlfn.XLOOKUP(tblTransactions[[#This Row],[ProductID]],tblProducts[ProductID],tblProducts[Category])</f>
        <v>Home &amp; Kitchen</v>
      </c>
    </row>
    <row r="367" spans="1:19">
      <c r="A367" t="s">
        <v>16684</v>
      </c>
      <c r="B367" s="1">
        <v>45345</v>
      </c>
      <c r="C367" t="s">
        <v>10365</v>
      </c>
      <c r="D367" t="str">
        <f>_xlfn.XLOOKUP(tblTransactions[[#This Row],[CustomerID]],tblCustomers[CustomerID],tblCustomers[CustomerName])</f>
        <v>Dhruv Mann</v>
      </c>
      <c r="E367" t="s">
        <v>16175</v>
      </c>
      <c r="F367" t="str">
        <f>_xlfn.XLOOKUP(tblTransactions[[#This Row],[ProductID]],tblProducts[ProductID],tblProducts[ProductName])</f>
        <v>Soft Drink B7</v>
      </c>
      <c r="G367" t="s">
        <v>16303</v>
      </c>
      <c r="H367" t="str">
        <f>_xlfn.XLOOKUP(tblTransactions[[#This Row],[StoreID]],tblStores[StoreID],tblStores[Region])</f>
        <v>West</v>
      </c>
      <c r="I367">
        <v>1</v>
      </c>
      <c r="J367">
        <v>0.05</v>
      </c>
      <c r="K367" t="s">
        <v>16315</v>
      </c>
      <c r="L367" s="9">
        <f>_xlfn.XLOOKUP(tblTransactions[[#This Row],[ProductID]],tblProducts[ProductID],tblProducts[UnitPrice])</f>
        <v>343.15</v>
      </c>
      <c r="M367" s="9">
        <f>tblTransactions[[#This Row],[Quantity]]*tblTransactions[[#This Row],[UnitPrice]]</f>
        <v>343.15</v>
      </c>
      <c r="N367" s="9">
        <f>tblTransactions[[#This Row],[GrossSales]]*tblTransactions[[#This Row],[Discount]]</f>
        <v>17.157499999999999</v>
      </c>
      <c r="O367" s="9">
        <f>tblTransactions[[#This Row],[GrossSales]]-tblTransactions[[#This Row],[DiscountAmount]]</f>
        <v>325.99249999999995</v>
      </c>
      <c r="P367" s="9">
        <f>_xlfn.XLOOKUP(tblTransactions[[#This Row],[ProductID]],tblProducts[ProductID],tblProducts[UnitCost])</f>
        <v>192.59</v>
      </c>
      <c r="Q367" s="9">
        <f>tblTransactions[[#This Row],[Quantity]]*tblTransactions[[#This Row],[UnitCost]]</f>
        <v>192.59</v>
      </c>
      <c r="R367" s="9">
        <f>tblTransactions[[#This Row],[NetRevenue]]-tblTransactions[[#This Row],[TotalCost]]</f>
        <v>133.40249999999995</v>
      </c>
      <c r="S367" t="str">
        <f>_xlfn.XLOOKUP(tblTransactions[[#This Row],[ProductID]],tblProducts[ProductID],tblProducts[Category])</f>
        <v>Grocery</v>
      </c>
    </row>
    <row r="368" spans="1:19">
      <c r="A368" t="s">
        <v>16685</v>
      </c>
      <c r="B368" s="1">
        <v>45346</v>
      </c>
      <c r="C368" t="s">
        <v>6388</v>
      </c>
      <c r="D368" t="str">
        <f>_xlfn.XLOOKUP(tblTransactions[[#This Row],[CustomerID]],tblCustomers[CustomerID],tblCustomers[CustomerName])</f>
        <v>Ishwar Hayre</v>
      </c>
      <c r="E368" t="s">
        <v>16245</v>
      </c>
      <c r="F368" t="str">
        <f>_xlfn.XLOOKUP(tblTransactions[[#This Row],[ProductID]],tblProducts[ProductID],tblProducts[ProductName])</f>
        <v>Razor D4</v>
      </c>
      <c r="G368" t="s">
        <v>16269</v>
      </c>
      <c r="H368" t="str">
        <f>_xlfn.XLOOKUP(tblTransactions[[#This Row],[StoreID]],tblStores[StoreID],tblStores[Region])</f>
        <v>North</v>
      </c>
      <c r="I368">
        <v>1</v>
      </c>
      <c r="J368">
        <v>0</v>
      </c>
      <c r="K368" t="s">
        <v>16325</v>
      </c>
      <c r="L368" s="9">
        <f>_xlfn.XLOOKUP(tblTransactions[[#This Row],[ProductID]],tblProducts[ProductID],tblProducts[UnitPrice])</f>
        <v>4084.63</v>
      </c>
      <c r="M368" s="9">
        <f>tblTransactions[[#This Row],[Quantity]]*tblTransactions[[#This Row],[UnitPrice]]</f>
        <v>4084.63</v>
      </c>
      <c r="N368" s="9">
        <f>tblTransactions[[#This Row],[GrossSales]]*tblTransactions[[#This Row],[Discount]]</f>
        <v>0</v>
      </c>
      <c r="O368" s="9">
        <f>tblTransactions[[#This Row],[GrossSales]]-tblTransactions[[#This Row],[DiscountAmount]]</f>
        <v>4084.63</v>
      </c>
      <c r="P368" s="9">
        <f>_xlfn.XLOOKUP(tblTransactions[[#This Row],[ProductID]],tblProducts[ProductID],tblProducts[UnitCost])</f>
        <v>2990.01</v>
      </c>
      <c r="Q368" s="9">
        <f>tblTransactions[[#This Row],[Quantity]]*tblTransactions[[#This Row],[UnitCost]]</f>
        <v>2990.01</v>
      </c>
      <c r="R368" s="9">
        <f>tblTransactions[[#This Row],[NetRevenue]]-tblTransactions[[#This Row],[TotalCost]]</f>
        <v>1094.6199999999999</v>
      </c>
      <c r="S368" t="str">
        <f>_xlfn.XLOOKUP(tblTransactions[[#This Row],[ProductID]],tblProducts[ProductID],tblProducts[Category])</f>
        <v>Personal Care</v>
      </c>
    </row>
    <row r="369" spans="1:19">
      <c r="A369" t="s">
        <v>16686</v>
      </c>
      <c r="B369" s="1">
        <v>45348</v>
      </c>
      <c r="C369" t="s">
        <v>7434</v>
      </c>
      <c r="D369" t="str">
        <f>_xlfn.XLOOKUP(tblTransactions[[#This Row],[CustomerID]],tblCustomers[CustomerID],tblCustomers[CustomerName])</f>
        <v>Bhavani Sandhu</v>
      </c>
      <c r="E369" t="s">
        <v>16221</v>
      </c>
      <c r="F369" t="str">
        <f>_xlfn.XLOOKUP(tblTransactions[[#This Row],[ProductID]],tblProducts[ProductID],tblProducts[ProductName])</f>
        <v>Conditioner B7</v>
      </c>
      <c r="G369" t="s">
        <v>16259</v>
      </c>
      <c r="H369" t="str">
        <f>_xlfn.XLOOKUP(tblTransactions[[#This Row],[StoreID]],tblStores[StoreID],tblStores[Region])</f>
        <v>East</v>
      </c>
      <c r="I369">
        <v>1</v>
      </c>
      <c r="J369">
        <v>0</v>
      </c>
      <c r="K369" t="s">
        <v>16325</v>
      </c>
      <c r="L369" s="9">
        <f>_xlfn.XLOOKUP(tblTransactions[[#This Row],[ProductID]],tblProducts[ProductID],tblProducts[UnitPrice])</f>
        <v>1702.4</v>
      </c>
      <c r="M369" s="9">
        <f>tblTransactions[[#This Row],[Quantity]]*tblTransactions[[#This Row],[UnitPrice]]</f>
        <v>1702.4</v>
      </c>
      <c r="N369" s="9">
        <f>tblTransactions[[#This Row],[GrossSales]]*tblTransactions[[#This Row],[Discount]]</f>
        <v>0</v>
      </c>
      <c r="O369" s="9">
        <f>tblTransactions[[#This Row],[GrossSales]]-tblTransactions[[#This Row],[DiscountAmount]]</f>
        <v>1702.4</v>
      </c>
      <c r="P369" s="9">
        <f>_xlfn.XLOOKUP(tblTransactions[[#This Row],[ProductID]],tblProducts[ProductID],tblProducts[UnitCost])</f>
        <v>1284.8900000000001</v>
      </c>
      <c r="Q369" s="9">
        <f>tblTransactions[[#This Row],[Quantity]]*tblTransactions[[#This Row],[UnitCost]]</f>
        <v>1284.8900000000001</v>
      </c>
      <c r="R369" s="9">
        <f>tblTransactions[[#This Row],[NetRevenue]]-tblTransactions[[#This Row],[TotalCost]]</f>
        <v>417.51</v>
      </c>
      <c r="S369" t="str">
        <f>_xlfn.XLOOKUP(tblTransactions[[#This Row],[ProductID]],tblProducts[ProductID],tblProducts[Category])</f>
        <v>Personal Care</v>
      </c>
    </row>
    <row r="370" spans="1:19">
      <c r="A370" t="s">
        <v>16687</v>
      </c>
      <c r="B370" s="1">
        <v>45349</v>
      </c>
      <c r="C370" t="s">
        <v>7452</v>
      </c>
      <c r="D370" t="str">
        <f>_xlfn.XLOOKUP(tblTransactions[[#This Row],[CustomerID]],tblCustomers[CustomerID],tblCustomers[CustomerName])</f>
        <v>Manan Dhar</v>
      </c>
      <c r="E370" t="s">
        <v>16184</v>
      </c>
      <c r="F370" t="str">
        <f>_xlfn.XLOOKUP(tblTransactions[[#This Row],[ProductID]],tblProducts[ProductID],tblProducts[ProductName])</f>
        <v>Instant Noodles D4</v>
      </c>
      <c r="G370" t="s">
        <v>16307</v>
      </c>
      <c r="H370" t="str">
        <f>_xlfn.XLOOKUP(tblTransactions[[#This Row],[StoreID]],tblStores[StoreID],tblStores[Region])</f>
        <v>East</v>
      </c>
      <c r="I370">
        <v>1</v>
      </c>
      <c r="J370">
        <v>0</v>
      </c>
      <c r="K370" t="s">
        <v>16321</v>
      </c>
      <c r="L370" s="9">
        <f>_xlfn.XLOOKUP(tblTransactions[[#This Row],[ProductID]],tblProducts[ProductID],tblProducts[UnitPrice])</f>
        <v>400.63</v>
      </c>
      <c r="M370" s="9">
        <f>tblTransactions[[#This Row],[Quantity]]*tblTransactions[[#This Row],[UnitPrice]]</f>
        <v>400.63</v>
      </c>
      <c r="N370" s="9">
        <f>tblTransactions[[#This Row],[GrossSales]]*tblTransactions[[#This Row],[Discount]]</f>
        <v>0</v>
      </c>
      <c r="O370" s="9">
        <f>tblTransactions[[#This Row],[GrossSales]]-tblTransactions[[#This Row],[DiscountAmount]]</f>
        <v>400.63</v>
      </c>
      <c r="P370" s="9">
        <f>_xlfn.XLOOKUP(tblTransactions[[#This Row],[ProductID]],tblProducts[ProductID],tblProducts[UnitCost])</f>
        <v>222.73</v>
      </c>
      <c r="Q370" s="9">
        <f>tblTransactions[[#This Row],[Quantity]]*tblTransactions[[#This Row],[UnitCost]]</f>
        <v>222.73</v>
      </c>
      <c r="R370" s="9">
        <f>tblTransactions[[#This Row],[NetRevenue]]-tblTransactions[[#This Row],[TotalCost]]</f>
        <v>177.9</v>
      </c>
      <c r="S370" t="str">
        <f>_xlfn.XLOOKUP(tblTransactions[[#This Row],[ProductID]],tblProducts[ProductID],tblProducts[Category])</f>
        <v>Grocery</v>
      </c>
    </row>
    <row r="371" spans="1:19">
      <c r="A371" t="s">
        <v>16688</v>
      </c>
      <c r="B371" s="1">
        <v>45349</v>
      </c>
      <c r="C371" t="s">
        <v>10487</v>
      </c>
      <c r="D371" t="str">
        <f>_xlfn.XLOOKUP(tblTransactions[[#This Row],[CustomerID]],tblCustomers[CustomerID],tblCustomers[CustomerName])</f>
        <v>Unni Buch</v>
      </c>
      <c r="E371" t="s">
        <v>16123</v>
      </c>
      <c r="F371" t="str">
        <f>_xlfn.XLOOKUP(tblTransactions[[#This Row],[ProductID]],tblProducts[ProductID],tblProducts[ProductName])</f>
        <v>Running Shoes D4</v>
      </c>
      <c r="G371" t="s">
        <v>16289</v>
      </c>
      <c r="H371" t="str">
        <f>_xlfn.XLOOKUP(tblTransactions[[#This Row],[StoreID]],tblStores[StoreID],tblStores[Region])</f>
        <v>South</v>
      </c>
      <c r="I371">
        <v>1</v>
      </c>
      <c r="J371">
        <v>0.15</v>
      </c>
      <c r="K371" t="s">
        <v>16315</v>
      </c>
      <c r="L371" s="9">
        <f>_xlfn.XLOOKUP(tblTransactions[[#This Row],[ProductID]],tblProducts[ProductID],tblProducts[UnitPrice])</f>
        <v>5979.07</v>
      </c>
      <c r="M371" s="9">
        <f>tblTransactions[[#This Row],[Quantity]]*tblTransactions[[#This Row],[UnitPrice]]</f>
        <v>5979.07</v>
      </c>
      <c r="N371" s="9">
        <f>tblTransactions[[#This Row],[GrossSales]]*tblTransactions[[#This Row],[Discount]]</f>
        <v>896.86049999999989</v>
      </c>
      <c r="O371" s="9">
        <f>tblTransactions[[#This Row],[GrossSales]]-tblTransactions[[#This Row],[DiscountAmount]]</f>
        <v>5082.2094999999999</v>
      </c>
      <c r="P371" s="9">
        <f>_xlfn.XLOOKUP(tblTransactions[[#This Row],[ProductID]],tblProducts[ProductID],tblProducts[UnitCost])</f>
        <v>4121.96</v>
      </c>
      <c r="Q371" s="9">
        <f>tblTransactions[[#This Row],[Quantity]]*tblTransactions[[#This Row],[UnitCost]]</f>
        <v>4121.96</v>
      </c>
      <c r="R371" s="9">
        <f>tblTransactions[[#This Row],[NetRevenue]]-tblTransactions[[#This Row],[TotalCost]]</f>
        <v>960.2494999999999</v>
      </c>
      <c r="S371" t="str">
        <f>_xlfn.XLOOKUP(tblTransactions[[#This Row],[ProductID]],tblProducts[ProductID],tblProducts[Category])</f>
        <v>Clothing</v>
      </c>
    </row>
    <row r="372" spans="1:19">
      <c r="A372" t="s">
        <v>16689</v>
      </c>
      <c r="B372" s="1">
        <v>45349</v>
      </c>
      <c r="C372" t="s">
        <v>14268</v>
      </c>
      <c r="D372" t="str">
        <f>_xlfn.XLOOKUP(tblTransactions[[#This Row],[CustomerID]],tblCustomers[CustomerID],tblCustomers[CustomerName])</f>
        <v>Pahal Brahmbhatt</v>
      </c>
      <c r="E372" t="s">
        <v>15986</v>
      </c>
      <c r="F372" t="str">
        <f>_xlfn.XLOOKUP(tblTransactions[[#This Row],[ProductID]],tblProducts[ProductID],tblProducts[ProductName])</f>
        <v>Soundbar D4</v>
      </c>
      <c r="G372" t="s">
        <v>16289</v>
      </c>
      <c r="H372" t="str">
        <f>_xlfn.XLOOKUP(tblTransactions[[#This Row],[StoreID]],tblStores[StoreID],tblStores[Region])</f>
        <v>South</v>
      </c>
      <c r="I372">
        <v>1</v>
      </c>
      <c r="J372">
        <v>0</v>
      </c>
      <c r="K372" t="s">
        <v>16317</v>
      </c>
      <c r="L372" s="9">
        <f>_xlfn.XLOOKUP(tblTransactions[[#This Row],[ProductID]],tblProducts[ProductID],tblProducts[UnitPrice])</f>
        <v>52004.72</v>
      </c>
      <c r="M372" s="9">
        <f>tblTransactions[[#This Row],[Quantity]]*tblTransactions[[#This Row],[UnitPrice]]</f>
        <v>52004.72</v>
      </c>
      <c r="N372" s="9">
        <f>tblTransactions[[#This Row],[GrossSales]]*tblTransactions[[#This Row],[Discount]]</f>
        <v>0</v>
      </c>
      <c r="O372" s="9">
        <f>tblTransactions[[#This Row],[GrossSales]]-tblTransactions[[#This Row],[DiscountAmount]]</f>
        <v>52004.72</v>
      </c>
      <c r="P372" s="9">
        <f>_xlfn.XLOOKUP(tblTransactions[[#This Row],[ProductID]],tblProducts[ProductID],tblProducts[UnitCost])</f>
        <v>43224.87</v>
      </c>
      <c r="Q372" s="9">
        <f>tblTransactions[[#This Row],[Quantity]]*tblTransactions[[#This Row],[UnitCost]]</f>
        <v>43224.87</v>
      </c>
      <c r="R372" s="9">
        <f>tblTransactions[[#This Row],[NetRevenue]]-tblTransactions[[#This Row],[TotalCost]]</f>
        <v>8779.8499999999985</v>
      </c>
      <c r="S372" t="str">
        <f>_xlfn.XLOOKUP(tblTransactions[[#This Row],[ProductID]],tblProducts[ProductID],tblProducts[Category])</f>
        <v>Electronics</v>
      </c>
    </row>
    <row r="373" spans="1:19">
      <c r="A373" t="s">
        <v>16690</v>
      </c>
      <c r="B373" s="1">
        <v>45353</v>
      </c>
      <c r="C373" t="s">
        <v>924</v>
      </c>
      <c r="D373" t="str">
        <f>_xlfn.XLOOKUP(tblTransactions[[#This Row],[CustomerID]],tblCustomers[CustomerID],tblCustomers[CustomerName])</f>
        <v>Reva Viswanathan</v>
      </c>
      <c r="E373" t="s">
        <v>16192</v>
      </c>
      <c r="F373" t="str">
        <f>_xlfn.XLOOKUP(tblTransactions[[#This Row],[ProductID]],tblProducts[ProductID],tblProducts[ProductName])</f>
        <v>Face Cream A1</v>
      </c>
      <c r="G373" t="s">
        <v>16301</v>
      </c>
      <c r="H373" t="str">
        <f>_xlfn.XLOOKUP(tblTransactions[[#This Row],[StoreID]],tblStores[StoreID],tblStores[Region])</f>
        <v>East</v>
      </c>
      <c r="I373">
        <v>1</v>
      </c>
      <c r="J373">
        <v>0.1</v>
      </c>
      <c r="K373" t="s">
        <v>16317</v>
      </c>
      <c r="L373" s="9">
        <f>_xlfn.XLOOKUP(tblTransactions[[#This Row],[ProductID]],tblProducts[ProductID],tblProducts[UnitPrice])</f>
        <v>1666.93</v>
      </c>
      <c r="M373" s="9">
        <f>tblTransactions[[#This Row],[Quantity]]*tblTransactions[[#This Row],[UnitPrice]]</f>
        <v>1666.93</v>
      </c>
      <c r="N373" s="9">
        <f>tblTransactions[[#This Row],[GrossSales]]*tblTransactions[[#This Row],[Discount]]</f>
        <v>166.69300000000001</v>
      </c>
      <c r="O373" s="9">
        <f>tblTransactions[[#This Row],[GrossSales]]-tblTransactions[[#This Row],[DiscountAmount]]</f>
        <v>1500.2370000000001</v>
      </c>
      <c r="P373" s="9">
        <f>_xlfn.XLOOKUP(tblTransactions[[#This Row],[ProductID]],tblProducts[ProductID],tblProducts[UnitCost])</f>
        <v>983.54</v>
      </c>
      <c r="Q373" s="9">
        <f>tblTransactions[[#This Row],[Quantity]]*tblTransactions[[#This Row],[UnitCost]]</f>
        <v>983.54</v>
      </c>
      <c r="R373" s="9">
        <f>tblTransactions[[#This Row],[NetRevenue]]-tblTransactions[[#This Row],[TotalCost]]</f>
        <v>516.69700000000012</v>
      </c>
      <c r="S373" t="str">
        <f>_xlfn.XLOOKUP(tblTransactions[[#This Row],[ProductID]],tblProducts[ProductID],tblProducts[Category])</f>
        <v>Personal Care</v>
      </c>
    </row>
    <row r="374" spans="1:19">
      <c r="A374" t="s">
        <v>16691</v>
      </c>
      <c r="B374" s="1">
        <v>45358</v>
      </c>
      <c r="C374" t="s">
        <v>1250</v>
      </c>
      <c r="D374" t="str">
        <f>_xlfn.XLOOKUP(tblTransactions[[#This Row],[CustomerID]],tblCustomers[CustomerID],tblCustomers[CustomerName])</f>
        <v>David Devi</v>
      </c>
      <c r="E374" t="s">
        <v>16204</v>
      </c>
      <c r="F374" t="str">
        <f>_xlfn.XLOOKUP(tblTransactions[[#This Row],[ProductID]],tblProducts[ProductID],tblProducts[ProductName])</f>
        <v>Moisturizer A6</v>
      </c>
      <c r="G374" t="s">
        <v>16256</v>
      </c>
      <c r="H374" t="str">
        <f>_xlfn.XLOOKUP(tblTransactions[[#This Row],[StoreID]],tblStores[StoreID],tblStores[Region])</f>
        <v>East</v>
      </c>
      <c r="I374">
        <v>4</v>
      </c>
      <c r="J374">
        <v>0.1</v>
      </c>
      <c r="K374" t="s">
        <v>16319</v>
      </c>
      <c r="L374" s="9">
        <f>_xlfn.XLOOKUP(tblTransactions[[#This Row],[ProductID]],tblProducts[ProductID],tblProducts[UnitPrice])</f>
        <v>1655.17</v>
      </c>
      <c r="M374" s="9">
        <f>tblTransactions[[#This Row],[Quantity]]*tblTransactions[[#This Row],[UnitPrice]]</f>
        <v>6620.68</v>
      </c>
      <c r="N374" s="9">
        <f>tblTransactions[[#This Row],[GrossSales]]*tblTransactions[[#This Row],[Discount]]</f>
        <v>662.0680000000001</v>
      </c>
      <c r="O374" s="9">
        <f>tblTransactions[[#This Row],[GrossSales]]-tblTransactions[[#This Row],[DiscountAmount]]</f>
        <v>5958.6120000000001</v>
      </c>
      <c r="P374" s="9">
        <f>_xlfn.XLOOKUP(tblTransactions[[#This Row],[ProductID]],tblProducts[ProductID],tblProducts[UnitCost])</f>
        <v>1375.84</v>
      </c>
      <c r="Q374" s="9">
        <f>tblTransactions[[#This Row],[Quantity]]*tblTransactions[[#This Row],[UnitCost]]</f>
        <v>5503.36</v>
      </c>
      <c r="R374" s="9">
        <f>tblTransactions[[#This Row],[NetRevenue]]-tblTransactions[[#This Row],[TotalCost]]</f>
        <v>455.25200000000041</v>
      </c>
      <c r="S374" t="str">
        <f>_xlfn.XLOOKUP(tblTransactions[[#This Row],[ProductID]],tblProducts[ProductID],tblProducts[Category])</f>
        <v>Personal Care</v>
      </c>
    </row>
    <row r="375" spans="1:19">
      <c r="A375" t="s">
        <v>16692</v>
      </c>
      <c r="B375" s="1">
        <v>45359</v>
      </c>
      <c r="C375" t="s">
        <v>7659</v>
      </c>
      <c r="D375" t="str">
        <f>_xlfn.XLOOKUP(tblTransactions[[#This Row],[CustomerID]],tblCustomers[CustomerID],tblCustomers[CustomerName])</f>
        <v>Girik Nori</v>
      </c>
      <c r="E375" t="s">
        <v>16198</v>
      </c>
      <c r="F375" t="str">
        <f>_xlfn.XLOOKUP(tblTransactions[[#This Row],[ProductID]],tblProducts[ProductID],tblProducts[ProductName])</f>
        <v>Face Wash C3</v>
      </c>
      <c r="G375" t="s">
        <v>16269</v>
      </c>
      <c r="H375" t="str">
        <f>_xlfn.XLOOKUP(tblTransactions[[#This Row],[StoreID]],tblStores[StoreID],tblStores[Region])</f>
        <v>North</v>
      </c>
      <c r="I375">
        <v>1</v>
      </c>
      <c r="J375">
        <v>0.1</v>
      </c>
      <c r="K375" t="s">
        <v>16317</v>
      </c>
      <c r="L375" s="9">
        <f>_xlfn.XLOOKUP(tblTransactions[[#This Row],[ProductID]],tblProducts[ProductID],tblProducts[UnitPrice])</f>
        <v>1783.65</v>
      </c>
      <c r="M375" s="9">
        <f>tblTransactions[[#This Row],[Quantity]]*tblTransactions[[#This Row],[UnitPrice]]</f>
        <v>1783.65</v>
      </c>
      <c r="N375" s="9">
        <f>tblTransactions[[#This Row],[GrossSales]]*tblTransactions[[#This Row],[Discount]]</f>
        <v>178.36500000000001</v>
      </c>
      <c r="O375" s="9">
        <f>tblTransactions[[#This Row],[GrossSales]]-tblTransactions[[#This Row],[DiscountAmount]]</f>
        <v>1605.2850000000001</v>
      </c>
      <c r="P375" s="9">
        <f>_xlfn.XLOOKUP(tblTransactions[[#This Row],[ProductID]],tblProducts[ProductID],tblProducts[UnitCost])</f>
        <v>1128.95</v>
      </c>
      <c r="Q375" s="9">
        <f>tblTransactions[[#This Row],[Quantity]]*tblTransactions[[#This Row],[UnitCost]]</f>
        <v>1128.95</v>
      </c>
      <c r="R375" s="9">
        <f>tblTransactions[[#This Row],[NetRevenue]]-tblTransactions[[#This Row],[TotalCost]]</f>
        <v>476.33500000000004</v>
      </c>
      <c r="S375" t="str">
        <f>_xlfn.XLOOKUP(tblTransactions[[#This Row],[ProductID]],tblProducts[ProductID],tblProducts[Category])</f>
        <v>Personal Care</v>
      </c>
    </row>
    <row r="376" spans="1:19">
      <c r="A376" t="s">
        <v>16693</v>
      </c>
      <c r="B376" s="1">
        <v>45359</v>
      </c>
      <c r="C376" t="s">
        <v>498</v>
      </c>
      <c r="D376" t="str">
        <f>_xlfn.XLOOKUP(tblTransactions[[#This Row],[CustomerID]],tblCustomers[CustomerID],tblCustomers[CustomerName])</f>
        <v>Harini Gour</v>
      </c>
      <c r="E376" t="s">
        <v>16158</v>
      </c>
      <c r="F376" t="str">
        <f>_xlfn.XLOOKUP(tblTransactions[[#This Row],[ProductID]],tblProducts[ProductID],tblProducts[ProductName])</f>
        <v>Chocolate A6</v>
      </c>
      <c r="G376" t="s">
        <v>16265</v>
      </c>
      <c r="H376" t="str">
        <f>_xlfn.XLOOKUP(tblTransactions[[#This Row],[StoreID]],tblStores[StoreID],tblStores[Region])</f>
        <v>North</v>
      </c>
      <c r="I376">
        <v>3</v>
      </c>
      <c r="J376">
        <v>0.1</v>
      </c>
      <c r="K376" t="s">
        <v>16317</v>
      </c>
      <c r="L376" s="9">
        <f>_xlfn.XLOOKUP(tblTransactions[[#This Row],[ProductID]],tblProducts[ProductID],tblProducts[UnitPrice])</f>
        <v>1494.3</v>
      </c>
      <c r="M376" s="9">
        <f>tblTransactions[[#This Row],[Quantity]]*tblTransactions[[#This Row],[UnitPrice]]</f>
        <v>4482.8999999999996</v>
      </c>
      <c r="N376" s="9">
        <f>tblTransactions[[#This Row],[GrossSales]]*tblTransactions[[#This Row],[Discount]]</f>
        <v>448.28999999999996</v>
      </c>
      <c r="O376" s="9">
        <f>tblTransactions[[#This Row],[GrossSales]]-tblTransactions[[#This Row],[DiscountAmount]]</f>
        <v>4034.6099999999997</v>
      </c>
      <c r="P376" s="9">
        <f>_xlfn.XLOOKUP(tblTransactions[[#This Row],[ProductID]],tblProducts[ProductID],tblProducts[UnitCost])</f>
        <v>1031.67</v>
      </c>
      <c r="Q376" s="9">
        <f>tblTransactions[[#This Row],[Quantity]]*tblTransactions[[#This Row],[UnitCost]]</f>
        <v>3095.01</v>
      </c>
      <c r="R376" s="9">
        <f>tblTransactions[[#This Row],[NetRevenue]]-tblTransactions[[#This Row],[TotalCost]]</f>
        <v>939.59999999999945</v>
      </c>
      <c r="S376" t="str">
        <f>_xlfn.XLOOKUP(tblTransactions[[#This Row],[ProductID]],tblProducts[ProductID],tblProducts[Category])</f>
        <v>Grocery</v>
      </c>
    </row>
    <row r="377" spans="1:19">
      <c r="A377" t="s">
        <v>16694</v>
      </c>
      <c r="B377" s="1">
        <v>45359</v>
      </c>
      <c r="C377" t="s">
        <v>4876</v>
      </c>
      <c r="D377" t="str">
        <f>_xlfn.XLOOKUP(tblTransactions[[#This Row],[CustomerID]],tblCustomers[CustomerID],tblCustomers[CustomerName])</f>
        <v>Jacob Prabhu</v>
      </c>
      <c r="E377" t="s">
        <v>16226</v>
      </c>
      <c r="F377" t="str">
        <f>_xlfn.XLOOKUP(tblTransactions[[#This Row],[ProductID]],tblProducts[ProductID],tblProducts[ProductName])</f>
        <v>Body Wash B2</v>
      </c>
      <c r="G377" t="s">
        <v>16287</v>
      </c>
      <c r="H377" t="str">
        <f>_xlfn.XLOOKUP(tblTransactions[[#This Row],[StoreID]],tblStores[StoreID],tblStores[Region])</f>
        <v>North</v>
      </c>
      <c r="I377">
        <v>1</v>
      </c>
      <c r="J377">
        <v>0</v>
      </c>
      <c r="K377" t="s">
        <v>16321</v>
      </c>
      <c r="L377" s="9">
        <f>_xlfn.XLOOKUP(tblTransactions[[#This Row],[ProductID]],tblProducts[ProductID],tblProducts[UnitPrice])</f>
        <v>3897.08</v>
      </c>
      <c r="M377" s="9">
        <f>tblTransactions[[#This Row],[Quantity]]*tblTransactions[[#This Row],[UnitPrice]]</f>
        <v>3897.08</v>
      </c>
      <c r="N377" s="9">
        <f>tblTransactions[[#This Row],[GrossSales]]*tblTransactions[[#This Row],[Discount]]</f>
        <v>0</v>
      </c>
      <c r="O377" s="9">
        <f>tblTransactions[[#This Row],[GrossSales]]-tblTransactions[[#This Row],[DiscountAmount]]</f>
        <v>3897.08</v>
      </c>
      <c r="P377" s="9">
        <f>_xlfn.XLOOKUP(tblTransactions[[#This Row],[ProductID]],tblProducts[ProductID],tblProducts[UnitCost])</f>
        <v>3214.46</v>
      </c>
      <c r="Q377" s="9">
        <f>tblTransactions[[#This Row],[Quantity]]*tblTransactions[[#This Row],[UnitCost]]</f>
        <v>3214.46</v>
      </c>
      <c r="R377" s="9">
        <f>tblTransactions[[#This Row],[NetRevenue]]-tblTransactions[[#This Row],[TotalCost]]</f>
        <v>682.61999999999989</v>
      </c>
      <c r="S377" t="str">
        <f>_xlfn.XLOOKUP(tblTransactions[[#This Row],[ProductID]],tblProducts[ProductID],tblProducts[Category])</f>
        <v>Personal Care</v>
      </c>
    </row>
    <row r="378" spans="1:19">
      <c r="A378" t="s">
        <v>16695</v>
      </c>
      <c r="B378" s="1">
        <v>45360</v>
      </c>
      <c r="C378" t="s">
        <v>8018</v>
      </c>
      <c r="D378" t="str">
        <f>_xlfn.XLOOKUP(tblTransactions[[#This Row],[CustomerID]],tblCustomers[CustomerID],tblCustomers[CustomerName])</f>
        <v>Arjun Nagy</v>
      </c>
      <c r="E378" t="s">
        <v>16221</v>
      </c>
      <c r="F378" t="str">
        <f>_xlfn.XLOOKUP(tblTransactions[[#This Row],[ProductID]],tblProducts[ProductID],tblProducts[ProductName])</f>
        <v>Conditioner B7</v>
      </c>
      <c r="G378" t="s">
        <v>16265</v>
      </c>
      <c r="H378" t="str">
        <f>_xlfn.XLOOKUP(tblTransactions[[#This Row],[StoreID]],tblStores[StoreID],tblStores[Region])</f>
        <v>North</v>
      </c>
      <c r="I378">
        <v>2</v>
      </c>
      <c r="J378">
        <v>0</v>
      </c>
      <c r="K378" t="s">
        <v>16317</v>
      </c>
      <c r="L378" s="9">
        <f>_xlfn.XLOOKUP(tblTransactions[[#This Row],[ProductID]],tblProducts[ProductID],tblProducts[UnitPrice])</f>
        <v>1702.4</v>
      </c>
      <c r="M378" s="9">
        <f>tblTransactions[[#This Row],[Quantity]]*tblTransactions[[#This Row],[UnitPrice]]</f>
        <v>3404.8</v>
      </c>
      <c r="N378" s="9">
        <f>tblTransactions[[#This Row],[GrossSales]]*tblTransactions[[#This Row],[Discount]]</f>
        <v>0</v>
      </c>
      <c r="O378" s="9">
        <f>tblTransactions[[#This Row],[GrossSales]]-tblTransactions[[#This Row],[DiscountAmount]]</f>
        <v>3404.8</v>
      </c>
      <c r="P378" s="9">
        <f>_xlfn.XLOOKUP(tblTransactions[[#This Row],[ProductID]],tblProducts[ProductID],tblProducts[UnitCost])</f>
        <v>1284.8900000000001</v>
      </c>
      <c r="Q378" s="9">
        <f>tblTransactions[[#This Row],[Quantity]]*tblTransactions[[#This Row],[UnitCost]]</f>
        <v>2569.7800000000002</v>
      </c>
      <c r="R378" s="9">
        <f>tblTransactions[[#This Row],[NetRevenue]]-tblTransactions[[#This Row],[TotalCost]]</f>
        <v>835.02</v>
      </c>
      <c r="S378" t="str">
        <f>_xlfn.XLOOKUP(tblTransactions[[#This Row],[ProductID]],tblProducts[ProductID],tblProducts[Category])</f>
        <v>Personal Care</v>
      </c>
    </row>
    <row r="379" spans="1:19">
      <c r="A379" t="s">
        <v>16696</v>
      </c>
      <c r="B379" s="1">
        <v>45362</v>
      </c>
      <c r="C379" t="s">
        <v>9243</v>
      </c>
      <c r="D379" t="str">
        <f>_xlfn.XLOOKUP(tblTransactions[[#This Row],[CustomerID]],tblCustomers[CustomerID],tblCustomers[CustomerName])</f>
        <v>Watika Peri</v>
      </c>
      <c r="E379" t="s">
        <v>16188</v>
      </c>
      <c r="F379" t="str">
        <f>_xlfn.XLOOKUP(tblTransactions[[#This Row],[ProductID]],tblProducts[ProductID],tblProducts[ProductName])</f>
        <v>Pasta A6</v>
      </c>
      <c r="G379" t="s">
        <v>16293</v>
      </c>
      <c r="H379" t="str">
        <f>_xlfn.XLOOKUP(tblTransactions[[#This Row],[StoreID]],tblStores[StoreID],tblStores[Region])</f>
        <v>South</v>
      </c>
      <c r="I379">
        <v>1</v>
      </c>
      <c r="J379">
        <v>0.05</v>
      </c>
      <c r="K379" t="s">
        <v>16317</v>
      </c>
      <c r="L379" s="9">
        <f>_xlfn.XLOOKUP(tblTransactions[[#This Row],[ProductID]],tblProducts[ProductID],tblProducts[UnitPrice])</f>
        <v>1019.45</v>
      </c>
      <c r="M379" s="9">
        <f>tblTransactions[[#This Row],[Quantity]]*tblTransactions[[#This Row],[UnitPrice]]</f>
        <v>1019.45</v>
      </c>
      <c r="N379" s="9">
        <f>tblTransactions[[#This Row],[GrossSales]]*tblTransactions[[#This Row],[Discount]]</f>
        <v>50.972500000000004</v>
      </c>
      <c r="O379" s="9">
        <f>tblTransactions[[#This Row],[GrossSales]]-tblTransactions[[#This Row],[DiscountAmount]]</f>
        <v>968.47750000000008</v>
      </c>
      <c r="P379" s="9">
        <f>_xlfn.XLOOKUP(tblTransactions[[#This Row],[ProductID]],tblProducts[ProductID],tblProducts[UnitCost])</f>
        <v>683.18</v>
      </c>
      <c r="Q379" s="9">
        <f>tblTransactions[[#This Row],[Quantity]]*tblTransactions[[#This Row],[UnitCost]]</f>
        <v>683.18</v>
      </c>
      <c r="R379" s="9">
        <f>tblTransactions[[#This Row],[NetRevenue]]-tblTransactions[[#This Row],[TotalCost]]</f>
        <v>285.29750000000013</v>
      </c>
      <c r="S379" t="str">
        <f>_xlfn.XLOOKUP(tblTransactions[[#This Row],[ProductID]],tblProducts[ProductID],tblProducts[Category])</f>
        <v>Grocery</v>
      </c>
    </row>
    <row r="380" spans="1:19">
      <c r="A380" t="s">
        <v>16697</v>
      </c>
      <c r="B380" s="1">
        <v>45363</v>
      </c>
      <c r="C380" t="s">
        <v>14609</v>
      </c>
      <c r="D380" t="str">
        <f>_xlfn.XLOOKUP(tblTransactions[[#This Row],[CustomerID]],tblCustomers[CustomerID],tblCustomers[CustomerName])</f>
        <v>Rachana Sura</v>
      </c>
      <c r="E380" t="s">
        <v>16200</v>
      </c>
      <c r="F380" t="str">
        <f>_xlfn.XLOOKUP(tblTransactions[[#This Row],[ProductID]],tblProducts[ProductID],tblProducts[ProductName])</f>
        <v>Face Cream D4</v>
      </c>
      <c r="G380" t="s">
        <v>16303</v>
      </c>
      <c r="H380" t="str">
        <f>_xlfn.XLOOKUP(tblTransactions[[#This Row],[StoreID]],tblStores[StoreID],tblStores[Region])</f>
        <v>West</v>
      </c>
      <c r="I380">
        <v>2</v>
      </c>
      <c r="J380">
        <v>0.1</v>
      </c>
      <c r="K380" t="s">
        <v>16317</v>
      </c>
      <c r="L380" s="9">
        <f>_xlfn.XLOOKUP(tblTransactions[[#This Row],[ProductID]],tblProducts[ProductID],tblProducts[UnitPrice])</f>
        <v>3082.2</v>
      </c>
      <c r="M380" s="9">
        <f>tblTransactions[[#This Row],[Quantity]]*tblTransactions[[#This Row],[UnitPrice]]</f>
        <v>6164.4</v>
      </c>
      <c r="N380" s="9">
        <f>tblTransactions[[#This Row],[GrossSales]]*tblTransactions[[#This Row],[Discount]]</f>
        <v>616.44000000000005</v>
      </c>
      <c r="O380" s="9">
        <f>tblTransactions[[#This Row],[GrossSales]]-tblTransactions[[#This Row],[DiscountAmount]]</f>
        <v>5547.9599999999991</v>
      </c>
      <c r="P380" s="9">
        <f>_xlfn.XLOOKUP(tblTransactions[[#This Row],[ProductID]],tblProducts[ProductID],tblProducts[UnitCost])</f>
        <v>2561.06</v>
      </c>
      <c r="Q380" s="9">
        <f>tblTransactions[[#This Row],[Quantity]]*tblTransactions[[#This Row],[UnitCost]]</f>
        <v>5122.12</v>
      </c>
      <c r="R380" s="9">
        <f>tblTransactions[[#This Row],[NetRevenue]]-tblTransactions[[#This Row],[TotalCost]]</f>
        <v>425.83999999999924</v>
      </c>
      <c r="S380" t="str">
        <f>_xlfn.XLOOKUP(tblTransactions[[#This Row],[ProductID]],tblProducts[ProductID],tblProducts[Category])</f>
        <v>Personal Care</v>
      </c>
    </row>
    <row r="381" spans="1:19">
      <c r="A381" t="s">
        <v>16698</v>
      </c>
      <c r="B381" s="1">
        <v>45363</v>
      </c>
      <c r="C381" t="s">
        <v>3904</v>
      </c>
      <c r="D381" t="str">
        <f>_xlfn.XLOOKUP(tblTransactions[[#This Row],[CustomerID]],tblCustomers[CustomerID],tblCustomers[CustomerName])</f>
        <v>Hemang Ben</v>
      </c>
      <c r="E381" t="s">
        <v>16196</v>
      </c>
      <c r="F381" t="str">
        <f>_xlfn.XLOOKUP(tblTransactions[[#This Row],[ProductID]],tblProducts[ProductID],tblProducts[ProductName])</f>
        <v>Sunscreen B2</v>
      </c>
      <c r="G381" t="s">
        <v>16299</v>
      </c>
      <c r="H381" t="str">
        <f>_xlfn.XLOOKUP(tblTransactions[[#This Row],[StoreID]],tblStores[StoreID],tblStores[Region])</f>
        <v>South</v>
      </c>
      <c r="I381">
        <v>2</v>
      </c>
      <c r="J381">
        <v>0</v>
      </c>
      <c r="K381" t="s">
        <v>16325</v>
      </c>
      <c r="L381" s="9">
        <f>_xlfn.XLOOKUP(tblTransactions[[#This Row],[ProductID]],tblProducts[ProductID],tblProducts[UnitPrice])</f>
        <v>1841.85</v>
      </c>
      <c r="M381" s="9">
        <f>tblTransactions[[#This Row],[Quantity]]*tblTransactions[[#This Row],[UnitPrice]]</f>
        <v>3683.7</v>
      </c>
      <c r="N381" s="9">
        <f>tblTransactions[[#This Row],[GrossSales]]*tblTransactions[[#This Row],[Discount]]</f>
        <v>0</v>
      </c>
      <c r="O381" s="9">
        <f>tblTransactions[[#This Row],[GrossSales]]-tblTransactions[[#This Row],[DiscountAmount]]</f>
        <v>3683.7</v>
      </c>
      <c r="P381" s="9">
        <f>_xlfn.XLOOKUP(tblTransactions[[#This Row],[ProductID]],tblProducts[ProductID],tblProducts[UnitCost])</f>
        <v>1327.7</v>
      </c>
      <c r="Q381" s="9">
        <f>tblTransactions[[#This Row],[Quantity]]*tblTransactions[[#This Row],[UnitCost]]</f>
        <v>2655.4</v>
      </c>
      <c r="R381" s="9">
        <f>tblTransactions[[#This Row],[NetRevenue]]-tblTransactions[[#This Row],[TotalCost]]</f>
        <v>1028.2999999999997</v>
      </c>
      <c r="S381" t="str">
        <f>_xlfn.XLOOKUP(tblTransactions[[#This Row],[ProductID]],tblProducts[ProductID],tblProducts[Category])</f>
        <v>Personal Care</v>
      </c>
    </row>
    <row r="382" spans="1:19">
      <c r="A382" t="s">
        <v>16699</v>
      </c>
      <c r="B382" s="1">
        <v>45364</v>
      </c>
      <c r="C382" t="s">
        <v>6455</v>
      </c>
      <c r="D382" t="str">
        <f>_xlfn.XLOOKUP(tblTransactions[[#This Row],[CustomerID]],tblCustomers[CustomerID],tblCustomers[CustomerName])</f>
        <v>Oni Prashad</v>
      </c>
      <c r="E382" t="s">
        <v>16043</v>
      </c>
      <c r="F382" t="str">
        <f>_xlfn.XLOOKUP(tblTransactions[[#This Row],[ProductID]],tblProducts[ProductID],tblProducts[ProductName])</f>
        <v>Non-stick Pan B2</v>
      </c>
      <c r="G382" t="s">
        <v>16262</v>
      </c>
      <c r="H382" t="str">
        <f>_xlfn.XLOOKUP(tblTransactions[[#This Row],[StoreID]],tblStores[StoreID],tblStores[Region])</f>
        <v>North</v>
      </c>
      <c r="I382">
        <v>1</v>
      </c>
      <c r="J382">
        <v>0</v>
      </c>
      <c r="K382" t="s">
        <v>16317</v>
      </c>
      <c r="L382" s="9">
        <f>_xlfn.XLOOKUP(tblTransactions[[#This Row],[ProductID]],tblProducts[ProductID],tblProducts[UnitPrice])</f>
        <v>17619.849999999999</v>
      </c>
      <c r="M382" s="9">
        <f>tblTransactions[[#This Row],[Quantity]]*tblTransactions[[#This Row],[UnitPrice]]</f>
        <v>17619.849999999999</v>
      </c>
      <c r="N382" s="9">
        <f>tblTransactions[[#This Row],[GrossSales]]*tblTransactions[[#This Row],[Discount]]</f>
        <v>0</v>
      </c>
      <c r="O382" s="9">
        <f>tblTransactions[[#This Row],[GrossSales]]-tblTransactions[[#This Row],[DiscountAmount]]</f>
        <v>17619.849999999999</v>
      </c>
      <c r="P382" s="9">
        <f>_xlfn.XLOOKUP(tblTransactions[[#This Row],[ProductID]],tblProducts[ProductID],tblProducts[UnitCost])</f>
        <v>13837.65</v>
      </c>
      <c r="Q382" s="9">
        <f>tblTransactions[[#This Row],[Quantity]]*tblTransactions[[#This Row],[UnitCost]]</f>
        <v>13837.65</v>
      </c>
      <c r="R382" s="9">
        <f>tblTransactions[[#This Row],[NetRevenue]]-tblTransactions[[#This Row],[TotalCost]]</f>
        <v>3782.1999999999989</v>
      </c>
      <c r="S382" t="str">
        <f>_xlfn.XLOOKUP(tblTransactions[[#This Row],[ProductID]],tblProducts[ProductID],tblProducts[Category])</f>
        <v>Home &amp; Kitchen</v>
      </c>
    </row>
    <row r="383" spans="1:19">
      <c r="A383" t="s">
        <v>16700</v>
      </c>
      <c r="B383" s="1">
        <v>45364</v>
      </c>
      <c r="C383" t="s">
        <v>4581</v>
      </c>
      <c r="D383" t="str">
        <f>_xlfn.XLOOKUP(tblTransactions[[#This Row],[CustomerID]],tblCustomers[CustomerID],tblCustomers[CustomerName])</f>
        <v>Simon Agrawal</v>
      </c>
      <c r="E383" t="s">
        <v>15979</v>
      </c>
      <c r="F383" t="str">
        <f>_xlfn.XLOOKUP(tblTransactions[[#This Row],[ProductID]],tblProducts[ProductID],tblProducts[ProductName])</f>
        <v>Soundbar A1</v>
      </c>
      <c r="G383" t="s">
        <v>16299</v>
      </c>
      <c r="H383" t="str">
        <f>_xlfn.XLOOKUP(tblTransactions[[#This Row],[StoreID]],tblStores[StoreID],tblStores[Region])</f>
        <v>South</v>
      </c>
      <c r="I383">
        <v>1</v>
      </c>
      <c r="J383">
        <v>0</v>
      </c>
      <c r="K383" t="s">
        <v>16315</v>
      </c>
      <c r="L383" s="9">
        <f>_xlfn.XLOOKUP(tblTransactions[[#This Row],[ProductID]],tblProducts[ProductID],tblProducts[UnitPrice])</f>
        <v>45527.55</v>
      </c>
      <c r="M383" s="9">
        <f>tblTransactions[[#This Row],[Quantity]]*tblTransactions[[#This Row],[UnitPrice]]</f>
        <v>45527.55</v>
      </c>
      <c r="N383" s="9">
        <f>tblTransactions[[#This Row],[GrossSales]]*tblTransactions[[#This Row],[Discount]]</f>
        <v>0</v>
      </c>
      <c r="O383" s="9">
        <f>tblTransactions[[#This Row],[GrossSales]]-tblTransactions[[#This Row],[DiscountAmount]]</f>
        <v>45527.55</v>
      </c>
      <c r="P383" s="9">
        <f>_xlfn.XLOOKUP(tblTransactions[[#This Row],[ProductID]],tblProducts[ProductID],tblProducts[UnitCost])</f>
        <v>35089.57</v>
      </c>
      <c r="Q383" s="9">
        <f>tblTransactions[[#This Row],[Quantity]]*tblTransactions[[#This Row],[UnitCost]]</f>
        <v>35089.57</v>
      </c>
      <c r="R383" s="9">
        <f>tblTransactions[[#This Row],[NetRevenue]]-tblTransactions[[#This Row],[TotalCost]]</f>
        <v>10437.980000000003</v>
      </c>
      <c r="S383" t="str">
        <f>_xlfn.XLOOKUP(tblTransactions[[#This Row],[ProductID]],tblProducts[ProductID],tblProducts[Category])</f>
        <v>Electronics</v>
      </c>
    </row>
    <row r="384" spans="1:19">
      <c r="A384" t="s">
        <v>16701</v>
      </c>
      <c r="B384" s="1">
        <v>45365</v>
      </c>
      <c r="C384" t="s">
        <v>7776</v>
      </c>
      <c r="D384" t="str">
        <f>_xlfn.XLOOKUP(tblTransactions[[#This Row],[CustomerID]],tblCustomers[CustomerID],tblCustomers[CustomerName])</f>
        <v>Bachittar Brar</v>
      </c>
      <c r="E384" t="s">
        <v>15937</v>
      </c>
      <c r="F384" t="str">
        <f>_xlfn.XLOOKUP(tblTransactions[[#This Row],[ProductID]],tblProducts[ProductID],tblProducts[ProductName])</f>
        <v>Smart LED TV E5</v>
      </c>
      <c r="G384" t="s">
        <v>16262</v>
      </c>
      <c r="H384" t="str">
        <f>_xlfn.XLOOKUP(tblTransactions[[#This Row],[StoreID]],tblStores[StoreID],tblStores[Region])</f>
        <v>North</v>
      </c>
      <c r="I384">
        <v>3</v>
      </c>
      <c r="J384">
        <v>0</v>
      </c>
      <c r="K384" t="s">
        <v>16321</v>
      </c>
      <c r="L384" s="9">
        <f>_xlfn.XLOOKUP(tblTransactions[[#This Row],[ProductID]],tblProducts[ProductID],tblProducts[UnitPrice])</f>
        <v>4719.2700000000004</v>
      </c>
      <c r="M384" s="9">
        <f>tblTransactions[[#This Row],[Quantity]]*tblTransactions[[#This Row],[UnitPrice]]</f>
        <v>14157.810000000001</v>
      </c>
      <c r="N384" s="9">
        <f>tblTransactions[[#This Row],[GrossSales]]*tblTransactions[[#This Row],[Discount]]</f>
        <v>0</v>
      </c>
      <c r="O384" s="9">
        <f>tblTransactions[[#This Row],[GrossSales]]-tblTransactions[[#This Row],[DiscountAmount]]</f>
        <v>14157.810000000001</v>
      </c>
      <c r="P384" s="9">
        <f>_xlfn.XLOOKUP(tblTransactions[[#This Row],[ProductID]],tblProducts[ProductID],tblProducts[UnitCost])</f>
        <v>3322.23</v>
      </c>
      <c r="Q384" s="9">
        <f>tblTransactions[[#This Row],[Quantity]]*tblTransactions[[#This Row],[UnitCost]]</f>
        <v>9966.69</v>
      </c>
      <c r="R384" s="9">
        <f>tblTransactions[[#This Row],[NetRevenue]]-tblTransactions[[#This Row],[TotalCost]]</f>
        <v>4191.1200000000008</v>
      </c>
      <c r="S384" t="str">
        <f>_xlfn.XLOOKUP(tblTransactions[[#This Row],[ProductID]],tblProducts[ProductID],tblProducts[Category])</f>
        <v>Electronics</v>
      </c>
    </row>
    <row r="385" spans="1:19">
      <c r="A385" t="s">
        <v>16702</v>
      </c>
      <c r="B385" s="1">
        <v>45365</v>
      </c>
      <c r="C385" t="s">
        <v>8513</v>
      </c>
      <c r="D385" t="str">
        <f>_xlfn.XLOOKUP(tblTransactions[[#This Row],[CustomerID]],tblCustomers[CustomerID],tblCustomers[CustomerName])</f>
        <v>Sara Dada</v>
      </c>
      <c r="E385" t="s">
        <v>16119</v>
      </c>
      <c r="F385" t="str">
        <f>_xlfn.XLOOKUP(tblTransactions[[#This Row],[ProductID]],tblProducts[ProductID],tblProducts[ProductName])</f>
        <v>Sports Shoes B2</v>
      </c>
      <c r="G385" t="s">
        <v>16307</v>
      </c>
      <c r="H385" t="str">
        <f>_xlfn.XLOOKUP(tblTransactions[[#This Row],[StoreID]],tblStores[StoreID],tblStores[Region])</f>
        <v>East</v>
      </c>
      <c r="I385">
        <v>3</v>
      </c>
      <c r="J385">
        <v>0</v>
      </c>
      <c r="K385" t="s">
        <v>16321</v>
      </c>
      <c r="L385" s="9">
        <f>_xlfn.XLOOKUP(tblTransactions[[#This Row],[ProductID]],tblProducts[ProductID],tblProducts[UnitPrice])</f>
        <v>7419.82</v>
      </c>
      <c r="M385" s="9">
        <f>tblTransactions[[#This Row],[Quantity]]*tblTransactions[[#This Row],[UnitPrice]]</f>
        <v>22259.46</v>
      </c>
      <c r="N385" s="9">
        <f>tblTransactions[[#This Row],[GrossSales]]*tblTransactions[[#This Row],[Discount]]</f>
        <v>0</v>
      </c>
      <c r="O385" s="9">
        <f>tblTransactions[[#This Row],[GrossSales]]-tblTransactions[[#This Row],[DiscountAmount]]</f>
        <v>22259.46</v>
      </c>
      <c r="P385" s="9">
        <f>_xlfn.XLOOKUP(tblTransactions[[#This Row],[ProductID]],tblProducts[ProductID],tblProducts[UnitCost])</f>
        <v>5155.9799999999996</v>
      </c>
      <c r="Q385" s="9">
        <f>tblTransactions[[#This Row],[Quantity]]*tblTransactions[[#This Row],[UnitCost]]</f>
        <v>15467.939999999999</v>
      </c>
      <c r="R385" s="9">
        <f>tblTransactions[[#This Row],[NetRevenue]]-tblTransactions[[#This Row],[TotalCost]]</f>
        <v>6791.52</v>
      </c>
      <c r="S385" t="str">
        <f>_xlfn.XLOOKUP(tblTransactions[[#This Row],[ProductID]],tblProducts[ProductID],tblProducts[Category])</f>
        <v>Clothing</v>
      </c>
    </row>
    <row r="386" spans="1:19">
      <c r="A386" t="s">
        <v>16703</v>
      </c>
      <c r="B386" s="1">
        <v>45366</v>
      </c>
      <c r="C386" t="s">
        <v>2957</v>
      </c>
      <c r="D386" t="str">
        <f>_xlfn.XLOOKUP(tblTransactions[[#This Row],[CustomerID]],tblCustomers[CustomerID],tblCustomers[CustomerName])</f>
        <v>Owen Mane</v>
      </c>
      <c r="E386" t="s">
        <v>16074</v>
      </c>
      <c r="F386" t="str">
        <f>_xlfn.XLOOKUP(tblTransactions[[#This Row],[ProductID]],tblProducts[ProductID],tblProducts[ProductName])</f>
        <v>Men's T-Shirt B2</v>
      </c>
      <c r="G386" t="s">
        <v>16303</v>
      </c>
      <c r="H386" t="str">
        <f>_xlfn.XLOOKUP(tblTransactions[[#This Row],[StoreID]],tblStores[StoreID],tblStores[Region])</f>
        <v>West</v>
      </c>
      <c r="I386">
        <v>1</v>
      </c>
      <c r="J386">
        <v>0.05</v>
      </c>
      <c r="K386" t="s">
        <v>16317</v>
      </c>
      <c r="L386" s="9">
        <f>_xlfn.XLOOKUP(tblTransactions[[#This Row],[ProductID]],tblProducts[ProductID],tblProducts[UnitPrice])</f>
        <v>5944.75</v>
      </c>
      <c r="M386" s="9">
        <f>tblTransactions[[#This Row],[Quantity]]*tblTransactions[[#This Row],[UnitPrice]]</f>
        <v>5944.75</v>
      </c>
      <c r="N386" s="9">
        <f>tblTransactions[[#This Row],[GrossSales]]*tblTransactions[[#This Row],[Discount]]</f>
        <v>297.23750000000001</v>
      </c>
      <c r="O386" s="9">
        <f>tblTransactions[[#This Row],[GrossSales]]-tblTransactions[[#This Row],[DiscountAmount]]</f>
        <v>5647.5124999999998</v>
      </c>
      <c r="P386" s="9">
        <f>_xlfn.XLOOKUP(tblTransactions[[#This Row],[ProductID]],tblProducts[ProductID],tblProducts[UnitCost])</f>
        <v>4447.5200000000004</v>
      </c>
      <c r="Q386" s="9">
        <f>tblTransactions[[#This Row],[Quantity]]*tblTransactions[[#This Row],[UnitCost]]</f>
        <v>4447.5200000000004</v>
      </c>
      <c r="R386" s="9">
        <f>tblTransactions[[#This Row],[NetRevenue]]-tblTransactions[[#This Row],[TotalCost]]</f>
        <v>1199.9924999999994</v>
      </c>
      <c r="S386" t="str">
        <f>_xlfn.XLOOKUP(tblTransactions[[#This Row],[ProductID]],tblProducts[ProductID],tblProducts[Category])</f>
        <v>Clothing</v>
      </c>
    </row>
    <row r="387" spans="1:19">
      <c r="A387" t="s">
        <v>16704</v>
      </c>
      <c r="B387" s="1">
        <v>45368</v>
      </c>
      <c r="C387" t="s">
        <v>594</v>
      </c>
      <c r="D387" t="str">
        <f>_xlfn.XLOOKUP(tblTransactions[[#This Row],[CustomerID]],tblCustomers[CustomerID],tblCustomers[CustomerName])</f>
        <v>Vasudha Sodhi</v>
      </c>
      <c r="E387" t="s">
        <v>16154</v>
      </c>
      <c r="F387" t="str">
        <f>_xlfn.XLOOKUP(tblTransactions[[#This Row],[ProductID]],tblProducts[ProductID],tblProducts[ProductName])</f>
        <v>Namkeen D4</v>
      </c>
      <c r="G387" t="s">
        <v>16293</v>
      </c>
      <c r="H387" t="str">
        <f>_xlfn.XLOOKUP(tblTransactions[[#This Row],[StoreID]],tblStores[StoreID],tblStores[Region])</f>
        <v>South</v>
      </c>
      <c r="I387">
        <v>1</v>
      </c>
      <c r="J387">
        <v>0</v>
      </c>
      <c r="K387" t="s">
        <v>16317</v>
      </c>
      <c r="L387" s="9">
        <f>_xlfn.XLOOKUP(tblTransactions[[#This Row],[ProductID]],tblProducts[ProductID],tblProducts[UnitPrice])</f>
        <v>881.18</v>
      </c>
      <c r="M387" s="9">
        <f>tblTransactions[[#This Row],[Quantity]]*tblTransactions[[#This Row],[UnitPrice]]</f>
        <v>881.18</v>
      </c>
      <c r="N387" s="9">
        <f>tblTransactions[[#This Row],[GrossSales]]*tblTransactions[[#This Row],[Discount]]</f>
        <v>0</v>
      </c>
      <c r="O387" s="9">
        <f>tblTransactions[[#This Row],[GrossSales]]-tblTransactions[[#This Row],[DiscountAmount]]</f>
        <v>881.18</v>
      </c>
      <c r="P387" s="9">
        <f>_xlfn.XLOOKUP(tblTransactions[[#This Row],[ProductID]],tblProducts[ProductID],tblProducts[UnitCost])</f>
        <v>626.67999999999995</v>
      </c>
      <c r="Q387" s="9">
        <f>tblTransactions[[#This Row],[Quantity]]*tblTransactions[[#This Row],[UnitCost]]</f>
        <v>626.67999999999995</v>
      </c>
      <c r="R387" s="9">
        <f>tblTransactions[[#This Row],[NetRevenue]]-tblTransactions[[#This Row],[TotalCost]]</f>
        <v>254.5</v>
      </c>
      <c r="S387" t="str">
        <f>_xlfn.XLOOKUP(tblTransactions[[#This Row],[ProductID]],tblProducts[ProductID],tblProducts[Category])</f>
        <v>Grocery</v>
      </c>
    </row>
    <row r="388" spans="1:19">
      <c r="A388" t="s">
        <v>16705</v>
      </c>
      <c r="B388" s="1">
        <v>45368</v>
      </c>
      <c r="C388" t="s">
        <v>12320</v>
      </c>
      <c r="D388" t="str">
        <f>_xlfn.XLOOKUP(tblTransactions[[#This Row],[CustomerID]],tblCustomers[CustomerID],tblCustomers[CustomerName])</f>
        <v>Farhan Murthy</v>
      </c>
      <c r="E388" t="s">
        <v>16097</v>
      </c>
      <c r="F388" t="str">
        <f>_xlfn.XLOOKUP(tblTransactions[[#This Row],[ProductID]],tblProducts[ProductID],tblProducts[ProductName])</f>
        <v>Women's Jeans A6</v>
      </c>
      <c r="G388" t="s">
        <v>16305</v>
      </c>
      <c r="H388" t="str">
        <f>_xlfn.XLOOKUP(tblTransactions[[#This Row],[StoreID]],tblStores[StoreID],tblStores[Region])</f>
        <v>South</v>
      </c>
      <c r="I388">
        <v>2</v>
      </c>
      <c r="J388">
        <v>0.05</v>
      </c>
      <c r="K388" t="s">
        <v>16317</v>
      </c>
      <c r="L388" s="9">
        <f>_xlfn.XLOOKUP(tblTransactions[[#This Row],[ProductID]],tblProducts[ProductID],tblProducts[UnitPrice])</f>
        <v>7106.08</v>
      </c>
      <c r="M388" s="9">
        <f>tblTransactions[[#This Row],[Quantity]]*tblTransactions[[#This Row],[UnitPrice]]</f>
        <v>14212.16</v>
      </c>
      <c r="N388" s="9">
        <f>tblTransactions[[#This Row],[GrossSales]]*tblTransactions[[#This Row],[Discount]]</f>
        <v>710.60800000000006</v>
      </c>
      <c r="O388" s="9">
        <f>tblTransactions[[#This Row],[GrossSales]]-tblTransactions[[#This Row],[DiscountAmount]]</f>
        <v>13501.552</v>
      </c>
      <c r="P388" s="9">
        <f>_xlfn.XLOOKUP(tblTransactions[[#This Row],[ProductID]],tblProducts[ProductID],tblProducts[UnitCost])</f>
        <v>5246.63</v>
      </c>
      <c r="Q388" s="9">
        <f>tblTransactions[[#This Row],[Quantity]]*tblTransactions[[#This Row],[UnitCost]]</f>
        <v>10493.26</v>
      </c>
      <c r="R388" s="9">
        <f>tblTransactions[[#This Row],[NetRevenue]]-tblTransactions[[#This Row],[TotalCost]]</f>
        <v>3008.2919999999995</v>
      </c>
      <c r="S388" t="str">
        <f>_xlfn.XLOOKUP(tblTransactions[[#This Row],[ProductID]],tblProducts[ProductID],tblProducts[Category])</f>
        <v>Clothing</v>
      </c>
    </row>
    <row r="389" spans="1:19">
      <c r="A389" t="s">
        <v>16706</v>
      </c>
      <c r="B389" s="1">
        <v>45369</v>
      </c>
      <c r="C389" t="s">
        <v>9515</v>
      </c>
      <c r="D389" t="str">
        <f>_xlfn.XLOOKUP(tblTransactions[[#This Row],[CustomerID]],tblCustomers[CustomerID],tblCustomers[CustomerName])</f>
        <v>Nidhi Krishnamurthy</v>
      </c>
      <c r="E389" t="s">
        <v>16064</v>
      </c>
      <c r="F389" t="str">
        <f>_xlfn.XLOOKUP(tblTransactions[[#This Row],[ProductID]],tblProducts[ProductID],tblProducts[ProductName])</f>
        <v>Decorative Vase E5</v>
      </c>
      <c r="G389" t="s">
        <v>16307</v>
      </c>
      <c r="H389" t="str">
        <f>_xlfn.XLOOKUP(tblTransactions[[#This Row],[StoreID]],tblStores[StoreID],tblStores[Region])</f>
        <v>East</v>
      </c>
      <c r="I389">
        <v>1</v>
      </c>
      <c r="J389">
        <v>0.05</v>
      </c>
      <c r="K389" t="s">
        <v>16317</v>
      </c>
      <c r="L389" s="9">
        <f>_xlfn.XLOOKUP(tblTransactions[[#This Row],[ProductID]],tblProducts[ProductID],tblProducts[UnitPrice])</f>
        <v>1797.31</v>
      </c>
      <c r="M389" s="9">
        <f>tblTransactions[[#This Row],[Quantity]]*tblTransactions[[#This Row],[UnitPrice]]</f>
        <v>1797.31</v>
      </c>
      <c r="N389" s="9">
        <f>tblTransactions[[#This Row],[GrossSales]]*tblTransactions[[#This Row],[Discount]]</f>
        <v>89.865499999999997</v>
      </c>
      <c r="O389" s="9">
        <f>tblTransactions[[#This Row],[GrossSales]]-tblTransactions[[#This Row],[DiscountAmount]]</f>
        <v>1707.4445000000001</v>
      </c>
      <c r="P389" s="9">
        <f>_xlfn.XLOOKUP(tblTransactions[[#This Row],[ProductID]],tblProducts[ProductID],tblProducts[UnitCost])</f>
        <v>1257.43</v>
      </c>
      <c r="Q389" s="9">
        <f>tblTransactions[[#This Row],[Quantity]]*tblTransactions[[#This Row],[UnitCost]]</f>
        <v>1257.43</v>
      </c>
      <c r="R389" s="9">
        <f>tblTransactions[[#This Row],[NetRevenue]]-tblTransactions[[#This Row],[TotalCost]]</f>
        <v>450.0145</v>
      </c>
      <c r="S389" t="str">
        <f>_xlfn.XLOOKUP(tblTransactions[[#This Row],[ProductID]],tblProducts[ProductID],tblProducts[Category])</f>
        <v>Home &amp; Kitchen</v>
      </c>
    </row>
    <row r="390" spans="1:19">
      <c r="A390" t="s">
        <v>16707</v>
      </c>
      <c r="B390" s="1">
        <v>45370</v>
      </c>
      <c r="C390" t="s">
        <v>4664</v>
      </c>
      <c r="D390" t="str">
        <f>_xlfn.XLOOKUP(tblTransactions[[#This Row],[CustomerID]],tblCustomers[CustomerID],tblCustomers[CustomerName])</f>
        <v>Qasim Brar</v>
      </c>
      <c r="E390" t="s">
        <v>15941</v>
      </c>
      <c r="F390" t="str">
        <f>_xlfn.XLOOKUP(tblTransactions[[#This Row],[ProductID]],tblProducts[ProductID],tblProducts[ProductName])</f>
        <v>Full HD TV B7</v>
      </c>
      <c r="G390" t="s">
        <v>16279</v>
      </c>
      <c r="H390" t="str">
        <f>_xlfn.XLOOKUP(tblTransactions[[#This Row],[StoreID]],tblStores[StoreID],tblStores[Region])</f>
        <v>South</v>
      </c>
      <c r="I390">
        <v>5</v>
      </c>
      <c r="J390">
        <v>0.1</v>
      </c>
      <c r="K390" t="s">
        <v>16325</v>
      </c>
      <c r="L390" s="9">
        <f>_xlfn.XLOOKUP(tblTransactions[[#This Row],[ProductID]],tblProducts[ProductID],tblProducts[UnitPrice])</f>
        <v>26638.81</v>
      </c>
      <c r="M390" s="9">
        <f>tblTransactions[[#This Row],[Quantity]]*tblTransactions[[#This Row],[UnitPrice]]</f>
        <v>133194.05000000002</v>
      </c>
      <c r="N390" s="9">
        <f>tblTransactions[[#This Row],[GrossSales]]*tblTransactions[[#This Row],[Discount]]</f>
        <v>13319.405000000002</v>
      </c>
      <c r="O390" s="9">
        <f>tblTransactions[[#This Row],[GrossSales]]-tblTransactions[[#This Row],[DiscountAmount]]</f>
        <v>119874.64500000002</v>
      </c>
      <c r="P390" s="9">
        <f>_xlfn.XLOOKUP(tblTransactions[[#This Row],[ProductID]],tblProducts[ProductID],tblProducts[UnitCost])</f>
        <v>20107.810000000001</v>
      </c>
      <c r="Q390" s="9">
        <f>tblTransactions[[#This Row],[Quantity]]*tblTransactions[[#This Row],[UnitCost]]</f>
        <v>100539.05</v>
      </c>
      <c r="R390" s="9">
        <f>tblTransactions[[#This Row],[NetRevenue]]-tblTransactions[[#This Row],[TotalCost]]</f>
        <v>19335.595000000016</v>
      </c>
      <c r="S390" t="str">
        <f>_xlfn.XLOOKUP(tblTransactions[[#This Row],[ProductID]],tblProducts[ProductID],tblProducts[Category])</f>
        <v>Electronics</v>
      </c>
    </row>
    <row r="391" spans="1:19">
      <c r="A391" t="s">
        <v>16708</v>
      </c>
      <c r="B391" s="1">
        <v>45371</v>
      </c>
      <c r="C391" t="s">
        <v>11102</v>
      </c>
      <c r="D391" t="str">
        <f>_xlfn.XLOOKUP(tblTransactions[[#This Row],[CustomerID]],tblCustomers[CustomerID],tblCustomers[CustomerName])</f>
        <v>Ishaan Sehgal</v>
      </c>
      <c r="E391" t="s">
        <v>15965</v>
      </c>
      <c r="F391" t="str">
        <f>_xlfn.XLOOKUP(tblTransactions[[#This Row],[ProductID]],tblProducts[ProductID],tblProducts[ProductName])</f>
        <v>Business Laptop B2</v>
      </c>
      <c r="G391" t="s">
        <v>16277</v>
      </c>
      <c r="H391" t="str">
        <f>_xlfn.XLOOKUP(tblTransactions[[#This Row],[StoreID]],tblStores[StoreID],tblStores[Region])</f>
        <v>West</v>
      </c>
      <c r="I391">
        <v>2</v>
      </c>
      <c r="J391">
        <v>0.1</v>
      </c>
      <c r="K391" t="s">
        <v>16321</v>
      </c>
      <c r="L391" s="9">
        <f>_xlfn.XLOOKUP(tblTransactions[[#This Row],[ProductID]],tblProducts[ProductID],tblProducts[UnitPrice])</f>
        <v>54876.34</v>
      </c>
      <c r="M391" s="9">
        <f>tblTransactions[[#This Row],[Quantity]]*tblTransactions[[#This Row],[UnitPrice]]</f>
        <v>109752.68</v>
      </c>
      <c r="N391" s="9">
        <f>tblTransactions[[#This Row],[GrossSales]]*tblTransactions[[#This Row],[Discount]]</f>
        <v>10975.268</v>
      </c>
      <c r="O391" s="9">
        <f>tblTransactions[[#This Row],[GrossSales]]-tblTransactions[[#This Row],[DiscountAmount]]</f>
        <v>98777.411999999997</v>
      </c>
      <c r="P391" s="9">
        <f>_xlfn.XLOOKUP(tblTransactions[[#This Row],[ProductID]],tblProducts[ProductID],tblProducts[UnitCost])</f>
        <v>41521.22</v>
      </c>
      <c r="Q391" s="9">
        <f>tblTransactions[[#This Row],[Quantity]]*tblTransactions[[#This Row],[UnitCost]]</f>
        <v>83042.44</v>
      </c>
      <c r="R391" s="9">
        <f>tblTransactions[[#This Row],[NetRevenue]]-tblTransactions[[#This Row],[TotalCost]]</f>
        <v>15734.971999999994</v>
      </c>
      <c r="S391" t="str">
        <f>_xlfn.XLOOKUP(tblTransactions[[#This Row],[ProductID]],tblProducts[ProductID],tblProducts[Category])</f>
        <v>Electronics</v>
      </c>
    </row>
    <row r="392" spans="1:19">
      <c r="A392" t="s">
        <v>16709</v>
      </c>
      <c r="B392" s="1">
        <v>45371</v>
      </c>
      <c r="C392" t="s">
        <v>12673</v>
      </c>
      <c r="D392" t="str">
        <f>_xlfn.XLOOKUP(tblTransactions[[#This Row],[CustomerID]],tblCustomers[CustomerID],tblCustomers[CustomerName])</f>
        <v>Ijaya Hegde</v>
      </c>
      <c r="E392" t="s">
        <v>15984</v>
      </c>
      <c r="F392" t="str">
        <f>_xlfn.XLOOKUP(tblTransactions[[#This Row],[ProductID]],tblProducts[ProductID],tblProducts[ProductName])</f>
        <v>Bluetooth Speaker C3</v>
      </c>
      <c r="G392" t="s">
        <v>16271</v>
      </c>
      <c r="H392" t="str">
        <f>_xlfn.XLOOKUP(tblTransactions[[#This Row],[StoreID]],tblStores[StoreID],tblStores[Region])</f>
        <v>South</v>
      </c>
      <c r="I392">
        <v>5</v>
      </c>
      <c r="J392">
        <v>0.05</v>
      </c>
      <c r="K392" t="s">
        <v>16321</v>
      </c>
      <c r="L392" s="9">
        <f>_xlfn.XLOOKUP(tblTransactions[[#This Row],[ProductID]],tblProducts[ProductID],tblProducts[UnitPrice])</f>
        <v>76661.149999999994</v>
      </c>
      <c r="M392" s="9">
        <f>tblTransactions[[#This Row],[Quantity]]*tblTransactions[[#This Row],[UnitPrice]]</f>
        <v>383305.75</v>
      </c>
      <c r="N392" s="9">
        <f>tblTransactions[[#This Row],[GrossSales]]*tblTransactions[[#This Row],[Discount]]</f>
        <v>19165.287500000002</v>
      </c>
      <c r="O392" s="9">
        <f>tblTransactions[[#This Row],[GrossSales]]-tblTransactions[[#This Row],[DiscountAmount]]</f>
        <v>364140.46250000002</v>
      </c>
      <c r="P392" s="9">
        <f>_xlfn.XLOOKUP(tblTransactions[[#This Row],[ProductID]],tblProducts[ProductID],tblProducts[UnitCost])</f>
        <v>44142.48</v>
      </c>
      <c r="Q392" s="9">
        <f>tblTransactions[[#This Row],[Quantity]]*tblTransactions[[#This Row],[UnitCost]]</f>
        <v>220712.40000000002</v>
      </c>
      <c r="R392" s="9">
        <f>tblTransactions[[#This Row],[NetRevenue]]-tblTransactions[[#This Row],[TotalCost]]</f>
        <v>143428.0625</v>
      </c>
      <c r="S392" t="str">
        <f>_xlfn.XLOOKUP(tblTransactions[[#This Row],[ProductID]],tblProducts[ProductID],tblProducts[Category])</f>
        <v>Electronics</v>
      </c>
    </row>
    <row r="393" spans="1:19">
      <c r="A393" t="s">
        <v>16710</v>
      </c>
      <c r="B393" s="1">
        <v>45374</v>
      </c>
      <c r="C393" t="s">
        <v>3129</v>
      </c>
      <c r="D393" t="str">
        <f>_xlfn.XLOOKUP(tblTransactions[[#This Row],[CustomerID]],tblCustomers[CustomerID],tblCustomers[CustomerName])</f>
        <v>Anirudh Patla</v>
      </c>
      <c r="E393" t="s">
        <v>16228</v>
      </c>
      <c r="F393" t="str">
        <f>_xlfn.XLOOKUP(tblTransactions[[#This Row],[ProductID]],tblProducts[ProductID],tblProducts[ProductName])</f>
        <v>Deodorant C3</v>
      </c>
      <c r="G393" t="s">
        <v>16307</v>
      </c>
      <c r="H393" t="str">
        <f>_xlfn.XLOOKUP(tblTransactions[[#This Row],[StoreID]],tblStores[StoreID],tblStores[Region])</f>
        <v>East</v>
      </c>
      <c r="I393">
        <v>1</v>
      </c>
      <c r="J393">
        <v>0</v>
      </c>
      <c r="K393" t="s">
        <v>16317</v>
      </c>
      <c r="L393" s="9">
        <f>_xlfn.XLOOKUP(tblTransactions[[#This Row],[ProductID]],tblProducts[ProductID],tblProducts[UnitPrice])</f>
        <v>731.65</v>
      </c>
      <c r="M393" s="9">
        <f>tblTransactions[[#This Row],[Quantity]]*tblTransactions[[#This Row],[UnitPrice]]</f>
        <v>731.65</v>
      </c>
      <c r="N393" s="9">
        <f>tblTransactions[[#This Row],[GrossSales]]*tblTransactions[[#This Row],[Discount]]</f>
        <v>0</v>
      </c>
      <c r="O393" s="9">
        <f>tblTransactions[[#This Row],[GrossSales]]-tblTransactions[[#This Row],[DiscountAmount]]</f>
        <v>731.65</v>
      </c>
      <c r="P393" s="9">
        <f>_xlfn.XLOOKUP(tblTransactions[[#This Row],[ProductID]],tblProducts[ProductID],tblProducts[UnitCost])</f>
        <v>591.33000000000004</v>
      </c>
      <c r="Q393" s="9">
        <f>tblTransactions[[#This Row],[Quantity]]*tblTransactions[[#This Row],[UnitCost]]</f>
        <v>591.33000000000004</v>
      </c>
      <c r="R393" s="9">
        <f>tblTransactions[[#This Row],[NetRevenue]]-tblTransactions[[#This Row],[TotalCost]]</f>
        <v>140.31999999999994</v>
      </c>
      <c r="S393" t="str">
        <f>_xlfn.XLOOKUP(tblTransactions[[#This Row],[ProductID]],tblProducts[ProductID],tblProducts[Category])</f>
        <v>Personal Care</v>
      </c>
    </row>
    <row r="394" spans="1:19">
      <c r="A394" t="s">
        <v>16711</v>
      </c>
      <c r="B394" s="1">
        <v>45375</v>
      </c>
      <c r="C394" t="s">
        <v>6469</v>
      </c>
      <c r="D394" t="str">
        <f>_xlfn.XLOOKUP(tblTransactions[[#This Row],[CustomerID]],tblCustomers[CustomerID],tblCustomers[CustomerName])</f>
        <v>Arin Vasa</v>
      </c>
      <c r="E394" t="s">
        <v>16137</v>
      </c>
      <c r="F394" t="str">
        <f>_xlfn.XLOOKUP(tblTransactions[[#This Row],[ProductID]],tblProducts[ProductID],tblProducts[ProductName])</f>
        <v>Sugar C3</v>
      </c>
      <c r="G394" t="s">
        <v>16305</v>
      </c>
      <c r="H394" t="str">
        <f>_xlfn.XLOOKUP(tblTransactions[[#This Row],[StoreID]],tblStores[StoreID],tblStores[Region])</f>
        <v>South</v>
      </c>
      <c r="I394">
        <v>1</v>
      </c>
      <c r="J394">
        <v>0</v>
      </c>
      <c r="K394" t="s">
        <v>16325</v>
      </c>
      <c r="L394" s="9">
        <f>_xlfn.XLOOKUP(tblTransactions[[#This Row],[ProductID]],tblProducts[ProductID],tblProducts[UnitPrice])</f>
        <v>1140.1600000000001</v>
      </c>
      <c r="M394" s="9">
        <f>tblTransactions[[#This Row],[Quantity]]*tblTransactions[[#This Row],[UnitPrice]]</f>
        <v>1140.1600000000001</v>
      </c>
      <c r="N394" s="9">
        <f>tblTransactions[[#This Row],[GrossSales]]*tblTransactions[[#This Row],[Discount]]</f>
        <v>0</v>
      </c>
      <c r="O394" s="9">
        <f>tblTransactions[[#This Row],[GrossSales]]-tblTransactions[[#This Row],[DiscountAmount]]</f>
        <v>1140.1600000000001</v>
      </c>
      <c r="P394" s="9">
        <f>_xlfn.XLOOKUP(tblTransactions[[#This Row],[ProductID]],tblProducts[ProductID],tblProducts[UnitCost])</f>
        <v>763.74</v>
      </c>
      <c r="Q394" s="9">
        <f>tblTransactions[[#This Row],[Quantity]]*tblTransactions[[#This Row],[UnitCost]]</f>
        <v>763.74</v>
      </c>
      <c r="R394" s="9">
        <f>tblTransactions[[#This Row],[NetRevenue]]-tblTransactions[[#This Row],[TotalCost]]</f>
        <v>376.42000000000007</v>
      </c>
      <c r="S394" t="str">
        <f>_xlfn.XLOOKUP(tblTransactions[[#This Row],[ProductID]],tblProducts[ProductID],tblProducts[Category])</f>
        <v>Grocery</v>
      </c>
    </row>
    <row r="395" spans="1:19">
      <c r="A395" t="s">
        <v>16712</v>
      </c>
      <c r="B395" s="1">
        <v>45378</v>
      </c>
      <c r="C395" t="s">
        <v>8032</v>
      </c>
      <c r="D395" t="str">
        <f>_xlfn.XLOOKUP(tblTransactions[[#This Row],[CustomerID]],tblCustomers[CustomerID],tblCustomers[CustomerName])</f>
        <v>Ati Prashad</v>
      </c>
      <c r="E395" t="s">
        <v>16169</v>
      </c>
      <c r="F395" t="str">
        <f>_xlfn.XLOOKUP(tblTransactions[[#This Row],[ProductID]],tblProducts[ProductID],tblProducts[ProductName])</f>
        <v>Coffee D4</v>
      </c>
      <c r="G395" t="s">
        <v>16281</v>
      </c>
      <c r="H395" t="str">
        <f>_xlfn.XLOOKUP(tblTransactions[[#This Row],[StoreID]],tblStores[StoreID],tblStores[Region])</f>
        <v>West</v>
      </c>
      <c r="I395">
        <v>1</v>
      </c>
      <c r="J395">
        <v>0.05</v>
      </c>
      <c r="K395" t="s">
        <v>16317</v>
      </c>
      <c r="L395" s="9">
        <f>_xlfn.XLOOKUP(tblTransactions[[#This Row],[ProductID]],tblProducts[ProductID],tblProducts[UnitPrice])</f>
        <v>985.76</v>
      </c>
      <c r="M395" s="9">
        <f>tblTransactions[[#This Row],[Quantity]]*tblTransactions[[#This Row],[UnitPrice]]</f>
        <v>985.76</v>
      </c>
      <c r="N395" s="9">
        <f>tblTransactions[[#This Row],[GrossSales]]*tblTransactions[[#This Row],[Discount]]</f>
        <v>49.288000000000004</v>
      </c>
      <c r="O395" s="9">
        <f>tblTransactions[[#This Row],[GrossSales]]-tblTransactions[[#This Row],[DiscountAmount]]</f>
        <v>936.47199999999998</v>
      </c>
      <c r="P395" s="9">
        <f>_xlfn.XLOOKUP(tblTransactions[[#This Row],[ProductID]],tblProducts[ProductID],tblProducts[UnitCost])</f>
        <v>669.86</v>
      </c>
      <c r="Q395" s="9">
        <f>tblTransactions[[#This Row],[Quantity]]*tblTransactions[[#This Row],[UnitCost]]</f>
        <v>669.86</v>
      </c>
      <c r="R395" s="9">
        <f>tblTransactions[[#This Row],[NetRevenue]]-tblTransactions[[#This Row],[TotalCost]]</f>
        <v>266.61199999999997</v>
      </c>
      <c r="S395" t="str">
        <f>_xlfn.XLOOKUP(tblTransactions[[#This Row],[ProductID]],tblProducts[ProductID],tblProducts[Category])</f>
        <v>Grocery</v>
      </c>
    </row>
    <row r="396" spans="1:19">
      <c r="A396" t="s">
        <v>16713</v>
      </c>
      <c r="B396" s="1">
        <v>45379</v>
      </c>
      <c r="C396" t="s">
        <v>13850</v>
      </c>
      <c r="D396" t="str">
        <f>_xlfn.XLOOKUP(tblTransactions[[#This Row],[CustomerID]],tblCustomers[CustomerID],tblCustomers[CustomerName])</f>
        <v>Qarin Rao</v>
      </c>
      <c r="E396" t="s">
        <v>16007</v>
      </c>
      <c r="F396" t="str">
        <f>_xlfn.XLOOKUP(tblTransactions[[#This Row],[ProductID]],tblProducts[ProductID],tblProducts[ProductName])</f>
        <v>USB-C Cable B7</v>
      </c>
      <c r="G396" t="s">
        <v>16262</v>
      </c>
      <c r="H396" t="str">
        <f>_xlfn.XLOOKUP(tblTransactions[[#This Row],[StoreID]],tblStores[StoreID],tblStores[Region])</f>
        <v>North</v>
      </c>
      <c r="I396">
        <v>1</v>
      </c>
      <c r="J396">
        <v>0</v>
      </c>
      <c r="K396" t="s">
        <v>16325</v>
      </c>
      <c r="L396" s="9">
        <f>_xlfn.XLOOKUP(tblTransactions[[#This Row],[ProductID]],tblProducts[ProductID],tblProducts[UnitPrice])</f>
        <v>22362.17</v>
      </c>
      <c r="M396" s="9">
        <f>tblTransactions[[#This Row],[Quantity]]*tblTransactions[[#This Row],[UnitPrice]]</f>
        <v>22362.17</v>
      </c>
      <c r="N396" s="9">
        <f>tblTransactions[[#This Row],[GrossSales]]*tblTransactions[[#This Row],[Discount]]</f>
        <v>0</v>
      </c>
      <c r="O396" s="9">
        <f>tblTransactions[[#This Row],[GrossSales]]-tblTransactions[[#This Row],[DiscountAmount]]</f>
        <v>22362.17</v>
      </c>
      <c r="P396" s="9">
        <f>_xlfn.XLOOKUP(tblTransactions[[#This Row],[ProductID]],tblProducts[ProductID],tblProducts[UnitCost])</f>
        <v>12317.6</v>
      </c>
      <c r="Q396" s="9">
        <f>tblTransactions[[#This Row],[Quantity]]*tblTransactions[[#This Row],[UnitCost]]</f>
        <v>12317.6</v>
      </c>
      <c r="R396" s="9">
        <f>tblTransactions[[#This Row],[NetRevenue]]-tblTransactions[[#This Row],[TotalCost]]</f>
        <v>10044.569999999998</v>
      </c>
      <c r="S396" t="str">
        <f>_xlfn.XLOOKUP(tblTransactions[[#This Row],[ProductID]],tblProducts[ProductID],tblProducts[Category])</f>
        <v>Electronics</v>
      </c>
    </row>
    <row r="397" spans="1:19">
      <c r="A397" t="s">
        <v>16714</v>
      </c>
      <c r="B397" s="1">
        <v>45379</v>
      </c>
      <c r="C397" t="s">
        <v>2123</v>
      </c>
      <c r="D397" t="str">
        <f>_xlfn.XLOOKUP(tblTransactions[[#This Row],[CustomerID]],tblCustomers[CustomerID],tblCustomers[CustomerName])</f>
        <v>Garima Jha</v>
      </c>
      <c r="E397" t="s">
        <v>16030</v>
      </c>
      <c r="F397" t="str">
        <f>_xlfn.XLOOKUP(tblTransactions[[#This Row],[ProductID]],tblProducts[ProductID],tblProducts[ProductName])</f>
        <v>Study Table C3</v>
      </c>
      <c r="G397" t="s">
        <v>16297</v>
      </c>
      <c r="H397" t="str">
        <f>_xlfn.XLOOKUP(tblTransactions[[#This Row],[StoreID]],tblStores[StoreID],tblStores[Region])</f>
        <v>North</v>
      </c>
      <c r="I397">
        <v>1</v>
      </c>
      <c r="J397">
        <v>0</v>
      </c>
      <c r="K397" t="s">
        <v>16325</v>
      </c>
      <c r="L397" s="9">
        <f>_xlfn.XLOOKUP(tblTransactions[[#This Row],[ProductID]],tblProducts[ProductID],tblProducts[UnitPrice])</f>
        <v>29675.72</v>
      </c>
      <c r="M397" s="9">
        <f>tblTransactions[[#This Row],[Quantity]]*tblTransactions[[#This Row],[UnitPrice]]</f>
        <v>29675.72</v>
      </c>
      <c r="N397" s="9">
        <f>tblTransactions[[#This Row],[GrossSales]]*tblTransactions[[#This Row],[Discount]]</f>
        <v>0</v>
      </c>
      <c r="O397" s="9">
        <f>tblTransactions[[#This Row],[GrossSales]]-tblTransactions[[#This Row],[DiscountAmount]]</f>
        <v>29675.72</v>
      </c>
      <c r="P397" s="9">
        <f>_xlfn.XLOOKUP(tblTransactions[[#This Row],[ProductID]],tblProducts[ProductID],tblProducts[UnitCost])</f>
        <v>17695.330000000002</v>
      </c>
      <c r="Q397" s="9">
        <f>tblTransactions[[#This Row],[Quantity]]*tblTransactions[[#This Row],[UnitCost]]</f>
        <v>17695.330000000002</v>
      </c>
      <c r="R397" s="9">
        <f>tblTransactions[[#This Row],[NetRevenue]]-tblTransactions[[#This Row],[TotalCost]]</f>
        <v>11980.39</v>
      </c>
      <c r="S397" t="str">
        <f>_xlfn.XLOOKUP(tblTransactions[[#This Row],[ProductID]],tblProducts[ProductID],tblProducts[Category])</f>
        <v>Home &amp; Kitchen</v>
      </c>
    </row>
    <row r="398" spans="1:19">
      <c r="A398" t="s">
        <v>16715</v>
      </c>
      <c r="B398" s="1">
        <v>45382</v>
      </c>
      <c r="C398" t="s">
        <v>10413</v>
      </c>
      <c r="D398" t="str">
        <f>_xlfn.XLOOKUP(tblTransactions[[#This Row],[CustomerID]],tblCustomers[CustomerID],tblCustomers[CustomerName])</f>
        <v>Manan Saraf</v>
      </c>
      <c r="E398" t="s">
        <v>16064</v>
      </c>
      <c r="F398" t="str">
        <f>_xlfn.XLOOKUP(tblTransactions[[#This Row],[ProductID]],tblProducts[ProductID],tblProducts[ProductName])</f>
        <v>Decorative Vase E5</v>
      </c>
      <c r="G398" t="s">
        <v>16295</v>
      </c>
      <c r="H398" t="str">
        <f>_xlfn.XLOOKUP(tblTransactions[[#This Row],[StoreID]],tblStores[StoreID],tblStores[Region])</f>
        <v>South</v>
      </c>
      <c r="I398">
        <v>1</v>
      </c>
      <c r="J398">
        <v>0</v>
      </c>
      <c r="K398" t="s">
        <v>16321</v>
      </c>
      <c r="L398" s="9">
        <f>_xlfn.XLOOKUP(tblTransactions[[#This Row],[ProductID]],tblProducts[ProductID],tblProducts[UnitPrice])</f>
        <v>1797.31</v>
      </c>
      <c r="M398" s="9">
        <f>tblTransactions[[#This Row],[Quantity]]*tblTransactions[[#This Row],[UnitPrice]]</f>
        <v>1797.31</v>
      </c>
      <c r="N398" s="9">
        <f>tblTransactions[[#This Row],[GrossSales]]*tblTransactions[[#This Row],[Discount]]</f>
        <v>0</v>
      </c>
      <c r="O398" s="9">
        <f>tblTransactions[[#This Row],[GrossSales]]-tblTransactions[[#This Row],[DiscountAmount]]</f>
        <v>1797.31</v>
      </c>
      <c r="P398" s="9">
        <f>_xlfn.XLOOKUP(tblTransactions[[#This Row],[ProductID]],tblProducts[ProductID],tblProducts[UnitCost])</f>
        <v>1257.43</v>
      </c>
      <c r="Q398" s="9">
        <f>tblTransactions[[#This Row],[Quantity]]*tblTransactions[[#This Row],[UnitCost]]</f>
        <v>1257.43</v>
      </c>
      <c r="R398" s="9">
        <f>tblTransactions[[#This Row],[NetRevenue]]-tblTransactions[[#This Row],[TotalCost]]</f>
        <v>539.87999999999988</v>
      </c>
      <c r="S398" t="str">
        <f>_xlfn.XLOOKUP(tblTransactions[[#This Row],[ProductID]],tblProducts[ProductID],tblProducts[Category])</f>
        <v>Home &amp; Kitchen</v>
      </c>
    </row>
    <row r="399" spans="1:19">
      <c r="A399" t="s">
        <v>16716</v>
      </c>
      <c r="B399" s="1">
        <v>45383</v>
      </c>
      <c r="C399" t="s">
        <v>2329</v>
      </c>
      <c r="D399" t="str">
        <f>_xlfn.XLOOKUP(tblTransactions[[#This Row],[CustomerID]],tblCustomers[CustomerID],tblCustomers[CustomerName])</f>
        <v>Vansha Rajagopal</v>
      </c>
      <c r="E399" t="s">
        <v>16211</v>
      </c>
      <c r="F399" t="str">
        <f>_xlfn.XLOOKUP(tblTransactions[[#This Row],[ProductID]],tblProducts[ProductID],tblProducts[ProductName])</f>
        <v>Hair Serum B2</v>
      </c>
      <c r="G399" t="s">
        <v>16307</v>
      </c>
      <c r="H399" t="str">
        <f>_xlfn.XLOOKUP(tblTransactions[[#This Row],[StoreID]],tblStores[StoreID],tblStores[Region])</f>
        <v>East</v>
      </c>
      <c r="I399">
        <v>2</v>
      </c>
      <c r="J399">
        <v>0.05</v>
      </c>
      <c r="K399" t="s">
        <v>16317</v>
      </c>
      <c r="L399" s="9">
        <f>_xlfn.XLOOKUP(tblTransactions[[#This Row],[ProductID]],tblProducts[ProductID],tblProducts[UnitPrice])</f>
        <v>4780.68</v>
      </c>
      <c r="M399" s="9">
        <f>tblTransactions[[#This Row],[Quantity]]*tblTransactions[[#This Row],[UnitPrice]]</f>
        <v>9561.36</v>
      </c>
      <c r="N399" s="9">
        <f>tblTransactions[[#This Row],[GrossSales]]*tblTransactions[[#This Row],[Discount]]</f>
        <v>478.06800000000004</v>
      </c>
      <c r="O399" s="9">
        <f>tblTransactions[[#This Row],[GrossSales]]-tblTransactions[[#This Row],[DiscountAmount]]</f>
        <v>9083.2920000000013</v>
      </c>
      <c r="P399" s="9">
        <f>_xlfn.XLOOKUP(tblTransactions[[#This Row],[ProductID]],tblProducts[ProductID],tblProducts[UnitCost])</f>
        <v>3940.05</v>
      </c>
      <c r="Q399" s="9">
        <f>tblTransactions[[#This Row],[Quantity]]*tblTransactions[[#This Row],[UnitCost]]</f>
        <v>7880.1</v>
      </c>
      <c r="R399" s="9">
        <f>tblTransactions[[#This Row],[NetRevenue]]-tblTransactions[[#This Row],[TotalCost]]</f>
        <v>1203.1920000000009</v>
      </c>
      <c r="S399" t="str">
        <f>_xlfn.XLOOKUP(tblTransactions[[#This Row],[ProductID]],tblProducts[ProductID],tblProducts[Category])</f>
        <v>Personal Care</v>
      </c>
    </row>
    <row r="400" spans="1:19">
      <c r="A400" t="s">
        <v>16717</v>
      </c>
      <c r="B400" s="1">
        <v>45384</v>
      </c>
      <c r="C400" t="s">
        <v>7972</v>
      </c>
      <c r="D400" t="str">
        <f>_xlfn.XLOOKUP(tblTransactions[[#This Row],[CustomerID]],tblCustomers[CustomerID],tblCustomers[CustomerName])</f>
        <v>Vinaya Ahuja</v>
      </c>
      <c r="E400" t="s">
        <v>16066</v>
      </c>
      <c r="F400" t="str">
        <f>_xlfn.XLOOKUP(tblTransactions[[#This Row],[ProductID]],tblProducts[ProductID],tblProducts[ProductName])</f>
        <v>Decorative Vase A6</v>
      </c>
      <c r="G400" t="s">
        <v>16293</v>
      </c>
      <c r="H400" t="str">
        <f>_xlfn.XLOOKUP(tblTransactions[[#This Row],[StoreID]],tblStores[StoreID],tblStores[Region])</f>
        <v>South</v>
      </c>
      <c r="I400">
        <v>3</v>
      </c>
      <c r="J400">
        <v>0</v>
      </c>
      <c r="K400" t="s">
        <v>16315</v>
      </c>
      <c r="L400" s="9">
        <f>_xlfn.XLOOKUP(tblTransactions[[#This Row],[ProductID]],tblProducts[ProductID],tblProducts[UnitPrice])</f>
        <v>3429.74</v>
      </c>
      <c r="M400" s="9">
        <f>tblTransactions[[#This Row],[Quantity]]*tblTransactions[[#This Row],[UnitPrice]]</f>
        <v>10289.219999999999</v>
      </c>
      <c r="N400" s="9">
        <f>tblTransactions[[#This Row],[GrossSales]]*tblTransactions[[#This Row],[Discount]]</f>
        <v>0</v>
      </c>
      <c r="O400" s="9">
        <f>tblTransactions[[#This Row],[GrossSales]]-tblTransactions[[#This Row],[DiscountAmount]]</f>
        <v>10289.219999999999</v>
      </c>
      <c r="P400" s="9">
        <f>_xlfn.XLOOKUP(tblTransactions[[#This Row],[ProductID]],tblProducts[ProductID],tblProducts[UnitCost])</f>
        <v>2172.39</v>
      </c>
      <c r="Q400" s="9">
        <f>tblTransactions[[#This Row],[Quantity]]*tblTransactions[[#This Row],[UnitCost]]</f>
        <v>6517.17</v>
      </c>
      <c r="R400" s="9">
        <f>tblTransactions[[#This Row],[NetRevenue]]-tblTransactions[[#This Row],[TotalCost]]</f>
        <v>3772.0499999999993</v>
      </c>
      <c r="S400" t="str">
        <f>_xlfn.XLOOKUP(tblTransactions[[#This Row],[ProductID]],tblProducts[ProductID],tblProducts[Category])</f>
        <v>Home &amp; Kitchen</v>
      </c>
    </row>
    <row r="401" spans="1:19">
      <c r="A401" t="s">
        <v>16718</v>
      </c>
      <c r="B401" s="1">
        <v>45384</v>
      </c>
      <c r="C401" t="s">
        <v>4282</v>
      </c>
      <c r="D401" t="str">
        <f>_xlfn.XLOOKUP(tblTransactions[[#This Row],[CustomerID]],tblCustomers[CustomerID],tblCustomers[CustomerName])</f>
        <v>Ekansh Tara</v>
      </c>
      <c r="E401" t="s">
        <v>16169</v>
      </c>
      <c r="F401" t="str">
        <f>_xlfn.XLOOKUP(tblTransactions[[#This Row],[ProductID]],tblProducts[ProductID],tblProducts[ProductName])</f>
        <v>Coffee D4</v>
      </c>
      <c r="G401" t="s">
        <v>16279</v>
      </c>
      <c r="H401" t="str">
        <f>_xlfn.XLOOKUP(tblTransactions[[#This Row],[StoreID]],tblStores[StoreID],tblStores[Region])</f>
        <v>South</v>
      </c>
      <c r="I401">
        <v>2</v>
      </c>
      <c r="J401">
        <v>0</v>
      </c>
      <c r="K401" t="s">
        <v>16315</v>
      </c>
      <c r="L401" s="9">
        <f>_xlfn.XLOOKUP(tblTransactions[[#This Row],[ProductID]],tblProducts[ProductID],tblProducts[UnitPrice])</f>
        <v>985.76</v>
      </c>
      <c r="M401" s="9">
        <f>tblTransactions[[#This Row],[Quantity]]*tblTransactions[[#This Row],[UnitPrice]]</f>
        <v>1971.52</v>
      </c>
      <c r="N401" s="9">
        <f>tblTransactions[[#This Row],[GrossSales]]*tblTransactions[[#This Row],[Discount]]</f>
        <v>0</v>
      </c>
      <c r="O401" s="9">
        <f>tblTransactions[[#This Row],[GrossSales]]-tblTransactions[[#This Row],[DiscountAmount]]</f>
        <v>1971.52</v>
      </c>
      <c r="P401" s="9">
        <f>_xlfn.XLOOKUP(tblTransactions[[#This Row],[ProductID]],tblProducts[ProductID],tblProducts[UnitCost])</f>
        <v>669.86</v>
      </c>
      <c r="Q401" s="9">
        <f>tblTransactions[[#This Row],[Quantity]]*tblTransactions[[#This Row],[UnitCost]]</f>
        <v>1339.72</v>
      </c>
      <c r="R401" s="9">
        <f>tblTransactions[[#This Row],[NetRevenue]]-tblTransactions[[#This Row],[TotalCost]]</f>
        <v>631.79999999999995</v>
      </c>
      <c r="S401" t="str">
        <f>_xlfn.XLOOKUP(tblTransactions[[#This Row],[ProductID]],tblProducts[ProductID],tblProducts[Category])</f>
        <v>Grocery</v>
      </c>
    </row>
    <row r="402" spans="1:19">
      <c r="A402" t="s">
        <v>16719</v>
      </c>
      <c r="B402" s="1">
        <v>45386</v>
      </c>
      <c r="C402" t="s">
        <v>1004</v>
      </c>
      <c r="D402" t="str">
        <f>_xlfn.XLOOKUP(tblTransactions[[#This Row],[CustomerID]],tblCustomers[CustomerID],tblCustomers[CustomerName])</f>
        <v>Anirudh Kunda</v>
      </c>
      <c r="E402" t="s">
        <v>16119</v>
      </c>
      <c r="F402" t="str">
        <f>_xlfn.XLOOKUP(tblTransactions[[#This Row],[ProductID]],tblProducts[ProductID],tblProducts[ProductName])</f>
        <v>Sports Shoes B2</v>
      </c>
      <c r="G402" t="s">
        <v>16269</v>
      </c>
      <c r="H402" t="str">
        <f>_xlfn.XLOOKUP(tblTransactions[[#This Row],[StoreID]],tblStores[StoreID],tblStores[Region])</f>
        <v>North</v>
      </c>
      <c r="I402">
        <v>1</v>
      </c>
      <c r="J402">
        <v>0</v>
      </c>
      <c r="K402" t="s">
        <v>16317</v>
      </c>
      <c r="L402" s="9">
        <f>_xlfn.XLOOKUP(tblTransactions[[#This Row],[ProductID]],tblProducts[ProductID],tblProducts[UnitPrice])</f>
        <v>7419.82</v>
      </c>
      <c r="M402" s="9">
        <f>tblTransactions[[#This Row],[Quantity]]*tblTransactions[[#This Row],[UnitPrice]]</f>
        <v>7419.82</v>
      </c>
      <c r="N402" s="9">
        <f>tblTransactions[[#This Row],[GrossSales]]*tblTransactions[[#This Row],[Discount]]</f>
        <v>0</v>
      </c>
      <c r="O402" s="9">
        <f>tblTransactions[[#This Row],[GrossSales]]-tblTransactions[[#This Row],[DiscountAmount]]</f>
        <v>7419.82</v>
      </c>
      <c r="P402" s="9">
        <f>_xlfn.XLOOKUP(tblTransactions[[#This Row],[ProductID]],tblProducts[ProductID],tblProducts[UnitCost])</f>
        <v>5155.9799999999996</v>
      </c>
      <c r="Q402" s="9">
        <f>tblTransactions[[#This Row],[Quantity]]*tblTransactions[[#This Row],[UnitCost]]</f>
        <v>5155.9799999999996</v>
      </c>
      <c r="R402" s="9">
        <f>tblTransactions[[#This Row],[NetRevenue]]-tblTransactions[[#This Row],[TotalCost]]</f>
        <v>2263.84</v>
      </c>
      <c r="S402" t="str">
        <f>_xlfn.XLOOKUP(tblTransactions[[#This Row],[ProductID]],tblProducts[ProductID],tblProducts[Category])</f>
        <v>Clothing</v>
      </c>
    </row>
    <row r="403" spans="1:19">
      <c r="A403" t="s">
        <v>16720</v>
      </c>
      <c r="B403" s="1">
        <v>45386</v>
      </c>
      <c r="C403" t="s">
        <v>11451</v>
      </c>
      <c r="D403" t="str">
        <f>_xlfn.XLOOKUP(tblTransactions[[#This Row],[CustomerID]],tblCustomers[CustomerID],tblCustomers[CustomerName])</f>
        <v>Matthew Chowdhury</v>
      </c>
      <c r="E403" t="s">
        <v>15939</v>
      </c>
      <c r="F403" t="str">
        <f>_xlfn.XLOOKUP(tblTransactions[[#This Row],[ProductID]],tblProducts[ProductID],tblProducts[ProductName])</f>
        <v>Full HD TV A6</v>
      </c>
      <c r="G403" t="s">
        <v>16275</v>
      </c>
      <c r="H403" t="str">
        <f>_xlfn.XLOOKUP(tblTransactions[[#This Row],[StoreID]],tblStores[StoreID],tblStores[Region])</f>
        <v>South</v>
      </c>
      <c r="I403">
        <v>1</v>
      </c>
      <c r="J403">
        <v>0</v>
      </c>
      <c r="K403" t="s">
        <v>16317</v>
      </c>
      <c r="L403" s="9">
        <f>_xlfn.XLOOKUP(tblTransactions[[#This Row],[ProductID]],tblProducts[ProductID],tblProducts[UnitPrice])</f>
        <v>39996.370000000003</v>
      </c>
      <c r="M403" s="9">
        <f>tblTransactions[[#This Row],[Quantity]]*tblTransactions[[#This Row],[UnitPrice]]</f>
        <v>39996.370000000003</v>
      </c>
      <c r="N403" s="9">
        <f>tblTransactions[[#This Row],[GrossSales]]*tblTransactions[[#This Row],[Discount]]</f>
        <v>0</v>
      </c>
      <c r="O403" s="9">
        <f>tblTransactions[[#This Row],[GrossSales]]-tblTransactions[[#This Row],[DiscountAmount]]</f>
        <v>39996.370000000003</v>
      </c>
      <c r="P403" s="9">
        <f>_xlfn.XLOOKUP(tblTransactions[[#This Row],[ProductID]],tblProducts[ProductID],tblProducts[UnitCost])</f>
        <v>26192.21</v>
      </c>
      <c r="Q403" s="9">
        <f>tblTransactions[[#This Row],[Quantity]]*tblTransactions[[#This Row],[UnitCost]]</f>
        <v>26192.21</v>
      </c>
      <c r="R403" s="9">
        <f>tblTransactions[[#This Row],[NetRevenue]]-tblTransactions[[#This Row],[TotalCost]]</f>
        <v>13804.160000000003</v>
      </c>
      <c r="S403" t="str">
        <f>_xlfn.XLOOKUP(tblTransactions[[#This Row],[ProductID]],tblProducts[ProductID],tblProducts[Category])</f>
        <v>Electronics</v>
      </c>
    </row>
    <row r="404" spans="1:19">
      <c r="A404" t="s">
        <v>16721</v>
      </c>
      <c r="B404" s="1">
        <v>45386</v>
      </c>
      <c r="C404" t="s">
        <v>7384</v>
      </c>
      <c r="D404" t="str">
        <f>_xlfn.XLOOKUP(tblTransactions[[#This Row],[CustomerID]],tblCustomers[CustomerID],tblCustomers[CustomerName])</f>
        <v>Ekanta Shenoy</v>
      </c>
      <c r="E404" t="s">
        <v>16243</v>
      </c>
      <c r="F404" t="str">
        <f>_xlfn.XLOOKUP(tblTransactions[[#This Row],[ProductID]],tblProducts[ProductID],tblProducts[ProductName])</f>
        <v>Trimmer C3</v>
      </c>
      <c r="G404" t="s">
        <v>16293</v>
      </c>
      <c r="H404" t="str">
        <f>_xlfn.XLOOKUP(tblTransactions[[#This Row],[StoreID]],tblStores[StoreID],tblStores[Region])</f>
        <v>South</v>
      </c>
      <c r="I404">
        <v>2</v>
      </c>
      <c r="J404">
        <v>0</v>
      </c>
      <c r="K404" t="s">
        <v>16317</v>
      </c>
      <c r="L404" s="9">
        <f>_xlfn.XLOOKUP(tblTransactions[[#This Row],[ProductID]],tblProducts[ProductID],tblProducts[UnitPrice])</f>
        <v>3309.4</v>
      </c>
      <c r="M404" s="9">
        <f>tblTransactions[[#This Row],[Quantity]]*tblTransactions[[#This Row],[UnitPrice]]</f>
        <v>6618.8</v>
      </c>
      <c r="N404" s="9">
        <f>tblTransactions[[#This Row],[GrossSales]]*tblTransactions[[#This Row],[Discount]]</f>
        <v>0</v>
      </c>
      <c r="O404" s="9">
        <f>tblTransactions[[#This Row],[GrossSales]]-tblTransactions[[#This Row],[DiscountAmount]]</f>
        <v>6618.8</v>
      </c>
      <c r="P404" s="9">
        <f>_xlfn.XLOOKUP(tblTransactions[[#This Row],[ProductID]],tblProducts[ProductID],tblProducts[UnitCost])</f>
        <v>2744.04</v>
      </c>
      <c r="Q404" s="9">
        <f>tblTransactions[[#This Row],[Quantity]]*tblTransactions[[#This Row],[UnitCost]]</f>
        <v>5488.08</v>
      </c>
      <c r="R404" s="9">
        <f>tblTransactions[[#This Row],[NetRevenue]]-tblTransactions[[#This Row],[TotalCost]]</f>
        <v>1130.7200000000003</v>
      </c>
      <c r="S404" t="str">
        <f>_xlfn.XLOOKUP(tblTransactions[[#This Row],[ProductID]],tblProducts[ProductID],tblProducts[Category])</f>
        <v>Personal Care</v>
      </c>
    </row>
    <row r="405" spans="1:19">
      <c r="A405" t="s">
        <v>16722</v>
      </c>
      <c r="B405" s="1">
        <v>45386</v>
      </c>
      <c r="C405" t="s">
        <v>8504</v>
      </c>
      <c r="D405" t="str">
        <f>_xlfn.XLOOKUP(tblTransactions[[#This Row],[CustomerID]],tblCustomers[CustomerID],tblCustomers[CustomerName])</f>
        <v>Jai Muni</v>
      </c>
      <c r="E405" t="s">
        <v>16121</v>
      </c>
      <c r="F405" t="str">
        <f>_xlfn.XLOOKUP(tblTransactions[[#This Row],[ProductID]],tblProducts[ProductID],tblProducts[ProductName])</f>
        <v>Sandals C3</v>
      </c>
      <c r="G405" t="s">
        <v>16265</v>
      </c>
      <c r="H405" t="str">
        <f>_xlfn.XLOOKUP(tblTransactions[[#This Row],[StoreID]],tblStores[StoreID],tblStores[Region])</f>
        <v>North</v>
      </c>
      <c r="I405">
        <v>2</v>
      </c>
      <c r="J405">
        <v>0.1</v>
      </c>
      <c r="K405" t="s">
        <v>16321</v>
      </c>
      <c r="L405" s="9">
        <f>_xlfn.XLOOKUP(tblTransactions[[#This Row],[ProductID]],tblProducts[ProductID],tblProducts[UnitPrice])</f>
        <v>6708.36</v>
      </c>
      <c r="M405" s="9">
        <f>tblTransactions[[#This Row],[Quantity]]*tblTransactions[[#This Row],[UnitPrice]]</f>
        <v>13416.72</v>
      </c>
      <c r="N405" s="9">
        <f>tblTransactions[[#This Row],[GrossSales]]*tblTransactions[[#This Row],[Discount]]</f>
        <v>1341.672</v>
      </c>
      <c r="O405" s="9">
        <f>tblTransactions[[#This Row],[GrossSales]]-tblTransactions[[#This Row],[DiscountAmount]]</f>
        <v>12075.047999999999</v>
      </c>
      <c r="P405" s="9">
        <f>_xlfn.XLOOKUP(tblTransactions[[#This Row],[ProductID]],tblProducts[ProductID],tblProducts[UnitCost])</f>
        <v>5031.45</v>
      </c>
      <c r="Q405" s="9">
        <f>tblTransactions[[#This Row],[Quantity]]*tblTransactions[[#This Row],[UnitCost]]</f>
        <v>10062.9</v>
      </c>
      <c r="R405" s="9">
        <f>tblTransactions[[#This Row],[NetRevenue]]-tblTransactions[[#This Row],[TotalCost]]</f>
        <v>2012.1479999999992</v>
      </c>
      <c r="S405" t="str">
        <f>_xlfn.XLOOKUP(tblTransactions[[#This Row],[ProductID]],tblProducts[ProductID],tblProducts[Category])</f>
        <v>Clothing</v>
      </c>
    </row>
    <row r="406" spans="1:19">
      <c r="A406" t="s">
        <v>16723</v>
      </c>
      <c r="B406" s="1">
        <v>45387</v>
      </c>
      <c r="C406" t="s">
        <v>478</v>
      </c>
      <c r="D406" t="str">
        <f>_xlfn.XLOOKUP(tblTransactions[[#This Row],[CustomerID]],tblCustomers[CustomerID],tblCustomers[CustomerName])</f>
        <v>Reyansh Mutti</v>
      </c>
      <c r="E406" t="s">
        <v>16217</v>
      </c>
      <c r="F406" t="str">
        <f>_xlfn.XLOOKUP(tblTransactions[[#This Row],[ProductID]],tblProducts[ProductID],tblProducts[ProductName])</f>
        <v>Hair Oil E5</v>
      </c>
      <c r="G406" t="s">
        <v>16285</v>
      </c>
      <c r="H406" t="str">
        <f>_xlfn.XLOOKUP(tblTransactions[[#This Row],[StoreID]],tblStores[StoreID],tblStores[Region])</f>
        <v>West</v>
      </c>
      <c r="I406">
        <v>2</v>
      </c>
      <c r="J406">
        <v>0</v>
      </c>
      <c r="K406" t="s">
        <v>16317</v>
      </c>
      <c r="L406" s="9">
        <f>_xlfn.XLOOKUP(tblTransactions[[#This Row],[ProductID]],tblProducts[ProductID],tblProducts[UnitPrice])</f>
        <v>3581.9</v>
      </c>
      <c r="M406" s="9">
        <f>tblTransactions[[#This Row],[Quantity]]*tblTransactions[[#This Row],[UnitPrice]]</f>
        <v>7163.8</v>
      </c>
      <c r="N406" s="9">
        <f>tblTransactions[[#This Row],[GrossSales]]*tblTransactions[[#This Row],[Discount]]</f>
        <v>0</v>
      </c>
      <c r="O406" s="9">
        <f>tblTransactions[[#This Row],[GrossSales]]-tblTransactions[[#This Row],[DiscountAmount]]</f>
        <v>7163.8</v>
      </c>
      <c r="P406" s="9">
        <f>_xlfn.XLOOKUP(tblTransactions[[#This Row],[ProductID]],tblProducts[ProductID],tblProducts[UnitCost])</f>
        <v>2770.12</v>
      </c>
      <c r="Q406" s="9">
        <f>tblTransactions[[#This Row],[Quantity]]*tblTransactions[[#This Row],[UnitCost]]</f>
        <v>5540.24</v>
      </c>
      <c r="R406" s="9">
        <f>tblTransactions[[#This Row],[NetRevenue]]-tblTransactions[[#This Row],[TotalCost]]</f>
        <v>1623.5600000000004</v>
      </c>
      <c r="S406" t="str">
        <f>_xlfn.XLOOKUP(tblTransactions[[#This Row],[ProductID]],tblProducts[ProductID],tblProducts[Category])</f>
        <v>Personal Care</v>
      </c>
    </row>
    <row r="407" spans="1:19">
      <c r="A407" t="s">
        <v>16724</v>
      </c>
      <c r="B407" s="1">
        <v>45388</v>
      </c>
      <c r="C407" t="s">
        <v>12878</v>
      </c>
      <c r="D407" t="str">
        <f>_xlfn.XLOOKUP(tblTransactions[[#This Row],[CustomerID]],tblCustomers[CustomerID],tblCustomers[CustomerName])</f>
        <v>Finn Devan</v>
      </c>
      <c r="E407" t="s">
        <v>16145</v>
      </c>
      <c r="F407" t="str">
        <f>_xlfn.XLOOKUP(tblTransactions[[#This Row],[ProductID]],tblProducts[ProductID],tblProducts[ProductName])</f>
        <v>Rice B7</v>
      </c>
      <c r="G407" t="s">
        <v>16271</v>
      </c>
      <c r="H407" t="str">
        <f>_xlfn.XLOOKUP(tblTransactions[[#This Row],[StoreID]],tblStores[StoreID],tblStores[Region])</f>
        <v>South</v>
      </c>
      <c r="I407">
        <v>2</v>
      </c>
      <c r="J407">
        <v>0.05</v>
      </c>
      <c r="K407" t="s">
        <v>16317</v>
      </c>
      <c r="L407" s="9">
        <f>_xlfn.XLOOKUP(tblTransactions[[#This Row],[ProductID]],tblProducts[ProductID],tblProducts[UnitPrice])</f>
        <v>775.19</v>
      </c>
      <c r="M407" s="9">
        <f>tblTransactions[[#This Row],[Quantity]]*tblTransactions[[#This Row],[UnitPrice]]</f>
        <v>1550.38</v>
      </c>
      <c r="N407" s="9">
        <f>tblTransactions[[#This Row],[GrossSales]]*tblTransactions[[#This Row],[Discount]]</f>
        <v>77.519000000000005</v>
      </c>
      <c r="O407" s="9">
        <f>tblTransactions[[#This Row],[GrossSales]]-tblTransactions[[#This Row],[DiscountAmount]]</f>
        <v>1472.8610000000001</v>
      </c>
      <c r="P407" s="9">
        <f>_xlfn.XLOOKUP(tblTransactions[[#This Row],[ProductID]],tblProducts[ProductID],tblProducts[UnitCost])</f>
        <v>597.84</v>
      </c>
      <c r="Q407" s="9">
        <f>tblTransactions[[#This Row],[Quantity]]*tblTransactions[[#This Row],[UnitCost]]</f>
        <v>1195.68</v>
      </c>
      <c r="R407" s="9">
        <f>tblTransactions[[#This Row],[NetRevenue]]-tblTransactions[[#This Row],[TotalCost]]</f>
        <v>277.18100000000004</v>
      </c>
      <c r="S407" t="str">
        <f>_xlfn.XLOOKUP(tblTransactions[[#This Row],[ProductID]],tblProducts[ProductID],tblProducts[Category])</f>
        <v>Grocery</v>
      </c>
    </row>
    <row r="408" spans="1:19">
      <c r="A408" t="s">
        <v>16725</v>
      </c>
      <c r="B408" s="1">
        <v>45388</v>
      </c>
      <c r="C408" t="s">
        <v>15487</v>
      </c>
      <c r="D408" t="str">
        <f>_xlfn.XLOOKUP(tblTransactions[[#This Row],[CustomerID]],tblCustomers[CustomerID],tblCustomers[CustomerName])</f>
        <v>Gaurangi Bhatti</v>
      </c>
      <c r="E408" t="s">
        <v>15988</v>
      </c>
      <c r="F408" t="str">
        <f>_xlfn.XLOOKUP(tblTransactions[[#This Row],[ProductID]],tblProducts[ProductID],tblProducts[ProductName])</f>
        <v>Soundbar E5</v>
      </c>
      <c r="G408" t="s">
        <v>16285</v>
      </c>
      <c r="H408" t="str">
        <f>_xlfn.XLOOKUP(tblTransactions[[#This Row],[StoreID]],tblStores[StoreID],tblStores[Region])</f>
        <v>West</v>
      </c>
      <c r="I408">
        <v>3</v>
      </c>
      <c r="J408">
        <v>0.1</v>
      </c>
      <c r="K408" t="s">
        <v>16317</v>
      </c>
      <c r="L408" s="9">
        <f>_xlfn.XLOOKUP(tblTransactions[[#This Row],[ProductID]],tblProducts[ProductID],tblProducts[UnitPrice])</f>
        <v>51647.41</v>
      </c>
      <c r="M408" s="9">
        <f>tblTransactions[[#This Row],[Quantity]]*tblTransactions[[#This Row],[UnitPrice]]</f>
        <v>154942.23000000001</v>
      </c>
      <c r="N408" s="9">
        <f>tblTransactions[[#This Row],[GrossSales]]*tblTransactions[[#This Row],[Discount]]</f>
        <v>15494.223000000002</v>
      </c>
      <c r="O408" s="9">
        <f>tblTransactions[[#This Row],[GrossSales]]-tblTransactions[[#This Row],[DiscountAmount]]</f>
        <v>139448.00700000001</v>
      </c>
      <c r="P408" s="9">
        <f>_xlfn.XLOOKUP(tblTransactions[[#This Row],[ProductID]],tblProducts[ProductID],tblProducts[UnitCost])</f>
        <v>43564.65</v>
      </c>
      <c r="Q408" s="9">
        <f>tblTransactions[[#This Row],[Quantity]]*tblTransactions[[#This Row],[UnitCost]]</f>
        <v>130693.95000000001</v>
      </c>
      <c r="R408" s="9">
        <f>tblTransactions[[#This Row],[NetRevenue]]-tblTransactions[[#This Row],[TotalCost]]</f>
        <v>8754.0570000000007</v>
      </c>
      <c r="S408" t="str">
        <f>_xlfn.XLOOKUP(tblTransactions[[#This Row],[ProductID]],tblProducts[ProductID],tblProducts[Category])</f>
        <v>Electronics</v>
      </c>
    </row>
    <row r="409" spans="1:19">
      <c r="A409" t="s">
        <v>16726</v>
      </c>
      <c r="B409" s="1">
        <v>45389</v>
      </c>
      <c r="C409" t="s">
        <v>13557</v>
      </c>
      <c r="D409" t="str">
        <f>_xlfn.XLOOKUP(tblTransactions[[#This Row],[CustomerID]],tblCustomers[CustomerID],tblCustomers[CustomerName])</f>
        <v>Umang Nazareth</v>
      </c>
      <c r="E409" t="s">
        <v>16058</v>
      </c>
      <c r="F409" t="str">
        <f>_xlfn.XLOOKUP(tblTransactions[[#This Row],[ProductID]],tblProducts[ProductID],tblProducts[ProductName])</f>
        <v>Decorative Vase B2</v>
      </c>
      <c r="G409" t="s">
        <v>16277</v>
      </c>
      <c r="H409" t="str">
        <f>_xlfn.XLOOKUP(tblTransactions[[#This Row],[StoreID]],tblStores[StoreID],tblStores[Region])</f>
        <v>West</v>
      </c>
      <c r="I409">
        <v>3</v>
      </c>
      <c r="J409">
        <v>0.05</v>
      </c>
      <c r="K409" t="s">
        <v>16315</v>
      </c>
      <c r="L409" s="9">
        <f>_xlfn.XLOOKUP(tblTransactions[[#This Row],[ProductID]],tblProducts[ProductID],tblProducts[UnitPrice])</f>
        <v>22102.15</v>
      </c>
      <c r="M409" s="9">
        <f>tblTransactions[[#This Row],[Quantity]]*tblTransactions[[#This Row],[UnitPrice]]</f>
        <v>66306.450000000012</v>
      </c>
      <c r="N409" s="9">
        <f>tblTransactions[[#This Row],[GrossSales]]*tblTransactions[[#This Row],[Discount]]</f>
        <v>3315.3225000000007</v>
      </c>
      <c r="O409" s="9">
        <f>tblTransactions[[#This Row],[GrossSales]]-tblTransactions[[#This Row],[DiscountAmount]]</f>
        <v>62991.12750000001</v>
      </c>
      <c r="P409" s="9">
        <f>_xlfn.XLOOKUP(tblTransactions[[#This Row],[ProductID]],tblProducts[ProductID],tblProducts[UnitCost])</f>
        <v>15710.91</v>
      </c>
      <c r="Q409" s="9">
        <f>tblTransactions[[#This Row],[Quantity]]*tblTransactions[[#This Row],[UnitCost]]</f>
        <v>47132.729999999996</v>
      </c>
      <c r="R409" s="9">
        <f>tblTransactions[[#This Row],[NetRevenue]]-tblTransactions[[#This Row],[TotalCost]]</f>
        <v>15858.397500000014</v>
      </c>
      <c r="S409" t="str">
        <f>_xlfn.XLOOKUP(tblTransactions[[#This Row],[ProductID]],tblProducts[ProductID],tblProducts[Category])</f>
        <v>Home &amp; Kitchen</v>
      </c>
    </row>
    <row r="410" spans="1:19">
      <c r="A410" t="s">
        <v>16727</v>
      </c>
      <c r="B410" s="1">
        <v>45391</v>
      </c>
      <c r="C410" t="s">
        <v>3824</v>
      </c>
      <c r="D410" t="str">
        <f>_xlfn.XLOOKUP(tblTransactions[[#This Row],[CustomerID]],tblCustomers[CustomerID],tblCustomers[CustomerName])</f>
        <v>Xalak Walla</v>
      </c>
      <c r="E410" t="s">
        <v>15990</v>
      </c>
      <c r="F410" t="str">
        <f>_xlfn.XLOOKUP(tblTransactions[[#This Row],[ProductID]],tblProducts[ProductID],tblProducts[ProductName])</f>
        <v>Earbuds A6</v>
      </c>
      <c r="G410" t="s">
        <v>16283</v>
      </c>
      <c r="H410" t="str">
        <f>_xlfn.XLOOKUP(tblTransactions[[#This Row],[StoreID]],tblStores[StoreID],tblStores[Region])</f>
        <v>South</v>
      </c>
      <c r="I410">
        <v>1</v>
      </c>
      <c r="J410">
        <v>0</v>
      </c>
      <c r="K410" t="s">
        <v>16325</v>
      </c>
      <c r="L410" s="9">
        <f>_xlfn.XLOOKUP(tblTransactions[[#This Row],[ProductID]],tblProducts[ProductID],tblProducts[UnitPrice])</f>
        <v>76019.78</v>
      </c>
      <c r="M410" s="9">
        <f>tblTransactions[[#This Row],[Quantity]]*tblTransactions[[#This Row],[UnitPrice]]</f>
        <v>76019.78</v>
      </c>
      <c r="N410" s="9">
        <f>tblTransactions[[#This Row],[GrossSales]]*tblTransactions[[#This Row],[Discount]]</f>
        <v>0</v>
      </c>
      <c r="O410" s="9">
        <f>tblTransactions[[#This Row],[GrossSales]]-tblTransactions[[#This Row],[DiscountAmount]]</f>
        <v>76019.78</v>
      </c>
      <c r="P410" s="9">
        <f>_xlfn.XLOOKUP(tblTransactions[[#This Row],[ProductID]],tblProducts[ProductID],tblProducts[UnitCost])</f>
        <v>53305.15</v>
      </c>
      <c r="Q410" s="9">
        <f>tblTransactions[[#This Row],[Quantity]]*tblTransactions[[#This Row],[UnitCost]]</f>
        <v>53305.15</v>
      </c>
      <c r="R410" s="9">
        <f>tblTransactions[[#This Row],[NetRevenue]]-tblTransactions[[#This Row],[TotalCost]]</f>
        <v>22714.629999999997</v>
      </c>
      <c r="S410" t="str">
        <f>_xlfn.XLOOKUP(tblTransactions[[#This Row],[ProductID]],tblProducts[ProductID],tblProducts[Category])</f>
        <v>Electronics</v>
      </c>
    </row>
    <row r="411" spans="1:19">
      <c r="A411" t="s">
        <v>16728</v>
      </c>
      <c r="B411" s="1">
        <v>45393</v>
      </c>
      <c r="C411" t="s">
        <v>11366</v>
      </c>
      <c r="D411" t="str">
        <f>_xlfn.XLOOKUP(tblTransactions[[#This Row],[CustomerID]],tblCustomers[CustomerID],tblCustomers[CustomerName])</f>
        <v>Viraj Thakur</v>
      </c>
      <c r="E411" t="s">
        <v>16058</v>
      </c>
      <c r="F411" t="str">
        <f>_xlfn.XLOOKUP(tblTransactions[[#This Row],[ProductID]],tblProducts[ProductID],tblProducts[ProductName])</f>
        <v>Decorative Vase B2</v>
      </c>
      <c r="G411" t="s">
        <v>16265</v>
      </c>
      <c r="H411" t="str">
        <f>_xlfn.XLOOKUP(tblTransactions[[#This Row],[StoreID]],tblStores[StoreID],tblStores[Region])</f>
        <v>North</v>
      </c>
      <c r="I411">
        <v>1</v>
      </c>
      <c r="J411">
        <v>0.1</v>
      </c>
      <c r="K411" t="s">
        <v>16317</v>
      </c>
      <c r="L411" s="9">
        <f>_xlfn.XLOOKUP(tblTransactions[[#This Row],[ProductID]],tblProducts[ProductID],tblProducts[UnitPrice])</f>
        <v>22102.15</v>
      </c>
      <c r="M411" s="9">
        <f>tblTransactions[[#This Row],[Quantity]]*tblTransactions[[#This Row],[UnitPrice]]</f>
        <v>22102.15</v>
      </c>
      <c r="N411" s="9">
        <f>tblTransactions[[#This Row],[GrossSales]]*tblTransactions[[#This Row],[Discount]]</f>
        <v>2210.2150000000001</v>
      </c>
      <c r="O411" s="9">
        <f>tblTransactions[[#This Row],[GrossSales]]-tblTransactions[[#This Row],[DiscountAmount]]</f>
        <v>19891.935000000001</v>
      </c>
      <c r="P411" s="9">
        <f>_xlfn.XLOOKUP(tblTransactions[[#This Row],[ProductID]],tblProducts[ProductID],tblProducts[UnitCost])</f>
        <v>15710.91</v>
      </c>
      <c r="Q411" s="9">
        <f>tblTransactions[[#This Row],[Quantity]]*tblTransactions[[#This Row],[UnitCost]]</f>
        <v>15710.91</v>
      </c>
      <c r="R411" s="9">
        <f>tblTransactions[[#This Row],[NetRevenue]]-tblTransactions[[#This Row],[TotalCost]]</f>
        <v>4181.0250000000015</v>
      </c>
      <c r="S411" t="str">
        <f>_xlfn.XLOOKUP(tblTransactions[[#This Row],[ProductID]],tblProducts[ProductID],tblProducts[Category])</f>
        <v>Home &amp; Kitchen</v>
      </c>
    </row>
    <row r="412" spans="1:19">
      <c r="A412" t="s">
        <v>16729</v>
      </c>
      <c r="B412" s="1">
        <v>45393</v>
      </c>
      <c r="C412" t="s">
        <v>11643</v>
      </c>
      <c r="D412" t="str">
        <f>_xlfn.XLOOKUP(tblTransactions[[#This Row],[CustomerID]],tblCustomers[CustomerID],tblCustomers[CustomerName])</f>
        <v>Arya Sodhi</v>
      </c>
      <c r="E412" t="s">
        <v>16001</v>
      </c>
      <c r="F412" t="str">
        <f>_xlfn.XLOOKUP(tblTransactions[[#This Row],[ProductID]],tblProducts[ProductID],tblProducts[ProductName])</f>
        <v>Power Bank D4</v>
      </c>
      <c r="G412" t="s">
        <v>16275</v>
      </c>
      <c r="H412" t="str">
        <f>_xlfn.XLOOKUP(tblTransactions[[#This Row],[StoreID]],tblStores[StoreID],tblStores[Region])</f>
        <v>South</v>
      </c>
      <c r="I412">
        <v>2</v>
      </c>
      <c r="J412">
        <v>0.1</v>
      </c>
      <c r="K412" t="s">
        <v>16317</v>
      </c>
      <c r="L412" s="9">
        <f>_xlfn.XLOOKUP(tblTransactions[[#This Row],[ProductID]],tblProducts[ProductID],tblProducts[UnitPrice])</f>
        <v>29153.55</v>
      </c>
      <c r="M412" s="9">
        <f>tblTransactions[[#This Row],[Quantity]]*tblTransactions[[#This Row],[UnitPrice]]</f>
        <v>58307.1</v>
      </c>
      <c r="N412" s="9">
        <f>tblTransactions[[#This Row],[GrossSales]]*tblTransactions[[#This Row],[Discount]]</f>
        <v>5830.71</v>
      </c>
      <c r="O412" s="9">
        <f>tblTransactions[[#This Row],[GrossSales]]-tblTransactions[[#This Row],[DiscountAmount]]</f>
        <v>52476.39</v>
      </c>
      <c r="P412" s="9">
        <f>_xlfn.XLOOKUP(tblTransactions[[#This Row],[ProductID]],tblProducts[ProductID],tblProducts[UnitCost])</f>
        <v>21894.27</v>
      </c>
      <c r="Q412" s="9">
        <f>tblTransactions[[#This Row],[Quantity]]*tblTransactions[[#This Row],[UnitCost]]</f>
        <v>43788.54</v>
      </c>
      <c r="R412" s="9">
        <f>tblTransactions[[#This Row],[NetRevenue]]-tblTransactions[[#This Row],[TotalCost]]</f>
        <v>8687.8499999999985</v>
      </c>
      <c r="S412" t="str">
        <f>_xlfn.XLOOKUP(tblTransactions[[#This Row],[ProductID]],tblProducts[ProductID],tblProducts[Category])</f>
        <v>Electronics</v>
      </c>
    </row>
    <row r="413" spans="1:19">
      <c r="A413" t="s">
        <v>16730</v>
      </c>
      <c r="B413" s="1">
        <v>45393</v>
      </c>
      <c r="C413" t="s">
        <v>3077</v>
      </c>
      <c r="D413" t="str">
        <f>_xlfn.XLOOKUP(tblTransactions[[#This Row],[CustomerID]],tblCustomers[CustomerID],tblCustomers[CustomerName])</f>
        <v>Sathvik Solanki</v>
      </c>
      <c r="E413" t="s">
        <v>16211</v>
      </c>
      <c r="F413" t="str">
        <f>_xlfn.XLOOKUP(tblTransactions[[#This Row],[ProductID]],tblProducts[ProductID],tblProducts[ProductName])</f>
        <v>Hair Serum B2</v>
      </c>
      <c r="G413" t="s">
        <v>16307</v>
      </c>
      <c r="H413" t="str">
        <f>_xlfn.XLOOKUP(tblTransactions[[#This Row],[StoreID]],tblStores[StoreID],tblStores[Region])</f>
        <v>East</v>
      </c>
      <c r="I413">
        <v>1</v>
      </c>
      <c r="J413">
        <v>0</v>
      </c>
      <c r="K413" t="s">
        <v>16325</v>
      </c>
      <c r="L413" s="9">
        <f>_xlfn.XLOOKUP(tblTransactions[[#This Row],[ProductID]],tblProducts[ProductID],tblProducts[UnitPrice])</f>
        <v>4780.68</v>
      </c>
      <c r="M413" s="9">
        <f>tblTransactions[[#This Row],[Quantity]]*tblTransactions[[#This Row],[UnitPrice]]</f>
        <v>4780.68</v>
      </c>
      <c r="N413" s="9">
        <f>tblTransactions[[#This Row],[GrossSales]]*tblTransactions[[#This Row],[Discount]]</f>
        <v>0</v>
      </c>
      <c r="O413" s="9">
        <f>tblTransactions[[#This Row],[GrossSales]]-tblTransactions[[#This Row],[DiscountAmount]]</f>
        <v>4780.68</v>
      </c>
      <c r="P413" s="9">
        <f>_xlfn.XLOOKUP(tblTransactions[[#This Row],[ProductID]],tblProducts[ProductID],tblProducts[UnitCost])</f>
        <v>3940.05</v>
      </c>
      <c r="Q413" s="9">
        <f>tblTransactions[[#This Row],[Quantity]]*tblTransactions[[#This Row],[UnitCost]]</f>
        <v>3940.05</v>
      </c>
      <c r="R413" s="9">
        <f>tblTransactions[[#This Row],[NetRevenue]]-tblTransactions[[#This Row],[TotalCost]]</f>
        <v>840.63000000000011</v>
      </c>
      <c r="S413" t="str">
        <f>_xlfn.XLOOKUP(tblTransactions[[#This Row],[ProductID]],tblProducts[ProductID],tblProducts[Category])</f>
        <v>Personal Care</v>
      </c>
    </row>
    <row r="414" spans="1:19">
      <c r="A414" t="s">
        <v>16731</v>
      </c>
      <c r="B414" s="1">
        <v>45395</v>
      </c>
      <c r="C414" t="s">
        <v>15527</v>
      </c>
      <c r="D414" t="str">
        <f>_xlfn.XLOOKUP(tblTransactions[[#This Row],[CustomerID]],tblCustomers[CustomerID],tblCustomers[CustomerName])</f>
        <v>Harrison Ramaswamy</v>
      </c>
      <c r="E414" t="s">
        <v>15960</v>
      </c>
      <c r="F414" t="str">
        <f>_xlfn.XLOOKUP(tblTransactions[[#This Row],[ProductID]],tblProducts[ProductID],tblProducts[ProductName])</f>
        <v>Budget Smartphone C8</v>
      </c>
      <c r="G414" t="s">
        <v>16299</v>
      </c>
      <c r="H414" t="str">
        <f>_xlfn.XLOOKUP(tblTransactions[[#This Row],[StoreID]],tblStores[StoreID],tblStores[Region])</f>
        <v>South</v>
      </c>
      <c r="I414">
        <v>1</v>
      </c>
      <c r="J414">
        <v>0</v>
      </c>
      <c r="K414" t="s">
        <v>16317</v>
      </c>
      <c r="L414" s="9">
        <f>_xlfn.XLOOKUP(tblTransactions[[#This Row],[ProductID]],tblProducts[ProductID],tblProducts[UnitPrice])</f>
        <v>63665.16</v>
      </c>
      <c r="M414" s="9">
        <f>tblTransactions[[#This Row],[Quantity]]*tblTransactions[[#This Row],[UnitPrice]]</f>
        <v>63665.16</v>
      </c>
      <c r="N414" s="9">
        <f>tblTransactions[[#This Row],[GrossSales]]*tblTransactions[[#This Row],[Discount]]</f>
        <v>0</v>
      </c>
      <c r="O414" s="9">
        <f>tblTransactions[[#This Row],[GrossSales]]-tblTransactions[[#This Row],[DiscountAmount]]</f>
        <v>63665.16</v>
      </c>
      <c r="P414" s="9">
        <f>_xlfn.XLOOKUP(tblTransactions[[#This Row],[ProductID]],tblProducts[ProductID],tblProducts[UnitCost])</f>
        <v>52565.61</v>
      </c>
      <c r="Q414" s="9">
        <f>tblTransactions[[#This Row],[Quantity]]*tblTransactions[[#This Row],[UnitCost]]</f>
        <v>52565.61</v>
      </c>
      <c r="R414" s="9">
        <f>tblTransactions[[#This Row],[NetRevenue]]-tblTransactions[[#This Row],[TotalCost]]</f>
        <v>11099.550000000003</v>
      </c>
      <c r="S414" t="str">
        <f>_xlfn.XLOOKUP(tblTransactions[[#This Row],[ProductID]],tblProducts[ProductID],tblProducts[Category])</f>
        <v>Electronics</v>
      </c>
    </row>
    <row r="415" spans="1:19">
      <c r="A415" t="s">
        <v>16732</v>
      </c>
      <c r="B415" s="1">
        <v>45395</v>
      </c>
      <c r="C415" t="s">
        <v>12689</v>
      </c>
      <c r="D415" t="str">
        <f>_xlfn.XLOOKUP(tblTransactions[[#This Row],[CustomerID]],tblCustomers[CustomerID],tblCustomers[CustomerName])</f>
        <v>Mitali Walla</v>
      </c>
      <c r="E415" t="s">
        <v>16015</v>
      </c>
      <c r="F415" t="str">
        <f>_xlfn.XLOOKUP(tblTransactions[[#This Row],[ProductID]],tblProducts[ProductID],tblProducts[ProductName])</f>
        <v>Electric Kettle C3</v>
      </c>
      <c r="G415" t="s">
        <v>16303</v>
      </c>
      <c r="H415" t="str">
        <f>_xlfn.XLOOKUP(tblTransactions[[#This Row],[StoreID]],tblStores[StoreID],tblStores[Region])</f>
        <v>West</v>
      </c>
      <c r="I415">
        <v>1</v>
      </c>
      <c r="J415">
        <v>0.1</v>
      </c>
      <c r="K415" t="s">
        <v>16321</v>
      </c>
      <c r="L415" s="9">
        <f>_xlfn.XLOOKUP(tblTransactions[[#This Row],[ProductID]],tblProducts[ProductID],tblProducts[UnitPrice])</f>
        <v>11511.46</v>
      </c>
      <c r="M415" s="9">
        <f>tblTransactions[[#This Row],[Quantity]]*tblTransactions[[#This Row],[UnitPrice]]</f>
        <v>11511.46</v>
      </c>
      <c r="N415" s="9">
        <f>tblTransactions[[#This Row],[GrossSales]]*tblTransactions[[#This Row],[Discount]]</f>
        <v>1151.146</v>
      </c>
      <c r="O415" s="9">
        <f>tblTransactions[[#This Row],[GrossSales]]-tblTransactions[[#This Row],[DiscountAmount]]</f>
        <v>10360.313999999998</v>
      </c>
      <c r="P415" s="9">
        <f>_xlfn.XLOOKUP(tblTransactions[[#This Row],[ProductID]],tblProducts[ProductID],tblProducts[UnitCost])</f>
        <v>9046.98</v>
      </c>
      <c r="Q415" s="9">
        <f>tblTransactions[[#This Row],[Quantity]]*tblTransactions[[#This Row],[UnitCost]]</f>
        <v>9046.98</v>
      </c>
      <c r="R415" s="9">
        <f>tblTransactions[[#This Row],[NetRevenue]]-tblTransactions[[#This Row],[TotalCost]]</f>
        <v>1313.3339999999989</v>
      </c>
      <c r="S415" t="str">
        <f>_xlfn.XLOOKUP(tblTransactions[[#This Row],[ProductID]],tblProducts[ProductID],tblProducts[Category])</f>
        <v>Home &amp; Kitchen</v>
      </c>
    </row>
    <row r="416" spans="1:19">
      <c r="A416" t="s">
        <v>16733</v>
      </c>
      <c r="B416" s="1">
        <v>45396</v>
      </c>
      <c r="C416" t="s">
        <v>12854</v>
      </c>
      <c r="D416" t="str">
        <f>_xlfn.XLOOKUP(tblTransactions[[#This Row],[CustomerID]],tblCustomers[CustomerID],tblCustomers[CustomerName])</f>
        <v>Rajata Sridhar</v>
      </c>
      <c r="E416" t="s">
        <v>16116</v>
      </c>
      <c r="F416" t="str">
        <f>_xlfn.XLOOKUP(tblTransactions[[#This Row],[ProductID]],tblProducts[ProductID],tblProducts[ProductName])</f>
        <v>Sandals A1</v>
      </c>
      <c r="G416" t="s">
        <v>16285</v>
      </c>
      <c r="H416" t="str">
        <f>_xlfn.XLOOKUP(tblTransactions[[#This Row],[StoreID]],tblStores[StoreID],tblStores[Region])</f>
        <v>West</v>
      </c>
      <c r="I416">
        <v>1</v>
      </c>
      <c r="J416">
        <v>0.2</v>
      </c>
      <c r="K416" t="s">
        <v>16321</v>
      </c>
      <c r="L416" s="9">
        <f>_xlfn.XLOOKUP(tblTransactions[[#This Row],[ProductID]],tblProducts[ProductID],tblProducts[UnitPrice])</f>
        <v>7414.77</v>
      </c>
      <c r="M416" s="9">
        <f>tblTransactions[[#This Row],[Quantity]]*tblTransactions[[#This Row],[UnitPrice]]</f>
        <v>7414.77</v>
      </c>
      <c r="N416" s="9">
        <f>tblTransactions[[#This Row],[GrossSales]]*tblTransactions[[#This Row],[Discount]]</f>
        <v>1482.9540000000002</v>
      </c>
      <c r="O416" s="9">
        <f>tblTransactions[[#This Row],[GrossSales]]-tblTransactions[[#This Row],[DiscountAmount]]</f>
        <v>5931.8160000000007</v>
      </c>
      <c r="P416" s="9">
        <f>_xlfn.XLOOKUP(tblTransactions[[#This Row],[ProductID]],tblProducts[ProductID],tblProducts[UnitCost])</f>
        <v>4859.1400000000003</v>
      </c>
      <c r="Q416" s="9">
        <f>tblTransactions[[#This Row],[Quantity]]*tblTransactions[[#This Row],[UnitCost]]</f>
        <v>4859.1400000000003</v>
      </c>
      <c r="R416" s="9">
        <f>tblTransactions[[#This Row],[NetRevenue]]-tblTransactions[[#This Row],[TotalCost]]</f>
        <v>1072.6760000000004</v>
      </c>
      <c r="S416" t="str">
        <f>_xlfn.XLOOKUP(tblTransactions[[#This Row],[ProductID]],tblProducts[ProductID],tblProducts[Category])</f>
        <v>Clothing</v>
      </c>
    </row>
    <row r="417" spans="1:19">
      <c r="A417" t="s">
        <v>16734</v>
      </c>
      <c r="B417" s="1">
        <v>45397</v>
      </c>
      <c r="C417" t="s">
        <v>518</v>
      </c>
      <c r="D417" t="str">
        <f>_xlfn.XLOOKUP(tblTransactions[[#This Row],[CustomerID]],tblCustomers[CustomerID],tblCustomers[CustomerName])</f>
        <v>Aishani Bumb</v>
      </c>
      <c r="E417" t="s">
        <v>16116</v>
      </c>
      <c r="F417" t="str">
        <f>_xlfn.XLOOKUP(tblTransactions[[#This Row],[ProductID]],tblProducts[ProductID],tblProducts[ProductName])</f>
        <v>Sandals A1</v>
      </c>
      <c r="G417" t="s">
        <v>16279</v>
      </c>
      <c r="H417" t="str">
        <f>_xlfn.XLOOKUP(tblTransactions[[#This Row],[StoreID]],tblStores[StoreID],tblStores[Region])</f>
        <v>South</v>
      </c>
      <c r="I417">
        <v>1</v>
      </c>
      <c r="J417">
        <v>0.2</v>
      </c>
      <c r="K417" t="s">
        <v>16321</v>
      </c>
      <c r="L417" s="9">
        <f>_xlfn.XLOOKUP(tblTransactions[[#This Row],[ProductID]],tblProducts[ProductID],tblProducts[UnitPrice])</f>
        <v>7414.77</v>
      </c>
      <c r="M417" s="9">
        <f>tblTransactions[[#This Row],[Quantity]]*tblTransactions[[#This Row],[UnitPrice]]</f>
        <v>7414.77</v>
      </c>
      <c r="N417" s="9">
        <f>tblTransactions[[#This Row],[GrossSales]]*tblTransactions[[#This Row],[Discount]]</f>
        <v>1482.9540000000002</v>
      </c>
      <c r="O417" s="9">
        <f>tblTransactions[[#This Row],[GrossSales]]-tblTransactions[[#This Row],[DiscountAmount]]</f>
        <v>5931.8160000000007</v>
      </c>
      <c r="P417" s="9">
        <f>_xlfn.XLOOKUP(tblTransactions[[#This Row],[ProductID]],tblProducts[ProductID],tblProducts[UnitCost])</f>
        <v>4859.1400000000003</v>
      </c>
      <c r="Q417" s="9">
        <f>tblTransactions[[#This Row],[Quantity]]*tblTransactions[[#This Row],[UnitCost]]</f>
        <v>4859.1400000000003</v>
      </c>
      <c r="R417" s="9">
        <f>tblTransactions[[#This Row],[NetRevenue]]-tblTransactions[[#This Row],[TotalCost]]</f>
        <v>1072.6760000000004</v>
      </c>
      <c r="S417" t="str">
        <f>_xlfn.XLOOKUP(tblTransactions[[#This Row],[ProductID]],tblProducts[ProductID],tblProducts[Category])</f>
        <v>Clothing</v>
      </c>
    </row>
    <row r="418" spans="1:19">
      <c r="A418" t="s">
        <v>16735</v>
      </c>
      <c r="B418" s="1">
        <v>45399</v>
      </c>
      <c r="C418" t="s">
        <v>14776</v>
      </c>
      <c r="D418" t="str">
        <f>_xlfn.XLOOKUP(tblTransactions[[#This Row],[CustomerID]],tblCustomers[CustomerID],tblCustomers[CustomerName])</f>
        <v>Lipika Dasgupta</v>
      </c>
      <c r="E418" t="s">
        <v>16068</v>
      </c>
      <c r="F418" t="str">
        <f>_xlfn.XLOOKUP(tblTransactions[[#This Row],[ProductID]],tblProducts[ProductID],tblProducts[ProductName])</f>
        <v>Wall Clock B7</v>
      </c>
      <c r="G418" t="s">
        <v>16265</v>
      </c>
      <c r="H418" t="str">
        <f>_xlfn.XLOOKUP(tblTransactions[[#This Row],[StoreID]],tblStores[StoreID],tblStores[Region])</f>
        <v>North</v>
      </c>
      <c r="I418">
        <v>1</v>
      </c>
      <c r="J418">
        <v>0.1</v>
      </c>
      <c r="K418" t="s">
        <v>16315</v>
      </c>
      <c r="L418" s="9">
        <f>_xlfn.XLOOKUP(tblTransactions[[#This Row],[ProductID]],tblProducts[ProductID],tblProducts[UnitPrice])</f>
        <v>7801.86</v>
      </c>
      <c r="M418" s="9">
        <f>tblTransactions[[#This Row],[Quantity]]*tblTransactions[[#This Row],[UnitPrice]]</f>
        <v>7801.86</v>
      </c>
      <c r="N418" s="9">
        <f>tblTransactions[[#This Row],[GrossSales]]*tblTransactions[[#This Row],[Discount]]</f>
        <v>780.18600000000004</v>
      </c>
      <c r="O418" s="9">
        <f>tblTransactions[[#This Row],[GrossSales]]-tblTransactions[[#This Row],[DiscountAmount]]</f>
        <v>7021.674</v>
      </c>
      <c r="P418" s="9">
        <f>_xlfn.XLOOKUP(tblTransactions[[#This Row],[ProductID]],tblProducts[ProductID],tblProducts[UnitCost])</f>
        <v>5332.9</v>
      </c>
      <c r="Q418" s="9">
        <f>tblTransactions[[#This Row],[Quantity]]*tblTransactions[[#This Row],[UnitCost]]</f>
        <v>5332.9</v>
      </c>
      <c r="R418" s="9">
        <f>tblTransactions[[#This Row],[NetRevenue]]-tblTransactions[[#This Row],[TotalCost]]</f>
        <v>1688.7740000000003</v>
      </c>
      <c r="S418" t="str">
        <f>_xlfn.XLOOKUP(tblTransactions[[#This Row],[ProductID]],tblProducts[ProductID],tblProducts[Category])</f>
        <v>Home &amp; Kitchen</v>
      </c>
    </row>
    <row r="419" spans="1:19">
      <c r="A419" t="s">
        <v>16736</v>
      </c>
      <c r="B419" s="1">
        <v>45401</v>
      </c>
      <c r="C419" t="s">
        <v>10665</v>
      </c>
      <c r="D419" t="str">
        <f>_xlfn.XLOOKUP(tblTransactions[[#This Row],[CustomerID]],tblCustomers[CustomerID],tblCustomers[CustomerName])</f>
        <v>Advika Kapur</v>
      </c>
      <c r="E419" t="s">
        <v>16049</v>
      </c>
      <c r="F419" t="str">
        <f>_xlfn.XLOOKUP(tblTransactions[[#This Row],[ProductID]],tblProducts[ProductID],tblProducts[ProductName])</f>
        <v>Non-stick Pan E5</v>
      </c>
      <c r="G419" t="s">
        <v>16262</v>
      </c>
      <c r="H419" t="str">
        <f>_xlfn.XLOOKUP(tblTransactions[[#This Row],[StoreID]],tblStores[StoreID],tblStores[Region])</f>
        <v>North</v>
      </c>
      <c r="I419">
        <v>2</v>
      </c>
      <c r="J419">
        <v>0.05</v>
      </c>
      <c r="K419" t="s">
        <v>16317</v>
      </c>
      <c r="L419" s="9">
        <f>_xlfn.XLOOKUP(tblTransactions[[#This Row],[ProductID]],tblProducts[ProductID],tblProducts[UnitPrice])</f>
        <v>21084.61</v>
      </c>
      <c r="M419" s="9">
        <f>tblTransactions[[#This Row],[Quantity]]*tblTransactions[[#This Row],[UnitPrice]]</f>
        <v>42169.22</v>
      </c>
      <c r="N419" s="9">
        <f>tblTransactions[[#This Row],[GrossSales]]*tblTransactions[[#This Row],[Discount]]</f>
        <v>2108.4610000000002</v>
      </c>
      <c r="O419" s="9">
        <f>tblTransactions[[#This Row],[GrossSales]]-tblTransactions[[#This Row],[DiscountAmount]]</f>
        <v>40060.758999999998</v>
      </c>
      <c r="P419" s="9">
        <f>_xlfn.XLOOKUP(tblTransactions[[#This Row],[ProductID]],tblProducts[ProductID],tblProducts[UnitCost])</f>
        <v>12896.65</v>
      </c>
      <c r="Q419" s="9">
        <f>tblTransactions[[#This Row],[Quantity]]*tblTransactions[[#This Row],[UnitCost]]</f>
        <v>25793.3</v>
      </c>
      <c r="R419" s="9">
        <f>tblTransactions[[#This Row],[NetRevenue]]-tblTransactions[[#This Row],[TotalCost]]</f>
        <v>14267.458999999999</v>
      </c>
      <c r="S419" t="str">
        <f>_xlfn.XLOOKUP(tblTransactions[[#This Row],[ProductID]],tblProducts[ProductID],tblProducts[Category])</f>
        <v>Home &amp; Kitchen</v>
      </c>
    </row>
    <row r="420" spans="1:19">
      <c r="A420" t="s">
        <v>16737</v>
      </c>
      <c r="B420" s="1">
        <v>45402</v>
      </c>
      <c r="C420" t="s">
        <v>8907</v>
      </c>
      <c r="D420" t="str">
        <f>_xlfn.XLOOKUP(tblTransactions[[#This Row],[CustomerID]],tblCustomers[CustomerID],tblCustomers[CustomerName])</f>
        <v>Jairaj Dayal</v>
      </c>
      <c r="E420" t="s">
        <v>16119</v>
      </c>
      <c r="F420" t="str">
        <f>_xlfn.XLOOKUP(tblTransactions[[#This Row],[ProductID]],tblProducts[ProductID],tblProducts[ProductName])</f>
        <v>Sports Shoes B2</v>
      </c>
      <c r="G420" t="s">
        <v>16262</v>
      </c>
      <c r="H420" t="str">
        <f>_xlfn.XLOOKUP(tblTransactions[[#This Row],[StoreID]],tblStores[StoreID],tblStores[Region])</f>
        <v>North</v>
      </c>
      <c r="I420">
        <v>1</v>
      </c>
      <c r="J420">
        <v>0.15</v>
      </c>
      <c r="K420" t="s">
        <v>16317</v>
      </c>
      <c r="L420" s="9">
        <f>_xlfn.XLOOKUP(tblTransactions[[#This Row],[ProductID]],tblProducts[ProductID],tblProducts[UnitPrice])</f>
        <v>7419.82</v>
      </c>
      <c r="M420" s="9">
        <f>tblTransactions[[#This Row],[Quantity]]*tblTransactions[[#This Row],[UnitPrice]]</f>
        <v>7419.82</v>
      </c>
      <c r="N420" s="9">
        <f>tblTransactions[[#This Row],[GrossSales]]*tblTransactions[[#This Row],[Discount]]</f>
        <v>1112.973</v>
      </c>
      <c r="O420" s="9">
        <f>tblTransactions[[#This Row],[GrossSales]]-tblTransactions[[#This Row],[DiscountAmount]]</f>
        <v>6306.8469999999998</v>
      </c>
      <c r="P420" s="9">
        <f>_xlfn.XLOOKUP(tblTransactions[[#This Row],[ProductID]],tblProducts[ProductID],tblProducts[UnitCost])</f>
        <v>5155.9799999999996</v>
      </c>
      <c r="Q420" s="9">
        <f>tblTransactions[[#This Row],[Quantity]]*tblTransactions[[#This Row],[UnitCost]]</f>
        <v>5155.9799999999996</v>
      </c>
      <c r="R420" s="9">
        <f>tblTransactions[[#This Row],[NetRevenue]]-tblTransactions[[#This Row],[TotalCost]]</f>
        <v>1150.8670000000002</v>
      </c>
      <c r="S420" t="str">
        <f>_xlfn.XLOOKUP(tblTransactions[[#This Row],[ProductID]],tblProducts[ProductID],tblProducts[Category])</f>
        <v>Clothing</v>
      </c>
    </row>
    <row r="421" spans="1:19">
      <c r="A421" t="s">
        <v>16738</v>
      </c>
      <c r="B421" s="1">
        <v>45402</v>
      </c>
      <c r="C421" t="s">
        <v>5714</v>
      </c>
      <c r="D421" t="str">
        <f>_xlfn.XLOOKUP(tblTransactions[[#This Row],[CustomerID]],tblCustomers[CustomerID],tblCustomers[CustomerName])</f>
        <v>Advay Dar</v>
      </c>
      <c r="E421" t="s">
        <v>16150</v>
      </c>
      <c r="F421" t="str">
        <f>_xlfn.XLOOKUP(tblTransactions[[#This Row],[ProductID]],tblProducts[ProductID],tblProducts[ProductName])</f>
        <v>Chocolate B2</v>
      </c>
      <c r="G421" t="s">
        <v>16273</v>
      </c>
      <c r="H421" t="str">
        <f>_xlfn.XLOOKUP(tblTransactions[[#This Row],[StoreID]],tblStores[StoreID],tblStores[Region])</f>
        <v>West</v>
      </c>
      <c r="I421">
        <v>1</v>
      </c>
      <c r="J421">
        <v>0</v>
      </c>
      <c r="K421" t="s">
        <v>16321</v>
      </c>
      <c r="L421" s="9">
        <f>_xlfn.XLOOKUP(tblTransactions[[#This Row],[ProductID]],tblProducts[ProductID],tblProducts[UnitPrice])</f>
        <v>500.73</v>
      </c>
      <c r="M421" s="9">
        <f>tblTransactions[[#This Row],[Quantity]]*tblTransactions[[#This Row],[UnitPrice]]</f>
        <v>500.73</v>
      </c>
      <c r="N421" s="9">
        <f>tblTransactions[[#This Row],[GrossSales]]*tblTransactions[[#This Row],[Discount]]</f>
        <v>0</v>
      </c>
      <c r="O421" s="9">
        <f>tblTransactions[[#This Row],[GrossSales]]-tblTransactions[[#This Row],[DiscountAmount]]</f>
        <v>500.73</v>
      </c>
      <c r="P421" s="9">
        <f>_xlfn.XLOOKUP(tblTransactions[[#This Row],[ProductID]],tblProducts[ProductID],tblProducts[UnitCost])</f>
        <v>407.66</v>
      </c>
      <c r="Q421" s="9">
        <f>tblTransactions[[#This Row],[Quantity]]*tblTransactions[[#This Row],[UnitCost]]</f>
        <v>407.66</v>
      </c>
      <c r="R421" s="9">
        <f>tblTransactions[[#This Row],[NetRevenue]]-tblTransactions[[#This Row],[TotalCost]]</f>
        <v>93.07</v>
      </c>
      <c r="S421" t="str">
        <f>_xlfn.XLOOKUP(tblTransactions[[#This Row],[ProductID]],tblProducts[ProductID],tblProducts[Category])</f>
        <v>Grocery</v>
      </c>
    </row>
    <row r="422" spans="1:19">
      <c r="A422" t="s">
        <v>16739</v>
      </c>
      <c r="B422" s="1">
        <v>45402</v>
      </c>
      <c r="C422" t="s">
        <v>7906</v>
      </c>
      <c r="D422" t="str">
        <f>_xlfn.XLOOKUP(tblTransactions[[#This Row],[CustomerID]],tblCustomers[CustomerID],tblCustomers[CustomerName])</f>
        <v>Omkaar Vohra</v>
      </c>
      <c r="E422" t="s">
        <v>16145</v>
      </c>
      <c r="F422" t="str">
        <f>_xlfn.XLOOKUP(tblTransactions[[#This Row],[ProductID]],tblProducts[ProductID],tblProducts[ProductName])</f>
        <v>Rice B7</v>
      </c>
      <c r="G422" t="s">
        <v>16281</v>
      </c>
      <c r="H422" t="str">
        <f>_xlfn.XLOOKUP(tblTransactions[[#This Row],[StoreID]],tblStores[StoreID],tblStores[Region])</f>
        <v>West</v>
      </c>
      <c r="I422">
        <v>1</v>
      </c>
      <c r="J422">
        <v>0.1</v>
      </c>
      <c r="K422" t="s">
        <v>16321</v>
      </c>
      <c r="L422" s="9">
        <f>_xlfn.XLOOKUP(tblTransactions[[#This Row],[ProductID]],tblProducts[ProductID],tblProducts[UnitPrice])</f>
        <v>775.19</v>
      </c>
      <c r="M422" s="9">
        <f>tblTransactions[[#This Row],[Quantity]]*tblTransactions[[#This Row],[UnitPrice]]</f>
        <v>775.19</v>
      </c>
      <c r="N422" s="9">
        <f>tblTransactions[[#This Row],[GrossSales]]*tblTransactions[[#This Row],[Discount]]</f>
        <v>77.519000000000005</v>
      </c>
      <c r="O422" s="9">
        <f>tblTransactions[[#This Row],[GrossSales]]-tblTransactions[[#This Row],[DiscountAmount]]</f>
        <v>697.67100000000005</v>
      </c>
      <c r="P422" s="9">
        <f>_xlfn.XLOOKUP(tblTransactions[[#This Row],[ProductID]],tblProducts[ProductID],tblProducts[UnitCost])</f>
        <v>597.84</v>
      </c>
      <c r="Q422" s="9">
        <f>tblTransactions[[#This Row],[Quantity]]*tblTransactions[[#This Row],[UnitCost]]</f>
        <v>597.84</v>
      </c>
      <c r="R422" s="9">
        <f>tblTransactions[[#This Row],[NetRevenue]]-tblTransactions[[#This Row],[TotalCost]]</f>
        <v>99.831000000000017</v>
      </c>
      <c r="S422" t="str">
        <f>_xlfn.XLOOKUP(tblTransactions[[#This Row],[ProductID]],tblProducts[ProductID],tblProducts[Category])</f>
        <v>Grocery</v>
      </c>
    </row>
    <row r="423" spans="1:19">
      <c r="A423" t="s">
        <v>16740</v>
      </c>
      <c r="B423" s="1">
        <v>45402</v>
      </c>
      <c r="C423" t="s">
        <v>8488</v>
      </c>
      <c r="D423" t="str">
        <f>_xlfn.XLOOKUP(tblTransactions[[#This Row],[CustomerID]],tblCustomers[CustomerID],tblCustomers[CustomerName])</f>
        <v>Aayush Narain</v>
      </c>
      <c r="E423" t="s">
        <v>16106</v>
      </c>
      <c r="F423" t="str">
        <f>_xlfn.XLOOKUP(tblTransactions[[#This Row],[ProductID]],tblProducts[ProductID],tblProducts[ProductName])</f>
        <v>Kids Dress C3</v>
      </c>
      <c r="G423" t="s">
        <v>16259</v>
      </c>
      <c r="H423" t="str">
        <f>_xlfn.XLOOKUP(tblTransactions[[#This Row],[StoreID]],tblStores[StoreID],tblStores[Region])</f>
        <v>East</v>
      </c>
      <c r="I423">
        <v>3</v>
      </c>
      <c r="J423">
        <v>0.05</v>
      </c>
      <c r="K423" t="s">
        <v>16315</v>
      </c>
      <c r="L423" s="9">
        <f>_xlfn.XLOOKUP(tblTransactions[[#This Row],[ProductID]],tblProducts[ProductID],tblProducts[UnitPrice])</f>
        <v>1436.28</v>
      </c>
      <c r="M423" s="9">
        <f>tblTransactions[[#This Row],[Quantity]]*tblTransactions[[#This Row],[UnitPrice]]</f>
        <v>4308.84</v>
      </c>
      <c r="N423" s="9">
        <f>tblTransactions[[#This Row],[GrossSales]]*tblTransactions[[#This Row],[Discount]]</f>
        <v>215.44200000000001</v>
      </c>
      <c r="O423" s="9">
        <f>tblTransactions[[#This Row],[GrossSales]]-tblTransactions[[#This Row],[DiscountAmount]]</f>
        <v>4093.3980000000001</v>
      </c>
      <c r="P423" s="9">
        <f>_xlfn.XLOOKUP(tblTransactions[[#This Row],[ProductID]],tblProducts[ProductID],tblProducts[UnitCost])</f>
        <v>1097.5</v>
      </c>
      <c r="Q423" s="9">
        <f>tblTransactions[[#This Row],[Quantity]]*tblTransactions[[#This Row],[UnitCost]]</f>
        <v>3292.5</v>
      </c>
      <c r="R423" s="9">
        <f>tblTransactions[[#This Row],[NetRevenue]]-tblTransactions[[#This Row],[TotalCost]]</f>
        <v>800.89800000000014</v>
      </c>
      <c r="S423" t="str">
        <f>_xlfn.XLOOKUP(tblTransactions[[#This Row],[ProductID]],tblProducts[ProductID],tblProducts[Category])</f>
        <v>Clothing</v>
      </c>
    </row>
    <row r="424" spans="1:19">
      <c r="A424" t="s">
        <v>16741</v>
      </c>
      <c r="B424" s="1">
        <v>45403</v>
      </c>
      <c r="C424" t="s">
        <v>11433</v>
      </c>
      <c r="D424" t="str">
        <f>_xlfn.XLOOKUP(tblTransactions[[#This Row],[CustomerID]],tblCustomers[CustomerID],tblCustomers[CustomerName])</f>
        <v>Darsh Mohan</v>
      </c>
      <c r="E424" t="s">
        <v>16200</v>
      </c>
      <c r="F424" t="str">
        <f>_xlfn.XLOOKUP(tblTransactions[[#This Row],[ProductID]],tblProducts[ProductID],tblProducts[ProductName])</f>
        <v>Face Cream D4</v>
      </c>
      <c r="G424" t="s">
        <v>16275</v>
      </c>
      <c r="H424" t="str">
        <f>_xlfn.XLOOKUP(tblTransactions[[#This Row],[StoreID]],tblStores[StoreID],tblStores[Region])</f>
        <v>South</v>
      </c>
      <c r="I424">
        <v>1</v>
      </c>
      <c r="J424">
        <v>0</v>
      </c>
      <c r="K424" t="s">
        <v>16315</v>
      </c>
      <c r="L424" s="9">
        <f>_xlfn.XLOOKUP(tblTransactions[[#This Row],[ProductID]],tblProducts[ProductID],tblProducts[UnitPrice])</f>
        <v>3082.2</v>
      </c>
      <c r="M424" s="9">
        <f>tblTransactions[[#This Row],[Quantity]]*tblTransactions[[#This Row],[UnitPrice]]</f>
        <v>3082.2</v>
      </c>
      <c r="N424" s="9">
        <f>tblTransactions[[#This Row],[GrossSales]]*tblTransactions[[#This Row],[Discount]]</f>
        <v>0</v>
      </c>
      <c r="O424" s="9">
        <f>tblTransactions[[#This Row],[GrossSales]]-tblTransactions[[#This Row],[DiscountAmount]]</f>
        <v>3082.2</v>
      </c>
      <c r="P424" s="9">
        <f>_xlfn.XLOOKUP(tblTransactions[[#This Row],[ProductID]],tblProducts[ProductID],tblProducts[UnitCost])</f>
        <v>2561.06</v>
      </c>
      <c r="Q424" s="9">
        <f>tblTransactions[[#This Row],[Quantity]]*tblTransactions[[#This Row],[UnitCost]]</f>
        <v>2561.06</v>
      </c>
      <c r="R424" s="9">
        <f>tblTransactions[[#This Row],[NetRevenue]]-tblTransactions[[#This Row],[TotalCost]]</f>
        <v>521.13999999999987</v>
      </c>
      <c r="S424" t="str">
        <f>_xlfn.XLOOKUP(tblTransactions[[#This Row],[ProductID]],tblProducts[ProductID],tblProducts[Category])</f>
        <v>Personal Care</v>
      </c>
    </row>
    <row r="425" spans="1:19">
      <c r="A425" t="s">
        <v>16742</v>
      </c>
      <c r="B425" s="1">
        <v>45403</v>
      </c>
      <c r="C425" t="s">
        <v>4936</v>
      </c>
      <c r="D425" t="str">
        <f>_xlfn.XLOOKUP(tblTransactions[[#This Row],[CustomerID]],tblCustomers[CustomerID],tblCustomers[CustomerName])</f>
        <v>Aadhya Chakraborty</v>
      </c>
      <c r="E425" t="s">
        <v>15992</v>
      </c>
      <c r="F425" t="str">
        <f>_xlfn.XLOOKUP(tblTransactions[[#This Row],[ProductID]],tblProducts[ProductID],tblProducts[ProductName])</f>
        <v>Wireless Headphones B7</v>
      </c>
      <c r="G425" t="s">
        <v>16275</v>
      </c>
      <c r="H425" t="str">
        <f>_xlfn.XLOOKUP(tblTransactions[[#This Row],[StoreID]],tblStores[StoreID],tblStores[Region])</f>
        <v>South</v>
      </c>
      <c r="I425">
        <v>1</v>
      </c>
      <c r="J425">
        <v>0.1</v>
      </c>
      <c r="K425" t="s">
        <v>16315</v>
      </c>
      <c r="L425" s="9">
        <f>_xlfn.XLOOKUP(tblTransactions[[#This Row],[ProductID]],tblProducts[ProductID],tblProducts[UnitPrice])</f>
        <v>52596.38</v>
      </c>
      <c r="M425" s="9">
        <f>tblTransactions[[#This Row],[Quantity]]*tblTransactions[[#This Row],[UnitPrice]]</f>
        <v>52596.38</v>
      </c>
      <c r="N425" s="9">
        <f>tblTransactions[[#This Row],[GrossSales]]*tblTransactions[[#This Row],[Discount]]</f>
        <v>5259.6379999999999</v>
      </c>
      <c r="O425" s="9">
        <f>tblTransactions[[#This Row],[GrossSales]]-tblTransactions[[#This Row],[DiscountAmount]]</f>
        <v>47336.741999999998</v>
      </c>
      <c r="P425" s="9">
        <f>_xlfn.XLOOKUP(tblTransactions[[#This Row],[ProductID]],tblProducts[ProductID],tblProducts[UnitCost])</f>
        <v>36028.78</v>
      </c>
      <c r="Q425" s="9">
        <f>tblTransactions[[#This Row],[Quantity]]*tblTransactions[[#This Row],[UnitCost]]</f>
        <v>36028.78</v>
      </c>
      <c r="R425" s="9">
        <f>tblTransactions[[#This Row],[NetRevenue]]-tblTransactions[[#This Row],[TotalCost]]</f>
        <v>11307.962</v>
      </c>
      <c r="S425" t="str">
        <f>_xlfn.XLOOKUP(tblTransactions[[#This Row],[ProductID]],tblProducts[ProductID],tblProducts[Category])</f>
        <v>Electronics</v>
      </c>
    </row>
    <row r="426" spans="1:19">
      <c r="A426" t="s">
        <v>16743</v>
      </c>
      <c r="B426" s="1">
        <v>45404</v>
      </c>
      <c r="C426" t="s">
        <v>156</v>
      </c>
      <c r="D426" t="str">
        <f>_xlfn.XLOOKUP(tblTransactions[[#This Row],[CustomerID]],tblCustomers[CustomerID],tblCustomers[CustomerName])</f>
        <v>Ekavir Bhargava</v>
      </c>
      <c r="E426" t="s">
        <v>16030</v>
      </c>
      <c r="F426" t="str">
        <f>_xlfn.XLOOKUP(tblTransactions[[#This Row],[ProductID]],tblProducts[ProductID],tblProducts[ProductName])</f>
        <v>Study Table C3</v>
      </c>
      <c r="G426" t="s">
        <v>16265</v>
      </c>
      <c r="H426" t="str">
        <f>_xlfn.XLOOKUP(tblTransactions[[#This Row],[StoreID]],tblStores[StoreID],tblStores[Region])</f>
        <v>North</v>
      </c>
      <c r="I426">
        <v>2</v>
      </c>
      <c r="J426">
        <v>0.05</v>
      </c>
      <c r="K426" t="s">
        <v>16317</v>
      </c>
      <c r="L426" s="9">
        <f>_xlfn.XLOOKUP(tblTransactions[[#This Row],[ProductID]],tblProducts[ProductID],tblProducts[UnitPrice])</f>
        <v>29675.72</v>
      </c>
      <c r="M426" s="9">
        <f>tblTransactions[[#This Row],[Quantity]]*tblTransactions[[#This Row],[UnitPrice]]</f>
        <v>59351.44</v>
      </c>
      <c r="N426" s="9">
        <f>tblTransactions[[#This Row],[GrossSales]]*tblTransactions[[#This Row],[Discount]]</f>
        <v>2967.5720000000001</v>
      </c>
      <c r="O426" s="9">
        <f>tblTransactions[[#This Row],[GrossSales]]-tblTransactions[[#This Row],[DiscountAmount]]</f>
        <v>56383.868000000002</v>
      </c>
      <c r="P426" s="9">
        <f>_xlfn.XLOOKUP(tblTransactions[[#This Row],[ProductID]],tblProducts[ProductID],tblProducts[UnitCost])</f>
        <v>17695.330000000002</v>
      </c>
      <c r="Q426" s="9">
        <f>tblTransactions[[#This Row],[Quantity]]*tblTransactions[[#This Row],[UnitCost]]</f>
        <v>35390.660000000003</v>
      </c>
      <c r="R426" s="9">
        <f>tblTransactions[[#This Row],[NetRevenue]]-tblTransactions[[#This Row],[TotalCost]]</f>
        <v>20993.207999999999</v>
      </c>
      <c r="S426" t="str">
        <f>_xlfn.XLOOKUP(tblTransactions[[#This Row],[ProductID]],tblProducts[ProductID],tblProducts[Category])</f>
        <v>Home &amp; Kitchen</v>
      </c>
    </row>
    <row r="427" spans="1:19">
      <c r="A427" t="s">
        <v>16744</v>
      </c>
      <c r="B427" s="1">
        <v>45408</v>
      </c>
      <c r="C427" t="s">
        <v>13429</v>
      </c>
      <c r="D427" t="str">
        <f>_xlfn.XLOOKUP(tblTransactions[[#This Row],[CustomerID]],tblCustomers[CustomerID],tblCustomers[CustomerName])</f>
        <v>Bhavya Agarwal</v>
      </c>
      <c r="E427" t="s">
        <v>15954</v>
      </c>
      <c r="F427" t="str">
        <f>_xlfn.XLOOKUP(tblTransactions[[#This Row],[ProductID]],tblProducts[ProductID],tblProducts[ProductName])</f>
        <v>5G Smartphone E5</v>
      </c>
      <c r="G427" t="s">
        <v>16293</v>
      </c>
      <c r="H427" t="str">
        <f>_xlfn.XLOOKUP(tblTransactions[[#This Row],[StoreID]],tblStores[StoreID],tblStores[Region])</f>
        <v>South</v>
      </c>
      <c r="I427">
        <v>2</v>
      </c>
      <c r="J427">
        <v>0</v>
      </c>
      <c r="K427" t="s">
        <v>16317</v>
      </c>
      <c r="L427" s="9">
        <f>_xlfn.XLOOKUP(tblTransactions[[#This Row],[ProductID]],tblProducts[ProductID],tblProducts[UnitPrice])</f>
        <v>36179.730000000003</v>
      </c>
      <c r="M427" s="9">
        <f>tblTransactions[[#This Row],[Quantity]]*tblTransactions[[#This Row],[UnitPrice]]</f>
        <v>72359.460000000006</v>
      </c>
      <c r="N427" s="9">
        <f>tblTransactions[[#This Row],[GrossSales]]*tblTransactions[[#This Row],[Discount]]</f>
        <v>0</v>
      </c>
      <c r="O427" s="9">
        <f>tblTransactions[[#This Row],[GrossSales]]-tblTransactions[[#This Row],[DiscountAmount]]</f>
        <v>72359.460000000006</v>
      </c>
      <c r="P427" s="9">
        <f>_xlfn.XLOOKUP(tblTransactions[[#This Row],[ProductID]],tblProducts[ProductID],tblProducts[UnitCost])</f>
        <v>25344.32</v>
      </c>
      <c r="Q427" s="9">
        <f>tblTransactions[[#This Row],[Quantity]]*tblTransactions[[#This Row],[UnitCost]]</f>
        <v>50688.639999999999</v>
      </c>
      <c r="R427" s="9">
        <f>tblTransactions[[#This Row],[NetRevenue]]-tblTransactions[[#This Row],[TotalCost]]</f>
        <v>21670.820000000007</v>
      </c>
      <c r="S427" t="str">
        <f>_xlfn.XLOOKUP(tblTransactions[[#This Row],[ProductID]],tblProducts[ProductID],tblProducts[Category])</f>
        <v>Electronics</v>
      </c>
    </row>
    <row r="428" spans="1:19">
      <c r="A428" t="s">
        <v>16745</v>
      </c>
      <c r="B428" s="1">
        <v>45408</v>
      </c>
      <c r="C428" t="s">
        <v>12555</v>
      </c>
      <c r="D428" t="str">
        <f>_xlfn.XLOOKUP(tblTransactions[[#This Row],[CustomerID]],tblCustomers[CustomerID],tblCustomers[CustomerName])</f>
        <v>Yashoda Narayanan</v>
      </c>
      <c r="E428" t="s">
        <v>16137</v>
      </c>
      <c r="F428" t="str">
        <f>_xlfn.XLOOKUP(tblTransactions[[#This Row],[ProductID]],tblProducts[ProductID],tblProducts[ProductName])</f>
        <v>Sugar C3</v>
      </c>
      <c r="G428" t="s">
        <v>16285</v>
      </c>
      <c r="H428" t="str">
        <f>_xlfn.XLOOKUP(tblTransactions[[#This Row],[StoreID]],tblStores[StoreID],tblStores[Region])</f>
        <v>West</v>
      </c>
      <c r="I428">
        <v>1</v>
      </c>
      <c r="J428">
        <v>0</v>
      </c>
      <c r="K428" t="s">
        <v>16321</v>
      </c>
      <c r="L428" s="9">
        <f>_xlfn.XLOOKUP(tblTransactions[[#This Row],[ProductID]],tblProducts[ProductID],tblProducts[UnitPrice])</f>
        <v>1140.1600000000001</v>
      </c>
      <c r="M428" s="9">
        <f>tblTransactions[[#This Row],[Quantity]]*tblTransactions[[#This Row],[UnitPrice]]</f>
        <v>1140.1600000000001</v>
      </c>
      <c r="N428" s="9">
        <f>tblTransactions[[#This Row],[GrossSales]]*tblTransactions[[#This Row],[Discount]]</f>
        <v>0</v>
      </c>
      <c r="O428" s="9">
        <f>tblTransactions[[#This Row],[GrossSales]]-tblTransactions[[#This Row],[DiscountAmount]]</f>
        <v>1140.1600000000001</v>
      </c>
      <c r="P428" s="9">
        <f>_xlfn.XLOOKUP(tblTransactions[[#This Row],[ProductID]],tblProducts[ProductID],tblProducts[UnitCost])</f>
        <v>763.74</v>
      </c>
      <c r="Q428" s="9">
        <f>tblTransactions[[#This Row],[Quantity]]*tblTransactions[[#This Row],[UnitCost]]</f>
        <v>763.74</v>
      </c>
      <c r="R428" s="9">
        <f>tblTransactions[[#This Row],[NetRevenue]]-tblTransactions[[#This Row],[TotalCost]]</f>
        <v>376.42000000000007</v>
      </c>
      <c r="S428" t="str">
        <f>_xlfn.XLOOKUP(tblTransactions[[#This Row],[ProductID]],tblProducts[ProductID],tblProducts[Category])</f>
        <v>Grocery</v>
      </c>
    </row>
    <row r="429" spans="1:19">
      <c r="A429" t="s">
        <v>16746</v>
      </c>
      <c r="B429" s="1">
        <v>45409</v>
      </c>
      <c r="C429" t="s">
        <v>5937</v>
      </c>
      <c r="D429" t="str">
        <f>_xlfn.XLOOKUP(tblTransactions[[#This Row],[CustomerID]],tblCustomers[CustomerID],tblCustomers[CustomerName])</f>
        <v>Kevin Rattan</v>
      </c>
      <c r="E429" t="s">
        <v>16206</v>
      </c>
      <c r="F429" t="str">
        <f>_xlfn.XLOOKUP(tblTransactions[[#This Row],[ProductID]],tblProducts[ProductID],tblProducts[ProductName])</f>
        <v>Moisturizer B7</v>
      </c>
      <c r="G429" t="s">
        <v>16289</v>
      </c>
      <c r="H429" t="str">
        <f>_xlfn.XLOOKUP(tblTransactions[[#This Row],[StoreID]],tblStores[StoreID],tblStores[Region])</f>
        <v>South</v>
      </c>
      <c r="I429">
        <v>1</v>
      </c>
      <c r="J429">
        <v>0.05</v>
      </c>
      <c r="K429" t="s">
        <v>16319</v>
      </c>
      <c r="L429" s="9">
        <f>_xlfn.XLOOKUP(tblTransactions[[#This Row],[ProductID]],tblProducts[ProductID],tblProducts[UnitPrice])</f>
        <v>3285.82</v>
      </c>
      <c r="M429" s="9">
        <f>tblTransactions[[#This Row],[Quantity]]*tblTransactions[[#This Row],[UnitPrice]]</f>
        <v>3285.82</v>
      </c>
      <c r="N429" s="9">
        <f>tblTransactions[[#This Row],[GrossSales]]*tblTransactions[[#This Row],[Discount]]</f>
        <v>164.29100000000003</v>
      </c>
      <c r="O429" s="9">
        <f>tblTransactions[[#This Row],[GrossSales]]-tblTransactions[[#This Row],[DiscountAmount]]</f>
        <v>3121.529</v>
      </c>
      <c r="P429" s="9">
        <f>_xlfn.XLOOKUP(tblTransactions[[#This Row],[ProductID]],tblProducts[ProductID],tblProducts[UnitCost])</f>
        <v>2256.9699999999998</v>
      </c>
      <c r="Q429" s="9">
        <f>tblTransactions[[#This Row],[Quantity]]*tblTransactions[[#This Row],[UnitCost]]</f>
        <v>2256.9699999999998</v>
      </c>
      <c r="R429" s="9">
        <f>tblTransactions[[#This Row],[NetRevenue]]-tblTransactions[[#This Row],[TotalCost]]</f>
        <v>864.5590000000002</v>
      </c>
      <c r="S429" t="str">
        <f>_xlfn.XLOOKUP(tblTransactions[[#This Row],[ProductID]],tblProducts[ProductID],tblProducts[Category])</f>
        <v>Personal Care</v>
      </c>
    </row>
    <row r="430" spans="1:19">
      <c r="A430" t="s">
        <v>16747</v>
      </c>
      <c r="B430" s="1">
        <v>45410</v>
      </c>
      <c r="C430" t="s">
        <v>2181</v>
      </c>
      <c r="D430" t="str">
        <f>_xlfn.XLOOKUP(tblTransactions[[#This Row],[CustomerID]],tblCustomers[CustomerID],tblCustomers[CustomerName])</f>
        <v>Mekhala Nanda</v>
      </c>
      <c r="E430" t="s">
        <v>15933</v>
      </c>
      <c r="F430" t="str">
        <f>_xlfn.XLOOKUP(tblTransactions[[#This Row],[ProductID]],tblProducts[ProductID],tblProducts[ProductName])</f>
        <v>Smart LED TV C3</v>
      </c>
      <c r="G430" t="s">
        <v>16281</v>
      </c>
      <c r="H430" t="str">
        <f>_xlfn.XLOOKUP(tblTransactions[[#This Row],[StoreID]],tblStores[StoreID],tblStores[Region])</f>
        <v>West</v>
      </c>
      <c r="I430">
        <v>1</v>
      </c>
      <c r="J430">
        <v>0</v>
      </c>
      <c r="K430" t="s">
        <v>16317</v>
      </c>
      <c r="L430" s="9">
        <f>_xlfn.XLOOKUP(tblTransactions[[#This Row],[ProductID]],tblProducts[ProductID],tblProducts[UnitPrice])</f>
        <v>14374.7</v>
      </c>
      <c r="M430" s="9">
        <f>tblTransactions[[#This Row],[Quantity]]*tblTransactions[[#This Row],[UnitPrice]]</f>
        <v>14374.7</v>
      </c>
      <c r="N430" s="9">
        <f>tblTransactions[[#This Row],[GrossSales]]*tblTransactions[[#This Row],[Discount]]</f>
        <v>0</v>
      </c>
      <c r="O430" s="9">
        <f>tblTransactions[[#This Row],[GrossSales]]-tblTransactions[[#This Row],[DiscountAmount]]</f>
        <v>14374.7</v>
      </c>
      <c r="P430" s="9">
        <f>_xlfn.XLOOKUP(tblTransactions[[#This Row],[ProductID]],tblProducts[ProductID],tblProducts[UnitCost])</f>
        <v>11335.72</v>
      </c>
      <c r="Q430" s="9">
        <f>tblTransactions[[#This Row],[Quantity]]*tblTransactions[[#This Row],[UnitCost]]</f>
        <v>11335.72</v>
      </c>
      <c r="R430" s="9">
        <f>tblTransactions[[#This Row],[NetRevenue]]-tblTransactions[[#This Row],[TotalCost]]</f>
        <v>3038.9800000000014</v>
      </c>
      <c r="S430" t="str">
        <f>_xlfn.XLOOKUP(tblTransactions[[#This Row],[ProductID]],tblProducts[ProductID],tblProducts[Category])</f>
        <v>Electronics</v>
      </c>
    </row>
    <row r="431" spans="1:19">
      <c r="A431" t="s">
        <v>16748</v>
      </c>
      <c r="B431" s="1">
        <v>45410</v>
      </c>
      <c r="C431" t="s">
        <v>1169</v>
      </c>
      <c r="D431" t="str">
        <f>_xlfn.XLOOKUP(tblTransactions[[#This Row],[CustomerID]],tblCustomers[CustomerID],tblCustomers[CustomerName])</f>
        <v>Hemani Rastogi</v>
      </c>
      <c r="E431" t="s">
        <v>15979</v>
      </c>
      <c r="F431" t="str">
        <f>_xlfn.XLOOKUP(tblTransactions[[#This Row],[ProductID]],tblProducts[ProductID],tblProducts[ProductName])</f>
        <v>Soundbar A1</v>
      </c>
      <c r="G431" t="s">
        <v>16285</v>
      </c>
      <c r="H431" t="str">
        <f>_xlfn.XLOOKUP(tblTransactions[[#This Row],[StoreID]],tblStores[StoreID],tblStores[Region])</f>
        <v>West</v>
      </c>
      <c r="I431">
        <v>2</v>
      </c>
      <c r="J431">
        <v>0.1</v>
      </c>
      <c r="K431" t="s">
        <v>16317</v>
      </c>
      <c r="L431" s="9">
        <f>_xlfn.XLOOKUP(tblTransactions[[#This Row],[ProductID]],tblProducts[ProductID],tblProducts[UnitPrice])</f>
        <v>45527.55</v>
      </c>
      <c r="M431" s="9">
        <f>tblTransactions[[#This Row],[Quantity]]*tblTransactions[[#This Row],[UnitPrice]]</f>
        <v>91055.1</v>
      </c>
      <c r="N431" s="9">
        <f>tblTransactions[[#This Row],[GrossSales]]*tblTransactions[[#This Row],[Discount]]</f>
        <v>9105.51</v>
      </c>
      <c r="O431" s="9">
        <f>tblTransactions[[#This Row],[GrossSales]]-tblTransactions[[#This Row],[DiscountAmount]]</f>
        <v>81949.590000000011</v>
      </c>
      <c r="P431" s="9">
        <f>_xlfn.XLOOKUP(tblTransactions[[#This Row],[ProductID]],tblProducts[ProductID],tblProducts[UnitCost])</f>
        <v>35089.57</v>
      </c>
      <c r="Q431" s="9">
        <f>tblTransactions[[#This Row],[Quantity]]*tblTransactions[[#This Row],[UnitCost]]</f>
        <v>70179.14</v>
      </c>
      <c r="R431" s="9">
        <f>tblTransactions[[#This Row],[NetRevenue]]-tblTransactions[[#This Row],[TotalCost]]</f>
        <v>11770.450000000012</v>
      </c>
      <c r="S431" t="str">
        <f>_xlfn.XLOOKUP(tblTransactions[[#This Row],[ProductID]],tblProducts[ProductID],tblProducts[Category])</f>
        <v>Electronics</v>
      </c>
    </row>
    <row r="432" spans="1:19">
      <c r="A432" t="s">
        <v>16749</v>
      </c>
      <c r="B432" s="1">
        <v>45411</v>
      </c>
      <c r="C432" t="s">
        <v>5615</v>
      </c>
      <c r="D432" t="str">
        <f>_xlfn.XLOOKUP(tblTransactions[[#This Row],[CustomerID]],tblCustomers[CustomerID],tblCustomers[CustomerName])</f>
        <v>Sanaya D’Alia</v>
      </c>
      <c r="E432" t="s">
        <v>16169</v>
      </c>
      <c r="F432" t="str">
        <f>_xlfn.XLOOKUP(tblTransactions[[#This Row],[ProductID]],tblProducts[ProductID],tblProducts[ProductName])</f>
        <v>Coffee D4</v>
      </c>
      <c r="G432" t="s">
        <v>16305</v>
      </c>
      <c r="H432" t="str">
        <f>_xlfn.XLOOKUP(tblTransactions[[#This Row],[StoreID]],tblStores[StoreID],tblStores[Region])</f>
        <v>South</v>
      </c>
      <c r="I432">
        <v>1</v>
      </c>
      <c r="J432">
        <v>0</v>
      </c>
      <c r="K432" t="s">
        <v>16321</v>
      </c>
      <c r="L432" s="9">
        <f>_xlfn.XLOOKUP(tblTransactions[[#This Row],[ProductID]],tblProducts[ProductID],tblProducts[UnitPrice])</f>
        <v>985.76</v>
      </c>
      <c r="M432" s="9">
        <f>tblTransactions[[#This Row],[Quantity]]*tblTransactions[[#This Row],[UnitPrice]]</f>
        <v>985.76</v>
      </c>
      <c r="N432" s="9">
        <f>tblTransactions[[#This Row],[GrossSales]]*tblTransactions[[#This Row],[Discount]]</f>
        <v>0</v>
      </c>
      <c r="O432" s="9">
        <f>tblTransactions[[#This Row],[GrossSales]]-tblTransactions[[#This Row],[DiscountAmount]]</f>
        <v>985.76</v>
      </c>
      <c r="P432" s="9">
        <f>_xlfn.XLOOKUP(tblTransactions[[#This Row],[ProductID]],tblProducts[ProductID],tblProducts[UnitCost])</f>
        <v>669.86</v>
      </c>
      <c r="Q432" s="9">
        <f>tblTransactions[[#This Row],[Quantity]]*tblTransactions[[#This Row],[UnitCost]]</f>
        <v>669.86</v>
      </c>
      <c r="R432" s="9">
        <f>tblTransactions[[#This Row],[NetRevenue]]-tblTransactions[[#This Row],[TotalCost]]</f>
        <v>315.89999999999998</v>
      </c>
      <c r="S432" t="str">
        <f>_xlfn.XLOOKUP(tblTransactions[[#This Row],[ProductID]],tblProducts[ProductID],tblProducts[Category])</f>
        <v>Grocery</v>
      </c>
    </row>
    <row r="433" spans="1:19">
      <c r="A433" t="s">
        <v>16750</v>
      </c>
      <c r="B433" s="1">
        <v>45414</v>
      </c>
      <c r="C433" t="s">
        <v>4606</v>
      </c>
      <c r="D433" t="str">
        <f>_xlfn.XLOOKUP(tblTransactions[[#This Row],[CustomerID]],tblCustomers[CustomerID],tblCustomers[CustomerName])</f>
        <v>Pranav Khatri</v>
      </c>
      <c r="E433" t="s">
        <v>16162</v>
      </c>
      <c r="F433" t="str">
        <f>_xlfn.XLOOKUP(tblTransactions[[#This Row],[ProductID]],tblProducts[ProductID],tblProducts[ProductName])</f>
        <v>Tea A1</v>
      </c>
      <c r="G433" t="s">
        <v>16283</v>
      </c>
      <c r="H433" t="str">
        <f>_xlfn.XLOOKUP(tblTransactions[[#This Row],[StoreID]],tblStores[StoreID],tblStores[Region])</f>
        <v>South</v>
      </c>
      <c r="I433">
        <v>1</v>
      </c>
      <c r="J433">
        <v>0</v>
      </c>
      <c r="K433" t="s">
        <v>16325</v>
      </c>
      <c r="L433" s="9">
        <f>_xlfn.XLOOKUP(tblTransactions[[#This Row],[ProductID]],tblProducts[ProductID],tblProducts[UnitPrice])</f>
        <v>675.13</v>
      </c>
      <c r="M433" s="9">
        <f>tblTransactions[[#This Row],[Quantity]]*tblTransactions[[#This Row],[UnitPrice]]</f>
        <v>675.13</v>
      </c>
      <c r="N433" s="9">
        <f>tblTransactions[[#This Row],[GrossSales]]*tblTransactions[[#This Row],[Discount]]</f>
        <v>0</v>
      </c>
      <c r="O433" s="9">
        <f>tblTransactions[[#This Row],[GrossSales]]-tblTransactions[[#This Row],[DiscountAmount]]</f>
        <v>675.13</v>
      </c>
      <c r="P433" s="9">
        <f>_xlfn.XLOOKUP(tblTransactions[[#This Row],[ProductID]],tblProducts[ProductID],tblProducts[UnitCost])</f>
        <v>510.45</v>
      </c>
      <c r="Q433" s="9">
        <f>tblTransactions[[#This Row],[Quantity]]*tblTransactions[[#This Row],[UnitCost]]</f>
        <v>510.45</v>
      </c>
      <c r="R433" s="9">
        <f>tblTransactions[[#This Row],[NetRevenue]]-tblTransactions[[#This Row],[TotalCost]]</f>
        <v>164.68</v>
      </c>
      <c r="S433" t="str">
        <f>_xlfn.XLOOKUP(tblTransactions[[#This Row],[ProductID]],tblProducts[ProductID],tblProducts[Category])</f>
        <v>Grocery</v>
      </c>
    </row>
    <row r="434" spans="1:19">
      <c r="A434" t="s">
        <v>16751</v>
      </c>
      <c r="B434" s="1">
        <v>45415</v>
      </c>
      <c r="C434" t="s">
        <v>12133</v>
      </c>
      <c r="D434" t="str">
        <f>_xlfn.XLOOKUP(tblTransactions[[#This Row],[CustomerID]],tblCustomers[CustomerID],tblCustomers[CustomerName])</f>
        <v>Urvi Kapadia</v>
      </c>
      <c r="E434" t="s">
        <v>16192</v>
      </c>
      <c r="F434" t="str">
        <f>_xlfn.XLOOKUP(tblTransactions[[#This Row],[ProductID]],tblProducts[ProductID],tblProducts[ProductName])</f>
        <v>Face Cream A1</v>
      </c>
      <c r="G434" t="s">
        <v>16293</v>
      </c>
      <c r="H434" t="str">
        <f>_xlfn.XLOOKUP(tblTransactions[[#This Row],[StoreID]],tblStores[StoreID],tblStores[Region])</f>
        <v>South</v>
      </c>
      <c r="I434">
        <v>2</v>
      </c>
      <c r="J434">
        <v>0.05</v>
      </c>
      <c r="K434" t="s">
        <v>16319</v>
      </c>
      <c r="L434" s="9">
        <f>_xlfn.XLOOKUP(tblTransactions[[#This Row],[ProductID]],tblProducts[ProductID],tblProducts[UnitPrice])</f>
        <v>1666.93</v>
      </c>
      <c r="M434" s="9">
        <f>tblTransactions[[#This Row],[Quantity]]*tblTransactions[[#This Row],[UnitPrice]]</f>
        <v>3333.86</v>
      </c>
      <c r="N434" s="9">
        <f>tblTransactions[[#This Row],[GrossSales]]*tblTransactions[[#This Row],[Discount]]</f>
        <v>166.69300000000001</v>
      </c>
      <c r="O434" s="9">
        <f>tblTransactions[[#This Row],[GrossSales]]-tblTransactions[[#This Row],[DiscountAmount]]</f>
        <v>3167.1669999999999</v>
      </c>
      <c r="P434" s="9">
        <f>_xlfn.XLOOKUP(tblTransactions[[#This Row],[ProductID]],tblProducts[ProductID],tblProducts[UnitCost])</f>
        <v>983.54</v>
      </c>
      <c r="Q434" s="9">
        <f>tblTransactions[[#This Row],[Quantity]]*tblTransactions[[#This Row],[UnitCost]]</f>
        <v>1967.08</v>
      </c>
      <c r="R434" s="9">
        <f>tblTransactions[[#This Row],[NetRevenue]]-tblTransactions[[#This Row],[TotalCost]]</f>
        <v>1200.087</v>
      </c>
      <c r="S434" t="str">
        <f>_xlfn.XLOOKUP(tblTransactions[[#This Row],[ProductID]],tblProducts[ProductID],tblProducts[Category])</f>
        <v>Personal Care</v>
      </c>
    </row>
    <row r="435" spans="1:19">
      <c r="A435" t="s">
        <v>16752</v>
      </c>
      <c r="B435" s="1">
        <v>45415</v>
      </c>
      <c r="C435" t="s">
        <v>14625</v>
      </c>
      <c r="D435" t="str">
        <f>_xlfn.XLOOKUP(tblTransactions[[#This Row],[CustomerID]],tblCustomers[CustomerID],tblCustomers[CustomerName])</f>
        <v>Hamsini Batta</v>
      </c>
      <c r="E435" t="s">
        <v>16196</v>
      </c>
      <c r="F435" t="str">
        <f>_xlfn.XLOOKUP(tblTransactions[[#This Row],[ProductID]],tblProducts[ProductID],tblProducts[ProductName])</f>
        <v>Sunscreen B2</v>
      </c>
      <c r="G435" t="s">
        <v>16275</v>
      </c>
      <c r="H435" t="str">
        <f>_xlfn.XLOOKUP(tblTransactions[[#This Row],[StoreID]],tblStores[StoreID],tblStores[Region])</f>
        <v>South</v>
      </c>
      <c r="I435">
        <v>1</v>
      </c>
      <c r="J435">
        <v>0.1</v>
      </c>
      <c r="K435" t="s">
        <v>16321</v>
      </c>
      <c r="L435" s="9">
        <f>_xlfn.XLOOKUP(tblTransactions[[#This Row],[ProductID]],tblProducts[ProductID],tblProducts[UnitPrice])</f>
        <v>1841.85</v>
      </c>
      <c r="M435" s="9">
        <f>tblTransactions[[#This Row],[Quantity]]*tblTransactions[[#This Row],[UnitPrice]]</f>
        <v>1841.85</v>
      </c>
      <c r="N435" s="9">
        <f>tblTransactions[[#This Row],[GrossSales]]*tblTransactions[[#This Row],[Discount]]</f>
        <v>184.185</v>
      </c>
      <c r="O435" s="9">
        <f>tblTransactions[[#This Row],[GrossSales]]-tblTransactions[[#This Row],[DiscountAmount]]</f>
        <v>1657.665</v>
      </c>
      <c r="P435" s="9">
        <f>_xlfn.XLOOKUP(tblTransactions[[#This Row],[ProductID]],tblProducts[ProductID],tblProducts[UnitCost])</f>
        <v>1327.7</v>
      </c>
      <c r="Q435" s="9">
        <f>tblTransactions[[#This Row],[Quantity]]*tblTransactions[[#This Row],[UnitCost]]</f>
        <v>1327.7</v>
      </c>
      <c r="R435" s="9">
        <f>tblTransactions[[#This Row],[NetRevenue]]-tblTransactions[[#This Row],[TotalCost]]</f>
        <v>329.96499999999992</v>
      </c>
      <c r="S435" t="str">
        <f>_xlfn.XLOOKUP(tblTransactions[[#This Row],[ProductID]],tblProducts[ProductID],tblProducts[Category])</f>
        <v>Personal Care</v>
      </c>
    </row>
    <row r="436" spans="1:19">
      <c r="A436" t="s">
        <v>16753</v>
      </c>
      <c r="B436" s="1">
        <v>45417</v>
      </c>
      <c r="C436" t="s">
        <v>9194</v>
      </c>
      <c r="D436" t="str">
        <f>_xlfn.XLOOKUP(tblTransactions[[#This Row],[CustomerID]],tblCustomers[CustomerID],tblCustomers[CustomerName])</f>
        <v>Pahal Panchal</v>
      </c>
      <c r="E436" t="s">
        <v>16053</v>
      </c>
      <c r="F436" t="str">
        <f>_xlfn.XLOOKUP(tblTransactions[[#This Row],[ProductID]],tblProducts[ProductID],tblProducts[ProductName])</f>
        <v>Pressure Cooker B7</v>
      </c>
      <c r="G436" t="s">
        <v>16291</v>
      </c>
      <c r="H436" t="str">
        <f>_xlfn.XLOOKUP(tblTransactions[[#This Row],[StoreID]],tblStores[StoreID],tblStores[Region])</f>
        <v>South</v>
      </c>
      <c r="I436">
        <v>4</v>
      </c>
      <c r="J436">
        <v>0</v>
      </c>
      <c r="K436" t="s">
        <v>16317</v>
      </c>
      <c r="L436" s="9">
        <f>_xlfn.XLOOKUP(tblTransactions[[#This Row],[ProductID]],tblProducts[ProductID],tblProducts[UnitPrice])</f>
        <v>24743.52</v>
      </c>
      <c r="M436" s="9">
        <f>tblTransactions[[#This Row],[Quantity]]*tblTransactions[[#This Row],[UnitPrice]]</f>
        <v>98974.080000000002</v>
      </c>
      <c r="N436" s="9">
        <f>tblTransactions[[#This Row],[GrossSales]]*tblTransactions[[#This Row],[Discount]]</f>
        <v>0</v>
      </c>
      <c r="O436" s="9">
        <f>tblTransactions[[#This Row],[GrossSales]]-tblTransactions[[#This Row],[DiscountAmount]]</f>
        <v>98974.080000000002</v>
      </c>
      <c r="P436" s="9">
        <f>_xlfn.XLOOKUP(tblTransactions[[#This Row],[ProductID]],tblProducts[ProductID],tblProducts[UnitCost])</f>
        <v>16620.189999999999</v>
      </c>
      <c r="Q436" s="9">
        <f>tblTransactions[[#This Row],[Quantity]]*tblTransactions[[#This Row],[UnitCost]]</f>
        <v>66480.759999999995</v>
      </c>
      <c r="R436" s="9">
        <f>tblTransactions[[#This Row],[NetRevenue]]-tblTransactions[[#This Row],[TotalCost]]</f>
        <v>32493.320000000007</v>
      </c>
      <c r="S436" t="str">
        <f>_xlfn.XLOOKUP(tblTransactions[[#This Row],[ProductID]],tblProducts[ProductID],tblProducts[Category])</f>
        <v>Home &amp; Kitchen</v>
      </c>
    </row>
    <row r="437" spans="1:19">
      <c r="A437" t="s">
        <v>16754</v>
      </c>
      <c r="B437" s="1">
        <v>45419</v>
      </c>
      <c r="C437" t="s">
        <v>11204</v>
      </c>
      <c r="D437" t="str">
        <f>_xlfn.XLOOKUP(tblTransactions[[#This Row],[CustomerID]],tblCustomers[CustomerID],tblCustomers[CustomerName])</f>
        <v>Isaiah Kothari</v>
      </c>
      <c r="E437" t="s">
        <v>16249</v>
      </c>
      <c r="F437" t="str">
        <f>_xlfn.XLOOKUP(tblTransactions[[#This Row],[ProductID]],tblProducts[ProductID],tblProducts[ProductName])</f>
        <v>Beard Oil A6</v>
      </c>
      <c r="G437" t="s">
        <v>16275</v>
      </c>
      <c r="H437" t="str">
        <f>_xlfn.XLOOKUP(tblTransactions[[#This Row],[StoreID]],tblStores[StoreID],tblStores[Region])</f>
        <v>South</v>
      </c>
      <c r="I437">
        <v>3</v>
      </c>
      <c r="J437">
        <v>0</v>
      </c>
      <c r="K437" t="s">
        <v>16325</v>
      </c>
      <c r="L437" s="9">
        <f>_xlfn.XLOOKUP(tblTransactions[[#This Row],[ProductID]],tblProducts[ProductID],tblProducts[UnitPrice])</f>
        <v>4294.7</v>
      </c>
      <c r="M437" s="9">
        <f>tblTransactions[[#This Row],[Quantity]]*tblTransactions[[#This Row],[UnitPrice]]</f>
        <v>12884.099999999999</v>
      </c>
      <c r="N437" s="9">
        <f>tblTransactions[[#This Row],[GrossSales]]*tblTransactions[[#This Row],[Discount]]</f>
        <v>0</v>
      </c>
      <c r="O437" s="9">
        <f>tblTransactions[[#This Row],[GrossSales]]-tblTransactions[[#This Row],[DiscountAmount]]</f>
        <v>12884.099999999999</v>
      </c>
      <c r="P437" s="9">
        <f>_xlfn.XLOOKUP(tblTransactions[[#This Row],[ProductID]],tblProducts[ProductID],tblProducts[UnitCost])</f>
        <v>3317.06</v>
      </c>
      <c r="Q437" s="9">
        <f>tblTransactions[[#This Row],[Quantity]]*tblTransactions[[#This Row],[UnitCost]]</f>
        <v>9951.18</v>
      </c>
      <c r="R437" s="9">
        <f>tblTransactions[[#This Row],[NetRevenue]]-tblTransactions[[#This Row],[TotalCost]]</f>
        <v>2932.9199999999983</v>
      </c>
      <c r="S437" t="str">
        <f>_xlfn.XLOOKUP(tblTransactions[[#This Row],[ProductID]],tblProducts[ProductID],tblProducts[Category])</f>
        <v>Personal Care</v>
      </c>
    </row>
    <row r="438" spans="1:19">
      <c r="A438" t="s">
        <v>16755</v>
      </c>
      <c r="B438" s="1">
        <v>45419</v>
      </c>
      <c r="C438" t="s">
        <v>11988</v>
      </c>
      <c r="D438" t="str">
        <f>_xlfn.XLOOKUP(tblTransactions[[#This Row],[CustomerID]],tblCustomers[CustomerID],tblCustomers[CustomerName])</f>
        <v>Wriddhish Desai</v>
      </c>
      <c r="E438" t="s">
        <v>16211</v>
      </c>
      <c r="F438" t="str">
        <f>_xlfn.XLOOKUP(tblTransactions[[#This Row],[ProductID]],tblProducts[ProductID],tblProducts[ProductName])</f>
        <v>Hair Serum B2</v>
      </c>
      <c r="G438" t="s">
        <v>16301</v>
      </c>
      <c r="H438" t="str">
        <f>_xlfn.XLOOKUP(tblTransactions[[#This Row],[StoreID]],tblStores[StoreID],tblStores[Region])</f>
        <v>East</v>
      </c>
      <c r="I438">
        <v>1</v>
      </c>
      <c r="J438">
        <v>0</v>
      </c>
      <c r="K438" t="s">
        <v>16325</v>
      </c>
      <c r="L438" s="9">
        <f>_xlfn.XLOOKUP(tblTransactions[[#This Row],[ProductID]],tblProducts[ProductID],tblProducts[UnitPrice])</f>
        <v>4780.68</v>
      </c>
      <c r="M438" s="9">
        <f>tblTransactions[[#This Row],[Quantity]]*tblTransactions[[#This Row],[UnitPrice]]</f>
        <v>4780.68</v>
      </c>
      <c r="N438" s="9">
        <f>tblTransactions[[#This Row],[GrossSales]]*tblTransactions[[#This Row],[Discount]]</f>
        <v>0</v>
      </c>
      <c r="O438" s="9">
        <f>tblTransactions[[#This Row],[GrossSales]]-tblTransactions[[#This Row],[DiscountAmount]]</f>
        <v>4780.68</v>
      </c>
      <c r="P438" s="9">
        <f>_xlfn.XLOOKUP(tblTransactions[[#This Row],[ProductID]],tblProducts[ProductID],tblProducts[UnitCost])</f>
        <v>3940.05</v>
      </c>
      <c r="Q438" s="9">
        <f>tblTransactions[[#This Row],[Quantity]]*tblTransactions[[#This Row],[UnitCost]]</f>
        <v>3940.05</v>
      </c>
      <c r="R438" s="9">
        <f>tblTransactions[[#This Row],[NetRevenue]]-tblTransactions[[#This Row],[TotalCost]]</f>
        <v>840.63000000000011</v>
      </c>
      <c r="S438" t="str">
        <f>_xlfn.XLOOKUP(tblTransactions[[#This Row],[ProductID]],tblProducts[ProductID],tblProducts[Category])</f>
        <v>Personal Care</v>
      </c>
    </row>
    <row r="439" spans="1:19">
      <c r="A439" t="s">
        <v>16756</v>
      </c>
      <c r="B439" s="1">
        <v>45420</v>
      </c>
      <c r="C439" t="s">
        <v>4186</v>
      </c>
      <c r="D439" t="str">
        <f>_xlfn.XLOOKUP(tblTransactions[[#This Row],[CustomerID]],tblCustomers[CustomerID],tblCustomers[CustomerName])</f>
        <v>Hema Gera</v>
      </c>
      <c r="E439" t="s">
        <v>16066</v>
      </c>
      <c r="F439" t="str">
        <f>_xlfn.XLOOKUP(tblTransactions[[#This Row],[ProductID]],tblProducts[ProductID],tblProducts[ProductName])</f>
        <v>Decorative Vase A6</v>
      </c>
      <c r="G439" t="s">
        <v>16285</v>
      </c>
      <c r="H439" t="str">
        <f>_xlfn.XLOOKUP(tblTransactions[[#This Row],[StoreID]],tblStores[StoreID],tblStores[Region])</f>
        <v>West</v>
      </c>
      <c r="I439">
        <v>1</v>
      </c>
      <c r="J439">
        <v>0</v>
      </c>
      <c r="K439" t="s">
        <v>16317</v>
      </c>
      <c r="L439" s="9">
        <f>_xlfn.XLOOKUP(tblTransactions[[#This Row],[ProductID]],tblProducts[ProductID],tblProducts[UnitPrice])</f>
        <v>3429.74</v>
      </c>
      <c r="M439" s="9">
        <f>tblTransactions[[#This Row],[Quantity]]*tblTransactions[[#This Row],[UnitPrice]]</f>
        <v>3429.74</v>
      </c>
      <c r="N439" s="9">
        <f>tblTransactions[[#This Row],[GrossSales]]*tblTransactions[[#This Row],[Discount]]</f>
        <v>0</v>
      </c>
      <c r="O439" s="9">
        <f>tblTransactions[[#This Row],[GrossSales]]-tblTransactions[[#This Row],[DiscountAmount]]</f>
        <v>3429.74</v>
      </c>
      <c r="P439" s="9">
        <f>_xlfn.XLOOKUP(tblTransactions[[#This Row],[ProductID]],tblProducts[ProductID],tblProducts[UnitCost])</f>
        <v>2172.39</v>
      </c>
      <c r="Q439" s="9">
        <f>tblTransactions[[#This Row],[Quantity]]*tblTransactions[[#This Row],[UnitCost]]</f>
        <v>2172.39</v>
      </c>
      <c r="R439" s="9">
        <f>tblTransactions[[#This Row],[NetRevenue]]-tblTransactions[[#This Row],[TotalCost]]</f>
        <v>1257.3499999999999</v>
      </c>
      <c r="S439" t="str">
        <f>_xlfn.XLOOKUP(tblTransactions[[#This Row],[ProductID]],tblProducts[ProductID],tblProducts[Category])</f>
        <v>Home &amp; Kitchen</v>
      </c>
    </row>
    <row r="440" spans="1:19">
      <c r="A440" t="s">
        <v>16757</v>
      </c>
      <c r="B440" s="1">
        <v>45420</v>
      </c>
      <c r="C440" t="s">
        <v>11743</v>
      </c>
      <c r="D440" t="str">
        <f>_xlfn.XLOOKUP(tblTransactions[[#This Row],[CustomerID]],tblCustomers[CustomerID],tblCustomers[CustomerName])</f>
        <v>Jagat Aggarwal</v>
      </c>
      <c r="E440" t="s">
        <v>15954</v>
      </c>
      <c r="F440" t="str">
        <f>_xlfn.XLOOKUP(tblTransactions[[#This Row],[ProductID]],tblProducts[ProductID],tblProducts[ProductName])</f>
        <v>5G Smartphone E5</v>
      </c>
      <c r="G440" t="s">
        <v>16307</v>
      </c>
      <c r="H440" t="str">
        <f>_xlfn.XLOOKUP(tblTransactions[[#This Row],[StoreID]],tblStores[StoreID],tblStores[Region])</f>
        <v>East</v>
      </c>
      <c r="I440">
        <v>1</v>
      </c>
      <c r="J440">
        <v>0.1</v>
      </c>
      <c r="K440" t="s">
        <v>16321</v>
      </c>
      <c r="L440" s="9">
        <f>_xlfn.XLOOKUP(tblTransactions[[#This Row],[ProductID]],tblProducts[ProductID],tblProducts[UnitPrice])</f>
        <v>36179.730000000003</v>
      </c>
      <c r="M440" s="9">
        <f>tblTransactions[[#This Row],[Quantity]]*tblTransactions[[#This Row],[UnitPrice]]</f>
        <v>36179.730000000003</v>
      </c>
      <c r="N440" s="9">
        <f>tblTransactions[[#This Row],[GrossSales]]*tblTransactions[[#This Row],[Discount]]</f>
        <v>3617.9730000000004</v>
      </c>
      <c r="O440" s="9">
        <f>tblTransactions[[#This Row],[GrossSales]]-tblTransactions[[#This Row],[DiscountAmount]]</f>
        <v>32561.757000000001</v>
      </c>
      <c r="P440" s="9">
        <f>_xlfn.XLOOKUP(tblTransactions[[#This Row],[ProductID]],tblProducts[ProductID],tblProducts[UnitCost])</f>
        <v>25344.32</v>
      </c>
      <c r="Q440" s="9">
        <f>tblTransactions[[#This Row],[Quantity]]*tblTransactions[[#This Row],[UnitCost]]</f>
        <v>25344.32</v>
      </c>
      <c r="R440" s="9">
        <f>tblTransactions[[#This Row],[NetRevenue]]-tblTransactions[[#This Row],[TotalCost]]</f>
        <v>7217.4370000000017</v>
      </c>
      <c r="S440" t="str">
        <f>_xlfn.XLOOKUP(tblTransactions[[#This Row],[ProductID]],tblProducts[ProductID],tblProducts[Category])</f>
        <v>Electronics</v>
      </c>
    </row>
    <row r="441" spans="1:19">
      <c r="A441" t="s">
        <v>16758</v>
      </c>
      <c r="B441" s="1">
        <v>45420</v>
      </c>
      <c r="C441" t="s">
        <v>9231</v>
      </c>
      <c r="D441" t="str">
        <f>_xlfn.XLOOKUP(tblTransactions[[#This Row],[CustomerID]],tblCustomers[CustomerID],tblCustomers[CustomerName])</f>
        <v>Lila Goda</v>
      </c>
      <c r="E441" t="s">
        <v>16196</v>
      </c>
      <c r="F441" t="str">
        <f>_xlfn.XLOOKUP(tblTransactions[[#This Row],[ProductID]],tblProducts[ProductID],tblProducts[ProductName])</f>
        <v>Sunscreen B2</v>
      </c>
      <c r="G441" t="s">
        <v>16293</v>
      </c>
      <c r="H441" t="str">
        <f>_xlfn.XLOOKUP(tblTransactions[[#This Row],[StoreID]],tblStores[StoreID],tblStores[Region])</f>
        <v>South</v>
      </c>
      <c r="I441">
        <v>3</v>
      </c>
      <c r="J441">
        <v>0</v>
      </c>
      <c r="K441" t="s">
        <v>16321</v>
      </c>
      <c r="L441" s="9">
        <f>_xlfn.XLOOKUP(tblTransactions[[#This Row],[ProductID]],tblProducts[ProductID],tblProducts[UnitPrice])</f>
        <v>1841.85</v>
      </c>
      <c r="M441" s="9">
        <f>tblTransactions[[#This Row],[Quantity]]*tblTransactions[[#This Row],[UnitPrice]]</f>
        <v>5525.5499999999993</v>
      </c>
      <c r="N441" s="9">
        <f>tblTransactions[[#This Row],[GrossSales]]*tblTransactions[[#This Row],[Discount]]</f>
        <v>0</v>
      </c>
      <c r="O441" s="9">
        <f>tblTransactions[[#This Row],[GrossSales]]-tblTransactions[[#This Row],[DiscountAmount]]</f>
        <v>5525.5499999999993</v>
      </c>
      <c r="P441" s="9">
        <f>_xlfn.XLOOKUP(tblTransactions[[#This Row],[ProductID]],tblProducts[ProductID],tblProducts[UnitCost])</f>
        <v>1327.7</v>
      </c>
      <c r="Q441" s="9">
        <f>tblTransactions[[#This Row],[Quantity]]*tblTransactions[[#This Row],[UnitCost]]</f>
        <v>3983.1000000000004</v>
      </c>
      <c r="R441" s="9">
        <f>tblTransactions[[#This Row],[NetRevenue]]-tblTransactions[[#This Row],[TotalCost]]</f>
        <v>1542.4499999999989</v>
      </c>
      <c r="S441" t="str">
        <f>_xlfn.XLOOKUP(tblTransactions[[#This Row],[ProductID]],tblProducts[ProductID],tblProducts[Category])</f>
        <v>Personal Care</v>
      </c>
    </row>
    <row r="442" spans="1:19">
      <c r="A442" t="s">
        <v>16759</v>
      </c>
      <c r="B442" s="1">
        <v>45420</v>
      </c>
      <c r="C442" t="s">
        <v>13902</v>
      </c>
      <c r="D442" t="str">
        <f>_xlfn.XLOOKUP(tblTransactions[[#This Row],[CustomerID]],tblCustomers[CustomerID],tblCustomers[CustomerName])</f>
        <v>Vrinda Lanka</v>
      </c>
      <c r="E442" t="s">
        <v>16241</v>
      </c>
      <c r="F442" t="str">
        <f>_xlfn.XLOOKUP(tblTransactions[[#This Row],[ProductID]],tblProducts[ProductID],tblProducts[ProductName])</f>
        <v>Shaving Kit B2</v>
      </c>
      <c r="G442" t="s">
        <v>16273</v>
      </c>
      <c r="H442" t="str">
        <f>_xlfn.XLOOKUP(tblTransactions[[#This Row],[StoreID]],tblStores[StoreID],tblStores[Region])</f>
        <v>West</v>
      </c>
      <c r="I442">
        <v>4</v>
      </c>
      <c r="J442">
        <v>0</v>
      </c>
      <c r="K442" t="s">
        <v>16317</v>
      </c>
      <c r="L442" s="9">
        <f>_xlfn.XLOOKUP(tblTransactions[[#This Row],[ProductID]],tblProducts[ProductID],tblProducts[UnitPrice])</f>
        <v>543.23</v>
      </c>
      <c r="M442" s="9">
        <f>tblTransactions[[#This Row],[Quantity]]*tblTransactions[[#This Row],[UnitPrice]]</f>
        <v>2172.92</v>
      </c>
      <c r="N442" s="9">
        <f>tblTransactions[[#This Row],[GrossSales]]*tblTransactions[[#This Row],[Discount]]</f>
        <v>0</v>
      </c>
      <c r="O442" s="9">
        <f>tblTransactions[[#This Row],[GrossSales]]-tblTransactions[[#This Row],[DiscountAmount]]</f>
        <v>2172.92</v>
      </c>
      <c r="P442" s="9">
        <f>_xlfn.XLOOKUP(tblTransactions[[#This Row],[ProductID]],tblProducts[ProductID],tblProducts[UnitCost])</f>
        <v>441.82</v>
      </c>
      <c r="Q442" s="9">
        <f>tblTransactions[[#This Row],[Quantity]]*tblTransactions[[#This Row],[UnitCost]]</f>
        <v>1767.28</v>
      </c>
      <c r="R442" s="9">
        <f>tblTransactions[[#This Row],[NetRevenue]]-tblTransactions[[#This Row],[TotalCost]]</f>
        <v>405.6400000000001</v>
      </c>
      <c r="S442" t="str">
        <f>_xlfn.XLOOKUP(tblTransactions[[#This Row],[ProductID]],tblProducts[ProductID],tblProducts[Category])</f>
        <v>Personal Care</v>
      </c>
    </row>
    <row r="443" spans="1:19">
      <c r="A443" t="s">
        <v>16760</v>
      </c>
      <c r="B443" s="1">
        <v>45421</v>
      </c>
      <c r="C443" t="s">
        <v>15308</v>
      </c>
      <c r="D443" t="str">
        <f>_xlfn.XLOOKUP(tblTransactions[[#This Row],[CustomerID]],tblCustomers[CustomerID],tblCustomers[CustomerName])</f>
        <v>Girindra Som</v>
      </c>
      <c r="E443" t="s">
        <v>15999</v>
      </c>
      <c r="F443" t="str">
        <f>_xlfn.XLOOKUP(tblTransactions[[#This Row],[ProductID]],tblProducts[ProductID],tblProducts[ProductName])</f>
        <v>Wireless Charger C3</v>
      </c>
      <c r="G443" t="s">
        <v>16307</v>
      </c>
      <c r="H443" t="str">
        <f>_xlfn.XLOOKUP(tblTransactions[[#This Row],[StoreID]],tblStores[StoreID],tblStores[Region])</f>
        <v>East</v>
      </c>
      <c r="I443">
        <v>3</v>
      </c>
      <c r="J443">
        <v>0.05</v>
      </c>
      <c r="K443" t="s">
        <v>16315</v>
      </c>
      <c r="L443" s="9">
        <f>_xlfn.XLOOKUP(tblTransactions[[#This Row],[ProductID]],tblProducts[ProductID],tblProducts[UnitPrice])</f>
        <v>70426.350000000006</v>
      </c>
      <c r="M443" s="9">
        <f>tblTransactions[[#This Row],[Quantity]]*tblTransactions[[#This Row],[UnitPrice]]</f>
        <v>211279.05000000002</v>
      </c>
      <c r="N443" s="9">
        <f>tblTransactions[[#This Row],[GrossSales]]*tblTransactions[[#This Row],[Discount]]</f>
        <v>10563.952500000001</v>
      </c>
      <c r="O443" s="9">
        <f>tblTransactions[[#This Row],[GrossSales]]-tblTransactions[[#This Row],[DiscountAmount]]</f>
        <v>200715.0975</v>
      </c>
      <c r="P443" s="9">
        <f>_xlfn.XLOOKUP(tblTransactions[[#This Row],[ProductID]],tblProducts[ProductID],tblProducts[UnitCost])</f>
        <v>41048.31</v>
      </c>
      <c r="Q443" s="9">
        <f>tblTransactions[[#This Row],[Quantity]]*tblTransactions[[#This Row],[UnitCost]]</f>
        <v>123144.93</v>
      </c>
      <c r="R443" s="9">
        <f>tblTransactions[[#This Row],[NetRevenue]]-tblTransactions[[#This Row],[TotalCost]]</f>
        <v>77570.16750000001</v>
      </c>
      <c r="S443" t="str">
        <f>_xlfn.XLOOKUP(tblTransactions[[#This Row],[ProductID]],tblProducts[ProductID],tblProducts[Category])</f>
        <v>Electronics</v>
      </c>
    </row>
    <row r="444" spans="1:19">
      <c r="A444" t="s">
        <v>16761</v>
      </c>
      <c r="B444" s="1">
        <v>45422</v>
      </c>
      <c r="C444" t="s">
        <v>7845</v>
      </c>
      <c r="D444" t="str">
        <f>_xlfn.XLOOKUP(tblTransactions[[#This Row],[CustomerID]],tblCustomers[CustomerID],tblCustomers[CustomerName])</f>
        <v>Turvi Boase</v>
      </c>
      <c r="E444" t="s">
        <v>16121</v>
      </c>
      <c r="F444" t="str">
        <f>_xlfn.XLOOKUP(tblTransactions[[#This Row],[ProductID]],tblProducts[ProductID],tblProducts[ProductName])</f>
        <v>Sandals C3</v>
      </c>
      <c r="G444" t="s">
        <v>16281</v>
      </c>
      <c r="H444" t="str">
        <f>_xlfn.XLOOKUP(tblTransactions[[#This Row],[StoreID]],tblStores[StoreID],tblStores[Region])</f>
        <v>West</v>
      </c>
      <c r="I444">
        <v>4</v>
      </c>
      <c r="J444">
        <v>0.1</v>
      </c>
      <c r="K444" t="s">
        <v>16315</v>
      </c>
      <c r="L444" s="9">
        <f>_xlfn.XLOOKUP(tblTransactions[[#This Row],[ProductID]],tblProducts[ProductID],tblProducts[UnitPrice])</f>
        <v>6708.36</v>
      </c>
      <c r="M444" s="9">
        <f>tblTransactions[[#This Row],[Quantity]]*tblTransactions[[#This Row],[UnitPrice]]</f>
        <v>26833.439999999999</v>
      </c>
      <c r="N444" s="9">
        <f>tblTransactions[[#This Row],[GrossSales]]*tblTransactions[[#This Row],[Discount]]</f>
        <v>2683.3440000000001</v>
      </c>
      <c r="O444" s="9">
        <f>tblTransactions[[#This Row],[GrossSales]]-tblTransactions[[#This Row],[DiscountAmount]]</f>
        <v>24150.095999999998</v>
      </c>
      <c r="P444" s="9">
        <f>_xlfn.XLOOKUP(tblTransactions[[#This Row],[ProductID]],tblProducts[ProductID],tblProducts[UnitCost])</f>
        <v>5031.45</v>
      </c>
      <c r="Q444" s="9">
        <f>tblTransactions[[#This Row],[Quantity]]*tblTransactions[[#This Row],[UnitCost]]</f>
        <v>20125.8</v>
      </c>
      <c r="R444" s="9">
        <f>tblTransactions[[#This Row],[NetRevenue]]-tblTransactions[[#This Row],[TotalCost]]</f>
        <v>4024.2959999999985</v>
      </c>
      <c r="S444" t="str">
        <f>_xlfn.XLOOKUP(tblTransactions[[#This Row],[ProductID]],tblProducts[ProductID],tblProducts[Category])</f>
        <v>Clothing</v>
      </c>
    </row>
    <row r="445" spans="1:19">
      <c r="A445" t="s">
        <v>16762</v>
      </c>
      <c r="B445" s="1">
        <v>45422</v>
      </c>
      <c r="C445" t="s">
        <v>10351</v>
      </c>
      <c r="D445" t="str">
        <f>_xlfn.XLOOKUP(tblTransactions[[#This Row],[CustomerID]],tblCustomers[CustomerID],tblCustomers[CustomerName])</f>
        <v>Sara Hari</v>
      </c>
      <c r="E445" t="s">
        <v>15984</v>
      </c>
      <c r="F445" t="str">
        <f>_xlfn.XLOOKUP(tblTransactions[[#This Row],[ProductID]],tblProducts[ProductID],tblProducts[ProductName])</f>
        <v>Bluetooth Speaker C3</v>
      </c>
      <c r="G445" t="s">
        <v>16307</v>
      </c>
      <c r="H445" t="str">
        <f>_xlfn.XLOOKUP(tblTransactions[[#This Row],[StoreID]],tblStores[StoreID],tblStores[Region])</f>
        <v>East</v>
      </c>
      <c r="I445">
        <v>2</v>
      </c>
      <c r="J445">
        <v>0.05</v>
      </c>
      <c r="K445" t="s">
        <v>16321</v>
      </c>
      <c r="L445" s="9">
        <f>_xlfn.XLOOKUP(tblTransactions[[#This Row],[ProductID]],tblProducts[ProductID],tblProducts[UnitPrice])</f>
        <v>76661.149999999994</v>
      </c>
      <c r="M445" s="9">
        <f>tblTransactions[[#This Row],[Quantity]]*tblTransactions[[#This Row],[UnitPrice]]</f>
        <v>153322.29999999999</v>
      </c>
      <c r="N445" s="9">
        <f>tblTransactions[[#This Row],[GrossSales]]*tblTransactions[[#This Row],[Discount]]</f>
        <v>7666.1149999999998</v>
      </c>
      <c r="O445" s="9">
        <f>tblTransactions[[#This Row],[GrossSales]]-tblTransactions[[#This Row],[DiscountAmount]]</f>
        <v>145656.185</v>
      </c>
      <c r="P445" s="9">
        <f>_xlfn.XLOOKUP(tblTransactions[[#This Row],[ProductID]],tblProducts[ProductID],tblProducts[UnitCost])</f>
        <v>44142.48</v>
      </c>
      <c r="Q445" s="9">
        <f>tblTransactions[[#This Row],[Quantity]]*tblTransactions[[#This Row],[UnitCost]]</f>
        <v>88284.96</v>
      </c>
      <c r="R445" s="9">
        <f>tblTransactions[[#This Row],[NetRevenue]]-tblTransactions[[#This Row],[TotalCost]]</f>
        <v>57371.224999999991</v>
      </c>
      <c r="S445" t="str">
        <f>_xlfn.XLOOKUP(tblTransactions[[#This Row],[ProductID]],tblProducts[ProductID],tblProducts[Category])</f>
        <v>Electronics</v>
      </c>
    </row>
    <row r="446" spans="1:19">
      <c r="A446" t="s">
        <v>16763</v>
      </c>
      <c r="B446" s="1">
        <v>45422</v>
      </c>
      <c r="C446" t="s">
        <v>14100</v>
      </c>
      <c r="D446" t="str">
        <f>_xlfn.XLOOKUP(tblTransactions[[#This Row],[CustomerID]],tblCustomers[CustomerID],tblCustomers[CustomerName])</f>
        <v>Ansh Wadhwa</v>
      </c>
      <c r="E446" t="s">
        <v>16173</v>
      </c>
      <c r="F446" t="str">
        <f>_xlfn.XLOOKUP(tblTransactions[[#This Row],[ProductID]],tblProducts[ProductID],tblProducts[ProductName])</f>
        <v>Soft Drink A6</v>
      </c>
      <c r="G446" t="s">
        <v>16299</v>
      </c>
      <c r="H446" t="str">
        <f>_xlfn.XLOOKUP(tblTransactions[[#This Row],[StoreID]],tblStores[StoreID],tblStores[Region])</f>
        <v>South</v>
      </c>
      <c r="I446">
        <v>1</v>
      </c>
      <c r="J446">
        <v>0</v>
      </c>
      <c r="K446" t="s">
        <v>16315</v>
      </c>
      <c r="L446" s="9">
        <f>_xlfn.XLOOKUP(tblTransactions[[#This Row],[ProductID]],tblProducts[ProductID],tblProducts[UnitPrice])</f>
        <v>252.55</v>
      </c>
      <c r="M446" s="9">
        <f>tblTransactions[[#This Row],[Quantity]]*tblTransactions[[#This Row],[UnitPrice]]</f>
        <v>252.55</v>
      </c>
      <c r="N446" s="9">
        <f>tblTransactions[[#This Row],[GrossSales]]*tblTransactions[[#This Row],[Discount]]</f>
        <v>0</v>
      </c>
      <c r="O446" s="9">
        <f>tblTransactions[[#This Row],[GrossSales]]-tblTransactions[[#This Row],[DiscountAmount]]</f>
        <v>252.55</v>
      </c>
      <c r="P446" s="9">
        <f>_xlfn.XLOOKUP(tblTransactions[[#This Row],[ProductID]],tblProducts[ProductID],tblProducts[UnitCost])</f>
        <v>170.34</v>
      </c>
      <c r="Q446" s="9">
        <f>tblTransactions[[#This Row],[Quantity]]*tblTransactions[[#This Row],[UnitCost]]</f>
        <v>170.34</v>
      </c>
      <c r="R446" s="9">
        <f>tblTransactions[[#This Row],[NetRevenue]]-tblTransactions[[#This Row],[TotalCost]]</f>
        <v>82.210000000000008</v>
      </c>
      <c r="S446" t="str">
        <f>_xlfn.XLOOKUP(tblTransactions[[#This Row],[ProductID]],tblProducts[ProductID],tblProducts[Category])</f>
        <v>Grocery</v>
      </c>
    </row>
    <row r="447" spans="1:19">
      <c r="A447" t="s">
        <v>16764</v>
      </c>
      <c r="B447" s="1">
        <v>45423</v>
      </c>
      <c r="C447" t="s">
        <v>8363</v>
      </c>
      <c r="D447" t="str">
        <f>_xlfn.XLOOKUP(tblTransactions[[#This Row],[CustomerID]],tblCustomers[CustomerID],tblCustomers[CustomerName])</f>
        <v>Xalak Chakraborty</v>
      </c>
      <c r="E447" t="s">
        <v>16019</v>
      </c>
      <c r="F447" t="str">
        <f>_xlfn.XLOOKUP(tblTransactions[[#This Row],[ProductID]],tblProducts[ProductID],tblProducts[ProductName])</f>
        <v>Microwave Oven E5</v>
      </c>
      <c r="G447" t="s">
        <v>16256</v>
      </c>
      <c r="H447" t="str">
        <f>_xlfn.XLOOKUP(tblTransactions[[#This Row],[StoreID]],tblStores[StoreID],tblStores[Region])</f>
        <v>East</v>
      </c>
      <c r="I447">
        <v>1</v>
      </c>
      <c r="J447">
        <v>0</v>
      </c>
      <c r="K447" t="s">
        <v>16319</v>
      </c>
      <c r="L447" s="9">
        <f>_xlfn.XLOOKUP(tblTransactions[[#This Row],[ProductID]],tblProducts[ProductID],tblProducts[UnitPrice])</f>
        <v>22827.119999999999</v>
      </c>
      <c r="M447" s="9">
        <f>tblTransactions[[#This Row],[Quantity]]*tblTransactions[[#This Row],[UnitPrice]]</f>
        <v>22827.119999999999</v>
      </c>
      <c r="N447" s="9">
        <f>tblTransactions[[#This Row],[GrossSales]]*tblTransactions[[#This Row],[Discount]]</f>
        <v>0</v>
      </c>
      <c r="O447" s="9">
        <f>tblTransactions[[#This Row],[GrossSales]]-tblTransactions[[#This Row],[DiscountAmount]]</f>
        <v>22827.119999999999</v>
      </c>
      <c r="P447" s="9">
        <f>_xlfn.XLOOKUP(tblTransactions[[#This Row],[ProductID]],tblProducts[ProductID],tblProducts[UnitCost])</f>
        <v>18264.07</v>
      </c>
      <c r="Q447" s="9">
        <f>tblTransactions[[#This Row],[Quantity]]*tblTransactions[[#This Row],[UnitCost]]</f>
        <v>18264.07</v>
      </c>
      <c r="R447" s="9">
        <f>tblTransactions[[#This Row],[NetRevenue]]-tblTransactions[[#This Row],[TotalCost]]</f>
        <v>4563.0499999999993</v>
      </c>
      <c r="S447" t="str">
        <f>_xlfn.XLOOKUP(tblTransactions[[#This Row],[ProductID]],tblProducts[ProductID],tblProducts[Category])</f>
        <v>Home &amp; Kitchen</v>
      </c>
    </row>
    <row r="448" spans="1:19">
      <c r="A448" t="s">
        <v>16765</v>
      </c>
      <c r="B448" s="1">
        <v>45425</v>
      </c>
      <c r="C448" t="s">
        <v>204</v>
      </c>
      <c r="D448" t="str">
        <f>_xlfn.XLOOKUP(tblTransactions[[#This Row],[CustomerID]],tblCustomers[CustomerID],tblCustomers[CustomerName])</f>
        <v>Dipta Bhandari</v>
      </c>
      <c r="E448" t="s">
        <v>16025</v>
      </c>
      <c r="F448" t="str">
        <f>_xlfn.XLOOKUP(tblTransactions[[#This Row],[ProductID]],tblProducts[ProductID],tblProducts[ProductName])</f>
        <v>Bookshelf A1</v>
      </c>
      <c r="G448" t="s">
        <v>16287</v>
      </c>
      <c r="H448" t="str">
        <f>_xlfn.XLOOKUP(tblTransactions[[#This Row],[StoreID]],tblStores[StoreID],tblStores[Region])</f>
        <v>North</v>
      </c>
      <c r="I448">
        <v>1</v>
      </c>
      <c r="J448">
        <v>0</v>
      </c>
      <c r="K448" t="s">
        <v>16315</v>
      </c>
      <c r="L448" s="9">
        <f>_xlfn.XLOOKUP(tblTransactions[[#This Row],[ProductID]],tblProducts[ProductID],tblProducts[UnitPrice])</f>
        <v>23401.279999999999</v>
      </c>
      <c r="M448" s="9">
        <f>tblTransactions[[#This Row],[Quantity]]*tblTransactions[[#This Row],[UnitPrice]]</f>
        <v>23401.279999999999</v>
      </c>
      <c r="N448" s="9">
        <f>tblTransactions[[#This Row],[GrossSales]]*tblTransactions[[#This Row],[Discount]]</f>
        <v>0</v>
      </c>
      <c r="O448" s="9">
        <f>tblTransactions[[#This Row],[GrossSales]]-tblTransactions[[#This Row],[DiscountAmount]]</f>
        <v>23401.279999999999</v>
      </c>
      <c r="P448" s="9">
        <f>_xlfn.XLOOKUP(tblTransactions[[#This Row],[ProductID]],tblProducts[ProductID],tblProducts[UnitCost])</f>
        <v>13697.77</v>
      </c>
      <c r="Q448" s="9">
        <f>tblTransactions[[#This Row],[Quantity]]*tblTransactions[[#This Row],[UnitCost]]</f>
        <v>13697.77</v>
      </c>
      <c r="R448" s="9">
        <f>tblTransactions[[#This Row],[NetRevenue]]-tblTransactions[[#This Row],[TotalCost]]</f>
        <v>9703.5099999999984</v>
      </c>
      <c r="S448" t="str">
        <f>_xlfn.XLOOKUP(tblTransactions[[#This Row],[ProductID]],tblProducts[ProductID],tblProducts[Category])</f>
        <v>Home &amp; Kitchen</v>
      </c>
    </row>
    <row r="449" spans="1:19">
      <c r="A449" t="s">
        <v>16766</v>
      </c>
      <c r="B449" s="1">
        <v>45428</v>
      </c>
      <c r="C449" t="s">
        <v>3708</v>
      </c>
      <c r="D449" t="str">
        <f>_xlfn.XLOOKUP(tblTransactions[[#This Row],[CustomerID]],tblCustomers[CustomerID],tblCustomers[CustomerName])</f>
        <v>Mitesh Tandon</v>
      </c>
      <c r="E449" t="s">
        <v>15971</v>
      </c>
      <c r="F449" t="str">
        <f>_xlfn.XLOOKUP(tblTransactions[[#This Row],[ProductID]],tblProducts[ProductID],tblProducts[ProductName])</f>
        <v>Ultrabook E5</v>
      </c>
      <c r="G449" t="s">
        <v>16305</v>
      </c>
      <c r="H449" t="str">
        <f>_xlfn.XLOOKUP(tblTransactions[[#This Row],[StoreID]],tblStores[StoreID],tblStores[Region])</f>
        <v>South</v>
      </c>
      <c r="I449">
        <v>3</v>
      </c>
      <c r="J449">
        <v>0.05</v>
      </c>
      <c r="K449" t="s">
        <v>16317</v>
      </c>
      <c r="L449" s="9">
        <f>_xlfn.XLOOKUP(tblTransactions[[#This Row],[ProductID]],tblProducts[ProductID],tblProducts[UnitPrice])</f>
        <v>48777.16</v>
      </c>
      <c r="M449" s="9">
        <f>tblTransactions[[#This Row],[Quantity]]*tblTransactions[[#This Row],[UnitPrice]]</f>
        <v>146331.48000000001</v>
      </c>
      <c r="N449" s="9">
        <f>tblTransactions[[#This Row],[GrossSales]]*tblTransactions[[#This Row],[Discount]]</f>
        <v>7316.5740000000005</v>
      </c>
      <c r="O449" s="9">
        <f>tblTransactions[[#This Row],[GrossSales]]-tblTransactions[[#This Row],[DiscountAmount]]</f>
        <v>139014.90600000002</v>
      </c>
      <c r="P449" s="9">
        <f>_xlfn.XLOOKUP(tblTransactions[[#This Row],[ProductID]],tblProducts[ProductID],tblProducts[UnitCost])</f>
        <v>29771.48</v>
      </c>
      <c r="Q449" s="9">
        <f>tblTransactions[[#This Row],[Quantity]]*tblTransactions[[#This Row],[UnitCost]]</f>
        <v>89314.44</v>
      </c>
      <c r="R449" s="9">
        <f>tblTransactions[[#This Row],[NetRevenue]]-tblTransactions[[#This Row],[TotalCost]]</f>
        <v>49700.466000000015</v>
      </c>
      <c r="S449" t="str">
        <f>_xlfn.XLOOKUP(tblTransactions[[#This Row],[ProductID]],tblProducts[ProductID],tblProducts[Category])</f>
        <v>Electronics</v>
      </c>
    </row>
    <row r="450" spans="1:19">
      <c r="A450" t="s">
        <v>16767</v>
      </c>
      <c r="B450" s="1">
        <v>45428</v>
      </c>
      <c r="C450" t="s">
        <v>12783</v>
      </c>
      <c r="D450" t="str">
        <f>_xlfn.XLOOKUP(tblTransactions[[#This Row],[CustomerID]],tblCustomers[CustomerID],tblCustomers[CustomerName])</f>
        <v>Alka Mann</v>
      </c>
      <c r="E450" t="s">
        <v>15954</v>
      </c>
      <c r="F450" t="str">
        <f>_xlfn.XLOOKUP(tblTransactions[[#This Row],[ProductID]],tblProducts[ProductID],tblProducts[ProductName])</f>
        <v>5G Smartphone E5</v>
      </c>
      <c r="G450" t="s">
        <v>16271</v>
      </c>
      <c r="H450" t="str">
        <f>_xlfn.XLOOKUP(tblTransactions[[#This Row],[StoreID]],tblStores[StoreID],tblStores[Region])</f>
        <v>South</v>
      </c>
      <c r="I450">
        <v>-1</v>
      </c>
      <c r="J450">
        <v>0</v>
      </c>
      <c r="K450" t="s">
        <v>16317</v>
      </c>
      <c r="L450" s="9">
        <f>_xlfn.XLOOKUP(tblTransactions[[#This Row],[ProductID]],tblProducts[ProductID],tblProducts[UnitPrice])</f>
        <v>36179.730000000003</v>
      </c>
      <c r="M450" s="9">
        <f>tblTransactions[[#This Row],[Quantity]]*tblTransactions[[#This Row],[UnitPrice]]</f>
        <v>-36179.730000000003</v>
      </c>
      <c r="N450" s="9">
        <f>tblTransactions[[#This Row],[GrossSales]]*tblTransactions[[#This Row],[Discount]]</f>
        <v>0</v>
      </c>
      <c r="O450" s="9">
        <f>tblTransactions[[#This Row],[GrossSales]]-tblTransactions[[#This Row],[DiscountAmount]]</f>
        <v>-36179.730000000003</v>
      </c>
      <c r="P450" s="9">
        <f>_xlfn.XLOOKUP(tblTransactions[[#This Row],[ProductID]],tblProducts[ProductID],tblProducts[UnitCost])</f>
        <v>25344.32</v>
      </c>
      <c r="Q450" s="9">
        <f>tblTransactions[[#This Row],[Quantity]]*tblTransactions[[#This Row],[UnitCost]]</f>
        <v>-25344.32</v>
      </c>
      <c r="R450" s="9">
        <f>tblTransactions[[#This Row],[NetRevenue]]-tblTransactions[[#This Row],[TotalCost]]</f>
        <v>-10835.410000000003</v>
      </c>
      <c r="S450" t="str">
        <f>_xlfn.XLOOKUP(tblTransactions[[#This Row],[ProductID]],tblProducts[ProductID],tblProducts[Category])</f>
        <v>Electronics</v>
      </c>
    </row>
    <row r="451" spans="1:19">
      <c r="A451" t="s">
        <v>16768</v>
      </c>
      <c r="B451" s="1">
        <v>45429</v>
      </c>
      <c r="C451" t="s">
        <v>3355</v>
      </c>
      <c r="D451" t="str">
        <f>_xlfn.XLOOKUP(tblTransactions[[#This Row],[CustomerID]],tblCustomers[CustomerID],tblCustomers[CustomerName])</f>
        <v>Anamika Sachar</v>
      </c>
      <c r="E451" t="s">
        <v>16055</v>
      </c>
      <c r="F451" t="str">
        <f>_xlfn.XLOOKUP(tblTransactions[[#This Row],[ProductID]],tblProducts[ProductID],tblProducts[ProductName])</f>
        <v>Wall Clock A1</v>
      </c>
      <c r="G451" t="s">
        <v>16259</v>
      </c>
      <c r="H451" t="str">
        <f>_xlfn.XLOOKUP(tblTransactions[[#This Row],[StoreID]],tblStores[StoreID],tblStores[Region])</f>
        <v>East</v>
      </c>
      <c r="I451">
        <v>1</v>
      </c>
      <c r="J451">
        <v>0</v>
      </c>
      <c r="K451" t="s">
        <v>16317</v>
      </c>
      <c r="L451" s="9">
        <f>_xlfn.XLOOKUP(tblTransactions[[#This Row],[ProductID]],tblProducts[ProductID],tblProducts[UnitPrice])</f>
        <v>4187.79</v>
      </c>
      <c r="M451" s="9">
        <f>tblTransactions[[#This Row],[Quantity]]*tblTransactions[[#This Row],[UnitPrice]]</f>
        <v>4187.79</v>
      </c>
      <c r="N451" s="9">
        <f>tblTransactions[[#This Row],[GrossSales]]*tblTransactions[[#This Row],[Discount]]</f>
        <v>0</v>
      </c>
      <c r="O451" s="9">
        <f>tblTransactions[[#This Row],[GrossSales]]-tblTransactions[[#This Row],[DiscountAmount]]</f>
        <v>4187.79</v>
      </c>
      <c r="P451" s="9">
        <f>_xlfn.XLOOKUP(tblTransactions[[#This Row],[ProductID]],tblProducts[ProductID],tblProducts[UnitCost])</f>
        <v>2951.03</v>
      </c>
      <c r="Q451" s="9">
        <f>tblTransactions[[#This Row],[Quantity]]*tblTransactions[[#This Row],[UnitCost]]</f>
        <v>2951.03</v>
      </c>
      <c r="R451" s="9">
        <f>tblTransactions[[#This Row],[NetRevenue]]-tblTransactions[[#This Row],[TotalCost]]</f>
        <v>1236.7599999999998</v>
      </c>
      <c r="S451" t="str">
        <f>_xlfn.XLOOKUP(tblTransactions[[#This Row],[ProductID]],tblProducts[ProductID],tblProducts[Category])</f>
        <v>Home &amp; Kitchen</v>
      </c>
    </row>
    <row r="452" spans="1:19">
      <c r="A452" t="s">
        <v>16769</v>
      </c>
      <c r="B452" s="1">
        <v>45430</v>
      </c>
      <c r="C452" t="s">
        <v>11124</v>
      </c>
      <c r="D452" t="str">
        <f>_xlfn.XLOOKUP(tblTransactions[[#This Row],[CustomerID]],tblCustomers[CustomerID],tblCustomers[CustomerName])</f>
        <v>Yashoda Balasubramanian</v>
      </c>
      <c r="E452" t="s">
        <v>16127</v>
      </c>
      <c r="F452" t="str">
        <f>_xlfn.XLOOKUP(tblTransactions[[#This Row],[ProductID]],tblProducts[ProductID],tblProducts[ProductName])</f>
        <v>Sports Shoes A6</v>
      </c>
      <c r="G452" t="s">
        <v>16262</v>
      </c>
      <c r="H452" t="str">
        <f>_xlfn.XLOOKUP(tblTransactions[[#This Row],[StoreID]],tblStores[StoreID],tblStores[Region])</f>
        <v>North</v>
      </c>
      <c r="I452">
        <v>1</v>
      </c>
      <c r="J452">
        <v>0.15</v>
      </c>
      <c r="K452" t="s">
        <v>16315</v>
      </c>
      <c r="L452" s="9">
        <f>_xlfn.XLOOKUP(tblTransactions[[#This Row],[ProductID]],tblProducts[ProductID],tblProducts[UnitPrice])</f>
        <v>4565.2299999999996</v>
      </c>
      <c r="M452" s="9">
        <f>tblTransactions[[#This Row],[Quantity]]*tblTransactions[[#This Row],[UnitPrice]]</f>
        <v>4565.2299999999996</v>
      </c>
      <c r="N452" s="9">
        <f>tblTransactions[[#This Row],[GrossSales]]*tblTransactions[[#This Row],[Discount]]</f>
        <v>684.78449999999987</v>
      </c>
      <c r="O452" s="9">
        <f>tblTransactions[[#This Row],[GrossSales]]-tblTransactions[[#This Row],[DiscountAmount]]</f>
        <v>3880.4454999999998</v>
      </c>
      <c r="P452" s="9">
        <f>_xlfn.XLOOKUP(tblTransactions[[#This Row],[ProductID]],tblProducts[ProductID],tblProducts[UnitCost])</f>
        <v>3658.34</v>
      </c>
      <c r="Q452" s="9">
        <f>tblTransactions[[#This Row],[Quantity]]*tblTransactions[[#This Row],[UnitCost]]</f>
        <v>3658.34</v>
      </c>
      <c r="R452" s="9">
        <f>tblTransactions[[#This Row],[NetRevenue]]-tblTransactions[[#This Row],[TotalCost]]</f>
        <v>222.10549999999967</v>
      </c>
      <c r="S452" t="str">
        <f>_xlfn.XLOOKUP(tblTransactions[[#This Row],[ProductID]],tblProducts[ProductID],tblProducts[Category])</f>
        <v>Clothing</v>
      </c>
    </row>
    <row r="453" spans="1:19">
      <c r="A453" t="s">
        <v>16770</v>
      </c>
      <c r="B453" s="1">
        <v>45430</v>
      </c>
      <c r="C453" t="s">
        <v>3391</v>
      </c>
      <c r="D453" t="str">
        <f>_xlfn.XLOOKUP(tblTransactions[[#This Row],[CustomerID]],tblCustomers[CustomerID],tblCustomers[CustomerName])</f>
        <v>Praneel Setty</v>
      </c>
      <c r="E453" t="s">
        <v>16074</v>
      </c>
      <c r="F453" t="str">
        <f>_xlfn.XLOOKUP(tblTransactions[[#This Row],[ProductID]],tblProducts[ProductID],tblProducts[ProductName])</f>
        <v>Men's T-Shirt B2</v>
      </c>
      <c r="G453" t="s">
        <v>16285</v>
      </c>
      <c r="H453" t="str">
        <f>_xlfn.XLOOKUP(tblTransactions[[#This Row],[StoreID]],tblStores[StoreID],tblStores[Region])</f>
        <v>West</v>
      </c>
      <c r="I453">
        <v>1</v>
      </c>
      <c r="J453">
        <v>0.2</v>
      </c>
      <c r="K453" t="s">
        <v>16321</v>
      </c>
      <c r="L453" s="9">
        <f>_xlfn.XLOOKUP(tblTransactions[[#This Row],[ProductID]],tblProducts[ProductID],tblProducts[UnitPrice])</f>
        <v>5944.75</v>
      </c>
      <c r="M453" s="9">
        <f>tblTransactions[[#This Row],[Quantity]]*tblTransactions[[#This Row],[UnitPrice]]</f>
        <v>5944.75</v>
      </c>
      <c r="N453" s="9">
        <f>tblTransactions[[#This Row],[GrossSales]]*tblTransactions[[#This Row],[Discount]]</f>
        <v>1188.95</v>
      </c>
      <c r="O453" s="9">
        <f>tblTransactions[[#This Row],[GrossSales]]-tblTransactions[[#This Row],[DiscountAmount]]</f>
        <v>4755.8</v>
      </c>
      <c r="P453" s="9">
        <f>_xlfn.XLOOKUP(tblTransactions[[#This Row],[ProductID]],tblProducts[ProductID],tblProducts[UnitCost])</f>
        <v>4447.5200000000004</v>
      </c>
      <c r="Q453" s="9">
        <f>tblTransactions[[#This Row],[Quantity]]*tblTransactions[[#This Row],[UnitCost]]</f>
        <v>4447.5200000000004</v>
      </c>
      <c r="R453" s="9">
        <f>tblTransactions[[#This Row],[NetRevenue]]-tblTransactions[[#This Row],[TotalCost]]</f>
        <v>308.27999999999975</v>
      </c>
      <c r="S453" t="str">
        <f>_xlfn.XLOOKUP(tblTransactions[[#This Row],[ProductID]],tblProducts[ProductID],tblProducts[Category])</f>
        <v>Clothing</v>
      </c>
    </row>
    <row r="454" spans="1:19">
      <c r="A454" t="s">
        <v>16771</v>
      </c>
      <c r="B454" s="1">
        <v>45431</v>
      </c>
      <c r="C454" t="s">
        <v>8891</v>
      </c>
      <c r="D454" t="str">
        <f>_xlfn.XLOOKUP(tblTransactions[[#This Row],[CustomerID]],tblCustomers[CustomerID],tblCustomers[CustomerName])</f>
        <v>Rachita Saran</v>
      </c>
      <c r="E454" t="s">
        <v>16217</v>
      </c>
      <c r="F454" t="str">
        <f>_xlfn.XLOOKUP(tblTransactions[[#This Row],[ProductID]],tblProducts[ProductID],tblProducts[ProductName])</f>
        <v>Hair Oil E5</v>
      </c>
      <c r="G454" t="s">
        <v>16265</v>
      </c>
      <c r="H454" t="str">
        <f>_xlfn.XLOOKUP(tblTransactions[[#This Row],[StoreID]],tblStores[StoreID],tblStores[Region])</f>
        <v>North</v>
      </c>
      <c r="I454">
        <v>2</v>
      </c>
      <c r="J454">
        <v>0</v>
      </c>
      <c r="K454" t="s">
        <v>16317</v>
      </c>
      <c r="L454" s="9">
        <f>_xlfn.XLOOKUP(tblTransactions[[#This Row],[ProductID]],tblProducts[ProductID],tblProducts[UnitPrice])</f>
        <v>3581.9</v>
      </c>
      <c r="M454" s="9">
        <f>tblTransactions[[#This Row],[Quantity]]*tblTransactions[[#This Row],[UnitPrice]]</f>
        <v>7163.8</v>
      </c>
      <c r="N454" s="9">
        <f>tblTransactions[[#This Row],[GrossSales]]*tblTransactions[[#This Row],[Discount]]</f>
        <v>0</v>
      </c>
      <c r="O454" s="9">
        <f>tblTransactions[[#This Row],[GrossSales]]-tblTransactions[[#This Row],[DiscountAmount]]</f>
        <v>7163.8</v>
      </c>
      <c r="P454" s="9">
        <f>_xlfn.XLOOKUP(tblTransactions[[#This Row],[ProductID]],tblProducts[ProductID],tblProducts[UnitCost])</f>
        <v>2770.12</v>
      </c>
      <c r="Q454" s="9">
        <f>tblTransactions[[#This Row],[Quantity]]*tblTransactions[[#This Row],[UnitCost]]</f>
        <v>5540.24</v>
      </c>
      <c r="R454" s="9">
        <f>tblTransactions[[#This Row],[NetRevenue]]-tblTransactions[[#This Row],[TotalCost]]</f>
        <v>1623.5600000000004</v>
      </c>
      <c r="S454" t="str">
        <f>_xlfn.XLOOKUP(tblTransactions[[#This Row],[ProductID]],tblProducts[ProductID],tblProducts[Category])</f>
        <v>Personal Care</v>
      </c>
    </row>
    <row r="455" spans="1:19">
      <c r="A455" t="s">
        <v>16772</v>
      </c>
      <c r="B455" s="1">
        <v>45432</v>
      </c>
      <c r="C455" t="s">
        <v>6061</v>
      </c>
      <c r="D455" t="str">
        <f>_xlfn.XLOOKUP(tblTransactions[[#This Row],[CustomerID]],tblCustomers[CustomerID],tblCustomers[CustomerName])</f>
        <v>Meera Guha</v>
      </c>
      <c r="E455" t="s">
        <v>16206</v>
      </c>
      <c r="F455" t="str">
        <f>_xlfn.XLOOKUP(tblTransactions[[#This Row],[ProductID]],tblProducts[ProductID],tblProducts[ProductName])</f>
        <v>Moisturizer B7</v>
      </c>
      <c r="G455" t="s">
        <v>16297</v>
      </c>
      <c r="H455" t="str">
        <f>_xlfn.XLOOKUP(tblTransactions[[#This Row],[StoreID]],tblStores[StoreID],tblStores[Region])</f>
        <v>North</v>
      </c>
      <c r="I455">
        <v>1</v>
      </c>
      <c r="J455">
        <v>0.05</v>
      </c>
      <c r="K455" t="s">
        <v>16317</v>
      </c>
      <c r="L455" s="9">
        <f>_xlfn.XLOOKUP(tblTransactions[[#This Row],[ProductID]],tblProducts[ProductID],tblProducts[UnitPrice])</f>
        <v>3285.82</v>
      </c>
      <c r="M455" s="9">
        <f>tblTransactions[[#This Row],[Quantity]]*tblTransactions[[#This Row],[UnitPrice]]</f>
        <v>3285.82</v>
      </c>
      <c r="N455" s="9">
        <f>tblTransactions[[#This Row],[GrossSales]]*tblTransactions[[#This Row],[Discount]]</f>
        <v>164.29100000000003</v>
      </c>
      <c r="O455" s="9">
        <f>tblTransactions[[#This Row],[GrossSales]]-tblTransactions[[#This Row],[DiscountAmount]]</f>
        <v>3121.529</v>
      </c>
      <c r="P455" s="9">
        <f>_xlfn.XLOOKUP(tblTransactions[[#This Row],[ProductID]],tblProducts[ProductID],tblProducts[UnitCost])</f>
        <v>2256.9699999999998</v>
      </c>
      <c r="Q455" s="9">
        <f>tblTransactions[[#This Row],[Quantity]]*tblTransactions[[#This Row],[UnitCost]]</f>
        <v>2256.9699999999998</v>
      </c>
      <c r="R455" s="9">
        <f>tblTransactions[[#This Row],[NetRevenue]]-tblTransactions[[#This Row],[TotalCost]]</f>
        <v>864.5590000000002</v>
      </c>
      <c r="S455" t="str">
        <f>_xlfn.XLOOKUP(tblTransactions[[#This Row],[ProductID]],tblProducts[ProductID],tblProducts[Category])</f>
        <v>Personal Care</v>
      </c>
    </row>
    <row r="456" spans="1:19">
      <c r="A456" t="s">
        <v>16773</v>
      </c>
      <c r="B456" s="1">
        <v>45432</v>
      </c>
      <c r="C456" t="s">
        <v>15292</v>
      </c>
      <c r="D456" t="str">
        <f>_xlfn.XLOOKUP(tblTransactions[[#This Row],[CustomerID]],tblCustomers[CustomerID],tblCustomers[CustomerName])</f>
        <v>Faras Agarwal</v>
      </c>
      <c r="E456" t="s">
        <v>15958</v>
      </c>
      <c r="F456" t="str">
        <f>_xlfn.XLOOKUP(tblTransactions[[#This Row],[ProductID]],tblProducts[ProductID],tblProducts[ProductName])</f>
        <v>Budget Smartphone B7</v>
      </c>
      <c r="G456" t="s">
        <v>16307</v>
      </c>
      <c r="H456" t="str">
        <f>_xlfn.XLOOKUP(tblTransactions[[#This Row],[StoreID]],tblStores[StoreID],tblStores[Region])</f>
        <v>East</v>
      </c>
      <c r="I456">
        <v>4</v>
      </c>
      <c r="J456">
        <v>0.05</v>
      </c>
      <c r="K456" t="s">
        <v>16317</v>
      </c>
      <c r="L456" s="9">
        <f>_xlfn.XLOOKUP(tblTransactions[[#This Row],[ProductID]],tblProducts[ProductID],tblProducts[UnitPrice])</f>
        <v>61606.59</v>
      </c>
      <c r="M456" s="9">
        <f>tblTransactions[[#This Row],[Quantity]]*tblTransactions[[#This Row],[UnitPrice]]</f>
        <v>246426.36</v>
      </c>
      <c r="N456" s="9">
        <f>tblTransactions[[#This Row],[GrossSales]]*tblTransactions[[#This Row],[Discount]]</f>
        <v>12321.317999999999</v>
      </c>
      <c r="O456" s="9">
        <f>tblTransactions[[#This Row],[GrossSales]]-tblTransactions[[#This Row],[DiscountAmount]]</f>
        <v>234105.04199999999</v>
      </c>
      <c r="P456" s="9">
        <f>_xlfn.XLOOKUP(tblTransactions[[#This Row],[ProductID]],tblProducts[ProductID],tblProducts[UnitCost])</f>
        <v>36366.370000000003</v>
      </c>
      <c r="Q456" s="9">
        <f>tblTransactions[[#This Row],[Quantity]]*tblTransactions[[#This Row],[UnitCost]]</f>
        <v>145465.48000000001</v>
      </c>
      <c r="R456" s="9">
        <f>tblTransactions[[#This Row],[NetRevenue]]-tblTransactions[[#This Row],[TotalCost]]</f>
        <v>88639.561999999976</v>
      </c>
      <c r="S456" t="str">
        <f>_xlfn.XLOOKUP(tblTransactions[[#This Row],[ProductID]],tblProducts[ProductID],tblProducts[Category])</f>
        <v>Electronics</v>
      </c>
    </row>
    <row r="457" spans="1:19">
      <c r="A457" t="s">
        <v>16774</v>
      </c>
      <c r="B457" s="1">
        <v>45434</v>
      </c>
      <c r="C457" t="s">
        <v>10334</v>
      </c>
      <c r="D457" t="str">
        <f>_xlfn.XLOOKUP(tblTransactions[[#This Row],[CustomerID]],tblCustomers[CustomerID],tblCustomers[CustomerName])</f>
        <v>Ekani Kala</v>
      </c>
      <c r="E457" t="s">
        <v>16234</v>
      </c>
      <c r="F457" t="str">
        <f>_xlfn.XLOOKUP(tblTransactions[[#This Row],[ProductID]],tblProducts[ProductID],tblProducts[ProductName])</f>
        <v>Body Lotion A6</v>
      </c>
      <c r="G457" t="s">
        <v>16256</v>
      </c>
      <c r="H457" t="str">
        <f>_xlfn.XLOOKUP(tblTransactions[[#This Row],[StoreID]],tblStores[StoreID],tblStores[Region])</f>
        <v>East</v>
      </c>
      <c r="I457">
        <v>1</v>
      </c>
      <c r="J457">
        <v>0</v>
      </c>
      <c r="K457" t="s">
        <v>16317</v>
      </c>
      <c r="L457" s="9">
        <f>_xlfn.XLOOKUP(tblTransactions[[#This Row],[ProductID]],tblProducts[ProductID],tblProducts[UnitPrice])</f>
        <v>773.2</v>
      </c>
      <c r="M457" s="9">
        <f>tblTransactions[[#This Row],[Quantity]]*tblTransactions[[#This Row],[UnitPrice]]</f>
        <v>773.2</v>
      </c>
      <c r="N457" s="9">
        <f>tblTransactions[[#This Row],[GrossSales]]*tblTransactions[[#This Row],[Discount]]</f>
        <v>0</v>
      </c>
      <c r="O457" s="9">
        <f>tblTransactions[[#This Row],[GrossSales]]-tblTransactions[[#This Row],[DiscountAmount]]</f>
        <v>773.2</v>
      </c>
      <c r="P457" s="9">
        <f>_xlfn.XLOOKUP(tblTransactions[[#This Row],[ProductID]],tblProducts[ProductID],tblProducts[UnitCost])</f>
        <v>547.09</v>
      </c>
      <c r="Q457" s="9">
        <f>tblTransactions[[#This Row],[Quantity]]*tblTransactions[[#This Row],[UnitCost]]</f>
        <v>547.09</v>
      </c>
      <c r="R457" s="9">
        <f>tblTransactions[[#This Row],[NetRevenue]]-tblTransactions[[#This Row],[TotalCost]]</f>
        <v>226.11</v>
      </c>
      <c r="S457" t="str">
        <f>_xlfn.XLOOKUP(tblTransactions[[#This Row],[ProductID]],tblProducts[ProductID],tblProducts[Category])</f>
        <v>Personal Care</v>
      </c>
    </row>
    <row r="458" spans="1:19">
      <c r="A458" t="s">
        <v>16775</v>
      </c>
      <c r="B458" s="1">
        <v>45436</v>
      </c>
      <c r="C458" t="s">
        <v>9025</v>
      </c>
      <c r="D458" t="str">
        <f>_xlfn.XLOOKUP(tblTransactions[[#This Row],[CustomerID]],tblCustomers[CustomerID],tblCustomers[CustomerName])</f>
        <v>Vyanjana Amble</v>
      </c>
      <c r="E458" t="s">
        <v>16091</v>
      </c>
      <c r="F458" t="str">
        <f>_xlfn.XLOOKUP(tblTransactions[[#This Row],[ProductID]],tblProducts[ProductID],tblProducts[ProductName])</f>
        <v>Women's Jacket C3</v>
      </c>
      <c r="G458" t="s">
        <v>16289</v>
      </c>
      <c r="H458" t="str">
        <f>_xlfn.XLOOKUP(tblTransactions[[#This Row],[StoreID]],tblStores[StoreID],tblStores[Region])</f>
        <v>South</v>
      </c>
      <c r="I458">
        <v>2</v>
      </c>
      <c r="J458">
        <v>0.1</v>
      </c>
      <c r="K458" t="s">
        <v>16317</v>
      </c>
      <c r="L458" s="9">
        <f>_xlfn.XLOOKUP(tblTransactions[[#This Row],[ProductID]],tblProducts[ProductID],tblProducts[UnitPrice])</f>
        <v>3661.03</v>
      </c>
      <c r="M458" s="9">
        <f>tblTransactions[[#This Row],[Quantity]]*tblTransactions[[#This Row],[UnitPrice]]</f>
        <v>7322.06</v>
      </c>
      <c r="N458" s="9">
        <f>tblTransactions[[#This Row],[GrossSales]]*tblTransactions[[#This Row],[Discount]]</f>
        <v>732.20600000000013</v>
      </c>
      <c r="O458" s="9">
        <f>tblTransactions[[#This Row],[GrossSales]]-tblTransactions[[#This Row],[DiscountAmount]]</f>
        <v>6589.8540000000003</v>
      </c>
      <c r="P458" s="9">
        <f>_xlfn.XLOOKUP(tblTransactions[[#This Row],[ProductID]],tblProducts[ProductID],tblProducts[UnitCost])</f>
        <v>2588.56</v>
      </c>
      <c r="Q458" s="9">
        <f>tblTransactions[[#This Row],[Quantity]]*tblTransactions[[#This Row],[UnitCost]]</f>
        <v>5177.12</v>
      </c>
      <c r="R458" s="9">
        <f>tblTransactions[[#This Row],[NetRevenue]]-tblTransactions[[#This Row],[TotalCost]]</f>
        <v>1412.7340000000004</v>
      </c>
      <c r="S458" t="str">
        <f>_xlfn.XLOOKUP(tblTransactions[[#This Row],[ProductID]],tblProducts[ProductID],tblProducts[Category])</f>
        <v>Clothing</v>
      </c>
    </row>
    <row r="459" spans="1:19">
      <c r="A459" t="s">
        <v>16776</v>
      </c>
      <c r="B459" s="1">
        <v>45437</v>
      </c>
      <c r="C459" t="s">
        <v>3131</v>
      </c>
      <c r="D459" t="str">
        <f>_xlfn.XLOOKUP(tblTransactions[[#This Row],[CustomerID]],tblCustomers[CustomerID],tblCustomers[CustomerName])</f>
        <v>Ekani Bhatnagar</v>
      </c>
      <c r="E459" t="s">
        <v>15973</v>
      </c>
      <c r="F459" t="str">
        <f>_xlfn.XLOOKUP(tblTransactions[[#This Row],[ProductID]],tblProducts[ProductID],tblProducts[ProductName])</f>
        <v>Ultrabook A6</v>
      </c>
      <c r="G459" t="s">
        <v>16271</v>
      </c>
      <c r="H459" t="str">
        <f>_xlfn.XLOOKUP(tblTransactions[[#This Row],[StoreID]],tblStores[StoreID],tblStores[Region])</f>
        <v>South</v>
      </c>
      <c r="I459">
        <v>1</v>
      </c>
      <c r="J459">
        <v>0</v>
      </c>
      <c r="K459" t="s">
        <v>16317</v>
      </c>
      <c r="L459" s="9">
        <f>_xlfn.XLOOKUP(tblTransactions[[#This Row],[ProductID]],tblProducts[ProductID],tblProducts[UnitPrice])</f>
        <v>9422.92</v>
      </c>
      <c r="M459" s="9">
        <f>tblTransactions[[#This Row],[Quantity]]*tblTransactions[[#This Row],[UnitPrice]]</f>
        <v>9422.92</v>
      </c>
      <c r="N459" s="9">
        <f>tblTransactions[[#This Row],[GrossSales]]*tblTransactions[[#This Row],[Discount]]</f>
        <v>0</v>
      </c>
      <c r="O459" s="9">
        <f>tblTransactions[[#This Row],[GrossSales]]-tblTransactions[[#This Row],[DiscountAmount]]</f>
        <v>9422.92</v>
      </c>
      <c r="P459" s="9">
        <f>_xlfn.XLOOKUP(tblTransactions[[#This Row],[ProductID]],tblProducts[ProductID],tblProducts[UnitCost])</f>
        <v>7399.19</v>
      </c>
      <c r="Q459" s="9">
        <f>tblTransactions[[#This Row],[Quantity]]*tblTransactions[[#This Row],[UnitCost]]</f>
        <v>7399.19</v>
      </c>
      <c r="R459" s="9">
        <f>tblTransactions[[#This Row],[NetRevenue]]-tblTransactions[[#This Row],[TotalCost]]</f>
        <v>2023.7300000000005</v>
      </c>
      <c r="S459" t="str">
        <f>_xlfn.XLOOKUP(tblTransactions[[#This Row],[ProductID]],tblProducts[ProductID],tblProducts[Category])</f>
        <v>Electronics</v>
      </c>
    </row>
    <row r="460" spans="1:19">
      <c r="A460" t="s">
        <v>16777</v>
      </c>
      <c r="B460" s="1">
        <v>45438</v>
      </c>
      <c r="C460" t="s">
        <v>180</v>
      </c>
      <c r="D460" t="str">
        <f>_xlfn.XLOOKUP(tblTransactions[[#This Row],[CustomerID]],tblCustomers[CustomerID],tblCustomers[CustomerName])</f>
        <v>Logan Sami</v>
      </c>
      <c r="E460" t="s">
        <v>15935</v>
      </c>
      <c r="F460" t="str">
        <f>_xlfn.XLOOKUP(tblTransactions[[#This Row],[ProductID]],tblProducts[ProductID],tblProducts[ProductName])</f>
        <v>QLED Smart TV D4</v>
      </c>
      <c r="G460" t="s">
        <v>16291</v>
      </c>
      <c r="H460" t="str">
        <f>_xlfn.XLOOKUP(tblTransactions[[#This Row],[StoreID]],tblStores[StoreID],tblStores[Region])</f>
        <v>South</v>
      </c>
      <c r="I460">
        <v>3</v>
      </c>
      <c r="J460">
        <v>0</v>
      </c>
      <c r="K460" t="s">
        <v>16321</v>
      </c>
      <c r="L460" s="9">
        <f>_xlfn.XLOOKUP(tblTransactions[[#This Row],[ProductID]],tblProducts[ProductID],tblProducts[UnitPrice])</f>
        <v>10619.36</v>
      </c>
      <c r="M460" s="9">
        <f>tblTransactions[[#This Row],[Quantity]]*tblTransactions[[#This Row],[UnitPrice]]</f>
        <v>31858.080000000002</v>
      </c>
      <c r="N460" s="9">
        <f>tblTransactions[[#This Row],[GrossSales]]*tblTransactions[[#This Row],[Discount]]</f>
        <v>0</v>
      </c>
      <c r="O460" s="9">
        <f>tblTransactions[[#This Row],[GrossSales]]-tblTransactions[[#This Row],[DiscountAmount]]</f>
        <v>31858.080000000002</v>
      </c>
      <c r="P460" s="9">
        <f>_xlfn.XLOOKUP(tblTransactions[[#This Row],[ProductID]],tblProducts[ProductID],tblProducts[UnitCost])</f>
        <v>6544.82</v>
      </c>
      <c r="Q460" s="9">
        <f>tblTransactions[[#This Row],[Quantity]]*tblTransactions[[#This Row],[UnitCost]]</f>
        <v>19634.46</v>
      </c>
      <c r="R460" s="9">
        <f>tblTransactions[[#This Row],[NetRevenue]]-tblTransactions[[#This Row],[TotalCost]]</f>
        <v>12223.620000000003</v>
      </c>
      <c r="S460" t="str">
        <f>_xlfn.XLOOKUP(tblTransactions[[#This Row],[ProductID]],tblProducts[ProductID],tblProducts[Category])</f>
        <v>Electronics</v>
      </c>
    </row>
    <row r="461" spans="1:19">
      <c r="A461" t="s">
        <v>16778</v>
      </c>
      <c r="B461" s="1">
        <v>45439</v>
      </c>
      <c r="C461" t="s">
        <v>3351</v>
      </c>
      <c r="D461" t="str">
        <f>_xlfn.XLOOKUP(tblTransactions[[#This Row],[CustomerID]],tblCustomers[CustomerID],tblCustomers[CustomerName])</f>
        <v>Nihal Hans</v>
      </c>
      <c r="E461" t="s">
        <v>16125</v>
      </c>
      <c r="F461" t="str">
        <f>_xlfn.XLOOKUP(tblTransactions[[#This Row],[ProductID]],tblProducts[ProductID],tblProducts[ProductName])</f>
        <v>Sports Shoes E5</v>
      </c>
      <c r="G461" t="s">
        <v>16307</v>
      </c>
      <c r="H461" t="str">
        <f>_xlfn.XLOOKUP(tblTransactions[[#This Row],[StoreID]],tblStores[StoreID],tblStores[Region])</f>
        <v>East</v>
      </c>
      <c r="I461">
        <v>2</v>
      </c>
      <c r="J461">
        <v>0</v>
      </c>
      <c r="K461" t="s">
        <v>16317</v>
      </c>
      <c r="L461" s="9">
        <f>_xlfn.XLOOKUP(tblTransactions[[#This Row],[ProductID]],tblProducts[ProductID],tblProducts[UnitPrice])</f>
        <v>3368.47</v>
      </c>
      <c r="M461" s="9">
        <f>tblTransactions[[#This Row],[Quantity]]*tblTransactions[[#This Row],[UnitPrice]]</f>
        <v>6736.94</v>
      </c>
      <c r="N461" s="9">
        <f>tblTransactions[[#This Row],[GrossSales]]*tblTransactions[[#This Row],[Discount]]</f>
        <v>0</v>
      </c>
      <c r="O461" s="9">
        <f>tblTransactions[[#This Row],[GrossSales]]-tblTransactions[[#This Row],[DiscountAmount]]</f>
        <v>6736.94</v>
      </c>
      <c r="P461" s="9">
        <f>_xlfn.XLOOKUP(tblTransactions[[#This Row],[ProductID]],tblProducts[ProductID],tblProducts[UnitCost])</f>
        <v>2152.4899999999998</v>
      </c>
      <c r="Q461" s="9">
        <f>tblTransactions[[#This Row],[Quantity]]*tblTransactions[[#This Row],[UnitCost]]</f>
        <v>4304.9799999999996</v>
      </c>
      <c r="R461" s="9">
        <f>tblTransactions[[#This Row],[NetRevenue]]-tblTransactions[[#This Row],[TotalCost]]</f>
        <v>2431.96</v>
      </c>
      <c r="S461" t="str">
        <f>_xlfn.XLOOKUP(tblTransactions[[#This Row],[ProductID]],tblProducts[ProductID],tblProducts[Category])</f>
        <v>Clothing</v>
      </c>
    </row>
    <row r="462" spans="1:19">
      <c r="A462" t="s">
        <v>16779</v>
      </c>
      <c r="B462" s="1">
        <v>45439</v>
      </c>
      <c r="C462" t="s">
        <v>2975</v>
      </c>
      <c r="D462" t="str">
        <f>_xlfn.XLOOKUP(tblTransactions[[#This Row],[CustomerID]],tblCustomers[CustomerID],tblCustomers[CustomerName])</f>
        <v>Sai Patil</v>
      </c>
      <c r="E462" t="s">
        <v>16208</v>
      </c>
      <c r="F462" t="str">
        <f>_xlfn.XLOOKUP(tblTransactions[[#This Row],[ProductID]],tblProducts[ProductID],tblProducts[ProductName])</f>
        <v>Shampoo A1</v>
      </c>
      <c r="G462" t="s">
        <v>16277</v>
      </c>
      <c r="H462" t="str">
        <f>_xlfn.XLOOKUP(tblTransactions[[#This Row],[StoreID]],tblStores[StoreID],tblStores[Region])</f>
        <v>West</v>
      </c>
      <c r="I462">
        <v>4</v>
      </c>
      <c r="J462">
        <v>0</v>
      </c>
      <c r="K462" t="s">
        <v>16321</v>
      </c>
      <c r="L462" s="9">
        <f>_xlfn.XLOOKUP(tblTransactions[[#This Row],[ProductID]],tblProducts[ProductID],tblProducts[UnitPrice])</f>
        <v>3317.98</v>
      </c>
      <c r="M462" s="9">
        <f>tblTransactions[[#This Row],[Quantity]]*tblTransactions[[#This Row],[UnitPrice]]</f>
        <v>13271.92</v>
      </c>
      <c r="N462" s="9">
        <f>tblTransactions[[#This Row],[GrossSales]]*tblTransactions[[#This Row],[Discount]]</f>
        <v>0</v>
      </c>
      <c r="O462" s="9">
        <f>tblTransactions[[#This Row],[GrossSales]]-tblTransactions[[#This Row],[DiscountAmount]]</f>
        <v>13271.92</v>
      </c>
      <c r="P462" s="9">
        <f>_xlfn.XLOOKUP(tblTransactions[[#This Row],[ProductID]],tblProducts[ProductID],tblProducts[UnitCost])</f>
        <v>2151.56</v>
      </c>
      <c r="Q462" s="9">
        <f>tblTransactions[[#This Row],[Quantity]]*tblTransactions[[#This Row],[UnitCost]]</f>
        <v>8606.24</v>
      </c>
      <c r="R462" s="9">
        <f>tblTransactions[[#This Row],[NetRevenue]]-tblTransactions[[#This Row],[TotalCost]]</f>
        <v>4665.68</v>
      </c>
      <c r="S462" t="str">
        <f>_xlfn.XLOOKUP(tblTransactions[[#This Row],[ProductID]],tblProducts[ProductID],tblProducts[Category])</f>
        <v>Personal Care</v>
      </c>
    </row>
    <row r="463" spans="1:19">
      <c r="A463" t="s">
        <v>16780</v>
      </c>
      <c r="B463" s="1">
        <v>45441</v>
      </c>
      <c r="C463" t="s">
        <v>4071</v>
      </c>
      <c r="D463" t="str">
        <f>_xlfn.XLOOKUP(tblTransactions[[#This Row],[CustomerID]],tblCustomers[CustomerID],tblCustomers[CustomerName])</f>
        <v>Aayush Tripathi</v>
      </c>
      <c r="E463" t="s">
        <v>16175</v>
      </c>
      <c r="F463" t="str">
        <f>_xlfn.XLOOKUP(tblTransactions[[#This Row],[ProductID]],tblProducts[ProductID],tblProducts[ProductName])</f>
        <v>Soft Drink B7</v>
      </c>
      <c r="G463" t="s">
        <v>16307</v>
      </c>
      <c r="H463" t="str">
        <f>_xlfn.XLOOKUP(tblTransactions[[#This Row],[StoreID]],tblStores[StoreID],tblStores[Region])</f>
        <v>East</v>
      </c>
      <c r="I463">
        <v>2</v>
      </c>
      <c r="J463">
        <v>0</v>
      </c>
      <c r="K463" t="s">
        <v>16321</v>
      </c>
      <c r="L463" s="9">
        <f>_xlfn.XLOOKUP(tblTransactions[[#This Row],[ProductID]],tblProducts[ProductID],tblProducts[UnitPrice])</f>
        <v>343.15</v>
      </c>
      <c r="M463" s="9">
        <f>tblTransactions[[#This Row],[Quantity]]*tblTransactions[[#This Row],[UnitPrice]]</f>
        <v>686.3</v>
      </c>
      <c r="N463" s="9">
        <f>tblTransactions[[#This Row],[GrossSales]]*tblTransactions[[#This Row],[Discount]]</f>
        <v>0</v>
      </c>
      <c r="O463" s="9">
        <f>tblTransactions[[#This Row],[GrossSales]]-tblTransactions[[#This Row],[DiscountAmount]]</f>
        <v>686.3</v>
      </c>
      <c r="P463" s="9">
        <f>_xlfn.XLOOKUP(tblTransactions[[#This Row],[ProductID]],tblProducts[ProductID],tblProducts[UnitCost])</f>
        <v>192.59</v>
      </c>
      <c r="Q463" s="9">
        <f>tblTransactions[[#This Row],[Quantity]]*tblTransactions[[#This Row],[UnitCost]]</f>
        <v>385.18</v>
      </c>
      <c r="R463" s="9">
        <f>tblTransactions[[#This Row],[NetRevenue]]-tblTransactions[[#This Row],[TotalCost]]</f>
        <v>301.11999999999995</v>
      </c>
      <c r="S463" t="str">
        <f>_xlfn.XLOOKUP(tblTransactions[[#This Row],[ProductID]],tblProducts[ProductID],tblProducts[Category])</f>
        <v>Grocery</v>
      </c>
    </row>
    <row r="464" spans="1:19">
      <c r="A464" t="s">
        <v>16781</v>
      </c>
      <c r="B464" s="1">
        <v>45442</v>
      </c>
      <c r="C464" t="s">
        <v>11503</v>
      </c>
      <c r="D464" t="str">
        <f>_xlfn.XLOOKUP(tblTransactions[[#This Row],[CustomerID]],tblCustomers[CustomerID],tblCustomers[CustomerName])</f>
        <v>Amruta Chanda</v>
      </c>
      <c r="E464" t="s">
        <v>16121</v>
      </c>
      <c r="F464" t="str">
        <f>_xlfn.XLOOKUP(tblTransactions[[#This Row],[ProductID]],tblProducts[ProductID],tblProducts[ProductName])</f>
        <v>Sandals C3</v>
      </c>
      <c r="G464" t="s">
        <v>16273</v>
      </c>
      <c r="H464" t="str">
        <f>_xlfn.XLOOKUP(tblTransactions[[#This Row],[StoreID]],tblStores[StoreID],tblStores[Region])</f>
        <v>West</v>
      </c>
      <c r="I464">
        <v>1</v>
      </c>
      <c r="J464">
        <v>0.2</v>
      </c>
      <c r="K464" t="s">
        <v>16325</v>
      </c>
      <c r="L464" s="9">
        <f>_xlfn.XLOOKUP(tblTransactions[[#This Row],[ProductID]],tblProducts[ProductID],tblProducts[UnitPrice])</f>
        <v>6708.36</v>
      </c>
      <c r="M464" s="9">
        <f>tblTransactions[[#This Row],[Quantity]]*tblTransactions[[#This Row],[UnitPrice]]</f>
        <v>6708.36</v>
      </c>
      <c r="N464" s="9">
        <f>tblTransactions[[#This Row],[GrossSales]]*tblTransactions[[#This Row],[Discount]]</f>
        <v>1341.672</v>
      </c>
      <c r="O464" s="9">
        <f>tblTransactions[[#This Row],[GrossSales]]-tblTransactions[[#This Row],[DiscountAmount]]</f>
        <v>5366.6880000000001</v>
      </c>
      <c r="P464" s="9">
        <f>_xlfn.XLOOKUP(tblTransactions[[#This Row],[ProductID]],tblProducts[ProductID],tblProducts[UnitCost])</f>
        <v>5031.45</v>
      </c>
      <c r="Q464" s="9">
        <f>tblTransactions[[#This Row],[Quantity]]*tblTransactions[[#This Row],[UnitCost]]</f>
        <v>5031.45</v>
      </c>
      <c r="R464" s="9">
        <f>tblTransactions[[#This Row],[NetRevenue]]-tblTransactions[[#This Row],[TotalCost]]</f>
        <v>335.23800000000028</v>
      </c>
      <c r="S464" t="str">
        <f>_xlfn.XLOOKUP(tblTransactions[[#This Row],[ProductID]],tblProducts[ProductID],tblProducts[Category])</f>
        <v>Clothing</v>
      </c>
    </row>
    <row r="465" spans="1:19">
      <c r="A465" t="s">
        <v>16782</v>
      </c>
      <c r="B465" s="1">
        <v>45444</v>
      </c>
      <c r="C465" t="s">
        <v>7352</v>
      </c>
      <c r="D465" t="str">
        <f>_xlfn.XLOOKUP(tblTransactions[[#This Row],[CustomerID]],tblCustomers[CustomerID],tblCustomers[CustomerName])</f>
        <v>Yashawini Konda</v>
      </c>
      <c r="E465" t="s">
        <v>15975</v>
      </c>
      <c r="F465" t="str">
        <f>_xlfn.XLOOKUP(tblTransactions[[#This Row],[ProductID]],tblProducts[ProductID],tblProducts[ProductName])</f>
        <v>Student Laptop B7</v>
      </c>
      <c r="G465" t="s">
        <v>16285</v>
      </c>
      <c r="H465" t="str">
        <f>_xlfn.XLOOKUP(tblTransactions[[#This Row],[StoreID]],tblStores[StoreID],tblStores[Region])</f>
        <v>West</v>
      </c>
      <c r="I465">
        <v>1</v>
      </c>
      <c r="J465">
        <v>0</v>
      </c>
      <c r="K465" t="s">
        <v>16317</v>
      </c>
      <c r="L465" s="9">
        <f>_xlfn.XLOOKUP(tblTransactions[[#This Row],[ProductID]],tblProducts[ProductID],tblProducts[UnitPrice])</f>
        <v>36481.47</v>
      </c>
      <c r="M465" s="9">
        <f>tblTransactions[[#This Row],[Quantity]]*tblTransactions[[#This Row],[UnitPrice]]</f>
        <v>36481.47</v>
      </c>
      <c r="N465" s="9">
        <f>tblTransactions[[#This Row],[GrossSales]]*tblTransactions[[#This Row],[Discount]]</f>
        <v>0</v>
      </c>
      <c r="O465" s="9">
        <f>tblTransactions[[#This Row],[GrossSales]]-tblTransactions[[#This Row],[DiscountAmount]]</f>
        <v>36481.47</v>
      </c>
      <c r="P465" s="9">
        <f>_xlfn.XLOOKUP(tblTransactions[[#This Row],[ProductID]],tblProducts[ProductID],tblProducts[UnitCost])</f>
        <v>30666.16</v>
      </c>
      <c r="Q465" s="9">
        <f>tblTransactions[[#This Row],[Quantity]]*tblTransactions[[#This Row],[UnitCost]]</f>
        <v>30666.16</v>
      </c>
      <c r="R465" s="9">
        <f>tblTransactions[[#This Row],[NetRevenue]]-tblTransactions[[#This Row],[TotalCost]]</f>
        <v>5815.3100000000013</v>
      </c>
      <c r="S465" t="str">
        <f>_xlfn.XLOOKUP(tblTransactions[[#This Row],[ProductID]],tblProducts[ProductID],tblProducts[Category])</f>
        <v>Electronics</v>
      </c>
    </row>
    <row r="466" spans="1:19">
      <c r="A466" t="s">
        <v>16783</v>
      </c>
      <c r="B466" s="1">
        <v>45445</v>
      </c>
      <c r="C466" t="s">
        <v>4765</v>
      </c>
      <c r="D466" t="str">
        <f>_xlfn.XLOOKUP(tblTransactions[[#This Row],[CustomerID]],tblCustomers[CustomerID],tblCustomers[CustomerName])</f>
        <v>Riya Toor</v>
      </c>
      <c r="E466" t="s">
        <v>16068</v>
      </c>
      <c r="F466" t="str">
        <f>_xlfn.XLOOKUP(tblTransactions[[#This Row],[ProductID]],tblProducts[ProductID],tblProducts[ProductName])</f>
        <v>Wall Clock B7</v>
      </c>
      <c r="G466" t="s">
        <v>16289</v>
      </c>
      <c r="H466" t="str">
        <f>_xlfn.XLOOKUP(tblTransactions[[#This Row],[StoreID]],tblStores[StoreID],tblStores[Region])</f>
        <v>South</v>
      </c>
      <c r="I466">
        <v>2</v>
      </c>
      <c r="J466">
        <v>0</v>
      </c>
      <c r="K466" t="s">
        <v>16321</v>
      </c>
      <c r="L466" s="9">
        <f>_xlfn.XLOOKUP(tblTransactions[[#This Row],[ProductID]],tblProducts[ProductID],tblProducts[UnitPrice])</f>
        <v>7801.86</v>
      </c>
      <c r="M466" s="9">
        <f>tblTransactions[[#This Row],[Quantity]]*tblTransactions[[#This Row],[UnitPrice]]</f>
        <v>15603.72</v>
      </c>
      <c r="N466" s="9">
        <f>tblTransactions[[#This Row],[GrossSales]]*tblTransactions[[#This Row],[Discount]]</f>
        <v>0</v>
      </c>
      <c r="O466" s="9">
        <f>tblTransactions[[#This Row],[GrossSales]]-tblTransactions[[#This Row],[DiscountAmount]]</f>
        <v>15603.72</v>
      </c>
      <c r="P466" s="9">
        <f>_xlfn.XLOOKUP(tblTransactions[[#This Row],[ProductID]],tblProducts[ProductID],tblProducts[UnitCost])</f>
        <v>5332.9</v>
      </c>
      <c r="Q466" s="9">
        <f>tblTransactions[[#This Row],[Quantity]]*tblTransactions[[#This Row],[UnitCost]]</f>
        <v>10665.8</v>
      </c>
      <c r="R466" s="9">
        <f>tblTransactions[[#This Row],[NetRevenue]]-tblTransactions[[#This Row],[TotalCost]]</f>
        <v>4937.92</v>
      </c>
      <c r="S466" t="str">
        <f>_xlfn.XLOOKUP(tblTransactions[[#This Row],[ProductID]],tblProducts[ProductID],tblProducts[Category])</f>
        <v>Home &amp; Kitchen</v>
      </c>
    </row>
    <row r="467" spans="1:19">
      <c r="A467" t="s">
        <v>16784</v>
      </c>
      <c r="B467" s="1">
        <v>45445</v>
      </c>
      <c r="C467" t="s">
        <v>15637</v>
      </c>
      <c r="D467" t="str">
        <f>_xlfn.XLOOKUP(tblTransactions[[#This Row],[CustomerID]],tblCustomers[CustomerID],tblCustomers[CustomerName])</f>
        <v>Ekiya Srivastava</v>
      </c>
      <c r="E467" t="s">
        <v>16074</v>
      </c>
      <c r="F467" t="str">
        <f>_xlfn.XLOOKUP(tblTransactions[[#This Row],[ProductID]],tblProducts[ProductID],tblProducts[ProductName])</f>
        <v>Men's T-Shirt B2</v>
      </c>
      <c r="G467" t="s">
        <v>16275</v>
      </c>
      <c r="H467" t="str">
        <f>_xlfn.XLOOKUP(tblTransactions[[#This Row],[StoreID]],tblStores[StoreID],tblStores[Region])</f>
        <v>South</v>
      </c>
      <c r="I467">
        <v>4</v>
      </c>
      <c r="J467">
        <v>0.2</v>
      </c>
      <c r="K467" t="s">
        <v>16319</v>
      </c>
      <c r="L467" s="9">
        <f>_xlfn.XLOOKUP(tblTransactions[[#This Row],[ProductID]],tblProducts[ProductID],tblProducts[UnitPrice])</f>
        <v>5944.75</v>
      </c>
      <c r="M467" s="9">
        <f>tblTransactions[[#This Row],[Quantity]]*tblTransactions[[#This Row],[UnitPrice]]</f>
        <v>23779</v>
      </c>
      <c r="N467" s="9">
        <f>tblTransactions[[#This Row],[GrossSales]]*tblTransactions[[#This Row],[Discount]]</f>
        <v>4755.8</v>
      </c>
      <c r="O467" s="9">
        <f>tblTransactions[[#This Row],[GrossSales]]-tblTransactions[[#This Row],[DiscountAmount]]</f>
        <v>19023.2</v>
      </c>
      <c r="P467" s="9">
        <f>_xlfn.XLOOKUP(tblTransactions[[#This Row],[ProductID]],tblProducts[ProductID],tblProducts[UnitCost])</f>
        <v>4447.5200000000004</v>
      </c>
      <c r="Q467" s="9">
        <f>tblTransactions[[#This Row],[Quantity]]*tblTransactions[[#This Row],[UnitCost]]</f>
        <v>17790.080000000002</v>
      </c>
      <c r="R467" s="9">
        <f>tblTransactions[[#This Row],[NetRevenue]]-tblTransactions[[#This Row],[TotalCost]]</f>
        <v>1233.119999999999</v>
      </c>
      <c r="S467" t="str">
        <f>_xlfn.XLOOKUP(tblTransactions[[#This Row],[ProductID]],tblProducts[ProductID],tblProducts[Category])</f>
        <v>Clothing</v>
      </c>
    </row>
    <row r="468" spans="1:19">
      <c r="A468" t="s">
        <v>16785</v>
      </c>
      <c r="B468" s="1">
        <v>45445</v>
      </c>
      <c r="C468" t="s">
        <v>2111</v>
      </c>
      <c r="D468" t="str">
        <f>_xlfn.XLOOKUP(tblTransactions[[#This Row],[CustomerID]],tblCustomers[CustomerID],tblCustomers[CustomerName])</f>
        <v>Advika Cheema</v>
      </c>
      <c r="E468" t="s">
        <v>16116</v>
      </c>
      <c r="F468" t="str">
        <f>_xlfn.XLOOKUP(tblTransactions[[#This Row],[ProductID]],tblProducts[ProductID],tblProducts[ProductName])</f>
        <v>Sandals A1</v>
      </c>
      <c r="G468" t="s">
        <v>16295</v>
      </c>
      <c r="H468" t="str">
        <f>_xlfn.XLOOKUP(tblTransactions[[#This Row],[StoreID]],tblStores[StoreID],tblStores[Region])</f>
        <v>South</v>
      </c>
      <c r="I468">
        <v>2</v>
      </c>
      <c r="J468">
        <v>0.2</v>
      </c>
      <c r="K468" t="s">
        <v>16317</v>
      </c>
      <c r="L468" s="9">
        <f>_xlfn.XLOOKUP(tblTransactions[[#This Row],[ProductID]],tblProducts[ProductID],tblProducts[UnitPrice])</f>
        <v>7414.77</v>
      </c>
      <c r="M468" s="9">
        <f>tblTransactions[[#This Row],[Quantity]]*tblTransactions[[#This Row],[UnitPrice]]</f>
        <v>14829.54</v>
      </c>
      <c r="N468" s="9">
        <f>tblTransactions[[#This Row],[GrossSales]]*tblTransactions[[#This Row],[Discount]]</f>
        <v>2965.9080000000004</v>
      </c>
      <c r="O468" s="9">
        <f>tblTransactions[[#This Row],[GrossSales]]-tblTransactions[[#This Row],[DiscountAmount]]</f>
        <v>11863.632000000001</v>
      </c>
      <c r="P468" s="9">
        <f>_xlfn.XLOOKUP(tblTransactions[[#This Row],[ProductID]],tblProducts[ProductID],tblProducts[UnitCost])</f>
        <v>4859.1400000000003</v>
      </c>
      <c r="Q468" s="9">
        <f>tblTransactions[[#This Row],[Quantity]]*tblTransactions[[#This Row],[UnitCost]]</f>
        <v>9718.2800000000007</v>
      </c>
      <c r="R468" s="9">
        <f>tblTransactions[[#This Row],[NetRevenue]]-tblTransactions[[#This Row],[TotalCost]]</f>
        <v>2145.3520000000008</v>
      </c>
      <c r="S468" t="str">
        <f>_xlfn.XLOOKUP(tblTransactions[[#This Row],[ProductID]],tblProducts[ProductID],tblProducts[Category])</f>
        <v>Clothing</v>
      </c>
    </row>
    <row r="469" spans="1:19">
      <c r="A469" t="s">
        <v>16786</v>
      </c>
      <c r="B469" s="1">
        <v>45447</v>
      </c>
      <c r="C469" t="s">
        <v>13830</v>
      </c>
      <c r="D469" t="str">
        <f>_xlfn.XLOOKUP(tblTransactions[[#This Row],[CustomerID]],tblCustomers[CustomerID],tblCustomers[CustomerName])</f>
        <v>Pooja Dara</v>
      </c>
      <c r="E469" t="s">
        <v>15935</v>
      </c>
      <c r="F469" t="str">
        <f>_xlfn.XLOOKUP(tblTransactions[[#This Row],[ProductID]],tblProducts[ProductID],tblProducts[ProductName])</f>
        <v>QLED Smart TV D4</v>
      </c>
      <c r="G469" t="s">
        <v>16287</v>
      </c>
      <c r="H469" t="str">
        <f>_xlfn.XLOOKUP(tblTransactions[[#This Row],[StoreID]],tblStores[StoreID],tblStores[Region])</f>
        <v>North</v>
      </c>
      <c r="I469">
        <v>1</v>
      </c>
      <c r="J469">
        <v>0</v>
      </c>
      <c r="K469" t="s">
        <v>16315</v>
      </c>
      <c r="L469" s="9">
        <f>_xlfn.XLOOKUP(tblTransactions[[#This Row],[ProductID]],tblProducts[ProductID],tblProducts[UnitPrice])</f>
        <v>10619.36</v>
      </c>
      <c r="M469" s="9">
        <f>tblTransactions[[#This Row],[Quantity]]*tblTransactions[[#This Row],[UnitPrice]]</f>
        <v>10619.36</v>
      </c>
      <c r="N469" s="9">
        <f>tblTransactions[[#This Row],[GrossSales]]*tblTransactions[[#This Row],[Discount]]</f>
        <v>0</v>
      </c>
      <c r="O469" s="9">
        <f>tblTransactions[[#This Row],[GrossSales]]-tblTransactions[[#This Row],[DiscountAmount]]</f>
        <v>10619.36</v>
      </c>
      <c r="P469" s="9">
        <f>_xlfn.XLOOKUP(tblTransactions[[#This Row],[ProductID]],tblProducts[ProductID],tblProducts[UnitCost])</f>
        <v>6544.82</v>
      </c>
      <c r="Q469" s="9">
        <f>tblTransactions[[#This Row],[Quantity]]*tblTransactions[[#This Row],[UnitCost]]</f>
        <v>6544.82</v>
      </c>
      <c r="R469" s="9">
        <f>tblTransactions[[#This Row],[NetRevenue]]-tblTransactions[[#This Row],[TotalCost]]</f>
        <v>4074.5400000000009</v>
      </c>
      <c r="S469" t="str">
        <f>_xlfn.XLOOKUP(tblTransactions[[#This Row],[ProductID]],tblProducts[ProductID],tblProducts[Category])</f>
        <v>Electronics</v>
      </c>
    </row>
    <row r="470" spans="1:19">
      <c r="A470" t="s">
        <v>16787</v>
      </c>
      <c r="B470" s="1">
        <v>45448</v>
      </c>
      <c r="C470" t="s">
        <v>13866</v>
      </c>
      <c r="D470" t="str">
        <f>_xlfn.XLOOKUP(tblTransactions[[#This Row],[CustomerID]],tblCustomers[CustomerID],tblCustomers[CustomerName])</f>
        <v>Qasim Sachdev</v>
      </c>
      <c r="E470" t="s">
        <v>16125</v>
      </c>
      <c r="F470" t="str">
        <f>_xlfn.XLOOKUP(tblTransactions[[#This Row],[ProductID]],tblProducts[ProductID],tblProducts[ProductName])</f>
        <v>Sports Shoes E5</v>
      </c>
      <c r="G470" t="s">
        <v>16275</v>
      </c>
      <c r="H470" t="str">
        <f>_xlfn.XLOOKUP(tblTransactions[[#This Row],[StoreID]],tblStores[StoreID],tblStores[Region])</f>
        <v>South</v>
      </c>
      <c r="I470">
        <v>2</v>
      </c>
      <c r="J470">
        <v>0.15</v>
      </c>
      <c r="K470" t="s">
        <v>16321</v>
      </c>
      <c r="L470" s="9">
        <f>_xlfn.XLOOKUP(tblTransactions[[#This Row],[ProductID]],tblProducts[ProductID],tblProducts[UnitPrice])</f>
        <v>3368.47</v>
      </c>
      <c r="M470" s="9">
        <f>tblTransactions[[#This Row],[Quantity]]*tblTransactions[[#This Row],[UnitPrice]]</f>
        <v>6736.94</v>
      </c>
      <c r="N470" s="9">
        <f>tblTransactions[[#This Row],[GrossSales]]*tblTransactions[[#This Row],[Discount]]</f>
        <v>1010.5409999999999</v>
      </c>
      <c r="O470" s="9">
        <f>tblTransactions[[#This Row],[GrossSales]]-tblTransactions[[#This Row],[DiscountAmount]]</f>
        <v>5726.3989999999994</v>
      </c>
      <c r="P470" s="9">
        <f>_xlfn.XLOOKUP(tblTransactions[[#This Row],[ProductID]],tblProducts[ProductID],tblProducts[UnitCost])</f>
        <v>2152.4899999999998</v>
      </c>
      <c r="Q470" s="9">
        <f>tblTransactions[[#This Row],[Quantity]]*tblTransactions[[#This Row],[UnitCost]]</f>
        <v>4304.9799999999996</v>
      </c>
      <c r="R470" s="9">
        <f>tblTransactions[[#This Row],[NetRevenue]]-tblTransactions[[#This Row],[TotalCost]]</f>
        <v>1421.4189999999999</v>
      </c>
      <c r="S470" t="str">
        <f>_xlfn.XLOOKUP(tblTransactions[[#This Row],[ProductID]],tblProducts[ProductID],tblProducts[Category])</f>
        <v>Clothing</v>
      </c>
    </row>
    <row r="471" spans="1:19">
      <c r="A471" t="s">
        <v>16788</v>
      </c>
      <c r="B471" s="1">
        <v>45449</v>
      </c>
      <c r="C471" t="s">
        <v>538</v>
      </c>
      <c r="D471" t="str">
        <f>_xlfn.XLOOKUP(tblTransactions[[#This Row],[CustomerID]],tblCustomers[CustomerID],tblCustomers[CustomerName])</f>
        <v>Damyanti Mani</v>
      </c>
      <c r="E471" t="s">
        <v>16062</v>
      </c>
      <c r="F471" t="str">
        <f>_xlfn.XLOOKUP(tblTransactions[[#This Row],[ProductID]],tblProducts[ProductID],tblProducts[ProductName])</f>
        <v>Table Lamp D4</v>
      </c>
      <c r="G471" t="s">
        <v>16295</v>
      </c>
      <c r="H471" t="str">
        <f>_xlfn.XLOOKUP(tblTransactions[[#This Row],[StoreID]],tblStores[StoreID],tblStores[Region])</f>
        <v>South</v>
      </c>
      <c r="I471">
        <v>1</v>
      </c>
      <c r="J471">
        <v>0.05</v>
      </c>
      <c r="K471" t="s">
        <v>16317</v>
      </c>
      <c r="L471" s="9">
        <f>_xlfn.XLOOKUP(tblTransactions[[#This Row],[ProductID]],tblProducts[ProductID],tblProducts[UnitPrice])</f>
        <v>22222.83</v>
      </c>
      <c r="M471" s="9">
        <f>tblTransactions[[#This Row],[Quantity]]*tblTransactions[[#This Row],[UnitPrice]]</f>
        <v>22222.83</v>
      </c>
      <c r="N471" s="9">
        <f>tblTransactions[[#This Row],[GrossSales]]*tblTransactions[[#This Row],[Discount]]</f>
        <v>1111.1415000000002</v>
      </c>
      <c r="O471" s="9">
        <f>tblTransactions[[#This Row],[GrossSales]]-tblTransactions[[#This Row],[DiscountAmount]]</f>
        <v>21111.6885</v>
      </c>
      <c r="P471" s="9">
        <f>_xlfn.XLOOKUP(tblTransactions[[#This Row],[ProductID]],tblProducts[ProductID],tblProducts[UnitCost])</f>
        <v>17564.490000000002</v>
      </c>
      <c r="Q471" s="9">
        <f>tblTransactions[[#This Row],[Quantity]]*tblTransactions[[#This Row],[UnitCost]]</f>
        <v>17564.490000000002</v>
      </c>
      <c r="R471" s="9">
        <f>tblTransactions[[#This Row],[NetRevenue]]-tblTransactions[[#This Row],[TotalCost]]</f>
        <v>3547.1984999999986</v>
      </c>
      <c r="S471" t="str">
        <f>_xlfn.XLOOKUP(tblTransactions[[#This Row],[ProductID]],tblProducts[ProductID],tblProducts[Category])</f>
        <v>Home &amp; Kitchen</v>
      </c>
    </row>
    <row r="472" spans="1:19">
      <c r="A472" t="s">
        <v>16789</v>
      </c>
      <c r="B472" s="1">
        <v>45449</v>
      </c>
      <c r="C472" t="s">
        <v>14635</v>
      </c>
      <c r="D472" t="str">
        <f>_xlfn.XLOOKUP(tblTransactions[[#This Row],[CustomerID]],tblCustomers[CustomerID],tblCustomers[CustomerName])</f>
        <v>Andrew Murthy</v>
      </c>
      <c r="E472" t="s">
        <v>16152</v>
      </c>
      <c r="F472" t="str">
        <f>_xlfn.XLOOKUP(tblTransactions[[#This Row],[ProductID]],tblProducts[ProductID],tblProducts[ProductName])</f>
        <v>Chips C3</v>
      </c>
      <c r="G472" t="s">
        <v>16273</v>
      </c>
      <c r="H472" t="str">
        <f>_xlfn.XLOOKUP(tblTransactions[[#This Row],[StoreID]],tblStores[StoreID],tblStores[Region])</f>
        <v>West</v>
      </c>
      <c r="I472">
        <v>3</v>
      </c>
      <c r="J472">
        <v>0.1</v>
      </c>
      <c r="K472" t="s">
        <v>16317</v>
      </c>
      <c r="L472" s="9">
        <f>_xlfn.XLOOKUP(tblTransactions[[#This Row],[ProductID]],tblProducts[ProductID],tblProducts[UnitPrice])</f>
        <v>152.38</v>
      </c>
      <c r="M472" s="9">
        <f>tblTransactions[[#This Row],[Quantity]]*tblTransactions[[#This Row],[UnitPrice]]</f>
        <v>457.14</v>
      </c>
      <c r="N472" s="9">
        <f>tblTransactions[[#This Row],[GrossSales]]*tblTransactions[[#This Row],[Discount]]</f>
        <v>45.713999999999999</v>
      </c>
      <c r="O472" s="9">
        <f>tblTransactions[[#This Row],[GrossSales]]-tblTransactions[[#This Row],[DiscountAmount]]</f>
        <v>411.42599999999999</v>
      </c>
      <c r="P472" s="9">
        <f>_xlfn.XLOOKUP(tblTransactions[[#This Row],[ProductID]],tblProducts[ProductID],tblProducts[UnitCost])</f>
        <v>100.44</v>
      </c>
      <c r="Q472" s="9">
        <f>tblTransactions[[#This Row],[Quantity]]*tblTransactions[[#This Row],[UnitCost]]</f>
        <v>301.32</v>
      </c>
      <c r="R472" s="9">
        <f>tblTransactions[[#This Row],[NetRevenue]]-tblTransactions[[#This Row],[TotalCost]]</f>
        <v>110.10599999999999</v>
      </c>
      <c r="S472" t="str">
        <f>_xlfn.XLOOKUP(tblTransactions[[#This Row],[ProductID]],tblProducts[ProductID],tblProducts[Category])</f>
        <v>Grocery</v>
      </c>
    </row>
    <row r="473" spans="1:19">
      <c r="A473" t="s">
        <v>16790</v>
      </c>
      <c r="B473" s="1">
        <v>45450</v>
      </c>
      <c r="C473" t="s">
        <v>4218</v>
      </c>
      <c r="D473" t="str">
        <f>_xlfn.XLOOKUP(tblTransactions[[#This Row],[CustomerID]],tblCustomers[CustomerID],tblCustomers[CustomerName])</f>
        <v>Yashasvi Bir</v>
      </c>
      <c r="E473" t="s">
        <v>16232</v>
      </c>
      <c r="F473" t="str">
        <f>_xlfn.XLOOKUP(tblTransactions[[#This Row],[ProductID]],tblProducts[ProductID],tblProducts[ProductName])</f>
        <v>Soap E5</v>
      </c>
      <c r="G473" t="s">
        <v>16303</v>
      </c>
      <c r="H473" t="str">
        <f>_xlfn.XLOOKUP(tblTransactions[[#This Row],[StoreID]],tblStores[StoreID],tblStores[Region])</f>
        <v>West</v>
      </c>
      <c r="I473">
        <v>4</v>
      </c>
      <c r="J473">
        <v>0</v>
      </c>
      <c r="K473" t="s">
        <v>16317</v>
      </c>
      <c r="L473" s="9">
        <f>_xlfn.XLOOKUP(tblTransactions[[#This Row],[ProductID]],tblProducts[ProductID],tblProducts[UnitPrice])</f>
        <v>3000.36</v>
      </c>
      <c r="M473" s="9">
        <f>tblTransactions[[#This Row],[Quantity]]*tblTransactions[[#This Row],[UnitPrice]]</f>
        <v>12001.44</v>
      </c>
      <c r="N473" s="9">
        <f>tblTransactions[[#This Row],[GrossSales]]*tblTransactions[[#This Row],[Discount]]</f>
        <v>0</v>
      </c>
      <c r="O473" s="9">
        <f>tblTransactions[[#This Row],[GrossSales]]-tblTransactions[[#This Row],[DiscountAmount]]</f>
        <v>12001.44</v>
      </c>
      <c r="P473" s="9">
        <f>_xlfn.XLOOKUP(tblTransactions[[#This Row],[ProductID]],tblProducts[ProductID],tblProducts[UnitCost])</f>
        <v>2004.24</v>
      </c>
      <c r="Q473" s="9">
        <f>tblTransactions[[#This Row],[Quantity]]*tblTransactions[[#This Row],[UnitCost]]</f>
        <v>8016.96</v>
      </c>
      <c r="R473" s="9">
        <f>tblTransactions[[#This Row],[NetRevenue]]-tblTransactions[[#This Row],[TotalCost]]</f>
        <v>3984.4800000000005</v>
      </c>
      <c r="S473" t="str">
        <f>_xlfn.XLOOKUP(tblTransactions[[#This Row],[ProductID]],tblProducts[ProductID],tblProducts[Category])</f>
        <v>Personal Care</v>
      </c>
    </row>
    <row r="474" spans="1:19">
      <c r="A474" t="s">
        <v>16791</v>
      </c>
      <c r="B474" s="1">
        <v>45451</v>
      </c>
      <c r="C474" t="s">
        <v>5867</v>
      </c>
      <c r="D474" t="str">
        <f>_xlfn.XLOOKUP(tblTransactions[[#This Row],[CustomerID]],tblCustomers[CustomerID],tblCustomers[CustomerName])</f>
        <v>Falguni Misra</v>
      </c>
      <c r="E474" t="s">
        <v>16145</v>
      </c>
      <c r="F474" t="str">
        <f>_xlfn.XLOOKUP(tblTransactions[[#This Row],[ProductID]],tblProducts[ProductID],tblProducts[ProductName])</f>
        <v>Rice B7</v>
      </c>
      <c r="G474" t="s">
        <v>16291</v>
      </c>
      <c r="H474" t="str">
        <f>_xlfn.XLOOKUP(tblTransactions[[#This Row],[StoreID]],tblStores[StoreID],tblStores[Region])</f>
        <v>South</v>
      </c>
      <c r="I474">
        <v>2</v>
      </c>
      <c r="J474">
        <v>0.1</v>
      </c>
      <c r="K474" t="s">
        <v>16315</v>
      </c>
      <c r="L474" s="9">
        <f>_xlfn.XLOOKUP(tblTransactions[[#This Row],[ProductID]],tblProducts[ProductID],tblProducts[UnitPrice])</f>
        <v>775.19</v>
      </c>
      <c r="M474" s="9">
        <f>tblTransactions[[#This Row],[Quantity]]*tblTransactions[[#This Row],[UnitPrice]]</f>
        <v>1550.38</v>
      </c>
      <c r="N474" s="9">
        <f>tblTransactions[[#This Row],[GrossSales]]*tblTransactions[[#This Row],[Discount]]</f>
        <v>155.03800000000001</v>
      </c>
      <c r="O474" s="9">
        <f>tblTransactions[[#This Row],[GrossSales]]-tblTransactions[[#This Row],[DiscountAmount]]</f>
        <v>1395.3420000000001</v>
      </c>
      <c r="P474" s="9">
        <f>_xlfn.XLOOKUP(tblTransactions[[#This Row],[ProductID]],tblProducts[ProductID],tblProducts[UnitCost])</f>
        <v>597.84</v>
      </c>
      <c r="Q474" s="9">
        <f>tblTransactions[[#This Row],[Quantity]]*tblTransactions[[#This Row],[UnitCost]]</f>
        <v>1195.68</v>
      </c>
      <c r="R474" s="9">
        <f>tblTransactions[[#This Row],[NetRevenue]]-tblTransactions[[#This Row],[TotalCost]]</f>
        <v>199.66200000000003</v>
      </c>
      <c r="S474" t="str">
        <f>_xlfn.XLOOKUP(tblTransactions[[#This Row],[ProductID]],tblProducts[ProductID],tblProducts[Category])</f>
        <v>Grocery</v>
      </c>
    </row>
    <row r="475" spans="1:19">
      <c r="A475" t="s">
        <v>16792</v>
      </c>
      <c r="B475" s="1">
        <v>45451</v>
      </c>
      <c r="C475" t="s">
        <v>3409</v>
      </c>
      <c r="D475" t="str">
        <f>_xlfn.XLOOKUP(tblTransactions[[#This Row],[CustomerID]],tblCustomers[CustomerID],tblCustomers[CustomerName])</f>
        <v>Oni Morar</v>
      </c>
      <c r="E475" t="s">
        <v>16058</v>
      </c>
      <c r="F475" t="str">
        <f>_xlfn.XLOOKUP(tblTransactions[[#This Row],[ProductID]],tblProducts[ProductID],tblProducts[ProductName])</f>
        <v>Decorative Vase B2</v>
      </c>
      <c r="G475" t="s">
        <v>16279</v>
      </c>
      <c r="H475" t="str">
        <f>_xlfn.XLOOKUP(tblTransactions[[#This Row],[StoreID]],tblStores[StoreID],tblStores[Region])</f>
        <v>South</v>
      </c>
      <c r="I475">
        <v>1</v>
      </c>
      <c r="J475">
        <v>0.05</v>
      </c>
      <c r="K475" t="s">
        <v>16321</v>
      </c>
      <c r="L475" s="9">
        <f>_xlfn.XLOOKUP(tblTransactions[[#This Row],[ProductID]],tblProducts[ProductID],tblProducts[UnitPrice])</f>
        <v>22102.15</v>
      </c>
      <c r="M475" s="9">
        <f>tblTransactions[[#This Row],[Quantity]]*tblTransactions[[#This Row],[UnitPrice]]</f>
        <v>22102.15</v>
      </c>
      <c r="N475" s="9">
        <f>tblTransactions[[#This Row],[GrossSales]]*tblTransactions[[#This Row],[Discount]]</f>
        <v>1105.1075000000001</v>
      </c>
      <c r="O475" s="9">
        <f>tblTransactions[[#This Row],[GrossSales]]-tblTransactions[[#This Row],[DiscountAmount]]</f>
        <v>20997.042500000003</v>
      </c>
      <c r="P475" s="9">
        <f>_xlfn.XLOOKUP(tblTransactions[[#This Row],[ProductID]],tblProducts[ProductID],tblProducts[UnitCost])</f>
        <v>15710.91</v>
      </c>
      <c r="Q475" s="9">
        <f>tblTransactions[[#This Row],[Quantity]]*tblTransactions[[#This Row],[UnitCost]]</f>
        <v>15710.91</v>
      </c>
      <c r="R475" s="9">
        <f>tblTransactions[[#This Row],[NetRevenue]]-tblTransactions[[#This Row],[TotalCost]]</f>
        <v>5286.1325000000033</v>
      </c>
      <c r="S475" t="str">
        <f>_xlfn.XLOOKUP(tblTransactions[[#This Row],[ProductID]],tblProducts[ProductID],tblProducts[Category])</f>
        <v>Home &amp; Kitchen</v>
      </c>
    </row>
    <row r="476" spans="1:19">
      <c r="A476" t="s">
        <v>16793</v>
      </c>
      <c r="B476" s="1">
        <v>45452</v>
      </c>
      <c r="C476" t="s">
        <v>39</v>
      </c>
      <c r="D476" t="str">
        <f>_xlfn.XLOOKUP(tblTransactions[[#This Row],[CustomerID]],tblCustomers[CustomerID],tblCustomers[CustomerName])</f>
        <v>Arunima Dugal</v>
      </c>
      <c r="E476" t="s">
        <v>16188</v>
      </c>
      <c r="F476" t="str">
        <f>_xlfn.XLOOKUP(tblTransactions[[#This Row],[ProductID]],tblProducts[ProductID],tblProducts[ProductName])</f>
        <v>Pasta A6</v>
      </c>
      <c r="G476" t="s">
        <v>16289</v>
      </c>
      <c r="H476" t="str">
        <f>_xlfn.XLOOKUP(tblTransactions[[#This Row],[StoreID]],tblStores[StoreID],tblStores[Region])</f>
        <v>South</v>
      </c>
      <c r="I476">
        <v>1</v>
      </c>
      <c r="J476">
        <v>0</v>
      </c>
      <c r="K476" t="s">
        <v>16325</v>
      </c>
      <c r="L476" s="9">
        <f>_xlfn.XLOOKUP(tblTransactions[[#This Row],[ProductID]],tblProducts[ProductID],tblProducts[UnitPrice])</f>
        <v>1019.45</v>
      </c>
      <c r="M476" s="9">
        <f>tblTransactions[[#This Row],[Quantity]]*tblTransactions[[#This Row],[UnitPrice]]</f>
        <v>1019.45</v>
      </c>
      <c r="N476" s="9">
        <f>tblTransactions[[#This Row],[GrossSales]]*tblTransactions[[#This Row],[Discount]]</f>
        <v>0</v>
      </c>
      <c r="O476" s="9">
        <f>tblTransactions[[#This Row],[GrossSales]]-tblTransactions[[#This Row],[DiscountAmount]]</f>
        <v>1019.45</v>
      </c>
      <c r="P476" s="9">
        <f>_xlfn.XLOOKUP(tblTransactions[[#This Row],[ProductID]],tblProducts[ProductID],tblProducts[UnitCost])</f>
        <v>683.18</v>
      </c>
      <c r="Q476" s="9">
        <f>tblTransactions[[#This Row],[Quantity]]*tblTransactions[[#This Row],[UnitCost]]</f>
        <v>683.18</v>
      </c>
      <c r="R476" s="9">
        <f>tblTransactions[[#This Row],[NetRevenue]]-tblTransactions[[#This Row],[TotalCost]]</f>
        <v>336.2700000000001</v>
      </c>
      <c r="S476" t="str">
        <f>_xlfn.XLOOKUP(tblTransactions[[#This Row],[ProductID]],tblProducts[ProductID],tblProducts[Category])</f>
        <v>Grocery</v>
      </c>
    </row>
    <row r="477" spans="1:19">
      <c r="A477" t="s">
        <v>16794</v>
      </c>
      <c r="B477" s="1">
        <v>45452</v>
      </c>
      <c r="C477" t="s">
        <v>1211</v>
      </c>
      <c r="D477" t="str">
        <f>_xlfn.XLOOKUP(tblTransactions[[#This Row],[CustomerID]],tblCustomers[CustomerID],tblCustomers[CustomerName])</f>
        <v>Jagat Dave</v>
      </c>
      <c r="E477" t="s">
        <v>16167</v>
      </c>
      <c r="F477" t="str">
        <f>_xlfn.XLOOKUP(tblTransactions[[#This Row],[ProductID]],tblProducts[ProductID],tblProducts[ProductName])</f>
        <v>Coffee C3</v>
      </c>
      <c r="G477" t="s">
        <v>16301</v>
      </c>
      <c r="H477" t="str">
        <f>_xlfn.XLOOKUP(tblTransactions[[#This Row],[StoreID]],tblStores[StoreID],tblStores[Region])</f>
        <v>East</v>
      </c>
      <c r="I477">
        <v>1</v>
      </c>
      <c r="J477">
        <v>0.05</v>
      </c>
      <c r="K477" t="s">
        <v>16325</v>
      </c>
      <c r="L477" s="9">
        <f>_xlfn.XLOOKUP(tblTransactions[[#This Row],[ProductID]],tblProducts[ProductID],tblProducts[UnitPrice])</f>
        <v>912.62</v>
      </c>
      <c r="M477" s="9">
        <f>tblTransactions[[#This Row],[Quantity]]*tblTransactions[[#This Row],[UnitPrice]]</f>
        <v>912.62</v>
      </c>
      <c r="N477" s="9">
        <f>tblTransactions[[#This Row],[GrossSales]]*tblTransactions[[#This Row],[Discount]]</f>
        <v>45.631</v>
      </c>
      <c r="O477" s="9">
        <f>tblTransactions[[#This Row],[GrossSales]]-tblTransactions[[#This Row],[DiscountAmount]]</f>
        <v>866.98900000000003</v>
      </c>
      <c r="P477" s="9">
        <f>_xlfn.XLOOKUP(tblTransactions[[#This Row],[ProductID]],tblProducts[ProductID],tblProducts[UnitCost])</f>
        <v>648.75</v>
      </c>
      <c r="Q477" s="9">
        <f>tblTransactions[[#This Row],[Quantity]]*tblTransactions[[#This Row],[UnitCost]]</f>
        <v>648.75</v>
      </c>
      <c r="R477" s="9">
        <f>tblTransactions[[#This Row],[NetRevenue]]-tblTransactions[[#This Row],[TotalCost]]</f>
        <v>218.23900000000003</v>
      </c>
      <c r="S477" t="str">
        <f>_xlfn.XLOOKUP(tblTransactions[[#This Row],[ProductID]],tblProducts[ProductID],tblProducts[Category])</f>
        <v>Grocery</v>
      </c>
    </row>
    <row r="478" spans="1:19">
      <c r="A478" t="s">
        <v>16795</v>
      </c>
      <c r="B478" s="1">
        <v>45454</v>
      </c>
      <c r="C478" t="s">
        <v>14102</v>
      </c>
      <c r="D478" t="str">
        <f>_xlfn.XLOOKUP(tblTransactions[[#This Row],[CustomerID]],tblCustomers[CustomerID],tblCustomers[CustomerName])</f>
        <v>Triya Sunder</v>
      </c>
      <c r="E478" t="s">
        <v>15971</v>
      </c>
      <c r="F478" t="str">
        <f>_xlfn.XLOOKUP(tblTransactions[[#This Row],[ProductID]],tblProducts[ProductID],tblProducts[ProductName])</f>
        <v>Ultrabook E5</v>
      </c>
      <c r="G478" t="s">
        <v>16277</v>
      </c>
      <c r="H478" t="str">
        <f>_xlfn.XLOOKUP(tblTransactions[[#This Row],[StoreID]],tblStores[StoreID],tblStores[Region])</f>
        <v>West</v>
      </c>
      <c r="I478">
        <v>3</v>
      </c>
      <c r="J478">
        <v>0</v>
      </c>
      <c r="K478" t="s">
        <v>16315</v>
      </c>
      <c r="L478" s="9">
        <f>_xlfn.XLOOKUP(tblTransactions[[#This Row],[ProductID]],tblProducts[ProductID],tblProducts[UnitPrice])</f>
        <v>48777.16</v>
      </c>
      <c r="M478" s="9">
        <f>tblTransactions[[#This Row],[Quantity]]*tblTransactions[[#This Row],[UnitPrice]]</f>
        <v>146331.48000000001</v>
      </c>
      <c r="N478" s="9">
        <f>tblTransactions[[#This Row],[GrossSales]]*tblTransactions[[#This Row],[Discount]]</f>
        <v>0</v>
      </c>
      <c r="O478" s="9">
        <f>tblTransactions[[#This Row],[GrossSales]]-tblTransactions[[#This Row],[DiscountAmount]]</f>
        <v>146331.48000000001</v>
      </c>
      <c r="P478" s="9">
        <f>_xlfn.XLOOKUP(tblTransactions[[#This Row],[ProductID]],tblProducts[ProductID],tblProducts[UnitCost])</f>
        <v>29771.48</v>
      </c>
      <c r="Q478" s="9">
        <f>tblTransactions[[#This Row],[Quantity]]*tblTransactions[[#This Row],[UnitCost]]</f>
        <v>89314.44</v>
      </c>
      <c r="R478" s="9">
        <f>tblTransactions[[#This Row],[NetRevenue]]-tblTransactions[[#This Row],[TotalCost]]</f>
        <v>57017.040000000008</v>
      </c>
      <c r="S478" t="str">
        <f>_xlfn.XLOOKUP(tblTransactions[[#This Row],[ProductID]],tblProducts[ProductID],tblProducts[Category])</f>
        <v>Electronics</v>
      </c>
    </row>
    <row r="479" spans="1:19">
      <c r="A479" t="s">
        <v>16796</v>
      </c>
      <c r="B479" s="1">
        <v>45455</v>
      </c>
      <c r="C479" t="s">
        <v>14357</v>
      </c>
      <c r="D479" t="str">
        <f>_xlfn.XLOOKUP(tblTransactions[[#This Row],[CustomerID]],tblCustomers[CustomerID],tblCustomers[CustomerName])</f>
        <v>Urmi Ravi</v>
      </c>
      <c r="E479" t="s">
        <v>15986</v>
      </c>
      <c r="F479" t="str">
        <f>_xlfn.XLOOKUP(tblTransactions[[#This Row],[ProductID]],tblProducts[ProductID],tblProducts[ProductName])</f>
        <v>Soundbar D4</v>
      </c>
      <c r="G479" t="s">
        <v>16305</v>
      </c>
      <c r="H479" t="str">
        <f>_xlfn.XLOOKUP(tblTransactions[[#This Row],[StoreID]],tblStores[StoreID],tblStores[Region])</f>
        <v>South</v>
      </c>
      <c r="I479">
        <v>1</v>
      </c>
      <c r="J479">
        <v>0.05</v>
      </c>
      <c r="K479" t="s">
        <v>16315</v>
      </c>
      <c r="L479" s="9">
        <f>_xlfn.XLOOKUP(tblTransactions[[#This Row],[ProductID]],tblProducts[ProductID],tblProducts[UnitPrice])</f>
        <v>52004.72</v>
      </c>
      <c r="M479" s="9">
        <f>tblTransactions[[#This Row],[Quantity]]*tblTransactions[[#This Row],[UnitPrice]]</f>
        <v>52004.72</v>
      </c>
      <c r="N479" s="9">
        <f>tblTransactions[[#This Row],[GrossSales]]*tblTransactions[[#This Row],[Discount]]</f>
        <v>2600.2360000000003</v>
      </c>
      <c r="O479" s="9">
        <f>tblTransactions[[#This Row],[GrossSales]]-tblTransactions[[#This Row],[DiscountAmount]]</f>
        <v>49404.484000000004</v>
      </c>
      <c r="P479" s="9">
        <f>_xlfn.XLOOKUP(tblTransactions[[#This Row],[ProductID]],tblProducts[ProductID],tblProducts[UnitCost])</f>
        <v>43224.87</v>
      </c>
      <c r="Q479" s="9">
        <f>tblTransactions[[#This Row],[Quantity]]*tblTransactions[[#This Row],[UnitCost]]</f>
        <v>43224.87</v>
      </c>
      <c r="R479" s="9">
        <f>tblTransactions[[#This Row],[NetRevenue]]-tblTransactions[[#This Row],[TotalCost]]</f>
        <v>6179.6140000000014</v>
      </c>
      <c r="S479" t="str">
        <f>_xlfn.XLOOKUP(tblTransactions[[#This Row],[ProductID]],tblProducts[ProductID],tblProducts[Category])</f>
        <v>Electronics</v>
      </c>
    </row>
    <row r="480" spans="1:19">
      <c r="A480" t="s">
        <v>16797</v>
      </c>
      <c r="B480" s="1">
        <v>45456</v>
      </c>
      <c r="C480" t="s">
        <v>9642</v>
      </c>
      <c r="D480" t="str">
        <f>_xlfn.XLOOKUP(tblTransactions[[#This Row],[CustomerID]],tblCustomers[CustomerID],tblCustomers[CustomerName])</f>
        <v>Darika Keer</v>
      </c>
      <c r="E480" t="s">
        <v>16198</v>
      </c>
      <c r="F480" t="str">
        <f>_xlfn.XLOOKUP(tblTransactions[[#This Row],[ProductID]],tblProducts[ProductID],tblProducts[ProductName])</f>
        <v>Face Wash C3</v>
      </c>
      <c r="G480" t="s">
        <v>16295</v>
      </c>
      <c r="H480" t="str">
        <f>_xlfn.XLOOKUP(tblTransactions[[#This Row],[StoreID]],tblStores[StoreID],tblStores[Region])</f>
        <v>South</v>
      </c>
      <c r="I480">
        <v>3</v>
      </c>
      <c r="J480">
        <v>0.1</v>
      </c>
      <c r="K480" t="s">
        <v>16317</v>
      </c>
      <c r="L480" s="9">
        <f>_xlfn.XLOOKUP(tblTransactions[[#This Row],[ProductID]],tblProducts[ProductID],tblProducts[UnitPrice])</f>
        <v>1783.65</v>
      </c>
      <c r="M480" s="9">
        <f>tblTransactions[[#This Row],[Quantity]]*tblTransactions[[#This Row],[UnitPrice]]</f>
        <v>5350.9500000000007</v>
      </c>
      <c r="N480" s="9">
        <f>tblTransactions[[#This Row],[GrossSales]]*tblTransactions[[#This Row],[Discount]]</f>
        <v>535.09500000000014</v>
      </c>
      <c r="O480" s="9">
        <f>tblTransactions[[#This Row],[GrossSales]]-tblTransactions[[#This Row],[DiscountAmount]]</f>
        <v>4815.8550000000005</v>
      </c>
      <c r="P480" s="9">
        <f>_xlfn.XLOOKUP(tblTransactions[[#This Row],[ProductID]],tblProducts[ProductID],tblProducts[UnitCost])</f>
        <v>1128.95</v>
      </c>
      <c r="Q480" s="9">
        <f>tblTransactions[[#This Row],[Quantity]]*tblTransactions[[#This Row],[UnitCost]]</f>
        <v>3386.8500000000004</v>
      </c>
      <c r="R480" s="9">
        <f>tblTransactions[[#This Row],[NetRevenue]]-tblTransactions[[#This Row],[TotalCost]]</f>
        <v>1429.0050000000001</v>
      </c>
      <c r="S480" t="str">
        <f>_xlfn.XLOOKUP(tblTransactions[[#This Row],[ProductID]],tblProducts[ProductID],tblProducts[Category])</f>
        <v>Personal Care</v>
      </c>
    </row>
    <row r="481" spans="1:19">
      <c r="A481" t="s">
        <v>16798</v>
      </c>
      <c r="B481" s="1">
        <v>45459</v>
      </c>
      <c r="C481" t="s">
        <v>4190</v>
      </c>
      <c r="D481" t="str">
        <f>_xlfn.XLOOKUP(tblTransactions[[#This Row],[CustomerID]],tblCustomers[CustomerID],tblCustomers[CustomerName])</f>
        <v>Kabir Dhar</v>
      </c>
      <c r="E481" t="s">
        <v>16204</v>
      </c>
      <c r="F481" t="str">
        <f>_xlfn.XLOOKUP(tblTransactions[[#This Row],[ProductID]],tblProducts[ProductID],tblProducts[ProductName])</f>
        <v>Moisturizer A6</v>
      </c>
      <c r="G481" t="s">
        <v>16285</v>
      </c>
      <c r="H481" t="str">
        <f>_xlfn.XLOOKUP(tblTransactions[[#This Row],[StoreID]],tblStores[StoreID],tblStores[Region])</f>
        <v>West</v>
      </c>
      <c r="I481">
        <v>1</v>
      </c>
      <c r="J481">
        <v>0</v>
      </c>
      <c r="K481" t="s">
        <v>16321</v>
      </c>
      <c r="L481" s="9">
        <f>_xlfn.XLOOKUP(tblTransactions[[#This Row],[ProductID]],tblProducts[ProductID],tblProducts[UnitPrice])</f>
        <v>1655.17</v>
      </c>
      <c r="M481" s="9">
        <f>tblTransactions[[#This Row],[Quantity]]*tblTransactions[[#This Row],[UnitPrice]]</f>
        <v>1655.17</v>
      </c>
      <c r="N481" s="9">
        <f>tblTransactions[[#This Row],[GrossSales]]*tblTransactions[[#This Row],[Discount]]</f>
        <v>0</v>
      </c>
      <c r="O481" s="9">
        <f>tblTransactions[[#This Row],[GrossSales]]-tblTransactions[[#This Row],[DiscountAmount]]</f>
        <v>1655.17</v>
      </c>
      <c r="P481" s="9">
        <f>_xlfn.XLOOKUP(tblTransactions[[#This Row],[ProductID]],tblProducts[ProductID],tblProducts[UnitCost])</f>
        <v>1375.84</v>
      </c>
      <c r="Q481" s="9">
        <f>tblTransactions[[#This Row],[Quantity]]*tblTransactions[[#This Row],[UnitCost]]</f>
        <v>1375.84</v>
      </c>
      <c r="R481" s="9">
        <f>tblTransactions[[#This Row],[NetRevenue]]-tblTransactions[[#This Row],[TotalCost]]</f>
        <v>279.33000000000015</v>
      </c>
      <c r="S481" t="str">
        <f>_xlfn.XLOOKUP(tblTransactions[[#This Row],[ProductID]],tblProducts[ProductID],tblProducts[Category])</f>
        <v>Personal Care</v>
      </c>
    </row>
    <row r="482" spans="1:19">
      <c r="A482" t="s">
        <v>16799</v>
      </c>
      <c r="B482" s="1">
        <v>45459</v>
      </c>
      <c r="C482" t="s">
        <v>5875</v>
      </c>
      <c r="D482" t="str">
        <f>_xlfn.XLOOKUP(tblTransactions[[#This Row],[CustomerID]],tblCustomers[CustomerID],tblCustomers[CustomerName])</f>
        <v>Vyanjana Hora</v>
      </c>
      <c r="E482" t="s">
        <v>16045</v>
      </c>
      <c r="F482" t="str">
        <f>_xlfn.XLOOKUP(tblTransactions[[#This Row],[ProductID]],tblProducts[ProductID],tblProducts[ProductName])</f>
        <v>Non-stick Pan C3</v>
      </c>
      <c r="G482" t="s">
        <v>16295</v>
      </c>
      <c r="H482" t="str">
        <f>_xlfn.XLOOKUP(tblTransactions[[#This Row],[StoreID]],tblStores[StoreID],tblStores[Region])</f>
        <v>South</v>
      </c>
      <c r="I482">
        <v>3</v>
      </c>
      <c r="J482">
        <v>0.1</v>
      </c>
      <c r="K482" t="s">
        <v>16317</v>
      </c>
      <c r="L482" s="9">
        <f>_xlfn.XLOOKUP(tblTransactions[[#This Row],[ProductID]],tblProducts[ProductID],tblProducts[UnitPrice])</f>
        <v>26326.12</v>
      </c>
      <c r="M482" s="9">
        <f>tblTransactions[[#This Row],[Quantity]]*tblTransactions[[#This Row],[UnitPrice]]</f>
        <v>78978.36</v>
      </c>
      <c r="N482" s="9">
        <f>tblTransactions[[#This Row],[GrossSales]]*tblTransactions[[#This Row],[Discount]]</f>
        <v>7897.8360000000002</v>
      </c>
      <c r="O482" s="9">
        <f>tblTransactions[[#This Row],[GrossSales]]-tblTransactions[[#This Row],[DiscountAmount]]</f>
        <v>71080.524000000005</v>
      </c>
      <c r="P482" s="9">
        <f>_xlfn.XLOOKUP(tblTransactions[[#This Row],[ProductID]],tblProducts[ProductID],tblProducts[UnitCost])</f>
        <v>17114.43</v>
      </c>
      <c r="Q482" s="9">
        <f>tblTransactions[[#This Row],[Quantity]]*tblTransactions[[#This Row],[UnitCost]]</f>
        <v>51343.29</v>
      </c>
      <c r="R482" s="9">
        <f>tblTransactions[[#This Row],[NetRevenue]]-tblTransactions[[#This Row],[TotalCost]]</f>
        <v>19737.234000000004</v>
      </c>
      <c r="S482" t="str">
        <f>_xlfn.XLOOKUP(tblTransactions[[#This Row],[ProductID]],tblProducts[ProductID],tblProducts[Category])</f>
        <v>Home &amp; Kitchen</v>
      </c>
    </row>
    <row r="483" spans="1:19">
      <c r="A483" t="s">
        <v>16800</v>
      </c>
      <c r="B483" s="1">
        <v>45459</v>
      </c>
      <c r="C483" t="s">
        <v>13211</v>
      </c>
      <c r="D483" t="str">
        <f>_xlfn.XLOOKUP(tblTransactions[[#This Row],[CustomerID]],tblCustomers[CustomerID],tblCustomers[CustomerName])</f>
        <v>Kashvi Brar</v>
      </c>
      <c r="E483" t="s">
        <v>15975</v>
      </c>
      <c r="F483" t="str">
        <f>_xlfn.XLOOKUP(tblTransactions[[#This Row],[ProductID]],tblProducts[ProductID],tblProducts[ProductName])</f>
        <v>Student Laptop B7</v>
      </c>
      <c r="G483" t="s">
        <v>16279</v>
      </c>
      <c r="H483" t="str">
        <f>_xlfn.XLOOKUP(tblTransactions[[#This Row],[StoreID]],tblStores[StoreID],tblStores[Region])</f>
        <v>South</v>
      </c>
      <c r="I483">
        <v>2</v>
      </c>
      <c r="J483">
        <v>0</v>
      </c>
      <c r="K483" t="s">
        <v>16317</v>
      </c>
      <c r="L483" s="9">
        <f>_xlfn.XLOOKUP(tblTransactions[[#This Row],[ProductID]],tblProducts[ProductID],tblProducts[UnitPrice])</f>
        <v>36481.47</v>
      </c>
      <c r="M483" s="9">
        <f>tblTransactions[[#This Row],[Quantity]]*tblTransactions[[#This Row],[UnitPrice]]</f>
        <v>72962.94</v>
      </c>
      <c r="N483" s="9">
        <f>tblTransactions[[#This Row],[GrossSales]]*tblTransactions[[#This Row],[Discount]]</f>
        <v>0</v>
      </c>
      <c r="O483" s="9">
        <f>tblTransactions[[#This Row],[GrossSales]]-tblTransactions[[#This Row],[DiscountAmount]]</f>
        <v>72962.94</v>
      </c>
      <c r="P483" s="9">
        <f>_xlfn.XLOOKUP(tblTransactions[[#This Row],[ProductID]],tblProducts[ProductID],tblProducts[UnitCost])</f>
        <v>30666.16</v>
      </c>
      <c r="Q483" s="9">
        <f>tblTransactions[[#This Row],[Quantity]]*tblTransactions[[#This Row],[UnitCost]]</f>
        <v>61332.32</v>
      </c>
      <c r="R483" s="9">
        <f>tblTransactions[[#This Row],[NetRevenue]]-tblTransactions[[#This Row],[TotalCost]]</f>
        <v>11630.620000000003</v>
      </c>
      <c r="S483" t="str">
        <f>_xlfn.XLOOKUP(tblTransactions[[#This Row],[ProductID]],tblProducts[ProductID],tblProducts[Category])</f>
        <v>Electronics</v>
      </c>
    </row>
    <row r="484" spans="1:19">
      <c r="A484" t="s">
        <v>16801</v>
      </c>
      <c r="B484" s="1">
        <v>45462</v>
      </c>
      <c r="C484" t="s">
        <v>14730</v>
      </c>
      <c r="D484" t="str">
        <f>_xlfn.XLOOKUP(tblTransactions[[#This Row],[CustomerID]],tblCustomers[CustomerID],tblCustomers[CustomerName])</f>
        <v>Nilima Chauhan</v>
      </c>
      <c r="E484" t="s">
        <v>16177</v>
      </c>
      <c r="F484" t="str">
        <f>_xlfn.XLOOKUP(tblTransactions[[#This Row],[ProductID]],tblProducts[ProductID],tblProducts[ProductName])</f>
        <v>Instant Noodles A1</v>
      </c>
      <c r="G484" t="s">
        <v>16259</v>
      </c>
      <c r="H484" t="str">
        <f>_xlfn.XLOOKUP(tblTransactions[[#This Row],[StoreID]],tblStores[StoreID],tblStores[Region])</f>
        <v>East</v>
      </c>
      <c r="I484">
        <v>2</v>
      </c>
      <c r="J484">
        <v>0.1</v>
      </c>
      <c r="K484" t="s">
        <v>16317</v>
      </c>
      <c r="L484" s="9">
        <f>_xlfn.XLOOKUP(tblTransactions[[#This Row],[ProductID]],tblProducts[ProductID],tblProducts[UnitPrice])</f>
        <v>1210.1500000000001</v>
      </c>
      <c r="M484" s="9">
        <f>tblTransactions[[#This Row],[Quantity]]*tblTransactions[[#This Row],[UnitPrice]]</f>
        <v>2420.3000000000002</v>
      </c>
      <c r="N484" s="9">
        <f>tblTransactions[[#This Row],[GrossSales]]*tblTransactions[[#This Row],[Discount]]</f>
        <v>242.03000000000003</v>
      </c>
      <c r="O484" s="9">
        <f>tblTransactions[[#This Row],[GrossSales]]-tblTransactions[[#This Row],[DiscountAmount]]</f>
        <v>2178.27</v>
      </c>
      <c r="P484" s="9">
        <f>_xlfn.XLOOKUP(tblTransactions[[#This Row],[ProductID]],tblProducts[ProductID],tblProducts[UnitCost])</f>
        <v>697.43</v>
      </c>
      <c r="Q484" s="9">
        <f>tblTransactions[[#This Row],[Quantity]]*tblTransactions[[#This Row],[UnitCost]]</f>
        <v>1394.86</v>
      </c>
      <c r="R484" s="9">
        <f>tblTransactions[[#This Row],[NetRevenue]]-tblTransactions[[#This Row],[TotalCost]]</f>
        <v>783.41000000000008</v>
      </c>
      <c r="S484" t="str">
        <f>_xlfn.XLOOKUP(tblTransactions[[#This Row],[ProductID]],tblProducts[ProductID],tblProducts[Category])</f>
        <v>Grocery</v>
      </c>
    </row>
    <row r="485" spans="1:19">
      <c r="A485" t="s">
        <v>16802</v>
      </c>
      <c r="B485" s="1">
        <v>45467</v>
      </c>
      <c r="C485" t="s">
        <v>8821</v>
      </c>
      <c r="D485" t="str">
        <f>_xlfn.XLOOKUP(tblTransactions[[#This Row],[CustomerID]],tblCustomers[CustomerID],tblCustomers[CustomerName])</f>
        <v>Warhi Grewal</v>
      </c>
      <c r="E485" t="s">
        <v>16110</v>
      </c>
      <c r="F485" t="str">
        <f>_xlfn.XLOOKUP(tblTransactions[[#This Row],[ProductID]],tblProducts[ProductID],tblProducts[ProductName])</f>
        <v>Kids T-Shirt E5</v>
      </c>
      <c r="G485" t="s">
        <v>16287</v>
      </c>
      <c r="H485" t="str">
        <f>_xlfn.XLOOKUP(tblTransactions[[#This Row],[StoreID]],tblStores[StoreID],tblStores[Region])</f>
        <v>North</v>
      </c>
      <c r="I485">
        <v>5</v>
      </c>
      <c r="J485">
        <v>0.15</v>
      </c>
      <c r="K485" t="s">
        <v>16321</v>
      </c>
      <c r="L485" s="9">
        <f>_xlfn.XLOOKUP(tblTransactions[[#This Row],[ProductID]],tblProducts[ProductID],tblProducts[UnitPrice])</f>
        <v>508.67</v>
      </c>
      <c r="M485" s="9">
        <f>tblTransactions[[#This Row],[Quantity]]*tblTransactions[[#This Row],[UnitPrice]]</f>
        <v>2543.35</v>
      </c>
      <c r="N485" s="9">
        <f>tblTransactions[[#This Row],[GrossSales]]*tblTransactions[[#This Row],[Discount]]</f>
        <v>381.5025</v>
      </c>
      <c r="O485" s="9">
        <f>tblTransactions[[#This Row],[GrossSales]]-tblTransactions[[#This Row],[DiscountAmount]]</f>
        <v>2161.8474999999999</v>
      </c>
      <c r="P485" s="9">
        <f>_xlfn.XLOOKUP(tblTransactions[[#This Row],[ProductID]],tblProducts[ProductID],tblProducts[UnitCost])</f>
        <v>386.39</v>
      </c>
      <c r="Q485" s="9">
        <f>tblTransactions[[#This Row],[Quantity]]*tblTransactions[[#This Row],[UnitCost]]</f>
        <v>1931.9499999999998</v>
      </c>
      <c r="R485" s="9">
        <f>tblTransactions[[#This Row],[NetRevenue]]-tblTransactions[[#This Row],[TotalCost]]</f>
        <v>229.89750000000004</v>
      </c>
      <c r="S485" t="str">
        <f>_xlfn.XLOOKUP(tblTransactions[[#This Row],[ProductID]],tblProducts[ProductID],tblProducts[Category])</f>
        <v>Clothing</v>
      </c>
    </row>
    <row r="486" spans="1:19">
      <c r="A486" t="s">
        <v>16803</v>
      </c>
      <c r="B486" s="1">
        <v>45468</v>
      </c>
      <c r="C486" t="s">
        <v>8701</v>
      </c>
      <c r="D486" t="str">
        <f>_xlfn.XLOOKUP(tblTransactions[[#This Row],[CustomerID]],tblCustomers[CustomerID],tblCustomers[CustomerName])</f>
        <v>Samuel Raju</v>
      </c>
      <c r="E486" t="s">
        <v>16238</v>
      </c>
      <c r="F486" t="str">
        <f>_xlfn.XLOOKUP(tblTransactions[[#This Row],[ProductID]],tblProducts[ProductID],tblProducts[ProductName])</f>
        <v>Razor A1</v>
      </c>
      <c r="G486" t="s">
        <v>16297</v>
      </c>
      <c r="H486" t="str">
        <f>_xlfn.XLOOKUP(tblTransactions[[#This Row],[StoreID]],tblStores[StoreID],tblStores[Region])</f>
        <v>North</v>
      </c>
      <c r="I486">
        <v>3</v>
      </c>
      <c r="J486">
        <v>0.1</v>
      </c>
      <c r="K486" t="s">
        <v>16315</v>
      </c>
      <c r="L486" s="9">
        <f>_xlfn.XLOOKUP(tblTransactions[[#This Row],[ProductID]],tblProducts[ProductID],tblProducts[UnitPrice])</f>
        <v>1037.07</v>
      </c>
      <c r="M486" s="9">
        <f>tblTransactions[[#This Row],[Quantity]]*tblTransactions[[#This Row],[UnitPrice]]</f>
        <v>3111.21</v>
      </c>
      <c r="N486" s="9">
        <f>tblTransactions[[#This Row],[GrossSales]]*tblTransactions[[#This Row],[Discount]]</f>
        <v>311.12100000000004</v>
      </c>
      <c r="O486" s="9">
        <f>tblTransactions[[#This Row],[GrossSales]]-tblTransactions[[#This Row],[DiscountAmount]]</f>
        <v>2800.0889999999999</v>
      </c>
      <c r="P486" s="9">
        <f>_xlfn.XLOOKUP(tblTransactions[[#This Row],[ProductID]],tblProducts[ProductID],tblProducts[UnitCost])</f>
        <v>720.16</v>
      </c>
      <c r="Q486" s="9">
        <f>tblTransactions[[#This Row],[Quantity]]*tblTransactions[[#This Row],[UnitCost]]</f>
        <v>2160.48</v>
      </c>
      <c r="R486" s="9">
        <f>tblTransactions[[#This Row],[NetRevenue]]-tblTransactions[[#This Row],[TotalCost]]</f>
        <v>639.60899999999992</v>
      </c>
      <c r="S486" t="str">
        <f>_xlfn.XLOOKUP(tblTransactions[[#This Row],[ProductID]],tblProducts[ProductID],tblProducts[Category])</f>
        <v>Personal Care</v>
      </c>
    </row>
    <row r="487" spans="1:19">
      <c r="A487" t="s">
        <v>16804</v>
      </c>
      <c r="B487" s="1">
        <v>45471</v>
      </c>
      <c r="C487" t="s">
        <v>2572</v>
      </c>
      <c r="D487" t="str">
        <f>_xlfn.XLOOKUP(tblTransactions[[#This Row],[CustomerID]],tblCustomers[CustomerID],tblCustomers[CustomerName])</f>
        <v>Netra Chanda</v>
      </c>
      <c r="E487" t="s">
        <v>16238</v>
      </c>
      <c r="F487" t="str">
        <f>_xlfn.XLOOKUP(tblTransactions[[#This Row],[ProductID]],tblProducts[ProductID],tblProducts[ProductName])</f>
        <v>Razor A1</v>
      </c>
      <c r="G487" t="s">
        <v>16307</v>
      </c>
      <c r="H487" t="str">
        <f>_xlfn.XLOOKUP(tblTransactions[[#This Row],[StoreID]],tblStores[StoreID],tblStores[Region])</f>
        <v>East</v>
      </c>
      <c r="I487">
        <v>1</v>
      </c>
      <c r="J487">
        <v>0.1</v>
      </c>
      <c r="K487" t="s">
        <v>16317</v>
      </c>
      <c r="L487" s="9">
        <f>_xlfn.XLOOKUP(tblTransactions[[#This Row],[ProductID]],tblProducts[ProductID],tblProducts[UnitPrice])</f>
        <v>1037.07</v>
      </c>
      <c r="M487" s="9">
        <f>tblTransactions[[#This Row],[Quantity]]*tblTransactions[[#This Row],[UnitPrice]]</f>
        <v>1037.07</v>
      </c>
      <c r="N487" s="9">
        <f>tblTransactions[[#This Row],[GrossSales]]*tblTransactions[[#This Row],[Discount]]</f>
        <v>103.70699999999999</v>
      </c>
      <c r="O487" s="9">
        <f>tblTransactions[[#This Row],[GrossSales]]-tblTransactions[[#This Row],[DiscountAmount]]</f>
        <v>933.36299999999994</v>
      </c>
      <c r="P487" s="9">
        <f>_xlfn.XLOOKUP(tblTransactions[[#This Row],[ProductID]],tblProducts[ProductID],tblProducts[UnitCost])</f>
        <v>720.16</v>
      </c>
      <c r="Q487" s="9">
        <f>tblTransactions[[#This Row],[Quantity]]*tblTransactions[[#This Row],[UnitCost]]</f>
        <v>720.16</v>
      </c>
      <c r="R487" s="9">
        <f>tblTransactions[[#This Row],[NetRevenue]]-tblTransactions[[#This Row],[TotalCost]]</f>
        <v>213.20299999999997</v>
      </c>
      <c r="S487" t="str">
        <f>_xlfn.XLOOKUP(tblTransactions[[#This Row],[ProductID]],tblProducts[ProductID],tblProducts[Category])</f>
        <v>Personal Care</v>
      </c>
    </row>
    <row r="488" spans="1:19">
      <c r="A488" t="s">
        <v>16805</v>
      </c>
      <c r="B488" s="1">
        <v>45473</v>
      </c>
      <c r="C488" t="s">
        <v>4771</v>
      </c>
      <c r="D488" t="str">
        <f>_xlfn.XLOOKUP(tblTransactions[[#This Row],[CustomerID]],tblCustomers[CustomerID],tblCustomers[CustomerName])</f>
        <v>Saksham Sarna</v>
      </c>
      <c r="E488" t="s">
        <v>15977</v>
      </c>
      <c r="F488" t="str">
        <f>_xlfn.XLOOKUP(tblTransactions[[#This Row],[ProductID]],tblProducts[ProductID],tblProducts[ProductName])</f>
        <v>Student Laptop C8</v>
      </c>
      <c r="G488" t="s">
        <v>16267</v>
      </c>
      <c r="H488" t="str">
        <f>_xlfn.XLOOKUP(tblTransactions[[#This Row],[StoreID]],tblStores[StoreID],tblStores[Region])</f>
        <v>West</v>
      </c>
      <c r="I488">
        <v>2</v>
      </c>
      <c r="J488">
        <v>0</v>
      </c>
      <c r="K488" t="s">
        <v>16319</v>
      </c>
      <c r="L488" s="9">
        <f>_xlfn.XLOOKUP(tblTransactions[[#This Row],[ProductID]],tblProducts[ProductID],tblProducts[UnitPrice])</f>
        <v>44917.11</v>
      </c>
      <c r="M488" s="9">
        <f>tblTransactions[[#This Row],[Quantity]]*tblTransactions[[#This Row],[UnitPrice]]</f>
        <v>89834.22</v>
      </c>
      <c r="N488" s="9">
        <f>tblTransactions[[#This Row],[GrossSales]]*tblTransactions[[#This Row],[Discount]]</f>
        <v>0</v>
      </c>
      <c r="O488" s="9">
        <f>tblTransactions[[#This Row],[GrossSales]]-tblTransactions[[#This Row],[DiscountAmount]]</f>
        <v>89834.22</v>
      </c>
      <c r="P488" s="9">
        <f>_xlfn.XLOOKUP(tblTransactions[[#This Row],[ProductID]],tblProducts[ProductID],tblProducts[UnitCost])</f>
        <v>33851.120000000003</v>
      </c>
      <c r="Q488" s="9">
        <f>tblTransactions[[#This Row],[Quantity]]*tblTransactions[[#This Row],[UnitCost]]</f>
        <v>67702.240000000005</v>
      </c>
      <c r="R488" s="9">
        <f>tblTransactions[[#This Row],[NetRevenue]]-tblTransactions[[#This Row],[TotalCost]]</f>
        <v>22131.979999999996</v>
      </c>
      <c r="S488" t="str">
        <f>_xlfn.XLOOKUP(tblTransactions[[#This Row],[ProductID]],tblProducts[ProductID],tblProducts[Category])</f>
        <v>Electronics</v>
      </c>
    </row>
    <row r="489" spans="1:19">
      <c r="A489" t="s">
        <v>16806</v>
      </c>
      <c r="B489" s="1">
        <v>45474</v>
      </c>
      <c r="C489" t="s">
        <v>10177</v>
      </c>
      <c r="D489" t="str">
        <f>_xlfn.XLOOKUP(tblTransactions[[#This Row],[CustomerID]],tblCustomers[CustomerID],tblCustomers[CustomerName])</f>
        <v>Upma Bera</v>
      </c>
      <c r="E489" t="s">
        <v>16211</v>
      </c>
      <c r="F489" t="str">
        <f>_xlfn.XLOOKUP(tblTransactions[[#This Row],[ProductID]],tblProducts[ProductID],tblProducts[ProductName])</f>
        <v>Hair Serum B2</v>
      </c>
      <c r="G489" t="s">
        <v>16293</v>
      </c>
      <c r="H489" t="str">
        <f>_xlfn.XLOOKUP(tblTransactions[[#This Row],[StoreID]],tblStores[StoreID],tblStores[Region])</f>
        <v>South</v>
      </c>
      <c r="I489">
        <v>2</v>
      </c>
      <c r="J489">
        <v>0</v>
      </c>
      <c r="K489" t="s">
        <v>16321</v>
      </c>
      <c r="L489" s="9">
        <f>_xlfn.XLOOKUP(tblTransactions[[#This Row],[ProductID]],tblProducts[ProductID],tblProducts[UnitPrice])</f>
        <v>4780.68</v>
      </c>
      <c r="M489" s="9">
        <f>tblTransactions[[#This Row],[Quantity]]*tblTransactions[[#This Row],[UnitPrice]]</f>
        <v>9561.36</v>
      </c>
      <c r="N489" s="9">
        <f>tblTransactions[[#This Row],[GrossSales]]*tblTransactions[[#This Row],[Discount]]</f>
        <v>0</v>
      </c>
      <c r="O489" s="9">
        <f>tblTransactions[[#This Row],[GrossSales]]-tblTransactions[[#This Row],[DiscountAmount]]</f>
        <v>9561.36</v>
      </c>
      <c r="P489" s="9">
        <f>_xlfn.XLOOKUP(tblTransactions[[#This Row],[ProductID]],tblProducts[ProductID],tblProducts[UnitCost])</f>
        <v>3940.05</v>
      </c>
      <c r="Q489" s="9">
        <f>tblTransactions[[#This Row],[Quantity]]*tblTransactions[[#This Row],[UnitCost]]</f>
        <v>7880.1</v>
      </c>
      <c r="R489" s="9">
        <f>tblTransactions[[#This Row],[NetRevenue]]-tblTransactions[[#This Row],[TotalCost]]</f>
        <v>1681.2600000000002</v>
      </c>
      <c r="S489" t="str">
        <f>_xlfn.XLOOKUP(tblTransactions[[#This Row],[ProductID]],tblProducts[ProductID],tblProducts[Category])</f>
        <v>Personal Care</v>
      </c>
    </row>
    <row r="490" spans="1:19">
      <c r="A490" t="s">
        <v>16807</v>
      </c>
      <c r="B490" s="1">
        <v>45474</v>
      </c>
      <c r="C490" t="s">
        <v>15229</v>
      </c>
      <c r="D490" t="str">
        <f>_xlfn.XLOOKUP(tblTransactions[[#This Row],[CustomerID]],tblCustomers[CustomerID],tblCustomers[CustomerName])</f>
        <v>Manan Sarna</v>
      </c>
      <c r="E490" t="s">
        <v>16232</v>
      </c>
      <c r="F490" t="str">
        <f>_xlfn.XLOOKUP(tblTransactions[[#This Row],[ProductID]],tblProducts[ProductID],tblProducts[ProductName])</f>
        <v>Soap E5</v>
      </c>
      <c r="G490" t="s">
        <v>16275</v>
      </c>
      <c r="H490" t="str">
        <f>_xlfn.XLOOKUP(tblTransactions[[#This Row],[StoreID]],tblStores[StoreID],tblStores[Region])</f>
        <v>South</v>
      </c>
      <c r="I490">
        <v>1</v>
      </c>
      <c r="J490">
        <v>0</v>
      </c>
      <c r="K490" t="s">
        <v>16315</v>
      </c>
      <c r="L490" s="9">
        <f>_xlfn.XLOOKUP(tblTransactions[[#This Row],[ProductID]],tblProducts[ProductID],tblProducts[UnitPrice])</f>
        <v>3000.36</v>
      </c>
      <c r="M490" s="9">
        <f>tblTransactions[[#This Row],[Quantity]]*tblTransactions[[#This Row],[UnitPrice]]</f>
        <v>3000.36</v>
      </c>
      <c r="N490" s="9">
        <f>tblTransactions[[#This Row],[GrossSales]]*tblTransactions[[#This Row],[Discount]]</f>
        <v>0</v>
      </c>
      <c r="O490" s="9">
        <f>tblTransactions[[#This Row],[GrossSales]]-tblTransactions[[#This Row],[DiscountAmount]]</f>
        <v>3000.36</v>
      </c>
      <c r="P490" s="9">
        <f>_xlfn.XLOOKUP(tblTransactions[[#This Row],[ProductID]],tblProducts[ProductID],tblProducts[UnitCost])</f>
        <v>2004.24</v>
      </c>
      <c r="Q490" s="9">
        <f>tblTransactions[[#This Row],[Quantity]]*tblTransactions[[#This Row],[UnitCost]]</f>
        <v>2004.24</v>
      </c>
      <c r="R490" s="9">
        <f>tblTransactions[[#This Row],[NetRevenue]]-tblTransactions[[#This Row],[TotalCost]]</f>
        <v>996.12000000000012</v>
      </c>
      <c r="S490" t="str">
        <f>_xlfn.XLOOKUP(tblTransactions[[#This Row],[ProductID]],tblProducts[ProductID],tblProducts[Category])</f>
        <v>Personal Care</v>
      </c>
    </row>
    <row r="491" spans="1:19">
      <c r="A491" t="s">
        <v>16808</v>
      </c>
      <c r="B491" s="1">
        <v>45475</v>
      </c>
      <c r="C491" t="s">
        <v>2610</v>
      </c>
      <c r="D491" t="str">
        <f>_xlfn.XLOOKUP(tblTransactions[[#This Row],[CustomerID]],tblCustomers[CustomerID],tblCustomers[CustomerName])</f>
        <v>Ekavir Kari</v>
      </c>
      <c r="E491" t="s">
        <v>16213</v>
      </c>
      <c r="F491" t="str">
        <f>_xlfn.XLOOKUP(tblTransactions[[#This Row],[ProductID]],tblProducts[ProductID],tblProducts[ProductName])</f>
        <v>Hair Serum C3</v>
      </c>
      <c r="G491" t="s">
        <v>16273</v>
      </c>
      <c r="H491" t="str">
        <f>_xlfn.XLOOKUP(tblTransactions[[#This Row],[StoreID]],tblStores[StoreID],tblStores[Region])</f>
        <v>West</v>
      </c>
      <c r="I491">
        <v>2</v>
      </c>
      <c r="J491">
        <v>0</v>
      </c>
      <c r="K491" t="s">
        <v>16317</v>
      </c>
      <c r="L491" s="9">
        <f>_xlfn.XLOOKUP(tblTransactions[[#This Row],[ProductID]],tblProducts[ProductID],tblProducts[UnitPrice])</f>
        <v>4869.55</v>
      </c>
      <c r="M491" s="9">
        <f>tblTransactions[[#This Row],[Quantity]]*tblTransactions[[#This Row],[UnitPrice]]</f>
        <v>9739.1</v>
      </c>
      <c r="N491" s="9">
        <f>tblTransactions[[#This Row],[GrossSales]]*tblTransactions[[#This Row],[Discount]]</f>
        <v>0</v>
      </c>
      <c r="O491" s="9">
        <f>tblTransactions[[#This Row],[GrossSales]]-tblTransactions[[#This Row],[DiscountAmount]]</f>
        <v>9739.1</v>
      </c>
      <c r="P491" s="9">
        <f>_xlfn.XLOOKUP(tblTransactions[[#This Row],[ProductID]],tblProducts[ProductID],tblProducts[UnitCost])</f>
        <v>3039.73</v>
      </c>
      <c r="Q491" s="9">
        <f>tblTransactions[[#This Row],[Quantity]]*tblTransactions[[#This Row],[UnitCost]]</f>
        <v>6079.46</v>
      </c>
      <c r="R491" s="9">
        <f>tblTransactions[[#This Row],[NetRevenue]]-tblTransactions[[#This Row],[TotalCost]]</f>
        <v>3659.6400000000003</v>
      </c>
      <c r="S491" t="str">
        <f>_xlfn.XLOOKUP(tblTransactions[[#This Row],[ProductID]],tblProducts[ProductID],tblProducts[Category])</f>
        <v>Personal Care</v>
      </c>
    </row>
    <row r="492" spans="1:19">
      <c r="A492" t="s">
        <v>16809</v>
      </c>
      <c r="B492" s="1">
        <v>45476</v>
      </c>
      <c r="C492" t="s">
        <v>5762</v>
      </c>
      <c r="D492" t="str">
        <f>_xlfn.XLOOKUP(tblTransactions[[#This Row],[CustomerID]],tblCustomers[CustomerID],tblCustomers[CustomerName])</f>
        <v>Tanveer Desai</v>
      </c>
      <c r="E492" t="s">
        <v>16196</v>
      </c>
      <c r="F492" t="str">
        <f>_xlfn.XLOOKUP(tblTransactions[[#This Row],[ProductID]],tblProducts[ProductID],tblProducts[ProductName])</f>
        <v>Sunscreen B2</v>
      </c>
      <c r="G492" t="s">
        <v>16279</v>
      </c>
      <c r="H492" t="str">
        <f>_xlfn.XLOOKUP(tblTransactions[[#This Row],[StoreID]],tblStores[StoreID],tblStores[Region])</f>
        <v>South</v>
      </c>
      <c r="I492">
        <v>3</v>
      </c>
      <c r="J492">
        <v>0.05</v>
      </c>
      <c r="K492" t="s">
        <v>16317</v>
      </c>
      <c r="L492" s="9">
        <f>_xlfn.XLOOKUP(tblTransactions[[#This Row],[ProductID]],tblProducts[ProductID],tblProducts[UnitPrice])</f>
        <v>1841.85</v>
      </c>
      <c r="M492" s="9">
        <f>tblTransactions[[#This Row],[Quantity]]*tblTransactions[[#This Row],[UnitPrice]]</f>
        <v>5525.5499999999993</v>
      </c>
      <c r="N492" s="9">
        <f>tblTransactions[[#This Row],[GrossSales]]*tblTransactions[[#This Row],[Discount]]</f>
        <v>276.27749999999997</v>
      </c>
      <c r="O492" s="9">
        <f>tblTransactions[[#This Row],[GrossSales]]-tblTransactions[[#This Row],[DiscountAmount]]</f>
        <v>5249.2724999999991</v>
      </c>
      <c r="P492" s="9">
        <f>_xlfn.XLOOKUP(tblTransactions[[#This Row],[ProductID]],tblProducts[ProductID],tblProducts[UnitCost])</f>
        <v>1327.7</v>
      </c>
      <c r="Q492" s="9">
        <f>tblTransactions[[#This Row],[Quantity]]*tblTransactions[[#This Row],[UnitCost]]</f>
        <v>3983.1000000000004</v>
      </c>
      <c r="R492" s="9">
        <f>tblTransactions[[#This Row],[NetRevenue]]-tblTransactions[[#This Row],[TotalCost]]</f>
        <v>1266.1724999999988</v>
      </c>
      <c r="S492" t="str">
        <f>_xlfn.XLOOKUP(tblTransactions[[#This Row],[ProductID]],tblProducts[ProductID],tblProducts[Category])</f>
        <v>Personal Care</v>
      </c>
    </row>
    <row r="493" spans="1:19">
      <c r="A493" t="s">
        <v>16810</v>
      </c>
      <c r="B493" s="1">
        <v>45476</v>
      </c>
      <c r="C493" t="s">
        <v>9410</v>
      </c>
      <c r="D493" t="str">
        <f>_xlfn.XLOOKUP(tblTransactions[[#This Row],[CustomerID]],tblCustomers[CustomerID],tblCustomers[CustomerName])</f>
        <v>Radhika Raju</v>
      </c>
      <c r="E493" t="s">
        <v>15975</v>
      </c>
      <c r="F493" t="str">
        <f>_xlfn.XLOOKUP(tblTransactions[[#This Row],[ProductID]],tblProducts[ProductID],tblProducts[ProductName])</f>
        <v>Student Laptop B7</v>
      </c>
      <c r="G493" t="s">
        <v>16273</v>
      </c>
      <c r="H493" t="str">
        <f>_xlfn.XLOOKUP(tblTransactions[[#This Row],[StoreID]],tblStores[StoreID],tblStores[Region])</f>
        <v>West</v>
      </c>
      <c r="I493">
        <v>1</v>
      </c>
      <c r="J493">
        <v>0</v>
      </c>
      <c r="K493" t="s">
        <v>16321</v>
      </c>
      <c r="L493" s="9">
        <f>_xlfn.XLOOKUP(tblTransactions[[#This Row],[ProductID]],tblProducts[ProductID],tblProducts[UnitPrice])</f>
        <v>36481.47</v>
      </c>
      <c r="M493" s="9">
        <f>tblTransactions[[#This Row],[Quantity]]*tblTransactions[[#This Row],[UnitPrice]]</f>
        <v>36481.47</v>
      </c>
      <c r="N493" s="9">
        <f>tblTransactions[[#This Row],[GrossSales]]*tblTransactions[[#This Row],[Discount]]</f>
        <v>0</v>
      </c>
      <c r="O493" s="9">
        <f>tblTransactions[[#This Row],[GrossSales]]-tblTransactions[[#This Row],[DiscountAmount]]</f>
        <v>36481.47</v>
      </c>
      <c r="P493" s="9">
        <f>_xlfn.XLOOKUP(tblTransactions[[#This Row],[ProductID]],tblProducts[ProductID],tblProducts[UnitCost])</f>
        <v>30666.16</v>
      </c>
      <c r="Q493" s="9">
        <f>tblTransactions[[#This Row],[Quantity]]*tblTransactions[[#This Row],[UnitCost]]</f>
        <v>30666.16</v>
      </c>
      <c r="R493" s="9">
        <f>tblTransactions[[#This Row],[NetRevenue]]-tblTransactions[[#This Row],[TotalCost]]</f>
        <v>5815.3100000000013</v>
      </c>
      <c r="S493" t="str">
        <f>_xlfn.XLOOKUP(tblTransactions[[#This Row],[ProductID]],tblProducts[ProductID],tblProducts[Category])</f>
        <v>Electronics</v>
      </c>
    </row>
    <row r="494" spans="1:19">
      <c r="A494" t="s">
        <v>16811</v>
      </c>
      <c r="B494" s="1">
        <v>45479</v>
      </c>
      <c r="C494" t="s">
        <v>5849</v>
      </c>
      <c r="D494" t="str">
        <f>_xlfn.XLOOKUP(tblTransactions[[#This Row],[CustomerID]],tblCustomers[CustomerID],tblCustomers[CustomerName])</f>
        <v>Charan Sami</v>
      </c>
      <c r="E494" t="s">
        <v>16198</v>
      </c>
      <c r="F494" t="str">
        <f>_xlfn.XLOOKUP(tblTransactions[[#This Row],[ProductID]],tblProducts[ProductID],tblProducts[ProductName])</f>
        <v>Face Wash C3</v>
      </c>
      <c r="G494" t="s">
        <v>16287</v>
      </c>
      <c r="H494" t="str">
        <f>_xlfn.XLOOKUP(tblTransactions[[#This Row],[StoreID]],tblStores[StoreID],tblStores[Region])</f>
        <v>North</v>
      </c>
      <c r="I494">
        <v>1</v>
      </c>
      <c r="J494">
        <v>0.05</v>
      </c>
      <c r="K494" t="s">
        <v>16317</v>
      </c>
      <c r="L494" s="9">
        <f>_xlfn.XLOOKUP(tblTransactions[[#This Row],[ProductID]],tblProducts[ProductID],tblProducts[UnitPrice])</f>
        <v>1783.65</v>
      </c>
      <c r="M494" s="9">
        <f>tblTransactions[[#This Row],[Quantity]]*tblTransactions[[#This Row],[UnitPrice]]</f>
        <v>1783.65</v>
      </c>
      <c r="N494" s="9">
        <f>tblTransactions[[#This Row],[GrossSales]]*tblTransactions[[#This Row],[Discount]]</f>
        <v>89.182500000000005</v>
      </c>
      <c r="O494" s="9">
        <f>tblTransactions[[#This Row],[GrossSales]]-tblTransactions[[#This Row],[DiscountAmount]]</f>
        <v>1694.4675000000002</v>
      </c>
      <c r="P494" s="9">
        <f>_xlfn.XLOOKUP(tblTransactions[[#This Row],[ProductID]],tblProducts[ProductID],tblProducts[UnitCost])</f>
        <v>1128.95</v>
      </c>
      <c r="Q494" s="9">
        <f>tblTransactions[[#This Row],[Quantity]]*tblTransactions[[#This Row],[UnitCost]]</f>
        <v>1128.95</v>
      </c>
      <c r="R494" s="9">
        <f>tblTransactions[[#This Row],[NetRevenue]]-tblTransactions[[#This Row],[TotalCost]]</f>
        <v>565.51750000000015</v>
      </c>
      <c r="S494" t="str">
        <f>_xlfn.XLOOKUP(tblTransactions[[#This Row],[ProductID]],tblProducts[ProductID],tblProducts[Category])</f>
        <v>Personal Care</v>
      </c>
    </row>
    <row r="495" spans="1:19">
      <c r="A495" t="s">
        <v>16812</v>
      </c>
      <c r="B495" s="1">
        <v>45479</v>
      </c>
      <c r="C495" t="s">
        <v>12309</v>
      </c>
      <c r="D495" t="str">
        <f>_xlfn.XLOOKUP(tblTransactions[[#This Row],[CustomerID]],tblCustomers[CustomerID],tblCustomers[CustomerName])</f>
        <v>Samesh Bawa</v>
      </c>
      <c r="E495" t="s">
        <v>16165</v>
      </c>
      <c r="F495" t="str">
        <f>_xlfn.XLOOKUP(tblTransactions[[#This Row],[ProductID]],tblProducts[ProductID],tblProducts[ProductName])</f>
        <v>Juice B2</v>
      </c>
      <c r="G495" t="s">
        <v>16271</v>
      </c>
      <c r="H495" t="str">
        <f>_xlfn.XLOOKUP(tblTransactions[[#This Row],[StoreID]],tblStores[StoreID],tblStores[Region])</f>
        <v>South</v>
      </c>
      <c r="I495">
        <v>1</v>
      </c>
      <c r="J495">
        <v>0.1</v>
      </c>
      <c r="K495" t="s">
        <v>16325</v>
      </c>
      <c r="L495" s="9">
        <f>_xlfn.XLOOKUP(tblTransactions[[#This Row],[ProductID]],tblProducts[ProductID],tblProducts[UnitPrice])</f>
        <v>1053.9000000000001</v>
      </c>
      <c r="M495" s="9">
        <f>tblTransactions[[#This Row],[Quantity]]*tblTransactions[[#This Row],[UnitPrice]]</f>
        <v>1053.9000000000001</v>
      </c>
      <c r="N495" s="9">
        <f>tblTransactions[[#This Row],[GrossSales]]*tblTransactions[[#This Row],[Discount]]</f>
        <v>105.39000000000001</v>
      </c>
      <c r="O495" s="9">
        <f>tblTransactions[[#This Row],[GrossSales]]-tblTransactions[[#This Row],[DiscountAmount]]</f>
        <v>948.5100000000001</v>
      </c>
      <c r="P495" s="9">
        <f>_xlfn.XLOOKUP(tblTransactions[[#This Row],[ProductID]],tblProducts[ProductID],tblProducts[UnitCost])</f>
        <v>710.59</v>
      </c>
      <c r="Q495" s="9">
        <f>tblTransactions[[#This Row],[Quantity]]*tblTransactions[[#This Row],[UnitCost]]</f>
        <v>710.59</v>
      </c>
      <c r="R495" s="9">
        <f>tblTransactions[[#This Row],[NetRevenue]]-tblTransactions[[#This Row],[TotalCost]]</f>
        <v>237.92000000000007</v>
      </c>
      <c r="S495" t="str">
        <f>_xlfn.XLOOKUP(tblTransactions[[#This Row],[ProductID]],tblProducts[ProductID],tblProducts[Category])</f>
        <v>Grocery</v>
      </c>
    </row>
    <row r="496" spans="1:19">
      <c r="A496" t="s">
        <v>16813</v>
      </c>
      <c r="B496" s="1">
        <v>45481</v>
      </c>
      <c r="C496" t="s">
        <v>4125</v>
      </c>
      <c r="D496" t="str">
        <f>_xlfn.XLOOKUP(tblTransactions[[#This Row],[CustomerID]],tblCustomers[CustomerID],tblCustomers[CustomerName])</f>
        <v>Vritti Basak</v>
      </c>
      <c r="E496" t="s">
        <v>16116</v>
      </c>
      <c r="F496" t="str">
        <f>_xlfn.XLOOKUP(tblTransactions[[#This Row],[ProductID]],tblProducts[ProductID],tblProducts[ProductName])</f>
        <v>Sandals A1</v>
      </c>
      <c r="G496" t="s">
        <v>16293</v>
      </c>
      <c r="H496" t="str">
        <f>_xlfn.XLOOKUP(tblTransactions[[#This Row],[StoreID]],tblStores[StoreID],tblStores[Region])</f>
        <v>South</v>
      </c>
      <c r="I496">
        <v>2</v>
      </c>
      <c r="J496">
        <v>0.1</v>
      </c>
      <c r="K496" t="s">
        <v>16325</v>
      </c>
      <c r="L496" s="9">
        <f>_xlfn.XLOOKUP(tblTransactions[[#This Row],[ProductID]],tblProducts[ProductID],tblProducts[UnitPrice])</f>
        <v>7414.77</v>
      </c>
      <c r="M496" s="9">
        <f>tblTransactions[[#This Row],[Quantity]]*tblTransactions[[#This Row],[UnitPrice]]</f>
        <v>14829.54</v>
      </c>
      <c r="N496" s="9">
        <f>tblTransactions[[#This Row],[GrossSales]]*tblTransactions[[#This Row],[Discount]]</f>
        <v>1482.9540000000002</v>
      </c>
      <c r="O496" s="9">
        <f>tblTransactions[[#This Row],[GrossSales]]-tblTransactions[[#This Row],[DiscountAmount]]</f>
        <v>13346.586000000001</v>
      </c>
      <c r="P496" s="9">
        <f>_xlfn.XLOOKUP(tblTransactions[[#This Row],[ProductID]],tblProducts[ProductID],tblProducts[UnitCost])</f>
        <v>4859.1400000000003</v>
      </c>
      <c r="Q496" s="9">
        <f>tblTransactions[[#This Row],[Quantity]]*tblTransactions[[#This Row],[UnitCost]]</f>
        <v>9718.2800000000007</v>
      </c>
      <c r="R496" s="9">
        <f>tblTransactions[[#This Row],[NetRevenue]]-tblTransactions[[#This Row],[TotalCost]]</f>
        <v>3628.3060000000005</v>
      </c>
      <c r="S496" t="str">
        <f>_xlfn.XLOOKUP(tblTransactions[[#This Row],[ProductID]],tblProducts[ProductID],tblProducts[Category])</f>
        <v>Clothing</v>
      </c>
    </row>
    <row r="497" spans="1:19">
      <c r="A497" t="s">
        <v>16814</v>
      </c>
      <c r="B497" s="1">
        <v>45483</v>
      </c>
      <c r="C497" t="s">
        <v>15844</v>
      </c>
      <c r="D497" t="str">
        <f>_xlfn.XLOOKUP(tblTransactions[[#This Row],[CustomerID]],tblCustomers[CustomerID],tblCustomers[CustomerName])</f>
        <v>Pranit Naidu</v>
      </c>
      <c r="E497" t="s">
        <v>16066</v>
      </c>
      <c r="F497" t="str">
        <f>_xlfn.XLOOKUP(tblTransactions[[#This Row],[ProductID]],tblProducts[ProductID],tblProducts[ProductName])</f>
        <v>Decorative Vase A6</v>
      </c>
      <c r="G497" t="s">
        <v>16297</v>
      </c>
      <c r="H497" t="str">
        <f>_xlfn.XLOOKUP(tblTransactions[[#This Row],[StoreID]],tblStores[StoreID],tblStores[Region])</f>
        <v>North</v>
      </c>
      <c r="I497">
        <v>3</v>
      </c>
      <c r="J497">
        <v>0</v>
      </c>
      <c r="K497" t="s">
        <v>16325</v>
      </c>
      <c r="L497" s="9">
        <f>_xlfn.XLOOKUP(tblTransactions[[#This Row],[ProductID]],tblProducts[ProductID],tblProducts[UnitPrice])</f>
        <v>3429.74</v>
      </c>
      <c r="M497" s="9">
        <f>tblTransactions[[#This Row],[Quantity]]*tblTransactions[[#This Row],[UnitPrice]]</f>
        <v>10289.219999999999</v>
      </c>
      <c r="N497" s="9">
        <f>tblTransactions[[#This Row],[GrossSales]]*tblTransactions[[#This Row],[Discount]]</f>
        <v>0</v>
      </c>
      <c r="O497" s="9">
        <f>tblTransactions[[#This Row],[GrossSales]]-tblTransactions[[#This Row],[DiscountAmount]]</f>
        <v>10289.219999999999</v>
      </c>
      <c r="P497" s="9">
        <f>_xlfn.XLOOKUP(tblTransactions[[#This Row],[ProductID]],tblProducts[ProductID],tblProducts[UnitCost])</f>
        <v>2172.39</v>
      </c>
      <c r="Q497" s="9">
        <f>tblTransactions[[#This Row],[Quantity]]*tblTransactions[[#This Row],[UnitCost]]</f>
        <v>6517.17</v>
      </c>
      <c r="R497" s="9">
        <f>tblTransactions[[#This Row],[NetRevenue]]-tblTransactions[[#This Row],[TotalCost]]</f>
        <v>3772.0499999999993</v>
      </c>
      <c r="S497" t="str">
        <f>_xlfn.XLOOKUP(tblTransactions[[#This Row],[ProductID]],tblProducts[ProductID],tblProducts[Category])</f>
        <v>Home &amp; Kitchen</v>
      </c>
    </row>
    <row r="498" spans="1:19">
      <c r="A498" t="s">
        <v>16815</v>
      </c>
      <c r="B498" s="1">
        <v>45483</v>
      </c>
      <c r="C498" t="s">
        <v>8863</v>
      </c>
      <c r="D498" t="str">
        <f>_xlfn.XLOOKUP(tblTransactions[[#This Row],[CustomerID]],tblCustomers[CustomerID],tblCustomers[CustomerName])</f>
        <v>Udyati Shenoy</v>
      </c>
      <c r="E498" t="s">
        <v>16123</v>
      </c>
      <c r="F498" t="str">
        <f>_xlfn.XLOOKUP(tblTransactions[[#This Row],[ProductID]],tblProducts[ProductID],tblProducts[ProductName])</f>
        <v>Running Shoes D4</v>
      </c>
      <c r="G498" t="s">
        <v>16287</v>
      </c>
      <c r="H498" t="str">
        <f>_xlfn.XLOOKUP(tblTransactions[[#This Row],[StoreID]],tblStores[StoreID],tblStores[Region])</f>
        <v>North</v>
      </c>
      <c r="I498">
        <v>2</v>
      </c>
      <c r="J498">
        <v>0.2</v>
      </c>
      <c r="K498" t="s">
        <v>16321</v>
      </c>
      <c r="L498" s="9">
        <f>_xlfn.XLOOKUP(tblTransactions[[#This Row],[ProductID]],tblProducts[ProductID],tblProducts[UnitPrice])</f>
        <v>5979.07</v>
      </c>
      <c r="M498" s="9">
        <f>tblTransactions[[#This Row],[Quantity]]*tblTransactions[[#This Row],[UnitPrice]]</f>
        <v>11958.14</v>
      </c>
      <c r="N498" s="9">
        <f>tblTransactions[[#This Row],[GrossSales]]*tblTransactions[[#This Row],[Discount]]</f>
        <v>2391.6280000000002</v>
      </c>
      <c r="O498" s="9">
        <f>tblTransactions[[#This Row],[GrossSales]]-tblTransactions[[#This Row],[DiscountAmount]]</f>
        <v>9566.5119999999988</v>
      </c>
      <c r="P498" s="9">
        <f>_xlfn.XLOOKUP(tblTransactions[[#This Row],[ProductID]],tblProducts[ProductID],tblProducts[UnitCost])</f>
        <v>4121.96</v>
      </c>
      <c r="Q498" s="9">
        <f>tblTransactions[[#This Row],[Quantity]]*tblTransactions[[#This Row],[UnitCost]]</f>
        <v>8243.92</v>
      </c>
      <c r="R498" s="9">
        <f>tblTransactions[[#This Row],[NetRevenue]]-tblTransactions[[#This Row],[TotalCost]]</f>
        <v>1322.5919999999987</v>
      </c>
      <c r="S498" t="str">
        <f>_xlfn.XLOOKUP(tblTransactions[[#This Row],[ProductID]],tblProducts[ProductID],tblProducts[Category])</f>
        <v>Clothing</v>
      </c>
    </row>
    <row r="499" spans="1:19">
      <c r="A499" t="s">
        <v>16816</v>
      </c>
      <c r="B499" s="1">
        <v>45483</v>
      </c>
      <c r="C499" t="s">
        <v>15545</v>
      </c>
      <c r="D499" t="str">
        <f>_xlfn.XLOOKUP(tblTransactions[[#This Row],[CustomerID]],tblCustomers[CustomerID],tblCustomers[CustomerName])</f>
        <v>Ojas Agrawal</v>
      </c>
      <c r="E499" t="s">
        <v>16167</v>
      </c>
      <c r="F499" t="str">
        <f>_xlfn.XLOOKUP(tblTransactions[[#This Row],[ProductID]],tblProducts[ProductID],tblProducts[ProductName])</f>
        <v>Coffee C3</v>
      </c>
      <c r="G499" t="s">
        <v>16281</v>
      </c>
      <c r="H499" t="str">
        <f>_xlfn.XLOOKUP(tblTransactions[[#This Row],[StoreID]],tblStores[StoreID],tblStores[Region])</f>
        <v>West</v>
      </c>
      <c r="I499">
        <v>1</v>
      </c>
      <c r="J499">
        <v>0</v>
      </c>
      <c r="K499" t="s">
        <v>16317</v>
      </c>
      <c r="L499" s="9">
        <f>_xlfn.XLOOKUP(tblTransactions[[#This Row],[ProductID]],tblProducts[ProductID],tblProducts[UnitPrice])</f>
        <v>912.62</v>
      </c>
      <c r="M499" s="9">
        <f>tblTransactions[[#This Row],[Quantity]]*tblTransactions[[#This Row],[UnitPrice]]</f>
        <v>912.62</v>
      </c>
      <c r="N499" s="9">
        <f>tblTransactions[[#This Row],[GrossSales]]*tblTransactions[[#This Row],[Discount]]</f>
        <v>0</v>
      </c>
      <c r="O499" s="9">
        <f>tblTransactions[[#This Row],[GrossSales]]-tblTransactions[[#This Row],[DiscountAmount]]</f>
        <v>912.62</v>
      </c>
      <c r="P499" s="9">
        <f>_xlfn.XLOOKUP(tblTransactions[[#This Row],[ProductID]],tblProducts[ProductID],tblProducts[UnitCost])</f>
        <v>648.75</v>
      </c>
      <c r="Q499" s="9">
        <f>tblTransactions[[#This Row],[Quantity]]*tblTransactions[[#This Row],[UnitCost]]</f>
        <v>648.75</v>
      </c>
      <c r="R499" s="9">
        <f>tblTransactions[[#This Row],[NetRevenue]]-tblTransactions[[#This Row],[TotalCost]]</f>
        <v>263.87</v>
      </c>
      <c r="S499" t="str">
        <f>_xlfn.XLOOKUP(tblTransactions[[#This Row],[ProductID]],tblProducts[ProductID],tblProducts[Category])</f>
        <v>Grocery</v>
      </c>
    </row>
    <row r="500" spans="1:19">
      <c r="A500" t="s">
        <v>16817</v>
      </c>
      <c r="B500" s="1">
        <v>45487</v>
      </c>
      <c r="C500" t="s">
        <v>2548</v>
      </c>
      <c r="D500" t="str">
        <f>_xlfn.XLOOKUP(tblTransactions[[#This Row],[CustomerID]],tblCustomers[CustomerID],tblCustomers[CustomerName])</f>
        <v>Rishi Menon</v>
      </c>
      <c r="E500" t="s">
        <v>16045</v>
      </c>
      <c r="F500" t="str">
        <f>_xlfn.XLOOKUP(tblTransactions[[#This Row],[ProductID]],tblProducts[ProductID],tblProducts[ProductName])</f>
        <v>Non-stick Pan C3</v>
      </c>
      <c r="G500" t="s">
        <v>16307</v>
      </c>
      <c r="H500" t="str">
        <f>_xlfn.XLOOKUP(tblTransactions[[#This Row],[StoreID]],tblStores[StoreID],tblStores[Region])</f>
        <v>East</v>
      </c>
      <c r="I500">
        <v>1</v>
      </c>
      <c r="J500">
        <v>0</v>
      </c>
      <c r="K500" t="s">
        <v>16317</v>
      </c>
      <c r="L500" s="9">
        <f>_xlfn.XLOOKUP(tblTransactions[[#This Row],[ProductID]],tblProducts[ProductID],tblProducts[UnitPrice])</f>
        <v>26326.12</v>
      </c>
      <c r="M500" s="9">
        <f>tblTransactions[[#This Row],[Quantity]]*tblTransactions[[#This Row],[UnitPrice]]</f>
        <v>26326.12</v>
      </c>
      <c r="N500" s="9">
        <f>tblTransactions[[#This Row],[GrossSales]]*tblTransactions[[#This Row],[Discount]]</f>
        <v>0</v>
      </c>
      <c r="O500" s="9">
        <f>tblTransactions[[#This Row],[GrossSales]]-tblTransactions[[#This Row],[DiscountAmount]]</f>
        <v>26326.12</v>
      </c>
      <c r="P500" s="9">
        <f>_xlfn.XLOOKUP(tblTransactions[[#This Row],[ProductID]],tblProducts[ProductID],tblProducts[UnitCost])</f>
        <v>17114.43</v>
      </c>
      <c r="Q500" s="9">
        <f>tblTransactions[[#This Row],[Quantity]]*tblTransactions[[#This Row],[UnitCost]]</f>
        <v>17114.43</v>
      </c>
      <c r="R500" s="9">
        <f>tblTransactions[[#This Row],[NetRevenue]]-tblTransactions[[#This Row],[TotalCost]]</f>
        <v>9211.6899999999987</v>
      </c>
      <c r="S500" t="str">
        <f>_xlfn.XLOOKUP(tblTransactions[[#This Row],[ProductID]],tblProducts[ProductID],tblProducts[Category])</f>
        <v>Home &amp; Kitchen</v>
      </c>
    </row>
    <row r="501" spans="1:19">
      <c r="A501" t="s">
        <v>16818</v>
      </c>
      <c r="B501" s="1">
        <v>45488</v>
      </c>
      <c r="C501" t="s">
        <v>13403</v>
      </c>
      <c r="D501" t="str">
        <f>_xlfn.XLOOKUP(tblTransactions[[#This Row],[CustomerID]],tblCustomers[CustomerID],tblCustomers[CustomerName])</f>
        <v>Mason Badami</v>
      </c>
      <c r="E501" t="s">
        <v>16112</v>
      </c>
      <c r="F501" t="str">
        <f>_xlfn.XLOOKUP(tblTransactions[[#This Row],[ProductID]],tblProducts[ProductID],tblProducts[ProductName])</f>
        <v>Kids T-Shirt A6</v>
      </c>
      <c r="G501" t="s">
        <v>16303</v>
      </c>
      <c r="H501" t="str">
        <f>_xlfn.XLOOKUP(tblTransactions[[#This Row],[StoreID]],tblStores[StoreID],tblStores[Region])</f>
        <v>West</v>
      </c>
      <c r="I501">
        <v>1</v>
      </c>
      <c r="J501">
        <v>0.15</v>
      </c>
      <c r="K501" t="s">
        <v>16321</v>
      </c>
      <c r="L501" s="9">
        <f>_xlfn.XLOOKUP(tblTransactions[[#This Row],[ProductID]],tblProducts[ProductID],tblProducts[UnitPrice])</f>
        <v>2008.33</v>
      </c>
      <c r="M501" s="9">
        <f>tblTransactions[[#This Row],[Quantity]]*tblTransactions[[#This Row],[UnitPrice]]</f>
        <v>2008.33</v>
      </c>
      <c r="N501" s="9">
        <f>tblTransactions[[#This Row],[GrossSales]]*tblTransactions[[#This Row],[Discount]]</f>
        <v>301.24949999999995</v>
      </c>
      <c r="O501" s="9">
        <f>tblTransactions[[#This Row],[GrossSales]]-tblTransactions[[#This Row],[DiscountAmount]]</f>
        <v>1707.0805</v>
      </c>
      <c r="P501" s="9">
        <f>_xlfn.XLOOKUP(tblTransactions[[#This Row],[ProductID]],tblProducts[ProductID],tblProducts[UnitCost])</f>
        <v>1688.91</v>
      </c>
      <c r="Q501" s="9">
        <f>tblTransactions[[#This Row],[Quantity]]*tblTransactions[[#This Row],[UnitCost]]</f>
        <v>1688.91</v>
      </c>
      <c r="R501" s="9">
        <f>tblTransactions[[#This Row],[NetRevenue]]-tblTransactions[[#This Row],[TotalCost]]</f>
        <v>18.170499999999947</v>
      </c>
      <c r="S501" t="str">
        <f>_xlfn.XLOOKUP(tblTransactions[[#This Row],[ProductID]],tblProducts[ProductID],tblProducts[Category])</f>
        <v>Clothing</v>
      </c>
    </row>
    <row r="502" spans="1:19">
      <c r="A502" t="s">
        <v>16819</v>
      </c>
      <c r="B502" s="1">
        <v>45491</v>
      </c>
      <c r="C502" t="s">
        <v>7233</v>
      </c>
      <c r="D502" t="str">
        <f>_xlfn.XLOOKUP(tblTransactions[[#This Row],[CustomerID]],tblCustomers[CustomerID],tblCustomers[CustomerName])</f>
        <v>Sudiksha Varghese</v>
      </c>
      <c r="E502" t="s">
        <v>16125</v>
      </c>
      <c r="F502" t="str">
        <f>_xlfn.XLOOKUP(tblTransactions[[#This Row],[ProductID]],tblProducts[ProductID],tblProducts[ProductName])</f>
        <v>Sports Shoes E5</v>
      </c>
      <c r="G502" t="s">
        <v>16259</v>
      </c>
      <c r="H502" t="str">
        <f>_xlfn.XLOOKUP(tblTransactions[[#This Row],[StoreID]],tblStores[StoreID],tblStores[Region])</f>
        <v>East</v>
      </c>
      <c r="I502">
        <v>1</v>
      </c>
      <c r="J502">
        <v>0.1</v>
      </c>
      <c r="K502" t="s">
        <v>16317</v>
      </c>
      <c r="L502" s="9">
        <f>_xlfn.XLOOKUP(tblTransactions[[#This Row],[ProductID]],tblProducts[ProductID],tblProducts[UnitPrice])</f>
        <v>3368.47</v>
      </c>
      <c r="M502" s="9">
        <f>tblTransactions[[#This Row],[Quantity]]*tblTransactions[[#This Row],[UnitPrice]]</f>
        <v>3368.47</v>
      </c>
      <c r="N502" s="9">
        <f>tblTransactions[[#This Row],[GrossSales]]*tblTransactions[[#This Row],[Discount]]</f>
        <v>336.84699999999998</v>
      </c>
      <c r="O502" s="9">
        <f>tblTransactions[[#This Row],[GrossSales]]-tblTransactions[[#This Row],[DiscountAmount]]</f>
        <v>3031.6229999999996</v>
      </c>
      <c r="P502" s="9">
        <f>_xlfn.XLOOKUP(tblTransactions[[#This Row],[ProductID]],tblProducts[ProductID],tblProducts[UnitCost])</f>
        <v>2152.4899999999998</v>
      </c>
      <c r="Q502" s="9">
        <f>tblTransactions[[#This Row],[Quantity]]*tblTransactions[[#This Row],[UnitCost]]</f>
        <v>2152.4899999999998</v>
      </c>
      <c r="R502" s="9">
        <f>tblTransactions[[#This Row],[NetRevenue]]-tblTransactions[[#This Row],[TotalCost]]</f>
        <v>879.13299999999981</v>
      </c>
      <c r="S502" t="str">
        <f>_xlfn.XLOOKUP(tblTransactions[[#This Row],[ProductID]],tblProducts[ProductID],tblProducts[Category])</f>
        <v>Clothing</v>
      </c>
    </row>
    <row r="503" spans="1:19">
      <c r="A503" t="s">
        <v>16820</v>
      </c>
      <c r="B503" s="1">
        <v>45492</v>
      </c>
      <c r="C503" t="s">
        <v>1759</v>
      </c>
      <c r="D503" t="str">
        <f>_xlfn.XLOOKUP(tblTransactions[[#This Row],[CustomerID]],tblCustomers[CustomerID],tblCustomers[CustomerName])</f>
        <v>Zaid Dhingra</v>
      </c>
      <c r="E503" t="s">
        <v>16043</v>
      </c>
      <c r="F503" t="str">
        <f>_xlfn.XLOOKUP(tblTransactions[[#This Row],[ProductID]],tblProducts[ProductID],tblProducts[ProductName])</f>
        <v>Non-stick Pan B2</v>
      </c>
      <c r="G503" t="s">
        <v>16265</v>
      </c>
      <c r="H503" t="str">
        <f>_xlfn.XLOOKUP(tblTransactions[[#This Row],[StoreID]],tblStores[StoreID],tblStores[Region])</f>
        <v>North</v>
      </c>
      <c r="I503">
        <v>2</v>
      </c>
      <c r="J503">
        <v>0</v>
      </c>
      <c r="K503" t="s">
        <v>16319</v>
      </c>
      <c r="L503" s="9">
        <f>_xlfn.XLOOKUP(tblTransactions[[#This Row],[ProductID]],tblProducts[ProductID],tblProducts[UnitPrice])</f>
        <v>17619.849999999999</v>
      </c>
      <c r="M503" s="9">
        <f>tblTransactions[[#This Row],[Quantity]]*tblTransactions[[#This Row],[UnitPrice]]</f>
        <v>35239.699999999997</v>
      </c>
      <c r="N503" s="9">
        <f>tblTransactions[[#This Row],[GrossSales]]*tblTransactions[[#This Row],[Discount]]</f>
        <v>0</v>
      </c>
      <c r="O503" s="9">
        <f>tblTransactions[[#This Row],[GrossSales]]-tblTransactions[[#This Row],[DiscountAmount]]</f>
        <v>35239.699999999997</v>
      </c>
      <c r="P503" s="9">
        <f>_xlfn.XLOOKUP(tblTransactions[[#This Row],[ProductID]],tblProducts[ProductID],tblProducts[UnitCost])</f>
        <v>13837.65</v>
      </c>
      <c r="Q503" s="9">
        <f>tblTransactions[[#This Row],[Quantity]]*tblTransactions[[#This Row],[UnitCost]]</f>
        <v>27675.3</v>
      </c>
      <c r="R503" s="9">
        <f>tblTransactions[[#This Row],[NetRevenue]]-tblTransactions[[#This Row],[TotalCost]]</f>
        <v>7564.3999999999978</v>
      </c>
      <c r="S503" t="str">
        <f>_xlfn.XLOOKUP(tblTransactions[[#This Row],[ProductID]],tblProducts[ProductID],tblProducts[Category])</f>
        <v>Home &amp; Kitchen</v>
      </c>
    </row>
    <row r="504" spans="1:19">
      <c r="A504" t="s">
        <v>16821</v>
      </c>
      <c r="B504" s="1">
        <v>45493</v>
      </c>
      <c r="C504" t="s">
        <v>10483</v>
      </c>
      <c r="D504" t="str">
        <f>_xlfn.XLOOKUP(tblTransactions[[#This Row],[CustomerID]],tblCustomers[CustomerID],tblCustomers[CustomerName])</f>
        <v>Ishita Garg</v>
      </c>
      <c r="E504" t="s">
        <v>16062</v>
      </c>
      <c r="F504" t="str">
        <f>_xlfn.XLOOKUP(tblTransactions[[#This Row],[ProductID]],tblProducts[ProductID],tblProducts[ProductName])</f>
        <v>Table Lamp D4</v>
      </c>
      <c r="G504" t="s">
        <v>16289</v>
      </c>
      <c r="H504" t="str">
        <f>_xlfn.XLOOKUP(tblTransactions[[#This Row],[StoreID]],tblStores[StoreID],tblStores[Region])</f>
        <v>South</v>
      </c>
      <c r="I504">
        <v>2</v>
      </c>
      <c r="J504">
        <v>0.1</v>
      </c>
      <c r="K504" t="s">
        <v>16317</v>
      </c>
      <c r="L504" s="9">
        <f>_xlfn.XLOOKUP(tblTransactions[[#This Row],[ProductID]],tblProducts[ProductID],tblProducts[UnitPrice])</f>
        <v>22222.83</v>
      </c>
      <c r="M504" s="9">
        <f>tblTransactions[[#This Row],[Quantity]]*tblTransactions[[#This Row],[UnitPrice]]</f>
        <v>44445.66</v>
      </c>
      <c r="N504" s="9">
        <f>tblTransactions[[#This Row],[GrossSales]]*tblTransactions[[#This Row],[Discount]]</f>
        <v>4444.5660000000007</v>
      </c>
      <c r="O504" s="9">
        <f>tblTransactions[[#This Row],[GrossSales]]-tblTransactions[[#This Row],[DiscountAmount]]</f>
        <v>40001.094000000005</v>
      </c>
      <c r="P504" s="9">
        <f>_xlfn.XLOOKUP(tblTransactions[[#This Row],[ProductID]],tblProducts[ProductID],tblProducts[UnitCost])</f>
        <v>17564.490000000002</v>
      </c>
      <c r="Q504" s="9">
        <f>tblTransactions[[#This Row],[Quantity]]*tblTransactions[[#This Row],[UnitCost]]</f>
        <v>35128.980000000003</v>
      </c>
      <c r="R504" s="9">
        <f>tblTransactions[[#This Row],[NetRevenue]]-tblTransactions[[#This Row],[TotalCost]]</f>
        <v>4872.1140000000014</v>
      </c>
      <c r="S504" t="str">
        <f>_xlfn.XLOOKUP(tblTransactions[[#This Row],[ProductID]],tblProducts[ProductID],tblProducts[Category])</f>
        <v>Home &amp; Kitchen</v>
      </c>
    </row>
    <row r="505" spans="1:19">
      <c r="A505" t="s">
        <v>16822</v>
      </c>
      <c r="B505" s="1">
        <v>45496</v>
      </c>
      <c r="C505" t="s">
        <v>9808</v>
      </c>
      <c r="D505" t="str">
        <f>_xlfn.XLOOKUP(tblTransactions[[#This Row],[CustomerID]],tblCustomers[CustomerID],tblCustomers[CustomerName])</f>
        <v>Xiti Warrior</v>
      </c>
      <c r="E505" t="s">
        <v>16137</v>
      </c>
      <c r="F505" t="str">
        <f>_xlfn.XLOOKUP(tblTransactions[[#This Row],[ProductID]],tblProducts[ProductID],tblProducts[ProductName])</f>
        <v>Sugar C3</v>
      </c>
      <c r="G505" t="s">
        <v>16283</v>
      </c>
      <c r="H505" t="str">
        <f>_xlfn.XLOOKUP(tblTransactions[[#This Row],[StoreID]],tblStores[StoreID],tblStores[Region])</f>
        <v>South</v>
      </c>
      <c r="I505">
        <v>1</v>
      </c>
      <c r="J505">
        <v>0</v>
      </c>
      <c r="K505" t="s">
        <v>16321</v>
      </c>
      <c r="L505" s="9">
        <f>_xlfn.XLOOKUP(tblTransactions[[#This Row],[ProductID]],tblProducts[ProductID],tblProducts[UnitPrice])</f>
        <v>1140.1600000000001</v>
      </c>
      <c r="M505" s="9">
        <f>tblTransactions[[#This Row],[Quantity]]*tblTransactions[[#This Row],[UnitPrice]]</f>
        <v>1140.1600000000001</v>
      </c>
      <c r="N505" s="9">
        <f>tblTransactions[[#This Row],[GrossSales]]*tblTransactions[[#This Row],[Discount]]</f>
        <v>0</v>
      </c>
      <c r="O505" s="9">
        <f>tblTransactions[[#This Row],[GrossSales]]-tblTransactions[[#This Row],[DiscountAmount]]</f>
        <v>1140.1600000000001</v>
      </c>
      <c r="P505" s="9">
        <f>_xlfn.XLOOKUP(tblTransactions[[#This Row],[ProductID]],tblProducts[ProductID],tblProducts[UnitCost])</f>
        <v>763.74</v>
      </c>
      <c r="Q505" s="9">
        <f>tblTransactions[[#This Row],[Quantity]]*tblTransactions[[#This Row],[UnitCost]]</f>
        <v>763.74</v>
      </c>
      <c r="R505" s="9">
        <f>tblTransactions[[#This Row],[NetRevenue]]-tblTransactions[[#This Row],[TotalCost]]</f>
        <v>376.42000000000007</v>
      </c>
      <c r="S505" t="str">
        <f>_xlfn.XLOOKUP(tblTransactions[[#This Row],[ProductID]],tblProducts[ProductID],tblProducts[Category])</f>
        <v>Grocery</v>
      </c>
    </row>
    <row r="506" spans="1:19">
      <c r="A506" t="s">
        <v>16823</v>
      </c>
      <c r="B506" s="1">
        <v>45496</v>
      </c>
      <c r="C506" t="s">
        <v>3553</v>
      </c>
      <c r="D506" t="str">
        <f>_xlfn.XLOOKUP(tblTransactions[[#This Row],[CustomerID]],tblCustomers[CustomerID],tblCustomers[CustomerName])</f>
        <v>Deepa Nigam</v>
      </c>
      <c r="E506" t="s">
        <v>16180</v>
      </c>
      <c r="F506" t="str">
        <f>_xlfn.XLOOKUP(tblTransactions[[#This Row],[ProductID]],tblProducts[ProductID],tblProducts[ProductName])</f>
        <v>Instant Noodles B2</v>
      </c>
      <c r="G506" t="s">
        <v>16285</v>
      </c>
      <c r="H506" t="str">
        <f>_xlfn.XLOOKUP(tblTransactions[[#This Row],[StoreID]],tblStores[StoreID],tblStores[Region])</f>
        <v>West</v>
      </c>
      <c r="I506">
        <v>1</v>
      </c>
      <c r="J506">
        <v>0.1</v>
      </c>
      <c r="K506" t="s">
        <v>16317</v>
      </c>
      <c r="L506" s="9">
        <f>_xlfn.XLOOKUP(tblTransactions[[#This Row],[ProductID]],tblProducts[ProductID],tblProducts[UnitPrice])</f>
        <v>130.63</v>
      </c>
      <c r="M506" s="9">
        <f>tblTransactions[[#This Row],[Quantity]]*tblTransactions[[#This Row],[UnitPrice]]</f>
        <v>130.63</v>
      </c>
      <c r="N506" s="9">
        <f>tblTransactions[[#This Row],[GrossSales]]*tblTransactions[[#This Row],[Discount]]</f>
        <v>13.063000000000001</v>
      </c>
      <c r="O506" s="9">
        <f>tblTransactions[[#This Row],[GrossSales]]-tblTransactions[[#This Row],[DiscountAmount]]</f>
        <v>117.56699999999999</v>
      </c>
      <c r="P506" s="9">
        <f>_xlfn.XLOOKUP(tblTransactions[[#This Row],[ProductID]],tblProducts[ProductID],tblProducts[UnitCost])</f>
        <v>75.33</v>
      </c>
      <c r="Q506" s="9">
        <f>tblTransactions[[#This Row],[Quantity]]*tblTransactions[[#This Row],[UnitCost]]</f>
        <v>75.33</v>
      </c>
      <c r="R506" s="9">
        <f>tblTransactions[[#This Row],[NetRevenue]]-tblTransactions[[#This Row],[TotalCost]]</f>
        <v>42.236999999999995</v>
      </c>
      <c r="S506" t="str">
        <f>_xlfn.XLOOKUP(tblTransactions[[#This Row],[ProductID]],tblProducts[ProductID],tblProducts[Category])</f>
        <v>Grocery</v>
      </c>
    </row>
    <row r="507" spans="1:19">
      <c r="A507" t="s">
        <v>16824</v>
      </c>
      <c r="B507" s="1">
        <v>45498</v>
      </c>
      <c r="C507" t="s">
        <v>15564</v>
      </c>
      <c r="D507" t="str">
        <f>_xlfn.XLOOKUP(tblTransactions[[#This Row],[CustomerID]],tblCustomers[CustomerID],tblCustomers[CustomerName])</f>
        <v>Samesh Halder</v>
      </c>
      <c r="E507" t="s">
        <v>16219</v>
      </c>
      <c r="F507" t="str">
        <f>_xlfn.XLOOKUP(tblTransactions[[#This Row],[ProductID]],tblProducts[ProductID],tblProducts[ProductName])</f>
        <v>Hair Serum A6</v>
      </c>
      <c r="G507" t="s">
        <v>16307</v>
      </c>
      <c r="H507" t="str">
        <f>_xlfn.XLOOKUP(tblTransactions[[#This Row],[StoreID]],tblStores[StoreID],tblStores[Region])</f>
        <v>East</v>
      </c>
      <c r="I507">
        <v>3</v>
      </c>
      <c r="J507">
        <v>0</v>
      </c>
      <c r="K507" t="s">
        <v>16317</v>
      </c>
      <c r="L507" s="9">
        <f>_xlfn.XLOOKUP(tblTransactions[[#This Row],[ProductID]],tblProducts[ProductID],tblProducts[UnitPrice])</f>
        <v>3355.04</v>
      </c>
      <c r="M507" s="9">
        <f>tblTransactions[[#This Row],[Quantity]]*tblTransactions[[#This Row],[UnitPrice]]</f>
        <v>10065.119999999999</v>
      </c>
      <c r="N507" s="9">
        <f>tblTransactions[[#This Row],[GrossSales]]*tblTransactions[[#This Row],[Discount]]</f>
        <v>0</v>
      </c>
      <c r="O507" s="9">
        <f>tblTransactions[[#This Row],[GrossSales]]-tblTransactions[[#This Row],[DiscountAmount]]</f>
        <v>10065.119999999999</v>
      </c>
      <c r="P507" s="9">
        <f>_xlfn.XLOOKUP(tblTransactions[[#This Row],[ProductID]],tblProducts[ProductID],tblProducts[UnitCost])</f>
        <v>1914.01</v>
      </c>
      <c r="Q507" s="9">
        <f>tblTransactions[[#This Row],[Quantity]]*tblTransactions[[#This Row],[UnitCost]]</f>
        <v>5742.03</v>
      </c>
      <c r="R507" s="9">
        <f>tblTransactions[[#This Row],[NetRevenue]]-tblTransactions[[#This Row],[TotalCost]]</f>
        <v>4323.0899999999992</v>
      </c>
      <c r="S507" t="str">
        <f>_xlfn.XLOOKUP(tblTransactions[[#This Row],[ProductID]],tblProducts[ProductID],tblProducts[Category])</f>
        <v>Personal Care</v>
      </c>
    </row>
    <row r="508" spans="1:19">
      <c r="A508" t="s">
        <v>16825</v>
      </c>
      <c r="B508" s="1">
        <v>45500</v>
      </c>
      <c r="C508" t="s">
        <v>13577</v>
      </c>
      <c r="D508" t="str">
        <f>_xlfn.XLOOKUP(tblTransactions[[#This Row],[CustomerID]],tblCustomers[CustomerID],tblCustomers[CustomerName])</f>
        <v>Ayushman Dani</v>
      </c>
      <c r="E508" t="s">
        <v>16114</v>
      </c>
      <c r="F508" t="str">
        <f>_xlfn.XLOOKUP(tblTransactions[[#This Row],[ProductID]],tblProducts[ProductID],tblProducts[ProductName])</f>
        <v>Kids T-Shirt B7</v>
      </c>
      <c r="G508" t="s">
        <v>16293</v>
      </c>
      <c r="H508" t="str">
        <f>_xlfn.XLOOKUP(tblTransactions[[#This Row],[StoreID]],tblStores[StoreID],tblStores[Region])</f>
        <v>South</v>
      </c>
      <c r="I508">
        <v>1</v>
      </c>
      <c r="J508">
        <v>0.15</v>
      </c>
      <c r="K508" t="s">
        <v>16317</v>
      </c>
      <c r="L508" s="9">
        <f>_xlfn.XLOOKUP(tblTransactions[[#This Row],[ProductID]],tblProducts[ProductID],tblProducts[UnitPrice])</f>
        <v>2599.96</v>
      </c>
      <c r="M508" s="9">
        <f>tblTransactions[[#This Row],[Quantity]]*tblTransactions[[#This Row],[UnitPrice]]</f>
        <v>2599.96</v>
      </c>
      <c r="N508" s="9">
        <f>tblTransactions[[#This Row],[GrossSales]]*tblTransactions[[#This Row],[Discount]]</f>
        <v>389.99399999999997</v>
      </c>
      <c r="O508" s="9">
        <f>tblTransactions[[#This Row],[GrossSales]]-tblTransactions[[#This Row],[DiscountAmount]]</f>
        <v>2209.9659999999999</v>
      </c>
      <c r="P508" s="9">
        <f>_xlfn.XLOOKUP(tblTransactions[[#This Row],[ProductID]],tblProducts[ProductID],tblProducts[UnitCost])</f>
        <v>1643</v>
      </c>
      <c r="Q508" s="9">
        <f>tblTransactions[[#This Row],[Quantity]]*tblTransactions[[#This Row],[UnitCost]]</f>
        <v>1643</v>
      </c>
      <c r="R508" s="9">
        <f>tblTransactions[[#This Row],[NetRevenue]]-tblTransactions[[#This Row],[TotalCost]]</f>
        <v>566.96599999999989</v>
      </c>
      <c r="S508" t="str">
        <f>_xlfn.XLOOKUP(tblTransactions[[#This Row],[ProductID]],tblProducts[ProductID],tblProducts[Category])</f>
        <v>Clothing</v>
      </c>
    </row>
    <row r="509" spans="1:19">
      <c r="A509" t="s">
        <v>16826</v>
      </c>
      <c r="B509" s="1">
        <v>45500</v>
      </c>
      <c r="C509" t="s">
        <v>4121</v>
      </c>
      <c r="D509" t="str">
        <f>_xlfn.XLOOKUP(tblTransactions[[#This Row],[CustomerID]],tblCustomers[CustomerID],tblCustomers[CustomerName])</f>
        <v>Turvi Devan</v>
      </c>
      <c r="E509" t="s">
        <v>16064</v>
      </c>
      <c r="F509" t="str">
        <f>_xlfn.XLOOKUP(tblTransactions[[#This Row],[ProductID]],tblProducts[ProductID],tblProducts[ProductName])</f>
        <v>Decorative Vase E5</v>
      </c>
      <c r="G509" t="s">
        <v>16287</v>
      </c>
      <c r="H509" t="str">
        <f>_xlfn.XLOOKUP(tblTransactions[[#This Row],[StoreID]],tblStores[StoreID],tblStores[Region])</f>
        <v>North</v>
      </c>
      <c r="I509">
        <v>1</v>
      </c>
      <c r="J509">
        <v>0</v>
      </c>
      <c r="K509" t="s">
        <v>16321</v>
      </c>
      <c r="L509" s="9">
        <f>_xlfn.XLOOKUP(tblTransactions[[#This Row],[ProductID]],tblProducts[ProductID],tblProducts[UnitPrice])</f>
        <v>1797.31</v>
      </c>
      <c r="M509" s="9">
        <f>tblTransactions[[#This Row],[Quantity]]*tblTransactions[[#This Row],[UnitPrice]]</f>
        <v>1797.31</v>
      </c>
      <c r="N509" s="9">
        <f>tblTransactions[[#This Row],[GrossSales]]*tblTransactions[[#This Row],[Discount]]</f>
        <v>0</v>
      </c>
      <c r="O509" s="9">
        <f>tblTransactions[[#This Row],[GrossSales]]-tblTransactions[[#This Row],[DiscountAmount]]</f>
        <v>1797.31</v>
      </c>
      <c r="P509" s="9">
        <f>_xlfn.XLOOKUP(tblTransactions[[#This Row],[ProductID]],tblProducts[ProductID],tblProducts[UnitCost])</f>
        <v>1257.43</v>
      </c>
      <c r="Q509" s="9">
        <f>tblTransactions[[#This Row],[Quantity]]*tblTransactions[[#This Row],[UnitCost]]</f>
        <v>1257.43</v>
      </c>
      <c r="R509" s="9">
        <f>tblTransactions[[#This Row],[NetRevenue]]-tblTransactions[[#This Row],[TotalCost]]</f>
        <v>539.87999999999988</v>
      </c>
      <c r="S509" t="str">
        <f>_xlfn.XLOOKUP(tblTransactions[[#This Row],[ProductID]],tblProducts[ProductID],tblProducts[Category])</f>
        <v>Home &amp; Kitchen</v>
      </c>
    </row>
    <row r="510" spans="1:19">
      <c r="A510" t="s">
        <v>16827</v>
      </c>
      <c r="B510" s="1">
        <v>45501</v>
      </c>
      <c r="C510" t="s">
        <v>202</v>
      </c>
      <c r="D510" t="str">
        <f>_xlfn.XLOOKUP(tblTransactions[[#This Row],[CustomerID]],tblCustomers[CustomerID],tblCustomers[CustomerName])</f>
        <v>Teerth Bhardwaj</v>
      </c>
      <c r="E510" t="s">
        <v>16241</v>
      </c>
      <c r="F510" t="str">
        <f>_xlfn.XLOOKUP(tblTransactions[[#This Row],[ProductID]],tblProducts[ProductID],tblProducts[ProductName])</f>
        <v>Shaving Kit B2</v>
      </c>
      <c r="G510" t="s">
        <v>16269</v>
      </c>
      <c r="H510" t="str">
        <f>_xlfn.XLOOKUP(tblTransactions[[#This Row],[StoreID]],tblStores[StoreID],tblStores[Region])</f>
        <v>North</v>
      </c>
      <c r="I510">
        <v>1</v>
      </c>
      <c r="J510">
        <v>0.05</v>
      </c>
      <c r="K510" t="s">
        <v>16315</v>
      </c>
      <c r="L510" s="9">
        <f>_xlfn.XLOOKUP(tblTransactions[[#This Row],[ProductID]],tblProducts[ProductID],tblProducts[UnitPrice])</f>
        <v>543.23</v>
      </c>
      <c r="M510" s="9">
        <f>tblTransactions[[#This Row],[Quantity]]*tblTransactions[[#This Row],[UnitPrice]]</f>
        <v>543.23</v>
      </c>
      <c r="N510" s="9">
        <f>tblTransactions[[#This Row],[GrossSales]]*tblTransactions[[#This Row],[Discount]]</f>
        <v>27.161500000000004</v>
      </c>
      <c r="O510" s="9">
        <f>tblTransactions[[#This Row],[GrossSales]]-tblTransactions[[#This Row],[DiscountAmount]]</f>
        <v>516.06849999999997</v>
      </c>
      <c r="P510" s="9">
        <f>_xlfn.XLOOKUP(tblTransactions[[#This Row],[ProductID]],tblProducts[ProductID],tblProducts[UnitCost])</f>
        <v>441.82</v>
      </c>
      <c r="Q510" s="9">
        <f>tblTransactions[[#This Row],[Quantity]]*tblTransactions[[#This Row],[UnitCost]]</f>
        <v>441.82</v>
      </c>
      <c r="R510" s="9">
        <f>tblTransactions[[#This Row],[NetRevenue]]-tblTransactions[[#This Row],[TotalCost]]</f>
        <v>74.248499999999979</v>
      </c>
      <c r="S510" t="str">
        <f>_xlfn.XLOOKUP(tblTransactions[[#This Row],[ProductID]],tblProducts[ProductID],tblProducts[Category])</f>
        <v>Personal Care</v>
      </c>
    </row>
    <row r="511" spans="1:19">
      <c r="A511" t="s">
        <v>16828</v>
      </c>
      <c r="B511" s="1">
        <v>45501</v>
      </c>
      <c r="C511" t="s">
        <v>12822</v>
      </c>
      <c r="D511" t="str">
        <f>_xlfn.XLOOKUP(tblTransactions[[#This Row],[CustomerID]],tblCustomers[CustomerID],tblCustomers[CustomerName])</f>
        <v>Brinda Chatterjee</v>
      </c>
      <c r="E511" t="s">
        <v>15956</v>
      </c>
      <c r="F511" t="str">
        <f>_xlfn.XLOOKUP(tblTransactions[[#This Row],[ProductID]],tblProducts[ProductID],tblProducts[ProductName])</f>
        <v>Budget Smartphone A6</v>
      </c>
      <c r="G511" t="s">
        <v>16291</v>
      </c>
      <c r="H511" t="str">
        <f>_xlfn.XLOOKUP(tblTransactions[[#This Row],[StoreID]],tblStores[StoreID],tblStores[Region])</f>
        <v>South</v>
      </c>
      <c r="I511">
        <v>2</v>
      </c>
      <c r="J511">
        <v>0</v>
      </c>
      <c r="K511" t="s">
        <v>16317</v>
      </c>
      <c r="L511" s="9">
        <f>_xlfn.XLOOKUP(tblTransactions[[#This Row],[ProductID]],tblProducts[ProductID],tblProducts[UnitPrice])</f>
        <v>9246.34</v>
      </c>
      <c r="M511" s="9">
        <f>tblTransactions[[#This Row],[Quantity]]*tblTransactions[[#This Row],[UnitPrice]]</f>
        <v>18492.68</v>
      </c>
      <c r="N511" s="9">
        <f>tblTransactions[[#This Row],[GrossSales]]*tblTransactions[[#This Row],[Discount]]</f>
        <v>0</v>
      </c>
      <c r="O511" s="9">
        <f>tblTransactions[[#This Row],[GrossSales]]-tblTransactions[[#This Row],[DiscountAmount]]</f>
        <v>18492.68</v>
      </c>
      <c r="P511" s="9">
        <f>_xlfn.XLOOKUP(tblTransactions[[#This Row],[ProductID]],tblProducts[ProductID],tblProducts[UnitCost])</f>
        <v>7613.27</v>
      </c>
      <c r="Q511" s="9">
        <f>tblTransactions[[#This Row],[Quantity]]*tblTransactions[[#This Row],[UnitCost]]</f>
        <v>15226.54</v>
      </c>
      <c r="R511" s="9">
        <f>tblTransactions[[#This Row],[NetRevenue]]-tblTransactions[[#This Row],[TotalCost]]</f>
        <v>3266.1399999999994</v>
      </c>
      <c r="S511" t="str">
        <f>_xlfn.XLOOKUP(tblTransactions[[#This Row],[ProductID]],tblProducts[ProductID],tblProducts[Category])</f>
        <v>Electronics</v>
      </c>
    </row>
    <row r="512" spans="1:19">
      <c r="A512" t="s">
        <v>16829</v>
      </c>
      <c r="B512" s="1">
        <v>45503</v>
      </c>
      <c r="C512" t="s">
        <v>6657</v>
      </c>
      <c r="D512" t="str">
        <f>_xlfn.XLOOKUP(tblTransactions[[#This Row],[CustomerID]],tblCustomers[CustomerID],tblCustomers[CustomerName])</f>
        <v>Thomas Loyal</v>
      </c>
      <c r="E512" t="s">
        <v>15933</v>
      </c>
      <c r="F512" t="str">
        <f>_xlfn.XLOOKUP(tblTransactions[[#This Row],[ProductID]],tblProducts[ProductID],tblProducts[ProductName])</f>
        <v>Smart LED TV C3</v>
      </c>
      <c r="G512" t="s">
        <v>16265</v>
      </c>
      <c r="H512" t="str">
        <f>_xlfn.XLOOKUP(tblTransactions[[#This Row],[StoreID]],tblStores[StoreID],tblStores[Region])</f>
        <v>North</v>
      </c>
      <c r="I512">
        <v>1</v>
      </c>
      <c r="J512">
        <v>0</v>
      </c>
      <c r="K512" t="s">
        <v>16319</v>
      </c>
      <c r="L512" s="9">
        <f>_xlfn.XLOOKUP(tblTransactions[[#This Row],[ProductID]],tblProducts[ProductID],tblProducts[UnitPrice])</f>
        <v>14374.7</v>
      </c>
      <c r="M512" s="9">
        <f>tblTransactions[[#This Row],[Quantity]]*tblTransactions[[#This Row],[UnitPrice]]</f>
        <v>14374.7</v>
      </c>
      <c r="N512" s="9">
        <f>tblTransactions[[#This Row],[GrossSales]]*tblTransactions[[#This Row],[Discount]]</f>
        <v>0</v>
      </c>
      <c r="O512" s="9">
        <f>tblTransactions[[#This Row],[GrossSales]]-tblTransactions[[#This Row],[DiscountAmount]]</f>
        <v>14374.7</v>
      </c>
      <c r="P512" s="9">
        <f>_xlfn.XLOOKUP(tblTransactions[[#This Row],[ProductID]],tblProducts[ProductID],tblProducts[UnitCost])</f>
        <v>11335.72</v>
      </c>
      <c r="Q512" s="9">
        <f>tblTransactions[[#This Row],[Quantity]]*tblTransactions[[#This Row],[UnitCost]]</f>
        <v>11335.72</v>
      </c>
      <c r="R512" s="9">
        <f>tblTransactions[[#This Row],[NetRevenue]]-tblTransactions[[#This Row],[TotalCost]]</f>
        <v>3038.9800000000014</v>
      </c>
      <c r="S512" t="str">
        <f>_xlfn.XLOOKUP(tblTransactions[[#This Row],[ProductID]],tblProducts[ProductID],tblProducts[Category])</f>
        <v>Electronics</v>
      </c>
    </row>
    <row r="513" spans="1:19">
      <c r="A513" t="s">
        <v>16830</v>
      </c>
      <c r="B513" s="1">
        <v>45504</v>
      </c>
      <c r="C513" t="s">
        <v>8630</v>
      </c>
      <c r="D513" t="str">
        <f>_xlfn.XLOOKUP(tblTransactions[[#This Row],[CustomerID]],tblCustomers[CustomerID],tblCustomers[CustomerName])</f>
        <v>Gautami Sarna</v>
      </c>
      <c r="E513" t="s">
        <v>16099</v>
      </c>
      <c r="F513" t="str">
        <f>_xlfn.XLOOKUP(tblTransactions[[#This Row],[ProductID]],tblProducts[ProductID],tblProducts[ProductName])</f>
        <v>Women's Jeans B7</v>
      </c>
      <c r="G513" t="s">
        <v>16285</v>
      </c>
      <c r="H513" t="str">
        <f>_xlfn.XLOOKUP(tblTransactions[[#This Row],[StoreID]],tblStores[StoreID],tblStores[Region])</f>
        <v>West</v>
      </c>
      <c r="I513">
        <v>5</v>
      </c>
      <c r="J513">
        <v>0.05</v>
      </c>
      <c r="K513" t="s">
        <v>16315</v>
      </c>
      <c r="L513" s="9">
        <f>_xlfn.XLOOKUP(tblTransactions[[#This Row],[ProductID]],tblProducts[ProductID],tblProducts[UnitPrice])</f>
        <v>1227.0899999999999</v>
      </c>
      <c r="M513" s="9">
        <f>tblTransactions[[#This Row],[Quantity]]*tblTransactions[[#This Row],[UnitPrice]]</f>
        <v>6135.45</v>
      </c>
      <c r="N513" s="9">
        <f>tblTransactions[[#This Row],[GrossSales]]*tblTransactions[[#This Row],[Discount]]</f>
        <v>306.77249999999998</v>
      </c>
      <c r="O513" s="9">
        <f>tblTransactions[[#This Row],[GrossSales]]-tblTransactions[[#This Row],[DiscountAmount]]</f>
        <v>5828.6774999999998</v>
      </c>
      <c r="P513" s="9">
        <f>_xlfn.XLOOKUP(tblTransactions[[#This Row],[ProductID]],tblProducts[ProductID],tblProducts[UnitCost])</f>
        <v>945.11</v>
      </c>
      <c r="Q513" s="9">
        <f>tblTransactions[[#This Row],[Quantity]]*tblTransactions[[#This Row],[UnitCost]]</f>
        <v>4725.55</v>
      </c>
      <c r="R513" s="9">
        <f>tblTransactions[[#This Row],[NetRevenue]]-tblTransactions[[#This Row],[TotalCost]]</f>
        <v>1103.1274999999996</v>
      </c>
      <c r="S513" t="str">
        <f>_xlfn.XLOOKUP(tblTransactions[[#This Row],[ProductID]],tblProducts[ProductID],tblProducts[Category])</f>
        <v>Clothing</v>
      </c>
    </row>
    <row r="514" spans="1:19">
      <c r="A514" t="s">
        <v>16831</v>
      </c>
      <c r="B514" s="1">
        <v>45504</v>
      </c>
      <c r="C514" t="s">
        <v>14605</v>
      </c>
      <c r="D514" t="str">
        <f>_xlfn.XLOOKUP(tblTransactions[[#This Row],[CustomerID]],tblCustomers[CustomerID],tblCustomers[CustomerName])</f>
        <v>Ranveer Sidhu</v>
      </c>
      <c r="E514" t="s">
        <v>16234</v>
      </c>
      <c r="F514" t="str">
        <f>_xlfn.XLOOKUP(tblTransactions[[#This Row],[ProductID]],tblProducts[ProductID],tblProducts[ProductName])</f>
        <v>Body Lotion A6</v>
      </c>
      <c r="G514" t="s">
        <v>16295</v>
      </c>
      <c r="H514" t="str">
        <f>_xlfn.XLOOKUP(tblTransactions[[#This Row],[StoreID]],tblStores[StoreID],tblStores[Region])</f>
        <v>South</v>
      </c>
      <c r="I514">
        <v>2</v>
      </c>
      <c r="J514">
        <v>0</v>
      </c>
      <c r="K514" t="s">
        <v>16317</v>
      </c>
      <c r="L514" s="9">
        <f>_xlfn.XLOOKUP(tblTransactions[[#This Row],[ProductID]],tblProducts[ProductID],tblProducts[UnitPrice])</f>
        <v>773.2</v>
      </c>
      <c r="M514" s="9">
        <f>tblTransactions[[#This Row],[Quantity]]*tblTransactions[[#This Row],[UnitPrice]]</f>
        <v>1546.4</v>
      </c>
      <c r="N514" s="9">
        <f>tblTransactions[[#This Row],[GrossSales]]*tblTransactions[[#This Row],[Discount]]</f>
        <v>0</v>
      </c>
      <c r="O514" s="9">
        <f>tblTransactions[[#This Row],[GrossSales]]-tblTransactions[[#This Row],[DiscountAmount]]</f>
        <v>1546.4</v>
      </c>
      <c r="P514" s="9">
        <f>_xlfn.XLOOKUP(tblTransactions[[#This Row],[ProductID]],tblProducts[ProductID],tblProducts[UnitCost])</f>
        <v>547.09</v>
      </c>
      <c r="Q514" s="9">
        <f>tblTransactions[[#This Row],[Quantity]]*tblTransactions[[#This Row],[UnitCost]]</f>
        <v>1094.18</v>
      </c>
      <c r="R514" s="9">
        <f>tblTransactions[[#This Row],[NetRevenue]]-tblTransactions[[#This Row],[TotalCost]]</f>
        <v>452.22</v>
      </c>
      <c r="S514" t="str">
        <f>_xlfn.XLOOKUP(tblTransactions[[#This Row],[ProductID]],tblProducts[ProductID],tblProducts[Category])</f>
        <v>Personal Care</v>
      </c>
    </row>
    <row r="515" spans="1:19">
      <c r="A515" t="s">
        <v>16832</v>
      </c>
      <c r="B515" s="1">
        <v>45504</v>
      </c>
      <c r="C515" t="s">
        <v>4230</v>
      </c>
      <c r="D515" t="str">
        <f>_xlfn.XLOOKUP(tblTransactions[[#This Row],[CustomerID]],tblCustomers[CustomerID],tblCustomers[CustomerName])</f>
        <v>Pratyush Pant</v>
      </c>
      <c r="E515" t="s">
        <v>16084</v>
      </c>
      <c r="F515" t="str">
        <f>_xlfn.XLOOKUP(tblTransactions[[#This Row],[ProductID]],tblProducts[ProductID],tblProducts[ProductName])</f>
        <v>Men's Jeans B7</v>
      </c>
      <c r="G515" t="s">
        <v>16259</v>
      </c>
      <c r="H515" t="str">
        <f>_xlfn.XLOOKUP(tblTransactions[[#This Row],[StoreID]],tblStores[StoreID],tblStores[Region])</f>
        <v>East</v>
      </c>
      <c r="I515">
        <v>2</v>
      </c>
      <c r="J515">
        <v>0.2</v>
      </c>
      <c r="K515" t="s">
        <v>16315</v>
      </c>
      <c r="L515" s="9">
        <f>_xlfn.XLOOKUP(tblTransactions[[#This Row],[ProductID]],tblProducts[ProductID],tblProducts[UnitPrice])</f>
        <v>7179.47</v>
      </c>
      <c r="M515" s="9">
        <f>tblTransactions[[#This Row],[Quantity]]*tblTransactions[[#This Row],[UnitPrice]]</f>
        <v>14358.94</v>
      </c>
      <c r="N515" s="9">
        <f>tblTransactions[[#This Row],[GrossSales]]*tblTransactions[[#This Row],[Discount]]</f>
        <v>2871.7880000000005</v>
      </c>
      <c r="O515" s="9">
        <f>tblTransactions[[#This Row],[GrossSales]]-tblTransactions[[#This Row],[DiscountAmount]]</f>
        <v>11487.152</v>
      </c>
      <c r="P515" s="9">
        <f>_xlfn.XLOOKUP(tblTransactions[[#This Row],[ProductID]],tblProducts[ProductID],tblProducts[UnitCost])</f>
        <v>5473.35</v>
      </c>
      <c r="Q515" s="9">
        <f>tblTransactions[[#This Row],[Quantity]]*tblTransactions[[#This Row],[UnitCost]]</f>
        <v>10946.7</v>
      </c>
      <c r="R515" s="9">
        <f>tblTransactions[[#This Row],[NetRevenue]]-tblTransactions[[#This Row],[TotalCost]]</f>
        <v>540.45199999999932</v>
      </c>
      <c r="S515" t="str">
        <f>_xlfn.XLOOKUP(tblTransactions[[#This Row],[ProductID]],tblProducts[ProductID],tblProducts[Category])</f>
        <v>Clothing</v>
      </c>
    </row>
    <row r="516" spans="1:19">
      <c r="A516" t="s">
        <v>16833</v>
      </c>
      <c r="B516" s="1">
        <v>45505</v>
      </c>
      <c r="C516" t="s">
        <v>2379</v>
      </c>
      <c r="D516" t="str">
        <f>_xlfn.XLOOKUP(tblTransactions[[#This Row],[CustomerID]],tblCustomers[CustomerID],tblCustomers[CustomerName])</f>
        <v>Ishaan Cherian</v>
      </c>
      <c r="E516" t="s">
        <v>16001</v>
      </c>
      <c r="F516" t="str">
        <f>_xlfn.XLOOKUP(tblTransactions[[#This Row],[ProductID]],tblProducts[ProductID],tblProducts[ProductName])</f>
        <v>Power Bank D4</v>
      </c>
      <c r="G516" t="s">
        <v>16279</v>
      </c>
      <c r="H516" t="str">
        <f>_xlfn.XLOOKUP(tblTransactions[[#This Row],[StoreID]],tblStores[StoreID],tblStores[Region])</f>
        <v>South</v>
      </c>
      <c r="I516">
        <v>1</v>
      </c>
      <c r="J516">
        <v>0</v>
      </c>
      <c r="K516" t="s">
        <v>16319</v>
      </c>
      <c r="L516" s="9">
        <f>_xlfn.XLOOKUP(tblTransactions[[#This Row],[ProductID]],tblProducts[ProductID],tblProducts[UnitPrice])</f>
        <v>29153.55</v>
      </c>
      <c r="M516" s="9">
        <f>tblTransactions[[#This Row],[Quantity]]*tblTransactions[[#This Row],[UnitPrice]]</f>
        <v>29153.55</v>
      </c>
      <c r="N516" s="9">
        <f>tblTransactions[[#This Row],[GrossSales]]*tblTransactions[[#This Row],[Discount]]</f>
        <v>0</v>
      </c>
      <c r="O516" s="9">
        <f>tblTransactions[[#This Row],[GrossSales]]-tblTransactions[[#This Row],[DiscountAmount]]</f>
        <v>29153.55</v>
      </c>
      <c r="P516" s="9">
        <f>_xlfn.XLOOKUP(tblTransactions[[#This Row],[ProductID]],tblProducts[ProductID],tblProducts[UnitCost])</f>
        <v>21894.27</v>
      </c>
      <c r="Q516" s="9">
        <f>tblTransactions[[#This Row],[Quantity]]*tblTransactions[[#This Row],[UnitCost]]</f>
        <v>21894.27</v>
      </c>
      <c r="R516" s="9">
        <f>tblTransactions[[#This Row],[NetRevenue]]-tblTransactions[[#This Row],[TotalCost]]</f>
        <v>7259.2799999999988</v>
      </c>
      <c r="S516" t="str">
        <f>_xlfn.XLOOKUP(tblTransactions[[#This Row],[ProductID]],tblProducts[ProductID],tblProducts[Category])</f>
        <v>Electronics</v>
      </c>
    </row>
    <row r="517" spans="1:19">
      <c r="A517" t="s">
        <v>16834</v>
      </c>
      <c r="B517" s="1">
        <v>45508</v>
      </c>
      <c r="C517" t="s">
        <v>13864</v>
      </c>
      <c r="D517" t="str">
        <f>_xlfn.XLOOKUP(tblTransactions[[#This Row],[CustomerID]],tblCustomers[CustomerID],tblCustomers[CustomerName])</f>
        <v>Bishakha Issac</v>
      </c>
      <c r="E517" t="s">
        <v>16089</v>
      </c>
      <c r="F517" t="str">
        <f>_xlfn.XLOOKUP(tblTransactions[[#This Row],[ProductID]],tblProducts[ProductID],tblProducts[ProductName])</f>
        <v>Women's Jeans B2</v>
      </c>
      <c r="G517" t="s">
        <v>16293</v>
      </c>
      <c r="H517" t="str">
        <f>_xlfn.XLOOKUP(tblTransactions[[#This Row],[StoreID]],tblStores[StoreID],tblStores[Region])</f>
        <v>South</v>
      </c>
      <c r="I517">
        <v>2</v>
      </c>
      <c r="J517">
        <v>0.2</v>
      </c>
      <c r="K517" t="s">
        <v>16317</v>
      </c>
      <c r="L517" s="9">
        <f>_xlfn.XLOOKUP(tblTransactions[[#This Row],[ProductID]],tblProducts[ProductID],tblProducts[UnitPrice])</f>
        <v>7788.99</v>
      </c>
      <c r="M517" s="9">
        <f>tblTransactions[[#This Row],[Quantity]]*tblTransactions[[#This Row],[UnitPrice]]</f>
        <v>15577.98</v>
      </c>
      <c r="N517" s="9">
        <f>tblTransactions[[#This Row],[GrossSales]]*tblTransactions[[#This Row],[Discount]]</f>
        <v>3115.596</v>
      </c>
      <c r="O517" s="9">
        <f>tblTransactions[[#This Row],[GrossSales]]-tblTransactions[[#This Row],[DiscountAmount]]</f>
        <v>12462.384</v>
      </c>
      <c r="P517" s="9">
        <f>_xlfn.XLOOKUP(tblTransactions[[#This Row],[ProductID]],tblProducts[ProductID],tblProducts[UnitCost])</f>
        <v>6231.21</v>
      </c>
      <c r="Q517" s="9">
        <f>tblTransactions[[#This Row],[Quantity]]*tblTransactions[[#This Row],[UnitCost]]</f>
        <v>12462.42</v>
      </c>
      <c r="R517" s="9">
        <f>tblTransactions[[#This Row],[NetRevenue]]-tblTransactions[[#This Row],[TotalCost]]</f>
        <v>-3.6000000000058208E-2</v>
      </c>
      <c r="S517" t="str">
        <f>_xlfn.XLOOKUP(tblTransactions[[#This Row],[ProductID]],tblProducts[ProductID],tblProducts[Category])</f>
        <v>Clothing</v>
      </c>
    </row>
    <row r="518" spans="1:19">
      <c r="A518" t="s">
        <v>16835</v>
      </c>
      <c r="B518" s="1">
        <v>45509</v>
      </c>
      <c r="C518" t="s">
        <v>6851</v>
      </c>
      <c r="D518" t="str">
        <f>_xlfn.XLOOKUP(tblTransactions[[#This Row],[CustomerID]],tblCustomers[CustomerID],tblCustomers[CustomerName])</f>
        <v>Tara Malhotra</v>
      </c>
      <c r="E518" t="s">
        <v>15967</v>
      </c>
      <c r="F518" t="str">
        <f>_xlfn.XLOOKUP(tblTransactions[[#This Row],[ProductID]],tblProducts[ProductID],tblProducts[ProductName])</f>
        <v>Student Laptop C3</v>
      </c>
      <c r="G518" t="s">
        <v>16277</v>
      </c>
      <c r="H518" t="str">
        <f>_xlfn.XLOOKUP(tblTransactions[[#This Row],[StoreID]],tblStores[StoreID],tblStores[Region])</f>
        <v>West</v>
      </c>
      <c r="I518">
        <v>1</v>
      </c>
      <c r="J518">
        <v>0.05</v>
      </c>
      <c r="K518" t="s">
        <v>16315</v>
      </c>
      <c r="L518" s="9">
        <f>_xlfn.XLOOKUP(tblTransactions[[#This Row],[ProductID]],tblProducts[ProductID],tblProducts[UnitPrice])</f>
        <v>12552.69</v>
      </c>
      <c r="M518" s="9">
        <f>tblTransactions[[#This Row],[Quantity]]*tblTransactions[[#This Row],[UnitPrice]]</f>
        <v>12552.69</v>
      </c>
      <c r="N518" s="9">
        <f>tblTransactions[[#This Row],[GrossSales]]*tblTransactions[[#This Row],[Discount]]</f>
        <v>627.63450000000012</v>
      </c>
      <c r="O518" s="9">
        <f>tblTransactions[[#This Row],[GrossSales]]-tblTransactions[[#This Row],[DiscountAmount]]</f>
        <v>11925.0555</v>
      </c>
      <c r="P518" s="9">
        <f>_xlfn.XLOOKUP(tblTransactions[[#This Row],[ProductID]],tblProducts[ProductID],tblProducts[UnitCost])</f>
        <v>8737.9</v>
      </c>
      <c r="Q518" s="9">
        <f>tblTransactions[[#This Row],[Quantity]]*tblTransactions[[#This Row],[UnitCost]]</f>
        <v>8737.9</v>
      </c>
      <c r="R518" s="9">
        <f>tblTransactions[[#This Row],[NetRevenue]]-tblTransactions[[#This Row],[TotalCost]]</f>
        <v>3187.1555000000008</v>
      </c>
      <c r="S518" t="str">
        <f>_xlfn.XLOOKUP(tblTransactions[[#This Row],[ProductID]],tblProducts[ProductID],tblProducts[Category])</f>
        <v>Electronics</v>
      </c>
    </row>
    <row r="519" spans="1:19">
      <c r="A519" t="s">
        <v>16836</v>
      </c>
      <c r="B519" s="1">
        <v>45511</v>
      </c>
      <c r="C519" t="s">
        <v>7585</v>
      </c>
      <c r="D519" t="str">
        <f>_xlfn.XLOOKUP(tblTransactions[[#This Row],[CustomerID]],tblCustomers[CustomerID],tblCustomers[CustomerName])</f>
        <v>Abhiram Dutt</v>
      </c>
      <c r="E519" t="s">
        <v>16110</v>
      </c>
      <c r="F519" t="str">
        <f>_xlfn.XLOOKUP(tblTransactions[[#This Row],[ProductID]],tblProducts[ProductID],tblProducts[ProductName])</f>
        <v>Kids T-Shirt E5</v>
      </c>
      <c r="G519" t="s">
        <v>16303</v>
      </c>
      <c r="H519" t="str">
        <f>_xlfn.XLOOKUP(tblTransactions[[#This Row],[StoreID]],tblStores[StoreID],tblStores[Region])</f>
        <v>West</v>
      </c>
      <c r="I519">
        <v>2</v>
      </c>
      <c r="J519">
        <v>0.2</v>
      </c>
      <c r="K519" t="s">
        <v>16315</v>
      </c>
      <c r="L519" s="9">
        <f>_xlfn.XLOOKUP(tblTransactions[[#This Row],[ProductID]],tblProducts[ProductID],tblProducts[UnitPrice])</f>
        <v>508.67</v>
      </c>
      <c r="M519" s="9">
        <f>tblTransactions[[#This Row],[Quantity]]*tblTransactions[[#This Row],[UnitPrice]]</f>
        <v>1017.34</v>
      </c>
      <c r="N519" s="9">
        <f>tblTransactions[[#This Row],[GrossSales]]*tblTransactions[[#This Row],[Discount]]</f>
        <v>203.46800000000002</v>
      </c>
      <c r="O519" s="9">
        <f>tblTransactions[[#This Row],[GrossSales]]-tblTransactions[[#This Row],[DiscountAmount]]</f>
        <v>813.87200000000007</v>
      </c>
      <c r="P519" s="9">
        <f>_xlfn.XLOOKUP(tblTransactions[[#This Row],[ProductID]],tblProducts[ProductID],tblProducts[UnitCost])</f>
        <v>386.39</v>
      </c>
      <c r="Q519" s="9">
        <f>tblTransactions[[#This Row],[Quantity]]*tblTransactions[[#This Row],[UnitCost]]</f>
        <v>772.78</v>
      </c>
      <c r="R519" s="9">
        <f>tblTransactions[[#This Row],[NetRevenue]]-tblTransactions[[#This Row],[TotalCost]]</f>
        <v>41.092000000000098</v>
      </c>
      <c r="S519" t="str">
        <f>_xlfn.XLOOKUP(tblTransactions[[#This Row],[ProductID]],tblProducts[ProductID],tblProducts[Category])</f>
        <v>Clothing</v>
      </c>
    </row>
    <row r="520" spans="1:19">
      <c r="A520" t="s">
        <v>16837</v>
      </c>
      <c r="B520" s="1">
        <v>45512</v>
      </c>
      <c r="C520" t="s">
        <v>1434</v>
      </c>
      <c r="D520" t="str">
        <f>_xlfn.XLOOKUP(tblTransactions[[#This Row],[CustomerID]],tblCustomers[CustomerID],tblCustomers[CustomerName])</f>
        <v>Dalbir Sachar</v>
      </c>
      <c r="E520" t="s">
        <v>16082</v>
      </c>
      <c r="F520" t="str">
        <f>_xlfn.XLOOKUP(tblTransactions[[#This Row],[ProductID]],tblProducts[ProductID],tblProducts[ProductName])</f>
        <v>Men's Jacket A6</v>
      </c>
      <c r="G520" t="s">
        <v>16275</v>
      </c>
      <c r="H520" t="str">
        <f>_xlfn.XLOOKUP(tblTransactions[[#This Row],[StoreID]],tblStores[StoreID],tblStores[Region])</f>
        <v>South</v>
      </c>
      <c r="I520">
        <v>1</v>
      </c>
      <c r="J520">
        <v>0.15</v>
      </c>
      <c r="K520" t="s">
        <v>16317</v>
      </c>
      <c r="L520" s="9">
        <f>_xlfn.XLOOKUP(tblTransactions[[#This Row],[ProductID]],tblProducts[ProductID],tblProducts[UnitPrice])</f>
        <v>3718.64</v>
      </c>
      <c r="M520" s="9">
        <f>tblTransactions[[#This Row],[Quantity]]*tblTransactions[[#This Row],[UnitPrice]]</f>
        <v>3718.64</v>
      </c>
      <c r="N520" s="9">
        <f>tblTransactions[[#This Row],[GrossSales]]*tblTransactions[[#This Row],[Discount]]</f>
        <v>557.79599999999994</v>
      </c>
      <c r="O520" s="9">
        <f>tblTransactions[[#This Row],[GrossSales]]-tblTransactions[[#This Row],[DiscountAmount]]</f>
        <v>3160.8440000000001</v>
      </c>
      <c r="P520" s="9">
        <f>_xlfn.XLOOKUP(tblTransactions[[#This Row],[ProductID]],tblProducts[ProductID],tblProducts[UnitCost])</f>
        <v>3021.38</v>
      </c>
      <c r="Q520" s="9">
        <f>tblTransactions[[#This Row],[Quantity]]*tblTransactions[[#This Row],[UnitCost]]</f>
        <v>3021.38</v>
      </c>
      <c r="R520" s="9">
        <f>tblTransactions[[#This Row],[NetRevenue]]-tblTransactions[[#This Row],[TotalCost]]</f>
        <v>139.46399999999994</v>
      </c>
      <c r="S520" t="str">
        <f>_xlfn.XLOOKUP(tblTransactions[[#This Row],[ProductID]],tblProducts[ProductID],tblProducts[Category])</f>
        <v>Clothing</v>
      </c>
    </row>
    <row r="521" spans="1:19">
      <c r="A521" t="s">
        <v>16838</v>
      </c>
      <c r="B521" s="1">
        <v>45512</v>
      </c>
      <c r="C521" t="s">
        <v>11902</v>
      </c>
      <c r="D521" t="str">
        <f>_xlfn.XLOOKUP(tblTransactions[[#This Row],[CustomerID]],tblCustomers[CustomerID],tblCustomers[CustomerName])</f>
        <v>Karan De</v>
      </c>
      <c r="E521" t="s">
        <v>16131</v>
      </c>
      <c r="F521" t="str">
        <f>_xlfn.XLOOKUP(tblTransactions[[#This Row],[ProductID]],tblProducts[ProductID],tblProducts[ProductName])</f>
        <v>Cooking Oil A1</v>
      </c>
      <c r="G521" t="s">
        <v>16275</v>
      </c>
      <c r="H521" t="str">
        <f>_xlfn.XLOOKUP(tblTransactions[[#This Row],[StoreID]],tblStores[StoreID],tblStores[Region])</f>
        <v>South</v>
      </c>
      <c r="I521">
        <v>1</v>
      </c>
      <c r="J521">
        <v>0.1</v>
      </c>
      <c r="K521" t="s">
        <v>16315</v>
      </c>
      <c r="L521" s="9">
        <f>_xlfn.XLOOKUP(tblTransactions[[#This Row],[ProductID]],tblProducts[ProductID],tblProducts[UnitPrice])</f>
        <v>587.35</v>
      </c>
      <c r="M521" s="9">
        <f>tblTransactions[[#This Row],[Quantity]]*tblTransactions[[#This Row],[UnitPrice]]</f>
        <v>587.35</v>
      </c>
      <c r="N521" s="9">
        <f>tblTransactions[[#This Row],[GrossSales]]*tblTransactions[[#This Row],[Discount]]</f>
        <v>58.735000000000007</v>
      </c>
      <c r="O521" s="9">
        <f>tblTransactions[[#This Row],[GrossSales]]-tblTransactions[[#This Row],[DiscountAmount]]</f>
        <v>528.61500000000001</v>
      </c>
      <c r="P521" s="9">
        <f>_xlfn.XLOOKUP(tblTransactions[[#This Row],[ProductID]],tblProducts[ProductID],tblProducts[UnitCost])</f>
        <v>438.09</v>
      </c>
      <c r="Q521" s="9">
        <f>tblTransactions[[#This Row],[Quantity]]*tblTransactions[[#This Row],[UnitCost]]</f>
        <v>438.09</v>
      </c>
      <c r="R521" s="9">
        <f>tblTransactions[[#This Row],[NetRevenue]]-tblTransactions[[#This Row],[TotalCost]]</f>
        <v>90.525000000000034</v>
      </c>
      <c r="S521" t="str">
        <f>_xlfn.XLOOKUP(tblTransactions[[#This Row],[ProductID]],tblProducts[ProductID],tblProducts[Category])</f>
        <v>Grocery</v>
      </c>
    </row>
    <row r="522" spans="1:19">
      <c r="A522" t="s">
        <v>16839</v>
      </c>
      <c r="B522" s="1">
        <v>45514</v>
      </c>
      <c r="C522" t="s">
        <v>13387</v>
      </c>
      <c r="D522" t="str">
        <f>_xlfn.XLOOKUP(tblTransactions[[#This Row],[CustomerID]],tblCustomers[CustomerID],tblCustomers[CustomerName])</f>
        <v>Lipika Konda</v>
      </c>
      <c r="E522" t="s">
        <v>16137</v>
      </c>
      <c r="F522" t="str">
        <f>_xlfn.XLOOKUP(tblTransactions[[#This Row],[ProductID]],tblProducts[ProductID],tblProducts[ProductName])</f>
        <v>Sugar C3</v>
      </c>
      <c r="G522" t="s">
        <v>16281</v>
      </c>
      <c r="H522" t="str">
        <f>_xlfn.XLOOKUP(tblTransactions[[#This Row],[StoreID]],tblStores[StoreID],tblStores[Region])</f>
        <v>West</v>
      </c>
      <c r="I522">
        <v>2</v>
      </c>
      <c r="J522">
        <v>0.05</v>
      </c>
      <c r="K522" t="s">
        <v>16325</v>
      </c>
      <c r="L522" s="9">
        <f>_xlfn.XLOOKUP(tblTransactions[[#This Row],[ProductID]],tblProducts[ProductID],tblProducts[UnitPrice])</f>
        <v>1140.1600000000001</v>
      </c>
      <c r="M522" s="9">
        <f>tblTransactions[[#This Row],[Quantity]]*tblTransactions[[#This Row],[UnitPrice]]</f>
        <v>2280.3200000000002</v>
      </c>
      <c r="N522" s="9">
        <f>tblTransactions[[#This Row],[GrossSales]]*tblTransactions[[#This Row],[Discount]]</f>
        <v>114.01600000000002</v>
      </c>
      <c r="O522" s="9">
        <f>tblTransactions[[#This Row],[GrossSales]]-tblTransactions[[#This Row],[DiscountAmount]]</f>
        <v>2166.3040000000001</v>
      </c>
      <c r="P522" s="9">
        <f>_xlfn.XLOOKUP(tblTransactions[[#This Row],[ProductID]],tblProducts[ProductID],tblProducts[UnitCost])</f>
        <v>763.74</v>
      </c>
      <c r="Q522" s="9">
        <f>tblTransactions[[#This Row],[Quantity]]*tblTransactions[[#This Row],[UnitCost]]</f>
        <v>1527.48</v>
      </c>
      <c r="R522" s="9">
        <f>tblTransactions[[#This Row],[NetRevenue]]-tblTransactions[[#This Row],[TotalCost]]</f>
        <v>638.82400000000007</v>
      </c>
      <c r="S522" t="str">
        <f>_xlfn.XLOOKUP(tblTransactions[[#This Row],[ProductID]],tblProducts[ProductID],tblProducts[Category])</f>
        <v>Grocery</v>
      </c>
    </row>
    <row r="523" spans="1:19">
      <c r="A523" t="s">
        <v>16840</v>
      </c>
      <c r="B523" s="1">
        <v>45514</v>
      </c>
      <c r="C523" t="s">
        <v>14465</v>
      </c>
      <c r="D523" t="str">
        <f>_xlfn.XLOOKUP(tblTransactions[[#This Row],[CustomerID]],tblCustomers[CustomerID],tblCustomers[CustomerName])</f>
        <v>Dalaja Karan</v>
      </c>
      <c r="E523" t="s">
        <v>16015</v>
      </c>
      <c r="F523" t="str">
        <f>_xlfn.XLOOKUP(tblTransactions[[#This Row],[ProductID]],tblProducts[ProductID],tblProducts[ProductName])</f>
        <v>Electric Kettle C3</v>
      </c>
      <c r="G523" t="s">
        <v>16291</v>
      </c>
      <c r="H523" t="str">
        <f>_xlfn.XLOOKUP(tblTransactions[[#This Row],[StoreID]],tblStores[StoreID],tblStores[Region])</f>
        <v>South</v>
      </c>
      <c r="I523">
        <v>1</v>
      </c>
      <c r="J523">
        <v>0.05</v>
      </c>
      <c r="K523" t="s">
        <v>16317</v>
      </c>
      <c r="L523" s="9">
        <f>_xlfn.XLOOKUP(tblTransactions[[#This Row],[ProductID]],tblProducts[ProductID],tblProducts[UnitPrice])</f>
        <v>11511.46</v>
      </c>
      <c r="M523" s="9">
        <f>tblTransactions[[#This Row],[Quantity]]*tblTransactions[[#This Row],[UnitPrice]]</f>
        <v>11511.46</v>
      </c>
      <c r="N523" s="9">
        <f>tblTransactions[[#This Row],[GrossSales]]*tblTransactions[[#This Row],[Discount]]</f>
        <v>575.57299999999998</v>
      </c>
      <c r="O523" s="9">
        <f>tblTransactions[[#This Row],[GrossSales]]-tblTransactions[[#This Row],[DiscountAmount]]</f>
        <v>10935.886999999999</v>
      </c>
      <c r="P523" s="9">
        <f>_xlfn.XLOOKUP(tblTransactions[[#This Row],[ProductID]],tblProducts[ProductID],tblProducts[UnitCost])</f>
        <v>9046.98</v>
      </c>
      <c r="Q523" s="9">
        <f>tblTransactions[[#This Row],[Quantity]]*tblTransactions[[#This Row],[UnitCost]]</f>
        <v>9046.98</v>
      </c>
      <c r="R523" s="9">
        <f>tblTransactions[[#This Row],[NetRevenue]]-tblTransactions[[#This Row],[TotalCost]]</f>
        <v>1888.9069999999992</v>
      </c>
      <c r="S523" t="str">
        <f>_xlfn.XLOOKUP(tblTransactions[[#This Row],[ProductID]],tblProducts[ProductID],tblProducts[Category])</f>
        <v>Home &amp; Kitchen</v>
      </c>
    </row>
    <row r="524" spans="1:19">
      <c r="A524" t="s">
        <v>16841</v>
      </c>
      <c r="B524" s="1">
        <v>45515</v>
      </c>
      <c r="C524" t="s">
        <v>1286</v>
      </c>
      <c r="D524" t="str">
        <f>_xlfn.XLOOKUP(tblTransactions[[#This Row],[CustomerID]],tblCustomers[CustomerID],tblCustomers[CustomerName])</f>
        <v>Odika Narayanan</v>
      </c>
      <c r="E524" t="s">
        <v>16127</v>
      </c>
      <c r="F524" t="str">
        <f>_xlfn.XLOOKUP(tblTransactions[[#This Row],[ProductID]],tblProducts[ProductID],tblProducts[ProductName])</f>
        <v>Sports Shoes A6</v>
      </c>
      <c r="G524" t="s">
        <v>16289</v>
      </c>
      <c r="H524" t="str">
        <f>_xlfn.XLOOKUP(tblTransactions[[#This Row],[StoreID]],tblStores[StoreID],tblStores[Region])</f>
        <v>South</v>
      </c>
      <c r="I524">
        <v>1</v>
      </c>
      <c r="J524">
        <v>0.05</v>
      </c>
      <c r="K524" t="s">
        <v>16315</v>
      </c>
      <c r="L524" s="9">
        <f>_xlfn.XLOOKUP(tblTransactions[[#This Row],[ProductID]],tblProducts[ProductID],tblProducts[UnitPrice])</f>
        <v>4565.2299999999996</v>
      </c>
      <c r="M524" s="9">
        <f>tblTransactions[[#This Row],[Quantity]]*tblTransactions[[#This Row],[UnitPrice]]</f>
        <v>4565.2299999999996</v>
      </c>
      <c r="N524" s="9">
        <f>tblTransactions[[#This Row],[GrossSales]]*tblTransactions[[#This Row],[Discount]]</f>
        <v>228.26149999999998</v>
      </c>
      <c r="O524" s="9">
        <f>tblTransactions[[#This Row],[GrossSales]]-tblTransactions[[#This Row],[DiscountAmount]]</f>
        <v>4336.9684999999999</v>
      </c>
      <c r="P524" s="9">
        <f>_xlfn.XLOOKUP(tblTransactions[[#This Row],[ProductID]],tblProducts[ProductID],tblProducts[UnitCost])</f>
        <v>3658.34</v>
      </c>
      <c r="Q524" s="9">
        <f>tblTransactions[[#This Row],[Quantity]]*tblTransactions[[#This Row],[UnitCost]]</f>
        <v>3658.34</v>
      </c>
      <c r="R524" s="9">
        <f>tblTransactions[[#This Row],[NetRevenue]]-tblTransactions[[#This Row],[TotalCost]]</f>
        <v>678.6284999999998</v>
      </c>
      <c r="S524" t="str">
        <f>_xlfn.XLOOKUP(tblTransactions[[#This Row],[ProductID]],tblProducts[ProductID],tblProducts[Category])</f>
        <v>Clothing</v>
      </c>
    </row>
    <row r="525" spans="1:19">
      <c r="A525" t="s">
        <v>16842</v>
      </c>
      <c r="B525" s="1">
        <v>45515</v>
      </c>
      <c r="C525" t="s">
        <v>1374</v>
      </c>
      <c r="D525" t="str">
        <f>_xlfn.XLOOKUP(tblTransactions[[#This Row],[CustomerID]],tblCustomers[CustomerID],tblCustomers[CustomerName])</f>
        <v>Devansh Bhasin</v>
      </c>
      <c r="E525" t="s">
        <v>16095</v>
      </c>
      <c r="F525" t="str">
        <f>_xlfn.XLOOKUP(tblTransactions[[#This Row],[ProductID]],tblProducts[ProductID],tblProducts[ProductName])</f>
        <v>Women's Jeans E5</v>
      </c>
      <c r="G525" t="s">
        <v>16295</v>
      </c>
      <c r="H525" t="str">
        <f>_xlfn.XLOOKUP(tblTransactions[[#This Row],[StoreID]],tblStores[StoreID],tblStores[Region])</f>
        <v>South</v>
      </c>
      <c r="I525">
        <v>1</v>
      </c>
      <c r="J525">
        <v>0.15</v>
      </c>
      <c r="K525" t="s">
        <v>16317</v>
      </c>
      <c r="L525" s="9">
        <f>_xlfn.XLOOKUP(tblTransactions[[#This Row],[ProductID]],tblProducts[ProductID],tblProducts[UnitPrice])</f>
        <v>909.72</v>
      </c>
      <c r="M525" s="9">
        <f>tblTransactions[[#This Row],[Quantity]]*tblTransactions[[#This Row],[UnitPrice]]</f>
        <v>909.72</v>
      </c>
      <c r="N525" s="9">
        <f>tblTransactions[[#This Row],[GrossSales]]*tblTransactions[[#This Row],[Discount]]</f>
        <v>136.458</v>
      </c>
      <c r="O525" s="9">
        <f>tblTransactions[[#This Row],[GrossSales]]-tblTransactions[[#This Row],[DiscountAmount]]</f>
        <v>773.26200000000006</v>
      </c>
      <c r="P525" s="9">
        <f>_xlfn.XLOOKUP(tblTransactions[[#This Row],[ProductID]],tblProducts[ProductID],tblProducts[UnitCost])</f>
        <v>546.83000000000004</v>
      </c>
      <c r="Q525" s="9">
        <f>tblTransactions[[#This Row],[Quantity]]*tblTransactions[[#This Row],[UnitCost]]</f>
        <v>546.83000000000004</v>
      </c>
      <c r="R525" s="9">
        <f>tblTransactions[[#This Row],[NetRevenue]]-tblTransactions[[#This Row],[TotalCost]]</f>
        <v>226.43200000000002</v>
      </c>
      <c r="S525" t="str">
        <f>_xlfn.XLOOKUP(tblTransactions[[#This Row],[ProductID]],tblProducts[ProductID],tblProducts[Category])</f>
        <v>Clothing</v>
      </c>
    </row>
    <row r="526" spans="1:19">
      <c r="A526" t="s">
        <v>16843</v>
      </c>
      <c r="B526" s="1">
        <v>45515</v>
      </c>
      <c r="C526" t="s">
        <v>2395</v>
      </c>
      <c r="D526" t="str">
        <f>_xlfn.XLOOKUP(tblTransactions[[#This Row],[CustomerID]],tblCustomers[CustomerID],tblCustomers[CustomerName])</f>
        <v>Yasti Borde</v>
      </c>
      <c r="E526" t="s">
        <v>16116</v>
      </c>
      <c r="F526" t="str">
        <f>_xlfn.XLOOKUP(tblTransactions[[#This Row],[ProductID]],tblProducts[ProductID],tblProducts[ProductName])</f>
        <v>Sandals A1</v>
      </c>
      <c r="G526" t="s">
        <v>16259</v>
      </c>
      <c r="H526" t="str">
        <f>_xlfn.XLOOKUP(tblTransactions[[#This Row],[StoreID]],tblStores[StoreID],tblStores[Region])</f>
        <v>East</v>
      </c>
      <c r="I526">
        <v>4</v>
      </c>
      <c r="J526">
        <v>0.1</v>
      </c>
      <c r="K526" t="s">
        <v>16319</v>
      </c>
      <c r="L526" s="9">
        <f>_xlfn.XLOOKUP(tblTransactions[[#This Row],[ProductID]],tblProducts[ProductID],tblProducts[UnitPrice])</f>
        <v>7414.77</v>
      </c>
      <c r="M526" s="9">
        <f>tblTransactions[[#This Row],[Quantity]]*tblTransactions[[#This Row],[UnitPrice]]</f>
        <v>29659.08</v>
      </c>
      <c r="N526" s="9">
        <f>tblTransactions[[#This Row],[GrossSales]]*tblTransactions[[#This Row],[Discount]]</f>
        <v>2965.9080000000004</v>
      </c>
      <c r="O526" s="9">
        <f>tblTransactions[[#This Row],[GrossSales]]-tblTransactions[[#This Row],[DiscountAmount]]</f>
        <v>26693.172000000002</v>
      </c>
      <c r="P526" s="9">
        <f>_xlfn.XLOOKUP(tblTransactions[[#This Row],[ProductID]],tblProducts[ProductID],tblProducts[UnitCost])</f>
        <v>4859.1400000000003</v>
      </c>
      <c r="Q526" s="9">
        <f>tblTransactions[[#This Row],[Quantity]]*tblTransactions[[#This Row],[UnitCost]]</f>
        <v>19436.560000000001</v>
      </c>
      <c r="R526" s="9">
        <f>tblTransactions[[#This Row],[NetRevenue]]-tblTransactions[[#This Row],[TotalCost]]</f>
        <v>7256.612000000001</v>
      </c>
      <c r="S526" t="str">
        <f>_xlfn.XLOOKUP(tblTransactions[[#This Row],[ProductID]],tblProducts[ProductID],tblProducts[Category])</f>
        <v>Clothing</v>
      </c>
    </row>
    <row r="527" spans="1:19">
      <c r="A527" t="s">
        <v>16844</v>
      </c>
      <c r="B527" s="1">
        <v>45516</v>
      </c>
      <c r="C527" t="s">
        <v>9245</v>
      </c>
      <c r="D527" t="str">
        <f>_xlfn.XLOOKUP(tblTransactions[[#This Row],[CustomerID]],tblCustomers[CustomerID],tblCustomers[CustomerName])</f>
        <v>Ansh Vohra</v>
      </c>
      <c r="E527" t="s">
        <v>15962</v>
      </c>
      <c r="F527" t="str">
        <f>_xlfn.XLOOKUP(tblTransactions[[#This Row],[ProductID]],tblProducts[ProductID],tblProducts[ProductName])</f>
        <v>Ultrabook A1</v>
      </c>
      <c r="G527" t="s">
        <v>16295</v>
      </c>
      <c r="H527" t="str">
        <f>_xlfn.XLOOKUP(tblTransactions[[#This Row],[StoreID]],tblStores[StoreID],tblStores[Region])</f>
        <v>South</v>
      </c>
      <c r="I527">
        <v>1</v>
      </c>
      <c r="J527">
        <v>0</v>
      </c>
      <c r="K527" t="s">
        <v>16319</v>
      </c>
      <c r="L527" s="9">
        <f>_xlfn.XLOOKUP(tblTransactions[[#This Row],[ProductID]],tblProducts[ProductID],tblProducts[UnitPrice])</f>
        <v>61469.2</v>
      </c>
      <c r="M527" s="9">
        <f>tblTransactions[[#This Row],[Quantity]]*tblTransactions[[#This Row],[UnitPrice]]</f>
        <v>61469.2</v>
      </c>
      <c r="N527" s="9">
        <f>tblTransactions[[#This Row],[GrossSales]]*tblTransactions[[#This Row],[Discount]]</f>
        <v>0</v>
      </c>
      <c r="O527" s="9">
        <f>tblTransactions[[#This Row],[GrossSales]]-tblTransactions[[#This Row],[DiscountAmount]]</f>
        <v>61469.2</v>
      </c>
      <c r="P527" s="9">
        <f>_xlfn.XLOOKUP(tblTransactions[[#This Row],[ProductID]],tblProducts[ProductID],tblProducts[UnitCost])</f>
        <v>39781.99</v>
      </c>
      <c r="Q527" s="9">
        <f>tblTransactions[[#This Row],[Quantity]]*tblTransactions[[#This Row],[UnitCost]]</f>
        <v>39781.99</v>
      </c>
      <c r="R527" s="9">
        <f>tblTransactions[[#This Row],[NetRevenue]]-tblTransactions[[#This Row],[TotalCost]]</f>
        <v>21687.21</v>
      </c>
      <c r="S527" t="str">
        <f>_xlfn.XLOOKUP(tblTransactions[[#This Row],[ProductID]],tblProducts[ProductID],tblProducts[Category])</f>
        <v>Electronics</v>
      </c>
    </row>
    <row r="528" spans="1:19">
      <c r="A528" t="s">
        <v>16845</v>
      </c>
      <c r="B528" s="1">
        <v>45517</v>
      </c>
      <c r="C528" t="s">
        <v>2959</v>
      </c>
      <c r="D528" t="str">
        <f>_xlfn.XLOOKUP(tblTransactions[[#This Row],[CustomerID]],tblCustomers[CustomerID],tblCustomers[CustomerName])</f>
        <v>Ekta Uppal</v>
      </c>
      <c r="E528" t="s">
        <v>16206</v>
      </c>
      <c r="F528" t="str">
        <f>_xlfn.XLOOKUP(tblTransactions[[#This Row],[ProductID]],tblProducts[ProductID],tblProducts[ProductName])</f>
        <v>Moisturizer B7</v>
      </c>
      <c r="G528" t="s">
        <v>16287</v>
      </c>
      <c r="H528" t="str">
        <f>_xlfn.XLOOKUP(tblTransactions[[#This Row],[StoreID]],tblStores[StoreID],tblStores[Region])</f>
        <v>North</v>
      </c>
      <c r="I528">
        <v>1</v>
      </c>
      <c r="J528">
        <v>0.05</v>
      </c>
      <c r="K528" t="s">
        <v>16315</v>
      </c>
      <c r="L528" s="9">
        <f>_xlfn.XLOOKUP(tblTransactions[[#This Row],[ProductID]],tblProducts[ProductID],tblProducts[UnitPrice])</f>
        <v>3285.82</v>
      </c>
      <c r="M528" s="9">
        <f>tblTransactions[[#This Row],[Quantity]]*tblTransactions[[#This Row],[UnitPrice]]</f>
        <v>3285.82</v>
      </c>
      <c r="N528" s="9">
        <f>tblTransactions[[#This Row],[GrossSales]]*tblTransactions[[#This Row],[Discount]]</f>
        <v>164.29100000000003</v>
      </c>
      <c r="O528" s="9">
        <f>tblTransactions[[#This Row],[GrossSales]]-tblTransactions[[#This Row],[DiscountAmount]]</f>
        <v>3121.529</v>
      </c>
      <c r="P528" s="9">
        <f>_xlfn.XLOOKUP(tblTransactions[[#This Row],[ProductID]],tblProducts[ProductID],tblProducts[UnitCost])</f>
        <v>2256.9699999999998</v>
      </c>
      <c r="Q528" s="9">
        <f>tblTransactions[[#This Row],[Quantity]]*tblTransactions[[#This Row],[UnitCost]]</f>
        <v>2256.9699999999998</v>
      </c>
      <c r="R528" s="9">
        <f>tblTransactions[[#This Row],[NetRevenue]]-tblTransactions[[#This Row],[TotalCost]]</f>
        <v>864.5590000000002</v>
      </c>
      <c r="S528" t="str">
        <f>_xlfn.XLOOKUP(tblTransactions[[#This Row],[ProductID]],tblProducts[ProductID],tblProducts[Category])</f>
        <v>Personal Care</v>
      </c>
    </row>
    <row r="529" spans="1:19">
      <c r="A529" t="s">
        <v>16846</v>
      </c>
      <c r="B529" s="1">
        <v>45517</v>
      </c>
      <c r="C529" t="s">
        <v>15347</v>
      </c>
      <c r="D529" t="str">
        <f>_xlfn.XLOOKUP(tblTransactions[[#This Row],[CustomerID]],tblCustomers[CustomerID],tblCustomers[CustomerName])</f>
        <v>Pranit Walla</v>
      </c>
      <c r="E529" t="s">
        <v>15990</v>
      </c>
      <c r="F529" t="str">
        <f>_xlfn.XLOOKUP(tblTransactions[[#This Row],[ProductID]],tblProducts[ProductID],tblProducts[ProductName])</f>
        <v>Earbuds A6</v>
      </c>
      <c r="G529" t="s">
        <v>16256</v>
      </c>
      <c r="H529" t="str">
        <f>_xlfn.XLOOKUP(tblTransactions[[#This Row],[StoreID]],tblStores[StoreID],tblStores[Region])</f>
        <v>East</v>
      </c>
      <c r="I529">
        <v>2</v>
      </c>
      <c r="J529">
        <v>0</v>
      </c>
      <c r="K529" t="s">
        <v>16317</v>
      </c>
      <c r="L529" s="9">
        <f>_xlfn.XLOOKUP(tblTransactions[[#This Row],[ProductID]],tblProducts[ProductID],tblProducts[UnitPrice])</f>
        <v>76019.78</v>
      </c>
      <c r="M529" s="9">
        <f>tblTransactions[[#This Row],[Quantity]]*tblTransactions[[#This Row],[UnitPrice]]</f>
        <v>152039.56</v>
      </c>
      <c r="N529" s="9">
        <f>tblTransactions[[#This Row],[GrossSales]]*tblTransactions[[#This Row],[Discount]]</f>
        <v>0</v>
      </c>
      <c r="O529" s="9">
        <f>tblTransactions[[#This Row],[GrossSales]]-tblTransactions[[#This Row],[DiscountAmount]]</f>
        <v>152039.56</v>
      </c>
      <c r="P529" s="9">
        <f>_xlfn.XLOOKUP(tblTransactions[[#This Row],[ProductID]],tblProducts[ProductID],tblProducts[UnitCost])</f>
        <v>53305.15</v>
      </c>
      <c r="Q529" s="9">
        <f>tblTransactions[[#This Row],[Quantity]]*tblTransactions[[#This Row],[UnitCost]]</f>
        <v>106610.3</v>
      </c>
      <c r="R529" s="9">
        <f>tblTransactions[[#This Row],[NetRevenue]]-tblTransactions[[#This Row],[TotalCost]]</f>
        <v>45429.259999999995</v>
      </c>
      <c r="S529" t="str">
        <f>_xlfn.XLOOKUP(tblTransactions[[#This Row],[ProductID]],tblProducts[ProductID],tblProducts[Category])</f>
        <v>Electronics</v>
      </c>
    </row>
    <row r="530" spans="1:19">
      <c r="A530" t="s">
        <v>16847</v>
      </c>
      <c r="B530" s="1">
        <v>45519</v>
      </c>
      <c r="C530" t="s">
        <v>2765</v>
      </c>
      <c r="D530" t="str">
        <f>_xlfn.XLOOKUP(tblTransactions[[#This Row],[CustomerID]],tblCustomers[CustomerID],tblCustomers[CustomerName])</f>
        <v>Kevin Chopra</v>
      </c>
      <c r="E530" t="s">
        <v>16217</v>
      </c>
      <c r="F530" t="str">
        <f>_xlfn.XLOOKUP(tblTransactions[[#This Row],[ProductID]],tblProducts[ProductID],tblProducts[ProductName])</f>
        <v>Hair Oil E5</v>
      </c>
      <c r="G530" t="s">
        <v>16277</v>
      </c>
      <c r="H530" t="str">
        <f>_xlfn.XLOOKUP(tblTransactions[[#This Row],[StoreID]],tblStores[StoreID],tblStores[Region])</f>
        <v>West</v>
      </c>
      <c r="I530">
        <v>3</v>
      </c>
      <c r="J530">
        <v>0</v>
      </c>
      <c r="K530" t="s">
        <v>16315</v>
      </c>
      <c r="L530" s="9">
        <f>_xlfn.XLOOKUP(tblTransactions[[#This Row],[ProductID]],tblProducts[ProductID],tblProducts[UnitPrice])</f>
        <v>3581.9</v>
      </c>
      <c r="M530" s="9">
        <f>tblTransactions[[#This Row],[Quantity]]*tblTransactions[[#This Row],[UnitPrice]]</f>
        <v>10745.7</v>
      </c>
      <c r="N530" s="9">
        <f>tblTransactions[[#This Row],[GrossSales]]*tblTransactions[[#This Row],[Discount]]</f>
        <v>0</v>
      </c>
      <c r="O530" s="9">
        <f>tblTransactions[[#This Row],[GrossSales]]-tblTransactions[[#This Row],[DiscountAmount]]</f>
        <v>10745.7</v>
      </c>
      <c r="P530" s="9">
        <f>_xlfn.XLOOKUP(tblTransactions[[#This Row],[ProductID]],tblProducts[ProductID],tblProducts[UnitCost])</f>
        <v>2770.12</v>
      </c>
      <c r="Q530" s="9">
        <f>tblTransactions[[#This Row],[Quantity]]*tblTransactions[[#This Row],[UnitCost]]</f>
        <v>8310.36</v>
      </c>
      <c r="R530" s="9">
        <f>tblTransactions[[#This Row],[NetRevenue]]-tblTransactions[[#This Row],[TotalCost]]</f>
        <v>2435.34</v>
      </c>
      <c r="S530" t="str">
        <f>_xlfn.XLOOKUP(tblTransactions[[#This Row],[ProductID]],tblProducts[ProductID],tblProducts[Category])</f>
        <v>Personal Care</v>
      </c>
    </row>
    <row r="531" spans="1:19">
      <c r="A531" t="s">
        <v>16848</v>
      </c>
      <c r="B531" s="1">
        <v>45519</v>
      </c>
      <c r="C531" t="s">
        <v>4433</v>
      </c>
      <c r="D531" t="str">
        <f>_xlfn.XLOOKUP(tblTransactions[[#This Row],[CustomerID]],tblCustomers[CustomerID],tblCustomers[CustomerName])</f>
        <v>Kavya Chowdhury</v>
      </c>
      <c r="E531" t="s">
        <v>16034</v>
      </c>
      <c r="F531" t="str">
        <f>_xlfn.XLOOKUP(tblTransactions[[#This Row],[ProductID]],tblProducts[ProductID],tblProducts[ProductName])</f>
        <v>Bookshelf E5</v>
      </c>
      <c r="G531" t="s">
        <v>16262</v>
      </c>
      <c r="H531" t="str">
        <f>_xlfn.XLOOKUP(tblTransactions[[#This Row],[StoreID]],tblStores[StoreID],tblStores[Region])</f>
        <v>North</v>
      </c>
      <c r="I531">
        <v>1</v>
      </c>
      <c r="J531">
        <v>0.05</v>
      </c>
      <c r="K531" t="s">
        <v>16317</v>
      </c>
      <c r="L531" s="9">
        <f>_xlfn.XLOOKUP(tblTransactions[[#This Row],[ProductID]],tblProducts[ProductID],tblProducts[UnitPrice])</f>
        <v>14006.13</v>
      </c>
      <c r="M531" s="9">
        <f>tblTransactions[[#This Row],[Quantity]]*tblTransactions[[#This Row],[UnitPrice]]</f>
        <v>14006.13</v>
      </c>
      <c r="N531" s="9">
        <f>tblTransactions[[#This Row],[GrossSales]]*tblTransactions[[#This Row],[Discount]]</f>
        <v>700.30650000000003</v>
      </c>
      <c r="O531" s="9">
        <f>tblTransactions[[#This Row],[GrossSales]]-tblTransactions[[#This Row],[DiscountAmount]]</f>
        <v>13305.823499999999</v>
      </c>
      <c r="P531" s="9">
        <f>_xlfn.XLOOKUP(tblTransactions[[#This Row],[ProductID]],tblProducts[ProductID],tblProducts[UnitCost])</f>
        <v>9829.2800000000007</v>
      </c>
      <c r="Q531" s="9">
        <f>tblTransactions[[#This Row],[Quantity]]*tblTransactions[[#This Row],[UnitCost]]</f>
        <v>9829.2800000000007</v>
      </c>
      <c r="R531" s="9">
        <f>tblTransactions[[#This Row],[NetRevenue]]-tblTransactions[[#This Row],[TotalCost]]</f>
        <v>3476.5434999999979</v>
      </c>
      <c r="S531" t="str">
        <f>_xlfn.XLOOKUP(tblTransactions[[#This Row],[ProductID]],tblProducts[ProductID],tblProducts[Category])</f>
        <v>Home &amp; Kitchen</v>
      </c>
    </row>
    <row r="532" spans="1:19">
      <c r="A532" t="s">
        <v>16849</v>
      </c>
      <c r="B532" s="1">
        <v>45519</v>
      </c>
      <c r="C532" t="s">
        <v>9182</v>
      </c>
      <c r="D532" t="str">
        <f>_xlfn.XLOOKUP(tblTransactions[[#This Row],[CustomerID]],tblCustomers[CustomerID],tblCustomers[CustomerName])</f>
        <v>Hemal Rama</v>
      </c>
      <c r="E532" t="s">
        <v>16206</v>
      </c>
      <c r="F532" t="str">
        <f>_xlfn.XLOOKUP(tblTransactions[[#This Row],[ProductID]],tblProducts[ProductID],tblProducts[ProductName])</f>
        <v>Moisturizer B7</v>
      </c>
      <c r="G532" t="s">
        <v>16289</v>
      </c>
      <c r="H532" t="str">
        <f>_xlfn.XLOOKUP(tblTransactions[[#This Row],[StoreID]],tblStores[StoreID],tblStores[Region])</f>
        <v>South</v>
      </c>
      <c r="I532">
        <v>2</v>
      </c>
      <c r="J532">
        <v>0.05</v>
      </c>
      <c r="K532" t="s">
        <v>16315</v>
      </c>
      <c r="L532" s="9">
        <f>_xlfn.XLOOKUP(tblTransactions[[#This Row],[ProductID]],tblProducts[ProductID],tblProducts[UnitPrice])</f>
        <v>3285.82</v>
      </c>
      <c r="M532" s="9">
        <f>tblTransactions[[#This Row],[Quantity]]*tblTransactions[[#This Row],[UnitPrice]]</f>
        <v>6571.64</v>
      </c>
      <c r="N532" s="9">
        <f>tblTransactions[[#This Row],[GrossSales]]*tblTransactions[[#This Row],[Discount]]</f>
        <v>328.58200000000005</v>
      </c>
      <c r="O532" s="9">
        <f>tblTransactions[[#This Row],[GrossSales]]-tblTransactions[[#This Row],[DiscountAmount]]</f>
        <v>6243.058</v>
      </c>
      <c r="P532" s="9">
        <f>_xlfn.XLOOKUP(tblTransactions[[#This Row],[ProductID]],tblProducts[ProductID],tblProducts[UnitCost])</f>
        <v>2256.9699999999998</v>
      </c>
      <c r="Q532" s="9">
        <f>tblTransactions[[#This Row],[Quantity]]*tblTransactions[[#This Row],[UnitCost]]</f>
        <v>4513.9399999999996</v>
      </c>
      <c r="R532" s="9">
        <f>tblTransactions[[#This Row],[NetRevenue]]-tblTransactions[[#This Row],[TotalCost]]</f>
        <v>1729.1180000000004</v>
      </c>
      <c r="S532" t="str">
        <f>_xlfn.XLOOKUP(tblTransactions[[#This Row],[ProductID]],tblProducts[ProductID],tblProducts[Category])</f>
        <v>Personal Care</v>
      </c>
    </row>
    <row r="533" spans="1:19">
      <c r="A533" t="s">
        <v>16850</v>
      </c>
      <c r="B533" s="1">
        <v>45520</v>
      </c>
      <c r="C533" t="s">
        <v>6759</v>
      </c>
      <c r="D533" t="str">
        <f>_xlfn.XLOOKUP(tblTransactions[[#This Row],[CustomerID]],tblCustomers[CustomerID],tblCustomers[CustomerName])</f>
        <v>Advika Mittal</v>
      </c>
      <c r="E533" t="s">
        <v>16173</v>
      </c>
      <c r="F533" t="str">
        <f>_xlfn.XLOOKUP(tblTransactions[[#This Row],[ProductID]],tblProducts[ProductID],tblProducts[ProductName])</f>
        <v>Soft Drink A6</v>
      </c>
      <c r="G533" t="s">
        <v>16299</v>
      </c>
      <c r="H533" t="str">
        <f>_xlfn.XLOOKUP(tblTransactions[[#This Row],[StoreID]],tblStores[StoreID],tblStores[Region])</f>
        <v>South</v>
      </c>
      <c r="I533">
        <v>1</v>
      </c>
      <c r="J533">
        <v>0</v>
      </c>
      <c r="K533" t="s">
        <v>16321</v>
      </c>
      <c r="L533" s="9">
        <f>_xlfn.XLOOKUP(tblTransactions[[#This Row],[ProductID]],tblProducts[ProductID],tblProducts[UnitPrice])</f>
        <v>252.55</v>
      </c>
      <c r="M533" s="9">
        <f>tblTransactions[[#This Row],[Quantity]]*tblTransactions[[#This Row],[UnitPrice]]</f>
        <v>252.55</v>
      </c>
      <c r="N533" s="9">
        <f>tblTransactions[[#This Row],[GrossSales]]*tblTransactions[[#This Row],[Discount]]</f>
        <v>0</v>
      </c>
      <c r="O533" s="9">
        <f>tblTransactions[[#This Row],[GrossSales]]-tblTransactions[[#This Row],[DiscountAmount]]</f>
        <v>252.55</v>
      </c>
      <c r="P533" s="9">
        <f>_xlfn.XLOOKUP(tblTransactions[[#This Row],[ProductID]],tblProducts[ProductID],tblProducts[UnitCost])</f>
        <v>170.34</v>
      </c>
      <c r="Q533" s="9">
        <f>tblTransactions[[#This Row],[Quantity]]*tblTransactions[[#This Row],[UnitCost]]</f>
        <v>170.34</v>
      </c>
      <c r="R533" s="9">
        <f>tblTransactions[[#This Row],[NetRevenue]]-tblTransactions[[#This Row],[TotalCost]]</f>
        <v>82.210000000000008</v>
      </c>
      <c r="S533" t="str">
        <f>_xlfn.XLOOKUP(tblTransactions[[#This Row],[ProductID]],tblProducts[ProductID],tblProducts[Category])</f>
        <v>Grocery</v>
      </c>
    </row>
    <row r="534" spans="1:19">
      <c r="A534" t="s">
        <v>16851</v>
      </c>
      <c r="B534" s="1">
        <v>45520</v>
      </c>
      <c r="C534" t="s">
        <v>188</v>
      </c>
      <c r="D534" t="str">
        <f>_xlfn.XLOOKUP(tblTransactions[[#This Row],[CustomerID]],tblCustomers[CustomerID],tblCustomers[CustomerName])</f>
        <v>Girik Khalsa</v>
      </c>
      <c r="E534" t="s">
        <v>16104</v>
      </c>
      <c r="F534" t="str">
        <f>_xlfn.XLOOKUP(tblTransactions[[#This Row],[ProductID]],tblProducts[ProductID],tblProducts[ProductName])</f>
        <v>Kids Jeans B2</v>
      </c>
      <c r="G534" t="s">
        <v>16299</v>
      </c>
      <c r="H534" t="str">
        <f>_xlfn.XLOOKUP(tblTransactions[[#This Row],[StoreID]],tblStores[StoreID],tblStores[Region])</f>
        <v>South</v>
      </c>
      <c r="I534">
        <v>1</v>
      </c>
      <c r="J534">
        <v>0.15</v>
      </c>
      <c r="K534" t="s">
        <v>16317</v>
      </c>
      <c r="L534" s="9">
        <f>_xlfn.XLOOKUP(tblTransactions[[#This Row],[ProductID]],tblProducts[ProductID],tblProducts[UnitPrice])</f>
        <v>5613.98</v>
      </c>
      <c r="M534" s="9">
        <f>tblTransactions[[#This Row],[Quantity]]*tblTransactions[[#This Row],[UnitPrice]]</f>
        <v>5613.98</v>
      </c>
      <c r="N534" s="9">
        <f>tblTransactions[[#This Row],[GrossSales]]*tblTransactions[[#This Row],[Discount]]</f>
        <v>842.09699999999987</v>
      </c>
      <c r="O534" s="9">
        <f>tblTransactions[[#This Row],[GrossSales]]-tblTransactions[[#This Row],[DiscountAmount]]</f>
        <v>4771.8829999999998</v>
      </c>
      <c r="P534" s="9">
        <f>_xlfn.XLOOKUP(tblTransactions[[#This Row],[ProductID]],tblProducts[ProductID],tblProducts[UnitCost])</f>
        <v>3377.41</v>
      </c>
      <c r="Q534" s="9">
        <f>tblTransactions[[#This Row],[Quantity]]*tblTransactions[[#This Row],[UnitCost]]</f>
        <v>3377.41</v>
      </c>
      <c r="R534" s="9">
        <f>tblTransactions[[#This Row],[NetRevenue]]-tblTransactions[[#This Row],[TotalCost]]</f>
        <v>1394.473</v>
      </c>
      <c r="S534" t="str">
        <f>_xlfn.XLOOKUP(tblTransactions[[#This Row],[ProductID]],tblProducts[ProductID],tblProducts[Category])</f>
        <v>Clothing</v>
      </c>
    </row>
    <row r="535" spans="1:19">
      <c r="A535" t="s">
        <v>16852</v>
      </c>
      <c r="B535" s="1">
        <v>45521</v>
      </c>
      <c r="C535" t="s">
        <v>6885</v>
      </c>
      <c r="D535" t="str">
        <f>_xlfn.XLOOKUP(tblTransactions[[#This Row],[CustomerID]],tblCustomers[CustomerID],tblCustomers[CustomerName])</f>
        <v>Baljiwan Bora</v>
      </c>
      <c r="E535" t="s">
        <v>16182</v>
      </c>
      <c r="F535" t="str">
        <f>_xlfn.XLOOKUP(tblTransactions[[#This Row],[ProductID]],tblProducts[ProductID],tblProducts[ProductName])</f>
        <v>Instant Noodles C3</v>
      </c>
      <c r="G535" t="s">
        <v>16295</v>
      </c>
      <c r="H535" t="str">
        <f>_xlfn.XLOOKUP(tblTransactions[[#This Row],[StoreID]],tblStores[StoreID],tblStores[Region])</f>
        <v>South</v>
      </c>
      <c r="I535">
        <v>3</v>
      </c>
      <c r="J535">
        <v>0</v>
      </c>
      <c r="K535" t="s">
        <v>16317</v>
      </c>
      <c r="L535" s="9">
        <f>_xlfn.XLOOKUP(tblTransactions[[#This Row],[ProductID]],tblProducts[ProductID],tblProducts[UnitPrice])</f>
        <v>1499.75</v>
      </c>
      <c r="M535" s="9">
        <f>tblTransactions[[#This Row],[Quantity]]*tblTransactions[[#This Row],[UnitPrice]]</f>
        <v>4499.25</v>
      </c>
      <c r="N535" s="9">
        <f>tblTransactions[[#This Row],[GrossSales]]*tblTransactions[[#This Row],[Discount]]</f>
        <v>0</v>
      </c>
      <c r="O535" s="9">
        <f>tblTransactions[[#This Row],[GrossSales]]-tblTransactions[[#This Row],[DiscountAmount]]</f>
        <v>4499.25</v>
      </c>
      <c r="P535" s="9">
        <f>_xlfn.XLOOKUP(tblTransactions[[#This Row],[ProductID]],tblProducts[ProductID],tblProducts[UnitCost])</f>
        <v>1194.1400000000001</v>
      </c>
      <c r="Q535" s="9">
        <f>tblTransactions[[#This Row],[Quantity]]*tblTransactions[[#This Row],[UnitCost]]</f>
        <v>3582.42</v>
      </c>
      <c r="R535" s="9">
        <f>tblTransactions[[#This Row],[NetRevenue]]-tblTransactions[[#This Row],[TotalCost]]</f>
        <v>916.82999999999993</v>
      </c>
      <c r="S535" t="str">
        <f>_xlfn.XLOOKUP(tblTransactions[[#This Row],[ProductID]],tblProducts[ProductID],tblProducts[Category])</f>
        <v>Grocery</v>
      </c>
    </row>
    <row r="536" spans="1:19">
      <c r="A536" t="s">
        <v>16853</v>
      </c>
      <c r="B536" s="1">
        <v>45521</v>
      </c>
      <c r="C536" t="s">
        <v>11517</v>
      </c>
      <c r="D536" t="str">
        <f>_xlfn.XLOOKUP(tblTransactions[[#This Row],[CustomerID]],tblCustomers[CustomerID],tblCustomers[CustomerName])</f>
        <v>Jhalak Hayer</v>
      </c>
      <c r="E536" t="s">
        <v>15943</v>
      </c>
      <c r="F536" t="str">
        <f>_xlfn.XLOOKUP(tblTransactions[[#This Row],[ProductID]],tblProducts[ProductID],tblProducts[ProductName])</f>
        <v>QLED Smart TV C8</v>
      </c>
      <c r="G536" t="s">
        <v>16262</v>
      </c>
      <c r="H536" t="str">
        <f>_xlfn.XLOOKUP(tblTransactions[[#This Row],[StoreID]],tblStores[StoreID],tblStores[Region])</f>
        <v>North</v>
      </c>
      <c r="I536">
        <v>1</v>
      </c>
      <c r="J536">
        <v>0.1</v>
      </c>
      <c r="K536" t="s">
        <v>16325</v>
      </c>
      <c r="L536" s="9">
        <f>_xlfn.XLOOKUP(tblTransactions[[#This Row],[ProductID]],tblProducts[ProductID],tblProducts[UnitPrice])</f>
        <v>76009.95</v>
      </c>
      <c r="M536" s="9">
        <f>tblTransactions[[#This Row],[Quantity]]*tblTransactions[[#This Row],[UnitPrice]]</f>
        <v>76009.95</v>
      </c>
      <c r="N536" s="9">
        <f>tblTransactions[[#This Row],[GrossSales]]*tblTransactions[[#This Row],[Discount]]</f>
        <v>7600.9949999999999</v>
      </c>
      <c r="O536" s="9">
        <f>tblTransactions[[#This Row],[GrossSales]]-tblTransactions[[#This Row],[DiscountAmount]]</f>
        <v>68408.955000000002</v>
      </c>
      <c r="P536" s="9">
        <f>_xlfn.XLOOKUP(tblTransactions[[#This Row],[ProductID]],tblProducts[ProductID],tblProducts[UnitCost])</f>
        <v>41916.89</v>
      </c>
      <c r="Q536" s="9">
        <f>tblTransactions[[#This Row],[Quantity]]*tblTransactions[[#This Row],[UnitCost]]</f>
        <v>41916.89</v>
      </c>
      <c r="R536" s="9">
        <f>tblTransactions[[#This Row],[NetRevenue]]-tblTransactions[[#This Row],[TotalCost]]</f>
        <v>26492.065000000002</v>
      </c>
      <c r="S536" t="str">
        <f>_xlfn.XLOOKUP(tblTransactions[[#This Row],[ProductID]],tblProducts[ProductID],tblProducts[Category])</f>
        <v>Electronics</v>
      </c>
    </row>
    <row r="537" spans="1:19">
      <c r="A537" t="s">
        <v>16854</v>
      </c>
      <c r="B537" s="1">
        <v>45521</v>
      </c>
      <c r="C537" t="s">
        <v>13503</v>
      </c>
      <c r="D537" t="str">
        <f>_xlfn.XLOOKUP(tblTransactions[[#This Row],[CustomerID]],tblCustomers[CustomerID],tblCustomers[CustomerName])</f>
        <v>Nihal Nadkarni</v>
      </c>
      <c r="E537" t="s">
        <v>16032</v>
      </c>
      <c r="F537" t="str">
        <f>_xlfn.XLOOKUP(tblTransactions[[#This Row],[ProductID]],tblProducts[ProductID],tblProducts[ProductName])</f>
        <v>Study Table D4</v>
      </c>
      <c r="G537" t="s">
        <v>16293</v>
      </c>
      <c r="H537" t="str">
        <f>_xlfn.XLOOKUP(tblTransactions[[#This Row],[StoreID]],tblStores[StoreID],tblStores[Region])</f>
        <v>South</v>
      </c>
      <c r="I537">
        <v>2</v>
      </c>
      <c r="J537">
        <v>0.05</v>
      </c>
      <c r="K537" t="s">
        <v>16317</v>
      </c>
      <c r="L537" s="9">
        <f>_xlfn.XLOOKUP(tblTransactions[[#This Row],[ProductID]],tblProducts[ProductID],tblProducts[UnitPrice])</f>
        <v>643.36</v>
      </c>
      <c r="M537" s="9">
        <f>tblTransactions[[#This Row],[Quantity]]*tblTransactions[[#This Row],[UnitPrice]]</f>
        <v>1286.72</v>
      </c>
      <c r="N537" s="9">
        <f>tblTransactions[[#This Row],[GrossSales]]*tblTransactions[[#This Row],[Discount]]</f>
        <v>64.335999999999999</v>
      </c>
      <c r="O537" s="9">
        <f>tblTransactions[[#This Row],[GrossSales]]-tblTransactions[[#This Row],[DiscountAmount]]</f>
        <v>1222.384</v>
      </c>
      <c r="P537" s="9">
        <f>_xlfn.XLOOKUP(tblTransactions[[#This Row],[ProductID]],tblProducts[ProductID],tblProducts[UnitCost])</f>
        <v>460.5</v>
      </c>
      <c r="Q537" s="9">
        <f>tblTransactions[[#This Row],[Quantity]]*tblTransactions[[#This Row],[UnitCost]]</f>
        <v>921</v>
      </c>
      <c r="R537" s="9">
        <f>tblTransactions[[#This Row],[NetRevenue]]-tblTransactions[[#This Row],[TotalCost]]</f>
        <v>301.38400000000001</v>
      </c>
      <c r="S537" t="str">
        <f>_xlfn.XLOOKUP(tblTransactions[[#This Row],[ProductID]],tblProducts[ProductID],tblProducts[Category])</f>
        <v>Home &amp; Kitchen</v>
      </c>
    </row>
    <row r="538" spans="1:19">
      <c r="A538" t="s">
        <v>16855</v>
      </c>
      <c r="B538" s="1">
        <v>45524</v>
      </c>
      <c r="C538" t="s">
        <v>10776</v>
      </c>
      <c r="D538" t="str">
        <f>_xlfn.XLOOKUP(tblTransactions[[#This Row],[CustomerID]],tblCustomers[CustomerID],tblCustomers[CustomerName])</f>
        <v>Krishna Anand</v>
      </c>
      <c r="E538" t="s">
        <v>16147</v>
      </c>
      <c r="F538" t="str">
        <f>_xlfn.XLOOKUP(tblTransactions[[#This Row],[ProductID]],tblProducts[ProductID],tblProducts[ProductName])</f>
        <v>Namkeen A1</v>
      </c>
      <c r="G538" t="s">
        <v>16285</v>
      </c>
      <c r="H538" t="str">
        <f>_xlfn.XLOOKUP(tblTransactions[[#This Row],[StoreID]],tblStores[StoreID],tblStores[Region])</f>
        <v>West</v>
      </c>
      <c r="I538">
        <v>1</v>
      </c>
      <c r="J538">
        <v>0.1</v>
      </c>
      <c r="K538" t="s">
        <v>16317</v>
      </c>
      <c r="L538" s="9">
        <f>_xlfn.XLOOKUP(tblTransactions[[#This Row],[ProductID]],tblProducts[ProductID],tblProducts[UnitPrice])</f>
        <v>1282.31</v>
      </c>
      <c r="M538" s="9">
        <f>tblTransactions[[#This Row],[Quantity]]*tblTransactions[[#This Row],[UnitPrice]]</f>
        <v>1282.31</v>
      </c>
      <c r="N538" s="9">
        <f>tblTransactions[[#This Row],[GrossSales]]*tblTransactions[[#This Row],[Discount]]</f>
        <v>128.23099999999999</v>
      </c>
      <c r="O538" s="9">
        <f>tblTransactions[[#This Row],[GrossSales]]-tblTransactions[[#This Row],[DiscountAmount]]</f>
        <v>1154.079</v>
      </c>
      <c r="P538" s="9">
        <f>_xlfn.XLOOKUP(tblTransactions[[#This Row],[ProductID]],tblProducts[ProductID],tblProducts[UnitCost])</f>
        <v>759</v>
      </c>
      <c r="Q538" s="9">
        <f>tblTransactions[[#This Row],[Quantity]]*tblTransactions[[#This Row],[UnitCost]]</f>
        <v>759</v>
      </c>
      <c r="R538" s="9">
        <f>tblTransactions[[#This Row],[NetRevenue]]-tblTransactions[[#This Row],[TotalCost]]</f>
        <v>395.07899999999995</v>
      </c>
      <c r="S538" t="str">
        <f>_xlfn.XLOOKUP(tblTransactions[[#This Row],[ProductID]],tblProducts[ProductID],tblProducts[Category])</f>
        <v>Grocery</v>
      </c>
    </row>
    <row r="539" spans="1:19">
      <c r="A539" t="s">
        <v>16856</v>
      </c>
      <c r="B539" s="1">
        <v>45526</v>
      </c>
      <c r="C539" t="s">
        <v>11468</v>
      </c>
      <c r="D539" t="str">
        <f>_xlfn.XLOOKUP(tblTransactions[[#This Row],[CustomerID]],tblCustomers[CustomerID],tblCustomers[CustomerName])</f>
        <v>Ishwar Bath</v>
      </c>
      <c r="E539" t="s">
        <v>16206</v>
      </c>
      <c r="F539" t="str">
        <f>_xlfn.XLOOKUP(tblTransactions[[#This Row],[ProductID]],tblProducts[ProductID],tblProducts[ProductName])</f>
        <v>Moisturizer B7</v>
      </c>
      <c r="G539" t="s">
        <v>16277</v>
      </c>
      <c r="H539" t="str">
        <f>_xlfn.XLOOKUP(tblTransactions[[#This Row],[StoreID]],tblStores[StoreID],tblStores[Region])</f>
        <v>West</v>
      </c>
      <c r="I539">
        <v>5</v>
      </c>
      <c r="J539">
        <v>0</v>
      </c>
      <c r="K539" t="s">
        <v>16319</v>
      </c>
      <c r="L539" s="9">
        <f>_xlfn.XLOOKUP(tblTransactions[[#This Row],[ProductID]],tblProducts[ProductID],tblProducts[UnitPrice])</f>
        <v>3285.82</v>
      </c>
      <c r="M539" s="9">
        <f>tblTransactions[[#This Row],[Quantity]]*tblTransactions[[#This Row],[UnitPrice]]</f>
        <v>16429.100000000002</v>
      </c>
      <c r="N539" s="9">
        <f>tblTransactions[[#This Row],[GrossSales]]*tblTransactions[[#This Row],[Discount]]</f>
        <v>0</v>
      </c>
      <c r="O539" s="9">
        <f>tblTransactions[[#This Row],[GrossSales]]-tblTransactions[[#This Row],[DiscountAmount]]</f>
        <v>16429.100000000002</v>
      </c>
      <c r="P539" s="9">
        <f>_xlfn.XLOOKUP(tblTransactions[[#This Row],[ProductID]],tblProducts[ProductID],tblProducts[UnitCost])</f>
        <v>2256.9699999999998</v>
      </c>
      <c r="Q539" s="9">
        <f>tblTransactions[[#This Row],[Quantity]]*tblTransactions[[#This Row],[UnitCost]]</f>
        <v>11284.849999999999</v>
      </c>
      <c r="R539" s="9">
        <f>tblTransactions[[#This Row],[NetRevenue]]-tblTransactions[[#This Row],[TotalCost]]</f>
        <v>5144.2500000000036</v>
      </c>
      <c r="S539" t="str">
        <f>_xlfn.XLOOKUP(tblTransactions[[#This Row],[ProductID]],tblProducts[ProductID],tblProducts[Category])</f>
        <v>Personal Care</v>
      </c>
    </row>
    <row r="540" spans="1:19">
      <c r="A540" t="s">
        <v>16857</v>
      </c>
      <c r="B540" s="1">
        <v>45527</v>
      </c>
      <c r="C540" t="s">
        <v>4922</v>
      </c>
      <c r="D540" t="str">
        <f>_xlfn.XLOOKUP(tblTransactions[[#This Row],[CustomerID]],tblCustomers[CustomerID],tblCustomers[CustomerName])</f>
        <v>Ekani Ratti</v>
      </c>
      <c r="E540" t="s">
        <v>16167</v>
      </c>
      <c r="F540" t="str">
        <f>_xlfn.XLOOKUP(tblTransactions[[#This Row],[ProductID]],tblProducts[ProductID],tblProducts[ProductName])</f>
        <v>Coffee C3</v>
      </c>
      <c r="G540" t="s">
        <v>16275</v>
      </c>
      <c r="H540" t="str">
        <f>_xlfn.XLOOKUP(tblTransactions[[#This Row],[StoreID]],tblStores[StoreID],tblStores[Region])</f>
        <v>South</v>
      </c>
      <c r="I540">
        <v>2</v>
      </c>
      <c r="J540">
        <v>0</v>
      </c>
      <c r="K540" t="s">
        <v>16317</v>
      </c>
      <c r="L540" s="9">
        <f>_xlfn.XLOOKUP(tblTransactions[[#This Row],[ProductID]],tblProducts[ProductID],tblProducts[UnitPrice])</f>
        <v>912.62</v>
      </c>
      <c r="M540" s="9">
        <f>tblTransactions[[#This Row],[Quantity]]*tblTransactions[[#This Row],[UnitPrice]]</f>
        <v>1825.24</v>
      </c>
      <c r="N540" s="9">
        <f>tblTransactions[[#This Row],[GrossSales]]*tblTransactions[[#This Row],[Discount]]</f>
        <v>0</v>
      </c>
      <c r="O540" s="9">
        <f>tblTransactions[[#This Row],[GrossSales]]-tblTransactions[[#This Row],[DiscountAmount]]</f>
        <v>1825.24</v>
      </c>
      <c r="P540" s="9">
        <f>_xlfn.XLOOKUP(tblTransactions[[#This Row],[ProductID]],tblProducts[ProductID],tblProducts[UnitCost])</f>
        <v>648.75</v>
      </c>
      <c r="Q540" s="9">
        <f>tblTransactions[[#This Row],[Quantity]]*tblTransactions[[#This Row],[UnitCost]]</f>
        <v>1297.5</v>
      </c>
      <c r="R540" s="9">
        <f>tblTransactions[[#This Row],[NetRevenue]]-tblTransactions[[#This Row],[TotalCost]]</f>
        <v>527.74</v>
      </c>
      <c r="S540" t="str">
        <f>_xlfn.XLOOKUP(tblTransactions[[#This Row],[ProductID]],tblProducts[ProductID],tblProducts[Category])</f>
        <v>Grocery</v>
      </c>
    </row>
    <row r="541" spans="1:19">
      <c r="A541" t="s">
        <v>16858</v>
      </c>
      <c r="B541" s="1">
        <v>45528</v>
      </c>
      <c r="C541" t="s">
        <v>6367</v>
      </c>
      <c r="D541" t="str">
        <f>_xlfn.XLOOKUP(tblTransactions[[#This Row],[CustomerID]],tblCustomers[CustomerID],tblCustomers[CustomerName])</f>
        <v>Indira Pandey</v>
      </c>
      <c r="E541" t="s">
        <v>15950</v>
      </c>
      <c r="F541" t="str">
        <f>_xlfn.XLOOKUP(tblTransactions[[#This Row],[ProductID]],tblProducts[ProductID],tblProducts[ProductName])</f>
        <v>Premium Smartphone C3</v>
      </c>
      <c r="G541" t="s">
        <v>16265</v>
      </c>
      <c r="H541" t="str">
        <f>_xlfn.XLOOKUP(tblTransactions[[#This Row],[StoreID]],tblStores[StoreID],tblStores[Region])</f>
        <v>North</v>
      </c>
      <c r="I541">
        <v>1</v>
      </c>
      <c r="J541">
        <v>0.05</v>
      </c>
      <c r="K541" t="s">
        <v>16319</v>
      </c>
      <c r="L541" s="9">
        <f>_xlfn.XLOOKUP(tblTransactions[[#This Row],[ProductID]],tblProducts[ProductID],tblProducts[UnitPrice])</f>
        <v>14902.07</v>
      </c>
      <c r="M541" s="9">
        <f>tblTransactions[[#This Row],[Quantity]]*tblTransactions[[#This Row],[UnitPrice]]</f>
        <v>14902.07</v>
      </c>
      <c r="N541" s="9">
        <f>tblTransactions[[#This Row],[GrossSales]]*tblTransactions[[#This Row],[Discount]]</f>
        <v>745.10350000000005</v>
      </c>
      <c r="O541" s="9">
        <f>tblTransactions[[#This Row],[GrossSales]]-tblTransactions[[#This Row],[DiscountAmount]]</f>
        <v>14156.9665</v>
      </c>
      <c r="P541" s="9">
        <f>_xlfn.XLOOKUP(tblTransactions[[#This Row],[ProductID]],tblProducts[ProductID],tblProducts[UnitCost])</f>
        <v>9305.33</v>
      </c>
      <c r="Q541" s="9">
        <f>tblTransactions[[#This Row],[Quantity]]*tblTransactions[[#This Row],[UnitCost]]</f>
        <v>9305.33</v>
      </c>
      <c r="R541" s="9">
        <f>tblTransactions[[#This Row],[NetRevenue]]-tblTransactions[[#This Row],[TotalCost]]</f>
        <v>4851.6365000000005</v>
      </c>
      <c r="S541" t="str">
        <f>_xlfn.XLOOKUP(tblTransactions[[#This Row],[ProductID]],tblProducts[ProductID],tblProducts[Category])</f>
        <v>Electronics</v>
      </c>
    </row>
    <row r="542" spans="1:19">
      <c r="A542" t="s">
        <v>16859</v>
      </c>
      <c r="B542" s="1">
        <v>45529</v>
      </c>
      <c r="C542" t="s">
        <v>12277</v>
      </c>
      <c r="D542" t="str">
        <f>_xlfn.XLOOKUP(tblTransactions[[#This Row],[CustomerID]],tblCustomers[CustomerID],tblCustomers[CustomerName])</f>
        <v>Abhimanyu Bedi</v>
      </c>
      <c r="E542" t="s">
        <v>16204</v>
      </c>
      <c r="F542" t="str">
        <f>_xlfn.XLOOKUP(tblTransactions[[#This Row],[ProductID]],tblProducts[ProductID],tblProducts[ProductName])</f>
        <v>Moisturizer A6</v>
      </c>
      <c r="G542" t="s">
        <v>16283</v>
      </c>
      <c r="H542" t="str">
        <f>_xlfn.XLOOKUP(tblTransactions[[#This Row],[StoreID]],tblStores[StoreID],tblStores[Region])</f>
        <v>South</v>
      </c>
      <c r="I542">
        <v>1</v>
      </c>
      <c r="J542">
        <v>0.1</v>
      </c>
      <c r="K542" t="s">
        <v>16317</v>
      </c>
      <c r="L542" s="9">
        <f>_xlfn.XLOOKUP(tblTransactions[[#This Row],[ProductID]],tblProducts[ProductID],tblProducts[UnitPrice])</f>
        <v>1655.17</v>
      </c>
      <c r="M542" s="9">
        <f>tblTransactions[[#This Row],[Quantity]]*tblTransactions[[#This Row],[UnitPrice]]</f>
        <v>1655.17</v>
      </c>
      <c r="N542" s="9">
        <f>tblTransactions[[#This Row],[GrossSales]]*tblTransactions[[#This Row],[Discount]]</f>
        <v>165.51700000000002</v>
      </c>
      <c r="O542" s="9">
        <f>tblTransactions[[#This Row],[GrossSales]]-tblTransactions[[#This Row],[DiscountAmount]]</f>
        <v>1489.653</v>
      </c>
      <c r="P542" s="9">
        <f>_xlfn.XLOOKUP(tblTransactions[[#This Row],[ProductID]],tblProducts[ProductID],tblProducts[UnitCost])</f>
        <v>1375.84</v>
      </c>
      <c r="Q542" s="9">
        <f>tblTransactions[[#This Row],[Quantity]]*tblTransactions[[#This Row],[UnitCost]]</f>
        <v>1375.84</v>
      </c>
      <c r="R542" s="9">
        <f>tblTransactions[[#This Row],[NetRevenue]]-tblTransactions[[#This Row],[TotalCost]]</f>
        <v>113.8130000000001</v>
      </c>
      <c r="S542" t="str">
        <f>_xlfn.XLOOKUP(tblTransactions[[#This Row],[ProductID]],tblProducts[ProductID],tblProducts[Category])</f>
        <v>Personal Care</v>
      </c>
    </row>
    <row r="543" spans="1:19">
      <c r="A543" t="s">
        <v>16860</v>
      </c>
      <c r="B543" s="1">
        <v>45529</v>
      </c>
      <c r="C543" t="s">
        <v>13563</v>
      </c>
      <c r="D543" t="str">
        <f>_xlfn.XLOOKUP(tblTransactions[[#This Row],[CustomerID]],tblCustomers[CustomerID],tblCustomers[CustomerName])</f>
        <v>Oni Yadav</v>
      </c>
      <c r="E543" t="s">
        <v>15950</v>
      </c>
      <c r="F543" t="str">
        <f>_xlfn.XLOOKUP(tblTransactions[[#This Row],[ProductID]],tblProducts[ProductID],tblProducts[ProductName])</f>
        <v>Premium Smartphone C3</v>
      </c>
      <c r="G543" t="s">
        <v>16279</v>
      </c>
      <c r="H543" t="str">
        <f>_xlfn.XLOOKUP(tblTransactions[[#This Row],[StoreID]],tblStores[StoreID],tblStores[Region])</f>
        <v>South</v>
      </c>
      <c r="I543">
        <v>4</v>
      </c>
      <c r="J543">
        <v>0</v>
      </c>
      <c r="K543" t="s">
        <v>16317</v>
      </c>
      <c r="L543" s="9">
        <f>_xlfn.XLOOKUP(tblTransactions[[#This Row],[ProductID]],tblProducts[ProductID],tblProducts[UnitPrice])</f>
        <v>14902.07</v>
      </c>
      <c r="M543" s="9">
        <f>tblTransactions[[#This Row],[Quantity]]*tblTransactions[[#This Row],[UnitPrice]]</f>
        <v>59608.28</v>
      </c>
      <c r="N543" s="9">
        <f>tblTransactions[[#This Row],[GrossSales]]*tblTransactions[[#This Row],[Discount]]</f>
        <v>0</v>
      </c>
      <c r="O543" s="9">
        <f>tblTransactions[[#This Row],[GrossSales]]-tblTransactions[[#This Row],[DiscountAmount]]</f>
        <v>59608.28</v>
      </c>
      <c r="P543" s="9">
        <f>_xlfn.XLOOKUP(tblTransactions[[#This Row],[ProductID]],tblProducts[ProductID],tblProducts[UnitCost])</f>
        <v>9305.33</v>
      </c>
      <c r="Q543" s="9">
        <f>tblTransactions[[#This Row],[Quantity]]*tblTransactions[[#This Row],[UnitCost]]</f>
        <v>37221.32</v>
      </c>
      <c r="R543" s="9">
        <f>tblTransactions[[#This Row],[NetRevenue]]-tblTransactions[[#This Row],[TotalCost]]</f>
        <v>22386.959999999999</v>
      </c>
      <c r="S543" t="str">
        <f>_xlfn.XLOOKUP(tblTransactions[[#This Row],[ProductID]],tblProducts[ProductID],tblProducts[Category])</f>
        <v>Electronics</v>
      </c>
    </row>
    <row r="544" spans="1:19">
      <c r="A544" t="s">
        <v>16861</v>
      </c>
      <c r="B544" s="1">
        <v>45529</v>
      </c>
      <c r="C544" t="s">
        <v>3491</v>
      </c>
      <c r="D544" t="str">
        <f>_xlfn.XLOOKUP(tblTransactions[[#This Row],[CustomerID]],tblCustomers[CustomerID],tblCustomers[CustomerName])</f>
        <v>Turvi Sachdev</v>
      </c>
      <c r="E544" t="s">
        <v>16213</v>
      </c>
      <c r="F544" t="str">
        <f>_xlfn.XLOOKUP(tblTransactions[[#This Row],[ProductID]],tblProducts[ProductID],tblProducts[ProductName])</f>
        <v>Hair Serum C3</v>
      </c>
      <c r="G544" t="s">
        <v>16293</v>
      </c>
      <c r="H544" t="str">
        <f>_xlfn.XLOOKUP(tblTransactions[[#This Row],[StoreID]],tblStores[StoreID],tblStores[Region])</f>
        <v>South</v>
      </c>
      <c r="I544">
        <v>2</v>
      </c>
      <c r="J544">
        <v>0.05</v>
      </c>
      <c r="K544" t="s">
        <v>16325</v>
      </c>
      <c r="L544" s="9">
        <f>_xlfn.XLOOKUP(tblTransactions[[#This Row],[ProductID]],tblProducts[ProductID],tblProducts[UnitPrice])</f>
        <v>4869.55</v>
      </c>
      <c r="M544" s="9">
        <f>tblTransactions[[#This Row],[Quantity]]*tblTransactions[[#This Row],[UnitPrice]]</f>
        <v>9739.1</v>
      </c>
      <c r="N544" s="9">
        <f>tblTransactions[[#This Row],[GrossSales]]*tblTransactions[[#This Row],[Discount]]</f>
        <v>486.95500000000004</v>
      </c>
      <c r="O544" s="9">
        <f>tblTransactions[[#This Row],[GrossSales]]-tblTransactions[[#This Row],[DiscountAmount]]</f>
        <v>9252.1450000000004</v>
      </c>
      <c r="P544" s="9">
        <f>_xlfn.XLOOKUP(tblTransactions[[#This Row],[ProductID]],tblProducts[ProductID],tblProducts[UnitCost])</f>
        <v>3039.73</v>
      </c>
      <c r="Q544" s="9">
        <f>tblTransactions[[#This Row],[Quantity]]*tblTransactions[[#This Row],[UnitCost]]</f>
        <v>6079.46</v>
      </c>
      <c r="R544" s="9">
        <f>tblTransactions[[#This Row],[NetRevenue]]-tblTransactions[[#This Row],[TotalCost]]</f>
        <v>3172.6850000000004</v>
      </c>
      <c r="S544" t="str">
        <f>_xlfn.XLOOKUP(tblTransactions[[#This Row],[ProductID]],tblProducts[ProductID],tblProducts[Category])</f>
        <v>Personal Care</v>
      </c>
    </row>
    <row r="545" spans="1:19">
      <c r="A545" t="s">
        <v>16862</v>
      </c>
      <c r="B545" s="1">
        <v>45530</v>
      </c>
      <c r="C545" t="s">
        <v>9519</v>
      </c>
      <c r="D545" t="str">
        <f>_xlfn.XLOOKUP(tblTransactions[[#This Row],[CustomerID]],tblCustomers[CustomerID],tblCustomers[CustomerName])</f>
        <v>Jonathan Bansal</v>
      </c>
      <c r="E545" t="s">
        <v>16019</v>
      </c>
      <c r="F545" t="str">
        <f>_xlfn.XLOOKUP(tblTransactions[[#This Row],[ProductID]],tblProducts[ProductID],tblProducts[ProductName])</f>
        <v>Microwave Oven E5</v>
      </c>
      <c r="G545" t="s">
        <v>16271</v>
      </c>
      <c r="H545" t="str">
        <f>_xlfn.XLOOKUP(tblTransactions[[#This Row],[StoreID]],tblStores[StoreID],tblStores[Region])</f>
        <v>South</v>
      </c>
      <c r="I545">
        <v>1</v>
      </c>
      <c r="J545">
        <v>0.05</v>
      </c>
      <c r="K545" t="s">
        <v>16321</v>
      </c>
      <c r="L545" s="9">
        <f>_xlfn.XLOOKUP(tblTransactions[[#This Row],[ProductID]],tblProducts[ProductID],tblProducts[UnitPrice])</f>
        <v>22827.119999999999</v>
      </c>
      <c r="M545" s="9">
        <f>tblTransactions[[#This Row],[Quantity]]*tblTransactions[[#This Row],[UnitPrice]]</f>
        <v>22827.119999999999</v>
      </c>
      <c r="N545" s="9">
        <f>tblTransactions[[#This Row],[GrossSales]]*tblTransactions[[#This Row],[Discount]]</f>
        <v>1141.356</v>
      </c>
      <c r="O545" s="9">
        <f>tblTransactions[[#This Row],[GrossSales]]-tblTransactions[[#This Row],[DiscountAmount]]</f>
        <v>21685.763999999999</v>
      </c>
      <c r="P545" s="9">
        <f>_xlfn.XLOOKUP(tblTransactions[[#This Row],[ProductID]],tblProducts[ProductID],tblProducts[UnitCost])</f>
        <v>18264.07</v>
      </c>
      <c r="Q545" s="9">
        <f>tblTransactions[[#This Row],[Quantity]]*tblTransactions[[#This Row],[UnitCost]]</f>
        <v>18264.07</v>
      </c>
      <c r="R545" s="9">
        <f>tblTransactions[[#This Row],[NetRevenue]]-tblTransactions[[#This Row],[TotalCost]]</f>
        <v>3421.6939999999995</v>
      </c>
      <c r="S545" t="str">
        <f>_xlfn.XLOOKUP(tblTransactions[[#This Row],[ProductID]],tblProducts[ProductID],tblProducts[Category])</f>
        <v>Home &amp; Kitchen</v>
      </c>
    </row>
    <row r="546" spans="1:19">
      <c r="A546" t="s">
        <v>16863</v>
      </c>
      <c r="B546" s="1">
        <v>45531</v>
      </c>
      <c r="C546" t="s">
        <v>3946</v>
      </c>
      <c r="D546" t="str">
        <f>_xlfn.XLOOKUP(tblTransactions[[#This Row],[CustomerID]],tblCustomers[CustomerID],tblCustomers[CustomerName])</f>
        <v>Tarak Solanki</v>
      </c>
      <c r="E546" t="s">
        <v>15956</v>
      </c>
      <c r="F546" t="str">
        <f>_xlfn.XLOOKUP(tblTransactions[[#This Row],[ProductID]],tblProducts[ProductID],tblProducts[ProductName])</f>
        <v>Budget Smartphone A6</v>
      </c>
      <c r="G546" t="s">
        <v>16273</v>
      </c>
      <c r="H546" t="str">
        <f>_xlfn.XLOOKUP(tblTransactions[[#This Row],[StoreID]],tblStores[StoreID],tblStores[Region])</f>
        <v>West</v>
      </c>
      <c r="I546">
        <v>3</v>
      </c>
      <c r="J546">
        <v>0</v>
      </c>
      <c r="K546" t="s">
        <v>16317</v>
      </c>
      <c r="L546" s="9">
        <f>_xlfn.XLOOKUP(tblTransactions[[#This Row],[ProductID]],tblProducts[ProductID],tblProducts[UnitPrice])</f>
        <v>9246.34</v>
      </c>
      <c r="M546" s="9">
        <f>tblTransactions[[#This Row],[Quantity]]*tblTransactions[[#This Row],[UnitPrice]]</f>
        <v>27739.02</v>
      </c>
      <c r="N546" s="9">
        <f>tblTransactions[[#This Row],[GrossSales]]*tblTransactions[[#This Row],[Discount]]</f>
        <v>0</v>
      </c>
      <c r="O546" s="9">
        <f>tblTransactions[[#This Row],[GrossSales]]-tblTransactions[[#This Row],[DiscountAmount]]</f>
        <v>27739.02</v>
      </c>
      <c r="P546" s="9">
        <f>_xlfn.XLOOKUP(tblTransactions[[#This Row],[ProductID]],tblProducts[ProductID],tblProducts[UnitCost])</f>
        <v>7613.27</v>
      </c>
      <c r="Q546" s="9">
        <f>tblTransactions[[#This Row],[Quantity]]*tblTransactions[[#This Row],[UnitCost]]</f>
        <v>22839.81</v>
      </c>
      <c r="R546" s="9">
        <f>tblTransactions[[#This Row],[NetRevenue]]-tblTransactions[[#This Row],[TotalCost]]</f>
        <v>4899.2099999999991</v>
      </c>
      <c r="S546" t="str">
        <f>_xlfn.XLOOKUP(tblTransactions[[#This Row],[ProductID]],tblProducts[ProductID],tblProducts[Category])</f>
        <v>Electronics</v>
      </c>
    </row>
    <row r="547" spans="1:19">
      <c r="A547" t="s">
        <v>16864</v>
      </c>
      <c r="B547" s="1">
        <v>45531</v>
      </c>
      <c r="C547" t="s">
        <v>10981</v>
      </c>
      <c r="D547" t="str">
        <f>_xlfn.XLOOKUP(tblTransactions[[#This Row],[CustomerID]],tblCustomers[CustomerID],tblCustomers[CustomerName])</f>
        <v>Zaid Bhargava</v>
      </c>
      <c r="E547" t="s">
        <v>16028</v>
      </c>
      <c r="F547" t="str">
        <f>_xlfn.XLOOKUP(tblTransactions[[#This Row],[ProductID]],tblProducts[ProductID],tblProducts[ProductName])</f>
        <v>Bookshelf B2</v>
      </c>
      <c r="G547" t="s">
        <v>16289</v>
      </c>
      <c r="H547" t="str">
        <f>_xlfn.XLOOKUP(tblTransactions[[#This Row],[StoreID]],tblStores[StoreID],tblStores[Region])</f>
        <v>South</v>
      </c>
      <c r="I547">
        <v>1</v>
      </c>
      <c r="J547">
        <v>0.1</v>
      </c>
      <c r="K547" t="s">
        <v>16317</v>
      </c>
      <c r="L547" s="9">
        <f>_xlfn.XLOOKUP(tblTransactions[[#This Row],[ProductID]],tblProducts[ProductID],tblProducts[UnitPrice])</f>
        <v>11987.07</v>
      </c>
      <c r="M547" s="9">
        <f>tblTransactions[[#This Row],[Quantity]]*tblTransactions[[#This Row],[UnitPrice]]</f>
        <v>11987.07</v>
      </c>
      <c r="N547" s="9">
        <f>tblTransactions[[#This Row],[GrossSales]]*tblTransactions[[#This Row],[Discount]]</f>
        <v>1198.7070000000001</v>
      </c>
      <c r="O547" s="9">
        <f>tblTransactions[[#This Row],[GrossSales]]-tblTransactions[[#This Row],[DiscountAmount]]</f>
        <v>10788.362999999999</v>
      </c>
      <c r="P547" s="9">
        <f>_xlfn.XLOOKUP(tblTransactions[[#This Row],[ProductID]],tblProducts[ProductID],tblProducts[UnitCost])</f>
        <v>8332.57</v>
      </c>
      <c r="Q547" s="9">
        <f>tblTransactions[[#This Row],[Quantity]]*tblTransactions[[#This Row],[UnitCost]]</f>
        <v>8332.57</v>
      </c>
      <c r="R547" s="9">
        <f>tblTransactions[[#This Row],[NetRevenue]]-tblTransactions[[#This Row],[TotalCost]]</f>
        <v>2455.7929999999997</v>
      </c>
      <c r="S547" t="str">
        <f>_xlfn.XLOOKUP(tblTransactions[[#This Row],[ProductID]],tblProducts[ProductID],tblProducts[Category])</f>
        <v>Home &amp; Kitchen</v>
      </c>
    </row>
    <row r="548" spans="1:19">
      <c r="A548" t="s">
        <v>16865</v>
      </c>
      <c r="B548" s="1">
        <v>45532</v>
      </c>
      <c r="C548" t="s">
        <v>2965</v>
      </c>
      <c r="D548" t="str">
        <f>_xlfn.XLOOKUP(tblTransactions[[#This Row],[CustomerID]],tblCustomers[CustomerID],tblCustomers[CustomerName])</f>
        <v>Oliver Nazareth</v>
      </c>
      <c r="E548" t="s">
        <v>16182</v>
      </c>
      <c r="F548" t="str">
        <f>_xlfn.XLOOKUP(tblTransactions[[#This Row],[ProductID]],tblProducts[ProductID],tblProducts[ProductName])</f>
        <v>Instant Noodles C3</v>
      </c>
      <c r="G548" t="s">
        <v>16269</v>
      </c>
      <c r="H548" t="str">
        <f>_xlfn.XLOOKUP(tblTransactions[[#This Row],[StoreID]],tblStores[StoreID],tblStores[Region])</f>
        <v>North</v>
      </c>
      <c r="I548">
        <v>2</v>
      </c>
      <c r="J548">
        <v>0.1</v>
      </c>
      <c r="K548" t="s">
        <v>16325</v>
      </c>
      <c r="L548" s="9">
        <f>_xlfn.XLOOKUP(tblTransactions[[#This Row],[ProductID]],tblProducts[ProductID],tblProducts[UnitPrice])</f>
        <v>1499.75</v>
      </c>
      <c r="M548" s="9">
        <f>tblTransactions[[#This Row],[Quantity]]*tblTransactions[[#This Row],[UnitPrice]]</f>
        <v>2999.5</v>
      </c>
      <c r="N548" s="9">
        <f>tblTransactions[[#This Row],[GrossSales]]*tblTransactions[[#This Row],[Discount]]</f>
        <v>299.95</v>
      </c>
      <c r="O548" s="9">
        <f>tblTransactions[[#This Row],[GrossSales]]-tblTransactions[[#This Row],[DiscountAmount]]</f>
        <v>2699.55</v>
      </c>
      <c r="P548" s="9">
        <f>_xlfn.XLOOKUP(tblTransactions[[#This Row],[ProductID]],tblProducts[ProductID],tblProducts[UnitCost])</f>
        <v>1194.1400000000001</v>
      </c>
      <c r="Q548" s="9">
        <f>tblTransactions[[#This Row],[Quantity]]*tblTransactions[[#This Row],[UnitCost]]</f>
        <v>2388.2800000000002</v>
      </c>
      <c r="R548" s="9">
        <f>tblTransactions[[#This Row],[NetRevenue]]-tblTransactions[[#This Row],[TotalCost]]</f>
        <v>311.27</v>
      </c>
      <c r="S548" t="str">
        <f>_xlfn.XLOOKUP(tblTransactions[[#This Row],[ProductID]],tblProducts[ProductID],tblProducts[Category])</f>
        <v>Grocery</v>
      </c>
    </row>
    <row r="549" spans="1:19">
      <c r="A549" t="s">
        <v>16866</v>
      </c>
      <c r="B549" s="1">
        <v>45534</v>
      </c>
      <c r="C549" t="s">
        <v>3150</v>
      </c>
      <c r="D549" t="str">
        <f>_xlfn.XLOOKUP(tblTransactions[[#This Row],[CustomerID]],tblCustomers[CustomerID],tblCustomers[CustomerName])</f>
        <v>Timothy Bobal</v>
      </c>
      <c r="E549" t="s">
        <v>16068</v>
      </c>
      <c r="F549" t="str">
        <f>_xlfn.XLOOKUP(tblTransactions[[#This Row],[ProductID]],tblProducts[ProductID],tblProducts[ProductName])</f>
        <v>Wall Clock B7</v>
      </c>
      <c r="G549" t="s">
        <v>16305</v>
      </c>
      <c r="H549" t="str">
        <f>_xlfn.XLOOKUP(tblTransactions[[#This Row],[StoreID]],tblStores[StoreID],tblStores[Region])</f>
        <v>South</v>
      </c>
      <c r="I549">
        <v>3</v>
      </c>
      <c r="J549">
        <v>0.05</v>
      </c>
      <c r="K549" t="s">
        <v>16321</v>
      </c>
      <c r="L549" s="9">
        <f>_xlfn.XLOOKUP(tblTransactions[[#This Row],[ProductID]],tblProducts[ProductID],tblProducts[UnitPrice])</f>
        <v>7801.86</v>
      </c>
      <c r="M549" s="9">
        <f>tblTransactions[[#This Row],[Quantity]]*tblTransactions[[#This Row],[UnitPrice]]</f>
        <v>23405.579999999998</v>
      </c>
      <c r="N549" s="9">
        <f>tblTransactions[[#This Row],[GrossSales]]*tblTransactions[[#This Row],[Discount]]</f>
        <v>1170.279</v>
      </c>
      <c r="O549" s="9">
        <f>tblTransactions[[#This Row],[GrossSales]]-tblTransactions[[#This Row],[DiscountAmount]]</f>
        <v>22235.300999999999</v>
      </c>
      <c r="P549" s="9">
        <f>_xlfn.XLOOKUP(tblTransactions[[#This Row],[ProductID]],tblProducts[ProductID],tblProducts[UnitCost])</f>
        <v>5332.9</v>
      </c>
      <c r="Q549" s="9">
        <f>tblTransactions[[#This Row],[Quantity]]*tblTransactions[[#This Row],[UnitCost]]</f>
        <v>15998.699999999999</v>
      </c>
      <c r="R549" s="9">
        <f>tblTransactions[[#This Row],[NetRevenue]]-tblTransactions[[#This Row],[TotalCost]]</f>
        <v>6236.6010000000006</v>
      </c>
      <c r="S549" t="str">
        <f>_xlfn.XLOOKUP(tblTransactions[[#This Row],[ProductID]],tblProducts[ProductID],tblProducts[Category])</f>
        <v>Home &amp; Kitchen</v>
      </c>
    </row>
    <row r="550" spans="1:19">
      <c r="A550" t="s">
        <v>16867</v>
      </c>
      <c r="B550" s="1">
        <v>45534</v>
      </c>
      <c r="C550" t="s">
        <v>14216</v>
      </c>
      <c r="D550" t="str">
        <f>_xlfn.XLOOKUP(tblTransactions[[#This Row],[CustomerID]],tblCustomers[CustomerID],tblCustomers[CustomerName])</f>
        <v>Zilmil Pradhan</v>
      </c>
      <c r="E550" t="s">
        <v>16030</v>
      </c>
      <c r="F550" t="str">
        <f>_xlfn.XLOOKUP(tblTransactions[[#This Row],[ProductID]],tblProducts[ProductID],tblProducts[ProductName])</f>
        <v>Study Table C3</v>
      </c>
      <c r="G550" t="s">
        <v>16275</v>
      </c>
      <c r="H550" t="str">
        <f>_xlfn.XLOOKUP(tblTransactions[[#This Row],[StoreID]],tblStores[StoreID],tblStores[Region])</f>
        <v>South</v>
      </c>
      <c r="I550">
        <v>1</v>
      </c>
      <c r="J550">
        <v>0.1</v>
      </c>
      <c r="K550" t="s">
        <v>16315</v>
      </c>
      <c r="L550" s="9">
        <f>_xlfn.XLOOKUP(tblTransactions[[#This Row],[ProductID]],tblProducts[ProductID],tblProducts[UnitPrice])</f>
        <v>29675.72</v>
      </c>
      <c r="M550" s="9">
        <f>tblTransactions[[#This Row],[Quantity]]*tblTransactions[[#This Row],[UnitPrice]]</f>
        <v>29675.72</v>
      </c>
      <c r="N550" s="9">
        <f>tblTransactions[[#This Row],[GrossSales]]*tblTransactions[[#This Row],[Discount]]</f>
        <v>2967.5720000000001</v>
      </c>
      <c r="O550" s="9">
        <f>tblTransactions[[#This Row],[GrossSales]]-tblTransactions[[#This Row],[DiscountAmount]]</f>
        <v>26708.148000000001</v>
      </c>
      <c r="P550" s="9">
        <f>_xlfn.XLOOKUP(tblTransactions[[#This Row],[ProductID]],tblProducts[ProductID],tblProducts[UnitCost])</f>
        <v>17695.330000000002</v>
      </c>
      <c r="Q550" s="9">
        <f>tblTransactions[[#This Row],[Quantity]]*tblTransactions[[#This Row],[UnitCost]]</f>
        <v>17695.330000000002</v>
      </c>
      <c r="R550" s="9">
        <f>tblTransactions[[#This Row],[NetRevenue]]-tblTransactions[[#This Row],[TotalCost]]</f>
        <v>9012.8179999999993</v>
      </c>
      <c r="S550" t="str">
        <f>_xlfn.XLOOKUP(tblTransactions[[#This Row],[ProductID]],tblProducts[ProductID],tblProducts[Category])</f>
        <v>Home &amp; Kitchen</v>
      </c>
    </row>
    <row r="551" spans="1:19">
      <c r="A551" t="s">
        <v>16868</v>
      </c>
      <c r="B551" s="1">
        <v>45535</v>
      </c>
      <c r="C551" t="s">
        <v>5039</v>
      </c>
      <c r="D551" t="str">
        <f>_xlfn.XLOOKUP(tblTransactions[[#This Row],[CustomerID]],tblCustomers[CustomerID],tblCustomers[CustomerName])</f>
        <v>Prisha Ben</v>
      </c>
      <c r="E551" t="s">
        <v>16208</v>
      </c>
      <c r="F551" t="str">
        <f>_xlfn.XLOOKUP(tblTransactions[[#This Row],[ProductID]],tblProducts[ProductID],tblProducts[ProductName])</f>
        <v>Shampoo A1</v>
      </c>
      <c r="G551" t="s">
        <v>16289</v>
      </c>
      <c r="H551" t="str">
        <f>_xlfn.XLOOKUP(tblTransactions[[#This Row],[StoreID]],tblStores[StoreID],tblStores[Region])</f>
        <v>South</v>
      </c>
      <c r="I551">
        <v>1</v>
      </c>
      <c r="J551">
        <v>0</v>
      </c>
      <c r="K551" t="s">
        <v>16319</v>
      </c>
      <c r="L551" s="9">
        <f>_xlfn.XLOOKUP(tblTransactions[[#This Row],[ProductID]],tblProducts[ProductID],tblProducts[UnitPrice])</f>
        <v>3317.98</v>
      </c>
      <c r="M551" s="9">
        <f>tblTransactions[[#This Row],[Quantity]]*tblTransactions[[#This Row],[UnitPrice]]</f>
        <v>3317.98</v>
      </c>
      <c r="N551" s="9">
        <f>tblTransactions[[#This Row],[GrossSales]]*tblTransactions[[#This Row],[Discount]]</f>
        <v>0</v>
      </c>
      <c r="O551" s="9">
        <f>tblTransactions[[#This Row],[GrossSales]]-tblTransactions[[#This Row],[DiscountAmount]]</f>
        <v>3317.98</v>
      </c>
      <c r="P551" s="9">
        <f>_xlfn.XLOOKUP(tblTransactions[[#This Row],[ProductID]],tblProducts[ProductID],tblProducts[UnitCost])</f>
        <v>2151.56</v>
      </c>
      <c r="Q551" s="9">
        <f>tblTransactions[[#This Row],[Quantity]]*tblTransactions[[#This Row],[UnitCost]]</f>
        <v>2151.56</v>
      </c>
      <c r="R551" s="9">
        <f>tblTransactions[[#This Row],[NetRevenue]]-tblTransactions[[#This Row],[TotalCost]]</f>
        <v>1166.42</v>
      </c>
      <c r="S551" t="str">
        <f>_xlfn.XLOOKUP(tblTransactions[[#This Row],[ProductID]],tblProducts[ProductID],tblProducts[Category])</f>
        <v>Personal Care</v>
      </c>
    </row>
    <row r="552" spans="1:19">
      <c r="A552" t="s">
        <v>16869</v>
      </c>
      <c r="B552" s="1">
        <v>45536</v>
      </c>
      <c r="C552" t="s">
        <v>13252</v>
      </c>
      <c r="D552" t="str">
        <f>_xlfn.XLOOKUP(tblTransactions[[#This Row],[CustomerID]],tblCustomers[CustomerID],tblCustomers[CustomerName])</f>
        <v>Ranveer Banerjee</v>
      </c>
      <c r="E552" t="s">
        <v>16184</v>
      </c>
      <c r="F552" t="str">
        <f>_xlfn.XLOOKUP(tblTransactions[[#This Row],[ProductID]],tblProducts[ProductID],tblProducts[ProductName])</f>
        <v>Instant Noodles D4</v>
      </c>
      <c r="G552" t="s">
        <v>16283</v>
      </c>
      <c r="H552" t="str">
        <f>_xlfn.XLOOKUP(tblTransactions[[#This Row],[StoreID]],tblStores[StoreID],tblStores[Region])</f>
        <v>South</v>
      </c>
      <c r="I552">
        <v>1</v>
      </c>
      <c r="J552">
        <v>0.05</v>
      </c>
      <c r="K552" t="s">
        <v>16315</v>
      </c>
      <c r="L552" s="9">
        <f>_xlfn.XLOOKUP(tblTransactions[[#This Row],[ProductID]],tblProducts[ProductID],tblProducts[UnitPrice])</f>
        <v>400.63</v>
      </c>
      <c r="M552" s="9">
        <f>tblTransactions[[#This Row],[Quantity]]*tblTransactions[[#This Row],[UnitPrice]]</f>
        <v>400.63</v>
      </c>
      <c r="N552" s="9">
        <f>tblTransactions[[#This Row],[GrossSales]]*tblTransactions[[#This Row],[Discount]]</f>
        <v>20.031500000000001</v>
      </c>
      <c r="O552" s="9">
        <f>tblTransactions[[#This Row],[GrossSales]]-tblTransactions[[#This Row],[DiscountAmount]]</f>
        <v>380.5985</v>
      </c>
      <c r="P552" s="9">
        <f>_xlfn.XLOOKUP(tblTransactions[[#This Row],[ProductID]],tblProducts[ProductID],tblProducts[UnitCost])</f>
        <v>222.73</v>
      </c>
      <c r="Q552" s="9">
        <f>tblTransactions[[#This Row],[Quantity]]*tblTransactions[[#This Row],[UnitCost]]</f>
        <v>222.73</v>
      </c>
      <c r="R552" s="9">
        <f>tblTransactions[[#This Row],[NetRevenue]]-tblTransactions[[#This Row],[TotalCost]]</f>
        <v>157.86850000000001</v>
      </c>
      <c r="S552" t="str">
        <f>_xlfn.XLOOKUP(tblTransactions[[#This Row],[ProductID]],tblProducts[ProductID],tblProducts[Category])</f>
        <v>Grocery</v>
      </c>
    </row>
    <row r="553" spans="1:19">
      <c r="A553" t="s">
        <v>16870</v>
      </c>
      <c r="B553" s="1">
        <v>45537</v>
      </c>
      <c r="C553" t="s">
        <v>7952</v>
      </c>
      <c r="D553" t="str">
        <f>_xlfn.XLOOKUP(tblTransactions[[#This Row],[CustomerID]],tblCustomers[CustomerID],tblCustomers[CustomerName])</f>
        <v>Harish Kale</v>
      </c>
      <c r="E553" t="s">
        <v>16055</v>
      </c>
      <c r="F553" t="str">
        <f>_xlfn.XLOOKUP(tblTransactions[[#This Row],[ProductID]],tblProducts[ProductID],tblProducts[ProductName])</f>
        <v>Wall Clock A1</v>
      </c>
      <c r="G553" t="s">
        <v>16283</v>
      </c>
      <c r="H553" t="str">
        <f>_xlfn.XLOOKUP(tblTransactions[[#This Row],[StoreID]],tblStores[StoreID],tblStores[Region])</f>
        <v>South</v>
      </c>
      <c r="I553">
        <v>1</v>
      </c>
      <c r="J553">
        <v>0</v>
      </c>
      <c r="K553" t="s">
        <v>16321</v>
      </c>
      <c r="L553" s="9">
        <f>_xlfn.XLOOKUP(tblTransactions[[#This Row],[ProductID]],tblProducts[ProductID],tblProducts[UnitPrice])</f>
        <v>4187.79</v>
      </c>
      <c r="M553" s="9">
        <f>tblTransactions[[#This Row],[Quantity]]*tblTransactions[[#This Row],[UnitPrice]]</f>
        <v>4187.79</v>
      </c>
      <c r="N553" s="9">
        <f>tblTransactions[[#This Row],[GrossSales]]*tblTransactions[[#This Row],[Discount]]</f>
        <v>0</v>
      </c>
      <c r="O553" s="9">
        <f>tblTransactions[[#This Row],[GrossSales]]-tblTransactions[[#This Row],[DiscountAmount]]</f>
        <v>4187.79</v>
      </c>
      <c r="P553" s="9">
        <f>_xlfn.XLOOKUP(tblTransactions[[#This Row],[ProductID]],tblProducts[ProductID],tblProducts[UnitCost])</f>
        <v>2951.03</v>
      </c>
      <c r="Q553" s="9">
        <f>tblTransactions[[#This Row],[Quantity]]*tblTransactions[[#This Row],[UnitCost]]</f>
        <v>2951.03</v>
      </c>
      <c r="R553" s="9">
        <f>tblTransactions[[#This Row],[NetRevenue]]-tblTransactions[[#This Row],[TotalCost]]</f>
        <v>1236.7599999999998</v>
      </c>
      <c r="S553" t="str">
        <f>_xlfn.XLOOKUP(tblTransactions[[#This Row],[ProductID]],tblProducts[ProductID],tblProducts[Category])</f>
        <v>Home &amp; Kitchen</v>
      </c>
    </row>
    <row r="554" spans="1:19">
      <c r="A554" t="s">
        <v>16871</v>
      </c>
      <c r="B554" s="1">
        <v>45538</v>
      </c>
      <c r="C554" t="s">
        <v>2125</v>
      </c>
      <c r="D554" t="str">
        <f>_xlfn.XLOOKUP(tblTransactions[[#This Row],[CustomerID]],tblCustomers[CustomerID],tblCustomers[CustomerName])</f>
        <v>Nimrat Zachariah</v>
      </c>
      <c r="E554" t="s">
        <v>16093</v>
      </c>
      <c r="F554" t="str">
        <f>_xlfn.XLOOKUP(tblTransactions[[#This Row],[ProductID]],tblProducts[ProductID],tblProducts[ProductName])</f>
        <v>Women's Jeans D4</v>
      </c>
      <c r="G554" t="s">
        <v>16285</v>
      </c>
      <c r="H554" t="str">
        <f>_xlfn.XLOOKUP(tblTransactions[[#This Row],[StoreID]],tblStores[StoreID],tblStores[Region])</f>
        <v>West</v>
      </c>
      <c r="I554">
        <v>2</v>
      </c>
      <c r="J554">
        <v>0.15</v>
      </c>
      <c r="K554" t="s">
        <v>16317</v>
      </c>
      <c r="L554" s="9">
        <f>_xlfn.XLOOKUP(tblTransactions[[#This Row],[ProductID]],tblProducts[ProductID],tblProducts[UnitPrice])</f>
        <v>6178.38</v>
      </c>
      <c r="M554" s="9">
        <f>tblTransactions[[#This Row],[Quantity]]*tblTransactions[[#This Row],[UnitPrice]]</f>
        <v>12356.76</v>
      </c>
      <c r="N554" s="9">
        <f>tblTransactions[[#This Row],[GrossSales]]*tblTransactions[[#This Row],[Discount]]</f>
        <v>1853.5139999999999</v>
      </c>
      <c r="O554" s="9">
        <f>tblTransactions[[#This Row],[GrossSales]]-tblTransactions[[#This Row],[DiscountAmount]]</f>
        <v>10503.246000000001</v>
      </c>
      <c r="P554" s="9">
        <f>_xlfn.XLOOKUP(tblTransactions[[#This Row],[ProductID]],tblProducts[ProductID],tblProducts[UnitCost])</f>
        <v>4740.8599999999997</v>
      </c>
      <c r="Q554" s="9">
        <f>tblTransactions[[#This Row],[Quantity]]*tblTransactions[[#This Row],[UnitCost]]</f>
        <v>9481.7199999999993</v>
      </c>
      <c r="R554" s="9">
        <f>tblTransactions[[#This Row],[NetRevenue]]-tblTransactions[[#This Row],[TotalCost]]</f>
        <v>1021.5260000000017</v>
      </c>
      <c r="S554" t="str">
        <f>_xlfn.XLOOKUP(tblTransactions[[#This Row],[ProductID]],tblProducts[ProductID],tblProducts[Category])</f>
        <v>Clothing</v>
      </c>
    </row>
    <row r="555" spans="1:19">
      <c r="A555" t="s">
        <v>16872</v>
      </c>
      <c r="B555" s="1">
        <v>45539</v>
      </c>
      <c r="C555" t="s">
        <v>14782</v>
      </c>
      <c r="D555" t="str">
        <f>_xlfn.XLOOKUP(tblTransactions[[#This Row],[CustomerID]],tblCustomers[CustomerID],tblCustomers[CustomerName])</f>
        <v>Abhimanyu Prasad</v>
      </c>
      <c r="E555" t="s">
        <v>16082</v>
      </c>
      <c r="F555" t="str">
        <f>_xlfn.XLOOKUP(tblTransactions[[#This Row],[ProductID]],tblProducts[ProductID],tblProducts[ProductName])</f>
        <v>Men's Jacket A6</v>
      </c>
      <c r="G555" t="s">
        <v>16305</v>
      </c>
      <c r="H555" t="str">
        <f>_xlfn.XLOOKUP(tblTransactions[[#This Row],[StoreID]],tblStores[StoreID],tblStores[Region])</f>
        <v>South</v>
      </c>
      <c r="I555">
        <v>1</v>
      </c>
      <c r="J555">
        <v>0.1</v>
      </c>
      <c r="K555" t="s">
        <v>16315</v>
      </c>
      <c r="L555" s="9">
        <f>_xlfn.XLOOKUP(tblTransactions[[#This Row],[ProductID]],tblProducts[ProductID],tblProducts[UnitPrice])</f>
        <v>3718.64</v>
      </c>
      <c r="M555" s="9">
        <f>tblTransactions[[#This Row],[Quantity]]*tblTransactions[[#This Row],[UnitPrice]]</f>
        <v>3718.64</v>
      </c>
      <c r="N555" s="9">
        <f>tblTransactions[[#This Row],[GrossSales]]*tblTransactions[[#This Row],[Discount]]</f>
        <v>371.86400000000003</v>
      </c>
      <c r="O555" s="9">
        <f>tblTransactions[[#This Row],[GrossSales]]-tblTransactions[[#This Row],[DiscountAmount]]</f>
        <v>3346.7759999999998</v>
      </c>
      <c r="P555" s="9">
        <f>_xlfn.XLOOKUP(tblTransactions[[#This Row],[ProductID]],tblProducts[ProductID],tblProducts[UnitCost])</f>
        <v>3021.38</v>
      </c>
      <c r="Q555" s="9">
        <f>tblTransactions[[#This Row],[Quantity]]*tblTransactions[[#This Row],[UnitCost]]</f>
        <v>3021.38</v>
      </c>
      <c r="R555" s="9">
        <f>tblTransactions[[#This Row],[NetRevenue]]-tblTransactions[[#This Row],[TotalCost]]</f>
        <v>325.39599999999973</v>
      </c>
      <c r="S555" t="str">
        <f>_xlfn.XLOOKUP(tblTransactions[[#This Row],[ProductID]],tblProducts[ProductID],tblProducts[Category])</f>
        <v>Clothing</v>
      </c>
    </row>
    <row r="556" spans="1:19">
      <c r="A556" t="s">
        <v>16873</v>
      </c>
      <c r="B556" s="1">
        <v>45541</v>
      </c>
      <c r="C556" t="s">
        <v>13553</v>
      </c>
      <c r="D556" t="str">
        <f>_xlfn.XLOOKUP(tblTransactions[[#This Row],[CustomerID]],tblCustomers[CustomerID],tblCustomers[CustomerName])</f>
        <v>Ubika Krish</v>
      </c>
      <c r="E556" t="s">
        <v>16125</v>
      </c>
      <c r="F556" t="str">
        <f>_xlfn.XLOOKUP(tblTransactions[[#This Row],[ProductID]],tblProducts[ProductID],tblProducts[ProductName])</f>
        <v>Sports Shoes E5</v>
      </c>
      <c r="G556" t="s">
        <v>16262</v>
      </c>
      <c r="H556" t="str">
        <f>_xlfn.XLOOKUP(tblTransactions[[#This Row],[StoreID]],tblStores[StoreID],tblStores[Region])</f>
        <v>North</v>
      </c>
      <c r="I556">
        <v>1</v>
      </c>
      <c r="J556">
        <v>0.1</v>
      </c>
      <c r="K556" t="s">
        <v>16315</v>
      </c>
      <c r="L556" s="9">
        <f>_xlfn.XLOOKUP(tblTransactions[[#This Row],[ProductID]],tblProducts[ProductID],tblProducts[UnitPrice])</f>
        <v>3368.47</v>
      </c>
      <c r="M556" s="9">
        <f>tblTransactions[[#This Row],[Quantity]]*tblTransactions[[#This Row],[UnitPrice]]</f>
        <v>3368.47</v>
      </c>
      <c r="N556" s="9">
        <f>tblTransactions[[#This Row],[GrossSales]]*tblTransactions[[#This Row],[Discount]]</f>
        <v>336.84699999999998</v>
      </c>
      <c r="O556" s="9">
        <f>tblTransactions[[#This Row],[GrossSales]]-tblTransactions[[#This Row],[DiscountAmount]]</f>
        <v>3031.6229999999996</v>
      </c>
      <c r="P556" s="9">
        <f>_xlfn.XLOOKUP(tblTransactions[[#This Row],[ProductID]],tblProducts[ProductID],tblProducts[UnitCost])</f>
        <v>2152.4899999999998</v>
      </c>
      <c r="Q556" s="9">
        <f>tblTransactions[[#This Row],[Quantity]]*tblTransactions[[#This Row],[UnitCost]]</f>
        <v>2152.4899999999998</v>
      </c>
      <c r="R556" s="9">
        <f>tblTransactions[[#This Row],[NetRevenue]]-tblTransactions[[#This Row],[TotalCost]]</f>
        <v>879.13299999999981</v>
      </c>
      <c r="S556" t="str">
        <f>_xlfn.XLOOKUP(tblTransactions[[#This Row],[ProductID]],tblProducts[ProductID],tblProducts[Category])</f>
        <v>Clothing</v>
      </c>
    </row>
    <row r="557" spans="1:19">
      <c r="A557" t="s">
        <v>16874</v>
      </c>
      <c r="B557" s="1">
        <v>45543</v>
      </c>
      <c r="C557" t="s">
        <v>602</v>
      </c>
      <c r="D557" t="str">
        <f>_xlfn.XLOOKUP(tblTransactions[[#This Row],[CustomerID]],tblCustomers[CustomerID],tblCustomers[CustomerName])</f>
        <v>Harini Tripathi</v>
      </c>
      <c r="E557" t="s">
        <v>16234</v>
      </c>
      <c r="F557" t="str">
        <f>_xlfn.XLOOKUP(tblTransactions[[#This Row],[ProductID]],tblProducts[ProductID],tblProducts[ProductName])</f>
        <v>Body Lotion A6</v>
      </c>
      <c r="G557" t="s">
        <v>16295</v>
      </c>
      <c r="H557" t="str">
        <f>_xlfn.XLOOKUP(tblTransactions[[#This Row],[StoreID]],tblStores[StoreID],tblStores[Region])</f>
        <v>South</v>
      </c>
      <c r="I557">
        <v>1</v>
      </c>
      <c r="J557">
        <v>0.05</v>
      </c>
      <c r="K557" t="s">
        <v>16317</v>
      </c>
      <c r="L557" s="9">
        <f>_xlfn.XLOOKUP(tblTransactions[[#This Row],[ProductID]],tblProducts[ProductID],tblProducts[UnitPrice])</f>
        <v>773.2</v>
      </c>
      <c r="M557" s="9">
        <f>tblTransactions[[#This Row],[Quantity]]*tblTransactions[[#This Row],[UnitPrice]]</f>
        <v>773.2</v>
      </c>
      <c r="N557" s="9">
        <f>tblTransactions[[#This Row],[GrossSales]]*tblTransactions[[#This Row],[Discount]]</f>
        <v>38.660000000000004</v>
      </c>
      <c r="O557" s="9">
        <f>tblTransactions[[#This Row],[GrossSales]]-tblTransactions[[#This Row],[DiscountAmount]]</f>
        <v>734.54000000000008</v>
      </c>
      <c r="P557" s="9">
        <f>_xlfn.XLOOKUP(tblTransactions[[#This Row],[ProductID]],tblProducts[ProductID],tblProducts[UnitCost])</f>
        <v>547.09</v>
      </c>
      <c r="Q557" s="9">
        <f>tblTransactions[[#This Row],[Quantity]]*tblTransactions[[#This Row],[UnitCost]]</f>
        <v>547.09</v>
      </c>
      <c r="R557" s="9">
        <f>tblTransactions[[#This Row],[NetRevenue]]-tblTransactions[[#This Row],[TotalCost]]</f>
        <v>187.45000000000005</v>
      </c>
      <c r="S557" t="str">
        <f>_xlfn.XLOOKUP(tblTransactions[[#This Row],[ProductID]],tblProducts[ProductID],tblProducts[Category])</f>
        <v>Personal Care</v>
      </c>
    </row>
    <row r="558" spans="1:19">
      <c r="A558" t="s">
        <v>16875</v>
      </c>
      <c r="B558" s="1">
        <v>45544</v>
      </c>
      <c r="C558" t="s">
        <v>4457</v>
      </c>
      <c r="D558" t="str">
        <f>_xlfn.XLOOKUP(tblTransactions[[#This Row],[CustomerID]],tblCustomers[CustomerID],tblCustomers[CustomerName])</f>
        <v>Bahadurjit Mahal</v>
      </c>
      <c r="E558" t="s">
        <v>16230</v>
      </c>
      <c r="F558" t="str">
        <f>_xlfn.XLOOKUP(tblTransactions[[#This Row],[ProductID]],tblProducts[ProductID],tblProducts[ProductName])</f>
        <v>Body Lotion D4</v>
      </c>
      <c r="G558" t="s">
        <v>16293</v>
      </c>
      <c r="H558" t="str">
        <f>_xlfn.XLOOKUP(tblTransactions[[#This Row],[StoreID]],tblStores[StoreID],tblStores[Region])</f>
        <v>South</v>
      </c>
      <c r="I558">
        <v>2</v>
      </c>
      <c r="J558">
        <v>0</v>
      </c>
      <c r="K558" t="s">
        <v>16321</v>
      </c>
      <c r="L558" s="9">
        <f>_xlfn.XLOOKUP(tblTransactions[[#This Row],[ProductID]],tblProducts[ProductID],tblProducts[UnitPrice])</f>
        <v>3205.72</v>
      </c>
      <c r="M558" s="9">
        <f>tblTransactions[[#This Row],[Quantity]]*tblTransactions[[#This Row],[UnitPrice]]</f>
        <v>6411.44</v>
      </c>
      <c r="N558" s="9">
        <f>tblTransactions[[#This Row],[GrossSales]]*tblTransactions[[#This Row],[Discount]]</f>
        <v>0</v>
      </c>
      <c r="O558" s="9">
        <f>tblTransactions[[#This Row],[GrossSales]]-tblTransactions[[#This Row],[DiscountAmount]]</f>
        <v>6411.44</v>
      </c>
      <c r="P558" s="9">
        <f>_xlfn.XLOOKUP(tblTransactions[[#This Row],[ProductID]],tblProducts[ProductID],tblProducts[UnitCost])</f>
        <v>2167.94</v>
      </c>
      <c r="Q558" s="9">
        <f>tblTransactions[[#This Row],[Quantity]]*tblTransactions[[#This Row],[UnitCost]]</f>
        <v>4335.88</v>
      </c>
      <c r="R558" s="9">
        <f>tblTransactions[[#This Row],[NetRevenue]]-tblTransactions[[#This Row],[TotalCost]]</f>
        <v>2075.5599999999995</v>
      </c>
      <c r="S558" t="str">
        <f>_xlfn.XLOOKUP(tblTransactions[[#This Row],[ProductID]],tblProducts[ProductID],tblProducts[Category])</f>
        <v>Personal Care</v>
      </c>
    </row>
    <row r="559" spans="1:19">
      <c r="A559" t="s">
        <v>16876</v>
      </c>
      <c r="B559" s="1">
        <v>45546</v>
      </c>
      <c r="C559" t="s">
        <v>722</v>
      </c>
      <c r="D559" t="str">
        <f>_xlfn.XLOOKUP(tblTransactions[[#This Row],[CustomerID]],tblCustomers[CustomerID],tblCustomers[CustomerName])</f>
        <v>Lipika Setty</v>
      </c>
      <c r="E559" t="s">
        <v>16043</v>
      </c>
      <c r="F559" t="str">
        <f>_xlfn.XLOOKUP(tblTransactions[[#This Row],[ProductID]],tblProducts[ProductID],tblProducts[ProductName])</f>
        <v>Non-stick Pan B2</v>
      </c>
      <c r="G559" t="s">
        <v>16293</v>
      </c>
      <c r="H559" t="str">
        <f>_xlfn.XLOOKUP(tblTransactions[[#This Row],[StoreID]],tblStores[StoreID],tblStores[Region])</f>
        <v>South</v>
      </c>
      <c r="I559">
        <v>2</v>
      </c>
      <c r="J559">
        <v>0</v>
      </c>
      <c r="K559" t="s">
        <v>16317</v>
      </c>
      <c r="L559" s="9">
        <f>_xlfn.XLOOKUP(tblTransactions[[#This Row],[ProductID]],tblProducts[ProductID],tblProducts[UnitPrice])</f>
        <v>17619.849999999999</v>
      </c>
      <c r="M559" s="9">
        <f>tblTransactions[[#This Row],[Quantity]]*tblTransactions[[#This Row],[UnitPrice]]</f>
        <v>35239.699999999997</v>
      </c>
      <c r="N559" s="9">
        <f>tblTransactions[[#This Row],[GrossSales]]*tblTransactions[[#This Row],[Discount]]</f>
        <v>0</v>
      </c>
      <c r="O559" s="9">
        <f>tblTransactions[[#This Row],[GrossSales]]-tblTransactions[[#This Row],[DiscountAmount]]</f>
        <v>35239.699999999997</v>
      </c>
      <c r="P559" s="9">
        <f>_xlfn.XLOOKUP(tblTransactions[[#This Row],[ProductID]],tblProducts[ProductID],tblProducts[UnitCost])</f>
        <v>13837.65</v>
      </c>
      <c r="Q559" s="9">
        <f>tblTransactions[[#This Row],[Quantity]]*tblTransactions[[#This Row],[UnitCost]]</f>
        <v>27675.3</v>
      </c>
      <c r="R559" s="9">
        <f>tblTransactions[[#This Row],[NetRevenue]]-tblTransactions[[#This Row],[TotalCost]]</f>
        <v>7564.3999999999978</v>
      </c>
      <c r="S559" t="str">
        <f>_xlfn.XLOOKUP(tblTransactions[[#This Row],[ProductID]],tblProducts[ProductID],tblProducts[Category])</f>
        <v>Home &amp; Kitchen</v>
      </c>
    </row>
    <row r="560" spans="1:19">
      <c r="A560" t="s">
        <v>16877</v>
      </c>
      <c r="B560" s="1">
        <v>45547</v>
      </c>
      <c r="C560" t="s">
        <v>13969</v>
      </c>
      <c r="D560" t="str">
        <f>_xlfn.XLOOKUP(tblTransactions[[#This Row],[CustomerID]],tblCustomers[CustomerID],tblCustomers[CustomerName])</f>
        <v>Alexander Rajagopalan</v>
      </c>
      <c r="E560" t="s">
        <v>16082</v>
      </c>
      <c r="F560" t="str">
        <f>_xlfn.XLOOKUP(tblTransactions[[#This Row],[ProductID]],tblProducts[ProductID],tblProducts[ProductName])</f>
        <v>Men's Jacket A6</v>
      </c>
      <c r="G560" t="s">
        <v>16287</v>
      </c>
      <c r="H560" t="str">
        <f>_xlfn.XLOOKUP(tblTransactions[[#This Row],[StoreID]],tblStores[StoreID],tblStores[Region])</f>
        <v>North</v>
      </c>
      <c r="I560">
        <v>1</v>
      </c>
      <c r="J560">
        <v>0.15</v>
      </c>
      <c r="K560" t="s">
        <v>16325</v>
      </c>
      <c r="L560" s="9">
        <f>_xlfn.XLOOKUP(tblTransactions[[#This Row],[ProductID]],tblProducts[ProductID],tblProducts[UnitPrice])</f>
        <v>3718.64</v>
      </c>
      <c r="M560" s="9">
        <f>tblTransactions[[#This Row],[Quantity]]*tblTransactions[[#This Row],[UnitPrice]]</f>
        <v>3718.64</v>
      </c>
      <c r="N560" s="9">
        <f>tblTransactions[[#This Row],[GrossSales]]*tblTransactions[[#This Row],[Discount]]</f>
        <v>557.79599999999994</v>
      </c>
      <c r="O560" s="9">
        <f>tblTransactions[[#This Row],[GrossSales]]-tblTransactions[[#This Row],[DiscountAmount]]</f>
        <v>3160.8440000000001</v>
      </c>
      <c r="P560" s="9">
        <f>_xlfn.XLOOKUP(tblTransactions[[#This Row],[ProductID]],tblProducts[ProductID],tblProducts[UnitCost])</f>
        <v>3021.38</v>
      </c>
      <c r="Q560" s="9">
        <f>tblTransactions[[#This Row],[Quantity]]*tblTransactions[[#This Row],[UnitCost]]</f>
        <v>3021.38</v>
      </c>
      <c r="R560" s="9">
        <f>tblTransactions[[#This Row],[NetRevenue]]-tblTransactions[[#This Row],[TotalCost]]</f>
        <v>139.46399999999994</v>
      </c>
      <c r="S560" t="str">
        <f>_xlfn.XLOOKUP(tblTransactions[[#This Row],[ProductID]],tblProducts[ProductID],tblProducts[Category])</f>
        <v>Clothing</v>
      </c>
    </row>
    <row r="561" spans="1:19">
      <c r="A561" t="s">
        <v>16878</v>
      </c>
      <c r="B561" s="1">
        <v>45549</v>
      </c>
      <c r="C561" t="s">
        <v>11729</v>
      </c>
      <c r="D561" t="str">
        <f>_xlfn.XLOOKUP(tblTransactions[[#This Row],[CustomerID]],tblCustomers[CustomerID],tblCustomers[CustomerName])</f>
        <v>Caleb Tailor</v>
      </c>
      <c r="E561" t="s">
        <v>16156</v>
      </c>
      <c r="F561" t="str">
        <f>_xlfn.XLOOKUP(tblTransactions[[#This Row],[ProductID]],tblProducts[ProductID],tblProducts[ProductName])</f>
        <v>Chocolate E5</v>
      </c>
      <c r="G561" t="s">
        <v>16293</v>
      </c>
      <c r="H561" t="str">
        <f>_xlfn.XLOOKUP(tblTransactions[[#This Row],[StoreID]],tblStores[StoreID],tblStores[Region])</f>
        <v>South</v>
      </c>
      <c r="I561">
        <v>3</v>
      </c>
      <c r="J561">
        <v>0.1</v>
      </c>
      <c r="K561" t="s">
        <v>16315</v>
      </c>
      <c r="L561" s="9">
        <f>_xlfn.XLOOKUP(tblTransactions[[#This Row],[ProductID]],tblProducts[ProductID],tblProducts[UnitPrice])</f>
        <v>817.37</v>
      </c>
      <c r="M561" s="9">
        <f>tblTransactions[[#This Row],[Quantity]]*tblTransactions[[#This Row],[UnitPrice]]</f>
        <v>2452.11</v>
      </c>
      <c r="N561" s="9">
        <f>tblTransactions[[#This Row],[GrossSales]]*tblTransactions[[#This Row],[Discount]]</f>
        <v>245.21100000000001</v>
      </c>
      <c r="O561" s="9">
        <f>tblTransactions[[#This Row],[GrossSales]]-tblTransactions[[#This Row],[DiscountAmount]]</f>
        <v>2206.8990000000003</v>
      </c>
      <c r="P561" s="9">
        <f>_xlfn.XLOOKUP(tblTransactions[[#This Row],[ProductID]],tblProducts[ProductID],tblProducts[UnitCost])</f>
        <v>595.03</v>
      </c>
      <c r="Q561" s="9">
        <f>tblTransactions[[#This Row],[Quantity]]*tblTransactions[[#This Row],[UnitCost]]</f>
        <v>1785.09</v>
      </c>
      <c r="R561" s="9">
        <f>tblTransactions[[#This Row],[NetRevenue]]-tblTransactions[[#This Row],[TotalCost]]</f>
        <v>421.80900000000042</v>
      </c>
      <c r="S561" t="str">
        <f>_xlfn.XLOOKUP(tblTransactions[[#This Row],[ProductID]],tblProducts[ProductID],tblProducts[Category])</f>
        <v>Grocery</v>
      </c>
    </row>
    <row r="562" spans="1:19">
      <c r="A562" t="s">
        <v>16879</v>
      </c>
      <c r="B562" s="1">
        <v>45550</v>
      </c>
      <c r="C562" t="s">
        <v>14116</v>
      </c>
      <c r="D562" t="str">
        <f>_xlfn.XLOOKUP(tblTransactions[[#This Row],[CustomerID]],tblCustomers[CustomerID],tblCustomers[CustomerName])</f>
        <v>Vedant Sheth</v>
      </c>
      <c r="E562" t="s">
        <v>16139</v>
      </c>
      <c r="F562" t="str">
        <f>_xlfn.XLOOKUP(tblTransactions[[#This Row],[ProductID]],tblProducts[ProductID],tblProducts[ProductName])</f>
        <v>Cooking Oil D4</v>
      </c>
      <c r="G562" t="s">
        <v>16271</v>
      </c>
      <c r="H562" t="str">
        <f>_xlfn.XLOOKUP(tblTransactions[[#This Row],[StoreID]],tblStores[StoreID],tblStores[Region])</f>
        <v>South</v>
      </c>
      <c r="I562">
        <v>2</v>
      </c>
      <c r="J562">
        <v>0</v>
      </c>
      <c r="K562" t="s">
        <v>16317</v>
      </c>
      <c r="L562" s="9">
        <f>_xlfn.XLOOKUP(tblTransactions[[#This Row],[ProductID]],tblProducts[ProductID],tblProducts[UnitPrice])</f>
        <v>1233.81</v>
      </c>
      <c r="M562" s="9">
        <f>tblTransactions[[#This Row],[Quantity]]*tblTransactions[[#This Row],[UnitPrice]]</f>
        <v>2467.62</v>
      </c>
      <c r="N562" s="9">
        <f>tblTransactions[[#This Row],[GrossSales]]*tblTransactions[[#This Row],[Discount]]</f>
        <v>0</v>
      </c>
      <c r="O562" s="9">
        <f>tblTransactions[[#This Row],[GrossSales]]-tblTransactions[[#This Row],[DiscountAmount]]</f>
        <v>2467.62</v>
      </c>
      <c r="P562" s="9">
        <f>_xlfn.XLOOKUP(tblTransactions[[#This Row],[ProductID]],tblProducts[ProductID],tblProducts[UnitCost])</f>
        <v>944.94</v>
      </c>
      <c r="Q562" s="9">
        <f>tblTransactions[[#This Row],[Quantity]]*tblTransactions[[#This Row],[UnitCost]]</f>
        <v>1889.88</v>
      </c>
      <c r="R562" s="9">
        <f>tblTransactions[[#This Row],[NetRevenue]]-tblTransactions[[#This Row],[TotalCost]]</f>
        <v>577.73999999999978</v>
      </c>
      <c r="S562" t="str">
        <f>_xlfn.XLOOKUP(tblTransactions[[#This Row],[ProductID]],tblProducts[ProductID],tblProducts[Category])</f>
        <v>Grocery</v>
      </c>
    </row>
    <row r="563" spans="1:19">
      <c r="A563" t="s">
        <v>16880</v>
      </c>
      <c r="B563" s="1">
        <v>45550</v>
      </c>
      <c r="C563" t="s">
        <v>3435</v>
      </c>
      <c r="D563" t="str">
        <f>_xlfn.XLOOKUP(tblTransactions[[#This Row],[CustomerID]],tblCustomers[CustomerID],tblCustomers[CustomerName])</f>
        <v>Chandran Chopra</v>
      </c>
      <c r="E563" t="s">
        <v>16251</v>
      </c>
      <c r="F563" t="str">
        <f>_xlfn.XLOOKUP(tblTransactions[[#This Row],[ProductID]],tblProducts[ProductID],tblProducts[ProductName])</f>
        <v>Trimmer B7</v>
      </c>
      <c r="G563" t="s">
        <v>16265</v>
      </c>
      <c r="H563" t="str">
        <f>_xlfn.XLOOKUP(tblTransactions[[#This Row],[StoreID]],tblStores[StoreID],tblStores[Region])</f>
        <v>North</v>
      </c>
      <c r="I563">
        <v>1</v>
      </c>
      <c r="J563">
        <v>0</v>
      </c>
      <c r="K563" t="s">
        <v>16319</v>
      </c>
      <c r="L563" s="9">
        <f>_xlfn.XLOOKUP(tblTransactions[[#This Row],[ProductID]],tblProducts[ProductID],tblProducts[UnitPrice])</f>
        <v>4199.75</v>
      </c>
      <c r="M563" s="9">
        <f>tblTransactions[[#This Row],[Quantity]]*tblTransactions[[#This Row],[UnitPrice]]</f>
        <v>4199.75</v>
      </c>
      <c r="N563" s="9">
        <f>tblTransactions[[#This Row],[GrossSales]]*tblTransactions[[#This Row],[Discount]]</f>
        <v>0</v>
      </c>
      <c r="O563" s="9">
        <f>tblTransactions[[#This Row],[GrossSales]]-tblTransactions[[#This Row],[DiscountAmount]]</f>
        <v>4199.75</v>
      </c>
      <c r="P563" s="9">
        <f>_xlfn.XLOOKUP(tblTransactions[[#This Row],[ProductID]],tblProducts[ProductID],tblProducts[UnitCost])</f>
        <v>2546.5700000000002</v>
      </c>
      <c r="Q563" s="9">
        <f>tblTransactions[[#This Row],[Quantity]]*tblTransactions[[#This Row],[UnitCost]]</f>
        <v>2546.5700000000002</v>
      </c>
      <c r="R563" s="9">
        <f>tblTransactions[[#This Row],[NetRevenue]]-tblTransactions[[#This Row],[TotalCost]]</f>
        <v>1653.1799999999998</v>
      </c>
      <c r="S563" t="str">
        <f>_xlfn.XLOOKUP(tblTransactions[[#This Row],[ProductID]],tblProducts[ProductID],tblProducts[Category])</f>
        <v>Personal Care</v>
      </c>
    </row>
    <row r="564" spans="1:19">
      <c r="A564" t="s">
        <v>16881</v>
      </c>
      <c r="B564" s="1">
        <v>45552</v>
      </c>
      <c r="C564" t="s">
        <v>67</v>
      </c>
      <c r="D564" t="str">
        <f>_xlfn.XLOOKUP(tblTransactions[[#This Row],[CustomerID]],tblCustomers[CustomerID],tblCustomers[CustomerName])</f>
        <v>Janya Gaba</v>
      </c>
      <c r="E564" t="s">
        <v>15931</v>
      </c>
      <c r="F564" t="str">
        <f>_xlfn.XLOOKUP(tblTransactions[[#This Row],[ProductID]],tblProducts[ProductID],tblProducts[ProductName])</f>
        <v>QLED Smart TV B2</v>
      </c>
      <c r="G564" t="s">
        <v>16259</v>
      </c>
      <c r="H564" t="str">
        <f>_xlfn.XLOOKUP(tblTransactions[[#This Row],[StoreID]],tblStores[StoreID],tblStores[Region])</f>
        <v>East</v>
      </c>
      <c r="I564">
        <v>2</v>
      </c>
      <c r="J564">
        <v>0</v>
      </c>
      <c r="K564" t="s">
        <v>16317</v>
      </c>
      <c r="L564" s="9">
        <f>_xlfn.XLOOKUP(tblTransactions[[#This Row],[ProductID]],tblProducts[ProductID],tblProducts[UnitPrice])</f>
        <v>75177.759999999995</v>
      </c>
      <c r="M564" s="9">
        <f>tblTransactions[[#This Row],[Quantity]]*tblTransactions[[#This Row],[UnitPrice]]</f>
        <v>150355.51999999999</v>
      </c>
      <c r="N564" s="9">
        <f>tblTransactions[[#This Row],[GrossSales]]*tblTransactions[[#This Row],[Discount]]</f>
        <v>0</v>
      </c>
      <c r="O564" s="9">
        <f>tblTransactions[[#This Row],[GrossSales]]-tblTransactions[[#This Row],[DiscountAmount]]</f>
        <v>150355.51999999999</v>
      </c>
      <c r="P564" s="9">
        <f>_xlfn.XLOOKUP(tblTransactions[[#This Row],[ProductID]],tblProducts[ProductID],tblProducts[UnitCost])</f>
        <v>51831.839999999997</v>
      </c>
      <c r="Q564" s="9">
        <f>tblTransactions[[#This Row],[Quantity]]*tblTransactions[[#This Row],[UnitCost]]</f>
        <v>103663.67999999999</v>
      </c>
      <c r="R564" s="9">
        <f>tblTransactions[[#This Row],[NetRevenue]]-tblTransactions[[#This Row],[TotalCost]]</f>
        <v>46691.839999999997</v>
      </c>
      <c r="S564" t="str">
        <f>_xlfn.XLOOKUP(tblTransactions[[#This Row],[ProductID]],tblProducts[ProductID],tblProducts[Category])</f>
        <v>Electronics</v>
      </c>
    </row>
    <row r="565" spans="1:19">
      <c r="A565" t="s">
        <v>16882</v>
      </c>
      <c r="B565" s="1">
        <v>45558</v>
      </c>
      <c r="C565" t="s">
        <v>3409</v>
      </c>
      <c r="D565" t="str">
        <f>_xlfn.XLOOKUP(tblTransactions[[#This Row],[CustomerID]],tblCustomers[CustomerID],tblCustomers[CustomerName])</f>
        <v>Oni Morar</v>
      </c>
      <c r="E565" t="s">
        <v>15954</v>
      </c>
      <c r="F565" t="str">
        <f>_xlfn.XLOOKUP(tblTransactions[[#This Row],[ProductID]],tblProducts[ProductID],tblProducts[ProductName])</f>
        <v>5G Smartphone E5</v>
      </c>
      <c r="G565" t="s">
        <v>16299</v>
      </c>
      <c r="H565" t="str">
        <f>_xlfn.XLOOKUP(tblTransactions[[#This Row],[StoreID]],tblStores[StoreID],tblStores[Region])</f>
        <v>South</v>
      </c>
      <c r="I565">
        <v>1</v>
      </c>
      <c r="J565">
        <v>0</v>
      </c>
      <c r="K565" t="s">
        <v>16315</v>
      </c>
      <c r="L565" s="9">
        <f>_xlfn.XLOOKUP(tblTransactions[[#This Row],[ProductID]],tblProducts[ProductID],tblProducts[UnitPrice])</f>
        <v>36179.730000000003</v>
      </c>
      <c r="M565" s="9">
        <f>tblTransactions[[#This Row],[Quantity]]*tblTransactions[[#This Row],[UnitPrice]]</f>
        <v>36179.730000000003</v>
      </c>
      <c r="N565" s="9">
        <f>tblTransactions[[#This Row],[GrossSales]]*tblTransactions[[#This Row],[Discount]]</f>
        <v>0</v>
      </c>
      <c r="O565" s="9">
        <f>tblTransactions[[#This Row],[GrossSales]]-tblTransactions[[#This Row],[DiscountAmount]]</f>
        <v>36179.730000000003</v>
      </c>
      <c r="P565" s="9">
        <f>_xlfn.XLOOKUP(tblTransactions[[#This Row],[ProductID]],tblProducts[ProductID],tblProducts[UnitCost])</f>
        <v>25344.32</v>
      </c>
      <c r="Q565" s="9">
        <f>tblTransactions[[#This Row],[Quantity]]*tblTransactions[[#This Row],[UnitCost]]</f>
        <v>25344.32</v>
      </c>
      <c r="R565" s="9">
        <f>tblTransactions[[#This Row],[NetRevenue]]-tblTransactions[[#This Row],[TotalCost]]</f>
        <v>10835.410000000003</v>
      </c>
      <c r="S565" t="str">
        <f>_xlfn.XLOOKUP(tblTransactions[[#This Row],[ProductID]],tblProducts[ProductID],tblProducts[Category])</f>
        <v>Electronics</v>
      </c>
    </row>
    <row r="566" spans="1:19">
      <c r="A566" t="s">
        <v>16883</v>
      </c>
      <c r="B566" s="1">
        <v>45559</v>
      </c>
      <c r="C566" t="s">
        <v>8683</v>
      </c>
      <c r="D566" t="str">
        <f>_xlfn.XLOOKUP(tblTransactions[[#This Row],[CustomerID]],tblCustomers[CustomerID],tblCustomers[CustomerName])</f>
        <v>Yatan Kalla</v>
      </c>
      <c r="E566" t="s">
        <v>16060</v>
      </c>
      <c r="F566" t="str">
        <f>_xlfn.XLOOKUP(tblTransactions[[#This Row],[ProductID]],tblProducts[ProductID],tblProducts[ProductName])</f>
        <v>Decorative Vase C3</v>
      </c>
      <c r="G566" t="s">
        <v>16275</v>
      </c>
      <c r="H566" t="str">
        <f>_xlfn.XLOOKUP(tblTransactions[[#This Row],[StoreID]],tblStores[StoreID],tblStores[Region])</f>
        <v>South</v>
      </c>
      <c r="I566">
        <v>5</v>
      </c>
      <c r="J566">
        <v>0.1</v>
      </c>
      <c r="K566" t="s">
        <v>16325</v>
      </c>
      <c r="L566" s="9">
        <f>_xlfn.XLOOKUP(tblTransactions[[#This Row],[ProductID]],tblProducts[ProductID],tblProducts[UnitPrice])</f>
        <v>26039.41</v>
      </c>
      <c r="M566" s="9">
        <f>tblTransactions[[#This Row],[Quantity]]*tblTransactions[[#This Row],[UnitPrice]]</f>
        <v>130197.05</v>
      </c>
      <c r="N566" s="9">
        <f>tblTransactions[[#This Row],[GrossSales]]*tblTransactions[[#This Row],[Discount]]</f>
        <v>13019.705000000002</v>
      </c>
      <c r="O566" s="9">
        <f>tblTransactions[[#This Row],[GrossSales]]-tblTransactions[[#This Row],[DiscountAmount]]</f>
        <v>117177.345</v>
      </c>
      <c r="P566" s="9">
        <f>_xlfn.XLOOKUP(tblTransactions[[#This Row],[ProductID]],tblProducts[ProductID],tblProducts[UnitCost])</f>
        <v>20592.23</v>
      </c>
      <c r="Q566" s="9">
        <f>tblTransactions[[#This Row],[Quantity]]*tblTransactions[[#This Row],[UnitCost]]</f>
        <v>102961.15</v>
      </c>
      <c r="R566" s="9">
        <f>tblTransactions[[#This Row],[NetRevenue]]-tblTransactions[[#This Row],[TotalCost]]</f>
        <v>14216.195000000007</v>
      </c>
      <c r="S566" t="str">
        <f>_xlfn.XLOOKUP(tblTransactions[[#This Row],[ProductID]],tblProducts[ProductID],tblProducts[Category])</f>
        <v>Home &amp; Kitchen</v>
      </c>
    </row>
    <row r="567" spans="1:19">
      <c r="A567" t="s">
        <v>16884</v>
      </c>
      <c r="B567" s="1">
        <v>45560</v>
      </c>
      <c r="C567" t="s">
        <v>11805</v>
      </c>
      <c r="D567" t="str">
        <f>_xlfn.XLOOKUP(tblTransactions[[#This Row],[CustomerID]],tblCustomers[CustomerID],tblCustomers[CustomerName])</f>
        <v>Balveer Sama</v>
      </c>
      <c r="E567" t="s">
        <v>16009</v>
      </c>
      <c r="F567" t="str">
        <f>_xlfn.XLOOKUP(tblTransactions[[#This Row],[ProductID]],tblProducts[ProductID],tblProducts[ProductName])</f>
        <v>Mixer Grinder A1</v>
      </c>
      <c r="G567" t="s">
        <v>16256</v>
      </c>
      <c r="H567" t="str">
        <f>_xlfn.XLOOKUP(tblTransactions[[#This Row],[StoreID]],tblStores[StoreID],tblStores[Region])</f>
        <v>East</v>
      </c>
      <c r="I567">
        <v>2</v>
      </c>
      <c r="J567">
        <v>0</v>
      </c>
      <c r="K567" t="s">
        <v>16317</v>
      </c>
      <c r="L567" s="9">
        <f>_xlfn.XLOOKUP(tblTransactions[[#This Row],[ProductID]],tblProducts[ProductID],tblProducts[UnitPrice])</f>
        <v>14732.95</v>
      </c>
      <c r="M567" s="9">
        <f>tblTransactions[[#This Row],[Quantity]]*tblTransactions[[#This Row],[UnitPrice]]</f>
        <v>29465.9</v>
      </c>
      <c r="N567" s="9">
        <f>tblTransactions[[#This Row],[GrossSales]]*tblTransactions[[#This Row],[Discount]]</f>
        <v>0</v>
      </c>
      <c r="O567" s="9">
        <f>tblTransactions[[#This Row],[GrossSales]]-tblTransactions[[#This Row],[DiscountAmount]]</f>
        <v>29465.9</v>
      </c>
      <c r="P567" s="9">
        <f>_xlfn.XLOOKUP(tblTransactions[[#This Row],[ProductID]],tblProducts[ProductID],tblProducts[UnitCost])</f>
        <v>10707.23</v>
      </c>
      <c r="Q567" s="9">
        <f>tblTransactions[[#This Row],[Quantity]]*tblTransactions[[#This Row],[UnitCost]]</f>
        <v>21414.46</v>
      </c>
      <c r="R567" s="9">
        <f>tblTransactions[[#This Row],[NetRevenue]]-tblTransactions[[#This Row],[TotalCost]]</f>
        <v>8051.4400000000023</v>
      </c>
      <c r="S567" t="str">
        <f>_xlfn.XLOOKUP(tblTransactions[[#This Row],[ProductID]],tblProducts[ProductID],tblProducts[Category])</f>
        <v>Home &amp; Kitchen</v>
      </c>
    </row>
    <row r="568" spans="1:19">
      <c r="A568" t="s">
        <v>16885</v>
      </c>
      <c r="B568" s="1">
        <v>45561</v>
      </c>
      <c r="C568" t="s">
        <v>9134</v>
      </c>
      <c r="D568" t="str">
        <f>_xlfn.XLOOKUP(tblTransactions[[#This Row],[CustomerID]],tblCustomers[CustomerID],tblCustomers[CustomerName])</f>
        <v>Zehaan Devan</v>
      </c>
      <c r="E568" t="s">
        <v>15986</v>
      </c>
      <c r="F568" t="str">
        <f>_xlfn.XLOOKUP(tblTransactions[[#This Row],[ProductID]],tblProducts[ProductID],tblProducts[ProductName])</f>
        <v>Soundbar D4</v>
      </c>
      <c r="G568" t="s">
        <v>16277</v>
      </c>
      <c r="H568" t="str">
        <f>_xlfn.XLOOKUP(tblTransactions[[#This Row],[StoreID]],tblStores[StoreID],tblStores[Region])</f>
        <v>West</v>
      </c>
      <c r="I568">
        <v>1</v>
      </c>
      <c r="J568">
        <v>0</v>
      </c>
      <c r="K568" t="s">
        <v>16317</v>
      </c>
      <c r="L568" s="9">
        <f>_xlfn.XLOOKUP(tblTransactions[[#This Row],[ProductID]],tblProducts[ProductID],tblProducts[UnitPrice])</f>
        <v>52004.72</v>
      </c>
      <c r="M568" s="9">
        <f>tblTransactions[[#This Row],[Quantity]]*tblTransactions[[#This Row],[UnitPrice]]</f>
        <v>52004.72</v>
      </c>
      <c r="N568" s="9">
        <f>tblTransactions[[#This Row],[GrossSales]]*tblTransactions[[#This Row],[Discount]]</f>
        <v>0</v>
      </c>
      <c r="O568" s="9">
        <f>tblTransactions[[#This Row],[GrossSales]]-tblTransactions[[#This Row],[DiscountAmount]]</f>
        <v>52004.72</v>
      </c>
      <c r="P568" s="9">
        <f>_xlfn.XLOOKUP(tblTransactions[[#This Row],[ProductID]],tblProducts[ProductID],tblProducts[UnitCost])</f>
        <v>43224.87</v>
      </c>
      <c r="Q568" s="9">
        <f>tblTransactions[[#This Row],[Quantity]]*tblTransactions[[#This Row],[UnitCost]]</f>
        <v>43224.87</v>
      </c>
      <c r="R568" s="9">
        <f>tblTransactions[[#This Row],[NetRevenue]]-tblTransactions[[#This Row],[TotalCost]]</f>
        <v>8779.8499999999985</v>
      </c>
      <c r="S568" t="str">
        <f>_xlfn.XLOOKUP(tblTransactions[[#This Row],[ProductID]],tblProducts[ProductID],tblProducts[Category])</f>
        <v>Electronics</v>
      </c>
    </row>
    <row r="569" spans="1:19">
      <c r="A569" t="s">
        <v>16886</v>
      </c>
      <c r="B569" s="1">
        <v>45565</v>
      </c>
      <c r="C569" t="s">
        <v>9144</v>
      </c>
      <c r="D569" t="str">
        <f>_xlfn.XLOOKUP(tblTransactions[[#This Row],[CustomerID]],tblCustomers[CustomerID],tblCustomers[CustomerName])</f>
        <v>Meghana Bumb</v>
      </c>
      <c r="E569" t="s">
        <v>16143</v>
      </c>
      <c r="F569" t="str">
        <f>_xlfn.XLOOKUP(tblTransactions[[#This Row],[ProductID]],tblProducts[ProductID],tblProducts[ProductName])</f>
        <v>Sugar A6</v>
      </c>
      <c r="G569" t="s">
        <v>16295</v>
      </c>
      <c r="H569" t="str">
        <f>_xlfn.XLOOKUP(tblTransactions[[#This Row],[StoreID]],tblStores[StoreID],tblStores[Region])</f>
        <v>South</v>
      </c>
      <c r="I569">
        <v>1</v>
      </c>
      <c r="J569">
        <v>0</v>
      </c>
      <c r="K569" t="s">
        <v>16321</v>
      </c>
      <c r="L569" s="9">
        <f>_xlfn.XLOOKUP(tblTransactions[[#This Row],[ProductID]],tblProducts[ProductID],tblProducts[UnitPrice])</f>
        <v>117.96</v>
      </c>
      <c r="M569" s="9">
        <f>tblTransactions[[#This Row],[Quantity]]*tblTransactions[[#This Row],[UnitPrice]]</f>
        <v>117.96</v>
      </c>
      <c r="N569" s="9">
        <f>tblTransactions[[#This Row],[GrossSales]]*tblTransactions[[#This Row],[Discount]]</f>
        <v>0</v>
      </c>
      <c r="O569" s="9">
        <f>tblTransactions[[#This Row],[GrossSales]]-tblTransactions[[#This Row],[DiscountAmount]]</f>
        <v>117.96</v>
      </c>
      <c r="P569" s="9">
        <f>_xlfn.XLOOKUP(tblTransactions[[#This Row],[ProductID]],tblProducts[ProductID],tblProducts[UnitCost])</f>
        <v>77.36</v>
      </c>
      <c r="Q569" s="9">
        <f>tblTransactions[[#This Row],[Quantity]]*tblTransactions[[#This Row],[UnitCost]]</f>
        <v>77.36</v>
      </c>
      <c r="R569" s="9">
        <f>tblTransactions[[#This Row],[NetRevenue]]-tblTransactions[[#This Row],[TotalCost]]</f>
        <v>40.599999999999994</v>
      </c>
      <c r="S569" t="str">
        <f>_xlfn.XLOOKUP(tblTransactions[[#This Row],[ProductID]],tblProducts[ProductID],tblProducts[Category])</f>
        <v>Grocery</v>
      </c>
    </row>
    <row r="570" spans="1:19">
      <c r="A570" t="s">
        <v>16887</v>
      </c>
      <c r="B570" s="1">
        <v>45566</v>
      </c>
      <c r="C570" t="s">
        <v>14666</v>
      </c>
      <c r="D570" t="str">
        <f>_xlfn.XLOOKUP(tblTransactions[[#This Row],[CustomerID]],tblCustomers[CustomerID],tblCustomers[CustomerName])</f>
        <v>Abeer Kalita</v>
      </c>
      <c r="E570" t="s">
        <v>16023</v>
      </c>
      <c r="F570" t="str">
        <f>_xlfn.XLOOKUP(tblTransactions[[#This Row],[ProductID]],tblProducts[ProductID],tblProducts[ProductName])</f>
        <v>Microwave Oven B7</v>
      </c>
      <c r="G570" t="s">
        <v>16289</v>
      </c>
      <c r="H570" t="str">
        <f>_xlfn.XLOOKUP(tblTransactions[[#This Row],[StoreID]],tblStores[StoreID],tblStores[Region])</f>
        <v>South</v>
      </c>
      <c r="I570">
        <v>2</v>
      </c>
      <c r="J570">
        <v>0</v>
      </c>
      <c r="K570" t="s">
        <v>16315</v>
      </c>
      <c r="L570" s="9">
        <f>_xlfn.XLOOKUP(tblTransactions[[#This Row],[ProductID]],tblProducts[ProductID],tblProducts[UnitPrice])</f>
        <v>14353.88</v>
      </c>
      <c r="M570" s="9">
        <f>tblTransactions[[#This Row],[Quantity]]*tblTransactions[[#This Row],[UnitPrice]]</f>
        <v>28707.759999999998</v>
      </c>
      <c r="N570" s="9">
        <f>tblTransactions[[#This Row],[GrossSales]]*tblTransactions[[#This Row],[Discount]]</f>
        <v>0</v>
      </c>
      <c r="O570" s="9">
        <f>tblTransactions[[#This Row],[GrossSales]]-tblTransactions[[#This Row],[DiscountAmount]]</f>
        <v>28707.759999999998</v>
      </c>
      <c r="P570" s="9">
        <f>_xlfn.XLOOKUP(tblTransactions[[#This Row],[ProductID]],tblProducts[ProductID],tblProducts[UnitCost])</f>
        <v>8791.7900000000009</v>
      </c>
      <c r="Q570" s="9">
        <f>tblTransactions[[#This Row],[Quantity]]*tblTransactions[[#This Row],[UnitCost]]</f>
        <v>17583.580000000002</v>
      </c>
      <c r="R570" s="9">
        <f>tblTransactions[[#This Row],[NetRevenue]]-tblTransactions[[#This Row],[TotalCost]]</f>
        <v>11124.179999999997</v>
      </c>
      <c r="S570" t="str">
        <f>_xlfn.XLOOKUP(tblTransactions[[#This Row],[ProductID]],tblProducts[ProductID],tblProducts[Category])</f>
        <v>Home &amp; Kitchen</v>
      </c>
    </row>
    <row r="571" spans="1:19">
      <c r="A571" t="s">
        <v>16888</v>
      </c>
      <c r="B571" s="1">
        <v>45569</v>
      </c>
      <c r="C571" t="s">
        <v>6343</v>
      </c>
      <c r="D571" t="str">
        <f>_xlfn.XLOOKUP(tblTransactions[[#This Row],[CustomerID]],tblCustomers[CustomerID],tblCustomers[CustomerName])</f>
        <v>Akshay Dora</v>
      </c>
      <c r="E571" t="s">
        <v>16089</v>
      </c>
      <c r="F571" t="str">
        <f>_xlfn.XLOOKUP(tblTransactions[[#This Row],[ProductID]],tblProducts[ProductID],tblProducts[ProductName])</f>
        <v>Women's Jeans B2</v>
      </c>
      <c r="G571" t="s">
        <v>16299</v>
      </c>
      <c r="H571" t="str">
        <f>_xlfn.XLOOKUP(tblTransactions[[#This Row],[StoreID]],tblStores[StoreID],tblStores[Region])</f>
        <v>South</v>
      </c>
      <c r="I571">
        <v>1</v>
      </c>
      <c r="J571">
        <v>0.15</v>
      </c>
      <c r="K571" t="s">
        <v>16317</v>
      </c>
      <c r="L571" s="9">
        <f>_xlfn.XLOOKUP(tblTransactions[[#This Row],[ProductID]],tblProducts[ProductID],tblProducts[UnitPrice])</f>
        <v>7788.99</v>
      </c>
      <c r="M571" s="9">
        <f>tblTransactions[[#This Row],[Quantity]]*tblTransactions[[#This Row],[UnitPrice]]</f>
        <v>7788.99</v>
      </c>
      <c r="N571" s="9">
        <f>tblTransactions[[#This Row],[GrossSales]]*tblTransactions[[#This Row],[Discount]]</f>
        <v>1168.3484999999998</v>
      </c>
      <c r="O571" s="9">
        <f>tblTransactions[[#This Row],[GrossSales]]-tblTransactions[[#This Row],[DiscountAmount]]</f>
        <v>6620.6414999999997</v>
      </c>
      <c r="P571" s="9">
        <f>_xlfn.XLOOKUP(tblTransactions[[#This Row],[ProductID]],tblProducts[ProductID],tblProducts[UnitCost])</f>
        <v>6231.21</v>
      </c>
      <c r="Q571" s="9">
        <f>tblTransactions[[#This Row],[Quantity]]*tblTransactions[[#This Row],[UnitCost]]</f>
        <v>6231.21</v>
      </c>
      <c r="R571" s="9">
        <f>tblTransactions[[#This Row],[NetRevenue]]-tblTransactions[[#This Row],[TotalCost]]</f>
        <v>389.43149999999969</v>
      </c>
      <c r="S571" t="str">
        <f>_xlfn.XLOOKUP(tblTransactions[[#This Row],[ProductID]],tblProducts[ProductID],tblProducts[Category])</f>
        <v>Clothing</v>
      </c>
    </row>
    <row r="572" spans="1:19">
      <c r="A572" t="s">
        <v>16889</v>
      </c>
      <c r="B572" s="1">
        <v>45569</v>
      </c>
      <c r="C572" t="s">
        <v>7049</v>
      </c>
      <c r="D572" t="str">
        <f>_xlfn.XLOOKUP(tblTransactions[[#This Row],[CustomerID]],tblCustomers[CustomerID],tblCustomers[CustomerName])</f>
        <v>Megha Barad</v>
      </c>
      <c r="E572" t="s">
        <v>16082</v>
      </c>
      <c r="F572" t="str">
        <f>_xlfn.XLOOKUP(tblTransactions[[#This Row],[ProductID]],tblProducts[ProductID],tblProducts[ProductName])</f>
        <v>Men's Jacket A6</v>
      </c>
      <c r="G572" t="s">
        <v>16271</v>
      </c>
      <c r="H572" t="str">
        <f>_xlfn.XLOOKUP(tblTransactions[[#This Row],[StoreID]],tblStores[StoreID],tblStores[Region])</f>
        <v>South</v>
      </c>
      <c r="I572">
        <v>1</v>
      </c>
      <c r="J572">
        <v>0.05</v>
      </c>
      <c r="K572" t="s">
        <v>16325</v>
      </c>
      <c r="L572" s="9">
        <f>_xlfn.XLOOKUP(tblTransactions[[#This Row],[ProductID]],tblProducts[ProductID],tblProducts[UnitPrice])</f>
        <v>3718.64</v>
      </c>
      <c r="M572" s="9">
        <f>tblTransactions[[#This Row],[Quantity]]*tblTransactions[[#This Row],[UnitPrice]]</f>
        <v>3718.64</v>
      </c>
      <c r="N572" s="9">
        <f>tblTransactions[[#This Row],[GrossSales]]*tblTransactions[[#This Row],[Discount]]</f>
        <v>185.93200000000002</v>
      </c>
      <c r="O572" s="9">
        <f>tblTransactions[[#This Row],[GrossSales]]-tblTransactions[[#This Row],[DiscountAmount]]</f>
        <v>3532.7079999999996</v>
      </c>
      <c r="P572" s="9">
        <f>_xlfn.XLOOKUP(tblTransactions[[#This Row],[ProductID]],tblProducts[ProductID],tblProducts[UnitCost])</f>
        <v>3021.38</v>
      </c>
      <c r="Q572" s="9">
        <f>tblTransactions[[#This Row],[Quantity]]*tblTransactions[[#This Row],[UnitCost]]</f>
        <v>3021.38</v>
      </c>
      <c r="R572" s="9">
        <f>tblTransactions[[#This Row],[NetRevenue]]-tblTransactions[[#This Row],[TotalCost]]</f>
        <v>511.32799999999952</v>
      </c>
      <c r="S572" t="str">
        <f>_xlfn.XLOOKUP(tblTransactions[[#This Row],[ProductID]],tblProducts[ProductID],tblProducts[Category])</f>
        <v>Clothing</v>
      </c>
    </row>
    <row r="573" spans="1:19">
      <c r="A573" t="s">
        <v>16890</v>
      </c>
      <c r="B573" s="1">
        <v>45571</v>
      </c>
      <c r="C573" t="s">
        <v>1099</v>
      </c>
      <c r="D573" t="str">
        <f>_xlfn.XLOOKUP(tblTransactions[[#This Row],[CustomerID]],tblCustomers[CustomerID],tblCustomers[CustomerName])</f>
        <v>Adweta Lad</v>
      </c>
      <c r="E573" t="s">
        <v>15962</v>
      </c>
      <c r="F573" t="str">
        <f>_xlfn.XLOOKUP(tblTransactions[[#This Row],[ProductID]],tblProducts[ProductID],tblProducts[ProductName])</f>
        <v>Ultrabook A1</v>
      </c>
      <c r="G573" t="s">
        <v>16301</v>
      </c>
      <c r="H573" t="str">
        <f>_xlfn.XLOOKUP(tblTransactions[[#This Row],[StoreID]],tblStores[StoreID],tblStores[Region])</f>
        <v>East</v>
      </c>
      <c r="I573">
        <v>1</v>
      </c>
      <c r="J573">
        <v>0</v>
      </c>
      <c r="K573" t="s">
        <v>16325</v>
      </c>
      <c r="L573" s="9">
        <f>_xlfn.XLOOKUP(tblTransactions[[#This Row],[ProductID]],tblProducts[ProductID],tblProducts[UnitPrice])</f>
        <v>61469.2</v>
      </c>
      <c r="M573" s="9">
        <f>tblTransactions[[#This Row],[Quantity]]*tblTransactions[[#This Row],[UnitPrice]]</f>
        <v>61469.2</v>
      </c>
      <c r="N573" s="9">
        <f>tblTransactions[[#This Row],[GrossSales]]*tblTransactions[[#This Row],[Discount]]</f>
        <v>0</v>
      </c>
      <c r="O573" s="9">
        <f>tblTransactions[[#This Row],[GrossSales]]-tblTransactions[[#This Row],[DiscountAmount]]</f>
        <v>61469.2</v>
      </c>
      <c r="P573" s="9">
        <f>_xlfn.XLOOKUP(tblTransactions[[#This Row],[ProductID]],tblProducts[ProductID],tblProducts[UnitCost])</f>
        <v>39781.99</v>
      </c>
      <c r="Q573" s="9">
        <f>tblTransactions[[#This Row],[Quantity]]*tblTransactions[[#This Row],[UnitCost]]</f>
        <v>39781.99</v>
      </c>
      <c r="R573" s="9">
        <f>tblTransactions[[#This Row],[NetRevenue]]-tblTransactions[[#This Row],[TotalCost]]</f>
        <v>21687.21</v>
      </c>
      <c r="S573" t="str">
        <f>_xlfn.XLOOKUP(tblTransactions[[#This Row],[ProductID]],tblProducts[ProductID],tblProducts[Category])</f>
        <v>Electronics</v>
      </c>
    </row>
    <row r="574" spans="1:19">
      <c r="A574" t="s">
        <v>16891</v>
      </c>
      <c r="B574" s="1">
        <v>45573</v>
      </c>
      <c r="C574" t="s">
        <v>9073</v>
      </c>
      <c r="D574" t="str">
        <f>_xlfn.XLOOKUP(tblTransactions[[#This Row],[CustomerID]],tblCustomers[CustomerID],tblCustomers[CustomerName])</f>
        <v>Chavvi Saxena</v>
      </c>
      <c r="E574" t="s">
        <v>15977</v>
      </c>
      <c r="F574" t="str">
        <f>_xlfn.XLOOKUP(tblTransactions[[#This Row],[ProductID]],tblProducts[ProductID],tblProducts[ProductName])</f>
        <v>Student Laptop C8</v>
      </c>
      <c r="G574" t="s">
        <v>16303</v>
      </c>
      <c r="H574" t="str">
        <f>_xlfn.XLOOKUP(tblTransactions[[#This Row],[StoreID]],tblStores[StoreID],tblStores[Region])</f>
        <v>West</v>
      </c>
      <c r="I574">
        <v>3</v>
      </c>
      <c r="J574">
        <v>0.1</v>
      </c>
      <c r="K574" t="s">
        <v>16321</v>
      </c>
      <c r="L574" s="9">
        <f>_xlfn.XLOOKUP(tblTransactions[[#This Row],[ProductID]],tblProducts[ProductID],tblProducts[UnitPrice])</f>
        <v>44917.11</v>
      </c>
      <c r="M574" s="9">
        <f>tblTransactions[[#This Row],[Quantity]]*tblTransactions[[#This Row],[UnitPrice]]</f>
        <v>134751.33000000002</v>
      </c>
      <c r="N574" s="9">
        <f>tblTransactions[[#This Row],[GrossSales]]*tblTransactions[[#This Row],[Discount]]</f>
        <v>13475.133000000002</v>
      </c>
      <c r="O574" s="9">
        <f>tblTransactions[[#This Row],[GrossSales]]-tblTransactions[[#This Row],[DiscountAmount]]</f>
        <v>121276.19700000001</v>
      </c>
      <c r="P574" s="9">
        <f>_xlfn.XLOOKUP(tblTransactions[[#This Row],[ProductID]],tblProducts[ProductID],tblProducts[UnitCost])</f>
        <v>33851.120000000003</v>
      </c>
      <c r="Q574" s="9">
        <f>tblTransactions[[#This Row],[Quantity]]*tblTransactions[[#This Row],[UnitCost]]</f>
        <v>101553.36000000002</v>
      </c>
      <c r="R574" s="9">
        <f>tblTransactions[[#This Row],[NetRevenue]]-tblTransactions[[#This Row],[TotalCost]]</f>
        <v>19722.837</v>
      </c>
      <c r="S574" t="str">
        <f>_xlfn.XLOOKUP(tblTransactions[[#This Row],[ProductID]],tblProducts[ProductID],tblProducts[Category])</f>
        <v>Electronics</v>
      </c>
    </row>
    <row r="575" spans="1:19">
      <c r="A575" t="s">
        <v>16892</v>
      </c>
      <c r="B575" s="1">
        <v>45574</v>
      </c>
      <c r="C575" t="s">
        <v>9848</v>
      </c>
      <c r="D575" t="str">
        <f>_xlfn.XLOOKUP(tblTransactions[[#This Row],[CustomerID]],tblCustomers[CustomerID],tblCustomers[CustomerName])</f>
        <v>Laban Solanki</v>
      </c>
      <c r="E575" t="s">
        <v>16062</v>
      </c>
      <c r="F575" t="str">
        <f>_xlfn.XLOOKUP(tblTransactions[[#This Row],[ProductID]],tblProducts[ProductID],tblProducts[ProductName])</f>
        <v>Table Lamp D4</v>
      </c>
      <c r="G575" t="s">
        <v>16259</v>
      </c>
      <c r="H575" t="str">
        <f>_xlfn.XLOOKUP(tblTransactions[[#This Row],[StoreID]],tblStores[StoreID],tblStores[Region])</f>
        <v>East</v>
      </c>
      <c r="I575">
        <v>4</v>
      </c>
      <c r="J575">
        <v>0</v>
      </c>
      <c r="K575" t="s">
        <v>16317</v>
      </c>
      <c r="L575" s="9">
        <f>_xlfn.XLOOKUP(tblTransactions[[#This Row],[ProductID]],tblProducts[ProductID],tblProducts[UnitPrice])</f>
        <v>22222.83</v>
      </c>
      <c r="M575" s="9">
        <f>tblTransactions[[#This Row],[Quantity]]*tblTransactions[[#This Row],[UnitPrice]]</f>
        <v>88891.32</v>
      </c>
      <c r="N575" s="9">
        <f>tblTransactions[[#This Row],[GrossSales]]*tblTransactions[[#This Row],[Discount]]</f>
        <v>0</v>
      </c>
      <c r="O575" s="9">
        <f>tblTransactions[[#This Row],[GrossSales]]-tblTransactions[[#This Row],[DiscountAmount]]</f>
        <v>88891.32</v>
      </c>
      <c r="P575" s="9">
        <f>_xlfn.XLOOKUP(tblTransactions[[#This Row],[ProductID]],tblProducts[ProductID],tblProducts[UnitCost])</f>
        <v>17564.490000000002</v>
      </c>
      <c r="Q575" s="9">
        <f>tblTransactions[[#This Row],[Quantity]]*tblTransactions[[#This Row],[UnitCost]]</f>
        <v>70257.960000000006</v>
      </c>
      <c r="R575" s="9">
        <f>tblTransactions[[#This Row],[NetRevenue]]-tblTransactions[[#This Row],[TotalCost]]</f>
        <v>18633.36</v>
      </c>
      <c r="S575" t="str">
        <f>_xlfn.XLOOKUP(tblTransactions[[#This Row],[ProductID]],tblProducts[ProductID],tblProducts[Category])</f>
        <v>Home &amp; Kitchen</v>
      </c>
    </row>
    <row r="576" spans="1:19">
      <c r="A576" t="s">
        <v>16893</v>
      </c>
      <c r="B576" s="1">
        <v>45575</v>
      </c>
      <c r="C576" t="s">
        <v>5873</v>
      </c>
      <c r="D576" t="str">
        <f>_xlfn.XLOOKUP(tblTransactions[[#This Row],[CustomerID]],tblCustomers[CustomerID],tblCustomers[CustomerName])</f>
        <v>Aditya Chaudhuri</v>
      </c>
      <c r="E576" t="s">
        <v>16068</v>
      </c>
      <c r="F576" t="str">
        <f>_xlfn.XLOOKUP(tblTransactions[[#This Row],[ProductID]],tblProducts[ProductID],tblProducts[ProductName])</f>
        <v>Wall Clock B7</v>
      </c>
      <c r="G576" t="s">
        <v>16305</v>
      </c>
      <c r="H576" t="str">
        <f>_xlfn.XLOOKUP(tblTransactions[[#This Row],[StoreID]],tblStores[StoreID],tblStores[Region])</f>
        <v>South</v>
      </c>
      <c r="I576">
        <v>3</v>
      </c>
      <c r="J576">
        <v>0</v>
      </c>
      <c r="K576" t="s">
        <v>16321</v>
      </c>
      <c r="L576" s="9">
        <f>_xlfn.XLOOKUP(tblTransactions[[#This Row],[ProductID]],tblProducts[ProductID],tblProducts[UnitPrice])</f>
        <v>7801.86</v>
      </c>
      <c r="M576" s="9">
        <f>tblTransactions[[#This Row],[Quantity]]*tblTransactions[[#This Row],[UnitPrice]]</f>
        <v>23405.579999999998</v>
      </c>
      <c r="N576" s="9">
        <f>tblTransactions[[#This Row],[GrossSales]]*tblTransactions[[#This Row],[Discount]]</f>
        <v>0</v>
      </c>
      <c r="O576" s="9">
        <f>tblTransactions[[#This Row],[GrossSales]]-tblTransactions[[#This Row],[DiscountAmount]]</f>
        <v>23405.579999999998</v>
      </c>
      <c r="P576" s="9">
        <f>_xlfn.XLOOKUP(tblTransactions[[#This Row],[ProductID]],tblProducts[ProductID],tblProducts[UnitCost])</f>
        <v>5332.9</v>
      </c>
      <c r="Q576" s="9">
        <f>tblTransactions[[#This Row],[Quantity]]*tblTransactions[[#This Row],[UnitCost]]</f>
        <v>15998.699999999999</v>
      </c>
      <c r="R576" s="9">
        <f>tblTransactions[[#This Row],[NetRevenue]]-tblTransactions[[#This Row],[TotalCost]]</f>
        <v>7406.8799999999992</v>
      </c>
      <c r="S576" t="str">
        <f>_xlfn.XLOOKUP(tblTransactions[[#This Row],[ProductID]],tblProducts[ProductID],tblProducts[Category])</f>
        <v>Home &amp; Kitchen</v>
      </c>
    </row>
    <row r="577" spans="1:19">
      <c r="A577" t="s">
        <v>16894</v>
      </c>
      <c r="B577" s="1">
        <v>45575</v>
      </c>
      <c r="C577" t="s">
        <v>7750</v>
      </c>
      <c r="D577" t="str">
        <f>_xlfn.XLOOKUP(tblTransactions[[#This Row],[CustomerID]],tblCustomers[CustomerID],tblCustomers[CustomerName])</f>
        <v>Anjali Ahluwalia</v>
      </c>
      <c r="E577" t="s">
        <v>16121</v>
      </c>
      <c r="F577" t="str">
        <f>_xlfn.XLOOKUP(tblTransactions[[#This Row],[ProductID]],tblProducts[ProductID],tblProducts[ProductName])</f>
        <v>Sandals C3</v>
      </c>
      <c r="G577" t="s">
        <v>16256</v>
      </c>
      <c r="H577" t="str">
        <f>_xlfn.XLOOKUP(tblTransactions[[#This Row],[StoreID]],tblStores[StoreID],tblStores[Region])</f>
        <v>East</v>
      </c>
      <c r="I577">
        <v>3</v>
      </c>
      <c r="J577">
        <v>0.05</v>
      </c>
      <c r="K577" t="s">
        <v>16317</v>
      </c>
      <c r="L577" s="9">
        <f>_xlfn.XLOOKUP(tblTransactions[[#This Row],[ProductID]],tblProducts[ProductID],tblProducts[UnitPrice])</f>
        <v>6708.36</v>
      </c>
      <c r="M577" s="9">
        <f>tblTransactions[[#This Row],[Quantity]]*tblTransactions[[#This Row],[UnitPrice]]</f>
        <v>20125.079999999998</v>
      </c>
      <c r="N577" s="9">
        <f>tblTransactions[[#This Row],[GrossSales]]*tblTransactions[[#This Row],[Discount]]</f>
        <v>1006.2539999999999</v>
      </c>
      <c r="O577" s="9">
        <f>tblTransactions[[#This Row],[GrossSales]]-tblTransactions[[#This Row],[DiscountAmount]]</f>
        <v>19118.825999999997</v>
      </c>
      <c r="P577" s="9">
        <f>_xlfn.XLOOKUP(tblTransactions[[#This Row],[ProductID]],tblProducts[ProductID],tblProducts[UnitCost])</f>
        <v>5031.45</v>
      </c>
      <c r="Q577" s="9">
        <f>tblTransactions[[#This Row],[Quantity]]*tblTransactions[[#This Row],[UnitCost]]</f>
        <v>15094.349999999999</v>
      </c>
      <c r="R577" s="9">
        <f>tblTransactions[[#This Row],[NetRevenue]]-tblTransactions[[#This Row],[TotalCost]]</f>
        <v>4024.4759999999987</v>
      </c>
      <c r="S577" t="str">
        <f>_xlfn.XLOOKUP(tblTransactions[[#This Row],[ProductID]],tblProducts[ProductID],tblProducts[Category])</f>
        <v>Clothing</v>
      </c>
    </row>
    <row r="578" spans="1:19">
      <c r="A578" t="s">
        <v>16895</v>
      </c>
      <c r="B578" s="1">
        <v>45576</v>
      </c>
      <c r="C578" t="s">
        <v>9513</v>
      </c>
      <c r="D578" t="str">
        <f>_xlfn.XLOOKUP(tblTransactions[[#This Row],[CustomerID]],tblCustomers[CustomerID],tblCustomers[CustomerName])</f>
        <v>Unnati Venkatesh</v>
      </c>
      <c r="E578" t="s">
        <v>16230</v>
      </c>
      <c r="F578" t="str">
        <f>_xlfn.XLOOKUP(tblTransactions[[#This Row],[ProductID]],tblProducts[ProductID],tblProducts[ProductName])</f>
        <v>Body Lotion D4</v>
      </c>
      <c r="G578" t="s">
        <v>16283</v>
      </c>
      <c r="H578" t="str">
        <f>_xlfn.XLOOKUP(tblTransactions[[#This Row],[StoreID]],tblStores[StoreID],tblStores[Region])</f>
        <v>South</v>
      </c>
      <c r="I578">
        <v>1</v>
      </c>
      <c r="J578">
        <v>0.05</v>
      </c>
      <c r="K578" t="s">
        <v>16315</v>
      </c>
      <c r="L578" s="9">
        <f>_xlfn.XLOOKUP(tblTransactions[[#This Row],[ProductID]],tblProducts[ProductID],tblProducts[UnitPrice])</f>
        <v>3205.72</v>
      </c>
      <c r="M578" s="9">
        <f>tblTransactions[[#This Row],[Quantity]]*tblTransactions[[#This Row],[UnitPrice]]</f>
        <v>3205.72</v>
      </c>
      <c r="N578" s="9">
        <f>tblTransactions[[#This Row],[GrossSales]]*tblTransactions[[#This Row],[Discount]]</f>
        <v>160.286</v>
      </c>
      <c r="O578" s="9">
        <f>tblTransactions[[#This Row],[GrossSales]]-tblTransactions[[#This Row],[DiscountAmount]]</f>
        <v>3045.4339999999997</v>
      </c>
      <c r="P578" s="9">
        <f>_xlfn.XLOOKUP(tblTransactions[[#This Row],[ProductID]],tblProducts[ProductID],tblProducts[UnitCost])</f>
        <v>2167.94</v>
      </c>
      <c r="Q578" s="9">
        <f>tblTransactions[[#This Row],[Quantity]]*tblTransactions[[#This Row],[UnitCost]]</f>
        <v>2167.94</v>
      </c>
      <c r="R578" s="9">
        <f>tblTransactions[[#This Row],[NetRevenue]]-tblTransactions[[#This Row],[TotalCost]]</f>
        <v>877.49399999999969</v>
      </c>
      <c r="S578" t="str">
        <f>_xlfn.XLOOKUP(tblTransactions[[#This Row],[ProductID]],tblProducts[ProductID],tblProducts[Category])</f>
        <v>Personal Care</v>
      </c>
    </row>
    <row r="579" spans="1:19">
      <c r="A579" t="s">
        <v>16896</v>
      </c>
      <c r="B579" s="1">
        <v>45577</v>
      </c>
      <c r="C579" t="s">
        <v>538</v>
      </c>
      <c r="D579" t="str">
        <f>_xlfn.XLOOKUP(tblTransactions[[#This Row],[CustomerID]],tblCustomers[CustomerID],tblCustomers[CustomerName])</f>
        <v>Damyanti Mani</v>
      </c>
      <c r="E579" t="s">
        <v>15971</v>
      </c>
      <c r="F579" t="str">
        <f>_xlfn.XLOOKUP(tblTransactions[[#This Row],[ProductID]],tblProducts[ProductID],tblProducts[ProductName])</f>
        <v>Ultrabook E5</v>
      </c>
      <c r="G579" t="s">
        <v>16295</v>
      </c>
      <c r="H579" t="str">
        <f>_xlfn.XLOOKUP(tblTransactions[[#This Row],[StoreID]],tblStores[StoreID],tblStores[Region])</f>
        <v>South</v>
      </c>
      <c r="I579">
        <v>1</v>
      </c>
      <c r="J579">
        <v>0</v>
      </c>
      <c r="K579" t="s">
        <v>16325</v>
      </c>
      <c r="L579" s="9">
        <f>_xlfn.XLOOKUP(tblTransactions[[#This Row],[ProductID]],tblProducts[ProductID],tblProducts[UnitPrice])</f>
        <v>48777.16</v>
      </c>
      <c r="M579" s="9">
        <f>tblTransactions[[#This Row],[Quantity]]*tblTransactions[[#This Row],[UnitPrice]]</f>
        <v>48777.16</v>
      </c>
      <c r="N579" s="9">
        <f>tblTransactions[[#This Row],[GrossSales]]*tblTransactions[[#This Row],[Discount]]</f>
        <v>0</v>
      </c>
      <c r="O579" s="9">
        <f>tblTransactions[[#This Row],[GrossSales]]-tblTransactions[[#This Row],[DiscountAmount]]</f>
        <v>48777.16</v>
      </c>
      <c r="P579" s="9">
        <f>_xlfn.XLOOKUP(tblTransactions[[#This Row],[ProductID]],tblProducts[ProductID],tblProducts[UnitCost])</f>
        <v>29771.48</v>
      </c>
      <c r="Q579" s="9">
        <f>tblTransactions[[#This Row],[Quantity]]*tblTransactions[[#This Row],[UnitCost]]</f>
        <v>29771.48</v>
      </c>
      <c r="R579" s="9">
        <f>tblTransactions[[#This Row],[NetRevenue]]-tblTransactions[[#This Row],[TotalCost]]</f>
        <v>19005.680000000004</v>
      </c>
      <c r="S579" t="str">
        <f>_xlfn.XLOOKUP(tblTransactions[[#This Row],[ProductID]],tblProducts[ProductID],tblProducts[Category])</f>
        <v>Electronics</v>
      </c>
    </row>
    <row r="580" spans="1:19">
      <c r="A580" t="s">
        <v>16897</v>
      </c>
      <c r="B580" s="1">
        <v>45578</v>
      </c>
      <c r="C580" t="s">
        <v>8833</v>
      </c>
      <c r="D580" t="str">
        <f>_xlfn.XLOOKUP(tblTransactions[[#This Row],[CustomerID]],tblCustomers[CustomerID],tblCustomers[CustomerName])</f>
        <v>Rachit Nagy</v>
      </c>
      <c r="E580" t="s">
        <v>16221</v>
      </c>
      <c r="F580" t="str">
        <f>_xlfn.XLOOKUP(tblTransactions[[#This Row],[ProductID]],tblProducts[ProductID],tblProducts[ProductName])</f>
        <v>Conditioner B7</v>
      </c>
      <c r="G580" t="s">
        <v>16273</v>
      </c>
      <c r="H580" t="str">
        <f>_xlfn.XLOOKUP(tblTransactions[[#This Row],[StoreID]],tblStores[StoreID],tblStores[Region])</f>
        <v>West</v>
      </c>
      <c r="I580">
        <v>1</v>
      </c>
      <c r="J580">
        <v>0</v>
      </c>
      <c r="K580" t="s">
        <v>16317</v>
      </c>
      <c r="L580" s="9">
        <f>_xlfn.XLOOKUP(tblTransactions[[#This Row],[ProductID]],tblProducts[ProductID],tblProducts[UnitPrice])</f>
        <v>1702.4</v>
      </c>
      <c r="M580" s="9">
        <f>tblTransactions[[#This Row],[Quantity]]*tblTransactions[[#This Row],[UnitPrice]]</f>
        <v>1702.4</v>
      </c>
      <c r="N580" s="9">
        <f>tblTransactions[[#This Row],[GrossSales]]*tblTransactions[[#This Row],[Discount]]</f>
        <v>0</v>
      </c>
      <c r="O580" s="9">
        <f>tblTransactions[[#This Row],[GrossSales]]-tblTransactions[[#This Row],[DiscountAmount]]</f>
        <v>1702.4</v>
      </c>
      <c r="P580" s="9">
        <f>_xlfn.XLOOKUP(tblTransactions[[#This Row],[ProductID]],tblProducts[ProductID],tblProducts[UnitCost])</f>
        <v>1284.8900000000001</v>
      </c>
      <c r="Q580" s="9">
        <f>tblTransactions[[#This Row],[Quantity]]*tblTransactions[[#This Row],[UnitCost]]</f>
        <v>1284.8900000000001</v>
      </c>
      <c r="R580" s="9">
        <f>tblTransactions[[#This Row],[NetRevenue]]-tblTransactions[[#This Row],[TotalCost]]</f>
        <v>417.51</v>
      </c>
      <c r="S580" t="str">
        <f>_xlfn.XLOOKUP(tblTransactions[[#This Row],[ProductID]],tblProducts[ProductID],tblProducts[Category])</f>
        <v>Personal Care</v>
      </c>
    </row>
    <row r="581" spans="1:19">
      <c r="A581" t="s">
        <v>16898</v>
      </c>
      <c r="B581" s="1">
        <v>45581</v>
      </c>
      <c r="C581" t="s">
        <v>3371</v>
      </c>
      <c r="D581" t="str">
        <f>_xlfn.XLOOKUP(tblTransactions[[#This Row],[CustomerID]],tblCustomers[CustomerID],tblCustomers[CustomerName])</f>
        <v>Yatan Venkataraman</v>
      </c>
      <c r="E581" t="s">
        <v>16251</v>
      </c>
      <c r="F581" t="str">
        <f>_xlfn.XLOOKUP(tblTransactions[[#This Row],[ProductID]],tblProducts[ProductID],tblProducts[ProductName])</f>
        <v>Trimmer B7</v>
      </c>
      <c r="G581" t="s">
        <v>16293</v>
      </c>
      <c r="H581" t="str">
        <f>_xlfn.XLOOKUP(tblTransactions[[#This Row],[StoreID]],tblStores[StoreID],tblStores[Region])</f>
        <v>South</v>
      </c>
      <c r="I581">
        <v>3</v>
      </c>
      <c r="J581">
        <v>0.05</v>
      </c>
      <c r="K581" t="s">
        <v>16317</v>
      </c>
      <c r="L581" s="9">
        <f>_xlfn.XLOOKUP(tblTransactions[[#This Row],[ProductID]],tblProducts[ProductID],tblProducts[UnitPrice])</f>
        <v>4199.75</v>
      </c>
      <c r="M581" s="9">
        <f>tblTransactions[[#This Row],[Quantity]]*tblTransactions[[#This Row],[UnitPrice]]</f>
        <v>12599.25</v>
      </c>
      <c r="N581" s="9">
        <f>tblTransactions[[#This Row],[GrossSales]]*tblTransactions[[#This Row],[Discount]]</f>
        <v>629.96250000000009</v>
      </c>
      <c r="O581" s="9">
        <f>tblTransactions[[#This Row],[GrossSales]]-tblTransactions[[#This Row],[DiscountAmount]]</f>
        <v>11969.2875</v>
      </c>
      <c r="P581" s="9">
        <f>_xlfn.XLOOKUP(tblTransactions[[#This Row],[ProductID]],tblProducts[ProductID],tblProducts[UnitCost])</f>
        <v>2546.5700000000002</v>
      </c>
      <c r="Q581" s="9">
        <f>tblTransactions[[#This Row],[Quantity]]*tblTransactions[[#This Row],[UnitCost]]</f>
        <v>7639.7100000000009</v>
      </c>
      <c r="R581" s="9">
        <f>tblTransactions[[#This Row],[NetRevenue]]-tblTransactions[[#This Row],[TotalCost]]</f>
        <v>4329.5774999999994</v>
      </c>
      <c r="S581" t="str">
        <f>_xlfn.XLOOKUP(tblTransactions[[#This Row],[ProductID]],tblProducts[ProductID],tblProducts[Category])</f>
        <v>Personal Care</v>
      </c>
    </row>
    <row r="582" spans="1:19">
      <c r="A582" t="s">
        <v>16899</v>
      </c>
      <c r="B582" s="1">
        <v>45582</v>
      </c>
      <c r="C582" t="s">
        <v>6552</v>
      </c>
      <c r="D582" t="str">
        <f>_xlfn.XLOOKUP(tblTransactions[[#This Row],[CustomerID]],tblCustomers[CustomerID],tblCustomers[CustomerName])</f>
        <v>Hiral Ratta</v>
      </c>
      <c r="E582" t="s">
        <v>16247</v>
      </c>
      <c r="F582" t="str">
        <f>_xlfn.XLOOKUP(tblTransactions[[#This Row],[ProductID]],tblProducts[ProductID],tblProducts[ProductName])</f>
        <v>Shaving Kit E5</v>
      </c>
      <c r="G582" t="s">
        <v>16303</v>
      </c>
      <c r="H582" t="str">
        <f>_xlfn.XLOOKUP(tblTransactions[[#This Row],[StoreID]],tblStores[StoreID],tblStores[Region])</f>
        <v>West</v>
      </c>
      <c r="I582">
        <v>2</v>
      </c>
      <c r="J582">
        <v>0</v>
      </c>
      <c r="K582" t="s">
        <v>16315</v>
      </c>
      <c r="L582" s="9">
        <f>_xlfn.XLOOKUP(tblTransactions[[#This Row],[ProductID]],tblProducts[ProductID],tblProducts[UnitPrice])</f>
        <v>3430.41</v>
      </c>
      <c r="M582" s="9">
        <f>tblTransactions[[#This Row],[Quantity]]*tblTransactions[[#This Row],[UnitPrice]]</f>
        <v>6860.82</v>
      </c>
      <c r="N582" s="9">
        <f>tblTransactions[[#This Row],[GrossSales]]*tblTransactions[[#This Row],[Discount]]</f>
        <v>0</v>
      </c>
      <c r="O582" s="9">
        <f>tblTransactions[[#This Row],[GrossSales]]-tblTransactions[[#This Row],[DiscountAmount]]</f>
        <v>6860.82</v>
      </c>
      <c r="P582" s="9">
        <f>_xlfn.XLOOKUP(tblTransactions[[#This Row],[ProductID]],tblProducts[ProductID],tblProducts[UnitCost])</f>
        <v>2912.56</v>
      </c>
      <c r="Q582" s="9">
        <f>tblTransactions[[#This Row],[Quantity]]*tblTransactions[[#This Row],[UnitCost]]</f>
        <v>5825.12</v>
      </c>
      <c r="R582" s="9">
        <f>tblTransactions[[#This Row],[NetRevenue]]-tblTransactions[[#This Row],[TotalCost]]</f>
        <v>1035.6999999999998</v>
      </c>
      <c r="S582" t="str">
        <f>_xlfn.XLOOKUP(tblTransactions[[#This Row],[ProductID]],tblProducts[ProductID],tblProducts[Category])</f>
        <v>Personal Care</v>
      </c>
    </row>
    <row r="583" spans="1:19">
      <c r="A583" t="s">
        <v>16900</v>
      </c>
      <c r="B583" s="1">
        <v>45582</v>
      </c>
      <c r="C583" t="s">
        <v>8351</v>
      </c>
      <c r="D583" t="str">
        <f>_xlfn.XLOOKUP(tblTransactions[[#This Row],[CustomerID]],tblCustomers[CustomerID],tblCustomers[CustomerName])</f>
        <v>Tanmayi Kulkarni</v>
      </c>
      <c r="E583" t="s">
        <v>16165</v>
      </c>
      <c r="F583" t="str">
        <f>_xlfn.XLOOKUP(tblTransactions[[#This Row],[ProductID]],tblProducts[ProductID],tblProducts[ProductName])</f>
        <v>Juice B2</v>
      </c>
      <c r="G583" t="s">
        <v>16259</v>
      </c>
      <c r="H583" t="str">
        <f>_xlfn.XLOOKUP(tblTransactions[[#This Row],[StoreID]],tblStores[StoreID],tblStores[Region])</f>
        <v>East</v>
      </c>
      <c r="I583">
        <v>1</v>
      </c>
      <c r="J583">
        <v>0</v>
      </c>
      <c r="K583" t="s">
        <v>16315</v>
      </c>
      <c r="L583" s="9">
        <f>_xlfn.XLOOKUP(tblTransactions[[#This Row],[ProductID]],tblProducts[ProductID],tblProducts[UnitPrice])</f>
        <v>1053.9000000000001</v>
      </c>
      <c r="M583" s="9">
        <f>tblTransactions[[#This Row],[Quantity]]*tblTransactions[[#This Row],[UnitPrice]]</f>
        <v>1053.9000000000001</v>
      </c>
      <c r="N583" s="9">
        <f>tblTransactions[[#This Row],[GrossSales]]*tblTransactions[[#This Row],[Discount]]</f>
        <v>0</v>
      </c>
      <c r="O583" s="9">
        <f>tblTransactions[[#This Row],[GrossSales]]-tblTransactions[[#This Row],[DiscountAmount]]</f>
        <v>1053.9000000000001</v>
      </c>
      <c r="P583" s="9">
        <f>_xlfn.XLOOKUP(tblTransactions[[#This Row],[ProductID]],tblProducts[ProductID],tblProducts[UnitCost])</f>
        <v>710.59</v>
      </c>
      <c r="Q583" s="9">
        <f>tblTransactions[[#This Row],[Quantity]]*tblTransactions[[#This Row],[UnitCost]]</f>
        <v>710.59</v>
      </c>
      <c r="R583" s="9">
        <f>tblTransactions[[#This Row],[NetRevenue]]-tblTransactions[[#This Row],[TotalCost]]</f>
        <v>343.31000000000006</v>
      </c>
      <c r="S583" t="str">
        <f>_xlfn.XLOOKUP(tblTransactions[[#This Row],[ProductID]],tblProducts[ProductID],tblProducts[Category])</f>
        <v>Grocery</v>
      </c>
    </row>
    <row r="584" spans="1:19">
      <c r="A584" t="s">
        <v>16901</v>
      </c>
      <c r="B584" s="1">
        <v>45583</v>
      </c>
      <c r="C584" t="s">
        <v>7524</v>
      </c>
      <c r="D584" t="str">
        <f>_xlfn.XLOOKUP(tblTransactions[[#This Row],[CustomerID]],tblCustomers[CustomerID],tblCustomers[CustomerName])</f>
        <v>Amara Chacko</v>
      </c>
      <c r="E584" t="s">
        <v>16106</v>
      </c>
      <c r="F584" t="str">
        <f>_xlfn.XLOOKUP(tblTransactions[[#This Row],[ProductID]],tblProducts[ProductID],tblProducts[ProductName])</f>
        <v>Kids Dress C3</v>
      </c>
      <c r="G584" t="s">
        <v>16267</v>
      </c>
      <c r="H584" t="str">
        <f>_xlfn.XLOOKUP(tblTransactions[[#This Row],[StoreID]],tblStores[StoreID],tblStores[Region])</f>
        <v>West</v>
      </c>
      <c r="I584">
        <v>1</v>
      </c>
      <c r="J584">
        <v>0.05</v>
      </c>
      <c r="K584" t="s">
        <v>16321</v>
      </c>
      <c r="L584" s="9">
        <f>_xlfn.XLOOKUP(tblTransactions[[#This Row],[ProductID]],tblProducts[ProductID],tblProducts[UnitPrice])</f>
        <v>1436.28</v>
      </c>
      <c r="M584" s="9">
        <f>tblTransactions[[#This Row],[Quantity]]*tblTransactions[[#This Row],[UnitPrice]]</f>
        <v>1436.28</v>
      </c>
      <c r="N584" s="9">
        <f>tblTransactions[[#This Row],[GrossSales]]*tblTransactions[[#This Row],[Discount]]</f>
        <v>71.814000000000007</v>
      </c>
      <c r="O584" s="9">
        <f>tblTransactions[[#This Row],[GrossSales]]-tblTransactions[[#This Row],[DiscountAmount]]</f>
        <v>1364.4659999999999</v>
      </c>
      <c r="P584" s="9">
        <f>_xlfn.XLOOKUP(tblTransactions[[#This Row],[ProductID]],tblProducts[ProductID],tblProducts[UnitCost])</f>
        <v>1097.5</v>
      </c>
      <c r="Q584" s="9">
        <f>tblTransactions[[#This Row],[Quantity]]*tblTransactions[[#This Row],[UnitCost]]</f>
        <v>1097.5</v>
      </c>
      <c r="R584" s="9">
        <f>tblTransactions[[#This Row],[NetRevenue]]-tblTransactions[[#This Row],[TotalCost]]</f>
        <v>266.96599999999989</v>
      </c>
      <c r="S584" t="str">
        <f>_xlfn.XLOOKUP(tblTransactions[[#This Row],[ProductID]],tblProducts[ProductID],tblProducts[Category])</f>
        <v>Clothing</v>
      </c>
    </row>
    <row r="585" spans="1:19">
      <c r="A585" t="s">
        <v>16902</v>
      </c>
      <c r="B585" s="1">
        <v>45584</v>
      </c>
      <c r="C585" t="s">
        <v>7422</v>
      </c>
      <c r="D585" t="str">
        <f>_xlfn.XLOOKUP(tblTransactions[[#This Row],[CustomerID]],tblCustomers[CustomerID],tblCustomers[CustomerName])</f>
        <v>Devika Guha</v>
      </c>
      <c r="E585" t="s">
        <v>15956</v>
      </c>
      <c r="F585" t="str">
        <f>_xlfn.XLOOKUP(tblTransactions[[#This Row],[ProductID]],tblProducts[ProductID],tblProducts[ProductName])</f>
        <v>Budget Smartphone A6</v>
      </c>
      <c r="G585" t="s">
        <v>16279</v>
      </c>
      <c r="H585" t="str">
        <f>_xlfn.XLOOKUP(tblTransactions[[#This Row],[StoreID]],tblStores[StoreID],tblStores[Region])</f>
        <v>South</v>
      </c>
      <c r="I585">
        <v>1</v>
      </c>
      <c r="J585">
        <v>0</v>
      </c>
      <c r="K585" t="s">
        <v>16315</v>
      </c>
      <c r="L585" s="9">
        <f>_xlfn.XLOOKUP(tblTransactions[[#This Row],[ProductID]],tblProducts[ProductID],tblProducts[UnitPrice])</f>
        <v>9246.34</v>
      </c>
      <c r="M585" s="9">
        <f>tblTransactions[[#This Row],[Quantity]]*tblTransactions[[#This Row],[UnitPrice]]</f>
        <v>9246.34</v>
      </c>
      <c r="N585" s="9">
        <f>tblTransactions[[#This Row],[GrossSales]]*tblTransactions[[#This Row],[Discount]]</f>
        <v>0</v>
      </c>
      <c r="O585" s="9">
        <f>tblTransactions[[#This Row],[GrossSales]]-tblTransactions[[#This Row],[DiscountAmount]]</f>
        <v>9246.34</v>
      </c>
      <c r="P585" s="9">
        <f>_xlfn.XLOOKUP(tblTransactions[[#This Row],[ProductID]],tblProducts[ProductID],tblProducts[UnitCost])</f>
        <v>7613.27</v>
      </c>
      <c r="Q585" s="9">
        <f>tblTransactions[[#This Row],[Quantity]]*tblTransactions[[#This Row],[UnitCost]]</f>
        <v>7613.27</v>
      </c>
      <c r="R585" s="9">
        <f>tblTransactions[[#This Row],[NetRevenue]]-tblTransactions[[#This Row],[TotalCost]]</f>
        <v>1633.0699999999997</v>
      </c>
      <c r="S585" t="str">
        <f>_xlfn.XLOOKUP(tblTransactions[[#This Row],[ProductID]],tblProducts[ProductID],tblProducts[Category])</f>
        <v>Electronics</v>
      </c>
    </row>
    <row r="586" spans="1:19">
      <c r="A586" t="s">
        <v>16903</v>
      </c>
      <c r="B586" s="1">
        <v>45584</v>
      </c>
      <c r="C586" t="s">
        <v>9808</v>
      </c>
      <c r="D586" t="str">
        <f>_xlfn.XLOOKUP(tblTransactions[[#This Row],[CustomerID]],tblCustomers[CustomerID],tblCustomers[CustomerName])</f>
        <v>Xiti Warrior</v>
      </c>
      <c r="E586" t="s">
        <v>15969</v>
      </c>
      <c r="F586" t="str">
        <f>_xlfn.XLOOKUP(tblTransactions[[#This Row],[ProductID]],tblProducts[ProductID],tblProducts[ProductName])</f>
        <v>Student Laptop D4</v>
      </c>
      <c r="G586" t="s">
        <v>16269</v>
      </c>
      <c r="H586" t="str">
        <f>_xlfn.XLOOKUP(tblTransactions[[#This Row],[StoreID]],tblStores[StoreID],tblStores[Region])</f>
        <v>North</v>
      </c>
      <c r="I586">
        <v>1</v>
      </c>
      <c r="J586">
        <v>0.1</v>
      </c>
      <c r="K586" t="s">
        <v>16317</v>
      </c>
      <c r="L586" s="9">
        <f>_xlfn.XLOOKUP(tblTransactions[[#This Row],[ProductID]],tblProducts[ProductID],tblProducts[UnitPrice])</f>
        <v>21602.44</v>
      </c>
      <c r="M586" s="9">
        <f>tblTransactions[[#This Row],[Quantity]]*tblTransactions[[#This Row],[UnitPrice]]</f>
        <v>21602.44</v>
      </c>
      <c r="N586" s="9">
        <f>tblTransactions[[#This Row],[GrossSales]]*tblTransactions[[#This Row],[Discount]]</f>
        <v>2160.2440000000001</v>
      </c>
      <c r="O586" s="9">
        <f>tblTransactions[[#This Row],[GrossSales]]-tblTransactions[[#This Row],[DiscountAmount]]</f>
        <v>19442.196</v>
      </c>
      <c r="P586" s="9">
        <f>_xlfn.XLOOKUP(tblTransactions[[#This Row],[ProductID]],tblProducts[ProductID],tblProducts[UnitCost])</f>
        <v>13134.58</v>
      </c>
      <c r="Q586" s="9">
        <f>tblTransactions[[#This Row],[Quantity]]*tblTransactions[[#This Row],[UnitCost]]</f>
        <v>13134.58</v>
      </c>
      <c r="R586" s="9">
        <f>tblTransactions[[#This Row],[NetRevenue]]-tblTransactions[[#This Row],[TotalCost]]</f>
        <v>6307.616</v>
      </c>
      <c r="S586" t="str">
        <f>_xlfn.XLOOKUP(tblTransactions[[#This Row],[ProductID]],tblProducts[ProductID],tblProducts[Category])</f>
        <v>Electronics</v>
      </c>
    </row>
    <row r="587" spans="1:19">
      <c r="A587" t="s">
        <v>16904</v>
      </c>
      <c r="B587" s="1">
        <v>45585</v>
      </c>
      <c r="C587" t="s">
        <v>4553</v>
      </c>
      <c r="D587" t="str">
        <f>_xlfn.XLOOKUP(tblTransactions[[#This Row],[CustomerID]],tblCustomers[CustomerID],tblCustomers[CustomerName])</f>
        <v>Qushi Mandal</v>
      </c>
      <c r="E587" t="s">
        <v>16175</v>
      </c>
      <c r="F587" t="str">
        <f>_xlfn.XLOOKUP(tblTransactions[[#This Row],[ProductID]],tblProducts[ProductID],tblProducts[ProductName])</f>
        <v>Soft Drink B7</v>
      </c>
      <c r="G587" t="s">
        <v>16305</v>
      </c>
      <c r="H587" t="str">
        <f>_xlfn.XLOOKUP(tblTransactions[[#This Row],[StoreID]],tblStores[StoreID],tblStores[Region])</f>
        <v>South</v>
      </c>
      <c r="I587">
        <v>4</v>
      </c>
      <c r="J587">
        <v>0.1</v>
      </c>
      <c r="K587" t="s">
        <v>16325</v>
      </c>
      <c r="L587" s="9">
        <f>_xlfn.XLOOKUP(tblTransactions[[#This Row],[ProductID]],tblProducts[ProductID],tblProducts[UnitPrice])</f>
        <v>343.15</v>
      </c>
      <c r="M587" s="9">
        <f>tblTransactions[[#This Row],[Quantity]]*tblTransactions[[#This Row],[UnitPrice]]</f>
        <v>1372.6</v>
      </c>
      <c r="N587" s="9">
        <f>tblTransactions[[#This Row],[GrossSales]]*tblTransactions[[#This Row],[Discount]]</f>
        <v>137.26</v>
      </c>
      <c r="O587" s="9">
        <f>tblTransactions[[#This Row],[GrossSales]]-tblTransactions[[#This Row],[DiscountAmount]]</f>
        <v>1235.3399999999999</v>
      </c>
      <c r="P587" s="9">
        <f>_xlfn.XLOOKUP(tblTransactions[[#This Row],[ProductID]],tblProducts[ProductID],tblProducts[UnitCost])</f>
        <v>192.59</v>
      </c>
      <c r="Q587" s="9">
        <f>tblTransactions[[#This Row],[Quantity]]*tblTransactions[[#This Row],[UnitCost]]</f>
        <v>770.36</v>
      </c>
      <c r="R587" s="9">
        <f>tblTransactions[[#This Row],[NetRevenue]]-tblTransactions[[#This Row],[TotalCost]]</f>
        <v>464.9799999999999</v>
      </c>
      <c r="S587" t="str">
        <f>_xlfn.XLOOKUP(tblTransactions[[#This Row],[ProductID]],tblProducts[ProductID],tblProducts[Category])</f>
        <v>Grocery</v>
      </c>
    </row>
    <row r="588" spans="1:19">
      <c r="A588" t="s">
        <v>16905</v>
      </c>
      <c r="B588" s="1">
        <v>45586</v>
      </c>
      <c r="C588" t="s">
        <v>12085</v>
      </c>
      <c r="D588" t="str">
        <f>_xlfn.XLOOKUP(tblTransactions[[#This Row],[CustomerID]],tblCustomers[CustomerID],tblCustomers[CustomerName])</f>
        <v>Robert Sidhu</v>
      </c>
      <c r="E588" t="s">
        <v>16078</v>
      </c>
      <c r="F588" t="str">
        <f>_xlfn.XLOOKUP(tblTransactions[[#This Row],[ProductID]],tblProducts[ProductID],tblProducts[ProductName])</f>
        <v>Men's Jacket D4</v>
      </c>
      <c r="G588" t="s">
        <v>16287</v>
      </c>
      <c r="H588" t="str">
        <f>_xlfn.XLOOKUP(tblTransactions[[#This Row],[StoreID]],tblStores[StoreID],tblStores[Region])</f>
        <v>North</v>
      </c>
      <c r="I588">
        <v>4</v>
      </c>
      <c r="J588">
        <v>0.15</v>
      </c>
      <c r="K588" t="s">
        <v>16315</v>
      </c>
      <c r="L588" s="9">
        <f>_xlfn.XLOOKUP(tblTransactions[[#This Row],[ProductID]],tblProducts[ProductID],tblProducts[UnitPrice])</f>
        <v>4654.63</v>
      </c>
      <c r="M588" s="9">
        <f>tblTransactions[[#This Row],[Quantity]]*tblTransactions[[#This Row],[UnitPrice]]</f>
        <v>18618.52</v>
      </c>
      <c r="N588" s="9">
        <f>tblTransactions[[#This Row],[GrossSales]]*tblTransactions[[#This Row],[Discount]]</f>
        <v>2792.7779999999998</v>
      </c>
      <c r="O588" s="9">
        <f>tblTransactions[[#This Row],[GrossSales]]-tblTransactions[[#This Row],[DiscountAmount]]</f>
        <v>15825.742</v>
      </c>
      <c r="P588" s="9">
        <f>_xlfn.XLOOKUP(tblTransactions[[#This Row],[ProductID]],tblProducts[ProductID],tblProducts[UnitCost])</f>
        <v>2675.18</v>
      </c>
      <c r="Q588" s="9">
        <f>tblTransactions[[#This Row],[Quantity]]*tblTransactions[[#This Row],[UnitCost]]</f>
        <v>10700.72</v>
      </c>
      <c r="R588" s="9">
        <f>tblTransactions[[#This Row],[NetRevenue]]-tblTransactions[[#This Row],[TotalCost]]</f>
        <v>5125.0220000000008</v>
      </c>
      <c r="S588" t="str">
        <f>_xlfn.XLOOKUP(tblTransactions[[#This Row],[ProductID]],tblProducts[ProductID],tblProducts[Category])</f>
        <v>Clothing</v>
      </c>
    </row>
    <row r="589" spans="1:19">
      <c r="A589" t="s">
        <v>16906</v>
      </c>
      <c r="B589" s="1">
        <v>45586</v>
      </c>
      <c r="C589" t="s">
        <v>10631</v>
      </c>
      <c r="D589" t="str">
        <f>_xlfn.XLOOKUP(tblTransactions[[#This Row],[CustomerID]],tblCustomers[CustomerID],tblCustomers[CustomerName])</f>
        <v>Maya Sharma</v>
      </c>
      <c r="E589" t="s">
        <v>16208</v>
      </c>
      <c r="F589" t="str">
        <f>_xlfn.XLOOKUP(tblTransactions[[#This Row],[ProductID]],tblProducts[ProductID],tblProducts[ProductName])</f>
        <v>Shampoo A1</v>
      </c>
      <c r="G589" t="s">
        <v>16291</v>
      </c>
      <c r="H589" t="str">
        <f>_xlfn.XLOOKUP(tblTransactions[[#This Row],[StoreID]],tblStores[StoreID],tblStores[Region])</f>
        <v>South</v>
      </c>
      <c r="I589">
        <v>1</v>
      </c>
      <c r="J589">
        <v>0</v>
      </c>
      <c r="K589" t="s">
        <v>16325</v>
      </c>
      <c r="L589" s="9">
        <f>_xlfn.XLOOKUP(tblTransactions[[#This Row],[ProductID]],tblProducts[ProductID],tblProducts[UnitPrice])</f>
        <v>3317.98</v>
      </c>
      <c r="M589" s="9">
        <f>tblTransactions[[#This Row],[Quantity]]*tblTransactions[[#This Row],[UnitPrice]]</f>
        <v>3317.98</v>
      </c>
      <c r="N589" s="9">
        <f>tblTransactions[[#This Row],[GrossSales]]*tblTransactions[[#This Row],[Discount]]</f>
        <v>0</v>
      </c>
      <c r="O589" s="9">
        <f>tblTransactions[[#This Row],[GrossSales]]-tblTransactions[[#This Row],[DiscountAmount]]</f>
        <v>3317.98</v>
      </c>
      <c r="P589" s="9">
        <f>_xlfn.XLOOKUP(tblTransactions[[#This Row],[ProductID]],tblProducts[ProductID],tblProducts[UnitCost])</f>
        <v>2151.56</v>
      </c>
      <c r="Q589" s="9">
        <f>tblTransactions[[#This Row],[Quantity]]*tblTransactions[[#This Row],[UnitCost]]</f>
        <v>2151.56</v>
      </c>
      <c r="R589" s="9">
        <f>tblTransactions[[#This Row],[NetRevenue]]-tblTransactions[[#This Row],[TotalCost]]</f>
        <v>1166.42</v>
      </c>
      <c r="S589" t="str">
        <f>_xlfn.XLOOKUP(tblTransactions[[#This Row],[ProductID]],tblProducts[ProductID],tblProducts[Category])</f>
        <v>Personal Care</v>
      </c>
    </row>
    <row r="590" spans="1:19">
      <c r="A590" t="s">
        <v>16907</v>
      </c>
      <c r="B590" s="1">
        <v>45588</v>
      </c>
      <c r="C590" t="s">
        <v>3551</v>
      </c>
      <c r="D590" t="str">
        <f>_xlfn.XLOOKUP(tblTransactions[[#This Row],[CustomerID]],tblCustomers[CustomerID],tblCustomers[CustomerName])</f>
        <v>Yash Garg</v>
      </c>
      <c r="E590" t="s">
        <v>16221</v>
      </c>
      <c r="F590" t="str">
        <f>_xlfn.XLOOKUP(tblTransactions[[#This Row],[ProductID]],tblProducts[ProductID],tblProducts[ProductName])</f>
        <v>Conditioner B7</v>
      </c>
      <c r="G590" t="s">
        <v>16289</v>
      </c>
      <c r="H590" t="str">
        <f>_xlfn.XLOOKUP(tblTransactions[[#This Row],[StoreID]],tblStores[StoreID],tblStores[Region])</f>
        <v>South</v>
      </c>
      <c r="I590">
        <v>1</v>
      </c>
      <c r="J590">
        <v>0.1</v>
      </c>
      <c r="K590" t="s">
        <v>16325</v>
      </c>
      <c r="L590" s="9">
        <f>_xlfn.XLOOKUP(tblTransactions[[#This Row],[ProductID]],tblProducts[ProductID],tblProducts[UnitPrice])</f>
        <v>1702.4</v>
      </c>
      <c r="M590" s="9">
        <f>tblTransactions[[#This Row],[Quantity]]*tblTransactions[[#This Row],[UnitPrice]]</f>
        <v>1702.4</v>
      </c>
      <c r="N590" s="9">
        <f>tblTransactions[[#This Row],[GrossSales]]*tblTransactions[[#This Row],[Discount]]</f>
        <v>170.24</v>
      </c>
      <c r="O590" s="9">
        <f>tblTransactions[[#This Row],[GrossSales]]-tblTransactions[[#This Row],[DiscountAmount]]</f>
        <v>1532.16</v>
      </c>
      <c r="P590" s="9">
        <f>_xlfn.XLOOKUP(tblTransactions[[#This Row],[ProductID]],tblProducts[ProductID],tblProducts[UnitCost])</f>
        <v>1284.8900000000001</v>
      </c>
      <c r="Q590" s="9">
        <f>tblTransactions[[#This Row],[Quantity]]*tblTransactions[[#This Row],[UnitCost]]</f>
        <v>1284.8900000000001</v>
      </c>
      <c r="R590" s="9">
        <f>tblTransactions[[#This Row],[NetRevenue]]-tblTransactions[[#This Row],[TotalCost]]</f>
        <v>247.26999999999998</v>
      </c>
      <c r="S590" t="str">
        <f>_xlfn.XLOOKUP(tblTransactions[[#This Row],[ProductID]],tblProducts[ProductID],tblProducts[Category])</f>
        <v>Personal Care</v>
      </c>
    </row>
    <row r="591" spans="1:19">
      <c r="A591" t="s">
        <v>16908</v>
      </c>
      <c r="B591" s="1">
        <v>45588</v>
      </c>
      <c r="C591" t="s">
        <v>2329</v>
      </c>
      <c r="D591" t="str">
        <f>_xlfn.XLOOKUP(tblTransactions[[#This Row],[CustomerID]],tblCustomers[CustomerID],tblCustomers[CustomerName])</f>
        <v>Vansha Rajagopal</v>
      </c>
      <c r="E591" t="s">
        <v>16160</v>
      </c>
      <c r="F591" t="str">
        <f>_xlfn.XLOOKUP(tblTransactions[[#This Row],[ProductID]],tblProducts[ProductID],tblProducts[ProductName])</f>
        <v>Namkeen B7</v>
      </c>
      <c r="G591" t="s">
        <v>16299</v>
      </c>
      <c r="H591" t="str">
        <f>_xlfn.XLOOKUP(tblTransactions[[#This Row],[StoreID]],tblStores[StoreID],tblStores[Region])</f>
        <v>South</v>
      </c>
      <c r="I591">
        <v>3</v>
      </c>
      <c r="J591">
        <v>0.1</v>
      </c>
      <c r="K591" t="s">
        <v>16321</v>
      </c>
      <c r="L591" s="9">
        <f>_xlfn.XLOOKUP(tblTransactions[[#This Row],[ProductID]],tblProducts[ProductID],tblProducts[UnitPrice])</f>
        <v>1123.58</v>
      </c>
      <c r="M591" s="9">
        <f>tblTransactions[[#This Row],[Quantity]]*tblTransactions[[#This Row],[UnitPrice]]</f>
        <v>3370.74</v>
      </c>
      <c r="N591" s="9">
        <f>tblTransactions[[#This Row],[GrossSales]]*tblTransactions[[#This Row],[Discount]]</f>
        <v>337.07400000000001</v>
      </c>
      <c r="O591" s="9">
        <f>tblTransactions[[#This Row],[GrossSales]]-tblTransactions[[#This Row],[DiscountAmount]]</f>
        <v>3033.6659999999997</v>
      </c>
      <c r="P591" s="9">
        <f>_xlfn.XLOOKUP(tblTransactions[[#This Row],[ProductID]],tblProducts[ProductID],tblProducts[UnitCost])</f>
        <v>665.75</v>
      </c>
      <c r="Q591" s="9">
        <f>tblTransactions[[#This Row],[Quantity]]*tblTransactions[[#This Row],[UnitCost]]</f>
        <v>1997.25</v>
      </c>
      <c r="R591" s="9">
        <f>tblTransactions[[#This Row],[NetRevenue]]-tblTransactions[[#This Row],[TotalCost]]</f>
        <v>1036.4159999999997</v>
      </c>
      <c r="S591" t="str">
        <f>_xlfn.XLOOKUP(tblTransactions[[#This Row],[ProductID]],tblProducts[ProductID],tblProducts[Category])</f>
        <v>Grocery</v>
      </c>
    </row>
    <row r="592" spans="1:19">
      <c r="A592" t="s">
        <v>16909</v>
      </c>
      <c r="B592" s="1">
        <v>45588</v>
      </c>
      <c r="C592" t="s">
        <v>3154</v>
      </c>
      <c r="D592" t="str">
        <f>_xlfn.XLOOKUP(tblTransactions[[#This Row],[CustomerID]],tblCustomers[CustomerID],tblCustomers[CustomerName])</f>
        <v>Upadhriti Bhat</v>
      </c>
      <c r="E592" t="s">
        <v>15999</v>
      </c>
      <c r="F592" t="str">
        <f>_xlfn.XLOOKUP(tblTransactions[[#This Row],[ProductID]],tblProducts[ProductID],tblProducts[ProductName])</f>
        <v>Wireless Charger C3</v>
      </c>
      <c r="G592" t="s">
        <v>16307</v>
      </c>
      <c r="H592" t="str">
        <f>_xlfn.XLOOKUP(tblTransactions[[#This Row],[StoreID]],tblStores[StoreID],tblStores[Region])</f>
        <v>East</v>
      </c>
      <c r="I592">
        <v>1</v>
      </c>
      <c r="J592">
        <v>0</v>
      </c>
      <c r="K592" t="s">
        <v>16317</v>
      </c>
      <c r="L592" s="9">
        <f>_xlfn.XLOOKUP(tblTransactions[[#This Row],[ProductID]],tblProducts[ProductID],tblProducts[UnitPrice])</f>
        <v>70426.350000000006</v>
      </c>
      <c r="M592" s="9">
        <f>tblTransactions[[#This Row],[Quantity]]*tblTransactions[[#This Row],[UnitPrice]]</f>
        <v>70426.350000000006</v>
      </c>
      <c r="N592" s="9">
        <f>tblTransactions[[#This Row],[GrossSales]]*tblTransactions[[#This Row],[Discount]]</f>
        <v>0</v>
      </c>
      <c r="O592" s="9">
        <f>tblTransactions[[#This Row],[GrossSales]]-tblTransactions[[#This Row],[DiscountAmount]]</f>
        <v>70426.350000000006</v>
      </c>
      <c r="P592" s="9">
        <f>_xlfn.XLOOKUP(tblTransactions[[#This Row],[ProductID]],tblProducts[ProductID],tblProducts[UnitCost])</f>
        <v>41048.31</v>
      </c>
      <c r="Q592" s="9">
        <f>tblTransactions[[#This Row],[Quantity]]*tblTransactions[[#This Row],[UnitCost]]</f>
        <v>41048.31</v>
      </c>
      <c r="R592" s="9">
        <f>tblTransactions[[#This Row],[NetRevenue]]-tblTransactions[[#This Row],[TotalCost]]</f>
        <v>29378.040000000008</v>
      </c>
      <c r="S592" t="str">
        <f>_xlfn.XLOOKUP(tblTransactions[[#This Row],[ProductID]],tblProducts[ProductID],tblProducts[Category])</f>
        <v>Electronics</v>
      </c>
    </row>
    <row r="593" spans="1:19">
      <c r="A593" t="s">
        <v>16910</v>
      </c>
      <c r="B593" s="1">
        <v>45589</v>
      </c>
      <c r="C593" t="s">
        <v>9650</v>
      </c>
      <c r="D593" t="str">
        <f>_xlfn.XLOOKUP(tblTransactions[[#This Row],[CustomerID]],tblCustomers[CustomerID],tblCustomers[CustomerName])</f>
        <v>Gayathri Dutta</v>
      </c>
      <c r="E593" t="s">
        <v>15935</v>
      </c>
      <c r="F593" t="str">
        <f>_xlfn.XLOOKUP(tblTransactions[[#This Row],[ProductID]],tblProducts[ProductID],tblProducts[ProductName])</f>
        <v>QLED Smart TV D4</v>
      </c>
      <c r="G593" t="s">
        <v>16279</v>
      </c>
      <c r="H593" t="str">
        <f>_xlfn.XLOOKUP(tblTransactions[[#This Row],[StoreID]],tblStores[StoreID],tblStores[Region])</f>
        <v>South</v>
      </c>
      <c r="I593">
        <v>1</v>
      </c>
      <c r="J593">
        <v>0</v>
      </c>
      <c r="K593" t="s">
        <v>16321</v>
      </c>
      <c r="L593" s="9">
        <f>_xlfn.XLOOKUP(tblTransactions[[#This Row],[ProductID]],tblProducts[ProductID],tblProducts[UnitPrice])</f>
        <v>10619.36</v>
      </c>
      <c r="M593" s="9">
        <f>tblTransactions[[#This Row],[Quantity]]*tblTransactions[[#This Row],[UnitPrice]]</f>
        <v>10619.36</v>
      </c>
      <c r="N593" s="9">
        <f>tblTransactions[[#This Row],[GrossSales]]*tblTransactions[[#This Row],[Discount]]</f>
        <v>0</v>
      </c>
      <c r="O593" s="9">
        <f>tblTransactions[[#This Row],[GrossSales]]-tblTransactions[[#This Row],[DiscountAmount]]</f>
        <v>10619.36</v>
      </c>
      <c r="P593" s="9">
        <f>_xlfn.XLOOKUP(tblTransactions[[#This Row],[ProductID]],tblProducts[ProductID],tblProducts[UnitCost])</f>
        <v>6544.82</v>
      </c>
      <c r="Q593" s="9">
        <f>tblTransactions[[#This Row],[Quantity]]*tblTransactions[[#This Row],[UnitCost]]</f>
        <v>6544.82</v>
      </c>
      <c r="R593" s="9">
        <f>tblTransactions[[#This Row],[NetRevenue]]-tblTransactions[[#This Row],[TotalCost]]</f>
        <v>4074.5400000000009</v>
      </c>
      <c r="S593" t="str">
        <f>_xlfn.XLOOKUP(tblTransactions[[#This Row],[ProductID]],tblProducts[ProductID],tblProducts[Category])</f>
        <v>Electronics</v>
      </c>
    </row>
    <row r="594" spans="1:19">
      <c r="A594" t="s">
        <v>16911</v>
      </c>
      <c r="B594" s="1">
        <v>45589</v>
      </c>
      <c r="C594" t="s">
        <v>10559</v>
      </c>
      <c r="D594" t="str">
        <f>_xlfn.XLOOKUP(tblTransactions[[#This Row],[CustomerID]],tblCustomers[CustomerID],tblCustomers[CustomerName])</f>
        <v>Pranit Kapur</v>
      </c>
      <c r="E594" t="s">
        <v>16086</v>
      </c>
      <c r="F594" t="str">
        <f>_xlfn.XLOOKUP(tblTransactions[[#This Row],[ProductID]],tblProducts[ProductID],tblProducts[ProductName])</f>
        <v>Women's Jeans A1</v>
      </c>
      <c r="G594" t="s">
        <v>16265</v>
      </c>
      <c r="H594" t="str">
        <f>_xlfn.XLOOKUP(tblTransactions[[#This Row],[StoreID]],tblStores[StoreID],tblStores[Region])</f>
        <v>North</v>
      </c>
      <c r="I594">
        <v>1</v>
      </c>
      <c r="J594">
        <v>0.05</v>
      </c>
      <c r="K594" t="s">
        <v>16321</v>
      </c>
      <c r="L594" s="9">
        <f>_xlfn.XLOOKUP(tblTransactions[[#This Row],[ProductID]],tblProducts[ProductID],tblProducts[UnitPrice])</f>
        <v>6726.61</v>
      </c>
      <c r="M594" s="9">
        <f>tblTransactions[[#This Row],[Quantity]]*tblTransactions[[#This Row],[UnitPrice]]</f>
        <v>6726.61</v>
      </c>
      <c r="N594" s="9">
        <f>tblTransactions[[#This Row],[GrossSales]]*tblTransactions[[#This Row],[Discount]]</f>
        <v>336.33050000000003</v>
      </c>
      <c r="O594" s="9">
        <f>tblTransactions[[#This Row],[GrossSales]]-tblTransactions[[#This Row],[DiscountAmount]]</f>
        <v>6390.2794999999996</v>
      </c>
      <c r="P594" s="9">
        <f>_xlfn.XLOOKUP(tblTransactions[[#This Row],[ProductID]],tblProducts[ProductID],tblProducts[UnitCost])</f>
        <v>5191.03</v>
      </c>
      <c r="Q594" s="9">
        <f>tblTransactions[[#This Row],[Quantity]]*tblTransactions[[#This Row],[UnitCost]]</f>
        <v>5191.03</v>
      </c>
      <c r="R594" s="9">
        <f>tblTransactions[[#This Row],[NetRevenue]]-tblTransactions[[#This Row],[TotalCost]]</f>
        <v>1199.2494999999999</v>
      </c>
      <c r="S594" t="str">
        <f>_xlfn.XLOOKUP(tblTransactions[[#This Row],[ProductID]],tblProducts[ProductID],tblProducts[Category])</f>
        <v>Clothing</v>
      </c>
    </row>
    <row r="595" spans="1:19">
      <c r="A595" t="s">
        <v>16912</v>
      </c>
      <c r="B595" s="1">
        <v>45590</v>
      </c>
      <c r="C595" t="s">
        <v>6849</v>
      </c>
      <c r="D595" t="str">
        <f>_xlfn.XLOOKUP(tblTransactions[[#This Row],[CustomerID]],tblCustomers[CustomerID],tblCustomers[CustomerName])</f>
        <v>Isha Dewan</v>
      </c>
      <c r="E595" t="s">
        <v>15975</v>
      </c>
      <c r="F595" t="str">
        <f>_xlfn.XLOOKUP(tblTransactions[[#This Row],[ProductID]],tblProducts[ProductID],tblProducts[ProductName])</f>
        <v>Student Laptop B7</v>
      </c>
      <c r="G595" t="s">
        <v>16273</v>
      </c>
      <c r="H595" t="str">
        <f>_xlfn.XLOOKUP(tblTransactions[[#This Row],[StoreID]],tblStores[StoreID],tblStores[Region])</f>
        <v>West</v>
      </c>
      <c r="I595">
        <v>2</v>
      </c>
      <c r="J595">
        <v>0</v>
      </c>
      <c r="K595" t="s">
        <v>16317</v>
      </c>
      <c r="L595" s="9">
        <f>_xlfn.XLOOKUP(tblTransactions[[#This Row],[ProductID]],tblProducts[ProductID],tblProducts[UnitPrice])</f>
        <v>36481.47</v>
      </c>
      <c r="M595" s="9">
        <f>tblTransactions[[#This Row],[Quantity]]*tblTransactions[[#This Row],[UnitPrice]]</f>
        <v>72962.94</v>
      </c>
      <c r="N595" s="9">
        <f>tblTransactions[[#This Row],[GrossSales]]*tblTransactions[[#This Row],[Discount]]</f>
        <v>0</v>
      </c>
      <c r="O595" s="9">
        <f>tblTransactions[[#This Row],[GrossSales]]-tblTransactions[[#This Row],[DiscountAmount]]</f>
        <v>72962.94</v>
      </c>
      <c r="P595" s="9">
        <f>_xlfn.XLOOKUP(tblTransactions[[#This Row],[ProductID]],tblProducts[ProductID],tblProducts[UnitCost])</f>
        <v>30666.16</v>
      </c>
      <c r="Q595" s="9">
        <f>tblTransactions[[#This Row],[Quantity]]*tblTransactions[[#This Row],[UnitCost]]</f>
        <v>61332.32</v>
      </c>
      <c r="R595" s="9">
        <f>tblTransactions[[#This Row],[NetRevenue]]-tblTransactions[[#This Row],[TotalCost]]</f>
        <v>11630.620000000003</v>
      </c>
      <c r="S595" t="str">
        <f>_xlfn.XLOOKUP(tblTransactions[[#This Row],[ProductID]],tblProducts[ProductID],tblProducts[Category])</f>
        <v>Electronics</v>
      </c>
    </row>
    <row r="596" spans="1:19">
      <c r="A596" t="s">
        <v>16913</v>
      </c>
      <c r="B596" s="1">
        <v>45590</v>
      </c>
      <c r="C596" t="s">
        <v>3235</v>
      </c>
      <c r="D596" t="str">
        <f>_xlfn.XLOOKUP(tblTransactions[[#This Row],[CustomerID]],tblCustomers[CustomerID],tblCustomers[CustomerName])</f>
        <v>Chandran Rastogi</v>
      </c>
      <c r="E596" t="s">
        <v>16150</v>
      </c>
      <c r="F596" t="str">
        <f>_xlfn.XLOOKUP(tblTransactions[[#This Row],[ProductID]],tblProducts[ProductID],tblProducts[ProductName])</f>
        <v>Chocolate B2</v>
      </c>
      <c r="G596" t="s">
        <v>16256</v>
      </c>
      <c r="H596" t="str">
        <f>_xlfn.XLOOKUP(tblTransactions[[#This Row],[StoreID]],tblStores[StoreID],tblStores[Region])</f>
        <v>East</v>
      </c>
      <c r="I596">
        <v>2</v>
      </c>
      <c r="J596">
        <v>0</v>
      </c>
      <c r="K596" t="s">
        <v>16321</v>
      </c>
      <c r="L596" s="9">
        <f>_xlfn.XLOOKUP(tblTransactions[[#This Row],[ProductID]],tblProducts[ProductID],tblProducts[UnitPrice])</f>
        <v>500.73</v>
      </c>
      <c r="M596" s="9">
        <f>tblTransactions[[#This Row],[Quantity]]*tblTransactions[[#This Row],[UnitPrice]]</f>
        <v>1001.46</v>
      </c>
      <c r="N596" s="9">
        <f>tblTransactions[[#This Row],[GrossSales]]*tblTransactions[[#This Row],[Discount]]</f>
        <v>0</v>
      </c>
      <c r="O596" s="9">
        <f>tblTransactions[[#This Row],[GrossSales]]-tblTransactions[[#This Row],[DiscountAmount]]</f>
        <v>1001.46</v>
      </c>
      <c r="P596" s="9">
        <f>_xlfn.XLOOKUP(tblTransactions[[#This Row],[ProductID]],tblProducts[ProductID],tblProducts[UnitCost])</f>
        <v>407.66</v>
      </c>
      <c r="Q596" s="9">
        <f>tblTransactions[[#This Row],[Quantity]]*tblTransactions[[#This Row],[UnitCost]]</f>
        <v>815.32</v>
      </c>
      <c r="R596" s="9">
        <f>tblTransactions[[#This Row],[NetRevenue]]-tblTransactions[[#This Row],[TotalCost]]</f>
        <v>186.14</v>
      </c>
      <c r="S596" t="str">
        <f>_xlfn.XLOOKUP(tblTransactions[[#This Row],[ProductID]],tblProducts[ProductID],tblProducts[Category])</f>
        <v>Grocery</v>
      </c>
    </row>
    <row r="597" spans="1:19">
      <c r="A597" t="s">
        <v>16914</v>
      </c>
      <c r="B597" s="1">
        <v>45593</v>
      </c>
      <c r="C597" t="s">
        <v>10119</v>
      </c>
      <c r="D597" t="str">
        <f>_xlfn.XLOOKUP(tblTransactions[[#This Row],[CustomerID]],tblCustomers[CustomerID],tblCustomers[CustomerName])</f>
        <v>Zarna Divan</v>
      </c>
      <c r="E597" t="s">
        <v>16089</v>
      </c>
      <c r="F597" t="str">
        <f>_xlfn.XLOOKUP(tblTransactions[[#This Row],[ProductID]],tblProducts[ProductID],tblProducts[ProductName])</f>
        <v>Women's Jeans B2</v>
      </c>
      <c r="G597" t="s">
        <v>16307</v>
      </c>
      <c r="H597" t="str">
        <f>_xlfn.XLOOKUP(tblTransactions[[#This Row],[StoreID]],tblStores[StoreID],tblStores[Region])</f>
        <v>East</v>
      </c>
      <c r="I597">
        <v>2</v>
      </c>
      <c r="J597">
        <v>0.2</v>
      </c>
      <c r="K597" t="s">
        <v>16317</v>
      </c>
      <c r="L597" s="9">
        <f>_xlfn.XLOOKUP(tblTransactions[[#This Row],[ProductID]],tblProducts[ProductID],tblProducts[UnitPrice])</f>
        <v>7788.99</v>
      </c>
      <c r="M597" s="9">
        <f>tblTransactions[[#This Row],[Quantity]]*tblTransactions[[#This Row],[UnitPrice]]</f>
        <v>15577.98</v>
      </c>
      <c r="N597" s="9">
        <f>tblTransactions[[#This Row],[GrossSales]]*tblTransactions[[#This Row],[Discount]]</f>
        <v>3115.596</v>
      </c>
      <c r="O597" s="9">
        <f>tblTransactions[[#This Row],[GrossSales]]-tblTransactions[[#This Row],[DiscountAmount]]</f>
        <v>12462.384</v>
      </c>
      <c r="P597" s="9">
        <f>_xlfn.XLOOKUP(tblTransactions[[#This Row],[ProductID]],tblProducts[ProductID],tblProducts[UnitCost])</f>
        <v>6231.21</v>
      </c>
      <c r="Q597" s="9">
        <f>tblTransactions[[#This Row],[Quantity]]*tblTransactions[[#This Row],[UnitCost]]</f>
        <v>12462.42</v>
      </c>
      <c r="R597" s="9">
        <f>tblTransactions[[#This Row],[NetRevenue]]-tblTransactions[[#This Row],[TotalCost]]</f>
        <v>-3.6000000000058208E-2</v>
      </c>
      <c r="S597" t="str">
        <f>_xlfn.XLOOKUP(tblTransactions[[#This Row],[ProductID]],tblProducts[ProductID],tblProducts[Category])</f>
        <v>Clothing</v>
      </c>
    </row>
    <row r="598" spans="1:19">
      <c r="A598" t="s">
        <v>16915</v>
      </c>
      <c r="B598" s="1">
        <v>45593</v>
      </c>
      <c r="C598" t="s">
        <v>8667</v>
      </c>
      <c r="D598" t="str">
        <f>_xlfn.XLOOKUP(tblTransactions[[#This Row],[CustomerID]],tblCustomers[CustomerID],tblCustomers[CustomerName])</f>
        <v>Maanas Basak</v>
      </c>
      <c r="E598" t="s">
        <v>16175</v>
      </c>
      <c r="F598" t="str">
        <f>_xlfn.XLOOKUP(tblTransactions[[#This Row],[ProductID]],tblProducts[ProductID],tblProducts[ProductName])</f>
        <v>Soft Drink B7</v>
      </c>
      <c r="G598" t="s">
        <v>16267</v>
      </c>
      <c r="H598" t="str">
        <f>_xlfn.XLOOKUP(tblTransactions[[#This Row],[StoreID]],tblStores[StoreID],tblStores[Region])</f>
        <v>West</v>
      </c>
      <c r="I598">
        <v>1</v>
      </c>
      <c r="J598">
        <v>0.05</v>
      </c>
      <c r="K598" t="s">
        <v>16321</v>
      </c>
      <c r="L598" s="9">
        <f>_xlfn.XLOOKUP(tblTransactions[[#This Row],[ProductID]],tblProducts[ProductID],tblProducts[UnitPrice])</f>
        <v>343.15</v>
      </c>
      <c r="M598" s="9">
        <f>tblTransactions[[#This Row],[Quantity]]*tblTransactions[[#This Row],[UnitPrice]]</f>
        <v>343.15</v>
      </c>
      <c r="N598" s="9">
        <f>tblTransactions[[#This Row],[GrossSales]]*tblTransactions[[#This Row],[Discount]]</f>
        <v>17.157499999999999</v>
      </c>
      <c r="O598" s="9">
        <f>tblTransactions[[#This Row],[GrossSales]]-tblTransactions[[#This Row],[DiscountAmount]]</f>
        <v>325.99249999999995</v>
      </c>
      <c r="P598" s="9">
        <f>_xlfn.XLOOKUP(tblTransactions[[#This Row],[ProductID]],tblProducts[ProductID],tblProducts[UnitCost])</f>
        <v>192.59</v>
      </c>
      <c r="Q598" s="9">
        <f>tblTransactions[[#This Row],[Quantity]]*tblTransactions[[#This Row],[UnitCost]]</f>
        <v>192.59</v>
      </c>
      <c r="R598" s="9">
        <f>tblTransactions[[#This Row],[NetRevenue]]-tblTransactions[[#This Row],[TotalCost]]</f>
        <v>133.40249999999995</v>
      </c>
      <c r="S598" t="str">
        <f>_xlfn.XLOOKUP(tblTransactions[[#This Row],[ProductID]],tblProducts[ProductID],tblProducts[Category])</f>
        <v>Grocery</v>
      </c>
    </row>
    <row r="599" spans="1:19">
      <c r="A599" t="s">
        <v>16916</v>
      </c>
      <c r="B599" s="1">
        <v>45595</v>
      </c>
      <c r="C599" t="s">
        <v>9525</v>
      </c>
      <c r="D599" t="str">
        <f>_xlfn.XLOOKUP(tblTransactions[[#This Row],[CustomerID]],tblCustomers[CustomerID],tblCustomers[CustomerName])</f>
        <v>Keya Mistry</v>
      </c>
      <c r="E599" t="s">
        <v>16213</v>
      </c>
      <c r="F599" t="str">
        <f>_xlfn.XLOOKUP(tblTransactions[[#This Row],[ProductID]],tblProducts[ProductID],tblProducts[ProductName])</f>
        <v>Hair Serum C3</v>
      </c>
      <c r="G599" t="s">
        <v>16275</v>
      </c>
      <c r="H599" t="str">
        <f>_xlfn.XLOOKUP(tblTransactions[[#This Row],[StoreID]],tblStores[StoreID],tblStores[Region])</f>
        <v>South</v>
      </c>
      <c r="I599">
        <v>1</v>
      </c>
      <c r="J599">
        <v>0</v>
      </c>
      <c r="K599" t="s">
        <v>16317</v>
      </c>
      <c r="L599" s="9">
        <f>_xlfn.XLOOKUP(tblTransactions[[#This Row],[ProductID]],tblProducts[ProductID],tblProducts[UnitPrice])</f>
        <v>4869.55</v>
      </c>
      <c r="M599" s="9">
        <f>tblTransactions[[#This Row],[Quantity]]*tblTransactions[[#This Row],[UnitPrice]]</f>
        <v>4869.55</v>
      </c>
      <c r="N599" s="9">
        <f>tblTransactions[[#This Row],[GrossSales]]*tblTransactions[[#This Row],[Discount]]</f>
        <v>0</v>
      </c>
      <c r="O599" s="9">
        <f>tblTransactions[[#This Row],[GrossSales]]-tblTransactions[[#This Row],[DiscountAmount]]</f>
        <v>4869.55</v>
      </c>
      <c r="P599" s="9">
        <f>_xlfn.XLOOKUP(tblTransactions[[#This Row],[ProductID]],tblProducts[ProductID],tblProducts[UnitCost])</f>
        <v>3039.73</v>
      </c>
      <c r="Q599" s="9">
        <f>tblTransactions[[#This Row],[Quantity]]*tblTransactions[[#This Row],[UnitCost]]</f>
        <v>3039.73</v>
      </c>
      <c r="R599" s="9">
        <f>tblTransactions[[#This Row],[NetRevenue]]-tblTransactions[[#This Row],[TotalCost]]</f>
        <v>1829.8200000000002</v>
      </c>
      <c r="S599" t="str">
        <f>_xlfn.XLOOKUP(tblTransactions[[#This Row],[ProductID]],tblProducts[ProductID],tblProducts[Category])</f>
        <v>Personal Care</v>
      </c>
    </row>
    <row r="600" spans="1:19">
      <c r="A600" t="s">
        <v>16917</v>
      </c>
      <c r="B600" s="1">
        <v>45596</v>
      </c>
      <c r="C600" t="s">
        <v>4793</v>
      </c>
      <c r="D600" t="str">
        <f>_xlfn.XLOOKUP(tblTransactions[[#This Row],[CustomerID]],tblCustomers[CustomerID],tblCustomers[CustomerName])</f>
        <v>Hamsini Murty</v>
      </c>
      <c r="E600" t="s">
        <v>15982</v>
      </c>
      <c r="F600" t="str">
        <f>_xlfn.XLOOKUP(tblTransactions[[#This Row],[ProductID]],tblProducts[ProductID],tblProducts[ProductName])</f>
        <v>Earbuds B2</v>
      </c>
      <c r="G600" t="s">
        <v>16256</v>
      </c>
      <c r="H600" t="str">
        <f>_xlfn.XLOOKUP(tblTransactions[[#This Row],[StoreID]],tblStores[StoreID],tblStores[Region])</f>
        <v>East</v>
      </c>
      <c r="I600">
        <v>1</v>
      </c>
      <c r="J600">
        <v>0.05</v>
      </c>
      <c r="K600" t="s">
        <v>16321</v>
      </c>
      <c r="L600" s="9">
        <f>_xlfn.XLOOKUP(tblTransactions[[#This Row],[ProductID]],tblProducts[ProductID],tblProducts[UnitPrice])</f>
        <v>43098.98</v>
      </c>
      <c r="M600" s="9">
        <f>tblTransactions[[#This Row],[Quantity]]*tblTransactions[[#This Row],[UnitPrice]]</f>
        <v>43098.98</v>
      </c>
      <c r="N600" s="9">
        <f>tblTransactions[[#This Row],[GrossSales]]*tblTransactions[[#This Row],[Discount]]</f>
        <v>2154.9490000000001</v>
      </c>
      <c r="O600" s="9">
        <f>tblTransactions[[#This Row],[GrossSales]]-tblTransactions[[#This Row],[DiscountAmount]]</f>
        <v>40944.031000000003</v>
      </c>
      <c r="P600" s="9">
        <f>_xlfn.XLOOKUP(tblTransactions[[#This Row],[ProductID]],tblProducts[ProductID],tblProducts[UnitCost])</f>
        <v>29477.79</v>
      </c>
      <c r="Q600" s="9">
        <f>tblTransactions[[#This Row],[Quantity]]*tblTransactions[[#This Row],[UnitCost]]</f>
        <v>29477.79</v>
      </c>
      <c r="R600" s="9">
        <f>tblTransactions[[#This Row],[NetRevenue]]-tblTransactions[[#This Row],[TotalCost]]</f>
        <v>11466.241000000002</v>
      </c>
      <c r="S600" t="str">
        <f>_xlfn.XLOOKUP(tblTransactions[[#This Row],[ProductID]],tblProducts[ProductID],tblProducts[Category])</f>
        <v>Electronics</v>
      </c>
    </row>
    <row r="601" spans="1:19">
      <c r="A601" t="s">
        <v>16918</v>
      </c>
      <c r="B601" s="1">
        <v>45598</v>
      </c>
      <c r="C601" t="s">
        <v>10006</v>
      </c>
      <c r="D601" t="str">
        <f>_xlfn.XLOOKUP(tblTransactions[[#This Row],[CustomerID]],tblCustomers[CustomerID],tblCustomers[CustomerName])</f>
        <v>Lajita Sodhi</v>
      </c>
      <c r="E601" t="s">
        <v>16154</v>
      </c>
      <c r="F601" t="str">
        <f>_xlfn.XLOOKUP(tblTransactions[[#This Row],[ProductID]],tblProducts[ProductID],tblProducts[ProductName])</f>
        <v>Namkeen D4</v>
      </c>
      <c r="G601" t="s">
        <v>16259</v>
      </c>
      <c r="H601" t="str">
        <f>_xlfn.XLOOKUP(tblTransactions[[#This Row],[StoreID]],tblStores[StoreID],tblStores[Region])</f>
        <v>East</v>
      </c>
      <c r="I601">
        <v>3</v>
      </c>
      <c r="J601">
        <v>0</v>
      </c>
      <c r="K601" t="s">
        <v>16321</v>
      </c>
      <c r="L601" s="9">
        <f>_xlfn.XLOOKUP(tblTransactions[[#This Row],[ProductID]],tblProducts[ProductID],tblProducts[UnitPrice])</f>
        <v>881.18</v>
      </c>
      <c r="M601" s="9">
        <f>tblTransactions[[#This Row],[Quantity]]*tblTransactions[[#This Row],[UnitPrice]]</f>
        <v>2643.54</v>
      </c>
      <c r="N601" s="9">
        <f>tblTransactions[[#This Row],[GrossSales]]*tblTransactions[[#This Row],[Discount]]</f>
        <v>0</v>
      </c>
      <c r="O601" s="9">
        <f>tblTransactions[[#This Row],[GrossSales]]-tblTransactions[[#This Row],[DiscountAmount]]</f>
        <v>2643.54</v>
      </c>
      <c r="P601" s="9">
        <f>_xlfn.XLOOKUP(tblTransactions[[#This Row],[ProductID]],tblProducts[ProductID],tblProducts[UnitCost])</f>
        <v>626.67999999999995</v>
      </c>
      <c r="Q601" s="9">
        <f>tblTransactions[[#This Row],[Quantity]]*tblTransactions[[#This Row],[UnitCost]]</f>
        <v>1880.04</v>
      </c>
      <c r="R601" s="9">
        <f>tblTransactions[[#This Row],[NetRevenue]]-tblTransactions[[#This Row],[TotalCost]]</f>
        <v>763.5</v>
      </c>
      <c r="S601" t="str">
        <f>_xlfn.XLOOKUP(tblTransactions[[#This Row],[ProductID]],tblProducts[ProductID],tblProducts[Category])</f>
        <v>Grocery</v>
      </c>
    </row>
    <row r="602" spans="1:19">
      <c r="A602" t="s">
        <v>16919</v>
      </c>
      <c r="B602" s="1">
        <v>45599</v>
      </c>
      <c r="C602" t="s">
        <v>3287</v>
      </c>
      <c r="D602" t="str">
        <f>_xlfn.XLOOKUP(tblTransactions[[#This Row],[CustomerID]],tblCustomers[CustomerID],tblCustomers[CustomerName])</f>
        <v>Jagvi Chokshi</v>
      </c>
      <c r="E602" t="s">
        <v>15956</v>
      </c>
      <c r="F602" t="str">
        <f>_xlfn.XLOOKUP(tblTransactions[[#This Row],[ProductID]],tblProducts[ProductID],tblProducts[ProductName])</f>
        <v>Budget Smartphone A6</v>
      </c>
      <c r="G602" t="s">
        <v>16293</v>
      </c>
      <c r="H602" t="str">
        <f>_xlfn.XLOOKUP(tblTransactions[[#This Row],[StoreID]],tblStores[StoreID],tblStores[Region])</f>
        <v>South</v>
      </c>
      <c r="I602">
        <v>1</v>
      </c>
      <c r="J602">
        <v>0</v>
      </c>
      <c r="K602" t="s">
        <v>16315</v>
      </c>
      <c r="L602" s="9">
        <f>_xlfn.XLOOKUP(tblTransactions[[#This Row],[ProductID]],tblProducts[ProductID],tblProducts[UnitPrice])</f>
        <v>9246.34</v>
      </c>
      <c r="M602" s="9">
        <f>tblTransactions[[#This Row],[Quantity]]*tblTransactions[[#This Row],[UnitPrice]]</f>
        <v>9246.34</v>
      </c>
      <c r="N602" s="9">
        <f>tblTransactions[[#This Row],[GrossSales]]*tblTransactions[[#This Row],[Discount]]</f>
        <v>0</v>
      </c>
      <c r="O602" s="9">
        <f>tblTransactions[[#This Row],[GrossSales]]-tblTransactions[[#This Row],[DiscountAmount]]</f>
        <v>9246.34</v>
      </c>
      <c r="P602" s="9">
        <f>_xlfn.XLOOKUP(tblTransactions[[#This Row],[ProductID]],tblProducts[ProductID],tblProducts[UnitCost])</f>
        <v>7613.27</v>
      </c>
      <c r="Q602" s="9">
        <f>tblTransactions[[#This Row],[Quantity]]*tblTransactions[[#This Row],[UnitCost]]</f>
        <v>7613.27</v>
      </c>
      <c r="R602" s="9">
        <f>tblTransactions[[#This Row],[NetRevenue]]-tblTransactions[[#This Row],[TotalCost]]</f>
        <v>1633.0699999999997</v>
      </c>
      <c r="S602" t="str">
        <f>_xlfn.XLOOKUP(tblTransactions[[#This Row],[ProductID]],tblProducts[ProductID],tblProducts[Category])</f>
        <v>Electronics</v>
      </c>
    </row>
    <row r="603" spans="1:19">
      <c r="A603" t="s">
        <v>16920</v>
      </c>
      <c r="B603" s="1">
        <v>45601</v>
      </c>
      <c r="C603" t="s">
        <v>8293</v>
      </c>
      <c r="D603" t="str">
        <f>_xlfn.XLOOKUP(tblTransactions[[#This Row],[CustomerID]],tblCustomers[CustomerID],tblCustomers[CustomerName])</f>
        <v>Jatin Doshi</v>
      </c>
      <c r="E603" t="s">
        <v>16156</v>
      </c>
      <c r="F603" t="str">
        <f>_xlfn.XLOOKUP(tblTransactions[[#This Row],[ProductID]],tblProducts[ProductID],tblProducts[ProductName])</f>
        <v>Chocolate E5</v>
      </c>
      <c r="G603" t="s">
        <v>16267</v>
      </c>
      <c r="H603" t="str">
        <f>_xlfn.XLOOKUP(tblTransactions[[#This Row],[StoreID]],tblStores[StoreID],tblStores[Region])</f>
        <v>West</v>
      </c>
      <c r="I603">
        <v>2</v>
      </c>
      <c r="J603">
        <v>0.1</v>
      </c>
      <c r="K603" t="s">
        <v>16317</v>
      </c>
      <c r="L603" s="9">
        <f>_xlfn.XLOOKUP(tblTransactions[[#This Row],[ProductID]],tblProducts[ProductID],tblProducts[UnitPrice])</f>
        <v>817.37</v>
      </c>
      <c r="M603" s="9">
        <f>tblTransactions[[#This Row],[Quantity]]*tblTransactions[[#This Row],[UnitPrice]]</f>
        <v>1634.74</v>
      </c>
      <c r="N603" s="9">
        <f>tblTransactions[[#This Row],[GrossSales]]*tblTransactions[[#This Row],[Discount]]</f>
        <v>163.47400000000002</v>
      </c>
      <c r="O603" s="9">
        <f>tblTransactions[[#This Row],[GrossSales]]-tblTransactions[[#This Row],[DiscountAmount]]</f>
        <v>1471.2660000000001</v>
      </c>
      <c r="P603" s="9">
        <f>_xlfn.XLOOKUP(tblTransactions[[#This Row],[ProductID]],tblProducts[ProductID],tblProducts[UnitCost])</f>
        <v>595.03</v>
      </c>
      <c r="Q603" s="9">
        <f>tblTransactions[[#This Row],[Quantity]]*tblTransactions[[#This Row],[UnitCost]]</f>
        <v>1190.06</v>
      </c>
      <c r="R603" s="9">
        <f>tblTransactions[[#This Row],[NetRevenue]]-tblTransactions[[#This Row],[TotalCost]]</f>
        <v>281.20600000000013</v>
      </c>
      <c r="S603" t="str">
        <f>_xlfn.XLOOKUP(tblTransactions[[#This Row],[ProductID]],tblProducts[ProductID],tblProducts[Category])</f>
        <v>Grocery</v>
      </c>
    </row>
    <row r="604" spans="1:19">
      <c r="A604" t="s">
        <v>16921</v>
      </c>
      <c r="B604" s="1">
        <v>45603</v>
      </c>
      <c r="C604" t="s">
        <v>8271</v>
      </c>
      <c r="D604" t="str">
        <f>_xlfn.XLOOKUP(tblTransactions[[#This Row],[CustomerID]],tblCustomers[CustomerID],tblCustomers[CustomerName])</f>
        <v>Madhavi Vig</v>
      </c>
      <c r="E604" t="s">
        <v>16028</v>
      </c>
      <c r="F604" t="str">
        <f>_xlfn.XLOOKUP(tblTransactions[[#This Row],[ProductID]],tblProducts[ProductID],tblProducts[ProductName])</f>
        <v>Bookshelf B2</v>
      </c>
      <c r="G604" t="s">
        <v>16277</v>
      </c>
      <c r="H604" t="str">
        <f>_xlfn.XLOOKUP(tblTransactions[[#This Row],[StoreID]],tblStores[StoreID],tblStores[Region])</f>
        <v>West</v>
      </c>
      <c r="I604">
        <v>3</v>
      </c>
      <c r="J604">
        <v>0.05</v>
      </c>
      <c r="K604" t="s">
        <v>16317</v>
      </c>
      <c r="L604" s="9">
        <f>_xlfn.XLOOKUP(tblTransactions[[#This Row],[ProductID]],tblProducts[ProductID],tblProducts[UnitPrice])</f>
        <v>11987.07</v>
      </c>
      <c r="M604" s="9">
        <f>tblTransactions[[#This Row],[Quantity]]*tblTransactions[[#This Row],[UnitPrice]]</f>
        <v>35961.21</v>
      </c>
      <c r="N604" s="9">
        <f>tblTransactions[[#This Row],[GrossSales]]*tblTransactions[[#This Row],[Discount]]</f>
        <v>1798.0605</v>
      </c>
      <c r="O604" s="9">
        <f>tblTransactions[[#This Row],[GrossSales]]-tblTransactions[[#This Row],[DiscountAmount]]</f>
        <v>34163.1495</v>
      </c>
      <c r="P604" s="9">
        <f>_xlfn.XLOOKUP(tblTransactions[[#This Row],[ProductID]],tblProducts[ProductID],tblProducts[UnitCost])</f>
        <v>8332.57</v>
      </c>
      <c r="Q604" s="9">
        <f>tblTransactions[[#This Row],[Quantity]]*tblTransactions[[#This Row],[UnitCost]]</f>
        <v>24997.71</v>
      </c>
      <c r="R604" s="9">
        <f>tblTransactions[[#This Row],[NetRevenue]]-tblTransactions[[#This Row],[TotalCost]]</f>
        <v>9165.4395000000004</v>
      </c>
      <c r="S604" t="str">
        <f>_xlfn.XLOOKUP(tblTransactions[[#This Row],[ProductID]],tblProducts[ProductID],tblProducts[Category])</f>
        <v>Home &amp; Kitchen</v>
      </c>
    </row>
    <row r="605" spans="1:19">
      <c r="A605" t="s">
        <v>16922</v>
      </c>
      <c r="B605" s="1">
        <v>45603</v>
      </c>
      <c r="C605" t="s">
        <v>12239</v>
      </c>
      <c r="D605" t="str">
        <f>_xlfn.XLOOKUP(tblTransactions[[#This Row],[CustomerID]],tblCustomers[CustomerID],tblCustomers[CustomerName])</f>
        <v>Qushi Raval</v>
      </c>
      <c r="E605" t="s">
        <v>16097</v>
      </c>
      <c r="F605" t="str">
        <f>_xlfn.XLOOKUP(tblTransactions[[#This Row],[ProductID]],tblProducts[ProductID],tblProducts[ProductName])</f>
        <v>Women's Jeans A6</v>
      </c>
      <c r="G605" t="s">
        <v>16267</v>
      </c>
      <c r="H605" t="str">
        <f>_xlfn.XLOOKUP(tblTransactions[[#This Row],[StoreID]],tblStores[StoreID],tblStores[Region])</f>
        <v>West</v>
      </c>
      <c r="I605">
        <v>1</v>
      </c>
      <c r="J605">
        <v>0.05</v>
      </c>
      <c r="K605" t="s">
        <v>16315</v>
      </c>
      <c r="L605" s="9">
        <f>_xlfn.XLOOKUP(tblTransactions[[#This Row],[ProductID]],tblProducts[ProductID],tblProducts[UnitPrice])</f>
        <v>7106.08</v>
      </c>
      <c r="M605" s="9">
        <f>tblTransactions[[#This Row],[Quantity]]*tblTransactions[[#This Row],[UnitPrice]]</f>
        <v>7106.08</v>
      </c>
      <c r="N605" s="9">
        <f>tblTransactions[[#This Row],[GrossSales]]*tblTransactions[[#This Row],[Discount]]</f>
        <v>355.30400000000003</v>
      </c>
      <c r="O605" s="9">
        <f>tblTransactions[[#This Row],[GrossSales]]-tblTransactions[[#This Row],[DiscountAmount]]</f>
        <v>6750.7759999999998</v>
      </c>
      <c r="P605" s="9">
        <f>_xlfn.XLOOKUP(tblTransactions[[#This Row],[ProductID]],tblProducts[ProductID],tblProducts[UnitCost])</f>
        <v>5246.63</v>
      </c>
      <c r="Q605" s="9">
        <f>tblTransactions[[#This Row],[Quantity]]*tblTransactions[[#This Row],[UnitCost]]</f>
        <v>5246.63</v>
      </c>
      <c r="R605" s="9">
        <f>tblTransactions[[#This Row],[NetRevenue]]-tblTransactions[[#This Row],[TotalCost]]</f>
        <v>1504.1459999999997</v>
      </c>
      <c r="S605" t="str">
        <f>_xlfn.XLOOKUP(tblTransactions[[#This Row],[ProductID]],tblProducts[ProductID],tblProducts[Category])</f>
        <v>Clothing</v>
      </c>
    </row>
    <row r="606" spans="1:19">
      <c r="A606" t="s">
        <v>16923</v>
      </c>
      <c r="B606" s="1">
        <v>45603</v>
      </c>
      <c r="C606" t="s">
        <v>4006</v>
      </c>
      <c r="D606" t="str">
        <f>_xlfn.XLOOKUP(tblTransactions[[#This Row],[CustomerID]],tblCustomers[CustomerID],tblCustomers[CustomerName])</f>
        <v>Hemani Sethi</v>
      </c>
      <c r="E606" t="s">
        <v>16049</v>
      </c>
      <c r="F606" t="str">
        <f>_xlfn.XLOOKUP(tblTransactions[[#This Row],[ProductID]],tblProducts[ProductID],tblProducts[ProductName])</f>
        <v>Non-stick Pan E5</v>
      </c>
      <c r="G606" t="s">
        <v>16273</v>
      </c>
      <c r="H606" t="str">
        <f>_xlfn.XLOOKUP(tblTransactions[[#This Row],[StoreID]],tblStores[StoreID],tblStores[Region])</f>
        <v>West</v>
      </c>
      <c r="I606">
        <v>1</v>
      </c>
      <c r="J606">
        <v>0.05</v>
      </c>
      <c r="K606" t="s">
        <v>16321</v>
      </c>
      <c r="L606" s="9">
        <f>_xlfn.XLOOKUP(tblTransactions[[#This Row],[ProductID]],tblProducts[ProductID],tblProducts[UnitPrice])</f>
        <v>21084.61</v>
      </c>
      <c r="M606" s="9">
        <f>tblTransactions[[#This Row],[Quantity]]*tblTransactions[[#This Row],[UnitPrice]]</f>
        <v>21084.61</v>
      </c>
      <c r="N606" s="9">
        <f>tblTransactions[[#This Row],[GrossSales]]*tblTransactions[[#This Row],[Discount]]</f>
        <v>1054.2305000000001</v>
      </c>
      <c r="O606" s="9">
        <f>tblTransactions[[#This Row],[GrossSales]]-tblTransactions[[#This Row],[DiscountAmount]]</f>
        <v>20030.379499999999</v>
      </c>
      <c r="P606" s="9">
        <f>_xlfn.XLOOKUP(tblTransactions[[#This Row],[ProductID]],tblProducts[ProductID],tblProducts[UnitCost])</f>
        <v>12896.65</v>
      </c>
      <c r="Q606" s="9">
        <f>tblTransactions[[#This Row],[Quantity]]*tblTransactions[[#This Row],[UnitCost]]</f>
        <v>12896.65</v>
      </c>
      <c r="R606" s="9">
        <f>tblTransactions[[#This Row],[NetRevenue]]-tblTransactions[[#This Row],[TotalCost]]</f>
        <v>7133.7294999999995</v>
      </c>
      <c r="S606" t="str">
        <f>_xlfn.XLOOKUP(tblTransactions[[#This Row],[ProductID]],tblProducts[ProductID],tblProducts[Category])</f>
        <v>Home &amp; Kitchen</v>
      </c>
    </row>
    <row r="607" spans="1:19">
      <c r="A607" t="s">
        <v>16924</v>
      </c>
      <c r="B607" s="1">
        <v>45603</v>
      </c>
      <c r="C607" t="s">
        <v>5827</v>
      </c>
      <c r="D607" t="str">
        <f>_xlfn.XLOOKUP(tblTransactions[[#This Row],[CustomerID]],tblCustomers[CustomerID],tblCustomers[CustomerName])</f>
        <v>Fariq Bose</v>
      </c>
      <c r="E607" t="s">
        <v>16200</v>
      </c>
      <c r="F607" t="str">
        <f>_xlfn.XLOOKUP(tblTransactions[[#This Row],[ProductID]],tblProducts[ProductID],tblProducts[ProductName])</f>
        <v>Face Cream D4</v>
      </c>
      <c r="G607" t="s">
        <v>16259</v>
      </c>
      <c r="H607" t="str">
        <f>_xlfn.XLOOKUP(tblTransactions[[#This Row],[StoreID]],tblStores[StoreID],tblStores[Region])</f>
        <v>East</v>
      </c>
      <c r="I607">
        <v>2</v>
      </c>
      <c r="J607">
        <v>0.05</v>
      </c>
      <c r="K607" t="s">
        <v>16321</v>
      </c>
      <c r="L607" s="9">
        <f>_xlfn.XLOOKUP(tblTransactions[[#This Row],[ProductID]],tblProducts[ProductID],tblProducts[UnitPrice])</f>
        <v>3082.2</v>
      </c>
      <c r="M607" s="9">
        <f>tblTransactions[[#This Row],[Quantity]]*tblTransactions[[#This Row],[UnitPrice]]</f>
        <v>6164.4</v>
      </c>
      <c r="N607" s="9">
        <f>tblTransactions[[#This Row],[GrossSales]]*tblTransactions[[#This Row],[Discount]]</f>
        <v>308.22000000000003</v>
      </c>
      <c r="O607" s="9">
        <f>tblTransactions[[#This Row],[GrossSales]]-tblTransactions[[#This Row],[DiscountAmount]]</f>
        <v>5856.1799999999994</v>
      </c>
      <c r="P607" s="9">
        <f>_xlfn.XLOOKUP(tblTransactions[[#This Row],[ProductID]],tblProducts[ProductID],tblProducts[UnitCost])</f>
        <v>2561.06</v>
      </c>
      <c r="Q607" s="9">
        <f>tblTransactions[[#This Row],[Quantity]]*tblTransactions[[#This Row],[UnitCost]]</f>
        <v>5122.12</v>
      </c>
      <c r="R607" s="9">
        <f>tblTransactions[[#This Row],[NetRevenue]]-tblTransactions[[#This Row],[TotalCost]]</f>
        <v>734.05999999999949</v>
      </c>
      <c r="S607" t="str">
        <f>_xlfn.XLOOKUP(tblTransactions[[#This Row],[ProductID]],tblProducts[ProductID],tblProducts[Category])</f>
        <v>Personal Care</v>
      </c>
    </row>
    <row r="608" spans="1:19">
      <c r="A608" t="s">
        <v>16925</v>
      </c>
      <c r="B608" s="1">
        <v>45605</v>
      </c>
      <c r="C608" t="s">
        <v>7448</v>
      </c>
      <c r="D608" t="str">
        <f>_xlfn.XLOOKUP(tblTransactions[[#This Row],[CustomerID]],tblCustomers[CustomerID],tblCustomers[CustomerName])</f>
        <v>Shaurya Ganguly</v>
      </c>
      <c r="E608" t="s">
        <v>16137</v>
      </c>
      <c r="F608" t="str">
        <f>_xlfn.XLOOKUP(tblTransactions[[#This Row],[ProductID]],tblProducts[ProductID],tblProducts[ProductName])</f>
        <v>Sugar C3</v>
      </c>
      <c r="G608" t="s">
        <v>16267</v>
      </c>
      <c r="H608" t="str">
        <f>_xlfn.XLOOKUP(tblTransactions[[#This Row],[StoreID]],tblStores[StoreID],tblStores[Region])</f>
        <v>West</v>
      </c>
      <c r="I608">
        <v>1</v>
      </c>
      <c r="J608">
        <v>0.1</v>
      </c>
      <c r="K608" t="s">
        <v>16317</v>
      </c>
      <c r="L608" s="9">
        <f>_xlfn.XLOOKUP(tblTransactions[[#This Row],[ProductID]],tblProducts[ProductID],tblProducts[UnitPrice])</f>
        <v>1140.1600000000001</v>
      </c>
      <c r="M608" s="9">
        <f>tblTransactions[[#This Row],[Quantity]]*tblTransactions[[#This Row],[UnitPrice]]</f>
        <v>1140.1600000000001</v>
      </c>
      <c r="N608" s="9">
        <f>tblTransactions[[#This Row],[GrossSales]]*tblTransactions[[#This Row],[Discount]]</f>
        <v>114.01600000000002</v>
      </c>
      <c r="O608" s="9">
        <f>tblTransactions[[#This Row],[GrossSales]]-tblTransactions[[#This Row],[DiscountAmount]]</f>
        <v>1026.144</v>
      </c>
      <c r="P608" s="9">
        <f>_xlfn.XLOOKUP(tblTransactions[[#This Row],[ProductID]],tblProducts[ProductID],tblProducts[UnitCost])</f>
        <v>763.74</v>
      </c>
      <c r="Q608" s="9">
        <f>tblTransactions[[#This Row],[Quantity]]*tblTransactions[[#This Row],[UnitCost]]</f>
        <v>763.74</v>
      </c>
      <c r="R608" s="9">
        <f>tblTransactions[[#This Row],[NetRevenue]]-tblTransactions[[#This Row],[TotalCost]]</f>
        <v>262.404</v>
      </c>
      <c r="S608" t="str">
        <f>_xlfn.XLOOKUP(tblTransactions[[#This Row],[ProductID]],tblProducts[ProductID],tblProducts[Category])</f>
        <v>Grocery</v>
      </c>
    </row>
    <row r="609" spans="1:19">
      <c r="A609" t="s">
        <v>16926</v>
      </c>
      <c r="B609" s="1">
        <v>45607</v>
      </c>
      <c r="C609" t="s">
        <v>7845</v>
      </c>
      <c r="D609" t="str">
        <f>_xlfn.XLOOKUP(tblTransactions[[#This Row],[CustomerID]],tblCustomers[CustomerID],tblCustomers[CustomerName])</f>
        <v>Turvi Boase</v>
      </c>
      <c r="E609" t="s">
        <v>16086</v>
      </c>
      <c r="F609" t="str">
        <f>_xlfn.XLOOKUP(tblTransactions[[#This Row],[ProductID]],tblProducts[ProductID],tblProducts[ProductName])</f>
        <v>Women's Jeans A1</v>
      </c>
      <c r="G609" t="s">
        <v>16269</v>
      </c>
      <c r="H609" t="str">
        <f>_xlfn.XLOOKUP(tblTransactions[[#This Row],[StoreID]],tblStores[StoreID],tblStores[Region])</f>
        <v>North</v>
      </c>
      <c r="I609">
        <v>2</v>
      </c>
      <c r="J609">
        <v>0</v>
      </c>
      <c r="K609" t="s">
        <v>16315</v>
      </c>
      <c r="L609" s="9">
        <f>_xlfn.XLOOKUP(tblTransactions[[#This Row],[ProductID]],tblProducts[ProductID],tblProducts[UnitPrice])</f>
        <v>6726.61</v>
      </c>
      <c r="M609" s="9">
        <f>tblTransactions[[#This Row],[Quantity]]*tblTransactions[[#This Row],[UnitPrice]]</f>
        <v>13453.22</v>
      </c>
      <c r="N609" s="9">
        <f>tblTransactions[[#This Row],[GrossSales]]*tblTransactions[[#This Row],[Discount]]</f>
        <v>0</v>
      </c>
      <c r="O609" s="9">
        <f>tblTransactions[[#This Row],[GrossSales]]-tblTransactions[[#This Row],[DiscountAmount]]</f>
        <v>13453.22</v>
      </c>
      <c r="P609" s="9">
        <f>_xlfn.XLOOKUP(tblTransactions[[#This Row],[ProductID]],tblProducts[ProductID],tblProducts[UnitCost])</f>
        <v>5191.03</v>
      </c>
      <c r="Q609" s="9">
        <f>tblTransactions[[#This Row],[Quantity]]*tblTransactions[[#This Row],[UnitCost]]</f>
        <v>10382.06</v>
      </c>
      <c r="R609" s="9">
        <f>tblTransactions[[#This Row],[NetRevenue]]-tblTransactions[[#This Row],[TotalCost]]</f>
        <v>3071.16</v>
      </c>
      <c r="S609" t="str">
        <f>_xlfn.XLOOKUP(tblTransactions[[#This Row],[ProductID]],tblProducts[ProductID],tblProducts[Category])</f>
        <v>Clothing</v>
      </c>
    </row>
    <row r="610" spans="1:19">
      <c r="A610" t="s">
        <v>16927</v>
      </c>
      <c r="B610" s="1">
        <v>45607</v>
      </c>
      <c r="C610" t="s">
        <v>15671</v>
      </c>
      <c r="D610" t="str">
        <f>_xlfn.XLOOKUP(tblTransactions[[#This Row],[CustomerID]],tblCustomers[CustomerID],tblCustomers[CustomerName])</f>
        <v>Jagat Pall</v>
      </c>
      <c r="E610" t="s">
        <v>15956</v>
      </c>
      <c r="F610" t="str">
        <f>_xlfn.XLOOKUP(tblTransactions[[#This Row],[ProductID]],tblProducts[ProductID],tblProducts[ProductName])</f>
        <v>Budget Smartphone A6</v>
      </c>
      <c r="G610" t="s">
        <v>16262</v>
      </c>
      <c r="H610" t="str">
        <f>_xlfn.XLOOKUP(tblTransactions[[#This Row],[StoreID]],tblStores[StoreID],tblStores[Region])</f>
        <v>North</v>
      </c>
      <c r="I610">
        <v>2</v>
      </c>
      <c r="J610">
        <v>0.05</v>
      </c>
      <c r="K610" t="s">
        <v>16317</v>
      </c>
      <c r="L610" s="9">
        <f>_xlfn.XLOOKUP(tblTransactions[[#This Row],[ProductID]],tblProducts[ProductID],tblProducts[UnitPrice])</f>
        <v>9246.34</v>
      </c>
      <c r="M610" s="9">
        <f>tblTransactions[[#This Row],[Quantity]]*tblTransactions[[#This Row],[UnitPrice]]</f>
        <v>18492.68</v>
      </c>
      <c r="N610" s="9">
        <f>tblTransactions[[#This Row],[GrossSales]]*tblTransactions[[#This Row],[Discount]]</f>
        <v>924.63400000000001</v>
      </c>
      <c r="O610" s="9">
        <f>tblTransactions[[#This Row],[GrossSales]]-tblTransactions[[#This Row],[DiscountAmount]]</f>
        <v>17568.046000000002</v>
      </c>
      <c r="P610" s="9">
        <f>_xlfn.XLOOKUP(tblTransactions[[#This Row],[ProductID]],tblProducts[ProductID],tblProducts[UnitCost])</f>
        <v>7613.27</v>
      </c>
      <c r="Q610" s="9">
        <f>tblTransactions[[#This Row],[Quantity]]*tblTransactions[[#This Row],[UnitCost]]</f>
        <v>15226.54</v>
      </c>
      <c r="R610" s="9">
        <f>tblTransactions[[#This Row],[NetRevenue]]-tblTransactions[[#This Row],[TotalCost]]</f>
        <v>2341.5060000000012</v>
      </c>
      <c r="S610" t="str">
        <f>_xlfn.XLOOKUP(tblTransactions[[#This Row],[ProductID]],tblProducts[ProductID],tblProducts[Category])</f>
        <v>Electronics</v>
      </c>
    </row>
    <row r="611" spans="1:19">
      <c r="A611" t="s">
        <v>16928</v>
      </c>
      <c r="B611" s="1">
        <v>45607</v>
      </c>
      <c r="C611" t="s">
        <v>7177</v>
      </c>
      <c r="D611" t="str">
        <f>_xlfn.XLOOKUP(tblTransactions[[#This Row],[CustomerID]],tblCustomers[CustomerID],tblCustomers[CustomerName])</f>
        <v>Abhimanyu Pingle</v>
      </c>
      <c r="E611" t="s">
        <v>16121</v>
      </c>
      <c r="F611" t="str">
        <f>_xlfn.XLOOKUP(tblTransactions[[#This Row],[ProductID]],tblProducts[ProductID],tblProducts[ProductName])</f>
        <v>Sandals C3</v>
      </c>
      <c r="G611" t="s">
        <v>16305</v>
      </c>
      <c r="H611" t="str">
        <f>_xlfn.XLOOKUP(tblTransactions[[#This Row],[StoreID]],tblStores[StoreID],tblStores[Region])</f>
        <v>South</v>
      </c>
      <c r="I611">
        <v>2</v>
      </c>
      <c r="J611">
        <v>0.2</v>
      </c>
      <c r="K611" t="s">
        <v>16319</v>
      </c>
      <c r="L611" s="9">
        <f>_xlfn.XLOOKUP(tblTransactions[[#This Row],[ProductID]],tblProducts[ProductID],tblProducts[UnitPrice])</f>
        <v>6708.36</v>
      </c>
      <c r="M611" s="9">
        <f>tblTransactions[[#This Row],[Quantity]]*tblTransactions[[#This Row],[UnitPrice]]</f>
        <v>13416.72</v>
      </c>
      <c r="N611" s="9">
        <f>tblTransactions[[#This Row],[GrossSales]]*tblTransactions[[#This Row],[Discount]]</f>
        <v>2683.3440000000001</v>
      </c>
      <c r="O611" s="9">
        <f>tblTransactions[[#This Row],[GrossSales]]-tblTransactions[[#This Row],[DiscountAmount]]</f>
        <v>10733.376</v>
      </c>
      <c r="P611" s="9">
        <f>_xlfn.XLOOKUP(tblTransactions[[#This Row],[ProductID]],tblProducts[ProductID],tblProducts[UnitCost])</f>
        <v>5031.45</v>
      </c>
      <c r="Q611" s="9">
        <f>tblTransactions[[#This Row],[Quantity]]*tblTransactions[[#This Row],[UnitCost]]</f>
        <v>10062.9</v>
      </c>
      <c r="R611" s="9">
        <f>tblTransactions[[#This Row],[NetRevenue]]-tblTransactions[[#This Row],[TotalCost]]</f>
        <v>670.47600000000057</v>
      </c>
      <c r="S611" t="str">
        <f>_xlfn.XLOOKUP(tblTransactions[[#This Row],[ProductID]],tblProducts[ProductID],tblProducts[Category])</f>
        <v>Clothing</v>
      </c>
    </row>
    <row r="612" spans="1:19">
      <c r="A612" t="s">
        <v>16929</v>
      </c>
      <c r="B612" s="1">
        <v>45607</v>
      </c>
      <c r="C612" t="s">
        <v>9869</v>
      </c>
      <c r="D612" t="str">
        <f>_xlfn.XLOOKUP(tblTransactions[[#This Row],[CustomerID]],tblCustomers[CustomerID],tblCustomers[CustomerName])</f>
        <v>Qasim Chander</v>
      </c>
      <c r="E612" t="s">
        <v>16003</v>
      </c>
      <c r="F612" t="str">
        <f>_xlfn.XLOOKUP(tblTransactions[[#This Row],[ProductID]],tblProducts[ProductID],tblProducts[ProductName])</f>
        <v>Wireless Charger E5</v>
      </c>
      <c r="G612" t="s">
        <v>16293</v>
      </c>
      <c r="H612" t="str">
        <f>_xlfn.XLOOKUP(tblTransactions[[#This Row],[StoreID]],tblStores[StoreID],tblStores[Region])</f>
        <v>South</v>
      </c>
      <c r="I612">
        <v>1</v>
      </c>
      <c r="J612">
        <v>0</v>
      </c>
      <c r="K612" t="s">
        <v>16317</v>
      </c>
      <c r="L612" s="9">
        <f>_xlfn.XLOOKUP(tblTransactions[[#This Row],[ProductID]],tblProducts[ProductID],tblProducts[UnitPrice])</f>
        <v>74177.87</v>
      </c>
      <c r="M612" s="9">
        <f>tblTransactions[[#This Row],[Quantity]]*tblTransactions[[#This Row],[UnitPrice]]</f>
        <v>74177.87</v>
      </c>
      <c r="N612" s="9">
        <f>tblTransactions[[#This Row],[GrossSales]]*tblTransactions[[#This Row],[Discount]]</f>
        <v>0</v>
      </c>
      <c r="O612" s="9">
        <f>tblTransactions[[#This Row],[GrossSales]]-tblTransactions[[#This Row],[DiscountAmount]]</f>
        <v>74177.87</v>
      </c>
      <c r="P612" s="9">
        <f>_xlfn.XLOOKUP(tblTransactions[[#This Row],[ProductID]],tblProducts[ProductID],tblProducts[UnitCost])</f>
        <v>46554.33</v>
      </c>
      <c r="Q612" s="9">
        <f>tblTransactions[[#This Row],[Quantity]]*tblTransactions[[#This Row],[UnitCost]]</f>
        <v>46554.33</v>
      </c>
      <c r="R612" s="9">
        <f>tblTransactions[[#This Row],[NetRevenue]]-tblTransactions[[#This Row],[TotalCost]]</f>
        <v>27623.539999999994</v>
      </c>
      <c r="S612" t="str">
        <f>_xlfn.XLOOKUP(tblTransactions[[#This Row],[ProductID]],tblProducts[ProductID],tblProducts[Category])</f>
        <v>Electronics</v>
      </c>
    </row>
    <row r="613" spans="1:19">
      <c r="A613" t="s">
        <v>16930</v>
      </c>
      <c r="B613" s="1">
        <v>45608</v>
      </c>
      <c r="C613" t="s">
        <v>2027</v>
      </c>
      <c r="D613" t="str">
        <f>_xlfn.XLOOKUP(tblTransactions[[#This Row],[CustomerID]],tblCustomers[CustomerID],tblCustomers[CustomerName])</f>
        <v>Hemangini Thakkar</v>
      </c>
      <c r="E613" t="s">
        <v>16186</v>
      </c>
      <c r="F613" t="str">
        <f>_xlfn.XLOOKUP(tblTransactions[[#This Row],[ProductID]],tblProducts[ProductID],tblProducts[ProductName])</f>
        <v>Breakfast Cereal E5</v>
      </c>
      <c r="G613" t="s">
        <v>16279</v>
      </c>
      <c r="H613" t="str">
        <f>_xlfn.XLOOKUP(tblTransactions[[#This Row],[StoreID]],tblStores[StoreID],tblStores[Region])</f>
        <v>South</v>
      </c>
      <c r="I613">
        <v>1</v>
      </c>
      <c r="J613">
        <v>0</v>
      </c>
      <c r="K613" t="s">
        <v>16319</v>
      </c>
      <c r="L613" s="9">
        <f>_xlfn.XLOOKUP(tblTransactions[[#This Row],[ProductID]],tblProducts[ProductID],tblProducts[UnitPrice])</f>
        <v>207.32</v>
      </c>
      <c r="M613" s="9">
        <f>tblTransactions[[#This Row],[Quantity]]*tblTransactions[[#This Row],[UnitPrice]]</f>
        <v>207.32</v>
      </c>
      <c r="N613" s="9">
        <f>tblTransactions[[#This Row],[GrossSales]]*tblTransactions[[#This Row],[Discount]]</f>
        <v>0</v>
      </c>
      <c r="O613" s="9">
        <f>tblTransactions[[#This Row],[GrossSales]]-tblTransactions[[#This Row],[DiscountAmount]]</f>
        <v>207.32</v>
      </c>
      <c r="P613" s="9">
        <f>_xlfn.XLOOKUP(tblTransactions[[#This Row],[ProductID]],tblProducts[ProductID],tblProducts[UnitCost])</f>
        <v>120.99</v>
      </c>
      <c r="Q613" s="9">
        <f>tblTransactions[[#This Row],[Quantity]]*tblTransactions[[#This Row],[UnitCost]]</f>
        <v>120.99</v>
      </c>
      <c r="R613" s="9">
        <f>tblTransactions[[#This Row],[NetRevenue]]-tblTransactions[[#This Row],[TotalCost]]</f>
        <v>86.33</v>
      </c>
      <c r="S613" t="str">
        <f>_xlfn.XLOOKUP(tblTransactions[[#This Row],[ProductID]],tblProducts[ProductID],tblProducts[Category])</f>
        <v>Grocery</v>
      </c>
    </row>
    <row r="614" spans="1:19">
      <c r="A614" t="s">
        <v>16931</v>
      </c>
      <c r="B614" s="1">
        <v>45608</v>
      </c>
      <c r="C614" t="s">
        <v>7438</v>
      </c>
      <c r="D614" t="str">
        <f>_xlfn.XLOOKUP(tblTransactions[[#This Row],[CustomerID]],tblCustomers[CustomerID],tblCustomers[CustomerName])</f>
        <v>Samaksh Brahmbhatt</v>
      </c>
      <c r="E614" t="s">
        <v>16051</v>
      </c>
      <c r="F614" t="str">
        <f>_xlfn.XLOOKUP(tblTransactions[[#This Row],[ProductID]],tblProducts[ProductID],tblProducts[ProductName])</f>
        <v>Pressure Cooker A6</v>
      </c>
      <c r="G614" t="s">
        <v>16269</v>
      </c>
      <c r="H614" t="str">
        <f>_xlfn.XLOOKUP(tblTransactions[[#This Row],[StoreID]],tblStores[StoreID],tblStores[Region])</f>
        <v>North</v>
      </c>
      <c r="I614">
        <v>1</v>
      </c>
      <c r="J614">
        <v>0.05</v>
      </c>
      <c r="K614" t="s">
        <v>16315</v>
      </c>
      <c r="L614" s="9">
        <f>_xlfn.XLOOKUP(tblTransactions[[#This Row],[ProductID]],tblProducts[ProductID],tblProducts[UnitPrice])</f>
        <v>27105.29</v>
      </c>
      <c r="M614" s="9">
        <f>tblTransactions[[#This Row],[Quantity]]*tblTransactions[[#This Row],[UnitPrice]]</f>
        <v>27105.29</v>
      </c>
      <c r="N614" s="9">
        <f>tblTransactions[[#This Row],[GrossSales]]*tblTransactions[[#This Row],[Discount]]</f>
        <v>1355.2645000000002</v>
      </c>
      <c r="O614" s="9">
        <f>tblTransactions[[#This Row],[GrossSales]]-tblTransactions[[#This Row],[DiscountAmount]]</f>
        <v>25750.0255</v>
      </c>
      <c r="P614" s="9">
        <f>_xlfn.XLOOKUP(tblTransactions[[#This Row],[ProductID]],tblProducts[ProductID],tblProducts[UnitCost])</f>
        <v>17092.599999999999</v>
      </c>
      <c r="Q614" s="9">
        <f>tblTransactions[[#This Row],[Quantity]]*tblTransactions[[#This Row],[UnitCost]]</f>
        <v>17092.599999999999</v>
      </c>
      <c r="R614" s="9">
        <f>tblTransactions[[#This Row],[NetRevenue]]-tblTransactions[[#This Row],[TotalCost]]</f>
        <v>8657.4255000000012</v>
      </c>
      <c r="S614" t="str">
        <f>_xlfn.XLOOKUP(tblTransactions[[#This Row],[ProductID]],tblProducts[ProductID],tblProducts[Category])</f>
        <v>Home &amp; Kitchen</v>
      </c>
    </row>
    <row r="615" spans="1:19">
      <c r="A615" t="s">
        <v>16932</v>
      </c>
      <c r="B615" s="1">
        <v>45611</v>
      </c>
      <c r="C615" t="s">
        <v>6821</v>
      </c>
      <c r="D615" t="str">
        <f>_xlfn.XLOOKUP(tblTransactions[[#This Row],[CustomerID]],tblCustomers[CustomerID],tblCustomers[CustomerName])</f>
        <v>Charita Ravel</v>
      </c>
      <c r="E615" t="s">
        <v>16032</v>
      </c>
      <c r="F615" t="str">
        <f>_xlfn.XLOOKUP(tblTransactions[[#This Row],[ProductID]],tblProducts[ProductID],tblProducts[ProductName])</f>
        <v>Study Table D4</v>
      </c>
      <c r="G615" t="s">
        <v>16269</v>
      </c>
      <c r="H615" t="str">
        <f>_xlfn.XLOOKUP(tblTransactions[[#This Row],[StoreID]],tblStores[StoreID],tblStores[Region])</f>
        <v>North</v>
      </c>
      <c r="I615">
        <v>1</v>
      </c>
      <c r="J615">
        <v>0</v>
      </c>
      <c r="K615" t="s">
        <v>16319</v>
      </c>
      <c r="L615" s="9">
        <f>_xlfn.XLOOKUP(tblTransactions[[#This Row],[ProductID]],tblProducts[ProductID],tblProducts[UnitPrice])</f>
        <v>643.36</v>
      </c>
      <c r="M615" s="9">
        <f>tblTransactions[[#This Row],[Quantity]]*tblTransactions[[#This Row],[UnitPrice]]</f>
        <v>643.36</v>
      </c>
      <c r="N615" s="9">
        <f>tblTransactions[[#This Row],[GrossSales]]*tblTransactions[[#This Row],[Discount]]</f>
        <v>0</v>
      </c>
      <c r="O615" s="9">
        <f>tblTransactions[[#This Row],[GrossSales]]-tblTransactions[[#This Row],[DiscountAmount]]</f>
        <v>643.36</v>
      </c>
      <c r="P615" s="9">
        <f>_xlfn.XLOOKUP(tblTransactions[[#This Row],[ProductID]],tblProducts[ProductID],tblProducts[UnitCost])</f>
        <v>460.5</v>
      </c>
      <c r="Q615" s="9">
        <f>tblTransactions[[#This Row],[Quantity]]*tblTransactions[[#This Row],[UnitCost]]</f>
        <v>460.5</v>
      </c>
      <c r="R615" s="9">
        <f>tblTransactions[[#This Row],[NetRevenue]]-tblTransactions[[#This Row],[TotalCost]]</f>
        <v>182.86</v>
      </c>
      <c r="S615" t="str">
        <f>_xlfn.XLOOKUP(tblTransactions[[#This Row],[ProductID]],tblProducts[ProductID],tblProducts[Category])</f>
        <v>Home &amp; Kitchen</v>
      </c>
    </row>
    <row r="616" spans="1:19">
      <c r="A616" t="s">
        <v>16933</v>
      </c>
      <c r="B616" s="1">
        <v>45612</v>
      </c>
      <c r="C616" t="s">
        <v>14289</v>
      </c>
      <c r="D616" t="str">
        <f>_xlfn.XLOOKUP(tblTransactions[[#This Row],[CustomerID]],tblCustomers[CustomerID],tblCustomers[CustomerName])</f>
        <v>Onveer Ravel</v>
      </c>
      <c r="E616" t="s">
        <v>16131</v>
      </c>
      <c r="F616" t="str">
        <f>_xlfn.XLOOKUP(tblTransactions[[#This Row],[ProductID]],tblProducts[ProductID],tblProducts[ProductName])</f>
        <v>Cooking Oil A1</v>
      </c>
      <c r="G616" t="s">
        <v>16271</v>
      </c>
      <c r="H616" t="str">
        <f>_xlfn.XLOOKUP(tblTransactions[[#This Row],[StoreID]],tblStores[StoreID],tblStores[Region])</f>
        <v>South</v>
      </c>
      <c r="I616">
        <v>1</v>
      </c>
      <c r="J616">
        <v>0</v>
      </c>
      <c r="K616" t="s">
        <v>16317</v>
      </c>
      <c r="L616" s="9">
        <f>_xlfn.XLOOKUP(tblTransactions[[#This Row],[ProductID]],tblProducts[ProductID],tblProducts[UnitPrice])</f>
        <v>587.35</v>
      </c>
      <c r="M616" s="9">
        <f>tblTransactions[[#This Row],[Quantity]]*tblTransactions[[#This Row],[UnitPrice]]</f>
        <v>587.35</v>
      </c>
      <c r="N616" s="9">
        <f>tblTransactions[[#This Row],[GrossSales]]*tblTransactions[[#This Row],[Discount]]</f>
        <v>0</v>
      </c>
      <c r="O616" s="9">
        <f>tblTransactions[[#This Row],[GrossSales]]-tblTransactions[[#This Row],[DiscountAmount]]</f>
        <v>587.35</v>
      </c>
      <c r="P616" s="9">
        <f>_xlfn.XLOOKUP(tblTransactions[[#This Row],[ProductID]],tblProducts[ProductID],tblProducts[UnitCost])</f>
        <v>438.09</v>
      </c>
      <c r="Q616" s="9">
        <f>tblTransactions[[#This Row],[Quantity]]*tblTransactions[[#This Row],[UnitCost]]</f>
        <v>438.09</v>
      </c>
      <c r="R616" s="9">
        <f>tblTransactions[[#This Row],[NetRevenue]]-tblTransactions[[#This Row],[TotalCost]]</f>
        <v>149.26000000000005</v>
      </c>
      <c r="S616" t="str">
        <f>_xlfn.XLOOKUP(tblTransactions[[#This Row],[ProductID]],tblProducts[ProductID],tblProducts[Category])</f>
        <v>Grocery</v>
      </c>
    </row>
    <row r="617" spans="1:19">
      <c r="A617" t="s">
        <v>16934</v>
      </c>
      <c r="B617" s="1">
        <v>45612</v>
      </c>
      <c r="C617" t="s">
        <v>10884</v>
      </c>
      <c r="D617" t="str">
        <f>_xlfn.XLOOKUP(tblTransactions[[#This Row],[CustomerID]],tblCustomers[CustomerID],tblCustomers[CustomerName])</f>
        <v>Arjun Chanda</v>
      </c>
      <c r="E617" t="s">
        <v>16119</v>
      </c>
      <c r="F617" t="str">
        <f>_xlfn.XLOOKUP(tblTransactions[[#This Row],[ProductID]],tblProducts[ProductID],tblProducts[ProductName])</f>
        <v>Sports Shoes B2</v>
      </c>
      <c r="G617" t="s">
        <v>16262</v>
      </c>
      <c r="H617" t="str">
        <f>_xlfn.XLOOKUP(tblTransactions[[#This Row],[StoreID]],tblStores[StoreID],tblStores[Region])</f>
        <v>North</v>
      </c>
      <c r="I617">
        <v>1</v>
      </c>
      <c r="J617">
        <v>0.15</v>
      </c>
      <c r="K617" t="s">
        <v>16325</v>
      </c>
      <c r="L617" s="9">
        <f>_xlfn.XLOOKUP(tblTransactions[[#This Row],[ProductID]],tblProducts[ProductID],tblProducts[UnitPrice])</f>
        <v>7419.82</v>
      </c>
      <c r="M617" s="9">
        <f>tblTransactions[[#This Row],[Quantity]]*tblTransactions[[#This Row],[UnitPrice]]</f>
        <v>7419.82</v>
      </c>
      <c r="N617" s="9">
        <f>tblTransactions[[#This Row],[GrossSales]]*tblTransactions[[#This Row],[Discount]]</f>
        <v>1112.973</v>
      </c>
      <c r="O617" s="9">
        <f>tblTransactions[[#This Row],[GrossSales]]-tblTransactions[[#This Row],[DiscountAmount]]</f>
        <v>6306.8469999999998</v>
      </c>
      <c r="P617" s="9">
        <f>_xlfn.XLOOKUP(tblTransactions[[#This Row],[ProductID]],tblProducts[ProductID],tblProducts[UnitCost])</f>
        <v>5155.9799999999996</v>
      </c>
      <c r="Q617" s="9">
        <f>tblTransactions[[#This Row],[Quantity]]*tblTransactions[[#This Row],[UnitCost]]</f>
        <v>5155.9799999999996</v>
      </c>
      <c r="R617" s="9">
        <f>tblTransactions[[#This Row],[NetRevenue]]-tblTransactions[[#This Row],[TotalCost]]</f>
        <v>1150.8670000000002</v>
      </c>
      <c r="S617" t="str">
        <f>_xlfn.XLOOKUP(tblTransactions[[#This Row],[ProductID]],tblProducts[ProductID],tblProducts[Category])</f>
        <v>Clothing</v>
      </c>
    </row>
    <row r="618" spans="1:19">
      <c r="A618" t="s">
        <v>16935</v>
      </c>
      <c r="B618" s="1">
        <v>45612</v>
      </c>
      <c r="C618" t="s">
        <v>5933</v>
      </c>
      <c r="D618" t="str">
        <f>_xlfn.XLOOKUP(tblTransactions[[#This Row],[CustomerID]],tblCustomers[CustomerID],tblCustomers[CustomerName])</f>
        <v>Yadavi Golla</v>
      </c>
      <c r="E618" t="s">
        <v>16093</v>
      </c>
      <c r="F618" t="str">
        <f>_xlfn.XLOOKUP(tblTransactions[[#This Row],[ProductID]],tblProducts[ProductID],tblProducts[ProductName])</f>
        <v>Women's Jeans D4</v>
      </c>
      <c r="G618" t="s">
        <v>16291</v>
      </c>
      <c r="H618" t="str">
        <f>_xlfn.XLOOKUP(tblTransactions[[#This Row],[StoreID]],tblStores[StoreID],tblStores[Region])</f>
        <v>South</v>
      </c>
      <c r="I618">
        <v>2</v>
      </c>
      <c r="J618">
        <v>0</v>
      </c>
      <c r="K618" t="s">
        <v>16321</v>
      </c>
      <c r="L618" s="9">
        <f>_xlfn.XLOOKUP(tblTransactions[[#This Row],[ProductID]],tblProducts[ProductID],tblProducts[UnitPrice])</f>
        <v>6178.38</v>
      </c>
      <c r="M618" s="9">
        <f>tblTransactions[[#This Row],[Quantity]]*tblTransactions[[#This Row],[UnitPrice]]</f>
        <v>12356.76</v>
      </c>
      <c r="N618" s="9">
        <f>tblTransactions[[#This Row],[GrossSales]]*tblTransactions[[#This Row],[Discount]]</f>
        <v>0</v>
      </c>
      <c r="O618" s="9">
        <f>tblTransactions[[#This Row],[GrossSales]]-tblTransactions[[#This Row],[DiscountAmount]]</f>
        <v>12356.76</v>
      </c>
      <c r="P618" s="9">
        <f>_xlfn.XLOOKUP(tblTransactions[[#This Row],[ProductID]],tblProducts[ProductID],tblProducts[UnitCost])</f>
        <v>4740.8599999999997</v>
      </c>
      <c r="Q618" s="9">
        <f>tblTransactions[[#This Row],[Quantity]]*tblTransactions[[#This Row],[UnitCost]]</f>
        <v>9481.7199999999993</v>
      </c>
      <c r="R618" s="9">
        <f>tblTransactions[[#This Row],[NetRevenue]]-tblTransactions[[#This Row],[TotalCost]]</f>
        <v>2875.0400000000009</v>
      </c>
      <c r="S618" t="str">
        <f>_xlfn.XLOOKUP(tblTransactions[[#This Row],[ProductID]],tblProducts[ProductID],tblProducts[Category])</f>
        <v>Clothing</v>
      </c>
    </row>
    <row r="619" spans="1:19">
      <c r="A619" t="s">
        <v>16936</v>
      </c>
      <c r="B619" s="1">
        <v>45617</v>
      </c>
      <c r="C619" t="s">
        <v>3180</v>
      </c>
      <c r="D619" t="str">
        <f>_xlfn.XLOOKUP(tblTransactions[[#This Row],[CustomerID]],tblCustomers[CustomerID],tblCustomers[CustomerName])</f>
        <v>Kamya Sachar</v>
      </c>
      <c r="E619" t="s">
        <v>16009</v>
      </c>
      <c r="F619" t="str">
        <f>_xlfn.XLOOKUP(tblTransactions[[#This Row],[ProductID]],tblProducts[ProductID],tblProducts[ProductName])</f>
        <v>Mixer Grinder A1</v>
      </c>
      <c r="G619" t="s">
        <v>16267</v>
      </c>
      <c r="H619" t="str">
        <f>_xlfn.XLOOKUP(tblTransactions[[#This Row],[StoreID]],tblStores[StoreID],tblStores[Region])</f>
        <v>West</v>
      </c>
      <c r="I619">
        <v>2</v>
      </c>
      <c r="J619">
        <v>0.1</v>
      </c>
      <c r="K619" t="s">
        <v>16319</v>
      </c>
      <c r="L619" s="9">
        <f>_xlfn.XLOOKUP(tblTransactions[[#This Row],[ProductID]],tblProducts[ProductID],tblProducts[UnitPrice])</f>
        <v>14732.95</v>
      </c>
      <c r="M619" s="9">
        <f>tblTransactions[[#This Row],[Quantity]]*tblTransactions[[#This Row],[UnitPrice]]</f>
        <v>29465.9</v>
      </c>
      <c r="N619" s="9">
        <f>tblTransactions[[#This Row],[GrossSales]]*tblTransactions[[#This Row],[Discount]]</f>
        <v>2946.59</v>
      </c>
      <c r="O619" s="9">
        <f>tblTransactions[[#This Row],[GrossSales]]-tblTransactions[[#This Row],[DiscountAmount]]</f>
        <v>26519.31</v>
      </c>
      <c r="P619" s="9">
        <f>_xlfn.XLOOKUP(tblTransactions[[#This Row],[ProductID]],tblProducts[ProductID],tblProducts[UnitCost])</f>
        <v>10707.23</v>
      </c>
      <c r="Q619" s="9">
        <f>tblTransactions[[#This Row],[Quantity]]*tblTransactions[[#This Row],[UnitCost]]</f>
        <v>21414.46</v>
      </c>
      <c r="R619" s="9">
        <f>tblTransactions[[#This Row],[NetRevenue]]-tblTransactions[[#This Row],[TotalCost]]</f>
        <v>5104.8500000000022</v>
      </c>
      <c r="S619" t="str">
        <f>_xlfn.XLOOKUP(tblTransactions[[#This Row],[ProductID]],tblProducts[ProductID],tblProducts[Category])</f>
        <v>Home &amp; Kitchen</v>
      </c>
    </row>
    <row r="620" spans="1:19">
      <c r="A620" t="s">
        <v>16937</v>
      </c>
      <c r="B620" s="1">
        <v>45619</v>
      </c>
      <c r="C620" t="s">
        <v>3459</v>
      </c>
      <c r="D620" t="str">
        <f>_xlfn.XLOOKUP(tblTransactions[[#This Row],[CustomerID]],tblCustomers[CustomerID],tblCustomers[CustomerName])</f>
        <v>Irya Dayal</v>
      </c>
      <c r="E620" t="s">
        <v>15939</v>
      </c>
      <c r="F620" t="str">
        <f>_xlfn.XLOOKUP(tblTransactions[[#This Row],[ProductID]],tblProducts[ProductID],tblProducts[ProductName])</f>
        <v>Full HD TV A6</v>
      </c>
      <c r="G620" t="s">
        <v>16277</v>
      </c>
      <c r="H620" t="str">
        <f>_xlfn.XLOOKUP(tblTransactions[[#This Row],[StoreID]],tblStores[StoreID],tblStores[Region])</f>
        <v>West</v>
      </c>
      <c r="I620">
        <v>4</v>
      </c>
      <c r="J620">
        <v>0</v>
      </c>
      <c r="K620" t="s">
        <v>16317</v>
      </c>
      <c r="L620" s="9">
        <f>_xlfn.XLOOKUP(tblTransactions[[#This Row],[ProductID]],tblProducts[ProductID],tblProducts[UnitPrice])</f>
        <v>39996.370000000003</v>
      </c>
      <c r="M620" s="9">
        <f>tblTransactions[[#This Row],[Quantity]]*tblTransactions[[#This Row],[UnitPrice]]</f>
        <v>159985.48000000001</v>
      </c>
      <c r="N620" s="9">
        <f>tblTransactions[[#This Row],[GrossSales]]*tblTransactions[[#This Row],[Discount]]</f>
        <v>0</v>
      </c>
      <c r="O620" s="9">
        <f>tblTransactions[[#This Row],[GrossSales]]-tblTransactions[[#This Row],[DiscountAmount]]</f>
        <v>159985.48000000001</v>
      </c>
      <c r="P620" s="9">
        <f>_xlfn.XLOOKUP(tblTransactions[[#This Row],[ProductID]],tblProducts[ProductID],tblProducts[UnitCost])</f>
        <v>26192.21</v>
      </c>
      <c r="Q620" s="9">
        <f>tblTransactions[[#This Row],[Quantity]]*tblTransactions[[#This Row],[UnitCost]]</f>
        <v>104768.84</v>
      </c>
      <c r="R620" s="9">
        <f>tblTransactions[[#This Row],[NetRevenue]]-tblTransactions[[#This Row],[TotalCost]]</f>
        <v>55216.640000000014</v>
      </c>
      <c r="S620" t="str">
        <f>_xlfn.XLOOKUP(tblTransactions[[#This Row],[ProductID]],tblProducts[ProductID],tblProducts[Category])</f>
        <v>Electronics</v>
      </c>
    </row>
    <row r="621" spans="1:19">
      <c r="A621" t="s">
        <v>16938</v>
      </c>
      <c r="B621" s="1">
        <v>45619</v>
      </c>
      <c r="C621" t="s">
        <v>15330</v>
      </c>
      <c r="D621" t="str">
        <f>_xlfn.XLOOKUP(tblTransactions[[#This Row],[CustomerID]],tblCustomers[CustomerID],tblCustomers[CustomerName])</f>
        <v>Lakshmi Natt</v>
      </c>
      <c r="E621" t="s">
        <v>15939</v>
      </c>
      <c r="F621" t="str">
        <f>_xlfn.XLOOKUP(tblTransactions[[#This Row],[ProductID]],tblProducts[ProductID],tblProducts[ProductName])</f>
        <v>Full HD TV A6</v>
      </c>
      <c r="G621" t="s">
        <v>16287</v>
      </c>
      <c r="H621" t="str">
        <f>_xlfn.XLOOKUP(tblTransactions[[#This Row],[StoreID]],tblStores[StoreID],tblStores[Region])</f>
        <v>North</v>
      </c>
      <c r="I621">
        <v>3</v>
      </c>
      <c r="J621">
        <v>0</v>
      </c>
      <c r="K621" t="s">
        <v>16315</v>
      </c>
      <c r="L621" s="9">
        <f>_xlfn.XLOOKUP(tblTransactions[[#This Row],[ProductID]],tblProducts[ProductID],tblProducts[UnitPrice])</f>
        <v>39996.370000000003</v>
      </c>
      <c r="M621" s="9">
        <f>tblTransactions[[#This Row],[Quantity]]*tblTransactions[[#This Row],[UnitPrice]]</f>
        <v>119989.11000000002</v>
      </c>
      <c r="N621" s="9">
        <f>tblTransactions[[#This Row],[GrossSales]]*tblTransactions[[#This Row],[Discount]]</f>
        <v>0</v>
      </c>
      <c r="O621" s="9">
        <f>tblTransactions[[#This Row],[GrossSales]]-tblTransactions[[#This Row],[DiscountAmount]]</f>
        <v>119989.11000000002</v>
      </c>
      <c r="P621" s="9">
        <f>_xlfn.XLOOKUP(tblTransactions[[#This Row],[ProductID]],tblProducts[ProductID],tblProducts[UnitCost])</f>
        <v>26192.21</v>
      </c>
      <c r="Q621" s="9">
        <f>tblTransactions[[#This Row],[Quantity]]*tblTransactions[[#This Row],[UnitCost]]</f>
        <v>78576.63</v>
      </c>
      <c r="R621" s="9">
        <f>tblTransactions[[#This Row],[NetRevenue]]-tblTransactions[[#This Row],[TotalCost]]</f>
        <v>41412.48000000001</v>
      </c>
      <c r="S621" t="str">
        <f>_xlfn.XLOOKUP(tblTransactions[[#This Row],[ProductID]],tblProducts[ProductID],tblProducts[Category])</f>
        <v>Electronics</v>
      </c>
    </row>
    <row r="622" spans="1:19">
      <c r="A622" t="s">
        <v>16939</v>
      </c>
      <c r="B622" s="1">
        <v>45620</v>
      </c>
      <c r="C622" t="s">
        <v>8899</v>
      </c>
      <c r="D622" t="str">
        <f>_xlfn.XLOOKUP(tblTransactions[[#This Row],[CustomerID]],tblCustomers[CustomerID],tblCustomers[CustomerName])</f>
        <v>Wahab Venkataraman</v>
      </c>
      <c r="E622" t="s">
        <v>15988</v>
      </c>
      <c r="F622" t="str">
        <f>_xlfn.XLOOKUP(tblTransactions[[#This Row],[ProductID]],tblProducts[ProductID],tblProducts[ProductName])</f>
        <v>Soundbar E5</v>
      </c>
      <c r="G622" t="s">
        <v>16299</v>
      </c>
      <c r="H622" t="str">
        <f>_xlfn.XLOOKUP(tblTransactions[[#This Row],[StoreID]],tblStores[StoreID],tblStores[Region])</f>
        <v>South</v>
      </c>
      <c r="I622">
        <v>1</v>
      </c>
      <c r="J622">
        <v>0.1</v>
      </c>
      <c r="K622" t="s">
        <v>16317</v>
      </c>
      <c r="L622" s="9">
        <f>_xlfn.XLOOKUP(tblTransactions[[#This Row],[ProductID]],tblProducts[ProductID],tblProducts[UnitPrice])</f>
        <v>51647.41</v>
      </c>
      <c r="M622" s="9">
        <f>tblTransactions[[#This Row],[Quantity]]*tblTransactions[[#This Row],[UnitPrice]]</f>
        <v>51647.41</v>
      </c>
      <c r="N622" s="9">
        <f>tblTransactions[[#This Row],[GrossSales]]*tblTransactions[[#This Row],[Discount]]</f>
        <v>5164.7410000000009</v>
      </c>
      <c r="O622" s="9">
        <f>tblTransactions[[#This Row],[GrossSales]]-tblTransactions[[#This Row],[DiscountAmount]]</f>
        <v>46482.669000000002</v>
      </c>
      <c r="P622" s="9">
        <f>_xlfn.XLOOKUP(tblTransactions[[#This Row],[ProductID]],tblProducts[ProductID],tblProducts[UnitCost])</f>
        <v>43564.65</v>
      </c>
      <c r="Q622" s="9">
        <f>tblTransactions[[#This Row],[Quantity]]*tblTransactions[[#This Row],[UnitCost]]</f>
        <v>43564.65</v>
      </c>
      <c r="R622" s="9">
        <f>tblTransactions[[#This Row],[NetRevenue]]-tblTransactions[[#This Row],[TotalCost]]</f>
        <v>2918.0190000000002</v>
      </c>
      <c r="S622" t="str">
        <f>_xlfn.XLOOKUP(tblTransactions[[#This Row],[ProductID]],tblProducts[ProductID],tblProducts[Category])</f>
        <v>Electronics</v>
      </c>
    </row>
    <row r="623" spans="1:19">
      <c r="A623" t="s">
        <v>16940</v>
      </c>
      <c r="B623" s="1">
        <v>45621</v>
      </c>
      <c r="C623" t="s">
        <v>908</v>
      </c>
      <c r="D623" t="str">
        <f>_xlfn.XLOOKUP(tblTransactions[[#This Row],[CustomerID]],tblCustomers[CustomerID],tblCustomers[CustomerName])</f>
        <v>Baljiwan Bhandari</v>
      </c>
      <c r="E623" t="s">
        <v>15973</v>
      </c>
      <c r="F623" t="str">
        <f>_xlfn.XLOOKUP(tblTransactions[[#This Row],[ProductID]],tblProducts[ProductID],tblProducts[ProductName])</f>
        <v>Ultrabook A6</v>
      </c>
      <c r="G623" t="s">
        <v>16279</v>
      </c>
      <c r="H623" t="str">
        <f>_xlfn.XLOOKUP(tblTransactions[[#This Row],[StoreID]],tblStores[StoreID],tblStores[Region])</f>
        <v>South</v>
      </c>
      <c r="I623">
        <v>2</v>
      </c>
      <c r="J623">
        <v>0</v>
      </c>
      <c r="K623" t="s">
        <v>16315</v>
      </c>
      <c r="L623" s="9">
        <f>_xlfn.XLOOKUP(tblTransactions[[#This Row],[ProductID]],tblProducts[ProductID],tblProducts[UnitPrice])</f>
        <v>9422.92</v>
      </c>
      <c r="M623" s="9">
        <f>tblTransactions[[#This Row],[Quantity]]*tblTransactions[[#This Row],[UnitPrice]]</f>
        <v>18845.84</v>
      </c>
      <c r="N623" s="9">
        <f>tblTransactions[[#This Row],[GrossSales]]*tblTransactions[[#This Row],[Discount]]</f>
        <v>0</v>
      </c>
      <c r="O623" s="9">
        <f>tblTransactions[[#This Row],[GrossSales]]-tblTransactions[[#This Row],[DiscountAmount]]</f>
        <v>18845.84</v>
      </c>
      <c r="P623" s="9">
        <f>_xlfn.XLOOKUP(tblTransactions[[#This Row],[ProductID]],tblProducts[ProductID],tblProducts[UnitCost])</f>
        <v>7399.19</v>
      </c>
      <c r="Q623" s="9">
        <f>tblTransactions[[#This Row],[Quantity]]*tblTransactions[[#This Row],[UnitCost]]</f>
        <v>14798.38</v>
      </c>
      <c r="R623" s="9">
        <f>tblTransactions[[#This Row],[NetRevenue]]-tblTransactions[[#This Row],[TotalCost]]</f>
        <v>4047.4600000000009</v>
      </c>
      <c r="S623" t="str">
        <f>_xlfn.XLOOKUP(tblTransactions[[#This Row],[ProductID]],tblProducts[ProductID],tblProducts[Category])</f>
        <v>Electronics</v>
      </c>
    </row>
    <row r="624" spans="1:19">
      <c r="A624" t="s">
        <v>16941</v>
      </c>
      <c r="B624" s="1">
        <v>45623</v>
      </c>
      <c r="C624" t="s">
        <v>1809</v>
      </c>
      <c r="D624" t="str">
        <f>_xlfn.XLOOKUP(tblTransactions[[#This Row],[CustomerID]],tblCustomers[CustomerID],tblCustomers[CustomerName])</f>
        <v>Jai Sami</v>
      </c>
      <c r="E624" t="s">
        <v>16066</v>
      </c>
      <c r="F624" t="str">
        <f>_xlfn.XLOOKUP(tblTransactions[[#This Row],[ProductID]],tblProducts[ProductID],tblProducts[ProductName])</f>
        <v>Decorative Vase A6</v>
      </c>
      <c r="G624" t="s">
        <v>16295</v>
      </c>
      <c r="H624" t="str">
        <f>_xlfn.XLOOKUP(tblTransactions[[#This Row],[StoreID]],tblStores[StoreID],tblStores[Region])</f>
        <v>South</v>
      </c>
      <c r="I624">
        <v>2</v>
      </c>
      <c r="J624">
        <v>0</v>
      </c>
      <c r="K624" t="s">
        <v>16321</v>
      </c>
      <c r="L624" s="9">
        <f>_xlfn.XLOOKUP(tblTransactions[[#This Row],[ProductID]],tblProducts[ProductID],tblProducts[UnitPrice])</f>
        <v>3429.74</v>
      </c>
      <c r="M624" s="9">
        <f>tblTransactions[[#This Row],[Quantity]]*tblTransactions[[#This Row],[UnitPrice]]</f>
        <v>6859.48</v>
      </c>
      <c r="N624" s="9">
        <f>tblTransactions[[#This Row],[GrossSales]]*tblTransactions[[#This Row],[Discount]]</f>
        <v>0</v>
      </c>
      <c r="O624" s="9">
        <f>tblTransactions[[#This Row],[GrossSales]]-tblTransactions[[#This Row],[DiscountAmount]]</f>
        <v>6859.48</v>
      </c>
      <c r="P624" s="9">
        <f>_xlfn.XLOOKUP(tblTransactions[[#This Row],[ProductID]],tblProducts[ProductID],tblProducts[UnitCost])</f>
        <v>2172.39</v>
      </c>
      <c r="Q624" s="9">
        <f>tblTransactions[[#This Row],[Quantity]]*tblTransactions[[#This Row],[UnitCost]]</f>
        <v>4344.78</v>
      </c>
      <c r="R624" s="9">
        <f>tblTransactions[[#This Row],[NetRevenue]]-tblTransactions[[#This Row],[TotalCost]]</f>
        <v>2514.6999999999998</v>
      </c>
      <c r="S624" t="str">
        <f>_xlfn.XLOOKUP(tblTransactions[[#This Row],[ProductID]],tblProducts[ProductID],tblProducts[Category])</f>
        <v>Home &amp; Kitchen</v>
      </c>
    </row>
    <row r="625" spans="1:19">
      <c r="A625" t="s">
        <v>16942</v>
      </c>
      <c r="B625" s="1">
        <v>45624</v>
      </c>
      <c r="C625" t="s">
        <v>8454</v>
      </c>
      <c r="D625" t="str">
        <f>_xlfn.XLOOKUP(tblTransactions[[#This Row],[CustomerID]],tblCustomers[CustomerID],tblCustomers[CustomerName])</f>
        <v>Devansh Wagle</v>
      </c>
      <c r="E625" t="s">
        <v>16198</v>
      </c>
      <c r="F625" t="str">
        <f>_xlfn.XLOOKUP(tblTransactions[[#This Row],[ProductID]],tblProducts[ProductID],tblProducts[ProductName])</f>
        <v>Face Wash C3</v>
      </c>
      <c r="G625" t="s">
        <v>16305</v>
      </c>
      <c r="H625" t="str">
        <f>_xlfn.XLOOKUP(tblTransactions[[#This Row],[StoreID]],tblStores[StoreID],tblStores[Region])</f>
        <v>South</v>
      </c>
      <c r="I625">
        <v>1</v>
      </c>
      <c r="J625">
        <v>0.05</v>
      </c>
      <c r="K625" t="s">
        <v>16317</v>
      </c>
      <c r="L625" s="9">
        <f>_xlfn.XLOOKUP(tblTransactions[[#This Row],[ProductID]],tblProducts[ProductID],tblProducts[UnitPrice])</f>
        <v>1783.65</v>
      </c>
      <c r="M625" s="9">
        <f>tblTransactions[[#This Row],[Quantity]]*tblTransactions[[#This Row],[UnitPrice]]</f>
        <v>1783.65</v>
      </c>
      <c r="N625" s="9">
        <f>tblTransactions[[#This Row],[GrossSales]]*tblTransactions[[#This Row],[Discount]]</f>
        <v>89.182500000000005</v>
      </c>
      <c r="O625" s="9">
        <f>tblTransactions[[#This Row],[GrossSales]]-tblTransactions[[#This Row],[DiscountAmount]]</f>
        <v>1694.4675000000002</v>
      </c>
      <c r="P625" s="9">
        <f>_xlfn.XLOOKUP(tblTransactions[[#This Row],[ProductID]],tblProducts[ProductID],tblProducts[UnitCost])</f>
        <v>1128.95</v>
      </c>
      <c r="Q625" s="9">
        <f>tblTransactions[[#This Row],[Quantity]]*tblTransactions[[#This Row],[UnitCost]]</f>
        <v>1128.95</v>
      </c>
      <c r="R625" s="9">
        <f>tblTransactions[[#This Row],[NetRevenue]]-tblTransactions[[#This Row],[TotalCost]]</f>
        <v>565.51750000000015</v>
      </c>
      <c r="S625" t="str">
        <f>_xlfn.XLOOKUP(tblTransactions[[#This Row],[ProductID]],tblProducts[ProductID],tblProducts[Category])</f>
        <v>Personal Care</v>
      </c>
    </row>
    <row r="626" spans="1:19">
      <c r="A626" t="s">
        <v>16943</v>
      </c>
      <c r="B626" s="1">
        <v>45626</v>
      </c>
      <c r="C626" t="s">
        <v>4467</v>
      </c>
      <c r="D626" t="str">
        <f>_xlfn.XLOOKUP(tblTransactions[[#This Row],[CustomerID]],tblCustomers[CustomerID],tblCustomers[CustomerName])</f>
        <v>Sudiksha Bala</v>
      </c>
      <c r="E626" t="s">
        <v>16162</v>
      </c>
      <c r="F626" t="str">
        <f>_xlfn.XLOOKUP(tblTransactions[[#This Row],[ProductID]],tblProducts[ProductID],tblProducts[ProductName])</f>
        <v>Tea A1</v>
      </c>
      <c r="G626" t="s">
        <v>16293</v>
      </c>
      <c r="H626" t="str">
        <f>_xlfn.XLOOKUP(tblTransactions[[#This Row],[StoreID]],tblStores[StoreID],tblStores[Region])</f>
        <v>South</v>
      </c>
      <c r="I626">
        <v>2</v>
      </c>
      <c r="J626">
        <v>0.05</v>
      </c>
      <c r="K626" t="s">
        <v>16315</v>
      </c>
      <c r="L626" s="9">
        <f>_xlfn.XLOOKUP(tblTransactions[[#This Row],[ProductID]],tblProducts[ProductID],tblProducts[UnitPrice])</f>
        <v>675.13</v>
      </c>
      <c r="M626" s="9">
        <f>tblTransactions[[#This Row],[Quantity]]*tblTransactions[[#This Row],[UnitPrice]]</f>
        <v>1350.26</v>
      </c>
      <c r="N626" s="9">
        <f>tblTransactions[[#This Row],[GrossSales]]*tblTransactions[[#This Row],[Discount]]</f>
        <v>67.513000000000005</v>
      </c>
      <c r="O626" s="9">
        <f>tblTransactions[[#This Row],[GrossSales]]-tblTransactions[[#This Row],[DiscountAmount]]</f>
        <v>1282.7470000000001</v>
      </c>
      <c r="P626" s="9">
        <f>_xlfn.XLOOKUP(tblTransactions[[#This Row],[ProductID]],tblProducts[ProductID],tblProducts[UnitCost])</f>
        <v>510.45</v>
      </c>
      <c r="Q626" s="9">
        <f>tblTransactions[[#This Row],[Quantity]]*tblTransactions[[#This Row],[UnitCost]]</f>
        <v>1020.9</v>
      </c>
      <c r="R626" s="9">
        <f>tblTransactions[[#This Row],[NetRevenue]]-tblTransactions[[#This Row],[TotalCost]]</f>
        <v>261.84700000000009</v>
      </c>
      <c r="S626" t="str">
        <f>_xlfn.XLOOKUP(tblTransactions[[#This Row],[ProductID]],tblProducts[ProductID],tblProducts[Category])</f>
        <v>Grocery</v>
      </c>
    </row>
    <row r="627" spans="1:19">
      <c r="A627" t="s">
        <v>16944</v>
      </c>
      <c r="B627" s="1">
        <v>45628</v>
      </c>
      <c r="C627" t="s">
        <v>824</v>
      </c>
      <c r="D627" t="str">
        <f>_xlfn.XLOOKUP(tblTransactions[[#This Row],[CustomerID]],tblCustomers[CustomerID],tblCustomers[CustomerName])</f>
        <v>Nandini Boase</v>
      </c>
      <c r="E627" t="s">
        <v>16064</v>
      </c>
      <c r="F627" t="str">
        <f>_xlfn.XLOOKUP(tblTransactions[[#This Row],[ProductID]],tblProducts[ProductID],tblProducts[ProductName])</f>
        <v>Decorative Vase E5</v>
      </c>
      <c r="G627" t="s">
        <v>16259</v>
      </c>
      <c r="H627" t="str">
        <f>_xlfn.XLOOKUP(tblTransactions[[#This Row],[StoreID]],tblStores[StoreID],tblStores[Region])</f>
        <v>East</v>
      </c>
      <c r="I627">
        <v>1</v>
      </c>
      <c r="J627">
        <v>0.1</v>
      </c>
      <c r="K627" t="s">
        <v>16321</v>
      </c>
      <c r="L627" s="9">
        <f>_xlfn.XLOOKUP(tblTransactions[[#This Row],[ProductID]],tblProducts[ProductID],tblProducts[UnitPrice])</f>
        <v>1797.31</v>
      </c>
      <c r="M627" s="9">
        <f>tblTransactions[[#This Row],[Quantity]]*tblTransactions[[#This Row],[UnitPrice]]</f>
        <v>1797.31</v>
      </c>
      <c r="N627" s="9">
        <f>tblTransactions[[#This Row],[GrossSales]]*tblTransactions[[#This Row],[Discount]]</f>
        <v>179.73099999999999</v>
      </c>
      <c r="O627" s="9">
        <f>tblTransactions[[#This Row],[GrossSales]]-tblTransactions[[#This Row],[DiscountAmount]]</f>
        <v>1617.579</v>
      </c>
      <c r="P627" s="9">
        <f>_xlfn.XLOOKUP(tblTransactions[[#This Row],[ProductID]],tblProducts[ProductID],tblProducts[UnitCost])</f>
        <v>1257.43</v>
      </c>
      <c r="Q627" s="9">
        <f>tblTransactions[[#This Row],[Quantity]]*tblTransactions[[#This Row],[UnitCost]]</f>
        <v>1257.43</v>
      </c>
      <c r="R627" s="9">
        <f>tblTransactions[[#This Row],[NetRevenue]]-tblTransactions[[#This Row],[TotalCost]]</f>
        <v>360.14899999999989</v>
      </c>
      <c r="S627" t="str">
        <f>_xlfn.XLOOKUP(tblTransactions[[#This Row],[ProductID]],tblProducts[ProductID],tblProducts[Category])</f>
        <v>Home &amp; Kitchen</v>
      </c>
    </row>
    <row r="628" spans="1:19">
      <c r="A628" t="s">
        <v>16945</v>
      </c>
      <c r="B628" s="1">
        <v>45629</v>
      </c>
      <c r="C628" t="s">
        <v>9943</v>
      </c>
      <c r="D628" t="str">
        <f>_xlfn.XLOOKUP(tblTransactions[[#This Row],[CustomerID]],tblCustomers[CustomerID],tblCustomers[CustomerName])</f>
        <v>Nirja Radhakrishnan</v>
      </c>
      <c r="E628" t="s">
        <v>16025</v>
      </c>
      <c r="F628" t="str">
        <f>_xlfn.XLOOKUP(tblTransactions[[#This Row],[ProductID]],tblProducts[ProductID],tblProducts[ProductName])</f>
        <v>Bookshelf A1</v>
      </c>
      <c r="G628" t="s">
        <v>16281</v>
      </c>
      <c r="H628" t="str">
        <f>_xlfn.XLOOKUP(tblTransactions[[#This Row],[StoreID]],tblStores[StoreID],tblStores[Region])</f>
        <v>West</v>
      </c>
      <c r="I628">
        <v>1</v>
      </c>
      <c r="J628">
        <v>0.05</v>
      </c>
      <c r="K628" t="s">
        <v>16321</v>
      </c>
      <c r="L628" s="9">
        <f>_xlfn.XLOOKUP(tblTransactions[[#This Row],[ProductID]],tblProducts[ProductID],tblProducts[UnitPrice])</f>
        <v>23401.279999999999</v>
      </c>
      <c r="M628" s="9">
        <f>tblTransactions[[#This Row],[Quantity]]*tblTransactions[[#This Row],[UnitPrice]]</f>
        <v>23401.279999999999</v>
      </c>
      <c r="N628" s="9">
        <f>tblTransactions[[#This Row],[GrossSales]]*tblTransactions[[#This Row],[Discount]]</f>
        <v>1170.0640000000001</v>
      </c>
      <c r="O628" s="9">
        <f>tblTransactions[[#This Row],[GrossSales]]-tblTransactions[[#This Row],[DiscountAmount]]</f>
        <v>22231.216</v>
      </c>
      <c r="P628" s="9">
        <f>_xlfn.XLOOKUP(tblTransactions[[#This Row],[ProductID]],tblProducts[ProductID],tblProducts[UnitCost])</f>
        <v>13697.77</v>
      </c>
      <c r="Q628" s="9">
        <f>tblTransactions[[#This Row],[Quantity]]*tblTransactions[[#This Row],[UnitCost]]</f>
        <v>13697.77</v>
      </c>
      <c r="R628" s="9">
        <f>tblTransactions[[#This Row],[NetRevenue]]-tblTransactions[[#This Row],[TotalCost]]</f>
        <v>8533.4459999999999</v>
      </c>
      <c r="S628" t="str">
        <f>_xlfn.XLOOKUP(tblTransactions[[#This Row],[ProductID]],tblProducts[ProductID],tblProducts[Category])</f>
        <v>Home &amp; Kitchen</v>
      </c>
    </row>
    <row r="629" spans="1:19">
      <c r="A629" t="s">
        <v>16946</v>
      </c>
      <c r="B629" s="1">
        <v>45631</v>
      </c>
      <c r="C629" t="s">
        <v>6197</v>
      </c>
      <c r="D629" t="str">
        <f>_xlfn.XLOOKUP(tblTransactions[[#This Row],[CustomerID]],tblCustomers[CustomerID],tblCustomers[CustomerName])</f>
        <v>Jeremiah Kakar</v>
      </c>
      <c r="E629" t="s">
        <v>16038</v>
      </c>
      <c r="F629" t="str">
        <f>_xlfn.XLOOKUP(tblTransactions[[#This Row],[ProductID]],tblProducts[ProductID],tblProducts[ProductName])</f>
        <v>Study Table B7</v>
      </c>
      <c r="G629" t="s">
        <v>16303</v>
      </c>
      <c r="H629" t="str">
        <f>_xlfn.XLOOKUP(tblTransactions[[#This Row],[StoreID]],tblStores[StoreID],tblStores[Region])</f>
        <v>West</v>
      </c>
      <c r="I629">
        <v>1</v>
      </c>
      <c r="J629">
        <v>0</v>
      </c>
      <c r="K629" t="s">
        <v>16315</v>
      </c>
      <c r="L629" s="9">
        <f>_xlfn.XLOOKUP(tblTransactions[[#This Row],[ProductID]],tblProducts[ProductID],tblProducts[UnitPrice])</f>
        <v>4684.91</v>
      </c>
      <c r="M629" s="9">
        <f>tblTransactions[[#This Row],[Quantity]]*tblTransactions[[#This Row],[UnitPrice]]</f>
        <v>4684.91</v>
      </c>
      <c r="N629" s="9">
        <f>tblTransactions[[#This Row],[GrossSales]]*tblTransactions[[#This Row],[Discount]]</f>
        <v>0</v>
      </c>
      <c r="O629" s="9">
        <f>tblTransactions[[#This Row],[GrossSales]]-tblTransactions[[#This Row],[DiscountAmount]]</f>
        <v>4684.91</v>
      </c>
      <c r="P629" s="9">
        <f>_xlfn.XLOOKUP(tblTransactions[[#This Row],[ProductID]],tblProducts[ProductID],tblProducts[UnitCost])</f>
        <v>3005.28</v>
      </c>
      <c r="Q629" s="9">
        <f>tblTransactions[[#This Row],[Quantity]]*tblTransactions[[#This Row],[UnitCost]]</f>
        <v>3005.28</v>
      </c>
      <c r="R629" s="9">
        <f>tblTransactions[[#This Row],[NetRevenue]]-tblTransactions[[#This Row],[TotalCost]]</f>
        <v>1679.6299999999997</v>
      </c>
      <c r="S629" t="str">
        <f>_xlfn.XLOOKUP(tblTransactions[[#This Row],[ProductID]],tblProducts[ProductID],tblProducts[Category])</f>
        <v>Home &amp; Kitchen</v>
      </c>
    </row>
    <row r="630" spans="1:19">
      <c r="A630" t="s">
        <v>16947</v>
      </c>
      <c r="B630" s="1">
        <v>45632</v>
      </c>
      <c r="C630" t="s">
        <v>10655</v>
      </c>
      <c r="D630" t="str">
        <f>_xlfn.XLOOKUP(tblTransactions[[#This Row],[CustomerID]],tblCustomers[CustomerID],tblCustomers[CustomerName])</f>
        <v>Harsh Kapoor</v>
      </c>
      <c r="E630" t="s">
        <v>16082</v>
      </c>
      <c r="F630" t="str">
        <f>_xlfn.XLOOKUP(tblTransactions[[#This Row],[ProductID]],tblProducts[ProductID],tblProducts[ProductName])</f>
        <v>Men's Jacket A6</v>
      </c>
      <c r="G630" t="s">
        <v>16289</v>
      </c>
      <c r="H630" t="str">
        <f>_xlfn.XLOOKUP(tblTransactions[[#This Row],[StoreID]],tblStores[StoreID],tblStores[Region])</f>
        <v>South</v>
      </c>
      <c r="I630">
        <v>2</v>
      </c>
      <c r="J630">
        <v>0.15</v>
      </c>
      <c r="K630" t="s">
        <v>16315</v>
      </c>
      <c r="L630" s="9">
        <f>_xlfn.XLOOKUP(tblTransactions[[#This Row],[ProductID]],tblProducts[ProductID],tblProducts[UnitPrice])</f>
        <v>3718.64</v>
      </c>
      <c r="M630" s="9">
        <f>tblTransactions[[#This Row],[Quantity]]*tblTransactions[[#This Row],[UnitPrice]]</f>
        <v>7437.28</v>
      </c>
      <c r="N630" s="9">
        <f>tblTransactions[[#This Row],[GrossSales]]*tblTransactions[[#This Row],[Discount]]</f>
        <v>1115.5919999999999</v>
      </c>
      <c r="O630" s="9">
        <f>tblTransactions[[#This Row],[GrossSales]]-tblTransactions[[#This Row],[DiscountAmount]]</f>
        <v>6321.6880000000001</v>
      </c>
      <c r="P630" s="9">
        <f>_xlfn.XLOOKUP(tblTransactions[[#This Row],[ProductID]],tblProducts[ProductID],tblProducts[UnitCost])</f>
        <v>3021.38</v>
      </c>
      <c r="Q630" s="9">
        <f>tblTransactions[[#This Row],[Quantity]]*tblTransactions[[#This Row],[UnitCost]]</f>
        <v>6042.76</v>
      </c>
      <c r="R630" s="9">
        <f>tblTransactions[[#This Row],[NetRevenue]]-tblTransactions[[#This Row],[TotalCost]]</f>
        <v>278.92799999999988</v>
      </c>
      <c r="S630" t="str">
        <f>_xlfn.XLOOKUP(tblTransactions[[#This Row],[ProductID]],tblProducts[ProductID],tblProducts[Category])</f>
        <v>Clothing</v>
      </c>
    </row>
    <row r="631" spans="1:19">
      <c r="A631" t="s">
        <v>16948</v>
      </c>
      <c r="B631" s="1">
        <v>45632</v>
      </c>
      <c r="C631" t="s">
        <v>15737</v>
      </c>
      <c r="D631" t="str">
        <f>_xlfn.XLOOKUP(tblTransactions[[#This Row],[CustomerID]],tblCustomers[CustomerID],tblCustomers[CustomerName])</f>
        <v>Nikita Ganguly</v>
      </c>
      <c r="E631" t="s">
        <v>16114</v>
      </c>
      <c r="F631" t="str">
        <f>_xlfn.XLOOKUP(tblTransactions[[#This Row],[ProductID]],tblProducts[ProductID],tblProducts[ProductName])</f>
        <v>Kids T-Shirt B7</v>
      </c>
      <c r="G631" t="s">
        <v>16299</v>
      </c>
      <c r="H631" t="str">
        <f>_xlfn.XLOOKUP(tblTransactions[[#This Row],[StoreID]],tblStores[StoreID],tblStores[Region])</f>
        <v>South</v>
      </c>
      <c r="I631">
        <v>5</v>
      </c>
      <c r="J631">
        <v>0.2</v>
      </c>
      <c r="K631" t="s">
        <v>16325</v>
      </c>
      <c r="L631" s="9">
        <f>_xlfn.XLOOKUP(tblTransactions[[#This Row],[ProductID]],tblProducts[ProductID],tblProducts[UnitPrice])</f>
        <v>2599.96</v>
      </c>
      <c r="M631" s="9">
        <f>tblTransactions[[#This Row],[Quantity]]*tblTransactions[[#This Row],[UnitPrice]]</f>
        <v>12999.8</v>
      </c>
      <c r="N631" s="9">
        <f>tblTransactions[[#This Row],[GrossSales]]*tblTransactions[[#This Row],[Discount]]</f>
        <v>2599.96</v>
      </c>
      <c r="O631" s="9">
        <f>tblTransactions[[#This Row],[GrossSales]]-tblTransactions[[#This Row],[DiscountAmount]]</f>
        <v>10399.84</v>
      </c>
      <c r="P631" s="9">
        <f>_xlfn.XLOOKUP(tblTransactions[[#This Row],[ProductID]],tblProducts[ProductID],tblProducts[UnitCost])</f>
        <v>1643</v>
      </c>
      <c r="Q631" s="9">
        <f>tblTransactions[[#This Row],[Quantity]]*tblTransactions[[#This Row],[UnitCost]]</f>
        <v>8215</v>
      </c>
      <c r="R631" s="9">
        <f>tblTransactions[[#This Row],[NetRevenue]]-tblTransactions[[#This Row],[TotalCost]]</f>
        <v>2184.84</v>
      </c>
      <c r="S631" t="str">
        <f>_xlfn.XLOOKUP(tblTransactions[[#This Row],[ProductID]],tblProducts[ProductID],tblProducts[Category])</f>
        <v>Clothing</v>
      </c>
    </row>
    <row r="632" spans="1:19">
      <c r="A632" t="s">
        <v>16949</v>
      </c>
      <c r="B632" s="1">
        <v>45633</v>
      </c>
      <c r="C632" t="s">
        <v>25</v>
      </c>
      <c r="D632" t="str">
        <f>_xlfn.XLOOKUP(tblTransactions[[#This Row],[CustomerID]],tblCustomers[CustomerID],tblCustomers[CustomerName])</f>
        <v>Viraj Tiwari</v>
      </c>
      <c r="E632" t="s">
        <v>16028</v>
      </c>
      <c r="F632" t="str">
        <f>_xlfn.XLOOKUP(tblTransactions[[#This Row],[ProductID]],tblProducts[ProductID],tblProducts[ProductName])</f>
        <v>Bookshelf B2</v>
      </c>
      <c r="G632" t="s">
        <v>16271</v>
      </c>
      <c r="H632" t="str">
        <f>_xlfn.XLOOKUP(tblTransactions[[#This Row],[StoreID]],tblStores[StoreID],tblStores[Region])</f>
        <v>South</v>
      </c>
      <c r="I632">
        <v>1</v>
      </c>
      <c r="J632">
        <v>0</v>
      </c>
      <c r="K632" t="s">
        <v>16321</v>
      </c>
      <c r="L632" s="9">
        <f>_xlfn.XLOOKUP(tblTransactions[[#This Row],[ProductID]],tblProducts[ProductID],tblProducts[UnitPrice])</f>
        <v>11987.07</v>
      </c>
      <c r="M632" s="9">
        <f>tblTransactions[[#This Row],[Quantity]]*tblTransactions[[#This Row],[UnitPrice]]</f>
        <v>11987.07</v>
      </c>
      <c r="N632" s="9">
        <f>tblTransactions[[#This Row],[GrossSales]]*tblTransactions[[#This Row],[Discount]]</f>
        <v>0</v>
      </c>
      <c r="O632" s="9">
        <f>tblTransactions[[#This Row],[GrossSales]]-tblTransactions[[#This Row],[DiscountAmount]]</f>
        <v>11987.07</v>
      </c>
      <c r="P632" s="9">
        <f>_xlfn.XLOOKUP(tblTransactions[[#This Row],[ProductID]],tblProducts[ProductID],tblProducts[UnitCost])</f>
        <v>8332.57</v>
      </c>
      <c r="Q632" s="9">
        <f>tblTransactions[[#This Row],[Quantity]]*tblTransactions[[#This Row],[UnitCost]]</f>
        <v>8332.57</v>
      </c>
      <c r="R632" s="9">
        <f>tblTransactions[[#This Row],[NetRevenue]]-tblTransactions[[#This Row],[TotalCost]]</f>
        <v>3654.5</v>
      </c>
      <c r="S632" t="str">
        <f>_xlfn.XLOOKUP(tblTransactions[[#This Row],[ProductID]],tblProducts[ProductID],tblProducts[Category])</f>
        <v>Home &amp; Kitchen</v>
      </c>
    </row>
    <row r="633" spans="1:19">
      <c r="A633" t="s">
        <v>16950</v>
      </c>
      <c r="B633" s="1">
        <v>45634</v>
      </c>
      <c r="C633" t="s">
        <v>4777</v>
      </c>
      <c r="D633" t="str">
        <f>_xlfn.XLOOKUP(tblTransactions[[#This Row],[CustomerID]],tblCustomers[CustomerID],tblCustomers[CustomerName])</f>
        <v>Frederick Lata</v>
      </c>
      <c r="E633" t="s">
        <v>16141</v>
      </c>
      <c r="F633" t="str">
        <f>_xlfn.XLOOKUP(tblTransactions[[#This Row],[ProductID]],tblProducts[ProductID],tblProducts[ProductName])</f>
        <v>Sugar E5</v>
      </c>
      <c r="G633" t="s">
        <v>16273</v>
      </c>
      <c r="H633" t="str">
        <f>_xlfn.XLOOKUP(tblTransactions[[#This Row],[StoreID]],tblStores[StoreID],tblStores[Region])</f>
        <v>West</v>
      </c>
      <c r="I633">
        <v>1</v>
      </c>
      <c r="J633">
        <v>0.1</v>
      </c>
      <c r="K633" t="s">
        <v>16317</v>
      </c>
      <c r="L633" s="9">
        <f>_xlfn.XLOOKUP(tblTransactions[[#This Row],[ProductID]],tblProducts[ProductID],tblProducts[UnitPrice])</f>
        <v>631.26</v>
      </c>
      <c r="M633" s="9">
        <f>tblTransactions[[#This Row],[Quantity]]*tblTransactions[[#This Row],[UnitPrice]]</f>
        <v>631.26</v>
      </c>
      <c r="N633" s="9">
        <f>tblTransactions[[#This Row],[GrossSales]]*tblTransactions[[#This Row],[Discount]]</f>
        <v>63.126000000000005</v>
      </c>
      <c r="O633" s="9">
        <f>tblTransactions[[#This Row],[GrossSales]]-tblTransactions[[#This Row],[DiscountAmount]]</f>
        <v>568.13400000000001</v>
      </c>
      <c r="P633" s="9">
        <f>_xlfn.XLOOKUP(tblTransactions[[#This Row],[ProductID]],tblProducts[ProductID],tblProducts[UnitCost])</f>
        <v>394.86</v>
      </c>
      <c r="Q633" s="9">
        <f>tblTransactions[[#This Row],[Quantity]]*tblTransactions[[#This Row],[UnitCost]]</f>
        <v>394.86</v>
      </c>
      <c r="R633" s="9">
        <f>tblTransactions[[#This Row],[NetRevenue]]-tblTransactions[[#This Row],[TotalCost]]</f>
        <v>173.274</v>
      </c>
      <c r="S633" t="str">
        <f>_xlfn.XLOOKUP(tblTransactions[[#This Row],[ProductID]],tblProducts[ProductID],tblProducts[Category])</f>
        <v>Grocery</v>
      </c>
    </row>
    <row r="634" spans="1:19">
      <c r="A634" t="s">
        <v>16951</v>
      </c>
      <c r="B634" s="1">
        <v>45635</v>
      </c>
      <c r="C634" t="s">
        <v>3125</v>
      </c>
      <c r="D634" t="str">
        <f>_xlfn.XLOOKUP(tblTransactions[[#This Row],[CustomerID]],tblCustomers[CustomerID],tblCustomers[CustomerName])</f>
        <v>Jeevika Setty</v>
      </c>
      <c r="E634" t="s">
        <v>16028</v>
      </c>
      <c r="F634" t="str">
        <f>_xlfn.XLOOKUP(tblTransactions[[#This Row],[ProductID]],tblProducts[ProductID],tblProducts[ProductName])</f>
        <v>Bookshelf B2</v>
      </c>
      <c r="G634" t="s">
        <v>16297</v>
      </c>
      <c r="H634" t="str">
        <f>_xlfn.XLOOKUP(tblTransactions[[#This Row],[StoreID]],tblStores[StoreID],tblStores[Region])</f>
        <v>North</v>
      </c>
      <c r="I634">
        <v>3</v>
      </c>
      <c r="J634">
        <v>0.05</v>
      </c>
      <c r="K634" t="s">
        <v>16325</v>
      </c>
      <c r="L634" s="9">
        <f>_xlfn.XLOOKUP(tblTransactions[[#This Row],[ProductID]],tblProducts[ProductID],tblProducts[UnitPrice])</f>
        <v>11987.07</v>
      </c>
      <c r="M634" s="9">
        <f>tblTransactions[[#This Row],[Quantity]]*tblTransactions[[#This Row],[UnitPrice]]</f>
        <v>35961.21</v>
      </c>
      <c r="N634" s="9">
        <f>tblTransactions[[#This Row],[GrossSales]]*tblTransactions[[#This Row],[Discount]]</f>
        <v>1798.0605</v>
      </c>
      <c r="O634" s="9">
        <f>tblTransactions[[#This Row],[GrossSales]]-tblTransactions[[#This Row],[DiscountAmount]]</f>
        <v>34163.1495</v>
      </c>
      <c r="P634" s="9">
        <f>_xlfn.XLOOKUP(tblTransactions[[#This Row],[ProductID]],tblProducts[ProductID],tblProducts[UnitCost])</f>
        <v>8332.57</v>
      </c>
      <c r="Q634" s="9">
        <f>tblTransactions[[#This Row],[Quantity]]*tblTransactions[[#This Row],[UnitCost]]</f>
        <v>24997.71</v>
      </c>
      <c r="R634" s="9">
        <f>tblTransactions[[#This Row],[NetRevenue]]-tblTransactions[[#This Row],[TotalCost]]</f>
        <v>9165.4395000000004</v>
      </c>
      <c r="S634" t="str">
        <f>_xlfn.XLOOKUP(tblTransactions[[#This Row],[ProductID]],tblProducts[ProductID],tblProducts[Category])</f>
        <v>Home &amp; Kitchen</v>
      </c>
    </row>
    <row r="635" spans="1:19">
      <c r="A635" t="s">
        <v>16952</v>
      </c>
      <c r="B635" s="1">
        <v>45636</v>
      </c>
      <c r="C635" t="s">
        <v>11855</v>
      </c>
      <c r="D635" t="str">
        <f>_xlfn.XLOOKUP(tblTransactions[[#This Row],[CustomerID]],tblCustomers[CustomerID],tblCustomers[CustomerName])</f>
        <v>Isaac Thakur</v>
      </c>
      <c r="E635" t="s">
        <v>16089</v>
      </c>
      <c r="F635" t="str">
        <f>_xlfn.XLOOKUP(tblTransactions[[#This Row],[ProductID]],tblProducts[ProductID],tblProducts[ProductName])</f>
        <v>Women's Jeans B2</v>
      </c>
      <c r="G635" t="s">
        <v>16269</v>
      </c>
      <c r="H635" t="str">
        <f>_xlfn.XLOOKUP(tblTransactions[[#This Row],[StoreID]],tblStores[StoreID],tblStores[Region])</f>
        <v>North</v>
      </c>
      <c r="I635">
        <v>1</v>
      </c>
      <c r="J635">
        <v>0.05</v>
      </c>
      <c r="K635" t="s">
        <v>16317</v>
      </c>
      <c r="L635" s="9">
        <f>_xlfn.XLOOKUP(tblTransactions[[#This Row],[ProductID]],tblProducts[ProductID],tblProducts[UnitPrice])</f>
        <v>7788.99</v>
      </c>
      <c r="M635" s="9">
        <f>tblTransactions[[#This Row],[Quantity]]*tblTransactions[[#This Row],[UnitPrice]]</f>
        <v>7788.99</v>
      </c>
      <c r="N635" s="9">
        <f>tblTransactions[[#This Row],[GrossSales]]*tblTransactions[[#This Row],[Discount]]</f>
        <v>389.4495</v>
      </c>
      <c r="O635" s="9">
        <f>tblTransactions[[#This Row],[GrossSales]]-tblTransactions[[#This Row],[DiscountAmount]]</f>
        <v>7399.5405000000001</v>
      </c>
      <c r="P635" s="9">
        <f>_xlfn.XLOOKUP(tblTransactions[[#This Row],[ProductID]],tblProducts[ProductID],tblProducts[UnitCost])</f>
        <v>6231.21</v>
      </c>
      <c r="Q635" s="9">
        <f>tblTransactions[[#This Row],[Quantity]]*tblTransactions[[#This Row],[UnitCost]]</f>
        <v>6231.21</v>
      </c>
      <c r="R635" s="9">
        <f>tblTransactions[[#This Row],[NetRevenue]]-tblTransactions[[#This Row],[TotalCost]]</f>
        <v>1168.3305</v>
      </c>
      <c r="S635" t="str">
        <f>_xlfn.XLOOKUP(tblTransactions[[#This Row],[ProductID]],tblProducts[ProductID],tblProducts[Category])</f>
        <v>Clothing</v>
      </c>
    </row>
    <row r="636" spans="1:19">
      <c r="A636" t="s">
        <v>16953</v>
      </c>
      <c r="B636" s="1">
        <v>45636</v>
      </c>
      <c r="C636" t="s">
        <v>12487</v>
      </c>
      <c r="D636" t="str">
        <f>_xlfn.XLOOKUP(tblTransactions[[#This Row],[CustomerID]],tblCustomers[CustomerID],tblCustomers[CustomerName])</f>
        <v>Abha Sachdev</v>
      </c>
      <c r="E636" t="s">
        <v>15952</v>
      </c>
      <c r="F636" t="str">
        <f>_xlfn.XLOOKUP(tblTransactions[[#This Row],[ProductID]],tblProducts[ProductID],tblProducts[ProductName])</f>
        <v>Premium Smartphone D4</v>
      </c>
      <c r="G636" t="s">
        <v>16265</v>
      </c>
      <c r="H636" t="str">
        <f>_xlfn.XLOOKUP(tblTransactions[[#This Row],[StoreID]],tblStores[StoreID],tblStores[Region])</f>
        <v>North</v>
      </c>
      <c r="I636">
        <v>3</v>
      </c>
      <c r="J636">
        <v>0</v>
      </c>
      <c r="K636" t="s">
        <v>16317</v>
      </c>
      <c r="L636" s="9">
        <f>_xlfn.XLOOKUP(tblTransactions[[#This Row],[ProductID]],tblProducts[ProductID],tblProducts[UnitPrice])</f>
        <v>50139.94</v>
      </c>
      <c r="M636" s="9">
        <f>tblTransactions[[#This Row],[Quantity]]*tblTransactions[[#This Row],[UnitPrice]]</f>
        <v>150419.82</v>
      </c>
      <c r="N636" s="9">
        <f>tblTransactions[[#This Row],[GrossSales]]*tblTransactions[[#This Row],[Discount]]</f>
        <v>0</v>
      </c>
      <c r="O636" s="9">
        <f>tblTransactions[[#This Row],[GrossSales]]-tblTransactions[[#This Row],[DiscountAmount]]</f>
        <v>150419.82</v>
      </c>
      <c r="P636" s="9">
        <f>_xlfn.XLOOKUP(tblTransactions[[#This Row],[ProductID]],tblProducts[ProductID],tblProducts[UnitCost])</f>
        <v>37762.71</v>
      </c>
      <c r="Q636" s="9">
        <f>tblTransactions[[#This Row],[Quantity]]*tblTransactions[[#This Row],[UnitCost]]</f>
        <v>113288.13</v>
      </c>
      <c r="R636" s="9">
        <f>tblTransactions[[#This Row],[NetRevenue]]-tblTransactions[[#This Row],[TotalCost]]</f>
        <v>37131.69</v>
      </c>
      <c r="S636" t="str">
        <f>_xlfn.XLOOKUP(tblTransactions[[#This Row],[ProductID]],tblProducts[ProductID],tblProducts[Category])</f>
        <v>Electronics</v>
      </c>
    </row>
    <row r="637" spans="1:19">
      <c r="A637" t="s">
        <v>16954</v>
      </c>
      <c r="B637" s="1">
        <v>45636</v>
      </c>
      <c r="C637" t="s">
        <v>14734</v>
      </c>
      <c r="D637" t="str">
        <f>_xlfn.XLOOKUP(tblTransactions[[#This Row],[CustomerID]],tblCustomers[CustomerID],tblCustomers[CustomerName])</f>
        <v>Azaan Sem</v>
      </c>
      <c r="E637" t="s">
        <v>16127</v>
      </c>
      <c r="F637" t="str">
        <f>_xlfn.XLOOKUP(tblTransactions[[#This Row],[ProductID]],tblProducts[ProductID],tblProducts[ProductName])</f>
        <v>Sports Shoes A6</v>
      </c>
      <c r="G637" t="s">
        <v>16287</v>
      </c>
      <c r="H637" t="str">
        <f>_xlfn.XLOOKUP(tblTransactions[[#This Row],[StoreID]],tblStores[StoreID],tblStores[Region])</f>
        <v>North</v>
      </c>
      <c r="I637">
        <v>1</v>
      </c>
      <c r="J637">
        <v>0</v>
      </c>
      <c r="K637" t="s">
        <v>16315</v>
      </c>
      <c r="L637" s="9">
        <f>_xlfn.XLOOKUP(tblTransactions[[#This Row],[ProductID]],tblProducts[ProductID],tblProducts[UnitPrice])</f>
        <v>4565.2299999999996</v>
      </c>
      <c r="M637" s="9">
        <f>tblTransactions[[#This Row],[Quantity]]*tblTransactions[[#This Row],[UnitPrice]]</f>
        <v>4565.2299999999996</v>
      </c>
      <c r="N637" s="9">
        <f>tblTransactions[[#This Row],[GrossSales]]*tblTransactions[[#This Row],[Discount]]</f>
        <v>0</v>
      </c>
      <c r="O637" s="9">
        <f>tblTransactions[[#This Row],[GrossSales]]-tblTransactions[[#This Row],[DiscountAmount]]</f>
        <v>4565.2299999999996</v>
      </c>
      <c r="P637" s="9">
        <f>_xlfn.XLOOKUP(tblTransactions[[#This Row],[ProductID]],tblProducts[ProductID],tblProducts[UnitCost])</f>
        <v>3658.34</v>
      </c>
      <c r="Q637" s="9">
        <f>tblTransactions[[#This Row],[Quantity]]*tblTransactions[[#This Row],[UnitCost]]</f>
        <v>3658.34</v>
      </c>
      <c r="R637" s="9">
        <f>tblTransactions[[#This Row],[NetRevenue]]-tblTransactions[[#This Row],[TotalCost]]</f>
        <v>906.88999999999942</v>
      </c>
      <c r="S637" t="str">
        <f>_xlfn.XLOOKUP(tblTransactions[[#This Row],[ProductID]],tblProducts[ProductID],tblProducts[Category])</f>
        <v>Clothing</v>
      </c>
    </row>
    <row r="638" spans="1:19">
      <c r="A638" t="s">
        <v>16955</v>
      </c>
      <c r="B638" s="1">
        <v>45636</v>
      </c>
      <c r="C638" t="s">
        <v>14067</v>
      </c>
      <c r="D638" t="str">
        <f>_xlfn.XLOOKUP(tblTransactions[[#This Row],[CustomerID]],tblCustomers[CustomerID],tblCustomers[CustomerName])</f>
        <v>Gautam Gara</v>
      </c>
      <c r="E638" t="s">
        <v>16076</v>
      </c>
      <c r="F638" t="str">
        <f>_xlfn.XLOOKUP(tblTransactions[[#This Row],[ProductID]],tblProducts[ProductID],tblProducts[ProductName])</f>
        <v>Men's Jeans C3</v>
      </c>
      <c r="G638" t="s">
        <v>16259</v>
      </c>
      <c r="H638" t="str">
        <f>_xlfn.XLOOKUP(tblTransactions[[#This Row],[StoreID]],tblStores[StoreID],tblStores[Region])</f>
        <v>East</v>
      </c>
      <c r="I638">
        <v>3</v>
      </c>
      <c r="J638">
        <v>0.15</v>
      </c>
      <c r="K638" t="s">
        <v>16317</v>
      </c>
      <c r="L638" s="9">
        <f>_xlfn.XLOOKUP(tblTransactions[[#This Row],[ProductID]],tblProducts[ProductID],tblProducts[UnitPrice])</f>
        <v>7177.2</v>
      </c>
      <c r="M638" s="9">
        <f>tblTransactions[[#This Row],[Quantity]]*tblTransactions[[#This Row],[UnitPrice]]</f>
        <v>21531.599999999999</v>
      </c>
      <c r="N638" s="9">
        <f>tblTransactions[[#This Row],[GrossSales]]*tblTransactions[[#This Row],[Discount]]</f>
        <v>3229.74</v>
      </c>
      <c r="O638" s="9">
        <f>tblTransactions[[#This Row],[GrossSales]]-tblTransactions[[#This Row],[DiscountAmount]]</f>
        <v>18301.86</v>
      </c>
      <c r="P638" s="9">
        <f>_xlfn.XLOOKUP(tblTransactions[[#This Row],[ProductID]],tblProducts[ProductID],tblProducts[UnitCost])</f>
        <v>4558.34</v>
      </c>
      <c r="Q638" s="9">
        <f>tblTransactions[[#This Row],[Quantity]]*tblTransactions[[#This Row],[UnitCost]]</f>
        <v>13675.02</v>
      </c>
      <c r="R638" s="9">
        <f>tblTransactions[[#This Row],[NetRevenue]]-tblTransactions[[#This Row],[TotalCost]]</f>
        <v>4626.84</v>
      </c>
      <c r="S638" t="str">
        <f>_xlfn.XLOOKUP(tblTransactions[[#This Row],[ProductID]],tblProducts[ProductID],tblProducts[Category])</f>
        <v>Clothing</v>
      </c>
    </row>
    <row r="639" spans="1:19">
      <c r="A639" t="s">
        <v>16956</v>
      </c>
      <c r="B639" s="1">
        <v>45637</v>
      </c>
      <c r="C639" t="s">
        <v>2189</v>
      </c>
      <c r="D639" t="str">
        <f>_xlfn.XLOOKUP(tblTransactions[[#This Row],[CustomerID]],tblCustomers[CustomerID],tblCustomers[CustomerName])</f>
        <v>Hitesh Chaudhuri</v>
      </c>
      <c r="E639" t="s">
        <v>16060</v>
      </c>
      <c r="F639" t="str">
        <f>_xlfn.XLOOKUP(tblTransactions[[#This Row],[ProductID]],tblProducts[ProductID],tblProducts[ProductName])</f>
        <v>Decorative Vase C3</v>
      </c>
      <c r="G639" t="s">
        <v>16297</v>
      </c>
      <c r="H639" t="str">
        <f>_xlfn.XLOOKUP(tblTransactions[[#This Row],[StoreID]],tblStores[StoreID],tblStores[Region])</f>
        <v>North</v>
      </c>
      <c r="I639">
        <v>1</v>
      </c>
      <c r="J639">
        <v>0.1</v>
      </c>
      <c r="K639" t="s">
        <v>16321</v>
      </c>
      <c r="L639" s="9">
        <f>_xlfn.XLOOKUP(tblTransactions[[#This Row],[ProductID]],tblProducts[ProductID],tblProducts[UnitPrice])</f>
        <v>26039.41</v>
      </c>
      <c r="M639" s="9">
        <f>tblTransactions[[#This Row],[Quantity]]*tblTransactions[[#This Row],[UnitPrice]]</f>
        <v>26039.41</v>
      </c>
      <c r="N639" s="9">
        <f>tblTransactions[[#This Row],[GrossSales]]*tblTransactions[[#This Row],[Discount]]</f>
        <v>2603.9410000000003</v>
      </c>
      <c r="O639" s="9">
        <f>tblTransactions[[#This Row],[GrossSales]]-tblTransactions[[#This Row],[DiscountAmount]]</f>
        <v>23435.469000000001</v>
      </c>
      <c r="P639" s="9">
        <f>_xlfn.XLOOKUP(tblTransactions[[#This Row],[ProductID]],tblProducts[ProductID],tblProducts[UnitCost])</f>
        <v>20592.23</v>
      </c>
      <c r="Q639" s="9">
        <f>tblTransactions[[#This Row],[Quantity]]*tblTransactions[[#This Row],[UnitCost]]</f>
        <v>20592.23</v>
      </c>
      <c r="R639" s="9">
        <f>tblTransactions[[#This Row],[NetRevenue]]-tblTransactions[[#This Row],[TotalCost]]</f>
        <v>2843.2390000000014</v>
      </c>
      <c r="S639" t="str">
        <f>_xlfn.XLOOKUP(tblTransactions[[#This Row],[ProductID]],tblProducts[ProductID],tblProducts[Category])</f>
        <v>Home &amp; Kitchen</v>
      </c>
    </row>
    <row r="640" spans="1:19">
      <c r="A640" t="s">
        <v>16957</v>
      </c>
      <c r="B640" s="1">
        <v>45637</v>
      </c>
      <c r="C640" t="s">
        <v>9273</v>
      </c>
      <c r="D640" t="str">
        <f>_xlfn.XLOOKUP(tblTransactions[[#This Row],[CustomerID]],tblCustomers[CustomerID],tblCustomers[CustomerName])</f>
        <v>Darpan Uppal</v>
      </c>
      <c r="E640" t="s">
        <v>16219</v>
      </c>
      <c r="F640" t="str">
        <f>_xlfn.XLOOKUP(tblTransactions[[#This Row],[ProductID]],tblProducts[ProductID],tblProducts[ProductName])</f>
        <v>Hair Serum A6</v>
      </c>
      <c r="G640" t="s">
        <v>16271</v>
      </c>
      <c r="H640" t="str">
        <f>_xlfn.XLOOKUP(tblTransactions[[#This Row],[StoreID]],tblStores[StoreID],tblStores[Region])</f>
        <v>South</v>
      </c>
      <c r="I640">
        <v>1</v>
      </c>
      <c r="J640">
        <v>0</v>
      </c>
      <c r="K640" t="s">
        <v>16317</v>
      </c>
      <c r="L640" s="9">
        <f>_xlfn.XLOOKUP(tblTransactions[[#This Row],[ProductID]],tblProducts[ProductID],tblProducts[UnitPrice])</f>
        <v>3355.04</v>
      </c>
      <c r="M640" s="9">
        <f>tblTransactions[[#This Row],[Quantity]]*tblTransactions[[#This Row],[UnitPrice]]</f>
        <v>3355.04</v>
      </c>
      <c r="N640" s="9">
        <f>tblTransactions[[#This Row],[GrossSales]]*tblTransactions[[#This Row],[Discount]]</f>
        <v>0</v>
      </c>
      <c r="O640" s="9">
        <f>tblTransactions[[#This Row],[GrossSales]]-tblTransactions[[#This Row],[DiscountAmount]]</f>
        <v>3355.04</v>
      </c>
      <c r="P640" s="9">
        <f>_xlfn.XLOOKUP(tblTransactions[[#This Row],[ProductID]],tblProducts[ProductID],tblProducts[UnitCost])</f>
        <v>1914.01</v>
      </c>
      <c r="Q640" s="9">
        <f>tblTransactions[[#This Row],[Quantity]]*tblTransactions[[#This Row],[UnitCost]]</f>
        <v>1914.01</v>
      </c>
      <c r="R640" s="9">
        <f>tblTransactions[[#This Row],[NetRevenue]]-tblTransactions[[#This Row],[TotalCost]]</f>
        <v>1441.03</v>
      </c>
      <c r="S640" t="str">
        <f>_xlfn.XLOOKUP(tblTransactions[[#This Row],[ProductID]],tblProducts[ProductID],tblProducts[Category])</f>
        <v>Personal Care</v>
      </c>
    </row>
    <row r="641" spans="1:19">
      <c r="A641" t="s">
        <v>16958</v>
      </c>
      <c r="B641" s="1">
        <v>45638</v>
      </c>
      <c r="C641" t="s">
        <v>8879</v>
      </c>
      <c r="D641" t="str">
        <f>_xlfn.XLOOKUP(tblTransactions[[#This Row],[CustomerID]],tblCustomers[CustomerID],tblCustomers[CustomerName])</f>
        <v>Girish Babu</v>
      </c>
      <c r="E641" t="s">
        <v>16147</v>
      </c>
      <c r="F641" t="str">
        <f>_xlfn.XLOOKUP(tblTransactions[[#This Row],[ProductID]],tblProducts[ProductID],tblProducts[ProductName])</f>
        <v>Namkeen A1</v>
      </c>
      <c r="G641" t="s">
        <v>16305</v>
      </c>
      <c r="H641" t="str">
        <f>_xlfn.XLOOKUP(tblTransactions[[#This Row],[StoreID]],tblStores[StoreID],tblStores[Region])</f>
        <v>South</v>
      </c>
      <c r="I641">
        <v>1</v>
      </c>
      <c r="J641">
        <v>0</v>
      </c>
      <c r="K641" t="s">
        <v>16317</v>
      </c>
      <c r="L641" s="9">
        <f>_xlfn.XLOOKUP(tblTransactions[[#This Row],[ProductID]],tblProducts[ProductID],tblProducts[UnitPrice])</f>
        <v>1282.31</v>
      </c>
      <c r="M641" s="9">
        <f>tblTransactions[[#This Row],[Quantity]]*tblTransactions[[#This Row],[UnitPrice]]</f>
        <v>1282.31</v>
      </c>
      <c r="N641" s="9">
        <f>tblTransactions[[#This Row],[GrossSales]]*tblTransactions[[#This Row],[Discount]]</f>
        <v>0</v>
      </c>
      <c r="O641" s="9">
        <f>tblTransactions[[#This Row],[GrossSales]]-tblTransactions[[#This Row],[DiscountAmount]]</f>
        <v>1282.31</v>
      </c>
      <c r="P641" s="9">
        <f>_xlfn.XLOOKUP(tblTransactions[[#This Row],[ProductID]],tblProducts[ProductID],tblProducts[UnitCost])</f>
        <v>759</v>
      </c>
      <c r="Q641" s="9">
        <f>tblTransactions[[#This Row],[Quantity]]*tblTransactions[[#This Row],[UnitCost]]</f>
        <v>759</v>
      </c>
      <c r="R641" s="9">
        <f>tblTransactions[[#This Row],[NetRevenue]]-tblTransactions[[#This Row],[TotalCost]]</f>
        <v>523.30999999999995</v>
      </c>
      <c r="S641" t="str">
        <f>_xlfn.XLOOKUP(tblTransactions[[#This Row],[ProductID]],tblProducts[ProductID],tblProducts[Category])</f>
        <v>Grocery</v>
      </c>
    </row>
    <row r="642" spans="1:19">
      <c r="A642" t="s">
        <v>16959</v>
      </c>
      <c r="B642" s="1">
        <v>45641</v>
      </c>
      <c r="C642" t="s">
        <v>12840</v>
      </c>
      <c r="D642" t="str">
        <f>_xlfn.XLOOKUP(tblTransactions[[#This Row],[CustomerID]],tblCustomers[CustomerID],tblCustomers[CustomerName])</f>
        <v>Chakrika Mitter</v>
      </c>
      <c r="E642" t="s">
        <v>16055</v>
      </c>
      <c r="F642" t="str">
        <f>_xlfn.XLOOKUP(tblTransactions[[#This Row],[ProductID]],tblProducts[ProductID],tblProducts[ProductName])</f>
        <v>Wall Clock A1</v>
      </c>
      <c r="G642" t="s">
        <v>16279</v>
      </c>
      <c r="H642" t="str">
        <f>_xlfn.XLOOKUP(tblTransactions[[#This Row],[StoreID]],tblStores[StoreID],tblStores[Region])</f>
        <v>South</v>
      </c>
      <c r="I642">
        <v>1</v>
      </c>
      <c r="J642">
        <v>0</v>
      </c>
      <c r="K642" t="s">
        <v>16317</v>
      </c>
      <c r="L642" s="9">
        <f>_xlfn.XLOOKUP(tblTransactions[[#This Row],[ProductID]],tblProducts[ProductID],tblProducts[UnitPrice])</f>
        <v>4187.79</v>
      </c>
      <c r="M642" s="9">
        <f>tblTransactions[[#This Row],[Quantity]]*tblTransactions[[#This Row],[UnitPrice]]</f>
        <v>4187.79</v>
      </c>
      <c r="N642" s="9">
        <f>tblTransactions[[#This Row],[GrossSales]]*tblTransactions[[#This Row],[Discount]]</f>
        <v>0</v>
      </c>
      <c r="O642" s="9">
        <f>tblTransactions[[#This Row],[GrossSales]]-tblTransactions[[#This Row],[DiscountAmount]]</f>
        <v>4187.79</v>
      </c>
      <c r="P642" s="9">
        <f>_xlfn.XLOOKUP(tblTransactions[[#This Row],[ProductID]],tblProducts[ProductID],tblProducts[UnitCost])</f>
        <v>2951.03</v>
      </c>
      <c r="Q642" s="9">
        <f>tblTransactions[[#This Row],[Quantity]]*tblTransactions[[#This Row],[UnitCost]]</f>
        <v>2951.03</v>
      </c>
      <c r="R642" s="9">
        <f>tblTransactions[[#This Row],[NetRevenue]]-tblTransactions[[#This Row],[TotalCost]]</f>
        <v>1236.7599999999998</v>
      </c>
      <c r="S642" t="str">
        <f>_xlfn.XLOOKUP(tblTransactions[[#This Row],[ProductID]],tblProducts[ProductID],tblProducts[Category])</f>
        <v>Home &amp; Kitchen</v>
      </c>
    </row>
    <row r="643" spans="1:19">
      <c r="A643" t="s">
        <v>16960</v>
      </c>
      <c r="B643" s="1">
        <v>45641</v>
      </c>
      <c r="C643" t="s">
        <v>7013</v>
      </c>
      <c r="D643" t="str">
        <f>_xlfn.XLOOKUP(tblTransactions[[#This Row],[CustomerID]],tblCustomers[CustomerID],tblCustomers[CustomerName])</f>
        <v>Ishaan Bail</v>
      </c>
      <c r="E643" t="s">
        <v>16190</v>
      </c>
      <c r="F643" t="str">
        <f>_xlfn.XLOOKUP(tblTransactions[[#This Row],[ProductID]],tblProducts[ProductID],tblProducts[ProductName])</f>
        <v>Pasta B7</v>
      </c>
      <c r="G643" t="s">
        <v>16291</v>
      </c>
      <c r="H643" t="str">
        <f>_xlfn.XLOOKUP(tblTransactions[[#This Row],[StoreID]],tblStores[StoreID],tblStores[Region])</f>
        <v>South</v>
      </c>
      <c r="I643">
        <v>1</v>
      </c>
      <c r="J643">
        <v>0.1</v>
      </c>
      <c r="K643" t="s">
        <v>16321</v>
      </c>
      <c r="L643" s="9">
        <f>_xlfn.XLOOKUP(tblTransactions[[#This Row],[ProductID]],tblProducts[ProductID],tblProducts[UnitPrice])</f>
        <v>777.56</v>
      </c>
      <c r="M643" s="9">
        <f>tblTransactions[[#This Row],[Quantity]]*tblTransactions[[#This Row],[UnitPrice]]</f>
        <v>777.56</v>
      </c>
      <c r="N643" s="9">
        <f>tblTransactions[[#This Row],[GrossSales]]*tblTransactions[[#This Row],[Discount]]</f>
        <v>77.756</v>
      </c>
      <c r="O643" s="9">
        <f>tblTransactions[[#This Row],[GrossSales]]-tblTransactions[[#This Row],[DiscountAmount]]</f>
        <v>699.80399999999997</v>
      </c>
      <c r="P643" s="9">
        <f>_xlfn.XLOOKUP(tblTransactions[[#This Row],[ProductID]],tblProducts[ProductID],tblProducts[UnitCost])</f>
        <v>503.09</v>
      </c>
      <c r="Q643" s="9">
        <f>tblTransactions[[#This Row],[Quantity]]*tblTransactions[[#This Row],[UnitCost]]</f>
        <v>503.09</v>
      </c>
      <c r="R643" s="9">
        <f>tblTransactions[[#This Row],[NetRevenue]]-tblTransactions[[#This Row],[TotalCost]]</f>
        <v>196.714</v>
      </c>
      <c r="S643" t="str">
        <f>_xlfn.XLOOKUP(tblTransactions[[#This Row],[ProductID]],tblProducts[ProductID],tblProducts[Category])</f>
        <v>Grocery</v>
      </c>
    </row>
    <row r="644" spans="1:19">
      <c r="A644" t="s">
        <v>16961</v>
      </c>
      <c r="B644" s="1">
        <v>45642</v>
      </c>
      <c r="C644" t="s">
        <v>9877</v>
      </c>
      <c r="D644" t="str">
        <f>_xlfn.XLOOKUP(tblTransactions[[#This Row],[CustomerID]],tblCustomers[CustomerID],tblCustomers[CustomerName])</f>
        <v>Simon Brar</v>
      </c>
      <c r="E644" t="s">
        <v>16032</v>
      </c>
      <c r="F644" t="str">
        <f>_xlfn.XLOOKUP(tblTransactions[[#This Row],[ProductID]],tblProducts[ProductID],tblProducts[ProductName])</f>
        <v>Study Table D4</v>
      </c>
      <c r="G644" t="s">
        <v>16301</v>
      </c>
      <c r="H644" t="str">
        <f>_xlfn.XLOOKUP(tblTransactions[[#This Row],[StoreID]],tblStores[StoreID],tblStores[Region])</f>
        <v>East</v>
      </c>
      <c r="I644">
        <v>1</v>
      </c>
      <c r="J644">
        <v>0.1</v>
      </c>
      <c r="K644" t="s">
        <v>16317</v>
      </c>
      <c r="L644" s="9">
        <f>_xlfn.XLOOKUP(tblTransactions[[#This Row],[ProductID]],tblProducts[ProductID],tblProducts[UnitPrice])</f>
        <v>643.36</v>
      </c>
      <c r="M644" s="9">
        <f>tblTransactions[[#This Row],[Quantity]]*tblTransactions[[#This Row],[UnitPrice]]</f>
        <v>643.36</v>
      </c>
      <c r="N644" s="9">
        <f>tblTransactions[[#This Row],[GrossSales]]*tblTransactions[[#This Row],[Discount]]</f>
        <v>64.335999999999999</v>
      </c>
      <c r="O644" s="9">
        <f>tblTransactions[[#This Row],[GrossSales]]-tblTransactions[[#This Row],[DiscountAmount]]</f>
        <v>579.024</v>
      </c>
      <c r="P644" s="9">
        <f>_xlfn.XLOOKUP(tblTransactions[[#This Row],[ProductID]],tblProducts[ProductID],tblProducts[UnitCost])</f>
        <v>460.5</v>
      </c>
      <c r="Q644" s="9">
        <f>tblTransactions[[#This Row],[Quantity]]*tblTransactions[[#This Row],[UnitCost]]</f>
        <v>460.5</v>
      </c>
      <c r="R644" s="9">
        <f>tblTransactions[[#This Row],[NetRevenue]]-tblTransactions[[#This Row],[TotalCost]]</f>
        <v>118.524</v>
      </c>
      <c r="S644" t="str">
        <f>_xlfn.XLOOKUP(tblTransactions[[#This Row],[ProductID]],tblProducts[ProductID],tblProducts[Category])</f>
        <v>Home &amp; Kitchen</v>
      </c>
    </row>
    <row r="645" spans="1:19">
      <c r="A645" t="s">
        <v>16962</v>
      </c>
      <c r="B645" s="1">
        <v>45642</v>
      </c>
      <c r="C645" t="s">
        <v>3627</v>
      </c>
      <c r="D645" t="str">
        <f>_xlfn.XLOOKUP(tblTransactions[[#This Row],[CustomerID]],tblCustomers[CustomerID],tblCustomers[CustomerName])</f>
        <v>Joshua Menon</v>
      </c>
      <c r="E645" t="s">
        <v>16160</v>
      </c>
      <c r="F645" t="str">
        <f>_xlfn.XLOOKUP(tblTransactions[[#This Row],[ProductID]],tblProducts[ProductID],tblProducts[ProductName])</f>
        <v>Namkeen B7</v>
      </c>
      <c r="G645" t="s">
        <v>16265</v>
      </c>
      <c r="H645" t="str">
        <f>_xlfn.XLOOKUP(tblTransactions[[#This Row],[StoreID]],tblStores[StoreID],tblStores[Region])</f>
        <v>North</v>
      </c>
      <c r="I645">
        <v>1</v>
      </c>
      <c r="J645">
        <v>0.05</v>
      </c>
      <c r="K645" t="s">
        <v>16321</v>
      </c>
      <c r="L645" s="9">
        <f>_xlfn.XLOOKUP(tblTransactions[[#This Row],[ProductID]],tblProducts[ProductID],tblProducts[UnitPrice])</f>
        <v>1123.58</v>
      </c>
      <c r="M645" s="9">
        <f>tblTransactions[[#This Row],[Quantity]]*tblTransactions[[#This Row],[UnitPrice]]</f>
        <v>1123.58</v>
      </c>
      <c r="N645" s="9">
        <f>tblTransactions[[#This Row],[GrossSales]]*tblTransactions[[#This Row],[Discount]]</f>
        <v>56.179000000000002</v>
      </c>
      <c r="O645" s="9">
        <f>tblTransactions[[#This Row],[GrossSales]]-tblTransactions[[#This Row],[DiscountAmount]]</f>
        <v>1067.4009999999998</v>
      </c>
      <c r="P645" s="9">
        <f>_xlfn.XLOOKUP(tblTransactions[[#This Row],[ProductID]],tblProducts[ProductID],tblProducts[UnitCost])</f>
        <v>665.75</v>
      </c>
      <c r="Q645" s="9">
        <f>tblTransactions[[#This Row],[Quantity]]*tblTransactions[[#This Row],[UnitCost]]</f>
        <v>665.75</v>
      </c>
      <c r="R645" s="9">
        <f>tblTransactions[[#This Row],[NetRevenue]]-tblTransactions[[#This Row],[TotalCost]]</f>
        <v>401.65099999999984</v>
      </c>
      <c r="S645" t="str">
        <f>_xlfn.XLOOKUP(tblTransactions[[#This Row],[ProductID]],tblProducts[ProductID],tblProducts[Category])</f>
        <v>Grocery</v>
      </c>
    </row>
    <row r="646" spans="1:19">
      <c r="A646" t="s">
        <v>16963</v>
      </c>
      <c r="B646" s="1">
        <v>45643</v>
      </c>
      <c r="C646" t="s">
        <v>9523</v>
      </c>
      <c r="D646" t="str">
        <f>_xlfn.XLOOKUP(tblTransactions[[#This Row],[CustomerID]],tblCustomers[CustomerID],tblCustomers[CustomerName])</f>
        <v>Jack Sachar</v>
      </c>
      <c r="E646" t="s">
        <v>15933</v>
      </c>
      <c r="F646" t="str">
        <f>_xlfn.XLOOKUP(tblTransactions[[#This Row],[ProductID]],tblProducts[ProductID],tblProducts[ProductName])</f>
        <v>Smart LED TV C3</v>
      </c>
      <c r="G646" t="s">
        <v>16265</v>
      </c>
      <c r="H646" t="str">
        <f>_xlfn.XLOOKUP(tblTransactions[[#This Row],[StoreID]],tblStores[StoreID],tblStores[Region])</f>
        <v>North</v>
      </c>
      <c r="I646">
        <v>1</v>
      </c>
      <c r="J646">
        <v>0</v>
      </c>
      <c r="K646" t="s">
        <v>16317</v>
      </c>
      <c r="L646" s="9">
        <f>_xlfn.XLOOKUP(tblTransactions[[#This Row],[ProductID]],tblProducts[ProductID],tblProducts[UnitPrice])</f>
        <v>14374.7</v>
      </c>
      <c r="M646" s="9">
        <f>tblTransactions[[#This Row],[Quantity]]*tblTransactions[[#This Row],[UnitPrice]]</f>
        <v>14374.7</v>
      </c>
      <c r="N646" s="9">
        <f>tblTransactions[[#This Row],[GrossSales]]*tblTransactions[[#This Row],[Discount]]</f>
        <v>0</v>
      </c>
      <c r="O646" s="9">
        <f>tblTransactions[[#This Row],[GrossSales]]-tblTransactions[[#This Row],[DiscountAmount]]</f>
        <v>14374.7</v>
      </c>
      <c r="P646" s="9">
        <f>_xlfn.XLOOKUP(tblTransactions[[#This Row],[ProductID]],tblProducts[ProductID],tblProducts[UnitCost])</f>
        <v>11335.72</v>
      </c>
      <c r="Q646" s="9">
        <f>tblTransactions[[#This Row],[Quantity]]*tblTransactions[[#This Row],[UnitCost]]</f>
        <v>11335.72</v>
      </c>
      <c r="R646" s="9">
        <f>tblTransactions[[#This Row],[NetRevenue]]-tblTransactions[[#This Row],[TotalCost]]</f>
        <v>3038.9800000000014</v>
      </c>
      <c r="S646" t="str">
        <f>_xlfn.XLOOKUP(tblTransactions[[#This Row],[ProductID]],tblProducts[ProductID],tblProducts[Category])</f>
        <v>Electronics</v>
      </c>
    </row>
    <row r="647" spans="1:19">
      <c r="A647" t="s">
        <v>16964</v>
      </c>
      <c r="B647" s="1">
        <v>45644</v>
      </c>
      <c r="C647" t="s">
        <v>3105</v>
      </c>
      <c r="D647" t="str">
        <f>_xlfn.XLOOKUP(tblTransactions[[#This Row],[CustomerID]],tblCustomers[CustomerID],tblCustomers[CustomerName])</f>
        <v>Jeremiah Sura</v>
      </c>
      <c r="E647" t="s">
        <v>16177</v>
      </c>
      <c r="F647" t="str">
        <f>_xlfn.XLOOKUP(tblTransactions[[#This Row],[ProductID]],tblProducts[ProductID],tblProducts[ProductName])</f>
        <v>Instant Noodles A1</v>
      </c>
      <c r="G647" t="s">
        <v>16283</v>
      </c>
      <c r="H647" t="str">
        <f>_xlfn.XLOOKUP(tblTransactions[[#This Row],[StoreID]],tblStores[StoreID],tblStores[Region])</f>
        <v>South</v>
      </c>
      <c r="I647">
        <v>1</v>
      </c>
      <c r="J647">
        <v>0</v>
      </c>
      <c r="K647" t="s">
        <v>16315</v>
      </c>
      <c r="L647" s="9">
        <f>_xlfn.XLOOKUP(tblTransactions[[#This Row],[ProductID]],tblProducts[ProductID],tblProducts[UnitPrice])</f>
        <v>1210.1500000000001</v>
      </c>
      <c r="M647" s="9">
        <f>tblTransactions[[#This Row],[Quantity]]*tblTransactions[[#This Row],[UnitPrice]]</f>
        <v>1210.1500000000001</v>
      </c>
      <c r="N647" s="9">
        <f>tblTransactions[[#This Row],[GrossSales]]*tblTransactions[[#This Row],[Discount]]</f>
        <v>0</v>
      </c>
      <c r="O647" s="9">
        <f>tblTransactions[[#This Row],[GrossSales]]-tblTransactions[[#This Row],[DiscountAmount]]</f>
        <v>1210.1500000000001</v>
      </c>
      <c r="P647" s="9">
        <f>_xlfn.XLOOKUP(tblTransactions[[#This Row],[ProductID]],tblProducts[ProductID],tblProducts[UnitCost])</f>
        <v>697.43</v>
      </c>
      <c r="Q647" s="9">
        <f>tblTransactions[[#This Row],[Quantity]]*tblTransactions[[#This Row],[UnitCost]]</f>
        <v>697.43</v>
      </c>
      <c r="R647" s="9">
        <f>tblTransactions[[#This Row],[NetRevenue]]-tblTransactions[[#This Row],[TotalCost]]</f>
        <v>512.72000000000014</v>
      </c>
      <c r="S647" t="str">
        <f>_xlfn.XLOOKUP(tblTransactions[[#This Row],[ProductID]],tblProducts[ProductID],tblProducts[Category])</f>
        <v>Grocery</v>
      </c>
    </row>
    <row r="648" spans="1:19">
      <c r="A648" t="s">
        <v>16965</v>
      </c>
      <c r="B648" s="1">
        <v>45644</v>
      </c>
      <c r="C648" t="s">
        <v>7926</v>
      </c>
      <c r="D648" t="str">
        <f>_xlfn.XLOOKUP(tblTransactions[[#This Row],[CustomerID]],tblCustomers[CustomerID],tblCustomers[CustomerName])</f>
        <v>Anika Warrior</v>
      </c>
      <c r="E648" t="s">
        <v>16245</v>
      </c>
      <c r="F648" t="str">
        <f>_xlfn.XLOOKUP(tblTransactions[[#This Row],[ProductID]],tblProducts[ProductID],tblProducts[ProductName])</f>
        <v>Razor D4</v>
      </c>
      <c r="G648" t="s">
        <v>16267</v>
      </c>
      <c r="H648" t="str">
        <f>_xlfn.XLOOKUP(tblTransactions[[#This Row],[StoreID]],tblStores[StoreID],tblStores[Region])</f>
        <v>West</v>
      </c>
      <c r="I648">
        <v>1</v>
      </c>
      <c r="J648">
        <v>0.1</v>
      </c>
      <c r="K648" t="s">
        <v>16317</v>
      </c>
      <c r="L648" s="9">
        <f>_xlfn.XLOOKUP(tblTransactions[[#This Row],[ProductID]],tblProducts[ProductID],tblProducts[UnitPrice])</f>
        <v>4084.63</v>
      </c>
      <c r="M648" s="9">
        <f>tblTransactions[[#This Row],[Quantity]]*tblTransactions[[#This Row],[UnitPrice]]</f>
        <v>4084.63</v>
      </c>
      <c r="N648" s="9">
        <f>tblTransactions[[#This Row],[GrossSales]]*tblTransactions[[#This Row],[Discount]]</f>
        <v>408.46300000000002</v>
      </c>
      <c r="O648" s="9">
        <f>tblTransactions[[#This Row],[GrossSales]]-tblTransactions[[#This Row],[DiscountAmount]]</f>
        <v>3676.1669999999999</v>
      </c>
      <c r="P648" s="9">
        <f>_xlfn.XLOOKUP(tblTransactions[[#This Row],[ProductID]],tblProducts[ProductID],tblProducts[UnitCost])</f>
        <v>2990.01</v>
      </c>
      <c r="Q648" s="9">
        <f>tblTransactions[[#This Row],[Quantity]]*tblTransactions[[#This Row],[UnitCost]]</f>
        <v>2990.01</v>
      </c>
      <c r="R648" s="9">
        <f>tblTransactions[[#This Row],[NetRevenue]]-tblTransactions[[#This Row],[TotalCost]]</f>
        <v>686.1569999999997</v>
      </c>
      <c r="S648" t="str">
        <f>_xlfn.XLOOKUP(tblTransactions[[#This Row],[ProductID]],tblProducts[ProductID],tblProducts[Category])</f>
        <v>Personal Care</v>
      </c>
    </row>
    <row r="649" spans="1:19">
      <c r="A649" t="s">
        <v>16966</v>
      </c>
      <c r="B649" s="1">
        <v>45645</v>
      </c>
      <c r="C649" t="s">
        <v>584</v>
      </c>
      <c r="D649" t="str">
        <f>_xlfn.XLOOKUP(tblTransactions[[#This Row],[CustomerID]],tblCustomers[CustomerID],tblCustomers[CustomerName])</f>
        <v>Nathan Mukhopadhyay</v>
      </c>
      <c r="E649" t="s">
        <v>16030</v>
      </c>
      <c r="F649" t="str">
        <f>_xlfn.XLOOKUP(tblTransactions[[#This Row],[ProductID]],tblProducts[ProductID],tblProducts[ProductName])</f>
        <v>Study Table C3</v>
      </c>
      <c r="G649" t="s">
        <v>16283</v>
      </c>
      <c r="H649" t="str">
        <f>_xlfn.XLOOKUP(tblTransactions[[#This Row],[StoreID]],tblStores[StoreID],tblStores[Region])</f>
        <v>South</v>
      </c>
      <c r="I649">
        <v>3</v>
      </c>
      <c r="J649">
        <v>0</v>
      </c>
      <c r="K649" t="s">
        <v>16317</v>
      </c>
      <c r="L649" s="9">
        <f>_xlfn.XLOOKUP(tblTransactions[[#This Row],[ProductID]],tblProducts[ProductID],tblProducts[UnitPrice])</f>
        <v>29675.72</v>
      </c>
      <c r="M649" s="9">
        <f>tblTransactions[[#This Row],[Quantity]]*tblTransactions[[#This Row],[UnitPrice]]</f>
        <v>89027.16</v>
      </c>
      <c r="N649" s="9">
        <f>tblTransactions[[#This Row],[GrossSales]]*tblTransactions[[#This Row],[Discount]]</f>
        <v>0</v>
      </c>
      <c r="O649" s="9">
        <f>tblTransactions[[#This Row],[GrossSales]]-tblTransactions[[#This Row],[DiscountAmount]]</f>
        <v>89027.16</v>
      </c>
      <c r="P649" s="9">
        <f>_xlfn.XLOOKUP(tblTransactions[[#This Row],[ProductID]],tblProducts[ProductID],tblProducts[UnitCost])</f>
        <v>17695.330000000002</v>
      </c>
      <c r="Q649" s="9">
        <f>tblTransactions[[#This Row],[Quantity]]*tblTransactions[[#This Row],[UnitCost]]</f>
        <v>53085.990000000005</v>
      </c>
      <c r="R649" s="9">
        <f>tblTransactions[[#This Row],[NetRevenue]]-tblTransactions[[#This Row],[TotalCost]]</f>
        <v>35941.17</v>
      </c>
      <c r="S649" t="str">
        <f>_xlfn.XLOOKUP(tblTransactions[[#This Row],[ProductID]],tblProducts[ProductID],tblProducts[Category])</f>
        <v>Home &amp; Kitchen</v>
      </c>
    </row>
    <row r="650" spans="1:19">
      <c r="A650" t="s">
        <v>16967</v>
      </c>
      <c r="B650" s="1">
        <v>45645</v>
      </c>
      <c r="C650" t="s">
        <v>1871</v>
      </c>
      <c r="D650" t="str">
        <f>_xlfn.XLOOKUP(tblTransactions[[#This Row],[CustomerID]],tblCustomers[CustomerID],tblCustomers[CustomerName])</f>
        <v>Rajeshri Khare</v>
      </c>
      <c r="E650" t="s">
        <v>16241</v>
      </c>
      <c r="F650" t="str">
        <f>_xlfn.XLOOKUP(tblTransactions[[#This Row],[ProductID]],tblProducts[ProductID],tblProducts[ProductName])</f>
        <v>Shaving Kit B2</v>
      </c>
      <c r="G650" t="s">
        <v>16265</v>
      </c>
      <c r="H650" t="str">
        <f>_xlfn.XLOOKUP(tblTransactions[[#This Row],[StoreID]],tblStores[StoreID],tblStores[Region])</f>
        <v>North</v>
      </c>
      <c r="I650">
        <v>3</v>
      </c>
      <c r="J650">
        <v>0.05</v>
      </c>
      <c r="K650" t="s">
        <v>16317</v>
      </c>
      <c r="L650" s="9">
        <f>_xlfn.XLOOKUP(tblTransactions[[#This Row],[ProductID]],tblProducts[ProductID],tblProducts[UnitPrice])</f>
        <v>543.23</v>
      </c>
      <c r="M650" s="9">
        <f>tblTransactions[[#This Row],[Quantity]]*tblTransactions[[#This Row],[UnitPrice]]</f>
        <v>1629.69</v>
      </c>
      <c r="N650" s="9">
        <f>tblTransactions[[#This Row],[GrossSales]]*tblTransactions[[#This Row],[Discount]]</f>
        <v>81.484500000000011</v>
      </c>
      <c r="O650" s="9">
        <f>tblTransactions[[#This Row],[GrossSales]]-tblTransactions[[#This Row],[DiscountAmount]]</f>
        <v>1548.2055</v>
      </c>
      <c r="P650" s="9">
        <f>_xlfn.XLOOKUP(tblTransactions[[#This Row],[ProductID]],tblProducts[ProductID],tblProducts[UnitCost])</f>
        <v>441.82</v>
      </c>
      <c r="Q650" s="9">
        <f>tblTransactions[[#This Row],[Quantity]]*tblTransactions[[#This Row],[UnitCost]]</f>
        <v>1325.46</v>
      </c>
      <c r="R650" s="9">
        <f>tblTransactions[[#This Row],[NetRevenue]]-tblTransactions[[#This Row],[TotalCost]]</f>
        <v>222.74549999999999</v>
      </c>
      <c r="S650" t="str">
        <f>_xlfn.XLOOKUP(tblTransactions[[#This Row],[ProductID]],tblProducts[ProductID],tblProducts[Category])</f>
        <v>Personal Care</v>
      </c>
    </row>
    <row r="651" spans="1:19">
      <c r="A651" t="s">
        <v>16968</v>
      </c>
      <c r="B651" s="1">
        <v>45647</v>
      </c>
      <c r="C651" t="s">
        <v>7233</v>
      </c>
      <c r="D651" t="str">
        <f>_xlfn.XLOOKUP(tblTransactions[[#This Row],[CustomerID]],tblCustomers[CustomerID],tblCustomers[CustomerName])</f>
        <v>Sudiksha Varghese</v>
      </c>
      <c r="E651" t="s">
        <v>16156</v>
      </c>
      <c r="F651" t="str">
        <f>_xlfn.XLOOKUP(tblTransactions[[#This Row],[ProductID]],tblProducts[ProductID],tblProducts[ProductName])</f>
        <v>Chocolate E5</v>
      </c>
      <c r="G651" t="s">
        <v>16281</v>
      </c>
      <c r="H651" t="str">
        <f>_xlfn.XLOOKUP(tblTransactions[[#This Row],[StoreID]],tblStores[StoreID],tblStores[Region])</f>
        <v>West</v>
      </c>
      <c r="I651">
        <v>1</v>
      </c>
      <c r="J651">
        <v>0</v>
      </c>
      <c r="K651" t="s">
        <v>16319</v>
      </c>
      <c r="L651" s="9">
        <f>_xlfn.XLOOKUP(tblTransactions[[#This Row],[ProductID]],tblProducts[ProductID],tblProducts[UnitPrice])</f>
        <v>817.37</v>
      </c>
      <c r="M651" s="9">
        <f>tblTransactions[[#This Row],[Quantity]]*tblTransactions[[#This Row],[UnitPrice]]</f>
        <v>817.37</v>
      </c>
      <c r="N651" s="9">
        <f>tblTransactions[[#This Row],[GrossSales]]*tblTransactions[[#This Row],[Discount]]</f>
        <v>0</v>
      </c>
      <c r="O651" s="9">
        <f>tblTransactions[[#This Row],[GrossSales]]-tblTransactions[[#This Row],[DiscountAmount]]</f>
        <v>817.37</v>
      </c>
      <c r="P651" s="9">
        <f>_xlfn.XLOOKUP(tblTransactions[[#This Row],[ProductID]],tblProducts[ProductID],tblProducts[UnitCost])</f>
        <v>595.03</v>
      </c>
      <c r="Q651" s="9">
        <f>tblTransactions[[#This Row],[Quantity]]*tblTransactions[[#This Row],[UnitCost]]</f>
        <v>595.03</v>
      </c>
      <c r="R651" s="9">
        <f>tblTransactions[[#This Row],[NetRevenue]]-tblTransactions[[#This Row],[TotalCost]]</f>
        <v>222.34000000000003</v>
      </c>
      <c r="S651" t="str">
        <f>_xlfn.XLOOKUP(tblTransactions[[#This Row],[ProductID]],tblProducts[ProductID],tblProducts[Category])</f>
        <v>Grocery</v>
      </c>
    </row>
    <row r="652" spans="1:19">
      <c r="A652" t="s">
        <v>16969</v>
      </c>
      <c r="B652" s="1">
        <v>45647</v>
      </c>
      <c r="C652" t="s">
        <v>7806</v>
      </c>
      <c r="D652" t="str">
        <f>_xlfn.XLOOKUP(tblTransactions[[#This Row],[CustomerID]],tblCustomers[CustomerID],tblCustomers[CustomerName])</f>
        <v>Umang Raval</v>
      </c>
      <c r="E652" t="s">
        <v>15931</v>
      </c>
      <c r="F652" t="str">
        <f>_xlfn.XLOOKUP(tblTransactions[[#This Row],[ProductID]],tblProducts[ProductID],tblProducts[ProductName])</f>
        <v>QLED Smart TV B2</v>
      </c>
      <c r="G652" t="s">
        <v>16271</v>
      </c>
      <c r="H652" t="str">
        <f>_xlfn.XLOOKUP(tblTransactions[[#This Row],[StoreID]],tblStores[StoreID],tblStores[Region])</f>
        <v>South</v>
      </c>
      <c r="I652">
        <v>1</v>
      </c>
      <c r="J652">
        <v>0</v>
      </c>
      <c r="K652" t="s">
        <v>16315</v>
      </c>
      <c r="L652" s="9">
        <f>_xlfn.XLOOKUP(tblTransactions[[#This Row],[ProductID]],tblProducts[ProductID],tblProducts[UnitPrice])</f>
        <v>75177.759999999995</v>
      </c>
      <c r="M652" s="9">
        <f>tblTransactions[[#This Row],[Quantity]]*tblTransactions[[#This Row],[UnitPrice]]</f>
        <v>75177.759999999995</v>
      </c>
      <c r="N652" s="9">
        <f>tblTransactions[[#This Row],[GrossSales]]*tblTransactions[[#This Row],[Discount]]</f>
        <v>0</v>
      </c>
      <c r="O652" s="9">
        <f>tblTransactions[[#This Row],[GrossSales]]-tblTransactions[[#This Row],[DiscountAmount]]</f>
        <v>75177.759999999995</v>
      </c>
      <c r="P652" s="9">
        <f>_xlfn.XLOOKUP(tblTransactions[[#This Row],[ProductID]],tblProducts[ProductID],tblProducts[UnitCost])</f>
        <v>51831.839999999997</v>
      </c>
      <c r="Q652" s="9">
        <f>tblTransactions[[#This Row],[Quantity]]*tblTransactions[[#This Row],[UnitCost]]</f>
        <v>51831.839999999997</v>
      </c>
      <c r="R652" s="9">
        <f>tblTransactions[[#This Row],[NetRevenue]]-tblTransactions[[#This Row],[TotalCost]]</f>
        <v>23345.919999999998</v>
      </c>
      <c r="S652" t="str">
        <f>_xlfn.XLOOKUP(tblTransactions[[#This Row],[ProductID]],tblProducts[ProductID],tblProducts[Category])</f>
        <v>Electronics</v>
      </c>
    </row>
    <row r="653" spans="1:19">
      <c r="A653" t="s">
        <v>16970</v>
      </c>
      <c r="B653" s="1">
        <v>45647</v>
      </c>
      <c r="C653" t="s">
        <v>14439</v>
      </c>
      <c r="D653" t="str">
        <f>_xlfn.XLOOKUP(tblTransactions[[#This Row],[CustomerID]],tblCustomers[CustomerID],tblCustomers[CustomerName])</f>
        <v>Tanveer Nagi</v>
      </c>
      <c r="E653" t="s">
        <v>15986</v>
      </c>
      <c r="F653" t="str">
        <f>_xlfn.XLOOKUP(tblTransactions[[#This Row],[ProductID]],tblProducts[ProductID],tblProducts[ProductName])</f>
        <v>Soundbar D4</v>
      </c>
      <c r="G653" t="s">
        <v>16279</v>
      </c>
      <c r="H653" t="str">
        <f>_xlfn.XLOOKUP(tblTransactions[[#This Row],[StoreID]],tblStores[StoreID],tblStores[Region])</f>
        <v>South</v>
      </c>
      <c r="I653">
        <v>1</v>
      </c>
      <c r="J653">
        <v>0.05</v>
      </c>
      <c r="K653" t="s">
        <v>16325</v>
      </c>
      <c r="L653" s="9">
        <f>_xlfn.XLOOKUP(tblTransactions[[#This Row],[ProductID]],tblProducts[ProductID],tblProducts[UnitPrice])</f>
        <v>52004.72</v>
      </c>
      <c r="M653" s="9">
        <f>tblTransactions[[#This Row],[Quantity]]*tblTransactions[[#This Row],[UnitPrice]]</f>
        <v>52004.72</v>
      </c>
      <c r="N653" s="9">
        <f>tblTransactions[[#This Row],[GrossSales]]*tblTransactions[[#This Row],[Discount]]</f>
        <v>2600.2360000000003</v>
      </c>
      <c r="O653" s="9">
        <f>tblTransactions[[#This Row],[GrossSales]]-tblTransactions[[#This Row],[DiscountAmount]]</f>
        <v>49404.484000000004</v>
      </c>
      <c r="P653" s="9">
        <f>_xlfn.XLOOKUP(tblTransactions[[#This Row],[ProductID]],tblProducts[ProductID],tblProducts[UnitCost])</f>
        <v>43224.87</v>
      </c>
      <c r="Q653" s="9">
        <f>tblTransactions[[#This Row],[Quantity]]*tblTransactions[[#This Row],[UnitCost]]</f>
        <v>43224.87</v>
      </c>
      <c r="R653" s="9">
        <f>tblTransactions[[#This Row],[NetRevenue]]-tblTransactions[[#This Row],[TotalCost]]</f>
        <v>6179.6140000000014</v>
      </c>
      <c r="S653" t="str">
        <f>_xlfn.XLOOKUP(tblTransactions[[#This Row],[ProductID]],tblProducts[ProductID],tblProducts[Category])</f>
        <v>Electronics</v>
      </c>
    </row>
    <row r="654" spans="1:19">
      <c r="A654" t="s">
        <v>16971</v>
      </c>
      <c r="B654" s="1">
        <v>45650</v>
      </c>
      <c r="C654" t="s">
        <v>10407</v>
      </c>
      <c r="D654" t="str">
        <f>_xlfn.XLOOKUP(tblTransactions[[#This Row],[CustomerID]],tblCustomers[CustomerID],tblCustomers[CustomerName])</f>
        <v>Nikita Dalal</v>
      </c>
      <c r="E654" t="s">
        <v>16028</v>
      </c>
      <c r="F654" t="str">
        <f>_xlfn.XLOOKUP(tblTransactions[[#This Row],[ProductID]],tblProducts[ProductID],tblProducts[ProductName])</f>
        <v>Bookshelf B2</v>
      </c>
      <c r="G654" t="s">
        <v>16293</v>
      </c>
      <c r="H654" t="str">
        <f>_xlfn.XLOOKUP(tblTransactions[[#This Row],[StoreID]],tblStores[StoreID],tblStores[Region])</f>
        <v>South</v>
      </c>
      <c r="I654">
        <v>1</v>
      </c>
      <c r="J654">
        <v>0.1</v>
      </c>
      <c r="K654" t="s">
        <v>16321</v>
      </c>
      <c r="L654" s="9">
        <f>_xlfn.XLOOKUP(tblTransactions[[#This Row],[ProductID]],tblProducts[ProductID],tblProducts[UnitPrice])</f>
        <v>11987.07</v>
      </c>
      <c r="M654" s="9">
        <f>tblTransactions[[#This Row],[Quantity]]*tblTransactions[[#This Row],[UnitPrice]]</f>
        <v>11987.07</v>
      </c>
      <c r="N654" s="9">
        <f>tblTransactions[[#This Row],[GrossSales]]*tblTransactions[[#This Row],[Discount]]</f>
        <v>1198.7070000000001</v>
      </c>
      <c r="O654" s="9">
        <f>tblTransactions[[#This Row],[GrossSales]]-tblTransactions[[#This Row],[DiscountAmount]]</f>
        <v>10788.362999999999</v>
      </c>
      <c r="P654" s="9">
        <f>_xlfn.XLOOKUP(tblTransactions[[#This Row],[ProductID]],tblProducts[ProductID],tblProducts[UnitCost])</f>
        <v>8332.57</v>
      </c>
      <c r="Q654" s="9">
        <f>tblTransactions[[#This Row],[Quantity]]*tblTransactions[[#This Row],[UnitCost]]</f>
        <v>8332.57</v>
      </c>
      <c r="R654" s="9">
        <f>tblTransactions[[#This Row],[NetRevenue]]-tblTransactions[[#This Row],[TotalCost]]</f>
        <v>2455.7929999999997</v>
      </c>
      <c r="S654" t="str">
        <f>_xlfn.XLOOKUP(tblTransactions[[#This Row],[ProductID]],tblProducts[ProductID],tblProducts[Category])</f>
        <v>Home &amp; Kitchen</v>
      </c>
    </row>
    <row r="655" spans="1:19">
      <c r="A655" t="s">
        <v>16972</v>
      </c>
      <c r="B655" s="1">
        <v>45650</v>
      </c>
      <c r="C655" t="s">
        <v>13008</v>
      </c>
      <c r="D655" t="str">
        <f>_xlfn.XLOOKUP(tblTransactions[[#This Row],[CustomerID]],tblCustomers[CustomerID],tblCustomers[CustomerName])</f>
        <v>Laksh Mistry</v>
      </c>
      <c r="E655" t="s">
        <v>16156</v>
      </c>
      <c r="F655" t="str">
        <f>_xlfn.XLOOKUP(tblTransactions[[#This Row],[ProductID]],tblProducts[ProductID],tblProducts[ProductName])</f>
        <v>Chocolate E5</v>
      </c>
      <c r="G655" t="s">
        <v>16307</v>
      </c>
      <c r="H655" t="str">
        <f>_xlfn.XLOOKUP(tblTransactions[[#This Row],[StoreID]],tblStores[StoreID],tblStores[Region])</f>
        <v>East</v>
      </c>
      <c r="I655">
        <v>1</v>
      </c>
      <c r="J655">
        <v>0.05</v>
      </c>
      <c r="K655" t="s">
        <v>16315</v>
      </c>
      <c r="L655" s="9">
        <f>_xlfn.XLOOKUP(tblTransactions[[#This Row],[ProductID]],tblProducts[ProductID],tblProducts[UnitPrice])</f>
        <v>817.37</v>
      </c>
      <c r="M655" s="9">
        <f>tblTransactions[[#This Row],[Quantity]]*tblTransactions[[#This Row],[UnitPrice]]</f>
        <v>817.37</v>
      </c>
      <c r="N655" s="9">
        <f>tblTransactions[[#This Row],[GrossSales]]*tblTransactions[[#This Row],[Discount]]</f>
        <v>40.868500000000004</v>
      </c>
      <c r="O655" s="9">
        <f>tblTransactions[[#This Row],[GrossSales]]-tblTransactions[[#This Row],[DiscountAmount]]</f>
        <v>776.50149999999996</v>
      </c>
      <c r="P655" s="9">
        <f>_xlfn.XLOOKUP(tblTransactions[[#This Row],[ProductID]],tblProducts[ProductID],tblProducts[UnitCost])</f>
        <v>595.03</v>
      </c>
      <c r="Q655" s="9">
        <f>tblTransactions[[#This Row],[Quantity]]*tblTransactions[[#This Row],[UnitCost]]</f>
        <v>595.03</v>
      </c>
      <c r="R655" s="9">
        <f>tblTransactions[[#This Row],[NetRevenue]]-tblTransactions[[#This Row],[TotalCost]]</f>
        <v>181.47149999999999</v>
      </c>
      <c r="S655" t="str">
        <f>_xlfn.XLOOKUP(tblTransactions[[#This Row],[ProductID]],tblProducts[ProductID],tblProducts[Category])</f>
        <v>Grocery</v>
      </c>
    </row>
    <row r="656" spans="1:19">
      <c r="A656" t="s">
        <v>16973</v>
      </c>
      <c r="B656" s="1">
        <v>45650</v>
      </c>
      <c r="C656" t="s">
        <v>5623</v>
      </c>
      <c r="D656" t="str">
        <f>_xlfn.XLOOKUP(tblTransactions[[#This Row],[CustomerID]],tblCustomers[CustomerID],tblCustomers[CustomerName])</f>
        <v>Eta Rajagopal</v>
      </c>
      <c r="E656" t="s">
        <v>16141</v>
      </c>
      <c r="F656" t="str">
        <f>_xlfn.XLOOKUP(tblTransactions[[#This Row],[ProductID]],tblProducts[ProductID],tblProducts[ProductName])</f>
        <v>Sugar E5</v>
      </c>
      <c r="G656" t="s">
        <v>16262</v>
      </c>
      <c r="H656" t="str">
        <f>_xlfn.XLOOKUP(tblTransactions[[#This Row],[StoreID]],tblStores[StoreID],tblStores[Region])</f>
        <v>North</v>
      </c>
      <c r="I656">
        <v>2</v>
      </c>
      <c r="J656">
        <v>0</v>
      </c>
      <c r="K656" t="s">
        <v>16325</v>
      </c>
      <c r="L656" s="9">
        <f>_xlfn.XLOOKUP(tblTransactions[[#This Row],[ProductID]],tblProducts[ProductID],tblProducts[UnitPrice])</f>
        <v>631.26</v>
      </c>
      <c r="M656" s="9">
        <f>tblTransactions[[#This Row],[Quantity]]*tblTransactions[[#This Row],[UnitPrice]]</f>
        <v>1262.52</v>
      </c>
      <c r="N656" s="9">
        <f>tblTransactions[[#This Row],[GrossSales]]*tblTransactions[[#This Row],[Discount]]</f>
        <v>0</v>
      </c>
      <c r="O656" s="9">
        <f>tblTransactions[[#This Row],[GrossSales]]-tblTransactions[[#This Row],[DiscountAmount]]</f>
        <v>1262.52</v>
      </c>
      <c r="P656" s="9">
        <f>_xlfn.XLOOKUP(tblTransactions[[#This Row],[ProductID]],tblProducts[ProductID],tblProducts[UnitCost])</f>
        <v>394.86</v>
      </c>
      <c r="Q656" s="9">
        <f>tblTransactions[[#This Row],[Quantity]]*tblTransactions[[#This Row],[UnitCost]]</f>
        <v>789.72</v>
      </c>
      <c r="R656" s="9">
        <f>tblTransactions[[#This Row],[NetRevenue]]-tblTransactions[[#This Row],[TotalCost]]</f>
        <v>472.79999999999995</v>
      </c>
      <c r="S656" t="str">
        <f>_xlfn.XLOOKUP(tblTransactions[[#This Row],[ProductID]],tblProducts[ProductID],tblProducts[Category])</f>
        <v>Grocery</v>
      </c>
    </row>
    <row r="657" spans="1:19">
      <c r="A657" t="s">
        <v>16974</v>
      </c>
      <c r="B657" s="1">
        <v>45650</v>
      </c>
      <c r="C657" t="s">
        <v>9206</v>
      </c>
      <c r="D657" t="str">
        <f>_xlfn.XLOOKUP(tblTransactions[[#This Row],[CustomerID]],tblCustomers[CustomerID],tblCustomers[CustomerName])</f>
        <v>Upasna Banerjee</v>
      </c>
      <c r="E657" t="s">
        <v>16171</v>
      </c>
      <c r="F657" t="str">
        <f>_xlfn.XLOOKUP(tblTransactions[[#This Row],[ProductID]],tblProducts[ProductID],tblProducts[ProductName])</f>
        <v>Juice E5</v>
      </c>
      <c r="G657" t="s">
        <v>16291</v>
      </c>
      <c r="H657" t="str">
        <f>_xlfn.XLOOKUP(tblTransactions[[#This Row],[StoreID]],tblStores[StoreID],tblStores[Region])</f>
        <v>South</v>
      </c>
      <c r="I657">
        <v>1</v>
      </c>
      <c r="J657">
        <v>0.1</v>
      </c>
      <c r="K657" t="s">
        <v>16317</v>
      </c>
      <c r="L657" s="9">
        <f>_xlfn.XLOOKUP(tblTransactions[[#This Row],[ProductID]],tblProducts[ProductID],tblProducts[UnitPrice])</f>
        <v>100.32</v>
      </c>
      <c r="M657" s="9">
        <f>tblTransactions[[#This Row],[Quantity]]*tblTransactions[[#This Row],[UnitPrice]]</f>
        <v>100.32</v>
      </c>
      <c r="N657" s="9">
        <f>tblTransactions[[#This Row],[GrossSales]]*tblTransactions[[#This Row],[Discount]]</f>
        <v>10.032</v>
      </c>
      <c r="O657" s="9">
        <f>tblTransactions[[#This Row],[GrossSales]]-tblTransactions[[#This Row],[DiscountAmount]]</f>
        <v>90.287999999999997</v>
      </c>
      <c r="P657" s="9">
        <f>_xlfn.XLOOKUP(tblTransactions[[#This Row],[ProductID]],tblProducts[ProductID],tblProducts[UnitCost])</f>
        <v>66.61</v>
      </c>
      <c r="Q657" s="9">
        <f>tblTransactions[[#This Row],[Quantity]]*tblTransactions[[#This Row],[UnitCost]]</f>
        <v>66.61</v>
      </c>
      <c r="R657" s="9">
        <f>tblTransactions[[#This Row],[NetRevenue]]-tblTransactions[[#This Row],[TotalCost]]</f>
        <v>23.677999999999997</v>
      </c>
      <c r="S657" t="str">
        <f>_xlfn.XLOOKUP(tblTransactions[[#This Row],[ProductID]],tblProducts[ProductID],tblProducts[Category])</f>
        <v>Grocery</v>
      </c>
    </row>
    <row r="658" spans="1:19">
      <c r="A658" t="s">
        <v>16975</v>
      </c>
      <c r="B658" s="1">
        <v>45651</v>
      </c>
      <c r="C658" t="s">
        <v>8128</v>
      </c>
      <c r="D658" t="str">
        <f>_xlfn.XLOOKUP(tblTransactions[[#This Row],[CustomerID]],tblCustomers[CustomerID],tblCustomers[CustomerName])</f>
        <v>Girik Gill</v>
      </c>
      <c r="E658" t="s">
        <v>15992</v>
      </c>
      <c r="F658" t="str">
        <f>_xlfn.XLOOKUP(tblTransactions[[#This Row],[ProductID]],tblProducts[ProductID],tblProducts[ProductName])</f>
        <v>Wireless Headphones B7</v>
      </c>
      <c r="G658" t="s">
        <v>16307</v>
      </c>
      <c r="H658" t="str">
        <f>_xlfn.XLOOKUP(tblTransactions[[#This Row],[StoreID]],tblStores[StoreID],tblStores[Region])</f>
        <v>East</v>
      </c>
      <c r="I658">
        <v>1</v>
      </c>
      <c r="J658">
        <v>0</v>
      </c>
      <c r="K658" t="s">
        <v>16321</v>
      </c>
      <c r="L658" s="9">
        <f>_xlfn.XLOOKUP(tblTransactions[[#This Row],[ProductID]],tblProducts[ProductID],tblProducts[UnitPrice])</f>
        <v>52596.38</v>
      </c>
      <c r="M658" s="9">
        <f>tblTransactions[[#This Row],[Quantity]]*tblTransactions[[#This Row],[UnitPrice]]</f>
        <v>52596.38</v>
      </c>
      <c r="N658" s="9">
        <f>tblTransactions[[#This Row],[GrossSales]]*tblTransactions[[#This Row],[Discount]]</f>
        <v>0</v>
      </c>
      <c r="O658" s="9">
        <f>tblTransactions[[#This Row],[GrossSales]]-tblTransactions[[#This Row],[DiscountAmount]]</f>
        <v>52596.38</v>
      </c>
      <c r="P658" s="9">
        <f>_xlfn.XLOOKUP(tblTransactions[[#This Row],[ProductID]],tblProducts[ProductID],tblProducts[UnitCost])</f>
        <v>36028.78</v>
      </c>
      <c r="Q658" s="9">
        <f>tblTransactions[[#This Row],[Quantity]]*tblTransactions[[#This Row],[UnitCost]]</f>
        <v>36028.78</v>
      </c>
      <c r="R658" s="9">
        <f>tblTransactions[[#This Row],[NetRevenue]]-tblTransactions[[#This Row],[TotalCost]]</f>
        <v>16567.599999999999</v>
      </c>
      <c r="S658" t="str">
        <f>_xlfn.XLOOKUP(tblTransactions[[#This Row],[ProductID]],tblProducts[ProductID],tblProducts[Category])</f>
        <v>Electronics</v>
      </c>
    </row>
    <row r="659" spans="1:19">
      <c r="A659" t="s">
        <v>16976</v>
      </c>
      <c r="B659" s="1">
        <v>45654</v>
      </c>
      <c r="C659" t="s">
        <v>7280</v>
      </c>
      <c r="D659" t="str">
        <f>_xlfn.XLOOKUP(tblTransactions[[#This Row],[CustomerID]],tblCustomers[CustomerID],tblCustomers[CustomerName])</f>
        <v>Wahab Balakrishnan</v>
      </c>
      <c r="E659" t="s">
        <v>16093</v>
      </c>
      <c r="F659" t="str">
        <f>_xlfn.XLOOKUP(tblTransactions[[#This Row],[ProductID]],tblProducts[ProductID],tblProducts[ProductName])</f>
        <v>Women's Jeans D4</v>
      </c>
      <c r="G659" t="s">
        <v>16277</v>
      </c>
      <c r="H659" t="str">
        <f>_xlfn.XLOOKUP(tblTransactions[[#This Row],[StoreID]],tblStores[StoreID],tblStores[Region])</f>
        <v>West</v>
      </c>
      <c r="I659">
        <v>2</v>
      </c>
      <c r="J659">
        <v>0.2</v>
      </c>
      <c r="K659" t="s">
        <v>16321</v>
      </c>
      <c r="L659" s="9">
        <f>_xlfn.XLOOKUP(tblTransactions[[#This Row],[ProductID]],tblProducts[ProductID],tblProducts[UnitPrice])</f>
        <v>6178.38</v>
      </c>
      <c r="M659" s="9">
        <f>tblTransactions[[#This Row],[Quantity]]*tblTransactions[[#This Row],[UnitPrice]]</f>
        <v>12356.76</v>
      </c>
      <c r="N659" s="9">
        <f>tblTransactions[[#This Row],[GrossSales]]*tblTransactions[[#This Row],[Discount]]</f>
        <v>2471.3520000000003</v>
      </c>
      <c r="O659" s="9">
        <f>tblTransactions[[#This Row],[GrossSales]]-tblTransactions[[#This Row],[DiscountAmount]]</f>
        <v>9885.4079999999994</v>
      </c>
      <c r="P659" s="9">
        <f>_xlfn.XLOOKUP(tblTransactions[[#This Row],[ProductID]],tblProducts[ProductID],tblProducts[UnitCost])</f>
        <v>4740.8599999999997</v>
      </c>
      <c r="Q659" s="9">
        <f>tblTransactions[[#This Row],[Quantity]]*tblTransactions[[#This Row],[UnitCost]]</f>
        <v>9481.7199999999993</v>
      </c>
      <c r="R659" s="9">
        <f>tblTransactions[[#This Row],[NetRevenue]]-tblTransactions[[#This Row],[TotalCost]]</f>
        <v>403.6880000000001</v>
      </c>
      <c r="S659" t="str">
        <f>_xlfn.XLOOKUP(tblTransactions[[#This Row],[ProductID]],tblProducts[ProductID],tblProducts[Category])</f>
        <v>Clothing</v>
      </c>
    </row>
    <row r="660" spans="1:19">
      <c r="A660" t="s">
        <v>16977</v>
      </c>
      <c r="B660" s="1">
        <v>45654</v>
      </c>
      <c r="C660" t="s">
        <v>6905</v>
      </c>
      <c r="D660" t="str">
        <f>_xlfn.XLOOKUP(tblTransactions[[#This Row],[CustomerID]],tblCustomers[CustomerID],tblCustomers[CustomerName])</f>
        <v>Nikita Bora</v>
      </c>
      <c r="E660" t="s">
        <v>16175</v>
      </c>
      <c r="F660" t="str">
        <f>_xlfn.XLOOKUP(tblTransactions[[#This Row],[ProductID]],tblProducts[ProductID],tblProducts[ProductName])</f>
        <v>Soft Drink B7</v>
      </c>
      <c r="G660" t="s">
        <v>16279</v>
      </c>
      <c r="H660" t="str">
        <f>_xlfn.XLOOKUP(tblTransactions[[#This Row],[StoreID]],tblStores[StoreID],tblStores[Region])</f>
        <v>South</v>
      </c>
      <c r="I660">
        <v>2</v>
      </c>
      <c r="J660">
        <v>0</v>
      </c>
      <c r="K660" t="s">
        <v>16315</v>
      </c>
      <c r="L660" s="9">
        <f>_xlfn.XLOOKUP(tblTransactions[[#This Row],[ProductID]],tblProducts[ProductID],tblProducts[UnitPrice])</f>
        <v>343.15</v>
      </c>
      <c r="M660" s="9">
        <f>tblTransactions[[#This Row],[Quantity]]*tblTransactions[[#This Row],[UnitPrice]]</f>
        <v>686.3</v>
      </c>
      <c r="N660" s="9">
        <f>tblTransactions[[#This Row],[GrossSales]]*tblTransactions[[#This Row],[Discount]]</f>
        <v>0</v>
      </c>
      <c r="O660" s="9">
        <f>tblTransactions[[#This Row],[GrossSales]]-tblTransactions[[#This Row],[DiscountAmount]]</f>
        <v>686.3</v>
      </c>
      <c r="P660" s="9">
        <f>_xlfn.XLOOKUP(tblTransactions[[#This Row],[ProductID]],tblProducts[ProductID],tblProducts[UnitCost])</f>
        <v>192.59</v>
      </c>
      <c r="Q660" s="9">
        <f>tblTransactions[[#This Row],[Quantity]]*tblTransactions[[#This Row],[UnitCost]]</f>
        <v>385.18</v>
      </c>
      <c r="R660" s="9">
        <f>tblTransactions[[#This Row],[NetRevenue]]-tblTransactions[[#This Row],[TotalCost]]</f>
        <v>301.11999999999995</v>
      </c>
      <c r="S660" t="str">
        <f>_xlfn.XLOOKUP(tblTransactions[[#This Row],[ProductID]],tblProducts[ProductID],tblProducts[Category])</f>
        <v>Grocery</v>
      </c>
    </row>
    <row r="661" spans="1:19">
      <c r="A661" t="s">
        <v>16978</v>
      </c>
      <c r="B661" s="1">
        <v>45657</v>
      </c>
      <c r="C661" t="s">
        <v>5472</v>
      </c>
      <c r="D661" t="str">
        <f>_xlfn.XLOOKUP(tblTransactions[[#This Row],[CustomerID]],tblCustomers[CustomerID],tblCustomers[CustomerName])</f>
        <v>Chavvi Mangal</v>
      </c>
      <c r="E661" t="s">
        <v>16135</v>
      </c>
      <c r="F661" t="str">
        <f>_xlfn.XLOOKUP(tblTransactions[[#This Row],[ProductID]],tblProducts[ProductID],tblProducts[ProductName])</f>
        <v>Sugar B2</v>
      </c>
      <c r="G661" t="s">
        <v>16267</v>
      </c>
      <c r="H661" t="str">
        <f>_xlfn.XLOOKUP(tblTransactions[[#This Row],[StoreID]],tblStores[StoreID],tblStores[Region])</f>
        <v>West</v>
      </c>
      <c r="I661">
        <v>1</v>
      </c>
      <c r="J661">
        <v>0</v>
      </c>
      <c r="K661" t="s">
        <v>16317</v>
      </c>
      <c r="L661" s="9">
        <f>_xlfn.XLOOKUP(tblTransactions[[#This Row],[ProductID]],tblProducts[ProductID],tblProducts[UnitPrice])</f>
        <v>1384.91</v>
      </c>
      <c r="M661" s="9">
        <f>tblTransactions[[#This Row],[Quantity]]*tblTransactions[[#This Row],[UnitPrice]]</f>
        <v>1384.91</v>
      </c>
      <c r="N661" s="9">
        <f>tblTransactions[[#This Row],[GrossSales]]*tblTransactions[[#This Row],[Discount]]</f>
        <v>0</v>
      </c>
      <c r="O661" s="9">
        <f>tblTransactions[[#This Row],[GrossSales]]-tblTransactions[[#This Row],[DiscountAmount]]</f>
        <v>1384.91</v>
      </c>
      <c r="P661" s="9">
        <f>_xlfn.XLOOKUP(tblTransactions[[#This Row],[ProductID]],tblProducts[ProductID],tblProducts[UnitCost])</f>
        <v>1102.07</v>
      </c>
      <c r="Q661" s="9">
        <f>tblTransactions[[#This Row],[Quantity]]*tblTransactions[[#This Row],[UnitCost]]</f>
        <v>1102.07</v>
      </c>
      <c r="R661" s="9">
        <f>tblTransactions[[#This Row],[NetRevenue]]-tblTransactions[[#This Row],[TotalCost]]</f>
        <v>282.84000000000015</v>
      </c>
      <c r="S661" t="str">
        <f>_xlfn.XLOOKUP(tblTransactions[[#This Row],[ProductID]],tblProducts[ProductID],tblProducts[Category])</f>
        <v>Grocery</v>
      </c>
    </row>
    <row r="662" spans="1:19">
      <c r="A662" t="s">
        <v>16979</v>
      </c>
      <c r="B662" s="1">
        <v>45658</v>
      </c>
      <c r="C662" t="s">
        <v>5065</v>
      </c>
      <c r="D662" t="str">
        <f>_xlfn.XLOOKUP(tblTransactions[[#This Row],[CustomerID]],tblCustomers[CustomerID],tblCustomers[CustomerName])</f>
        <v>Gaurika Krishna</v>
      </c>
      <c r="E662" t="s">
        <v>16186</v>
      </c>
      <c r="F662" t="str">
        <f>_xlfn.XLOOKUP(tblTransactions[[#This Row],[ProductID]],tblProducts[ProductID],tblProducts[ProductName])</f>
        <v>Breakfast Cereal E5</v>
      </c>
      <c r="G662" t="s">
        <v>16283</v>
      </c>
      <c r="H662" t="str">
        <f>_xlfn.XLOOKUP(tblTransactions[[#This Row],[StoreID]],tblStores[StoreID],tblStores[Region])</f>
        <v>South</v>
      </c>
      <c r="I662">
        <v>1</v>
      </c>
      <c r="J662">
        <v>0.05</v>
      </c>
      <c r="K662" t="s">
        <v>16317</v>
      </c>
      <c r="L662" s="9">
        <f>_xlfn.XLOOKUP(tblTransactions[[#This Row],[ProductID]],tblProducts[ProductID],tblProducts[UnitPrice])</f>
        <v>207.32</v>
      </c>
      <c r="M662" s="9">
        <f>tblTransactions[[#This Row],[Quantity]]*tblTransactions[[#This Row],[UnitPrice]]</f>
        <v>207.32</v>
      </c>
      <c r="N662" s="9">
        <f>tblTransactions[[#This Row],[GrossSales]]*tblTransactions[[#This Row],[Discount]]</f>
        <v>10.366</v>
      </c>
      <c r="O662" s="9">
        <f>tblTransactions[[#This Row],[GrossSales]]-tblTransactions[[#This Row],[DiscountAmount]]</f>
        <v>196.95400000000001</v>
      </c>
      <c r="P662" s="9">
        <f>_xlfn.XLOOKUP(tblTransactions[[#This Row],[ProductID]],tblProducts[ProductID],tblProducts[UnitCost])</f>
        <v>120.99</v>
      </c>
      <c r="Q662" s="9">
        <f>tblTransactions[[#This Row],[Quantity]]*tblTransactions[[#This Row],[UnitCost]]</f>
        <v>120.99</v>
      </c>
      <c r="R662" s="9">
        <f>tblTransactions[[#This Row],[NetRevenue]]-tblTransactions[[#This Row],[TotalCost]]</f>
        <v>75.964000000000013</v>
      </c>
      <c r="S662" t="str">
        <f>_xlfn.XLOOKUP(tblTransactions[[#This Row],[ProductID]],tblProducts[ProductID],tblProducts[Category])</f>
        <v>Grocery</v>
      </c>
    </row>
    <row r="663" spans="1:19">
      <c r="A663" t="s">
        <v>16980</v>
      </c>
      <c r="B663" s="1">
        <v>45659</v>
      </c>
      <c r="C663" t="s">
        <v>3974</v>
      </c>
      <c r="D663" t="str">
        <f>_xlfn.XLOOKUP(tblTransactions[[#This Row],[CustomerID]],tblCustomers[CustomerID],tblCustomers[CustomerName])</f>
        <v>Ubika Devi</v>
      </c>
      <c r="E663" t="s">
        <v>16129</v>
      </c>
      <c r="F663" t="str">
        <f>_xlfn.XLOOKUP(tblTransactions[[#This Row],[ProductID]],tblProducts[ProductID],tblProducts[ProductName])</f>
        <v>Running Shoes B7</v>
      </c>
      <c r="G663" t="s">
        <v>16267</v>
      </c>
      <c r="H663" t="str">
        <f>_xlfn.XLOOKUP(tblTransactions[[#This Row],[StoreID]],tblStores[StoreID],tblStores[Region])</f>
        <v>West</v>
      </c>
      <c r="I663">
        <v>2</v>
      </c>
      <c r="J663">
        <v>0.15</v>
      </c>
      <c r="K663" t="s">
        <v>16317</v>
      </c>
      <c r="L663" s="9">
        <f>_xlfn.XLOOKUP(tblTransactions[[#This Row],[ProductID]],tblProducts[ProductID],tblProducts[UnitPrice])</f>
        <v>7178.77</v>
      </c>
      <c r="M663" s="9">
        <f>tblTransactions[[#This Row],[Quantity]]*tblTransactions[[#This Row],[UnitPrice]]</f>
        <v>14357.54</v>
      </c>
      <c r="N663" s="9">
        <f>tblTransactions[[#This Row],[GrossSales]]*tblTransactions[[#This Row],[Discount]]</f>
        <v>2153.6309999999999</v>
      </c>
      <c r="O663" s="9">
        <f>tblTransactions[[#This Row],[GrossSales]]-tblTransactions[[#This Row],[DiscountAmount]]</f>
        <v>12203.909000000001</v>
      </c>
      <c r="P663" s="9">
        <f>_xlfn.XLOOKUP(tblTransactions[[#This Row],[ProductID]],tblProducts[ProductID],tblProducts[UnitCost])</f>
        <v>4813.8</v>
      </c>
      <c r="Q663" s="9">
        <f>tblTransactions[[#This Row],[Quantity]]*tblTransactions[[#This Row],[UnitCost]]</f>
        <v>9627.6</v>
      </c>
      <c r="R663" s="9">
        <f>tblTransactions[[#This Row],[NetRevenue]]-tblTransactions[[#This Row],[TotalCost]]</f>
        <v>2576.3090000000011</v>
      </c>
      <c r="S663" t="str">
        <f>_xlfn.XLOOKUP(tblTransactions[[#This Row],[ProductID]],tblProducts[ProductID],tblProducts[Category])</f>
        <v>Clothing</v>
      </c>
    </row>
    <row r="664" spans="1:19">
      <c r="A664" t="s">
        <v>16981</v>
      </c>
      <c r="B664" s="1">
        <v>45661</v>
      </c>
      <c r="C664" t="s">
        <v>2813</v>
      </c>
      <c r="D664" t="str">
        <f>_xlfn.XLOOKUP(tblTransactions[[#This Row],[CustomerID]],tblCustomers[CustomerID],tblCustomers[CustomerName])</f>
        <v>Yashoda Rattan</v>
      </c>
      <c r="E664" t="s">
        <v>16241</v>
      </c>
      <c r="F664" t="str">
        <f>_xlfn.XLOOKUP(tblTransactions[[#This Row],[ProductID]],tblProducts[ProductID],tblProducts[ProductName])</f>
        <v>Shaving Kit B2</v>
      </c>
      <c r="G664" t="s">
        <v>16256</v>
      </c>
      <c r="H664" t="str">
        <f>_xlfn.XLOOKUP(tblTransactions[[#This Row],[StoreID]],tblStores[StoreID],tblStores[Region])</f>
        <v>East</v>
      </c>
      <c r="I664">
        <v>1</v>
      </c>
      <c r="J664">
        <v>0</v>
      </c>
      <c r="K664" t="s">
        <v>16317</v>
      </c>
      <c r="L664" s="9">
        <f>_xlfn.XLOOKUP(tblTransactions[[#This Row],[ProductID]],tblProducts[ProductID],tblProducts[UnitPrice])</f>
        <v>543.23</v>
      </c>
      <c r="M664" s="9">
        <f>tblTransactions[[#This Row],[Quantity]]*tblTransactions[[#This Row],[UnitPrice]]</f>
        <v>543.23</v>
      </c>
      <c r="N664" s="9">
        <f>tblTransactions[[#This Row],[GrossSales]]*tblTransactions[[#This Row],[Discount]]</f>
        <v>0</v>
      </c>
      <c r="O664" s="9">
        <f>tblTransactions[[#This Row],[GrossSales]]-tblTransactions[[#This Row],[DiscountAmount]]</f>
        <v>543.23</v>
      </c>
      <c r="P664" s="9">
        <f>_xlfn.XLOOKUP(tblTransactions[[#This Row],[ProductID]],tblProducts[ProductID],tblProducts[UnitCost])</f>
        <v>441.82</v>
      </c>
      <c r="Q664" s="9">
        <f>tblTransactions[[#This Row],[Quantity]]*tblTransactions[[#This Row],[UnitCost]]</f>
        <v>441.82</v>
      </c>
      <c r="R664" s="9">
        <f>tblTransactions[[#This Row],[NetRevenue]]-tblTransactions[[#This Row],[TotalCost]]</f>
        <v>101.41000000000003</v>
      </c>
      <c r="S664" t="str">
        <f>_xlfn.XLOOKUP(tblTransactions[[#This Row],[ProductID]],tblProducts[ProductID],tblProducts[Category])</f>
        <v>Personal Care</v>
      </c>
    </row>
    <row r="665" spans="1:19">
      <c r="A665" t="s">
        <v>16982</v>
      </c>
      <c r="B665" s="1">
        <v>45663</v>
      </c>
      <c r="C665" t="s">
        <v>12808</v>
      </c>
      <c r="D665" t="str">
        <f>_xlfn.XLOOKUP(tblTransactions[[#This Row],[CustomerID]],tblCustomers[CustomerID],tblCustomers[CustomerName])</f>
        <v>Idika Sagar</v>
      </c>
      <c r="E665" t="s">
        <v>16188</v>
      </c>
      <c r="F665" t="str">
        <f>_xlfn.XLOOKUP(tblTransactions[[#This Row],[ProductID]],tblProducts[ProductID],tblProducts[ProductName])</f>
        <v>Pasta A6</v>
      </c>
      <c r="G665" t="s">
        <v>16299</v>
      </c>
      <c r="H665" t="str">
        <f>_xlfn.XLOOKUP(tblTransactions[[#This Row],[StoreID]],tblStores[StoreID],tblStores[Region])</f>
        <v>South</v>
      </c>
      <c r="I665">
        <v>1</v>
      </c>
      <c r="J665">
        <v>0.1</v>
      </c>
      <c r="K665" t="s">
        <v>16317</v>
      </c>
      <c r="L665" s="9">
        <f>_xlfn.XLOOKUP(tblTransactions[[#This Row],[ProductID]],tblProducts[ProductID],tblProducts[UnitPrice])</f>
        <v>1019.45</v>
      </c>
      <c r="M665" s="9">
        <f>tblTransactions[[#This Row],[Quantity]]*tblTransactions[[#This Row],[UnitPrice]]</f>
        <v>1019.45</v>
      </c>
      <c r="N665" s="9">
        <f>tblTransactions[[#This Row],[GrossSales]]*tblTransactions[[#This Row],[Discount]]</f>
        <v>101.94500000000001</v>
      </c>
      <c r="O665" s="9">
        <f>tblTransactions[[#This Row],[GrossSales]]-tblTransactions[[#This Row],[DiscountAmount]]</f>
        <v>917.505</v>
      </c>
      <c r="P665" s="9">
        <f>_xlfn.XLOOKUP(tblTransactions[[#This Row],[ProductID]],tblProducts[ProductID],tblProducts[UnitCost])</f>
        <v>683.18</v>
      </c>
      <c r="Q665" s="9">
        <f>tblTransactions[[#This Row],[Quantity]]*tblTransactions[[#This Row],[UnitCost]]</f>
        <v>683.18</v>
      </c>
      <c r="R665" s="9">
        <f>tblTransactions[[#This Row],[NetRevenue]]-tblTransactions[[#This Row],[TotalCost]]</f>
        <v>234.32500000000005</v>
      </c>
      <c r="S665" t="str">
        <f>_xlfn.XLOOKUP(tblTransactions[[#This Row],[ProductID]],tblProducts[ProductID],tblProducts[Category])</f>
        <v>Grocery</v>
      </c>
    </row>
    <row r="666" spans="1:19">
      <c r="A666" t="s">
        <v>16983</v>
      </c>
      <c r="B666" s="1">
        <v>45663</v>
      </c>
      <c r="C666" t="s">
        <v>4026</v>
      </c>
      <c r="D666" t="str">
        <f>_xlfn.XLOOKUP(tblTransactions[[#This Row],[CustomerID]],tblCustomers[CustomerID],tblCustomers[CustomerName])</f>
        <v>Chaaya Saha</v>
      </c>
      <c r="E666" t="s">
        <v>16137</v>
      </c>
      <c r="F666" t="str">
        <f>_xlfn.XLOOKUP(tblTransactions[[#This Row],[ProductID]],tblProducts[ProductID],tblProducts[ProductName])</f>
        <v>Sugar C3</v>
      </c>
      <c r="G666" t="s">
        <v>16291</v>
      </c>
      <c r="H666" t="str">
        <f>_xlfn.XLOOKUP(tblTransactions[[#This Row],[StoreID]],tblStores[StoreID],tblStores[Region])</f>
        <v>South</v>
      </c>
      <c r="I666">
        <v>1</v>
      </c>
      <c r="J666">
        <v>0</v>
      </c>
      <c r="K666" t="s">
        <v>16325</v>
      </c>
      <c r="L666" s="9">
        <f>_xlfn.XLOOKUP(tblTransactions[[#This Row],[ProductID]],tblProducts[ProductID],tblProducts[UnitPrice])</f>
        <v>1140.1600000000001</v>
      </c>
      <c r="M666" s="9">
        <f>tblTransactions[[#This Row],[Quantity]]*tblTransactions[[#This Row],[UnitPrice]]</f>
        <v>1140.1600000000001</v>
      </c>
      <c r="N666" s="9">
        <f>tblTransactions[[#This Row],[GrossSales]]*tblTransactions[[#This Row],[Discount]]</f>
        <v>0</v>
      </c>
      <c r="O666" s="9">
        <f>tblTransactions[[#This Row],[GrossSales]]-tblTransactions[[#This Row],[DiscountAmount]]</f>
        <v>1140.1600000000001</v>
      </c>
      <c r="P666" s="9">
        <f>_xlfn.XLOOKUP(tblTransactions[[#This Row],[ProductID]],tblProducts[ProductID],tblProducts[UnitCost])</f>
        <v>763.74</v>
      </c>
      <c r="Q666" s="9">
        <f>tblTransactions[[#This Row],[Quantity]]*tblTransactions[[#This Row],[UnitCost]]</f>
        <v>763.74</v>
      </c>
      <c r="R666" s="9">
        <f>tblTransactions[[#This Row],[NetRevenue]]-tblTransactions[[#This Row],[TotalCost]]</f>
        <v>376.42000000000007</v>
      </c>
      <c r="S666" t="str">
        <f>_xlfn.XLOOKUP(tblTransactions[[#This Row],[ProductID]],tblProducts[ProductID],tblProducts[Category])</f>
        <v>Grocery</v>
      </c>
    </row>
    <row r="667" spans="1:19">
      <c r="A667" t="s">
        <v>16984</v>
      </c>
      <c r="B667" s="1">
        <v>45664</v>
      </c>
      <c r="C667" t="s">
        <v>3966</v>
      </c>
      <c r="D667" t="str">
        <f>_xlfn.XLOOKUP(tblTransactions[[#This Row],[CustomerID]],tblCustomers[CustomerID],tblCustomers[CustomerName])</f>
        <v>Kevin Parmer</v>
      </c>
      <c r="E667" t="s">
        <v>15927</v>
      </c>
      <c r="F667" t="str">
        <f>_xlfn.XLOOKUP(tblTransactions[[#This Row],[ProductID]],tblProducts[ProductID],tblProducts[ProductName])</f>
        <v>Full HD TV A1</v>
      </c>
      <c r="G667" t="s">
        <v>16259</v>
      </c>
      <c r="H667" t="str">
        <f>_xlfn.XLOOKUP(tblTransactions[[#This Row],[StoreID]],tblStores[StoreID],tblStores[Region])</f>
        <v>East</v>
      </c>
      <c r="I667">
        <v>1</v>
      </c>
      <c r="J667">
        <v>0</v>
      </c>
      <c r="K667" t="s">
        <v>16317</v>
      </c>
      <c r="L667" s="9">
        <f>_xlfn.XLOOKUP(tblTransactions[[#This Row],[ProductID]],tblProducts[ProductID],tblProducts[UnitPrice])</f>
        <v>69234.210000000006</v>
      </c>
      <c r="M667" s="9">
        <f>tblTransactions[[#This Row],[Quantity]]*tblTransactions[[#This Row],[UnitPrice]]</f>
        <v>69234.210000000006</v>
      </c>
      <c r="N667" s="9">
        <f>tblTransactions[[#This Row],[GrossSales]]*tblTransactions[[#This Row],[Discount]]</f>
        <v>0</v>
      </c>
      <c r="O667" s="9">
        <f>tblTransactions[[#This Row],[GrossSales]]-tblTransactions[[#This Row],[DiscountAmount]]</f>
        <v>69234.210000000006</v>
      </c>
      <c r="P667" s="9">
        <f>_xlfn.XLOOKUP(tblTransactions[[#This Row],[ProductID]],tblProducts[ProductID],tblProducts[UnitCost])</f>
        <v>56481.05</v>
      </c>
      <c r="Q667" s="9">
        <f>tblTransactions[[#This Row],[Quantity]]*tblTransactions[[#This Row],[UnitCost]]</f>
        <v>56481.05</v>
      </c>
      <c r="R667" s="9">
        <f>tblTransactions[[#This Row],[NetRevenue]]-tblTransactions[[#This Row],[TotalCost]]</f>
        <v>12753.160000000003</v>
      </c>
      <c r="S667" t="str">
        <f>_xlfn.XLOOKUP(tblTransactions[[#This Row],[ProductID]],tblProducts[ProductID],tblProducts[Category])</f>
        <v>Electronics</v>
      </c>
    </row>
    <row r="668" spans="1:19">
      <c r="A668" t="s">
        <v>16985</v>
      </c>
      <c r="B668" s="1">
        <v>45664</v>
      </c>
      <c r="C668" t="s">
        <v>5674</v>
      </c>
      <c r="D668" t="str">
        <f>_xlfn.XLOOKUP(tblTransactions[[#This Row],[CustomerID]],tblCustomers[CustomerID],tblCustomers[CustomerName])</f>
        <v>Manya Nazareth</v>
      </c>
      <c r="E668" t="s">
        <v>15967</v>
      </c>
      <c r="F668" t="str">
        <f>_xlfn.XLOOKUP(tblTransactions[[#This Row],[ProductID]],tblProducts[ProductID],tblProducts[ProductName])</f>
        <v>Student Laptop C3</v>
      </c>
      <c r="G668" t="s">
        <v>16256</v>
      </c>
      <c r="H668" t="str">
        <f>_xlfn.XLOOKUP(tblTransactions[[#This Row],[StoreID]],tblStores[StoreID],tblStores[Region])</f>
        <v>East</v>
      </c>
      <c r="I668">
        <v>2</v>
      </c>
      <c r="J668">
        <v>0</v>
      </c>
      <c r="K668" t="s">
        <v>16317</v>
      </c>
      <c r="L668" s="9">
        <f>_xlfn.XLOOKUP(tblTransactions[[#This Row],[ProductID]],tblProducts[ProductID],tblProducts[UnitPrice])</f>
        <v>12552.69</v>
      </c>
      <c r="M668" s="9">
        <f>tblTransactions[[#This Row],[Quantity]]*tblTransactions[[#This Row],[UnitPrice]]</f>
        <v>25105.38</v>
      </c>
      <c r="N668" s="9">
        <f>tblTransactions[[#This Row],[GrossSales]]*tblTransactions[[#This Row],[Discount]]</f>
        <v>0</v>
      </c>
      <c r="O668" s="9">
        <f>tblTransactions[[#This Row],[GrossSales]]-tblTransactions[[#This Row],[DiscountAmount]]</f>
        <v>25105.38</v>
      </c>
      <c r="P668" s="9">
        <f>_xlfn.XLOOKUP(tblTransactions[[#This Row],[ProductID]],tblProducts[ProductID],tblProducts[UnitCost])</f>
        <v>8737.9</v>
      </c>
      <c r="Q668" s="9">
        <f>tblTransactions[[#This Row],[Quantity]]*tblTransactions[[#This Row],[UnitCost]]</f>
        <v>17475.8</v>
      </c>
      <c r="R668" s="9">
        <f>tblTransactions[[#This Row],[NetRevenue]]-tblTransactions[[#This Row],[TotalCost]]</f>
        <v>7629.5800000000017</v>
      </c>
      <c r="S668" t="str">
        <f>_xlfn.XLOOKUP(tblTransactions[[#This Row],[ProductID]],tblProducts[ProductID],tblProducts[Category])</f>
        <v>Electronics</v>
      </c>
    </row>
    <row r="669" spans="1:19">
      <c r="A669" t="s">
        <v>16986</v>
      </c>
      <c r="B669" s="1">
        <v>45664</v>
      </c>
      <c r="C669" t="s">
        <v>14345</v>
      </c>
      <c r="D669" t="str">
        <f>_xlfn.XLOOKUP(tblTransactions[[#This Row],[CustomerID]],tblCustomers[CustomerID],tblCustomers[CustomerName])</f>
        <v>Ayushman Bahl</v>
      </c>
      <c r="E669" t="s">
        <v>16106</v>
      </c>
      <c r="F669" t="str">
        <f>_xlfn.XLOOKUP(tblTransactions[[#This Row],[ProductID]],tblProducts[ProductID],tblProducts[ProductName])</f>
        <v>Kids Dress C3</v>
      </c>
      <c r="G669" t="s">
        <v>16259</v>
      </c>
      <c r="H669" t="str">
        <f>_xlfn.XLOOKUP(tblTransactions[[#This Row],[StoreID]],tblStores[StoreID],tblStores[Region])</f>
        <v>East</v>
      </c>
      <c r="I669">
        <v>2</v>
      </c>
      <c r="J669">
        <v>0.1</v>
      </c>
      <c r="K669" t="s">
        <v>16325</v>
      </c>
      <c r="L669" s="9">
        <f>_xlfn.XLOOKUP(tblTransactions[[#This Row],[ProductID]],tblProducts[ProductID],tblProducts[UnitPrice])</f>
        <v>1436.28</v>
      </c>
      <c r="M669" s="9">
        <f>tblTransactions[[#This Row],[Quantity]]*tblTransactions[[#This Row],[UnitPrice]]</f>
        <v>2872.56</v>
      </c>
      <c r="N669" s="9">
        <f>tblTransactions[[#This Row],[GrossSales]]*tblTransactions[[#This Row],[Discount]]</f>
        <v>287.25600000000003</v>
      </c>
      <c r="O669" s="9">
        <f>tblTransactions[[#This Row],[GrossSales]]-tblTransactions[[#This Row],[DiscountAmount]]</f>
        <v>2585.3040000000001</v>
      </c>
      <c r="P669" s="9">
        <f>_xlfn.XLOOKUP(tblTransactions[[#This Row],[ProductID]],tblProducts[ProductID],tblProducts[UnitCost])</f>
        <v>1097.5</v>
      </c>
      <c r="Q669" s="9">
        <f>tblTransactions[[#This Row],[Quantity]]*tblTransactions[[#This Row],[UnitCost]]</f>
        <v>2195</v>
      </c>
      <c r="R669" s="9">
        <f>tblTransactions[[#This Row],[NetRevenue]]-tblTransactions[[#This Row],[TotalCost]]</f>
        <v>390.30400000000009</v>
      </c>
      <c r="S669" t="str">
        <f>_xlfn.XLOOKUP(tblTransactions[[#This Row],[ProductID]],tblProducts[ProductID],tblProducts[Category])</f>
        <v>Clothing</v>
      </c>
    </row>
    <row r="670" spans="1:19">
      <c r="A670" t="s">
        <v>16987</v>
      </c>
      <c r="B670" s="1">
        <v>45664</v>
      </c>
      <c r="C670" t="s">
        <v>9448</v>
      </c>
      <c r="D670" t="str">
        <f>_xlfn.XLOOKUP(tblTransactions[[#This Row],[CustomerID]],tblCustomers[CustomerID],tblCustomers[CustomerName])</f>
        <v>Gaurav Sarkar</v>
      </c>
      <c r="E670" t="s">
        <v>16188</v>
      </c>
      <c r="F670" t="str">
        <f>_xlfn.XLOOKUP(tblTransactions[[#This Row],[ProductID]],tblProducts[ProductID],tblProducts[ProductName])</f>
        <v>Pasta A6</v>
      </c>
      <c r="G670" t="s">
        <v>16267</v>
      </c>
      <c r="H670" t="str">
        <f>_xlfn.XLOOKUP(tblTransactions[[#This Row],[StoreID]],tblStores[StoreID],tblStores[Region])</f>
        <v>West</v>
      </c>
      <c r="I670">
        <v>2</v>
      </c>
      <c r="J670">
        <v>0</v>
      </c>
      <c r="K670" t="s">
        <v>16321</v>
      </c>
      <c r="L670" s="9">
        <f>_xlfn.XLOOKUP(tblTransactions[[#This Row],[ProductID]],tblProducts[ProductID],tblProducts[UnitPrice])</f>
        <v>1019.45</v>
      </c>
      <c r="M670" s="9">
        <f>tblTransactions[[#This Row],[Quantity]]*tblTransactions[[#This Row],[UnitPrice]]</f>
        <v>2038.9</v>
      </c>
      <c r="N670" s="9">
        <f>tblTransactions[[#This Row],[GrossSales]]*tblTransactions[[#This Row],[Discount]]</f>
        <v>0</v>
      </c>
      <c r="O670" s="9">
        <f>tblTransactions[[#This Row],[GrossSales]]-tblTransactions[[#This Row],[DiscountAmount]]</f>
        <v>2038.9</v>
      </c>
      <c r="P670" s="9">
        <f>_xlfn.XLOOKUP(tblTransactions[[#This Row],[ProductID]],tblProducts[ProductID],tblProducts[UnitCost])</f>
        <v>683.18</v>
      </c>
      <c r="Q670" s="9">
        <f>tblTransactions[[#This Row],[Quantity]]*tblTransactions[[#This Row],[UnitCost]]</f>
        <v>1366.36</v>
      </c>
      <c r="R670" s="9">
        <f>tblTransactions[[#This Row],[NetRevenue]]-tblTransactions[[#This Row],[TotalCost]]</f>
        <v>672.54000000000019</v>
      </c>
      <c r="S670" t="str">
        <f>_xlfn.XLOOKUP(tblTransactions[[#This Row],[ProductID]],tblProducts[ProductID],tblProducts[Category])</f>
        <v>Grocery</v>
      </c>
    </row>
    <row r="671" spans="1:19">
      <c r="A671" t="s">
        <v>16988</v>
      </c>
      <c r="B671" s="1">
        <v>45665</v>
      </c>
      <c r="C671" t="s">
        <v>4533</v>
      </c>
      <c r="D671" t="str">
        <f>_xlfn.XLOOKUP(tblTransactions[[#This Row],[CustomerID]],tblCustomers[CustomerID],tblCustomers[CustomerName])</f>
        <v>Irya Bath</v>
      </c>
      <c r="E671" t="s">
        <v>16116</v>
      </c>
      <c r="F671" t="str">
        <f>_xlfn.XLOOKUP(tblTransactions[[#This Row],[ProductID]],tblProducts[ProductID],tblProducts[ProductName])</f>
        <v>Sandals A1</v>
      </c>
      <c r="G671" t="s">
        <v>16281</v>
      </c>
      <c r="H671" t="str">
        <f>_xlfn.XLOOKUP(tblTransactions[[#This Row],[StoreID]],tblStores[StoreID],tblStores[Region])</f>
        <v>West</v>
      </c>
      <c r="I671">
        <v>1</v>
      </c>
      <c r="J671">
        <v>0.2</v>
      </c>
      <c r="K671" t="s">
        <v>16321</v>
      </c>
      <c r="L671" s="9">
        <f>_xlfn.XLOOKUP(tblTransactions[[#This Row],[ProductID]],tblProducts[ProductID],tblProducts[UnitPrice])</f>
        <v>7414.77</v>
      </c>
      <c r="M671" s="9">
        <f>tblTransactions[[#This Row],[Quantity]]*tblTransactions[[#This Row],[UnitPrice]]</f>
        <v>7414.77</v>
      </c>
      <c r="N671" s="9">
        <f>tblTransactions[[#This Row],[GrossSales]]*tblTransactions[[#This Row],[Discount]]</f>
        <v>1482.9540000000002</v>
      </c>
      <c r="O671" s="9">
        <f>tblTransactions[[#This Row],[GrossSales]]-tblTransactions[[#This Row],[DiscountAmount]]</f>
        <v>5931.8160000000007</v>
      </c>
      <c r="P671" s="9">
        <f>_xlfn.XLOOKUP(tblTransactions[[#This Row],[ProductID]],tblProducts[ProductID],tblProducts[UnitCost])</f>
        <v>4859.1400000000003</v>
      </c>
      <c r="Q671" s="9">
        <f>tblTransactions[[#This Row],[Quantity]]*tblTransactions[[#This Row],[UnitCost]]</f>
        <v>4859.1400000000003</v>
      </c>
      <c r="R671" s="9">
        <f>tblTransactions[[#This Row],[NetRevenue]]-tblTransactions[[#This Row],[TotalCost]]</f>
        <v>1072.6760000000004</v>
      </c>
      <c r="S671" t="str">
        <f>_xlfn.XLOOKUP(tblTransactions[[#This Row],[ProductID]],tblProducts[ProductID],tblProducts[Category])</f>
        <v>Clothing</v>
      </c>
    </row>
    <row r="672" spans="1:19">
      <c r="A672" t="s">
        <v>16989</v>
      </c>
      <c r="B672" s="1">
        <v>45667</v>
      </c>
      <c r="C672" t="s">
        <v>10442</v>
      </c>
      <c r="D672" t="str">
        <f>_xlfn.XLOOKUP(tblTransactions[[#This Row],[CustomerID]],tblCustomers[CustomerID],tblCustomers[CustomerName])</f>
        <v>Falan Bumb</v>
      </c>
      <c r="E672" t="s">
        <v>16009</v>
      </c>
      <c r="F672" t="str">
        <f>_xlfn.XLOOKUP(tblTransactions[[#This Row],[ProductID]],tblProducts[ProductID],tblProducts[ProductName])</f>
        <v>Mixer Grinder A1</v>
      </c>
      <c r="G672" t="s">
        <v>16277</v>
      </c>
      <c r="H672" t="str">
        <f>_xlfn.XLOOKUP(tblTransactions[[#This Row],[StoreID]],tblStores[StoreID],tblStores[Region])</f>
        <v>West</v>
      </c>
      <c r="I672">
        <v>3</v>
      </c>
      <c r="J672">
        <v>0</v>
      </c>
      <c r="K672" t="s">
        <v>16321</v>
      </c>
      <c r="L672" s="9">
        <f>_xlfn.XLOOKUP(tblTransactions[[#This Row],[ProductID]],tblProducts[ProductID],tblProducts[UnitPrice])</f>
        <v>14732.95</v>
      </c>
      <c r="M672" s="9">
        <f>tblTransactions[[#This Row],[Quantity]]*tblTransactions[[#This Row],[UnitPrice]]</f>
        <v>44198.850000000006</v>
      </c>
      <c r="N672" s="9">
        <f>tblTransactions[[#This Row],[GrossSales]]*tblTransactions[[#This Row],[Discount]]</f>
        <v>0</v>
      </c>
      <c r="O672" s="9">
        <f>tblTransactions[[#This Row],[GrossSales]]-tblTransactions[[#This Row],[DiscountAmount]]</f>
        <v>44198.850000000006</v>
      </c>
      <c r="P672" s="9">
        <f>_xlfn.XLOOKUP(tblTransactions[[#This Row],[ProductID]],tblProducts[ProductID],tblProducts[UnitCost])</f>
        <v>10707.23</v>
      </c>
      <c r="Q672" s="9">
        <f>tblTransactions[[#This Row],[Quantity]]*tblTransactions[[#This Row],[UnitCost]]</f>
        <v>32121.69</v>
      </c>
      <c r="R672" s="9">
        <f>tblTransactions[[#This Row],[NetRevenue]]-tblTransactions[[#This Row],[TotalCost]]</f>
        <v>12077.160000000007</v>
      </c>
      <c r="S672" t="str">
        <f>_xlfn.XLOOKUP(tblTransactions[[#This Row],[ProductID]],tblProducts[ProductID],tblProducts[Category])</f>
        <v>Home &amp; Kitchen</v>
      </c>
    </row>
    <row r="673" spans="1:19">
      <c r="A673" t="s">
        <v>16990</v>
      </c>
      <c r="B673" s="1">
        <v>45667</v>
      </c>
      <c r="C673" t="s">
        <v>8923</v>
      </c>
      <c r="D673" t="str">
        <f>_xlfn.XLOOKUP(tblTransactions[[#This Row],[CustomerID]],tblCustomers[CustomerID],tblCustomers[CustomerName])</f>
        <v>Ekanta Karnik</v>
      </c>
      <c r="E673" t="s">
        <v>16171</v>
      </c>
      <c r="F673" t="str">
        <f>_xlfn.XLOOKUP(tblTransactions[[#This Row],[ProductID]],tblProducts[ProductID],tblProducts[ProductName])</f>
        <v>Juice E5</v>
      </c>
      <c r="G673" t="s">
        <v>16269</v>
      </c>
      <c r="H673" t="str">
        <f>_xlfn.XLOOKUP(tblTransactions[[#This Row],[StoreID]],tblStores[StoreID],tblStores[Region])</f>
        <v>North</v>
      </c>
      <c r="I673">
        <v>1</v>
      </c>
      <c r="J673">
        <v>0</v>
      </c>
      <c r="K673" t="s">
        <v>16317</v>
      </c>
      <c r="L673" s="9">
        <f>_xlfn.XLOOKUP(tblTransactions[[#This Row],[ProductID]],tblProducts[ProductID],tblProducts[UnitPrice])</f>
        <v>100.32</v>
      </c>
      <c r="M673" s="9">
        <f>tblTransactions[[#This Row],[Quantity]]*tblTransactions[[#This Row],[UnitPrice]]</f>
        <v>100.32</v>
      </c>
      <c r="N673" s="9">
        <f>tblTransactions[[#This Row],[GrossSales]]*tblTransactions[[#This Row],[Discount]]</f>
        <v>0</v>
      </c>
      <c r="O673" s="9">
        <f>tblTransactions[[#This Row],[GrossSales]]-tblTransactions[[#This Row],[DiscountAmount]]</f>
        <v>100.32</v>
      </c>
      <c r="P673" s="9">
        <f>_xlfn.XLOOKUP(tblTransactions[[#This Row],[ProductID]],tblProducts[ProductID],tblProducts[UnitCost])</f>
        <v>66.61</v>
      </c>
      <c r="Q673" s="9">
        <f>tblTransactions[[#This Row],[Quantity]]*tblTransactions[[#This Row],[UnitCost]]</f>
        <v>66.61</v>
      </c>
      <c r="R673" s="9">
        <f>tblTransactions[[#This Row],[NetRevenue]]-tblTransactions[[#This Row],[TotalCost]]</f>
        <v>33.709999999999994</v>
      </c>
      <c r="S673" t="str">
        <f>_xlfn.XLOOKUP(tblTransactions[[#This Row],[ProductID]],tblProducts[ProductID],tblProducts[Category])</f>
        <v>Grocery</v>
      </c>
    </row>
    <row r="674" spans="1:19">
      <c r="A674" t="s">
        <v>16991</v>
      </c>
      <c r="B674" s="1">
        <v>45667</v>
      </c>
      <c r="C674" t="s">
        <v>14405</v>
      </c>
      <c r="D674" t="str">
        <f>_xlfn.XLOOKUP(tblTransactions[[#This Row],[CustomerID]],tblCustomers[CustomerID],tblCustomers[CustomerName])</f>
        <v>Yashvi Din</v>
      </c>
      <c r="E674" t="s">
        <v>15999</v>
      </c>
      <c r="F674" t="str">
        <f>_xlfn.XLOOKUP(tblTransactions[[#This Row],[ProductID]],tblProducts[ProductID],tblProducts[ProductName])</f>
        <v>Wireless Charger C3</v>
      </c>
      <c r="G674" t="s">
        <v>16303</v>
      </c>
      <c r="H674" t="str">
        <f>_xlfn.XLOOKUP(tblTransactions[[#This Row],[StoreID]],tblStores[StoreID],tblStores[Region])</f>
        <v>West</v>
      </c>
      <c r="I674">
        <v>1</v>
      </c>
      <c r="J674">
        <v>0.1</v>
      </c>
      <c r="K674" t="s">
        <v>16321</v>
      </c>
      <c r="L674" s="9">
        <f>_xlfn.XLOOKUP(tblTransactions[[#This Row],[ProductID]],tblProducts[ProductID],tblProducts[UnitPrice])</f>
        <v>70426.350000000006</v>
      </c>
      <c r="M674" s="9">
        <f>tblTransactions[[#This Row],[Quantity]]*tblTransactions[[#This Row],[UnitPrice]]</f>
        <v>70426.350000000006</v>
      </c>
      <c r="N674" s="9">
        <f>tblTransactions[[#This Row],[GrossSales]]*tblTransactions[[#This Row],[Discount]]</f>
        <v>7042.6350000000011</v>
      </c>
      <c r="O674" s="9">
        <f>tblTransactions[[#This Row],[GrossSales]]-tblTransactions[[#This Row],[DiscountAmount]]</f>
        <v>63383.715000000004</v>
      </c>
      <c r="P674" s="9">
        <f>_xlfn.XLOOKUP(tblTransactions[[#This Row],[ProductID]],tblProducts[ProductID],tblProducts[UnitCost])</f>
        <v>41048.31</v>
      </c>
      <c r="Q674" s="9">
        <f>tblTransactions[[#This Row],[Quantity]]*tblTransactions[[#This Row],[UnitCost]]</f>
        <v>41048.31</v>
      </c>
      <c r="R674" s="9">
        <f>tblTransactions[[#This Row],[NetRevenue]]-tblTransactions[[#This Row],[TotalCost]]</f>
        <v>22335.405000000006</v>
      </c>
      <c r="S674" t="str">
        <f>_xlfn.XLOOKUP(tblTransactions[[#This Row],[ProductID]],tblProducts[ProductID],tblProducts[Category])</f>
        <v>Electronics</v>
      </c>
    </row>
    <row r="675" spans="1:19">
      <c r="A675" t="s">
        <v>16992</v>
      </c>
      <c r="B675" s="1">
        <v>45667</v>
      </c>
      <c r="C675" t="s">
        <v>14751</v>
      </c>
      <c r="D675" t="str">
        <f>_xlfn.XLOOKUP(tblTransactions[[#This Row],[CustomerID]],tblCustomers[CustomerID],tblCustomers[CustomerName])</f>
        <v>Diya Sampath</v>
      </c>
      <c r="E675" t="s">
        <v>15973</v>
      </c>
      <c r="F675" t="str">
        <f>_xlfn.XLOOKUP(tblTransactions[[#This Row],[ProductID]],tblProducts[ProductID],tblProducts[ProductName])</f>
        <v>Ultrabook A6</v>
      </c>
      <c r="G675" t="s">
        <v>16281</v>
      </c>
      <c r="H675" t="str">
        <f>_xlfn.XLOOKUP(tblTransactions[[#This Row],[StoreID]],tblStores[StoreID],tblStores[Region])</f>
        <v>West</v>
      </c>
      <c r="I675">
        <v>4</v>
      </c>
      <c r="J675">
        <v>0</v>
      </c>
      <c r="K675" t="s">
        <v>16321</v>
      </c>
      <c r="L675" s="9">
        <f>_xlfn.XLOOKUP(tblTransactions[[#This Row],[ProductID]],tblProducts[ProductID],tblProducts[UnitPrice])</f>
        <v>9422.92</v>
      </c>
      <c r="M675" s="9">
        <f>tblTransactions[[#This Row],[Quantity]]*tblTransactions[[#This Row],[UnitPrice]]</f>
        <v>37691.68</v>
      </c>
      <c r="N675" s="9">
        <f>tblTransactions[[#This Row],[GrossSales]]*tblTransactions[[#This Row],[Discount]]</f>
        <v>0</v>
      </c>
      <c r="O675" s="9">
        <f>tblTransactions[[#This Row],[GrossSales]]-tblTransactions[[#This Row],[DiscountAmount]]</f>
        <v>37691.68</v>
      </c>
      <c r="P675" s="9">
        <f>_xlfn.XLOOKUP(tblTransactions[[#This Row],[ProductID]],tblProducts[ProductID],tblProducts[UnitCost])</f>
        <v>7399.19</v>
      </c>
      <c r="Q675" s="9">
        <f>tblTransactions[[#This Row],[Quantity]]*tblTransactions[[#This Row],[UnitCost]]</f>
        <v>29596.76</v>
      </c>
      <c r="R675" s="9">
        <f>tblTransactions[[#This Row],[NetRevenue]]-tblTransactions[[#This Row],[TotalCost]]</f>
        <v>8094.9200000000019</v>
      </c>
      <c r="S675" t="str">
        <f>_xlfn.XLOOKUP(tblTransactions[[#This Row],[ProductID]],tblProducts[ProductID],tblProducts[Category])</f>
        <v>Electronics</v>
      </c>
    </row>
    <row r="676" spans="1:19">
      <c r="A676" t="s">
        <v>16993</v>
      </c>
      <c r="B676" s="1">
        <v>45669</v>
      </c>
      <c r="C676" t="s">
        <v>5191</v>
      </c>
      <c r="D676" t="str">
        <f>_xlfn.XLOOKUP(tblTransactions[[#This Row],[CustomerID]],tblCustomers[CustomerID],tblCustomers[CustomerName])</f>
        <v>Yashodhara Prasad</v>
      </c>
      <c r="E676" t="s">
        <v>16184</v>
      </c>
      <c r="F676" t="str">
        <f>_xlfn.XLOOKUP(tblTransactions[[#This Row],[ProductID]],tblProducts[ProductID],tblProducts[ProductName])</f>
        <v>Instant Noodles D4</v>
      </c>
      <c r="G676" t="s">
        <v>16301</v>
      </c>
      <c r="H676" t="str">
        <f>_xlfn.XLOOKUP(tblTransactions[[#This Row],[StoreID]],tblStores[StoreID],tblStores[Region])</f>
        <v>East</v>
      </c>
      <c r="I676">
        <v>4</v>
      </c>
      <c r="J676">
        <v>0</v>
      </c>
      <c r="K676" t="s">
        <v>16325</v>
      </c>
      <c r="L676" s="9">
        <f>_xlfn.XLOOKUP(tblTransactions[[#This Row],[ProductID]],tblProducts[ProductID],tblProducts[UnitPrice])</f>
        <v>400.63</v>
      </c>
      <c r="M676" s="9">
        <f>tblTransactions[[#This Row],[Quantity]]*tblTransactions[[#This Row],[UnitPrice]]</f>
        <v>1602.52</v>
      </c>
      <c r="N676" s="9">
        <f>tblTransactions[[#This Row],[GrossSales]]*tblTransactions[[#This Row],[Discount]]</f>
        <v>0</v>
      </c>
      <c r="O676" s="9">
        <f>tblTransactions[[#This Row],[GrossSales]]-tblTransactions[[#This Row],[DiscountAmount]]</f>
        <v>1602.52</v>
      </c>
      <c r="P676" s="9">
        <f>_xlfn.XLOOKUP(tblTransactions[[#This Row],[ProductID]],tblProducts[ProductID],tblProducts[UnitCost])</f>
        <v>222.73</v>
      </c>
      <c r="Q676" s="9">
        <f>tblTransactions[[#This Row],[Quantity]]*tblTransactions[[#This Row],[UnitCost]]</f>
        <v>890.92</v>
      </c>
      <c r="R676" s="9">
        <f>tblTransactions[[#This Row],[NetRevenue]]-tblTransactions[[#This Row],[TotalCost]]</f>
        <v>711.6</v>
      </c>
      <c r="S676" t="str">
        <f>_xlfn.XLOOKUP(tblTransactions[[#This Row],[ProductID]],tblProducts[ProductID],tblProducts[Category])</f>
        <v>Grocery</v>
      </c>
    </row>
    <row r="677" spans="1:19">
      <c r="A677" t="s">
        <v>16994</v>
      </c>
      <c r="B677" s="1">
        <v>45670</v>
      </c>
      <c r="C677" t="s">
        <v>10914</v>
      </c>
      <c r="D677" t="str">
        <f>_xlfn.XLOOKUP(tblTransactions[[#This Row],[CustomerID]],tblCustomers[CustomerID],tblCustomers[CustomerName])</f>
        <v>Laban Oza</v>
      </c>
      <c r="E677" t="s">
        <v>16119</v>
      </c>
      <c r="F677" t="str">
        <f>_xlfn.XLOOKUP(tblTransactions[[#This Row],[ProductID]],tblProducts[ProductID],tblProducts[ProductName])</f>
        <v>Sports Shoes B2</v>
      </c>
      <c r="G677" t="s">
        <v>16273</v>
      </c>
      <c r="H677" t="str">
        <f>_xlfn.XLOOKUP(tblTransactions[[#This Row],[StoreID]],tblStores[StoreID],tblStores[Region])</f>
        <v>West</v>
      </c>
      <c r="I677">
        <v>3</v>
      </c>
      <c r="J677">
        <v>0</v>
      </c>
      <c r="K677" t="s">
        <v>16321</v>
      </c>
      <c r="L677" s="9">
        <f>_xlfn.XLOOKUP(tblTransactions[[#This Row],[ProductID]],tblProducts[ProductID],tblProducts[UnitPrice])</f>
        <v>7419.82</v>
      </c>
      <c r="M677" s="9">
        <f>tblTransactions[[#This Row],[Quantity]]*tblTransactions[[#This Row],[UnitPrice]]</f>
        <v>22259.46</v>
      </c>
      <c r="N677" s="9">
        <f>tblTransactions[[#This Row],[GrossSales]]*tblTransactions[[#This Row],[Discount]]</f>
        <v>0</v>
      </c>
      <c r="O677" s="9">
        <f>tblTransactions[[#This Row],[GrossSales]]-tblTransactions[[#This Row],[DiscountAmount]]</f>
        <v>22259.46</v>
      </c>
      <c r="P677" s="9">
        <f>_xlfn.XLOOKUP(tblTransactions[[#This Row],[ProductID]],tblProducts[ProductID],tblProducts[UnitCost])</f>
        <v>5155.9799999999996</v>
      </c>
      <c r="Q677" s="9">
        <f>tblTransactions[[#This Row],[Quantity]]*tblTransactions[[#This Row],[UnitCost]]</f>
        <v>15467.939999999999</v>
      </c>
      <c r="R677" s="9">
        <f>tblTransactions[[#This Row],[NetRevenue]]-tblTransactions[[#This Row],[TotalCost]]</f>
        <v>6791.52</v>
      </c>
      <c r="S677" t="str">
        <f>_xlfn.XLOOKUP(tblTransactions[[#This Row],[ProductID]],tblProducts[ProductID],tblProducts[Category])</f>
        <v>Clothing</v>
      </c>
    </row>
    <row r="678" spans="1:19">
      <c r="A678" t="s">
        <v>16995</v>
      </c>
      <c r="B678" s="1">
        <v>45670</v>
      </c>
      <c r="C678" t="s">
        <v>13667</v>
      </c>
      <c r="D678" t="str">
        <f>_xlfn.XLOOKUP(tblTransactions[[#This Row],[CustomerID]],tblCustomers[CustomerID],tblCustomers[CustomerName])</f>
        <v>Jack Ray</v>
      </c>
      <c r="E678" t="s">
        <v>16104</v>
      </c>
      <c r="F678" t="str">
        <f>_xlfn.XLOOKUP(tblTransactions[[#This Row],[ProductID]],tblProducts[ProductID],tblProducts[ProductName])</f>
        <v>Kids Jeans B2</v>
      </c>
      <c r="G678" t="s">
        <v>16277</v>
      </c>
      <c r="H678" t="str">
        <f>_xlfn.XLOOKUP(tblTransactions[[#This Row],[StoreID]],tblStores[StoreID],tblStores[Region])</f>
        <v>West</v>
      </c>
      <c r="I678">
        <v>1</v>
      </c>
      <c r="J678">
        <v>0</v>
      </c>
      <c r="K678" t="s">
        <v>16321</v>
      </c>
      <c r="L678" s="9">
        <f>_xlfn.XLOOKUP(tblTransactions[[#This Row],[ProductID]],tblProducts[ProductID],tblProducts[UnitPrice])</f>
        <v>5613.98</v>
      </c>
      <c r="M678" s="9">
        <f>tblTransactions[[#This Row],[Quantity]]*tblTransactions[[#This Row],[UnitPrice]]</f>
        <v>5613.98</v>
      </c>
      <c r="N678" s="9">
        <f>tblTransactions[[#This Row],[GrossSales]]*tblTransactions[[#This Row],[Discount]]</f>
        <v>0</v>
      </c>
      <c r="O678" s="9">
        <f>tblTransactions[[#This Row],[GrossSales]]-tblTransactions[[#This Row],[DiscountAmount]]</f>
        <v>5613.98</v>
      </c>
      <c r="P678" s="9">
        <f>_xlfn.XLOOKUP(tblTransactions[[#This Row],[ProductID]],tblProducts[ProductID],tblProducts[UnitCost])</f>
        <v>3377.41</v>
      </c>
      <c r="Q678" s="9">
        <f>tblTransactions[[#This Row],[Quantity]]*tblTransactions[[#This Row],[UnitCost]]</f>
        <v>3377.41</v>
      </c>
      <c r="R678" s="9">
        <f>tblTransactions[[#This Row],[NetRevenue]]-tblTransactions[[#This Row],[TotalCost]]</f>
        <v>2236.5699999999997</v>
      </c>
      <c r="S678" t="str">
        <f>_xlfn.XLOOKUP(tblTransactions[[#This Row],[ProductID]],tblProducts[ProductID],tblProducts[Category])</f>
        <v>Clothing</v>
      </c>
    </row>
    <row r="679" spans="1:19">
      <c r="A679" t="s">
        <v>16996</v>
      </c>
      <c r="B679" s="1">
        <v>45670</v>
      </c>
      <c r="C679" t="s">
        <v>8040</v>
      </c>
      <c r="D679" t="str">
        <f>_xlfn.XLOOKUP(tblTransactions[[#This Row],[CustomerID]],tblCustomers[CustomerID],tblCustomers[CustomerName])</f>
        <v>Urmi Desai</v>
      </c>
      <c r="E679" t="s">
        <v>16066</v>
      </c>
      <c r="F679" t="str">
        <f>_xlfn.XLOOKUP(tblTransactions[[#This Row],[ProductID]],tblProducts[ProductID],tblProducts[ProductName])</f>
        <v>Decorative Vase A6</v>
      </c>
      <c r="G679" t="s">
        <v>16279</v>
      </c>
      <c r="H679" t="str">
        <f>_xlfn.XLOOKUP(tblTransactions[[#This Row],[StoreID]],tblStores[StoreID],tblStores[Region])</f>
        <v>South</v>
      </c>
      <c r="I679">
        <v>1</v>
      </c>
      <c r="J679">
        <v>0</v>
      </c>
      <c r="K679" t="s">
        <v>16321</v>
      </c>
      <c r="L679" s="9">
        <f>_xlfn.XLOOKUP(tblTransactions[[#This Row],[ProductID]],tblProducts[ProductID],tblProducts[UnitPrice])</f>
        <v>3429.74</v>
      </c>
      <c r="M679" s="9">
        <f>tblTransactions[[#This Row],[Quantity]]*tblTransactions[[#This Row],[UnitPrice]]</f>
        <v>3429.74</v>
      </c>
      <c r="N679" s="9">
        <f>tblTransactions[[#This Row],[GrossSales]]*tblTransactions[[#This Row],[Discount]]</f>
        <v>0</v>
      </c>
      <c r="O679" s="9">
        <f>tblTransactions[[#This Row],[GrossSales]]-tblTransactions[[#This Row],[DiscountAmount]]</f>
        <v>3429.74</v>
      </c>
      <c r="P679" s="9">
        <f>_xlfn.XLOOKUP(tblTransactions[[#This Row],[ProductID]],tblProducts[ProductID],tblProducts[UnitCost])</f>
        <v>2172.39</v>
      </c>
      <c r="Q679" s="9">
        <f>tblTransactions[[#This Row],[Quantity]]*tblTransactions[[#This Row],[UnitCost]]</f>
        <v>2172.39</v>
      </c>
      <c r="R679" s="9">
        <f>tblTransactions[[#This Row],[NetRevenue]]-tblTransactions[[#This Row],[TotalCost]]</f>
        <v>1257.3499999999999</v>
      </c>
      <c r="S679" t="str">
        <f>_xlfn.XLOOKUP(tblTransactions[[#This Row],[ProductID]],tblProducts[ProductID],tblProducts[Category])</f>
        <v>Home &amp; Kitchen</v>
      </c>
    </row>
    <row r="680" spans="1:19">
      <c r="A680" t="s">
        <v>16997</v>
      </c>
      <c r="B680" s="1">
        <v>45672</v>
      </c>
      <c r="C680" t="s">
        <v>5907</v>
      </c>
      <c r="D680" t="str">
        <f>_xlfn.XLOOKUP(tblTransactions[[#This Row],[CustomerID]],tblCustomers[CustomerID],tblCustomers[CustomerName])</f>
        <v>Joshua Nair</v>
      </c>
      <c r="E680" t="s">
        <v>16232</v>
      </c>
      <c r="F680" t="str">
        <f>_xlfn.XLOOKUP(tblTransactions[[#This Row],[ProductID]],tblProducts[ProductID],tblProducts[ProductName])</f>
        <v>Soap E5</v>
      </c>
      <c r="G680" t="s">
        <v>16289</v>
      </c>
      <c r="H680" t="str">
        <f>_xlfn.XLOOKUP(tblTransactions[[#This Row],[StoreID]],tblStores[StoreID],tblStores[Region])</f>
        <v>South</v>
      </c>
      <c r="I680">
        <v>1</v>
      </c>
      <c r="J680">
        <v>0</v>
      </c>
      <c r="K680" t="s">
        <v>16317</v>
      </c>
      <c r="L680" s="9">
        <f>_xlfn.XLOOKUP(tblTransactions[[#This Row],[ProductID]],tblProducts[ProductID],tblProducts[UnitPrice])</f>
        <v>3000.36</v>
      </c>
      <c r="M680" s="9">
        <f>tblTransactions[[#This Row],[Quantity]]*tblTransactions[[#This Row],[UnitPrice]]</f>
        <v>3000.36</v>
      </c>
      <c r="N680" s="9">
        <f>tblTransactions[[#This Row],[GrossSales]]*tblTransactions[[#This Row],[Discount]]</f>
        <v>0</v>
      </c>
      <c r="O680" s="9">
        <f>tblTransactions[[#This Row],[GrossSales]]-tblTransactions[[#This Row],[DiscountAmount]]</f>
        <v>3000.36</v>
      </c>
      <c r="P680" s="9">
        <f>_xlfn.XLOOKUP(tblTransactions[[#This Row],[ProductID]],tblProducts[ProductID],tblProducts[UnitCost])</f>
        <v>2004.24</v>
      </c>
      <c r="Q680" s="9">
        <f>tblTransactions[[#This Row],[Quantity]]*tblTransactions[[#This Row],[UnitCost]]</f>
        <v>2004.24</v>
      </c>
      <c r="R680" s="9">
        <f>tblTransactions[[#This Row],[NetRevenue]]-tblTransactions[[#This Row],[TotalCost]]</f>
        <v>996.12000000000012</v>
      </c>
      <c r="S680" t="str">
        <f>_xlfn.XLOOKUP(tblTransactions[[#This Row],[ProductID]],tblProducts[ProductID],tblProducts[Category])</f>
        <v>Personal Care</v>
      </c>
    </row>
    <row r="681" spans="1:19">
      <c r="A681" t="s">
        <v>16998</v>
      </c>
      <c r="B681" s="1">
        <v>45673</v>
      </c>
      <c r="C681" t="s">
        <v>5533</v>
      </c>
      <c r="D681" t="str">
        <f>_xlfn.XLOOKUP(tblTransactions[[#This Row],[CustomerID]],tblCustomers[CustomerID],tblCustomers[CustomerName])</f>
        <v>Darika Sabharwal</v>
      </c>
      <c r="E681" t="s">
        <v>16236</v>
      </c>
      <c r="F681" t="str">
        <f>_xlfn.XLOOKUP(tblTransactions[[#This Row],[ProductID]],tblProducts[ProductID],tblProducts[ProductName])</f>
        <v>Body Lotion B7</v>
      </c>
      <c r="G681" t="s">
        <v>16297</v>
      </c>
      <c r="H681" t="str">
        <f>_xlfn.XLOOKUP(tblTransactions[[#This Row],[StoreID]],tblStores[StoreID],tblStores[Region])</f>
        <v>North</v>
      </c>
      <c r="I681">
        <v>1</v>
      </c>
      <c r="J681">
        <v>0</v>
      </c>
      <c r="K681" t="s">
        <v>16315</v>
      </c>
      <c r="L681" s="9">
        <f>_xlfn.XLOOKUP(tblTransactions[[#This Row],[ProductID]],tblProducts[ProductID],tblProducts[UnitPrice])</f>
        <v>4198.8999999999996</v>
      </c>
      <c r="M681" s="9">
        <f>tblTransactions[[#This Row],[Quantity]]*tblTransactions[[#This Row],[UnitPrice]]</f>
        <v>4198.8999999999996</v>
      </c>
      <c r="N681" s="9">
        <f>tblTransactions[[#This Row],[GrossSales]]*tblTransactions[[#This Row],[Discount]]</f>
        <v>0</v>
      </c>
      <c r="O681" s="9">
        <f>tblTransactions[[#This Row],[GrossSales]]-tblTransactions[[#This Row],[DiscountAmount]]</f>
        <v>4198.8999999999996</v>
      </c>
      <c r="P681" s="9">
        <f>_xlfn.XLOOKUP(tblTransactions[[#This Row],[ProductID]],tblProducts[ProductID],tblProducts[UnitCost])</f>
        <v>2920.65</v>
      </c>
      <c r="Q681" s="9">
        <f>tblTransactions[[#This Row],[Quantity]]*tblTransactions[[#This Row],[UnitCost]]</f>
        <v>2920.65</v>
      </c>
      <c r="R681" s="9">
        <f>tblTransactions[[#This Row],[NetRevenue]]-tblTransactions[[#This Row],[TotalCost]]</f>
        <v>1278.2499999999995</v>
      </c>
      <c r="S681" t="str">
        <f>_xlfn.XLOOKUP(tblTransactions[[#This Row],[ProductID]],tblProducts[ProductID],tblProducts[Category])</f>
        <v>Personal Care</v>
      </c>
    </row>
    <row r="682" spans="1:19">
      <c r="A682" t="s">
        <v>16999</v>
      </c>
      <c r="B682" s="1">
        <v>45674</v>
      </c>
      <c r="C682" t="s">
        <v>15183</v>
      </c>
      <c r="D682" t="str">
        <f>_xlfn.XLOOKUP(tblTransactions[[#This Row],[CustomerID]],tblCustomers[CustomerID],tblCustomers[CustomerName])</f>
        <v>Girik Vohra</v>
      </c>
      <c r="E682" t="s">
        <v>16015</v>
      </c>
      <c r="F682" t="str">
        <f>_xlfn.XLOOKUP(tblTransactions[[#This Row],[ProductID]],tblProducts[ProductID],tblProducts[ProductName])</f>
        <v>Electric Kettle C3</v>
      </c>
      <c r="G682" t="s">
        <v>16289</v>
      </c>
      <c r="H682" t="str">
        <f>_xlfn.XLOOKUP(tblTransactions[[#This Row],[StoreID]],tblStores[StoreID],tblStores[Region])</f>
        <v>South</v>
      </c>
      <c r="I682">
        <v>4</v>
      </c>
      <c r="J682">
        <v>0</v>
      </c>
      <c r="K682" t="s">
        <v>16315</v>
      </c>
      <c r="L682" s="9">
        <f>_xlfn.XLOOKUP(tblTransactions[[#This Row],[ProductID]],tblProducts[ProductID],tblProducts[UnitPrice])</f>
        <v>11511.46</v>
      </c>
      <c r="M682" s="9">
        <f>tblTransactions[[#This Row],[Quantity]]*tblTransactions[[#This Row],[UnitPrice]]</f>
        <v>46045.84</v>
      </c>
      <c r="N682" s="9">
        <f>tblTransactions[[#This Row],[GrossSales]]*tblTransactions[[#This Row],[Discount]]</f>
        <v>0</v>
      </c>
      <c r="O682" s="9">
        <f>tblTransactions[[#This Row],[GrossSales]]-tblTransactions[[#This Row],[DiscountAmount]]</f>
        <v>46045.84</v>
      </c>
      <c r="P682" s="9">
        <f>_xlfn.XLOOKUP(tblTransactions[[#This Row],[ProductID]],tblProducts[ProductID],tblProducts[UnitCost])</f>
        <v>9046.98</v>
      </c>
      <c r="Q682" s="9">
        <f>tblTransactions[[#This Row],[Quantity]]*tblTransactions[[#This Row],[UnitCost]]</f>
        <v>36187.919999999998</v>
      </c>
      <c r="R682" s="9">
        <f>tblTransactions[[#This Row],[NetRevenue]]-tblTransactions[[#This Row],[TotalCost]]</f>
        <v>9857.9199999999983</v>
      </c>
      <c r="S682" t="str">
        <f>_xlfn.XLOOKUP(tblTransactions[[#This Row],[ProductID]],tblProducts[ProductID],tblProducts[Category])</f>
        <v>Home &amp; Kitchen</v>
      </c>
    </row>
    <row r="683" spans="1:19">
      <c r="A683" t="s">
        <v>17000</v>
      </c>
      <c r="B683" s="1">
        <v>45677</v>
      </c>
      <c r="C683" t="s">
        <v>1023</v>
      </c>
      <c r="D683" t="str">
        <f>_xlfn.XLOOKUP(tblTransactions[[#This Row],[CustomerID]],tblCustomers[CustomerID],tblCustomers[CustomerName])</f>
        <v>Jalsa Bir</v>
      </c>
      <c r="E683" t="s">
        <v>16219</v>
      </c>
      <c r="F683" t="str">
        <f>_xlfn.XLOOKUP(tblTransactions[[#This Row],[ProductID]],tblProducts[ProductID],tblProducts[ProductName])</f>
        <v>Hair Serum A6</v>
      </c>
      <c r="G683" t="s">
        <v>16285</v>
      </c>
      <c r="H683" t="str">
        <f>_xlfn.XLOOKUP(tblTransactions[[#This Row],[StoreID]],tblStores[StoreID],tblStores[Region])</f>
        <v>West</v>
      </c>
      <c r="I683">
        <v>1</v>
      </c>
      <c r="J683">
        <v>0.1</v>
      </c>
      <c r="K683" t="s">
        <v>16321</v>
      </c>
      <c r="L683" s="9">
        <f>_xlfn.XLOOKUP(tblTransactions[[#This Row],[ProductID]],tblProducts[ProductID],tblProducts[UnitPrice])</f>
        <v>3355.04</v>
      </c>
      <c r="M683" s="9">
        <f>tblTransactions[[#This Row],[Quantity]]*tblTransactions[[#This Row],[UnitPrice]]</f>
        <v>3355.04</v>
      </c>
      <c r="N683" s="9">
        <f>tblTransactions[[#This Row],[GrossSales]]*tblTransactions[[#This Row],[Discount]]</f>
        <v>335.50400000000002</v>
      </c>
      <c r="O683" s="9">
        <f>tblTransactions[[#This Row],[GrossSales]]-tblTransactions[[#This Row],[DiscountAmount]]</f>
        <v>3019.5360000000001</v>
      </c>
      <c r="P683" s="9">
        <f>_xlfn.XLOOKUP(tblTransactions[[#This Row],[ProductID]],tblProducts[ProductID],tblProducts[UnitCost])</f>
        <v>1914.01</v>
      </c>
      <c r="Q683" s="9">
        <f>tblTransactions[[#This Row],[Quantity]]*tblTransactions[[#This Row],[UnitCost]]</f>
        <v>1914.01</v>
      </c>
      <c r="R683" s="9">
        <f>tblTransactions[[#This Row],[NetRevenue]]-tblTransactions[[#This Row],[TotalCost]]</f>
        <v>1105.5260000000001</v>
      </c>
      <c r="S683" t="str">
        <f>_xlfn.XLOOKUP(tblTransactions[[#This Row],[ProductID]],tblProducts[ProductID],tblProducts[Category])</f>
        <v>Personal Care</v>
      </c>
    </row>
    <row r="684" spans="1:19">
      <c r="A684" t="s">
        <v>17001</v>
      </c>
      <c r="B684" s="1">
        <v>45678</v>
      </c>
      <c r="C684" t="s">
        <v>10303</v>
      </c>
      <c r="D684" t="str">
        <f>_xlfn.XLOOKUP(tblTransactions[[#This Row],[CustomerID]],tblCustomers[CustomerID],tblCustomers[CustomerName])</f>
        <v>Yashasvi Divan</v>
      </c>
      <c r="E684" t="s">
        <v>16139</v>
      </c>
      <c r="F684" t="str">
        <f>_xlfn.XLOOKUP(tblTransactions[[#This Row],[ProductID]],tblProducts[ProductID],tblProducts[ProductName])</f>
        <v>Cooking Oil D4</v>
      </c>
      <c r="G684" t="s">
        <v>16285</v>
      </c>
      <c r="H684" t="str">
        <f>_xlfn.XLOOKUP(tblTransactions[[#This Row],[StoreID]],tblStores[StoreID],tblStores[Region])</f>
        <v>West</v>
      </c>
      <c r="I684">
        <v>1</v>
      </c>
      <c r="J684">
        <v>0</v>
      </c>
      <c r="K684" t="s">
        <v>16317</v>
      </c>
      <c r="L684" s="9">
        <f>_xlfn.XLOOKUP(tblTransactions[[#This Row],[ProductID]],tblProducts[ProductID],tblProducts[UnitPrice])</f>
        <v>1233.81</v>
      </c>
      <c r="M684" s="9">
        <f>tblTransactions[[#This Row],[Quantity]]*tblTransactions[[#This Row],[UnitPrice]]</f>
        <v>1233.81</v>
      </c>
      <c r="N684" s="9">
        <f>tblTransactions[[#This Row],[GrossSales]]*tblTransactions[[#This Row],[Discount]]</f>
        <v>0</v>
      </c>
      <c r="O684" s="9">
        <f>tblTransactions[[#This Row],[GrossSales]]-tblTransactions[[#This Row],[DiscountAmount]]</f>
        <v>1233.81</v>
      </c>
      <c r="P684" s="9">
        <f>_xlfn.XLOOKUP(tblTransactions[[#This Row],[ProductID]],tblProducts[ProductID],tblProducts[UnitCost])</f>
        <v>944.94</v>
      </c>
      <c r="Q684" s="9">
        <f>tblTransactions[[#This Row],[Quantity]]*tblTransactions[[#This Row],[UnitCost]]</f>
        <v>944.94</v>
      </c>
      <c r="R684" s="9">
        <f>tblTransactions[[#This Row],[NetRevenue]]-tblTransactions[[#This Row],[TotalCost]]</f>
        <v>288.86999999999989</v>
      </c>
      <c r="S684" t="str">
        <f>_xlfn.XLOOKUP(tblTransactions[[#This Row],[ProductID]],tblProducts[ProductID],tblProducts[Category])</f>
        <v>Grocery</v>
      </c>
    </row>
    <row r="685" spans="1:19">
      <c r="A685" t="s">
        <v>17002</v>
      </c>
      <c r="B685" s="1">
        <v>45680</v>
      </c>
      <c r="C685" t="s">
        <v>6601</v>
      </c>
      <c r="D685" t="str">
        <f>_xlfn.XLOOKUP(tblTransactions[[#This Row],[CustomerID]],tblCustomers[CustomerID],tblCustomers[CustomerName])</f>
        <v>Sathvik Wable</v>
      </c>
      <c r="E685" t="s">
        <v>16228</v>
      </c>
      <c r="F685" t="str">
        <f>_xlfn.XLOOKUP(tblTransactions[[#This Row],[ProductID]],tblProducts[ProductID],tblProducts[ProductName])</f>
        <v>Deodorant C3</v>
      </c>
      <c r="G685" t="s">
        <v>16291</v>
      </c>
      <c r="H685" t="str">
        <f>_xlfn.XLOOKUP(tblTransactions[[#This Row],[StoreID]],tblStores[StoreID],tblStores[Region])</f>
        <v>South</v>
      </c>
      <c r="I685">
        <v>2</v>
      </c>
      <c r="J685">
        <v>0.1</v>
      </c>
      <c r="K685" t="s">
        <v>16325</v>
      </c>
      <c r="L685" s="9">
        <f>_xlfn.XLOOKUP(tblTransactions[[#This Row],[ProductID]],tblProducts[ProductID],tblProducts[UnitPrice])</f>
        <v>731.65</v>
      </c>
      <c r="M685" s="9">
        <f>tblTransactions[[#This Row],[Quantity]]*tblTransactions[[#This Row],[UnitPrice]]</f>
        <v>1463.3</v>
      </c>
      <c r="N685" s="9">
        <f>tblTransactions[[#This Row],[GrossSales]]*tblTransactions[[#This Row],[Discount]]</f>
        <v>146.33000000000001</v>
      </c>
      <c r="O685" s="9">
        <f>tblTransactions[[#This Row],[GrossSales]]-tblTransactions[[#This Row],[DiscountAmount]]</f>
        <v>1316.97</v>
      </c>
      <c r="P685" s="9">
        <f>_xlfn.XLOOKUP(tblTransactions[[#This Row],[ProductID]],tblProducts[ProductID],tblProducts[UnitCost])</f>
        <v>591.33000000000004</v>
      </c>
      <c r="Q685" s="9">
        <f>tblTransactions[[#This Row],[Quantity]]*tblTransactions[[#This Row],[UnitCost]]</f>
        <v>1182.6600000000001</v>
      </c>
      <c r="R685" s="9">
        <f>tblTransactions[[#This Row],[NetRevenue]]-tblTransactions[[#This Row],[TotalCost]]</f>
        <v>134.30999999999995</v>
      </c>
      <c r="S685" t="str">
        <f>_xlfn.XLOOKUP(tblTransactions[[#This Row],[ProductID]],tblProducts[ProductID],tblProducts[Category])</f>
        <v>Personal Care</v>
      </c>
    </row>
    <row r="686" spans="1:19">
      <c r="A686" t="s">
        <v>17003</v>
      </c>
      <c r="B686" s="1">
        <v>45681</v>
      </c>
      <c r="C686" t="s">
        <v>13701</v>
      </c>
      <c r="D686" t="str">
        <f>_xlfn.XLOOKUP(tblTransactions[[#This Row],[CustomerID]],tblCustomers[CustomerID],tblCustomers[CustomerName])</f>
        <v>Dayita Chana</v>
      </c>
      <c r="E686" t="s">
        <v>16036</v>
      </c>
      <c r="F686" t="str">
        <f>_xlfn.XLOOKUP(tblTransactions[[#This Row],[ProductID]],tblProducts[ProductID],tblProducts[ProductName])</f>
        <v>Bookshelf A6</v>
      </c>
      <c r="G686" t="s">
        <v>16287</v>
      </c>
      <c r="H686" t="str">
        <f>_xlfn.XLOOKUP(tblTransactions[[#This Row],[StoreID]],tblStores[StoreID],tblStores[Region])</f>
        <v>North</v>
      </c>
      <c r="I686">
        <v>2</v>
      </c>
      <c r="J686">
        <v>0</v>
      </c>
      <c r="K686" t="s">
        <v>16321</v>
      </c>
      <c r="L686" s="9">
        <f>_xlfn.XLOOKUP(tblTransactions[[#This Row],[ProductID]],tblProducts[ProductID],tblProducts[UnitPrice])</f>
        <v>23736.31</v>
      </c>
      <c r="M686" s="9">
        <f>tblTransactions[[#This Row],[Quantity]]*tblTransactions[[#This Row],[UnitPrice]]</f>
        <v>47472.62</v>
      </c>
      <c r="N686" s="9">
        <f>tblTransactions[[#This Row],[GrossSales]]*tblTransactions[[#This Row],[Discount]]</f>
        <v>0</v>
      </c>
      <c r="O686" s="9">
        <f>tblTransactions[[#This Row],[GrossSales]]-tblTransactions[[#This Row],[DiscountAmount]]</f>
        <v>47472.62</v>
      </c>
      <c r="P686" s="9">
        <f>_xlfn.XLOOKUP(tblTransactions[[#This Row],[ProductID]],tblProducts[ProductID],tblProducts[UnitCost])</f>
        <v>13874.86</v>
      </c>
      <c r="Q686" s="9">
        <f>tblTransactions[[#This Row],[Quantity]]*tblTransactions[[#This Row],[UnitCost]]</f>
        <v>27749.72</v>
      </c>
      <c r="R686" s="9">
        <f>tblTransactions[[#This Row],[NetRevenue]]-tblTransactions[[#This Row],[TotalCost]]</f>
        <v>19722.900000000001</v>
      </c>
      <c r="S686" t="str">
        <f>_xlfn.XLOOKUP(tblTransactions[[#This Row],[ProductID]],tblProducts[ProductID],tblProducts[Category])</f>
        <v>Home &amp; Kitchen</v>
      </c>
    </row>
    <row r="687" spans="1:19">
      <c r="A687" t="s">
        <v>17004</v>
      </c>
      <c r="B687" s="1">
        <v>45682</v>
      </c>
      <c r="C687" t="s">
        <v>15725</v>
      </c>
      <c r="D687" t="str">
        <f>_xlfn.XLOOKUP(tblTransactions[[#This Row],[CustomerID]],tblCustomers[CustomerID],tblCustomers[CustomerName])</f>
        <v>Pranit Lad</v>
      </c>
      <c r="E687" t="s">
        <v>16236</v>
      </c>
      <c r="F687" t="str">
        <f>_xlfn.XLOOKUP(tblTransactions[[#This Row],[ProductID]],tblProducts[ProductID],tblProducts[ProductName])</f>
        <v>Body Lotion B7</v>
      </c>
      <c r="G687" t="s">
        <v>16256</v>
      </c>
      <c r="H687" t="str">
        <f>_xlfn.XLOOKUP(tblTransactions[[#This Row],[StoreID]],tblStores[StoreID],tblStores[Region])</f>
        <v>East</v>
      </c>
      <c r="I687">
        <v>4</v>
      </c>
      <c r="J687">
        <v>0.1</v>
      </c>
      <c r="K687" t="s">
        <v>16321</v>
      </c>
      <c r="L687" s="9">
        <f>_xlfn.XLOOKUP(tblTransactions[[#This Row],[ProductID]],tblProducts[ProductID],tblProducts[UnitPrice])</f>
        <v>4198.8999999999996</v>
      </c>
      <c r="M687" s="9">
        <f>tblTransactions[[#This Row],[Quantity]]*tblTransactions[[#This Row],[UnitPrice]]</f>
        <v>16795.599999999999</v>
      </c>
      <c r="N687" s="9">
        <f>tblTransactions[[#This Row],[GrossSales]]*tblTransactions[[#This Row],[Discount]]</f>
        <v>1679.56</v>
      </c>
      <c r="O687" s="9">
        <f>tblTransactions[[#This Row],[GrossSales]]-tblTransactions[[#This Row],[DiscountAmount]]</f>
        <v>15116.039999999999</v>
      </c>
      <c r="P687" s="9">
        <f>_xlfn.XLOOKUP(tblTransactions[[#This Row],[ProductID]],tblProducts[ProductID],tblProducts[UnitCost])</f>
        <v>2920.65</v>
      </c>
      <c r="Q687" s="9">
        <f>tblTransactions[[#This Row],[Quantity]]*tblTransactions[[#This Row],[UnitCost]]</f>
        <v>11682.6</v>
      </c>
      <c r="R687" s="9">
        <f>tblTransactions[[#This Row],[NetRevenue]]-tblTransactions[[#This Row],[TotalCost]]</f>
        <v>3433.4399999999987</v>
      </c>
      <c r="S687" t="str">
        <f>_xlfn.XLOOKUP(tblTransactions[[#This Row],[ProductID]],tblProducts[ProductID],tblProducts[Category])</f>
        <v>Personal Care</v>
      </c>
    </row>
    <row r="688" spans="1:19">
      <c r="A688" t="s">
        <v>17005</v>
      </c>
      <c r="B688" s="1">
        <v>45683</v>
      </c>
      <c r="C688" t="s">
        <v>6304</v>
      </c>
      <c r="D688" t="str">
        <f>_xlfn.XLOOKUP(tblTransactions[[#This Row],[CustomerID]],tblCustomers[CustomerID],tblCustomers[CustomerName])</f>
        <v>Vedika Kala</v>
      </c>
      <c r="E688" t="s">
        <v>15967</v>
      </c>
      <c r="F688" t="str">
        <f>_xlfn.XLOOKUP(tblTransactions[[#This Row],[ProductID]],tblProducts[ProductID],tblProducts[ProductName])</f>
        <v>Student Laptop C3</v>
      </c>
      <c r="G688" t="s">
        <v>16297</v>
      </c>
      <c r="H688" t="str">
        <f>_xlfn.XLOOKUP(tblTransactions[[#This Row],[StoreID]],tblStores[StoreID],tblStores[Region])</f>
        <v>North</v>
      </c>
      <c r="I688">
        <v>1</v>
      </c>
      <c r="J688">
        <v>0.1</v>
      </c>
      <c r="K688" t="s">
        <v>16315</v>
      </c>
      <c r="L688" s="9">
        <f>_xlfn.XLOOKUP(tblTransactions[[#This Row],[ProductID]],tblProducts[ProductID],tblProducts[UnitPrice])</f>
        <v>12552.69</v>
      </c>
      <c r="M688" s="9">
        <f>tblTransactions[[#This Row],[Quantity]]*tblTransactions[[#This Row],[UnitPrice]]</f>
        <v>12552.69</v>
      </c>
      <c r="N688" s="9">
        <f>tblTransactions[[#This Row],[GrossSales]]*tblTransactions[[#This Row],[Discount]]</f>
        <v>1255.2690000000002</v>
      </c>
      <c r="O688" s="9">
        <f>tblTransactions[[#This Row],[GrossSales]]-tblTransactions[[#This Row],[DiscountAmount]]</f>
        <v>11297.421</v>
      </c>
      <c r="P688" s="9">
        <f>_xlfn.XLOOKUP(tblTransactions[[#This Row],[ProductID]],tblProducts[ProductID],tblProducts[UnitCost])</f>
        <v>8737.9</v>
      </c>
      <c r="Q688" s="9">
        <f>tblTransactions[[#This Row],[Quantity]]*tblTransactions[[#This Row],[UnitCost]]</f>
        <v>8737.9</v>
      </c>
      <c r="R688" s="9">
        <f>tblTransactions[[#This Row],[NetRevenue]]-tblTransactions[[#This Row],[TotalCost]]</f>
        <v>2559.5210000000006</v>
      </c>
      <c r="S688" t="str">
        <f>_xlfn.XLOOKUP(tblTransactions[[#This Row],[ProductID]],tblProducts[ProductID],tblProducts[Category])</f>
        <v>Electronics</v>
      </c>
    </row>
    <row r="689" spans="1:19">
      <c r="A689" t="s">
        <v>17006</v>
      </c>
      <c r="B689" s="1">
        <v>45685</v>
      </c>
      <c r="C689" t="s">
        <v>5167</v>
      </c>
      <c r="D689" t="str">
        <f>_xlfn.XLOOKUP(tblTransactions[[#This Row],[CustomerID]],tblCustomers[CustomerID],tblCustomers[CustomerName])</f>
        <v>Tanmayi Khatri</v>
      </c>
      <c r="E689" t="s">
        <v>15992</v>
      </c>
      <c r="F689" t="str">
        <f>_xlfn.XLOOKUP(tblTransactions[[#This Row],[ProductID]],tblProducts[ProductID],tblProducts[ProductName])</f>
        <v>Wireless Headphones B7</v>
      </c>
      <c r="G689" t="s">
        <v>16303</v>
      </c>
      <c r="H689" t="str">
        <f>_xlfn.XLOOKUP(tblTransactions[[#This Row],[StoreID]],tblStores[StoreID],tblStores[Region])</f>
        <v>West</v>
      </c>
      <c r="I689">
        <v>1</v>
      </c>
      <c r="J689">
        <v>0</v>
      </c>
      <c r="K689" t="s">
        <v>16317</v>
      </c>
      <c r="L689" s="9">
        <f>_xlfn.XLOOKUP(tblTransactions[[#This Row],[ProductID]],tblProducts[ProductID],tblProducts[UnitPrice])</f>
        <v>52596.38</v>
      </c>
      <c r="M689" s="9">
        <f>tblTransactions[[#This Row],[Quantity]]*tblTransactions[[#This Row],[UnitPrice]]</f>
        <v>52596.38</v>
      </c>
      <c r="N689" s="9">
        <f>tblTransactions[[#This Row],[GrossSales]]*tblTransactions[[#This Row],[Discount]]</f>
        <v>0</v>
      </c>
      <c r="O689" s="9">
        <f>tblTransactions[[#This Row],[GrossSales]]-tblTransactions[[#This Row],[DiscountAmount]]</f>
        <v>52596.38</v>
      </c>
      <c r="P689" s="9">
        <f>_xlfn.XLOOKUP(tblTransactions[[#This Row],[ProductID]],tblProducts[ProductID],tblProducts[UnitCost])</f>
        <v>36028.78</v>
      </c>
      <c r="Q689" s="9">
        <f>tblTransactions[[#This Row],[Quantity]]*tblTransactions[[#This Row],[UnitCost]]</f>
        <v>36028.78</v>
      </c>
      <c r="R689" s="9">
        <f>tblTransactions[[#This Row],[NetRevenue]]-tblTransactions[[#This Row],[TotalCost]]</f>
        <v>16567.599999999999</v>
      </c>
      <c r="S689" t="str">
        <f>_xlfn.XLOOKUP(tblTransactions[[#This Row],[ProductID]],tblProducts[ProductID],tblProducts[Category])</f>
        <v>Electronics</v>
      </c>
    </row>
    <row r="690" spans="1:19">
      <c r="A690" t="s">
        <v>17007</v>
      </c>
      <c r="B690" s="1">
        <v>45687</v>
      </c>
      <c r="C690" t="s">
        <v>15233</v>
      </c>
      <c r="D690" t="str">
        <f>_xlfn.XLOOKUP(tblTransactions[[#This Row],[CustomerID]],tblCustomers[CustomerID],tblCustomers[CustomerName])</f>
        <v>Sathvik Barad</v>
      </c>
      <c r="E690" t="s">
        <v>16121</v>
      </c>
      <c r="F690" t="str">
        <f>_xlfn.XLOOKUP(tblTransactions[[#This Row],[ProductID]],tblProducts[ProductID],tblProducts[ProductName])</f>
        <v>Sandals C3</v>
      </c>
      <c r="G690" t="s">
        <v>16295</v>
      </c>
      <c r="H690" t="str">
        <f>_xlfn.XLOOKUP(tblTransactions[[#This Row],[StoreID]],tblStores[StoreID],tblStores[Region])</f>
        <v>South</v>
      </c>
      <c r="I690">
        <v>1</v>
      </c>
      <c r="J690">
        <v>0.05</v>
      </c>
      <c r="K690" t="s">
        <v>16315</v>
      </c>
      <c r="L690" s="9">
        <f>_xlfn.XLOOKUP(tblTransactions[[#This Row],[ProductID]],tblProducts[ProductID],tblProducts[UnitPrice])</f>
        <v>6708.36</v>
      </c>
      <c r="M690" s="9">
        <f>tblTransactions[[#This Row],[Quantity]]*tblTransactions[[#This Row],[UnitPrice]]</f>
        <v>6708.36</v>
      </c>
      <c r="N690" s="9">
        <f>tblTransactions[[#This Row],[GrossSales]]*tblTransactions[[#This Row],[Discount]]</f>
        <v>335.41800000000001</v>
      </c>
      <c r="O690" s="9">
        <f>tblTransactions[[#This Row],[GrossSales]]-tblTransactions[[#This Row],[DiscountAmount]]</f>
        <v>6372.942</v>
      </c>
      <c r="P690" s="9">
        <f>_xlfn.XLOOKUP(tblTransactions[[#This Row],[ProductID]],tblProducts[ProductID],tblProducts[UnitCost])</f>
        <v>5031.45</v>
      </c>
      <c r="Q690" s="9">
        <f>tblTransactions[[#This Row],[Quantity]]*tblTransactions[[#This Row],[UnitCost]]</f>
        <v>5031.45</v>
      </c>
      <c r="R690" s="9">
        <f>tblTransactions[[#This Row],[NetRevenue]]-tblTransactions[[#This Row],[TotalCost]]</f>
        <v>1341.4920000000002</v>
      </c>
      <c r="S690" t="str">
        <f>_xlfn.XLOOKUP(tblTransactions[[#This Row],[ProductID]],tblProducts[ProductID],tblProducts[Category])</f>
        <v>Clothing</v>
      </c>
    </row>
    <row r="691" spans="1:19">
      <c r="A691" t="s">
        <v>17008</v>
      </c>
      <c r="B691" s="1">
        <v>45687</v>
      </c>
      <c r="C691" t="s">
        <v>6999</v>
      </c>
      <c r="D691" t="str">
        <f>_xlfn.XLOOKUP(tblTransactions[[#This Row],[CustomerID]],tblCustomers[CustomerID],tblCustomers[CustomerName])</f>
        <v>Amara Nagar</v>
      </c>
      <c r="E691" t="s">
        <v>16091</v>
      </c>
      <c r="F691" t="str">
        <f>_xlfn.XLOOKUP(tblTransactions[[#This Row],[ProductID]],tblProducts[ProductID],tblProducts[ProductName])</f>
        <v>Women's Jacket C3</v>
      </c>
      <c r="G691" t="s">
        <v>16265</v>
      </c>
      <c r="H691" t="str">
        <f>_xlfn.XLOOKUP(tblTransactions[[#This Row],[StoreID]],tblStores[StoreID],tblStores[Region])</f>
        <v>North</v>
      </c>
      <c r="I691">
        <v>1</v>
      </c>
      <c r="J691">
        <v>0.05</v>
      </c>
      <c r="K691" t="s">
        <v>16317</v>
      </c>
      <c r="L691" s="9">
        <f>_xlfn.XLOOKUP(tblTransactions[[#This Row],[ProductID]],tblProducts[ProductID],tblProducts[UnitPrice])</f>
        <v>3661.03</v>
      </c>
      <c r="M691" s="9">
        <f>tblTransactions[[#This Row],[Quantity]]*tblTransactions[[#This Row],[UnitPrice]]</f>
        <v>3661.03</v>
      </c>
      <c r="N691" s="9">
        <f>tblTransactions[[#This Row],[GrossSales]]*tblTransactions[[#This Row],[Discount]]</f>
        <v>183.05150000000003</v>
      </c>
      <c r="O691" s="9">
        <f>tblTransactions[[#This Row],[GrossSales]]-tblTransactions[[#This Row],[DiscountAmount]]</f>
        <v>3477.9785000000002</v>
      </c>
      <c r="P691" s="9">
        <f>_xlfn.XLOOKUP(tblTransactions[[#This Row],[ProductID]],tblProducts[ProductID],tblProducts[UnitCost])</f>
        <v>2588.56</v>
      </c>
      <c r="Q691" s="9">
        <f>tblTransactions[[#This Row],[Quantity]]*tblTransactions[[#This Row],[UnitCost]]</f>
        <v>2588.56</v>
      </c>
      <c r="R691" s="9">
        <f>tblTransactions[[#This Row],[NetRevenue]]-tblTransactions[[#This Row],[TotalCost]]</f>
        <v>889.41850000000022</v>
      </c>
      <c r="S691" t="str">
        <f>_xlfn.XLOOKUP(tblTransactions[[#This Row],[ProductID]],tblProducts[ProductID],tblProducts[Category])</f>
        <v>Clothing</v>
      </c>
    </row>
    <row r="692" spans="1:19">
      <c r="A692" t="s">
        <v>17009</v>
      </c>
      <c r="B692" s="1">
        <v>45688</v>
      </c>
      <c r="C692" t="s">
        <v>11686</v>
      </c>
      <c r="D692" t="str">
        <f>_xlfn.XLOOKUP(tblTransactions[[#This Row],[CustomerID]],tblCustomers[CustomerID],tblCustomers[CustomerName])</f>
        <v>Fariq Patla</v>
      </c>
      <c r="E692" t="s">
        <v>16005</v>
      </c>
      <c r="F692" t="str">
        <f>_xlfn.XLOOKUP(tblTransactions[[#This Row],[ProductID]],tblProducts[ProductID],tblProducts[ProductName])</f>
        <v>Wireless Charger A6</v>
      </c>
      <c r="G692" t="s">
        <v>16281</v>
      </c>
      <c r="H692" t="str">
        <f>_xlfn.XLOOKUP(tblTransactions[[#This Row],[StoreID]],tblStores[StoreID],tblStores[Region])</f>
        <v>West</v>
      </c>
      <c r="I692">
        <v>1</v>
      </c>
      <c r="J692">
        <v>0.05</v>
      </c>
      <c r="K692" t="s">
        <v>16315</v>
      </c>
      <c r="L692" s="9">
        <f>_xlfn.XLOOKUP(tblTransactions[[#This Row],[ProductID]],tblProducts[ProductID],tblProducts[UnitPrice])</f>
        <v>78938.720000000001</v>
      </c>
      <c r="M692" s="9">
        <f>tblTransactions[[#This Row],[Quantity]]*tblTransactions[[#This Row],[UnitPrice]]</f>
        <v>78938.720000000001</v>
      </c>
      <c r="N692" s="9">
        <f>tblTransactions[[#This Row],[GrossSales]]*tblTransactions[[#This Row],[Discount]]</f>
        <v>3946.9360000000001</v>
      </c>
      <c r="O692" s="9">
        <f>tblTransactions[[#This Row],[GrossSales]]-tblTransactions[[#This Row],[DiscountAmount]]</f>
        <v>74991.784</v>
      </c>
      <c r="P692" s="9">
        <f>_xlfn.XLOOKUP(tblTransactions[[#This Row],[ProductID]],tblProducts[ProductID],tblProducts[UnitCost])</f>
        <v>53801.63</v>
      </c>
      <c r="Q692" s="9">
        <f>tblTransactions[[#This Row],[Quantity]]*tblTransactions[[#This Row],[UnitCost]]</f>
        <v>53801.63</v>
      </c>
      <c r="R692" s="9">
        <f>tblTransactions[[#This Row],[NetRevenue]]-tblTransactions[[#This Row],[TotalCost]]</f>
        <v>21190.154000000002</v>
      </c>
      <c r="S692" t="str">
        <f>_xlfn.XLOOKUP(tblTransactions[[#This Row],[ProductID]],tblProducts[ProductID],tblProducts[Category])</f>
        <v>Electronics</v>
      </c>
    </row>
    <row r="693" spans="1:19">
      <c r="A693" t="s">
        <v>17010</v>
      </c>
      <c r="B693" s="1">
        <v>45690</v>
      </c>
      <c r="C693" t="s">
        <v>15416</v>
      </c>
      <c r="D693" t="str">
        <f>_xlfn.XLOOKUP(tblTransactions[[#This Row],[CustomerID]],tblCustomers[CustomerID],tblCustomers[CustomerName])</f>
        <v>Eta Devi</v>
      </c>
      <c r="E693" t="s">
        <v>15952</v>
      </c>
      <c r="F693" t="str">
        <f>_xlfn.XLOOKUP(tblTransactions[[#This Row],[ProductID]],tblProducts[ProductID],tblProducts[ProductName])</f>
        <v>Premium Smartphone D4</v>
      </c>
      <c r="G693" t="s">
        <v>16269</v>
      </c>
      <c r="H693" t="str">
        <f>_xlfn.XLOOKUP(tblTransactions[[#This Row],[StoreID]],tblStores[StoreID],tblStores[Region])</f>
        <v>North</v>
      </c>
      <c r="I693">
        <v>3</v>
      </c>
      <c r="J693">
        <v>0.05</v>
      </c>
      <c r="K693" t="s">
        <v>16319</v>
      </c>
      <c r="L693" s="9">
        <f>_xlfn.XLOOKUP(tblTransactions[[#This Row],[ProductID]],tblProducts[ProductID],tblProducts[UnitPrice])</f>
        <v>50139.94</v>
      </c>
      <c r="M693" s="9">
        <f>tblTransactions[[#This Row],[Quantity]]*tblTransactions[[#This Row],[UnitPrice]]</f>
        <v>150419.82</v>
      </c>
      <c r="N693" s="9">
        <f>tblTransactions[[#This Row],[GrossSales]]*tblTransactions[[#This Row],[Discount]]</f>
        <v>7520.9910000000009</v>
      </c>
      <c r="O693" s="9">
        <f>tblTransactions[[#This Row],[GrossSales]]-tblTransactions[[#This Row],[DiscountAmount]]</f>
        <v>142898.829</v>
      </c>
      <c r="P693" s="9">
        <f>_xlfn.XLOOKUP(tblTransactions[[#This Row],[ProductID]],tblProducts[ProductID],tblProducts[UnitCost])</f>
        <v>37762.71</v>
      </c>
      <c r="Q693" s="9">
        <f>tblTransactions[[#This Row],[Quantity]]*tblTransactions[[#This Row],[UnitCost]]</f>
        <v>113288.13</v>
      </c>
      <c r="R693" s="9">
        <f>tblTransactions[[#This Row],[NetRevenue]]-tblTransactions[[#This Row],[TotalCost]]</f>
        <v>29610.698999999993</v>
      </c>
      <c r="S693" t="str">
        <f>_xlfn.XLOOKUP(tblTransactions[[#This Row],[ProductID]],tblProducts[ProductID],tblProducts[Category])</f>
        <v>Electronics</v>
      </c>
    </row>
    <row r="694" spans="1:19">
      <c r="A694" t="s">
        <v>17011</v>
      </c>
      <c r="B694" s="1">
        <v>45694</v>
      </c>
      <c r="C694" t="s">
        <v>1927</v>
      </c>
      <c r="D694" t="str">
        <f>_xlfn.XLOOKUP(tblTransactions[[#This Row],[CustomerID]],tblCustomers[CustomerID],tblCustomers[CustomerName])</f>
        <v>Daksha Kibe</v>
      </c>
      <c r="E694" t="s">
        <v>16192</v>
      </c>
      <c r="F694" t="str">
        <f>_xlfn.XLOOKUP(tblTransactions[[#This Row],[ProductID]],tblProducts[ProductID],tblProducts[ProductName])</f>
        <v>Face Cream A1</v>
      </c>
      <c r="G694" t="s">
        <v>16303</v>
      </c>
      <c r="H694" t="str">
        <f>_xlfn.XLOOKUP(tblTransactions[[#This Row],[StoreID]],tblStores[StoreID],tblStores[Region])</f>
        <v>West</v>
      </c>
      <c r="I694">
        <v>1</v>
      </c>
      <c r="J694">
        <v>0.05</v>
      </c>
      <c r="K694" t="s">
        <v>16321</v>
      </c>
      <c r="L694" s="9">
        <f>_xlfn.XLOOKUP(tblTransactions[[#This Row],[ProductID]],tblProducts[ProductID],tblProducts[UnitPrice])</f>
        <v>1666.93</v>
      </c>
      <c r="M694" s="9">
        <f>tblTransactions[[#This Row],[Quantity]]*tblTransactions[[#This Row],[UnitPrice]]</f>
        <v>1666.93</v>
      </c>
      <c r="N694" s="9">
        <f>tblTransactions[[#This Row],[GrossSales]]*tblTransactions[[#This Row],[Discount]]</f>
        <v>83.346500000000006</v>
      </c>
      <c r="O694" s="9">
        <f>tblTransactions[[#This Row],[GrossSales]]-tblTransactions[[#This Row],[DiscountAmount]]</f>
        <v>1583.5835</v>
      </c>
      <c r="P694" s="9">
        <f>_xlfn.XLOOKUP(tblTransactions[[#This Row],[ProductID]],tblProducts[ProductID],tblProducts[UnitCost])</f>
        <v>983.54</v>
      </c>
      <c r="Q694" s="9">
        <f>tblTransactions[[#This Row],[Quantity]]*tblTransactions[[#This Row],[UnitCost]]</f>
        <v>983.54</v>
      </c>
      <c r="R694" s="9">
        <f>tblTransactions[[#This Row],[NetRevenue]]-tblTransactions[[#This Row],[TotalCost]]</f>
        <v>600.04349999999999</v>
      </c>
      <c r="S694" t="str">
        <f>_xlfn.XLOOKUP(tblTransactions[[#This Row],[ProductID]],tblProducts[ProductID],tblProducts[Category])</f>
        <v>Personal Care</v>
      </c>
    </row>
    <row r="695" spans="1:19">
      <c r="A695" t="s">
        <v>17012</v>
      </c>
      <c r="B695" s="1">
        <v>45695</v>
      </c>
      <c r="C695" t="s">
        <v>5950</v>
      </c>
      <c r="D695" t="str">
        <f>_xlfn.XLOOKUP(tblTransactions[[#This Row],[CustomerID]],tblCustomers[CustomerID],tblCustomers[CustomerName])</f>
        <v>Yashvi Sane</v>
      </c>
      <c r="E695" t="s">
        <v>16160</v>
      </c>
      <c r="F695" t="str">
        <f>_xlfn.XLOOKUP(tblTransactions[[#This Row],[ProductID]],tblProducts[ProductID],tblProducts[ProductName])</f>
        <v>Namkeen B7</v>
      </c>
      <c r="G695" t="s">
        <v>16289</v>
      </c>
      <c r="H695" t="str">
        <f>_xlfn.XLOOKUP(tblTransactions[[#This Row],[StoreID]],tblStores[StoreID],tblStores[Region])</f>
        <v>South</v>
      </c>
      <c r="I695">
        <v>1</v>
      </c>
      <c r="J695">
        <v>0</v>
      </c>
      <c r="K695" t="s">
        <v>16321</v>
      </c>
      <c r="L695" s="9">
        <f>_xlfn.XLOOKUP(tblTransactions[[#This Row],[ProductID]],tblProducts[ProductID],tblProducts[UnitPrice])</f>
        <v>1123.58</v>
      </c>
      <c r="M695" s="9">
        <f>tblTransactions[[#This Row],[Quantity]]*tblTransactions[[#This Row],[UnitPrice]]</f>
        <v>1123.58</v>
      </c>
      <c r="N695" s="9">
        <f>tblTransactions[[#This Row],[GrossSales]]*tblTransactions[[#This Row],[Discount]]</f>
        <v>0</v>
      </c>
      <c r="O695" s="9">
        <f>tblTransactions[[#This Row],[GrossSales]]-tblTransactions[[#This Row],[DiscountAmount]]</f>
        <v>1123.58</v>
      </c>
      <c r="P695" s="9">
        <f>_xlfn.XLOOKUP(tblTransactions[[#This Row],[ProductID]],tblProducts[ProductID],tblProducts[UnitCost])</f>
        <v>665.75</v>
      </c>
      <c r="Q695" s="9">
        <f>tblTransactions[[#This Row],[Quantity]]*tblTransactions[[#This Row],[UnitCost]]</f>
        <v>665.75</v>
      </c>
      <c r="R695" s="9">
        <f>tblTransactions[[#This Row],[NetRevenue]]-tblTransactions[[#This Row],[TotalCost]]</f>
        <v>457.82999999999993</v>
      </c>
      <c r="S695" t="str">
        <f>_xlfn.XLOOKUP(tblTransactions[[#This Row],[ProductID]],tblProducts[ProductID],tblProducts[Category])</f>
        <v>Grocery</v>
      </c>
    </row>
    <row r="696" spans="1:19">
      <c r="A696" t="s">
        <v>17013</v>
      </c>
      <c r="B696" s="1">
        <v>45696</v>
      </c>
      <c r="C696" t="s">
        <v>924</v>
      </c>
      <c r="D696" t="str">
        <f>_xlfn.XLOOKUP(tblTransactions[[#This Row],[CustomerID]],tblCustomers[CustomerID],tblCustomers[CustomerName])</f>
        <v>Reva Viswanathan</v>
      </c>
      <c r="E696" t="s">
        <v>15988</v>
      </c>
      <c r="F696" t="str">
        <f>_xlfn.XLOOKUP(tblTransactions[[#This Row],[ProductID]],tblProducts[ProductID],tblProducts[ProductName])</f>
        <v>Soundbar E5</v>
      </c>
      <c r="G696" t="s">
        <v>16293</v>
      </c>
      <c r="H696" t="str">
        <f>_xlfn.XLOOKUP(tblTransactions[[#This Row],[StoreID]],tblStores[StoreID],tblStores[Region])</f>
        <v>South</v>
      </c>
      <c r="I696">
        <v>3</v>
      </c>
      <c r="J696">
        <v>0.1</v>
      </c>
      <c r="K696" t="s">
        <v>16317</v>
      </c>
      <c r="L696" s="9">
        <f>_xlfn.XLOOKUP(tblTransactions[[#This Row],[ProductID]],tblProducts[ProductID],tblProducts[UnitPrice])</f>
        <v>51647.41</v>
      </c>
      <c r="M696" s="9">
        <f>tblTransactions[[#This Row],[Quantity]]*tblTransactions[[#This Row],[UnitPrice]]</f>
        <v>154942.23000000001</v>
      </c>
      <c r="N696" s="9">
        <f>tblTransactions[[#This Row],[GrossSales]]*tblTransactions[[#This Row],[Discount]]</f>
        <v>15494.223000000002</v>
      </c>
      <c r="O696" s="9">
        <f>tblTransactions[[#This Row],[GrossSales]]-tblTransactions[[#This Row],[DiscountAmount]]</f>
        <v>139448.00700000001</v>
      </c>
      <c r="P696" s="9">
        <f>_xlfn.XLOOKUP(tblTransactions[[#This Row],[ProductID]],tblProducts[ProductID],tblProducts[UnitCost])</f>
        <v>43564.65</v>
      </c>
      <c r="Q696" s="9">
        <f>tblTransactions[[#This Row],[Quantity]]*tblTransactions[[#This Row],[UnitCost]]</f>
        <v>130693.95000000001</v>
      </c>
      <c r="R696" s="9">
        <f>tblTransactions[[#This Row],[NetRevenue]]-tblTransactions[[#This Row],[TotalCost]]</f>
        <v>8754.0570000000007</v>
      </c>
      <c r="S696" t="str">
        <f>_xlfn.XLOOKUP(tblTransactions[[#This Row],[ProductID]],tblProducts[ProductID],tblProducts[Category])</f>
        <v>Electronics</v>
      </c>
    </row>
    <row r="697" spans="1:19">
      <c r="A697" t="s">
        <v>17014</v>
      </c>
      <c r="B697" s="1">
        <v>45696</v>
      </c>
      <c r="C697" t="s">
        <v>10623</v>
      </c>
      <c r="D697" t="str">
        <f>_xlfn.XLOOKUP(tblTransactions[[#This Row],[CustomerID]],tblCustomers[CustomerID],tblCustomers[CustomerName])</f>
        <v>Tanmayi Barad</v>
      </c>
      <c r="E697" t="s">
        <v>15956</v>
      </c>
      <c r="F697" t="str">
        <f>_xlfn.XLOOKUP(tblTransactions[[#This Row],[ProductID]],tblProducts[ProductID],tblProducts[ProductName])</f>
        <v>Budget Smartphone A6</v>
      </c>
      <c r="G697" t="s">
        <v>16291</v>
      </c>
      <c r="H697" t="str">
        <f>_xlfn.XLOOKUP(tblTransactions[[#This Row],[StoreID]],tblStores[StoreID],tblStores[Region])</f>
        <v>South</v>
      </c>
      <c r="I697">
        <v>1</v>
      </c>
      <c r="J697">
        <v>0.1</v>
      </c>
      <c r="K697" t="s">
        <v>16317</v>
      </c>
      <c r="L697" s="9">
        <f>_xlfn.XLOOKUP(tblTransactions[[#This Row],[ProductID]],tblProducts[ProductID],tblProducts[UnitPrice])</f>
        <v>9246.34</v>
      </c>
      <c r="M697" s="9">
        <f>tblTransactions[[#This Row],[Quantity]]*tblTransactions[[#This Row],[UnitPrice]]</f>
        <v>9246.34</v>
      </c>
      <c r="N697" s="9">
        <f>tblTransactions[[#This Row],[GrossSales]]*tblTransactions[[#This Row],[Discount]]</f>
        <v>924.63400000000001</v>
      </c>
      <c r="O697" s="9">
        <f>tblTransactions[[#This Row],[GrossSales]]-tblTransactions[[#This Row],[DiscountAmount]]</f>
        <v>8321.7060000000001</v>
      </c>
      <c r="P697" s="9">
        <f>_xlfn.XLOOKUP(tblTransactions[[#This Row],[ProductID]],tblProducts[ProductID],tblProducts[UnitCost])</f>
        <v>7613.27</v>
      </c>
      <c r="Q697" s="9">
        <f>tblTransactions[[#This Row],[Quantity]]*tblTransactions[[#This Row],[UnitCost]]</f>
        <v>7613.27</v>
      </c>
      <c r="R697" s="9">
        <f>tblTransactions[[#This Row],[NetRevenue]]-tblTransactions[[#This Row],[TotalCost]]</f>
        <v>708.43599999999969</v>
      </c>
      <c r="S697" t="str">
        <f>_xlfn.XLOOKUP(tblTransactions[[#This Row],[ProductID]],tblProducts[ProductID],tblProducts[Category])</f>
        <v>Electronics</v>
      </c>
    </row>
    <row r="698" spans="1:19">
      <c r="A698" t="s">
        <v>17015</v>
      </c>
      <c r="B698" s="1">
        <v>45697</v>
      </c>
      <c r="C698" t="s">
        <v>14178</v>
      </c>
      <c r="D698" t="str">
        <f>_xlfn.XLOOKUP(tblTransactions[[#This Row],[CustomerID]],tblCustomers[CustomerID],tblCustomers[CustomerName])</f>
        <v>Zaitra Saraf</v>
      </c>
      <c r="E698" t="s">
        <v>16116</v>
      </c>
      <c r="F698" t="str">
        <f>_xlfn.XLOOKUP(tblTransactions[[#This Row],[ProductID]],tblProducts[ProductID],tblProducts[ProductName])</f>
        <v>Sandals A1</v>
      </c>
      <c r="G698" t="s">
        <v>16271</v>
      </c>
      <c r="H698" t="str">
        <f>_xlfn.XLOOKUP(tblTransactions[[#This Row],[StoreID]],tblStores[StoreID],tblStores[Region])</f>
        <v>South</v>
      </c>
      <c r="I698">
        <v>3</v>
      </c>
      <c r="J698">
        <v>0.05</v>
      </c>
      <c r="K698" t="s">
        <v>16319</v>
      </c>
      <c r="L698" s="9">
        <f>_xlfn.XLOOKUP(tblTransactions[[#This Row],[ProductID]],tblProducts[ProductID],tblProducts[UnitPrice])</f>
        <v>7414.77</v>
      </c>
      <c r="M698" s="9">
        <f>tblTransactions[[#This Row],[Quantity]]*tblTransactions[[#This Row],[UnitPrice]]</f>
        <v>22244.31</v>
      </c>
      <c r="N698" s="9">
        <f>tblTransactions[[#This Row],[GrossSales]]*tblTransactions[[#This Row],[Discount]]</f>
        <v>1112.2155</v>
      </c>
      <c r="O698" s="9">
        <f>tblTransactions[[#This Row],[GrossSales]]-tblTransactions[[#This Row],[DiscountAmount]]</f>
        <v>21132.094500000003</v>
      </c>
      <c r="P698" s="9">
        <f>_xlfn.XLOOKUP(tblTransactions[[#This Row],[ProductID]],tblProducts[ProductID],tblProducts[UnitCost])</f>
        <v>4859.1400000000003</v>
      </c>
      <c r="Q698" s="9">
        <f>tblTransactions[[#This Row],[Quantity]]*tblTransactions[[#This Row],[UnitCost]]</f>
        <v>14577.420000000002</v>
      </c>
      <c r="R698" s="9">
        <f>tblTransactions[[#This Row],[NetRevenue]]-tblTransactions[[#This Row],[TotalCost]]</f>
        <v>6554.674500000001</v>
      </c>
      <c r="S698" t="str">
        <f>_xlfn.XLOOKUP(tblTransactions[[#This Row],[ProductID]],tblProducts[ProductID],tblProducts[Category])</f>
        <v>Clothing</v>
      </c>
    </row>
    <row r="699" spans="1:19">
      <c r="A699" t="s">
        <v>17016</v>
      </c>
      <c r="B699" s="1">
        <v>45698</v>
      </c>
      <c r="C699" t="s">
        <v>4138</v>
      </c>
      <c r="D699" t="str">
        <f>_xlfn.XLOOKUP(tblTransactions[[#This Row],[CustomerID]],tblCustomers[CustomerID],tblCustomers[CustomerName])</f>
        <v>Aradhana Tailor</v>
      </c>
      <c r="E699" t="s">
        <v>15937</v>
      </c>
      <c r="F699" t="str">
        <f>_xlfn.XLOOKUP(tblTransactions[[#This Row],[ProductID]],tblProducts[ProductID],tblProducts[ProductName])</f>
        <v>Smart LED TV E5</v>
      </c>
      <c r="G699" t="s">
        <v>16285</v>
      </c>
      <c r="H699" t="str">
        <f>_xlfn.XLOOKUP(tblTransactions[[#This Row],[StoreID]],tblStores[StoreID],tblStores[Region])</f>
        <v>West</v>
      </c>
      <c r="I699">
        <v>1</v>
      </c>
      <c r="J699">
        <v>0.05</v>
      </c>
      <c r="K699" t="s">
        <v>16317</v>
      </c>
      <c r="L699" s="9">
        <f>_xlfn.XLOOKUP(tblTransactions[[#This Row],[ProductID]],tblProducts[ProductID],tblProducts[UnitPrice])</f>
        <v>4719.2700000000004</v>
      </c>
      <c r="M699" s="9">
        <f>tblTransactions[[#This Row],[Quantity]]*tblTransactions[[#This Row],[UnitPrice]]</f>
        <v>4719.2700000000004</v>
      </c>
      <c r="N699" s="9">
        <f>tblTransactions[[#This Row],[GrossSales]]*tblTransactions[[#This Row],[Discount]]</f>
        <v>235.96350000000004</v>
      </c>
      <c r="O699" s="9">
        <f>tblTransactions[[#This Row],[GrossSales]]-tblTransactions[[#This Row],[DiscountAmount]]</f>
        <v>4483.3065000000006</v>
      </c>
      <c r="P699" s="9">
        <f>_xlfn.XLOOKUP(tblTransactions[[#This Row],[ProductID]],tblProducts[ProductID],tblProducts[UnitCost])</f>
        <v>3322.23</v>
      </c>
      <c r="Q699" s="9">
        <f>tblTransactions[[#This Row],[Quantity]]*tblTransactions[[#This Row],[UnitCost]]</f>
        <v>3322.23</v>
      </c>
      <c r="R699" s="9">
        <f>tblTransactions[[#This Row],[NetRevenue]]-tblTransactions[[#This Row],[TotalCost]]</f>
        <v>1161.0765000000006</v>
      </c>
      <c r="S699" t="str">
        <f>_xlfn.XLOOKUP(tblTransactions[[#This Row],[ProductID]],tblProducts[ProductID],tblProducts[Category])</f>
        <v>Electronics</v>
      </c>
    </row>
    <row r="700" spans="1:19">
      <c r="A700" t="s">
        <v>17017</v>
      </c>
      <c r="B700" s="1">
        <v>45698</v>
      </c>
      <c r="C700" t="s">
        <v>1837</v>
      </c>
      <c r="D700" t="str">
        <f>_xlfn.XLOOKUP(tblTransactions[[#This Row],[CustomerID]],tblCustomers[CustomerID],tblCustomers[CustomerName])</f>
        <v>Charvi Jha</v>
      </c>
      <c r="E700" t="s">
        <v>16171</v>
      </c>
      <c r="F700" t="str">
        <f>_xlfn.XLOOKUP(tblTransactions[[#This Row],[ProductID]],tblProducts[ProductID],tblProducts[ProductName])</f>
        <v>Juice E5</v>
      </c>
      <c r="G700" t="s">
        <v>16259</v>
      </c>
      <c r="H700" t="str">
        <f>_xlfn.XLOOKUP(tblTransactions[[#This Row],[StoreID]],tblStores[StoreID],tblStores[Region])</f>
        <v>East</v>
      </c>
      <c r="I700">
        <v>2</v>
      </c>
      <c r="J700">
        <v>0.1</v>
      </c>
      <c r="K700" t="s">
        <v>16319</v>
      </c>
      <c r="L700" s="9">
        <f>_xlfn.XLOOKUP(tblTransactions[[#This Row],[ProductID]],tblProducts[ProductID],tblProducts[UnitPrice])</f>
        <v>100.32</v>
      </c>
      <c r="M700" s="9">
        <f>tblTransactions[[#This Row],[Quantity]]*tblTransactions[[#This Row],[UnitPrice]]</f>
        <v>200.64</v>
      </c>
      <c r="N700" s="9">
        <f>tblTransactions[[#This Row],[GrossSales]]*tblTransactions[[#This Row],[Discount]]</f>
        <v>20.064</v>
      </c>
      <c r="O700" s="9">
        <f>tblTransactions[[#This Row],[GrossSales]]-tblTransactions[[#This Row],[DiscountAmount]]</f>
        <v>180.57599999999999</v>
      </c>
      <c r="P700" s="9">
        <f>_xlfn.XLOOKUP(tblTransactions[[#This Row],[ProductID]],tblProducts[ProductID],tblProducts[UnitCost])</f>
        <v>66.61</v>
      </c>
      <c r="Q700" s="9">
        <f>tblTransactions[[#This Row],[Quantity]]*tblTransactions[[#This Row],[UnitCost]]</f>
        <v>133.22</v>
      </c>
      <c r="R700" s="9">
        <f>tblTransactions[[#This Row],[NetRevenue]]-tblTransactions[[#This Row],[TotalCost]]</f>
        <v>47.355999999999995</v>
      </c>
      <c r="S700" t="str">
        <f>_xlfn.XLOOKUP(tblTransactions[[#This Row],[ProductID]],tblProducts[ProductID],tblProducts[Category])</f>
        <v>Grocery</v>
      </c>
    </row>
    <row r="701" spans="1:19">
      <c r="A701" t="s">
        <v>17018</v>
      </c>
      <c r="B701" s="1">
        <v>45699</v>
      </c>
      <c r="C701" t="s">
        <v>9947</v>
      </c>
      <c r="D701" t="str">
        <f>_xlfn.XLOOKUP(tblTransactions[[#This Row],[CustomerID]],tblCustomers[CustomerID],tblCustomers[CustomerName])</f>
        <v>Samuel Ramachandran</v>
      </c>
      <c r="E701" t="s">
        <v>16099</v>
      </c>
      <c r="F701" t="str">
        <f>_xlfn.XLOOKUP(tblTransactions[[#This Row],[ProductID]],tblProducts[ProductID],tblProducts[ProductName])</f>
        <v>Women's Jeans B7</v>
      </c>
      <c r="G701" t="s">
        <v>16303</v>
      </c>
      <c r="H701" t="str">
        <f>_xlfn.XLOOKUP(tblTransactions[[#This Row],[StoreID]],tblStores[StoreID],tblStores[Region])</f>
        <v>West</v>
      </c>
      <c r="I701">
        <v>2</v>
      </c>
      <c r="J701">
        <v>0.15</v>
      </c>
      <c r="K701" t="s">
        <v>16319</v>
      </c>
      <c r="L701" s="9">
        <f>_xlfn.XLOOKUP(tblTransactions[[#This Row],[ProductID]],tblProducts[ProductID],tblProducts[UnitPrice])</f>
        <v>1227.0899999999999</v>
      </c>
      <c r="M701" s="9">
        <f>tblTransactions[[#This Row],[Quantity]]*tblTransactions[[#This Row],[UnitPrice]]</f>
        <v>2454.1799999999998</v>
      </c>
      <c r="N701" s="9">
        <f>tblTransactions[[#This Row],[GrossSales]]*tblTransactions[[#This Row],[Discount]]</f>
        <v>368.12699999999995</v>
      </c>
      <c r="O701" s="9">
        <f>tblTransactions[[#This Row],[GrossSales]]-tblTransactions[[#This Row],[DiscountAmount]]</f>
        <v>2086.0529999999999</v>
      </c>
      <c r="P701" s="9">
        <f>_xlfn.XLOOKUP(tblTransactions[[#This Row],[ProductID]],tblProducts[ProductID],tblProducts[UnitCost])</f>
        <v>945.11</v>
      </c>
      <c r="Q701" s="9">
        <f>tblTransactions[[#This Row],[Quantity]]*tblTransactions[[#This Row],[UnitCost]]</f>
        <v>1890.22</v>
      </c>
      <c r="R701" s="9">
        <f>tblTransactions[[#This Row],[NetRevenue]]-tblTransactions[[#This Row],[TotalCost]]</f>
        <v>195.83299999999986</v>
      </c>
      <c r="S701" t="str">
        <f>_xlfn.XLOOKUP(tblTransactions[[#This Row],[ProductID]],tblProducts[ProductID],tblProducts[Category])</f>
        <v>Clothing</v>
      </c>
    </row>
    <row r="702" spans="1:19">
      <c r="A702" t="s">
        <v>17019</v>
      </c>
      <c r="B702" s="1">
        <v>45700</v>
      </c>
      <c r="C702" t="s">
        <v>1847</v>
      </c>
      <c r="D702" t="str">
        <f>_xlfn.XLOOKUP(tblTransactions[[#This Row],[CustomerID]],tblCustomers[CustomerID],tblCustomers[CustomerName])</f>
        <v>Jalsa Nadig</v>
      </c>
      <c r="E702" t="s">
        <v>16219</v>
      </c>
      <c r="F702" t="str">
        <f>_xlfn.XLOOKUP(tblTransactions[[#This Row],[ProductID]],tblProducts[ProductID],tblProducts[ProductName])</f>
        <v>Hair Serum A6</v>
      </c>
      <c r="G702" t="s">
        <v>16305</v>
      </c>
      <c r="H702" t="str">
        <f>_xlfn.XLOOKUP(tblTransactions[[#This Row],[StoreID]],tblStores[StoreID],tblStores[Region])</f>
        <v>South</v>
      </c>
      <c r="I702">
        <v>2</v>
      </c>
      <c r="J702">
        <v>0</v>
      </c>
      <c r="K702" t="s">
        <v>16315</v>
      </c>
      <c r="L702" s="9">
        <f>_xlfn.XLOOKUP(tblTransactions[[#This Row],[ProductID]],tblProducts[ProductID],tblProducts[UnitPrice])</f>
        <v>3355.04</v>
      </c>
      <c r="M702" s="9">
        <f>tblTransactions[[#This Row],[Quantity]]*tblTransactions[[#This Row],[UnitPrice]]</f>
        <v>6710.08</v>
      </c>
      <c r="N702" s="9">
        <f>tblTransactions[[#This Row],[GrossSales]]*tblTransactions[[#This Row],[Discount]]</f>
        <v>0</v>
      </c>
      <c r="O702" s="9">
        <f>tblTransactions[[#This Row],[GrossSales]]-tblTransactions[[#This Row],[DiscountAmount]]</f>
        <v>6710.08</v>
      </c>
      <c r="P702" s="9">
        <f>_xlfn.XLOOKUP(tblTransactions[[#This Row],[ProductID]],tblProducts[ProductID],tblProducts[UnitCost])</f>
        <v>1914.01</v>
      </c>
      <c r="Q702" s="9">
        <f>tblTransactions[[#This Row],[Quantity]]*tblTransactions[[#This Row],[UnitCost]]</f>
        <v>3828.02</v>
      </c>
      <c r="R702" s="9">
        <f>tblTransactions[[#This Row],[NetRevenue]]-tblTransactions[[#This Row],[TotalCost]]</f>
        <v>2882.06</v>
      </c>
      <c r="S702" t="str">
        <f>_xlfn.XLOOKUP(tblTransactions[[#This Row],[ProductID]],tblProducts[ProductID],tblProducts[Category])</f>
        <v>Personal Care</v>
      </c>
    </row>
    <row r="703" spans="1:19">
      <c r="A703" t="s">
        <v>17020</v>
      </c>
      <c r="B703" s="1">
        <v>45700</v>
      </c>
      <c r="C703" t="s">
        <v>12655</v>
      </c>
      <c r="D703" t="str">
        <f>_xlfn.XLOOKUP(tblTransactions[[#This Row],[CustomerID]],tblCustomers[CustomerID],tblCustomers[CustomerName])</f>
        <v>Isaiah Manda</v>
      </c>
      <c r="E703" t="s">
        <v>16165</v>
      </c>
      <c r="F703" t="str">
        <f>_xlfn.XLOOKUP(tblTransactions[[#This Row],[ProductID]],tblProducts[ProductID],tblProducts[ProductName])</f>
        <v>Juice B2</v>
      </c>
      <c r="G703" t="s">
        <v>16256</v>
      </c>
      <c r="H703" t="str">
        <f>_xlfn.XLOOKUP(tblTransactions[[#This Row],[StoreID]],tblStores[StoreID],tblStores[Region])</f>
        <v>East</v>
      </c>
      <c r="I703">
        <v>1</v>
      </c>
      <c r="J703">
        <v>0</v>
      </c>
      <c r="K703" t="s">
        <v>16317</v>
      </c>
      <c r="L703" s="9">
        <f>_xlfn.XLOOKUP(tblTransactions[[#This Row],[ProductID]],tblProducts[ProductID],tblProducts[UnitPrice])</f>
        <v>1053.9000000000001</v>
      </c>
      <c r="M703" s="9">
        <f>tblTransactions[[#This Row],[Quantity]]*tblTransactions[[#This Row],[UnitPrice]]</f>
        <v>1053.9000000000001</v>
      </c>
      <c r="N703" s="9">
        <f>tblTransactions[[#This Row],[GrossSales]]*tblTransactions[[#This Row],[Discount]]</f>
        <v>0</v>
      </c>
      <c r="O703" s="9">
        <f>tblTransactions[[#This Row],[GrossSales]]-tblTransactions[[#This Row],[DiscountAmount]]</f>
        <v>1053.9000000000001</v>
      </c>
      <c r="P703" s="9">
        <f>_xlfn.XLOOKUP(tblTransactions[[#This Row],[ProductID]],tblProducts[ProductID],tblProducts[UnitCost])</f>
        <v>710.59</v>
      </c>
      <c r="Q703" s="9">
        <f>tblTransactions[[#This Row],[Quantity]]*tblTransactions[[#This Row],[UnitCost]]</f>
        <v>710.59</v>
      </c>
      <c r="R703" s="9">
        <f>tblTransactions[[#This Row],[NetRevenue]]-tblTransactions[[#This Row],[TotalCost]]</f>
        <v>343.31000000000006</v>
      </c>
      <c r="S703" t="str">
        <f>_xlfn.XLOOKUP(tblTransactions[[#This Row],[ProductID]],tblProducts[ProductID],tblProducts[Category])</f>
        <v>Grocery</v>
      </c>
    </row>
    <row r="704" spans="1:19">
      <c r="A704" t="s">
        <v>17021</v>
      </c>
      <c r="B704" s="1">
        <v>45701</v>
      </c>
      <c r="C704" t="s">
        <v>8168</v>
      </c>
      <c r="D704" t="str">
        <f>_xlfn.XLOOKUP(tblTransactions[[#This Row],[CustomerID]],tblCustomers[CustomerID],tblCustomers[CustomerName])</f>
        <v>Janya Choudhary</v>
      </c>
      <c r="E704" t="s">
        <v>15965</v>
      </c>
      <c r="F704" t="str">
        <f>_xlfn.XLOOKUP(tblTransactions[[#This Row],[ProductID]],tblProducts[ProductID],tblProducts[ProductName])</f>
        <v>Business Laptop B2</v>
      </c>
      <c r="G704" t="s">
        <v>16291</v>
      </c>
      <c r="H704" t="str">
        <f>_xlfn.XLOOKUP(tblTransactions[[#This Row],[StoreID]],tblStores[StoreID],tblStores[Region])</f>
        <v>South</v>
      </c>
      <c r="I704">
        <v>1</v>
      </c>
      <c r="J704">
        <v>0</v>
      </c>
      <c r="K704" t="s">
        <v>16317</v>
      </c>
      <c r="L704" s="9">
        <f>_xlfn.XLOOKUP(tblTransactions[[#This Row],[ProductID]],tblProducts[ProductID],tblProducts[UnitPrice])</f>
        <v>54876.34</v>
      </c>
      <c r="M704" s="9">
        <f>tblTransactions[[#This Row],[Quantity]]*tblTransactions[[#This Row],[UnitPrice]]</f>
        <v>54876.34</v>
      </c>
      <c r="N704" s="9">
        <f>tblTransactions[[#This Row],[GrossSales]]*tblTransactions[[#This Row],[Discount]]</f>
        <v>0</v>
      </c>
      <c r="O704" s="9">
        <f>tblTransactions[[#This Row],[GrossSales]]-tblTransactions[[#This Row],[DiscountAmount]]</f>
        <v>54876.34</v>
      </c>
      <c r="P704" s="9">
        <f>_xlfn.XLOOKUP(tblTransactions[[#This Row],[ProductID]],tblProducts[ProductID],tblProducts[UnitCost])</f>
        <v>41521.22</v>
      </c>
      <c r="Q704" s="9">
        <f>tblTransactions[[#This Row],[Quantity]]*tblTransactions[[#This Row],[UnitCost]]</f>
        <v>41521.22</v>
      </c>
      <c r="R704" s="9">
        <f>tblTransactions[[#This Row],[NetRevenue]]-tblTransactions[[#This Row],[TotalCost]]</f>
        <v>13355.119999999995</v>
      </c>
      <c r="S704" t="str">
        <f>_xlfn.XLOOKUP(tblTransactions[[#This Row],[ProductID]],tblProducts[ProductID],tblProducts[Category])</f>
        <v>Electronics</v>
      </c>
    </row>
    <row r="705" spans="1:19">
      <c r="A705" t="s">
        <v>17022</v>
      </c>
      <c r="B705" s="1">
        <v>45703</v>
      </c>
      <c r="C705" t="s">
        <v>14413</v>
      </c>
      <c r="D705" t="str">
        <f>_xlfn.XLOOKUP(tblTransactions[[#This Row],[CustomerID]],tblCustomers[CustomerID],tblCustomers[CustomerName])</f>
        <v>Max Hora</v>
      </c>
      <c r="E705" t="s">
        <v>16123</v>
      </c>
      <c r="F705" t="str">
        <f>_xlfn.XLOOKUP(tblTransactions[[#This Row],[ProductID]],tblProducts[ProductID],tblProducts[ProductName])</f>
        <v>Running Shoes D4</v>
      </c>
      <c r="G705" t="s">
        <v>16277</v>
      </c>
      <c r="H705" t="str">
        <f>_xlfn.XLOOKUP(tblTransactions[[#This Row],[StoreID]],tblStores[StoreID],tblStores[Region])</f>
        <v>West</v>
      </c>
      <c r="I705">
        <v>2</v>
      </c>
      <c r="J705">
        <v>0.2</v>
      </c>
      <c r="K705" t="s">
        <v>16319</v>
      </c>
      <c r="L705" s="9">
        <f>_xlfn.XLOOKUP(tblTransactions[[#This Row],[ProductID]],tblProducts[ProductID],tblProducts[UnitPrice])</f>
        <v>5979.07</v>
      </c>
      <c r="M705" s="9">
        <f>tblTransactions[[#This Row],[Quantity]]*tblTransactions[[#This Row],[UnitPrice]]</f>
        <v>11958.14</v>
      </c>
      <c r="N705" s="9">
        <f>tblTransactions[[#This Row],[GrossSales]]*tblTransactions[[#This Row],[Discount]]</f>
        <v>2391.6280000000002</v>
      </c>
      <c r="O705" s="9">
        <f>tblTransactions[[#This Row],[GrossSales]]-tblTransactions[[#This Row],[DiscountAmount]]</f>
        <v>9566.5119999999988</v>
      </c>
      <c r="P705" s="9">
        <f>_xlfn.XLOOKUP(tblTransactions[[#This Row],[ProductID]],tblProducts[ProductID],tblProducts[UnitCost])</f>
        <v>4121.96</v>
      </c>
      <c r="Q705" s="9">
        <f>tblTransactions[[#This Row],[Quantity]]*tblTransactions[[#This Row],[UnitCost]]</f>
        <v>8243.92</v>
      </c>
      <c r="R705" s="9">
        <f>tblTransactions[[#This Row],[NetRevenue]]-tblTransactions[[#This Row],[TotalCost]]</f>
        <v>1322.5919999999987</v>
      </c>
      <c r="S705" t="str">
        <f>_xlfn.XLOOKUP(tblTransactions[[#This Row],[ProductID]],tblProducts[ProductID],tblProducts[Category])</f>
        <v>Clothing</v>
      </c>
    </row>
    <row r="706" spans="1:19">
      <c r="A706" t="s">
        <v>17023</v>
      </c>
      <c r="B706" s="1">
        <v>45703</v>
      </c>
      <c r="C706" t="s">
        <v>11002</v>
      </c>
      <c r="D706" t="str">
        <f>_xlfn.XLOOKUP(tblTransactions[[#This Row],[CustomerID]],tblCustomers[CustomerID],tblCustomers[CustomerName])</f>
        <v>Balvan Johal</v>
      </c>
      <c r="E706" t="s">
        <v>16247</v>
      </c>
      <c r="F706" t="str">
        <f>_xlfn.XLOOKUP(tblTransactions[[#This Row],[ProductID]],tblProducts[ProductID],tblProducts[ProductName])</f>
        <v>Shaving Kit E5</v>
      </c>
      <c r="G706" t="s">
        <v>16299</v>
      </c>
      <c r="H706" t="str">
        <f>_xlfn.XLOOKUP(tblTransactions[[#This Row],[StoreID]],tblStores[StoreID],tblStores[Region])</f>
        <v>South</v>
      </c>
      <c r="I706">
        <v>1</v>
      </c>
      <c r="J706">
        <v>0.1</v>
      </c>
      <c r="K706" t="s">
        <v>16321</v>
      </c>
      <c r="L706" s="9">
        <f>_xlfn.XLOOKUP(tblTransactions[[#This Row],[ProductID]],tblProducts[ProductID],tblProducts[UnitPrice])</f>
        <v>3430.41</v>
      </c>
      <c r="M706" s="9">
        <f>tblTransactions[[#This Row],[Quantity]]*tblTransactions[[#This Row],[UnitPrice]]</f>
        <v>3430.41</v>
      </c>
      <c r="N706" s="9">
        <f>tblTransactions[[#This Row],[GrossSales]]*tblTransactions[[#This Row],[Discount]]</f>
        <v>343.041</v>
      </c>
      <c r="O706" s="9">
        <f>tblTransactions[[#This Row],[GrossSales]]-tblTransactions[[#This Row],[DiscountAmount]]</f>
        <v>3087.3689999999997</v>
      </c>
      <c r="P706" s="9">
        <f>_xlfn.XLOOKUP(tblTransactions[[#This Row],[ProductID]],tblProducts[ProductID],tblProducts[UnitCost])</f>
        <v>2912.56</v>
      </c>
      <c r="Q706" s="9">
        <f>tblTransactions[[#This Row],[Quantity]]*tblTransactions[[#This Row],[UnitCost]]</f>
        <v>2912.56</v>
      </c>
      <c r="R706" s="9">
        <f>tblTransactions[[#This Row],[NetRevenue]]-tblTransactions[[#This Row],[TotalCost]]</f>
        <v>174.80899999999974</v>
      </c>
      <c r="S706" t="str">
        <f>_xlfn.XLOOKUP(tblTransactions[[#This Row],[ProductID]],tblProducts[ProductID],tblProducts[Category])</f>
        <v>Personal Care</v>
      </c>
    </row>
    <row r="707" spans="1:19">
      <c r="A707" t="s">
        <v>17024</v>
      </c>
      <c r="B707" s="1">
        <v>45704</v>
      </c>
      <c r="C707" t="s">
        <v>14539</v>
      </c>
      <c r="D707" t="str">
        <f>_xlfn.XLOOKUP(tblTransactions[[#This Row],[CustomerID]],tblCustomers[CustomerID],tblCustomers[CustomerName])</f>
        <v>Aadi Madan</v>
      </c>
      <c r="E707" t="s">
        <v>16001</v>
      </c>
      <c r="F707" t="str">
        <f>_xlfn.XLOOKUP(tblTransactions[[#This Row],[ProductID]],tblProducts[ProductID],tblProducts[ProductName])</f>
        <v>Power Bank D4</v>
      </c>
      <c r="G707" t="s">
        <v>16277</v>
      </c>
      <c r="H707" t="str">
        <f>_xlfn.XLOOKUP(tblTransactions[[#This Row],[StoreID]],tblStores[StoreID],tblStores[Region])</f>
        <v>West</v>
      </c>
      <c r="I707">
        <v>1</v>
      </c>
      <c r="J707">
        <v>0</v>
      </c>
      <c r="K707" t="s">
        <v>16321</v>
      </c>
      <c r="L707" s="9">
        <f>_xlfn.XLOOKUP(tblTransactions[[#This Row],[ProductID]],tblProducts[ProductID],tblProducts[UnitPrice])</f>
        <v>29153.55</v>
      </c>
      <c r="M707" s="9">
        <f>tblTransactions[[#This Row],[Quantity]]*tblTransactions[[#This Row],[UnitPrice]]</f>
        <v>29153.55</v>
      </c>
      <c r="N707" s="9">
        <f>tblTransactions[[#This Row],[GrossSales]]*tblTransactions[[#This Row],[Discount]]</f>
        <v>0</v>
      </c>
      <c r="O707" s="9">
        <f>tblTransactions[[#This Row],[GrossSales]]-tblTransactions[[#This Row],[DiscountAmount]]</f>
        <v>29153.55</v>
      </c>
      <c r="P707" s="9">
        <f>_xlfn.XLOOKUP(tblTransactions[[#This Row],[ProductID]],tblProducts[ProductID],tblProducts[UnitCost])</f>
        <v>21894.27</v>
      </c>
      <c r="Q707" s="9">
        <f>tblTransactions[[#This Row],[Quantity]]*tblTransactions[[#This Row],[UnitCost]]</f>
        <v>21894.27</v>
      </c>
      <c r="R707" s="9">
        <f>tblTransactions[[#This Row],[NetRevenue]]-tblTransactions[[#This Row],[TotalCost]]</f>
        <v>7259.2799999999988</v>
      </c>
      <c r="S707" t="str">
        <f>_xlfn.XLOOKUP(tblTransactions[[#This Row],[ProductID]],tblProducts[ProductID],tblProducts[Category])</f>
        <v>Electronics</v>
      </c>
    </row>
    <row r="708" spans="1:19">
      <c r="A708" t="s">
        <v>17025</v>
      </c>
      <c r="B708" s="1">
        <v>45704</v>
      </c>
      <c r="C708" t="s">
        <v>8032</v>
      </c>
      <c r="D708" t="str">
        <f>_xlfn.XLOOKUP(tblTransactions[[#This Row],[CustomerID]],tblCustomers[CustomerID],tblCustomers[CustomerName])</f>
        <v>Ati Prashad</v>
      </c>
      <c r="E708" t="s">
        <v>16040</v>
      </c>
      <c r="F708" t="str">
        <f>_xlfn.XLOOKUP(tblTransactions[[#This Row],[ProductID]],tblProducts[ProductID],tblProducts[ProductName])</f>
        <v>Cookware Set A1</v>
      </c>
      <c r="G708" t="s">
        <v>16279</v>
      </c>
      <c r="H708" t="str">
        <f>_xlfn.XLOOKUP(tblTransactions[[#This Row],[StoreID]],tblStores[StoreID],tblStores[Region])</f>
        <v>South</v>
      </c>
      <c r="I708">
        <v>2</v>
      </c>
      <c r="J708">
        <v>0.05</v>
      </c>
      <c r="K708" t="s">
        <v>16319</v>
      </c>
      <c r="L708" s="9">
        <f>_xlfn.XLOOKUP(tblTransactions[[#This Row],[ProductID]],tblProducts[ProductID],tblProducts[UnitPrice])</f>
        <v>23380</v>
      </c>
      <c r="M708" s="9">
        <f>tblTransactions[[#This Row],[Quantity]]*tblTransactions[[#This Row],[UnitPrice]]</f>
        <v>46760</v>
      </c>
      <c r="N708" s="9">
        <f>tblTransactions[[#This Row],[GrossSales]]*tblTransactions[[#This Row],[Discount]]</f>
        <v>2338</v>
      </c>
      <c r="O708" s="9">
        <f>tblTransactions[[#This Row],[GrossSales]]-tblTransactions[[#This Row],[DiscountAmount]]</f>
        <v>44422</v>
      </c>
      <c r="P708" s="9">
        <f>_xlfn.XLOOKUP(tblTransactions[[#This Row],[ProductID]],tblProducts[ProductID],tblProducts[UnitCost])</f>
        <v>15528.93</v>
      </c>
      <c r="Q708" s="9">
        <f>tblTransactions[[#This Row],[Quantity]]*tblTransactions[[#This Row],[UnitCost]]</f>
        <v>31057.86</v>
      </c>
      <c r="R708" s="9">
        <f>tblTransactions[[#This Row],[NetRevenue]]-tblTransactions[[#This Row],[TotalCost]]</f>
        <v>13364.14</v>
      </c>
      <c r="S708" t="str">
        <f>_xlfn.XLOOKUP(tblTransactions[[#This Row],[ProductID]],tblProducts[ProductID],tblProducts[Category])</f>
        <v>Home &amp; Kitchen</v>
      </c>
    </row>
    <row r="709" spans="1:19">
      <c r="A709" t="s">
        <v>17026</v>
      </c>
      <c r="B709" s="1">
        <v>45704</v>
      </c>
      <c r="C709" t="s">
        <v>5307</v>
      </c>
      <c r="D709" t="str">
        <f>_xlfn.XLOOKUP(tblTransactions[[#This Row],[CustomerID]],tblCustomers[CustomerID],tblCustomers[CustomerName])</f>
        <v>Dayita Sankaran</v>
      </c>
      <c r="E709" t="s">
        <v>16232</v>
      </c>
      <c r="F709" t="str">
        <f>_xlfn.XLOOKUP(tblTransactions[[#This Row],[ProductID]],tblProducts[ProductID],tblProducts[ProductName])</f>
        <v>Soap E5</v>
      </c>
      <c r="G709" t="s">
        <v>16281</v>
      </c>
      <c r="H709" t="str">
        <f>_xlfn.XLOOKUP(tblTransactions[[#This Row],[StoreID]],tblStores[StoreID],tblStores[Region])</f>
        <v>West</v>
      </c>
      <c r="I709">
        <v>1</v>
      </c>
      <c r="J709">
        <v>0</v>
      </c>
      <c r="K709" t="s">
        <v>16315</v>
      </c>
      <c r="L709" s="9">
        <f>_xlfn.XLOOKUP(tblTransactions[[#This Row],[ProductID]],tblProducts[ProductID],tblProducts[UnitPrice])</f>
        <v>3000.36</v>
      </c>
      <c r="M709" s="9">
        <f>tblTransactions[[#This Row],[Quantity]]*tblTransactions[[#This Row],[UnitPrice]]</f>
        <v>3000.36</v>
      </c>
      <c r="N709" s="9">
        <f>tblTransactions[[#This Row],[GrossSales]]*tblTransactions[[#This Row],[Discount]]</f>
        <v>0</v>
      </c>
      <c r="O709" s="9">
        <f>tblTransactions[[#This Row],[GrossSales]]-tblTransactions[[#This Row],[DiscountAmount]]</f>
        <v>3000.36</v>
      </c>
      <c r="P709" s="9">
        <f>_xlfn.XLOOKUP(tblTransactions[[#This Row],[ProductID]],tblProducts[ProductID],tblProducts[UnitCost])</f>
        <v>2004.24</v>
      </c>
      <c r="Q709" s="9">
        <f>tblTransactions[[#This Row],[Quantity]]*tblTransactions[[#This Row],[UnitCost]]</f>
        <v>2004.24</v>
      </c>
      <c r="R709" s="9">
        <f>tblTransactions[[#This Row],[NetRevenue]]-tblTransactions[[#This Row],[TotalCost]]</f>
        <v>996.12000000000012</v>
      </c>
      <c r="S709" t="str">
        <f>_xlfn.XLOOKUP(tblTransactions[[#This Row],[ProductID]],tblProducts[ProductID],tblProducts[Category])</f>
        <v>Personal Care</v>
      </c>
    </row>
    <row r="710" spans="1:19">
      <c r="A710" t="s">
        <v>17027</v>
      </c>
      <c r="B710" s="1">
        <v>45705</v>
      </c>
      <c r="C710" t="s">
        <v>5813</v>
      </c>
      <c r="D710" t="str">
        <f>_xlfn.XLOOKUP(tblTransactions[[#This Row],[CustomerID]],tblCustomers[CustomerID],tblCustomers[CustomerName])</f>
        <v>Amara Bera</v>
      </c>
      <c r="E710" t="s">
        <v>15960</v>
      </c>
      <c r="F710" t="str">
        <f>_xlfn.XLOOKUP(tblTransactions[[#This Row],[ProductID]],tblProducts[ProductID],tblProducts[ProductName])</f>
        <v>Budget Smartphone C8</v>
      </c>
      <c r="G710" t="s">
        <v>16277</v>
      </c>
      <c r="H710" t="str">
        <f>_xlfn.XLOOKUP(tblTransactions[[#This Row],[StoreID]],tblStores[StoreID],tblStores[Region])</f>
        <v>West</v>
      </c>
      <c r="I710">
        <v>1</v>
      </c>
      <c r="J710">
        <v>0</v>
      </c>
      <c r="K710" t="s">
        <v>16321</v>
      </c>
      <c r="L710" s="9">
        <f>_xlfn.XLOOKUP(tblTransactions[[#This Row],[ProductID]],tblProducts[ProductID],tblProducts[UnitPrice])</f>
        <v>63665.16</v>
      </c>
      <c r="M710" s="9">
        <f>tblTransactions[[#This Row],[Quantity]]*tblTransactions[[#This Row],[UnitPrice]]</f>
        <v>63665.16</v>
      </c>
      <c r="N710" s="9">
        <f>tblTransactions[[#This Row],[GrossSales]]*tblTransactions[[#This Row],[Discount]]</f>
        <v>0</v>
      </c>
      <c r="O710" s="9">
        <f>tblTransactions[[#This Row],[GrossSales]]-tblTransactions[[#This Row],[DiscountAmount]]</f>
        <v>63665.16</v>
      </c>
      <c r="P710" s="9">
        <f>_xlfn.XLOOKUP(tblTransactions[[#This Row],[ProductID]],tblProducts[ProductID],tblProducts[UnitCost])</f>
        <v>52565.61</v>
      </c>
      <c r="Q710" s="9">
        <f>tblTransactions[[#This Row],[Quantity]]*tblTransactions[[#This Row],[UnitCost]]</f>
        <v>52565.61</v>
      </c>
      <c r="R710" s="9">
        <f>tblTransactions[[#This Row],[NetRevenue]]-tblTransactions[[#This Row],[TotalCost]]</f>
        <v>11099.550000000003</v>
      </c>
      <c r="S710" t="str">
        <f>_xlfn.XLOOKUP(tblTransactions[[#This Row],[ProductID]],tblProducts[ProductID],tblProducts[Category])</f>
        <v>Electronics</v>
      </c>
    </row>
    <row r="711" spans="1:19">
      <c r="A711" t="s">
        <v>17028</v>
      </c>
      <c r="B711" s="1">
        <v>45706</v>
      </c>
      <c r="C711" t="s">
        <v>10894</v>
      </c>
      <c r="D711" t="str">
        <f>_xlfn.XLOOKUP(tblTransactions[[#This Row],[CustomerID]],tblCustomers[CustomerID],tblCustomers[CustomerName])</f>
        <v>Xalak Chander</v>
      </c>
      <c r="E711" t="s">
        <v>15935</v>
      </c>
      <c r="F711" t="str">
        <f>_xlfn.XLOOKUP(tblTransactions[[#This Row],[ProductID]],tblProducts[ProductID],tblProducts[ProductName])</f>
        <v>QLED Smart TV D4</v>
      </c>
      <c r="G711" t="s">
        <v>16256</v>
      </c>
      <c r="H711" t="str">
        <f>_xlfn.XLOOKUP(tblTransactions[[#This Row],[StoreID]],tblStores[StoreID],tblStores[Region])</f>
        <v>East</v>
      </c>
      <c r="I711">
        <v>1</v>
      </c>
      <c r="J711">
        <v>0.1</v>
      </c>
      <c r="K711" t="s">
        <v>16325</v>
      </c>
      <c r="L711" s="9">
        <f>_xlfn.XLOOKUP(tblTransactions[[#This Row],[ProductID]],tblProducts[ProductID],tblProducts[UnitPrice])</f>
        <v>10619.36</v>
      </c>
      <c r="M711" s="9">
        <f>tblTransactions[[#This Row],[Quantity]]*tblTransactions[[#This Row],[UnitPrice]]</f>
        <v>10619.36</v>
      </c>
      <c r="N711" s="9">
        <f>tblTransactions[[#This Row],[GrossSales]]*tblTransactions[[#This Row],[Discount]]</f>
        <v>1061.9360000000001</v>
      </c>
      <c r="O711" s="9">
        <f>tblTransactions[[#This Row],[GrossSales]]-tblTransactions[[#This Row],[DiscountAmount]]</f>
        <v>9557.4240000000009</v>
      </c>
      <c r="P711" s="9">
        <f>_xlfn.XLOOKUP(tblTransactions[[#This Row],[ProductID]],tblProducts[ProductID],tblProducts[UnitCost])</f>
        <v>6544.82</v>
      </c>
      <c r="Q711" s="9">
        <f>tblTransactions[[#This Row],[Quantity]]*tblTransactions[[#This Row],[UnitCost]]</f>
        <v>6544.82</v>
      </c>
      <c r="R711" s="9">
        <f>tblTransactions[[#This Row],[NetRevenue]]-tblTransactions[[#This Row],[TotalCost]]</f>
        <v>3012.6040000000012</v>
      </c>
      <c r="S711" t="str">
        <f>_xlfn.XLOOKUP(tblTransactions[[#This Row],[ProductID]],tblProducts[ProductID],tblProducts[Category])</f>
        <v>Electronics</v>
      </c>
    </row>
    <row r="712" spans="1:19">
      <c r="A712" t="s">
        <v>17029</v>
      </c>
      <c r="B712" s="1">
        <v>45707</v>
      </c>
      <c r="C712" t="s">
        <v>5167</v>
      </c>
      <c r="D712" t="str">
        <f>_xlfn.XLOOKUP(tblTransactions[[#This Row],[CustomerID]],tblCustomers[CustomerID],tblCustomers[CustomerName])</f>
        <v>Tanmayi Khatri</v>
      </c>
      <c r="E712" t="s">
        <v>16028</v>
      </c>
      <c r="F712" t="str">
        <f>_xlfn.XLOOKUP(tblTransactions[[#This Row],[ProductID]],tblProducts[ProductID],tblProducts[ProductName])</f>
        <v>Bookshelf B2</v>
      </c>
      <c r="G712" t="s">
        <v>16305</v>
      </c>
      <c r="H712" t="str">
        <f>_xlfn.XLOOKUP(tblTransactions[[#This Row],[StoreID]],tblStores[StoreID],tblStores[Region])</f>
        <v>South</v>
      </c>
      <c r="I712">
        <v>1</v>
      </c>
      <c r="J712">
        <v>0</v>
      </c>
      <c r="K712" t="s">
        <v>16321</v>
      </c>
      <c r="L712" s="9">
        <f>_xlfn.XLOOKUP(tblTransactions[[#This Row],[ProductID]],tblProducts[ProductID],tblProducts[UnitPrice])</f>
        <v>11987.07</v>
      </c>
      <c r="M712" s="9">
        <f>tblTransactions[[#This Row],[Quantity]]*tblTransactions[[#This Row],[UnitPrice]]</f>
        <v>11987.07</v>
      </c>
      <c r="N712" s="9">
        <f>tblTransactions[[#This Row],[GrossSales]]*tblTransactions[[#This Row],[Discount]]</f>
        <v>0</v>
      </c>
      <c r="O712" s="9">
        <f>tblTransactions[[#This Row],[GrossSales]]-tblTransactions[[#This Row],[DiscountAmount]]</f>
        <v>11987.07</v>
      </c>
      <c r="P712" s="9">
        <f>_xlfn.XLOOKUP(tblTransactions[[#This Row],[ProductID]],tblProducts[ProductID],tblProducts[UnitCost])</f>
        <v>8332.57</v>
      </c>
      <c r="Q712" s="9">
        <f>tblTransactions[[#This Row],[Quantity]]*tblTransactions[[#This Row],[UnitCost]]</f>
        <v>8332.57</v>
      </c>
      <c r="R712" s="9">
        <f>tblTransactions[[#This Row],[NetRevenue]]-tblTransactions[[#This Row],[TotalCost]]</f>
        <v>3654.5</v>
      </c>
      <c r="S712" t="str">
        <f>_xlfn.XLOOKUP(tblTransactions[[#This Row],[ProductID]],tblProducts[ProductID],tblProducts[Category])</f>
        <v>Home &amp; Kitchen</v>
      </c>
    </row>
    <row r="713" spans="1:19">
      <c r="A713" t="s">
        <v>17030</v>
      </c>
      <c r="B713" s="1">
        <v>45708</v>
      </c>
      <c r="C713" t="s">
        <v>13881</v>
      </c>
      <c r="D713" t="str">
        <f>_xlfn.XLOOKUP(tblTransactions[[#This Row],[CustomerID]],tblCustomers[CustomerID],tblCustomers[CustomerName])</f>
        <v>Inaya Nair</v>
      </c>
      <c r="E713" t="s">
        <v>16108</v>
      </c>
      <c r="F713" t="str">
        <f>_xlfn.XLOOKUP(tblTransactions[[#This Row],[ProductID]],tblProducts[ProductID],tblProducts[ProductName])</f>
        <v>Kids Dress D4</v>
      </c>
      <c r="G713" t="s">
        <v>16259</v>
      </c>
      <c r="H713" t="str">
        <f>_xlfn.XLOOKUP(tblTransactions[[#This Row],[StoreID]],tblStores[StoreID],tblStores[Region])</f>
        <v>East</v>
      </c>
      <c r="I713">
        <v>1</v>
      </c>
      <c r="J713">
        <v>0.1</v>
      </c>
      <c r="K713" t="s">
        <v>16317</v>
      </c>
      <c r="L713" s="9">
        <f>_xlfn.XLOOKUP(tblTransactions[[#This Row],[ProductID]],tblProducts[ProductID],tblProducts[UnitPrice])</f>
        <v>1332.31</v>
      </c>
      <c r="M713" s="9">
        <f>tblTransactions[[#This Row],[Quantity]]*tblTransactions[[#This Row],[UnitPrice]]</f>
        <v>1332.31</v>
      </c>
      <c r="N713" s="9">
        <f>tblTransactions[[#This Row],[GrossSales]]*tblTransactions[[#This Row],[Discount]]</f>
        <v>133.23099999999999</v>
      </c>
      <c r="O713" s="9">
        <f>tblTransactions[[#This Row],[GrossSales]]-tblTransactions[[#This Row],[DiscountAmount]]</f>
        <v>1199.079</v>
      </c>
      <c r="P713" s="9">
        <f>_xlfn.XLOOKUP(tblTransactions[[#This Row],[ProductID]],tblProducts[ProductID],tblProducts[UnitCost])</f>
        <v>957.87</v>
      </c>
      <c r="Q713" s="9">
        <f>tblTransactions[[#This Row],[Quantity]]*tblTransactions[[#This Row],[UnitCost]]</f>
        <v>957.87</v>
      </c>
      <c r="R713" s="9">
        <f>tblTransactions[[#This Row],[NetRevenue]]-tblTransactions[[#This Row],[TotalCost]]</f>
        <v>241.20899999999995</v>
      </c>
      <c r="S713" t="str">
        <f>_xlfn.XLOOKUP(tblTransactions[[#This Row],[ProductID]],tblProducts[ProductID],tblProducts[Category])</f>
        <v>Clothing</v>
      </c>
    </row>
    <row r="714" spans="1:19">
      <c r="A714" t="s">
        <v>17031</v>
      </c>
      <c r="B714" s="1">
        <v>45710</v>
      </c>
      <c r="C714" t="s">
        <v>11944</v>
      </c>
      <c r="D714" t="str">
        <f>_xlfn.XLOOKUP(tblTransactions[[#This Row],[CustomerID]],tblCustomers[CustomerID],tblCustomers[CustomerName])</f>
        <v>Omisha Ramaswamy</v>
      </c>
      <c r="E714" t="s">
        <v>16158</v>
      </c>
      <c r="F714" t="str">
        <f>_xlfn.XLOOKUP(tblTransactions[[#This Row],[ProductID]],tblProducts[ProductID],tblProducts[ProductName])</f>
        <v>Chocolate A6</v>
      </c>
      <c r="G714" t="s">
        <v>16305</v>
      </c>
      <c r="H714" t="str">
        <f>_xlfn.XLOOKUP(tblTransactions[[#This Row],[StoreID]],tblStores[StoreID],tblStores[Region])</f>
        <v>South</v>
      </c>
      <c r="I714">
        <v>1</v>
      </c>
      <c r="J714">
        <v>0</v>
      </c>
      <c r="K714" t="s">
        <v>16317</v>
      </c>
      <c r="L714" s="9">
        <f>_xlfn.XLOOKUP(tblTransactions[[#This Row],[ProductID]],tblProducts[ProductID],tblProducts[UnitPrice])</f>
        <v>1494.3</v>
      </c>
      <c r="M714" s="9">
        <f>tblTransactions[[#This Row],[Quantity]]*tblTransactions[[#This Row],[UnitPrice]]</f>
        <v>1494.3</v>
      </c>
      <c r="N714" s="9">
        <f>tblTransactions[[#This Row],[GrossSales]]*tblTransactions[[#This Row],[Discount]]</f>
        <v>0</v>
      </c>
      <c r="O714" s="9">
        <f>tblTransactions[[#This Row],[GrossSales]]-tblTransactions[[#This Row],[DiscountAmount]]</f>
        <v>1494.3</v>
      </c>
      <c r="P714" s="9">
        <f>_xlfn.XLOOKUP(tblTransactions[[#This Row],[ProductID]],tblProducts[ProductID],tblProducts[UnitCost])</f>
        <v>1031.67</v>
      </c>
      <c r="Q714" s="9">
        <f>tblTransactions[[#This Row],[Quantity]]*tblTransactions[[#This Row],[UnitCost]]</f>
        <v>1031.67</v>
      </c>
      <c r="R714" s="9">
        <f>tblTransactions[[#This Row],[NetRevenue]]-tblTransactions[[#This Row],[TotalCost]]</f>
        <v>462.62999999999988</v>
      </c>
      <c r="S714" t="str">
        <f>_xlfn.XLOOKUP(tblTransactions[[#This Row],[ProductID]],tblProducts[ProductID],tblProducts[Category])</f>
        <v>Grocery</v>
      </c>
    </row>
    <row r="715" spans="1:19">
      <c r="A715" t="s">
        <v>17032</v>
      </c>
      <c r="B715" s="1">
        <v>45712</v>
      </c>
      <c r="C715" t="s">
        <v>9440</v>
      </c>
      <c r="D715" t="str">
        <f>_xlfn.XLOOKUP(tblTransactions[[#This Row],[CustomerID]],tblCustomers[CustomerID],tblCustomers[CustomerName])</f>
        <v>Dhruv Sethi</v>
      </c>
      <c r="E715" t="s">
        <v>16062</v>
      </c>
      <c r="F715" t="str">
        <f>_xlfn.XLOOKUP(tblTransactions[[#This Row],[ProductID]],tblProducts[ProductID],tblProducts[ProductName])</f>
        <v>Table Lamp D4</v>
      </c>
      <c r="G715" t="s">
        <v>16301</v>
      </c>
      <c r="H715" t="str">
        <f>_xlfn.XLOOKUP(tblTransactions[[#This Row],[StoreID]],tblStores[StoreID],tblStores[Region])</f>
        <v>East</v>
      </c>
      <c r="I715">
        <v>2</v>
      </c>
      <c r="J715">
        <v>0.1</v>
      </c>
      <c r="K715" t="s">
        <v>16317</v>
      </c>
      <c r="L715" s="9">
        <f>_xlfn.XLOOKUP(tblTransactions[[#This Row],[ProductID]],tblProducts[ProductID],tblProducts[UnitPrice])</f>
        <v>22222.83</v>
      </c>
      <c r="M715" s="9">
        <f>tblTransactions[[#This Row],[Quantity]]*tblTransactions[[#This Row],[UnitPrice]]</f>
        <v>44445.66</v>
      </c>
      <c r="N715" s="9">
        <f>tblTransactions[[#This Row],[GrossSales]]*tblTransactions[[#This Row],[Discount]]</f>
        <v>4444.5660000000007</v>
      </c>
      <c r="O715" s="9">
        <f>tblTransactions[[#This Row],[GrossSales]]-tblTransactions[[#This Row],[DiscountAmount]]</f>
        <v>40001.094000000005</v>
      </c>
      <c r="P715" s="9">
        <f>_xlfn.XLOOKUP(tblTransactions[[#This Row],[ProductID]],tblProducts[ProductID],tblProducts[UnitCost])</f>
        <v>17564.490000000002</v>
      </c>
      <c r="Q715" s="9">
        <f>tblTransactions[[#This Row],[Quantity]]*tblTransactions[[#This Row],[UnitCost]]</f>
        <v>35128.980000000003</v>
      </c>
      <c r="R715" s="9">
        <f>tblTransactions[[#This Row],[NetRevenue]]-tblTransactions[[#This Row],[TotalCost]]</f>
        <v>4872.1140000000014</v>
      </c>
      <c r="S715" t="str">
        <f>_xlfn.XLOOKUP(tblTransactions[[#This Row],[ProductID]],tblProducts[ProductID],tblProducts[Category])</f>
        <v>Home &amp; Kitchen</v>
      </c>
    </row>
    <row r="716" spans="1:19">
      <c r="A716" t="s">
        <v>17033</v>
      </c>
      <c r="B716" s="1">
        <v>45713</v>
      </c>
      <c r="C716" t="s">
        <v>13177</v>
      </c>
      <c r="D716" t="str">
        <f>_xlfn.XLOOKUP(tblTransactions[[#This Row],[CustomerID]],tblCustomers[CustomerID],tblCustomers[CustomerName])</f>
        <v>Ikshita Hans</v>
      </c>
      <c r="E716" t="s">
        <v>16186</v>
      </c>
      <c r="F716" t="str">
        <f>_xlfn.XLOOKUP(tblTransactions[[#This Row],[ProductID]],tblProducts[ProductID],tblProducts[ProductName])</f>
        <v>Breakfast Cereal E5</v>
      </c>
      <c r="G716" t="s">
        <v>16291</v>
      </c>
      <c r="H716" t="str">
        <f>_xlfn.XLOOKUP(tblTransactions[[#This Row],[StoreID]],tblStores[StoreID],tblStores[Region])</f>
        <v>South</v>
      </c>
      <c r="I716">
        <v>1</v>
      </c>
      <c r="J716">
        <v>0</v>
      </c>
      <c r="K716" t="s">
        <v>16315</v>
      </c>
      <c r="L716" s="9">
        <f>_xlfn.XLOOKUP(tblTransactions[[#This Row],[ProductID]],tblProducts[ProductID],tblProducts[UnitPrice])</f>
        <v>207.32</v>
      </c>
      <c r="M716" s="9">
        <f>tblTransactions[[#This Row],[Quantity]]*tblTransactions[[#This Row],[UnitPrice]]</f>
        <v>207.32</v>
      </c>
      <c r="N716" s="9">
        <f>tblTransactions[[#This Row],[GrossSales]]*tblTransactions[[#This Row],[Discount]]</f>
        <v>0</v>
      </c>
      <c r="O716" s="9">
        <f>tblTransactions[[#This Row],[GrossSales]]-tblTransactions[[#This Row],[DiscountAmount]]</f>
        <v>207.32</v>
      </c>
      <c r="P716" s="9">
        <f>_xlfn.XLOOKUP(tblTransactions[[#This Row],[ProductID]],tblProducts[ProductID],tblProducts[UnitCost])</f>
        <v>120.99</v>
      </c>
      <c r="Q716" s="9">
        <f>tblTransactions[[#This Row],[Quantity]]*tblTransactions[[#This Row],[UnitCost]]</f>
        <v>120.99</v>
      </c>
      <c r="R716" s="9">
        <f>tblTransactions[[#This Row],[NetRevenue]]-tblTransactions[[#This Row],[TotalCost]]</f>
        <v>86.33</v>
      </c>
      <c r="S716" t="str">
        <f>_xlfn.XLOOKUP(tblTransactions[[#This Row],[ProductID]],tblProducts[ProductID],tblProducts[Category])</f>
        <v>Grocery</v>
      </c>
    </row>
    <row r="717" spans="1:19">
      <c r="A717" t="s">
        <v>17034</v>
      </c>
      <c r="B717" s="1">
        <v>45715</v>
      </c>
      <c r="C717" t="s">
        <v>1586</v>
      </c>
      <c r="D717" t="str">
        <f>_xlfn.XLOOKUP(tblTransactions[[#This Row],[CustomerID]],tblCustomers[CustomerID],tblCustomers[CustomerName])</f>
        <v>Liam Luthra</v>
      </c>
      <c r="E717" t="s">
        <v>15945</v>
      </c>
      <c r="F717" t="str">
        <f>_xlfn.XLOOKUP(tblTransactions[[#This Row],[ProductID]],tblProducts[ProductID],tblProducts[ProductName])</f>
        <v>Budget Smartphone A1</v>
      </c>
      <c r="G717" t="s">
        <v>16301</v>
      </c>
      <c r="H717" t="str">
        <f>_xlfn.XLOOKUP(tblTransactions[[#This Row],[StoreID]],tblStores[StoreID],tblStores[Region])</f>
        <v>East</v>
      </c>
      <c r="I717">
        <v>1</v>
      </c>
      <c r="J717">
        <v>0</v>
      </c>
      <c r="K717" t="s">
        <v>16317</v>
      </c>
      <c r="L717" s="9">
        <f>_xlfn.XLOOKUP(tblTransactions[[#This Row],[ProductID]],tblProducts[ProductID],tblProducts[UnitPrice])</f>
        <v>46428.19</v>
      </c>
      <c r="M717" s="9">
        <f>tblTransactions[[#This Row],[Quantity]]*tblTransactions[[#This Row],[UnitPrice]]</f>
        <v>46428.19</v>
      </c>
      <c r="N717" s="9">
        <f>tblTransactions[[#This Row],[GrossSales]]*tblTransactions[[#This Row],[Discount]]</f>
        <v>0</v>
      </c>
      <c r="O717" s="9">
        <f>tblTransactions[[#This Row],[GrossSales]]-tblTransactions[[#This Row],[DiscountAmount]]</f>
        <v>46428.19</v>
      </c>
      <c r="P717" s="9">
        <f>_xlfn.XLOOKUP(tblTransactions[[#This Row],[ProductID]],tblProducts[ProductID],tblProducts[UnitCost])</f>
        <v>26886.09</v>
      </c>
      <c r="Q717" s="9">
        <f>tblTransactions[[#This Row],[Quantity]]*tblTransactions[[#This Row],[UnitCost]]</f>
        <v>26886.09</v>
      </c>
      <c r="R717" s="9">
        <f>tblTransactions[[#This Row],[NetRevenue]]-tblTransactions[[#This Row],[TotalCost]]</f>
        <v>19542.100000000002</v>
      </c>
      <c r="S717" t="str">
        <f>_xlfn.XLOOKUP(tblTransactions[[#This Row],[ProductID]],tblProducts[ProductID],tblProducts[Category])</f>
        <v>Electronics</v>
      </c>
    </row>
    <row r="718" spans="1:19">
      <c r="A718" t="s">
        <v>17035</v>
      </c>
      <c r="B718" s="1">
        <v>45715</v>
      </c>
      <c r="C718" t="s">
        <v>7097</v>
      </c>
      <c r="D718" t="str">
        <f>_xlfn.XLOOKUP(tblTransactions[[#This Row],[CustomerID]],tblCustomers[CustomerID],tblCustomers[CustomerName])</f>
        <v>Aryan Narain</v>
      </c>
      <c r="E718" t="s">
        <v>16167</v>
      </c>
      <c r="F718" t="str">
        <f>_xlfn.XLOOKUP(tblTransactions[[#This Row],[ProductID]],tblProducts[ProductID],tblProducts[ProductName])</f>
        <v>Coffee C3</v>
      </c>
      <c r="G718" t="s">
        <v>16299</v>
      </c>
      <c r="H718" t="str">
        <f>_xlfn.XLOOKUP(tblTransactions[[#This Row],[StoreID]],tblStores[StoreID],tblStores[Region])</f>
        <v>South</v>
      </c>
      <c r="I718">
        <v>2</v>
      </c>
      <c r="J718">
        <v>0</v>
      </c>
      <c r="K718" t="s">
        <v>16317</v>
      </c>
      <c r="L718" s="9">
        <f>_xlfn.XLOOKUP(tblTransactions[[#This Row],[ProductID]],tblProducts[ProductID],tblProducts[UnitPrice])</f>
        <v>912.62</v>
      </c>
      <c r="M718" s="9">
        <f>tblTransactions[[#This Row],[Quantity]]*tblTransactions[[#This Row],[UnitPrice]]</f>
        <v>1825.24</v>
      </c>
      <c r="N718" s="9">
        <f>tblTransactions[[#This Row],[GrossSales]]*tblTransactions[[#This Row],[Discount]]</f>
        <v>0</v>
      </c>
      <c r="O718" s="9">
        <f>tblTransactions[[#This Row],[GrossSales]]-tblTransactions[[#This Row],[DiscountAmount]]</f>
        <v>1825.24</v>
      </c>
      <c r="P718" s="9">
        <f>_xlfn.XLOOKUP(tblTransactions[[#This Row],[ProductID]],tblProducts[ProductID],tblProducts[UnitCost])</f>
        <v>648.75</v>
      </c>
      <c r="Q718" s="9">
        <f>tblTransactions[[#This Row],[Quantity]]*tblTransactions[[#This Row],[UnitCost]]</f>
        <v>1297.5</v>
      </c>
      <c r="R718" s="9">
        <f>tblTransactions[[#This Row],[NetRevenue]]-tblTransactions[[#This Row],[TotalCost]]</f>
        <v>527.74</v>
      </c>
      <c r="S718" t="str">
        <f>_xlfn.XLOOKUP(tblTransactions[[#This Row],[ProductID]],tblProducts[ProductID],tblProducts[Category])</f>
        <v>Grocery</v>
      </c>
    </row>
    <row r="719" spans="1:19">
      <c r="A719" t="s">
        <v>17036</v>
      </c>
      <c r="B719" s="1">
        <v>45718</v>
      </c>
      <c r="C719" t="s">
        <v>5907</v>
      </c>
      <c r="D719" t="str">
        <f>_xlfn.XLOOKUP(tblTransactions[[#This Row],[CustomerID]],tblCustomers[CustomerID],tblCustomers[CustomerName])</f>
        <v>Joshua Nair</v>
      </c>
      <c r="E719" t="s">
        <v>16241</v>
      </c>
      <c r="F719" t="str">
        <f>_xlfn.XLOOKUP(tblTransactions[[#This Row],[ProductID]],tblProducts[ProductID],tblProducts[ProductName])</f>
        <v>Shaving Kit B2</v>
      </c>
      <c r="G719" t="s">
        <v>16281</v>
      </c>
      <c r="H719" t="str">
        <f>_xlfn.XLOOKUP(tblTransactions[[#This Row],[StoreID]],tblStores[StoreID],tblStores[Region])</f>
        <v>West</v>
      </c>
      <c r="I719">
        <v>3</v>
      </c>
      <c r="J719">
        <v>0.05</v>
      </c>
      <c r="K719" t="s">
        <v>16317</v>
      </c>
      <c r="L719" s="9">
        <f>_xlfn.XLOOKUP(tblTransactions[[#This Row],[ProductID]],tblProducts[ProductID],tblProducts[UnitPrice])</f>
        <v>543.23</v>
      </c>
      <c r="M719" s="9">
        <f>tblTransactions[[#This Row],[Quantity]]*tblTransactions[[#This Row],[UnitPrice]]</f>
        <v>1629.69</v>
      </c>
      <c r="N719" s="9">
        <f>tblTransactions[[#This Row],[GrossSales]]*tblTransactions[[#This Row],[Discount]]</f>
        <v>81.484500000000011</v>
      </c>
      <c r="O719" s="9">
        <f>tblTransactions[[#This Row],[GrossSales]]-tblTransactions[[#This Row],[DiscountAmount]]</f>
        <v>1548.2055</v>
      </c>
      <c r="P719" s="9">
        <f>_xlfn.XLOOKUP(tblTransactions[[#This Row],[ProductID]],tblProducts[ProductID],tblProducts[UnitCost])</f>
        <v>441.82</v>
      </c>
      <c r="Q719" s="9">
        <f>tblTransactions[[#This Row],[Quantity]]*tblTransactions[[#This Row],[UnitCost]]</f>
        <v>1325.46</v>
      </c>
      <c r="R719" s="9">
        <f>tblTransactions[[#This Row],[NetRevenue]]-tblTransactions[[#This Row],[TotalCost]]</f>
        <v>222.74549999999999</v>
      </c>
      <c r="S719" t="str">
        <f>_xlfn.XLOOKUP(tblTransactions[[#This Row],[ProductID]],tblProducts[ProductID],tblProducts[Category])</f>
        <v>Personal Care</v>
      </c>
    </row>
    <row r="720" spans="1:19">
      <c r="A720" t="s">
        <v>17037</v>
      </c>
      <c r="B720" s="1">
        <v>45718</v>
      </c>
      <c r="C720" t="s">
        <v>8106</v>
      </c>
      <c r="D720" t="str">
        <f>_xlfn.XLOOKUP(tblTransactions[[#This Row],[CustomerID]],tblCustomers[CustomerID],tblCustomers[CustomerName])</f>
        <v>Joshua Zachariah</v>
      </c>
      <c r="E720" t="s">
        <v>15941</v>
      </c>
      <c r="F720" t="str">
        <f>_xlfn.XLOOKUP(tblTransactions[[#This Row],[ProductID]],tblProducts[ProductID],tblProducts[ProductName])</f>
        <v>Full HD TV B7</v>
      </c>
      <c r="G720" t="s">
        <v>16265</v>
      </c>
      <c r="H720" t="str">
        <f>_xlfn.XLOOKUP(tblTransactions[[#This Row],[StoreID]],tblStores[StoreID],tblStores[Region])</f>
        <v>North</v>
      </c>
      <c r="I720">
        <v>2</v>
      </c>
      <c r="J720">
        <v>0</v>
      </c>
      <c r="K720" t="s">
        <v>16321</v>
      </c>
      <c r="L720" s="9">
        <f>_xlfn.XLOOKUP(tblTransactions[[#This Row],[ProductID]],tblProducts[ProductID],tblProducts[UnitPrice])</f>
        <v>26638.81</v>
      </c>
      <c r="M720" s="9">
        <f>tblTransactions[[#This Row],[Quantity]]*tblTransactions[[#This Row],[UnitPrice]]</f>
        <v>53277.62</v>
      </c>
      <c r="N720" s="9">
        <f>tblTransactions[[#This Row],[GrossSales]]*tblTransactions[[#This Row],[Discount]]</f>
        <v>0</v>
      </c>
      <c r="O720" s="9">
        <f>tblTransactions[[#This Row],[GrossSales]]-tblTransactions[[#This Row],[DiscountAmount]]</f>
        <v>53277.62</v>
      </c>
      <c r="P720" s="9">
        <f>_xlfn.XLOOKUP(tblTransactions[[#This Row],[ProductID]],tblProducts[ProductID],tblProducts[UnitCost])</f>
        <v>20107.810000000001</v>
      </c>
      <c r="Q720" s="9">
        <f>tblTransactions[[#This Row],[Quantity]]*tblTransactions[[#This Row],[UnitCost]]</f>
        <v>40215.620000000003</v>
      </c>
      <c r="R720" s="9">
        <f>tblTransactions[[#This Row],[NetRevenue]]-tblTransactions[[#This Row],[TotalCost]]</f>
        <v>13062</v>
      </c>
      <c r="S720" t="str">
        <f>_xlfn.XLOOKUP(tblTransactions[[#This Row],[ProductID]],tblProducts[ProductID],tblProducts[Category])</f>
        <v>Electronics</v>
      </c>
    </row>
    <row r="721" spans="1:19">
      <c r="A721" t="s">
        <v>17038</v>
      </c>
      <c r="B721" s="1">
        <v>45718</v>
      </c>
      <c r="C721" t="s">
        <v>10804</v>
      </c>
      <c r="D721" t="str">
        <f>_xlfn.XLOOKUP(tblTransactions[[#This Row],[CustomerID]],tblCustomers[CustomerID],tblCustomers[CustomerName])</f>
        <v>Chatresh Gopal</v>
      </c>
      <c r="E721" t="s">
        <v>16245</v>
      </c>
      <c r="F721" t="str">
        <f>_xlfn.XLOOKUP(tblTransactions[[#This Row],[ProductID]],tblProducts[ProductID],tblProducts[ProductName])</f>
        <v>Razor D4</v>
      </c>
      <c r="G721" t="s">
        <v>16277</v>
      </c>
      <c r="H721" t="str">
        <f>_xlfn.XLOOKUP(tblTransactions[[#This Row],[StoreID]],tblStores[StoreID],tblStores[Region])</f>
        <v>West</v>
      </c>
      <c r="I721">
        <v>1</v>
      </c>
      <c r="J721">
        <v>0</v>
      </c>
      <c r="K721" t="s">
        <v>16315</v>
      </c>
      <c r="L721" s="9">
        <f>_xlfn.XLOOKUP(tblTransactions[[#This Row],[ProductID]],tblProducts[ProductID],tblProducts[UnitPrice])</f>
        <v>4084.63</v>
      </c>
      <c r="M721" s="9">
        <f>tblTransactions[[#This Row],[Quantity]]*tblTransactions[[#This Row],[UnitPrice]]</f>
        <v>4084.63</v>
      </c>
      <c r="N721" s="9">
        <f>tblTransactions[[#This Row],[GrossSales]]*tblTransactions[[#This Row],[Discount]]</f>
        <v>0</v>
      </c>
      <c r="O721" s="9">
        <f>tblTransactions[[#This Row],[GrossSales]]-tblTransactions[[#This Row],[DiscountAmount]]</f>
        <v>4084.63</v>
      </c>
      <c r="P721" s="9">
        <f>_xlfn.XLOOKUP(tblTransactions[[#This Row],[ProductID]],tblProducts[ProductID],tblProducts[UnitCost])</f>
        <v>2990.01</v>
      </c>
      <c r="Q721" s="9">
        <f>tblTransactions[[#This Row],[Quantity]]*tblTransactions[[#This Row],[UnitCost]]</f>
        <v>2990.01</v>
      </c>
      <c r="R721" s="9">
        <f>tblTransactions[[#This Row],[NetRevenue]]-tblTransactions[[#This Row],[TotalCost]]</f>
        <v>1094.6199999999999</v>
      </c>
      <c r="S721" t="str">
        <f>_xlfn.XLOOKUP(tblTransactions[[#This Row],[ProductID]],tblProducts[ProductID],tblProducts[Category])</f>
        <v>Personal Care</v>
      </c>
    </row>
    <row r="722" spans="1:19">
      <c r="A722" t="s">
        <v>17039</v>
      </c>
      <c r="B722" s="1">
        <v>45719</v>
      </c>
      <c r="C722" t="s">
        <v>1823</v>
      </c>
      <c r="D722" t="str">
        <f>_xlfn.XLOOKUP(tblTransactions[[#This Row],[CustomerID]],tblCustomers[CustomerID],tblCustomers[CustomerName])</f>
        <v>Indali Kala</v>
      </c>
      <c r="E722" t="s">
        <v>16243</v>
      </c>
      <c r="F722" t="str">
        <f>_xlfn.XLOOKUP(tblTransactions[[#This Row],[ProductID]],tblProducts[ProductID],tblProducts[ProductName])</f>
        <v>Trimmer C3</v>
      </c>
      <c r="G722" t="s">
        <v>16299</v>
      </c>
      <c r="H722" t="str">
        <f>_xlfn.XLOOKUP(tblTransactions[[#This Row],[StoreID]],tblStores[StoreID],tblStores[Region])</f>
        <v>South</v>
      </c>
      <c r="I722">
        <v>1</v>
      </c>
      <c r="J722">
        <v>0</v>
      </c>
      <c r="K722" t="s">
        <v>16315</v>
      </c>
      <c r="L722" s="9">
        <f>_xlfn.XLOOKUP(tblTransactions[[#This Row],[ProductID]],tblProducts[ProductID],tblProducts[UnitPrice])</f>
        <v>3309.4</v>
      </c>
      <c r="M722" s="9">
        <f>tblTransactions[[#This Row],[Quantity]]*tblTransactions[[#This Row],[UnitPrice]]</f>
        <v>3309.4</v>
      </c>
      <c r="N722" s="9">
        <f>tblTransactions[[#This Row],[GrossSales]]*tblTransactions[[#This Row],[Discount]]</f>
        <v>0</v>
      </c>
      <c r="O722" s="9">
        <f>tblTransactions[[#This Row],[GrossSales]]-tblTransactions[[#This Row],[DiscountAmount]]</f>
        <v>3309.4</v>
      </c>
      <c r="P722" s="9">
        <f>_xlfn.XLOOKUP(tblTransactions[[#This Row],[ProductID]],tblProducts[ProductID],tblProducts[UnitCost])</f>
        <v>2744.04</v>
      </c>
      <c r="Q722" s="9">
        <f>tblTransactions[[#This Row],[Quantity]]*tblTransactions[[#This Row],[UnitCost]]</f>
        <v>2744.04</v>
      </c>
      <c r="R722" s="9">
        <f>tblTransactions[[#This Row],[NetRevenue]]-tblTransactions[[#This Row],[TotalCost]]</f>
        <v>565.36000000000013</v>
      </c>
      <c r="S722" t="str">
        <f>_xlfn.XLOOKUP(tblTransactions[[#This Row],[ProductID]],tblProducts[ProductID],tblProducts[Category])</f>
        <v>Personal Care</v>
      </c>
    </row>
    <row r="723" spans="1:19">
      <c r="A723" t="s">
        <v>17040</v>
      </c>
      <c r="B723" s="1">
        <v>45719</v>
      </c>
      <c r="C723" t="s">
        <v>1753</v>
      </c>
      <c r="D723" t="str">
        <f>_xlfn.XLOOKUP(tblTransactions[[#This Row],[CustomerID]],tblCustomers[CustomerID],tblCustomers[CustomerName])</f>
        <v>Bimala Loke</v>
      </c>
      <c r="E723" t="s">
        <v>16040</v>
      </c>
      <c r="F723" t="str">
        <f>_xlfn.XLOOKUP(tblTransactions[[#This Row],[ProductID]],tblProducts[ProductID],tblProducts[ProductName])</f>
        <v>Cookware Set A1</v>
      </c>
      <c r="G723" t="s">
        <v>16299</v>
      </c>
      <c r="H723" t="str">
        <f>_xlfn.XLOOKUP(tblTransactions[[#This Row],[StoreID]],tblStores[StoreID],tblStores[Region])</f>
        <v>South</v>
      </c>
      <c r="I723">
        <v>3</v>
      </c>
      <c r="J723">
        <v>0</v>
      </c>
      <c r="K723" t="s">
        <v>16317</v>
      </c>
      <c r="L723" s="9">
        <f>_xlfn.XLOOKUP(tblTransactions[[#This Row],[ProductID]],tblProducts[ProductID],tblProducts[UnitPrice])</f>
        <v>23380</v>
      </c>
      <c r="M723" s="9">
        <f>tblTransactions[[#This Row],[Quantity]]*tblTransactions[[#This Row],[UnitPrice]]</f>
        <v>70140</v>
      </c>
      <c r="N723" s="9">
        <f>tblTransactions[[#This Row],[GrossSales]]*tblTransactions[[#This Row],[Discount]]</f>
        <v>0</v>
      </c>
      <c r="O723" s="9">
        <f>tblTransactions[[#This Row],[GrossSales]]-tblTransactions[[#This Row],[DiscountAmount]]</f>
        <v>70140</v>
      </c>
      <c r="P723" s="9">
        <f>_xlfn.XLOOKUP(tblTransactions[[#This Row],[ProductID]],tblProducts[ProductID],tblProducts[UnitCost])</f>
        <v>15528.93</v>
      </c>
      <c r="Q723" s="9">
        <f>tblTransactions[[#This Row],[Quantity]]*tblTransactions[[#This Row],[UnitCost]]</f>
        <v>46586.79</v>
      </c>
      <c r="R723" s="9">
        <f>tblTransactions[[#This Row],[NetRevenue]]-tblTransactions[[#This Row],[TotalCost]]</f>
        <v>23553.21</v>
      </c>
      <c r="S723" t="str">
        <f>_xlfn.XLOOKUP(tblTransactions[[#This Row],[ProductID]],tblProducts[ProductID],tblProducts[Category])</f>
        <v>Home &amp; Kitchen</v>
      </c>
    </row>
    <row r="724" spans="1:19">
      <c r="A724" t="s">
        <v>17041</v>
      </c>
      <c r="B724" s="1">
        <v>45720</v>
      </c>
      <c r="C724" t="s">
        <v>13573</v>
      </c>
      <c r="D724" t="str">
        <f>_xlfn.XLOOKUP(tblTransactions[[#This Row],[CustomerID]],tblCustomers[CustomerID],tblCustomers[CustomerName])</f>
        <v>Deepa Hayre</v>
      </c>
      <c r="E724" t="s">
        <v>16019</v>
      </c>
      <c r="F724" t="str">
        <f>_xlfn.XLOOKUP(tblTransactions[[#This Row],[ProductID]],tblProducts[ProductID],tblProducts[ProductName])</f>
        <v>Microwave Oven E5</v>
      </c>
      <c r="G724" t="s">
        <v>16305</v>
      </c>
      <c r="H724" t="str">
        <f>_xlfn.XLOOKUP(tblTransactions[[#This Row],[StoreID]],tblStores[StoreID],tblStores[Region])</f>
        <v>South</v>
      </c>
      <c r="I724">
        <v>1</v>
      </c>
      <c r="J724">
        <v>0</v>
      </c>
      <c r="K724" t="s">
        <v>16325</v>
      </c>
      <c r="L724" s="9">
        <f>_xlfn.XLOOKUP(tblTransactions[[#This Row],[ProductID]],tblProducts[ProductID],tblProducts[UnitPrice])</f>
        <v>22827.119999999999</v>
      </c>
      <c r="M724" s="9">
        <f>tblTransactions[[#This Row],[Quantity]]*tblTransactions[[#This Row],[UnitPrice]]</f>
        <v>22827.119999999999</v>
      </c>
      <c r="N724" s="9">
        <f>tblTransactions[[#This Row],[GrossSales]]*tblTransactions[[#This Row],[Discount]]</f>
        <v>0</v>
      </c>
      <c r="O724" s="9">
        <f>tblTransactions[[#This Row],[GrossSales]]-tblTransactions[[#This Row],[DiscountAmount]]</f>
        <v>22827.119999999999</v>
      </c>
      <c r="P724" s="9">
        <f>_xlfn.XLOOKUP(tblTransactions[[#This Row],[ProductID]],tblProducts[ProductID],tblProducts[UnitCost])</f>
        <v>18264.07</v>
      </c>
      <c r="Q724" s="9">
        <f>tblTransactions[[#This Row],[Quantity]]*tblTransactions[[#This Row],[UnitCost]]</f>
        <v>18264.07</v>
      </c>
      <c r="R724" s="9">
        <f>tblTransactions[[#This Row],[NetRevenue]]-tblTransactions[[#This Row],[TotalCost]]</f>
        <v>4563.0499999999993</v>
      </c>
      <c r="S724" t="str">
        <f>_xlfn.XLOOKUP(tblTransactions[[#This Row],[ProductID]],tblProducts[ProductID],tblProducts[Category])</f>
        <v>Home &amp; Kitchen</v>
      </c>
    </row>
    <row r="725" spans="1:19">
      <c r="A725" t="s">
        <v>17042</v>
      </c>
      <c r="B725" s="1">
        <v>45720</v>
      </c>
      <c r="C725" t="s">
        <v>14329</v>
      </c>
      <c r="D725" t="str">
        <f>_xlfn.XLOOKUP(tblTransactions[[#This Row],[CustomerID]],tblCustomers[CustomerID],tblCustomers[CustomerName])</f>
        <v>Vamakshi Bhagat</v>
      </c>
      <c r="E725" t="s">
        <v>16032</v>
      </c>
      <c r="F725" t="str">
        <f>_xlfn.XLOOKUP(tblTransactions[[#This Row],[ProductID]],tblProducts[ProductID],tblProducts[ProductName])</f>
        <v>Study Table D4</v>
      </c>
      <c r="G725" t="s">
        <v>16307</v>
      </c>
      <c r="H725" t="str">
        <f>_xlfn.XLOOKUP(tblTransactions[[#This Row],[StoreID]],tblStores[StoreID],tblStores[Region])</f>
        <v>East</v>
      </c>
      <c r="I725">
        <v>3</v>
      </c>
      <c r="J725">
        <v>0</v>
      </c>
      <c r="K725" t="s">
        <v>16315</v>
      </c>
      <c r="L725" s="9">
        <f>_xlfn.XLOOKUP(tblTransactions[[#This Row],[ProductID]],tblProducts[ProductID],tblProducts[UnitPrice])</f>
        <v>643.36</v>
      </c>
      <c r="M725" s="9">
        <f>tblTransactions[[#This Row],[Quantity]]*tblTransactions[[#This Row],[UnitPrice]]</f>
        <v>1930.08</v>
      </c>
      <c r="N725" s="9">
        <f>tblTransactions[[#This Row],[GrossSales]]*tblTransactions[[#This Row],[Discount]]</f>
        <v>0</v>
      </c>
      <c r="O725" s="9">
        <f>tblTransactions[[#This Row],[GrossSales]]-tblTransactions[[#This Row],[DiscountAmount]]</f>
        <v>1930.08</v>
      </c>
      <c r="P725" s="9">
        <f>_xlfn.XLOOKUP(tblTransactions[[#This Row],[ProductID]],tblProducts[ProductID],tblProducts[UnitCost])</f>
        <v>460.5</v>
      </c>
      <c r="Q725" s="9">
        <f>tblTransactions[[#This Row],[Quantity]]*tblTransactions[[#This Row],[UnitCost]]</f>
        <v>1381.5</v>
      </c>
      <c r="R725" s="9">
        <f>tblTransactions[[#This Row],[NetRevenue]]-tblTransactions[[#This Row],[TotalCost]]</f>
        <v>548.57999999999993</v>
      </c>
      <c r="S725" t="str">
        <f>_xlfn.XLOOKUP(tblTransactions[[#This Row],[ProductID]],tblProducts[ProductID],tblProducts[Category])</f>
        <v>Home &amp; Kitchen</v>
      </c>
    </row>
    <row r="726" spans="1:19">
      <c r="A726" t="s">
        <v>17043</v>
      </c>
      <c r="B726" s="1">
        <v>45721</v>
      </c>
      <c r="C726" t="s">
        <v>12141</v>
      </c>
      <c r="D726" t="str">
        <f>_xlfn.XLOOKUP(tblTransactions[[#This Row],[CustomerID]],tblCustomers[CustomerID],tblCustomers[CustomerName])</f>
        <v>Upasna Ranganathan</v>
      </c>
      <c r="E726" t="s">
        <v>16080</v>
      </c>
      <c r="F726" t="str">
        <f>_xlfn.XLOOKUP(tblTransactions[[#This Row],[ProductID]],tblProducts[ProductID],tblProducts[ProductName])</f>
        <v>Men's Jacket E5</v>
      </c>
      <c r="G726" t="s">
        <v>16267</v>
      </c>
      <c r="H726" t="str">
        <f>_xlfn.XLOOKUP(tblTransactions[[#This Row],[StoreID]],tblStores[StoreID],tblStores[Region])</f>
        <v>West</v>
      </c>
      <c r="I726">
        <v>2</v>
      </c>
      <c r="J726">
        <v>0.15</v>
      </c>
      <c r="K726" t="s">
        <v>16325</v>
      </c>
      <c r="L726" s="9">
        <f>_xlfn.XLOOKUP(tblTransactions[[#This Row],[ProductID]],tblProducts[ProductID],tblProducts[UnitPrice])</f>
        <v>2211.5500000000002</v>
      </c>
      <c r="M726" s="9">
        <f>tblTransactions[[#This Row],[Quantity]]*tblTransactions[[#This Row],[UnitPrice]]</f>
        <v>4423.1000000000004</v>
      </c>
      <c r="N726" s="9">
        <f>tblTransactions[[#This Row],[GrossSales]]*tblTransactions[[#This Row],[Discount]]</f>
        <v>663.46500000000003</v>
      </c>
      <c r="O726" s="9">
        <f>tblTransactions[[#This Row],[GrossSales]]-tblTransactions[[#This Row],[DiscountAmount]]</f>
        <v>3759.6350000000002</v>
      </c>
      <c r="P726" s="9">
        <f>_xlfn.XLOOKUP(tblTransactions[[#This Row],[ProductID]],tblProducts[ProductID],tblProducts[UnitCost])</f>
        <v>1820.39</v>
      </c>
      <c r="Q726" s="9">
        <f>tblTransactions[[#This Row],[Quantity]]*tblTransactions[[#This Row],[UnitCost]]</f>
        <v>3640.78</v>
      </c>
      <c r="R726" s="9">
        <f>tblTransactions[[#This Row],[NetRevenue]]-tblTransactions[[#This Row],[TotalCost]]</f>
        <v>118.85500000000002</v>
      </c>
      <c r="S726" t="str">
        <f>_xlfn.XLOOKUP(tblTransactions[[#This Row],[ProductID]],tblProducts[ProductID],tblProducts[Category])</f>
        <v>Clothing</v>
      </c>
    </row>
    <row r="727" spans="1:19">
      <c r="A727" t="s">
        <v>17044</v>
      </c>
      <c r="B727" s="1">
        <v>45724</v>
      </c>
      <c r="C727" t="s">
        <v>6673</v>
      </c>
      <c r="D727" t="str">
        <f>_xlfn.XLOOKUP(tblTransactions[[#This Row],[CustomerID]],tblCustomers[CustomerID],tblCustomers[CustomerName])</f>
        <v>Agastya Som</v>
      </c>
      <c r="E727" t="s">
        <v>16165</v>
      </c>
      <c r="F727" t="str">
        <f>_xlfn.XLOOKUP(tblTransactions[[#This Row],[ProductID]],tblProducts[ProductID],tblProducts[ProductName])</f>
        <v>Juice B2</v>
      </c>
      <c r="G727" t="s">
        <v>16265</v>
      </c>
      <c r="H727" t="str">
        <f>_xlfn.XLOOKUP(tblTransactions[[#This Row],[StoreID]],tblStores[StoreID],tblStores[Region])</f>
        <v>North</v>
      </c>
      <c r="I727">
        <v>1</v>
      </c>
      <c r="J727">
        <v>0</v>
      </c>
      <c r="K727" t="s">
        <v>16321</v>
      </c>
      <c r="L727" s="9">
        <f>_xlfn.XLOOKUP(tblTransactions[[#This Row],[ProductID]],tblProducts[ProductID],tblProducts[UnitPrice])</f>
        <v>1053.9000000000001</v>
      </c>
      <c r="M727" s="9">
        <f>tblTransactions[[#This Row],[Quantity]]*tblTransactions[[#This Row],[UnitPrice]]</f>
        <v>1053.9000000000001</v>
      </c>
      <c r="N727" s="9">
        <f>tblTransactions[[#This Row],[GrossSales]]*tblTransactions[[#This Row],[Discount]]</f>
        <v>0</v>
      </c>
      <c r="O727" s="9">
        <f>tblTransactions[[#This Row],[GrossSales]]-tblTransactions[[#This Row],[DiscountAmount]]</f>
        <v>1053.9000000000001</v>
      </c>
      <c r="P727" s="9">
        <f>_xlfn.XLOOKUP(tblTransactions[[#This Row],[ProductID]],tblProducts[ProductID],tblProducts[UnitCost])</f>
        <v>710.59</v>
      </c>
      <c r="Q727" s="9">
        <f>tblTransactions[[#This Row],[Quantity]]*tblTransactions[[#This Row],[UnitCost]]</f>
        <v>710.59</v>
      </c>
      <c r="R727" s="9">
        <f>tblTransactions[[#This Row],[NetRevenue]]-tblTransactions[[#This Row],[TotalCost]]</f>
        <v>343.31000000000006</v>
      </c>
      <c r="S727" t="str">
        <f>_xlfn.XLOOKUP(tblTransactions[[#This Row],[ProductID]],tblProducts[ProductID],tblProducts[Category])</f>
        <v>Grocery</v>
      </c>
    </row>
    <row r="728" spans="1:19">
      <c r="A728" t="s">
        <v>17045</v>
      </c>
      <c r="B728" s="1">
        <v>45724</v>
      </c>
      <c r="C728" t="s">
        <v>2749</v>
      </c>
      <c r="D728" t="str">
        <f>_xlfn.XLOOKUP(tblTransactions[[#This Row],[CustomerID]],tblCustomers[CustomerID],tblCustomers[CustomerName])</f>
        <v>Aarna Gole</v>
      </c>
      <c r="E728" t="s">
        <v>16003</v>
      </c>
      <c r="F728" t="str">
        <f>_xlfn.XLOOKUP(tblTransactions[[#This Row],[ProductID]],tblProducts[ProductID],tblProducts[ProductName])</f>
        <v>Wireless Charger E5</v>
      </c>
      <c r="G728" t="s">
        <v>16283</v>
      </c>
      <c r="H728" t="str">
        <f>_xlfn.XLOOKUP(tblTransactions[[#This Row],[StoreID]],tblStores[StoreID],tblStores[Region])</f>
        <v>South</v>
      </c>
      <c r="I728">
        <v>1</v>
      </c>
      <c r="J728">
        <v>0</v>
      </c>
      <c r="K728" t="s">
        <v>16325</v>
      </c>
      <c r="L728" s="9">
        <f>_xlfn.XLOOKUP(tblTransactions[[#This Row],[ProductID]],tblProducts[ProductID],tblProducts[UnitPrice])</f>
        <v>74177.87</v>
      </c>
      <c r="M728" s="9">
        <f>tblTransactions[[#This Row],[Quantity]]*tblTransactions[[#This Row],[UnitPrice]]</f>
        <v>74177.87</v>
      </c>
      <c r="N728" s="9">
        <f>tblTransactions[[#This Row],[GrossSales]]*tblTransactions[[#This Row],[Discount]]</f>
        <v>0</v>
      </c>
      <c r="O728" s="9">
        <f>tblTransactions[[#This Row],[GrossSales]]-tblTransactions[[#This Row],[DiscountAmount]]</f>
        <v>74177.87</v>
      </c>
      <c r="P728" s="9">
        <f>_xlfn.XLOOKUP(tblTransactions[[#This Row],[ProductID]],tblProducts[ProductID],tblProducts[UnitCost])</f>
        <v>46554.33</v>
      </c>
      <c r="Q728" s="9">
        <f>tblTransactions[[#This Row],[Quantity]]*tblTransactions[[#This Row],[UnitCost]]</f>
        <v>46554.33</v>
      </c>
      <c r="R728" s="9">
        <f>tblTransactions[[#This Row],[NetRevenue]]-tblTransactions[[#This Row],[TotalCost]]</f>
        <v>27623.539999999994</v>
      </c>
      <c r="S728" t="str">
        <f>_xlfn.XLOOKUP(tblTransactions[[#This Row],[ProductID]],tblProducts[ProductID],tblProducts[Category])</f>
        <v>Electronics</v>
      </c>
    </row>
    <row r="729" spans="1:19">
      <c r="A729" t="s">
        <v>17046</v>
      </c>
      <c r="B729" s="1">
        <v>45724</v>
      </c>
      <c r="C729" t="s">
        <v>14537</v>
      </c>
      <c r="D729" t="str">
        <f>_xlfn.XLOOKUP(tblTransactions[[#This Row],[CustomerID]],tblCustomers[CustomerID],tblCustomers[CustomerName])</f>
        <v>Anvi Sen</v>
      </c>
      <c r="E729" t="s">
        <v>15931</v>
      </c>
      <c r="F729" t="str">
        <f>_xlfn.XLOOKUP(tblTransactions[[#This Row],[ProductID]],tblProducts[ProductID],tblProducts[ProductName])</f>
        <v>QLED Smart TV B2</v>
      </c>
      <c r="G729" t="s">
        <v>16277</v>
      </c>
      <c r="H729" t="str">
        <f>_xlfn.XLOOKUP(tblTransactions[[#This Row],[StoreID]],tblStores[StoreID],tblStores[Region])</f>
        <v>West</v>
      </c>
      <c r="I729">
        <v>1</v>
      </c>
      <c r="J729">
        <v>0</v>
      </c>
      <c r="K729" t="s">
        <v>16315</v>
      </c>
      <c r="L729" s="9">
        <f>_xlfn.XLOOKUP(tblTransactions[[#This Row],[ProductID]],tblProducts[ProductID],tblProducts[UnitPrice])</f>
        <v>75177.759999999995</v>
      </c>
      <c r="M729" s="9">
        <f>tblTransactions[[#This Row],[Quantity]]*tblTransactions[[#This Row],[UnitPrice]]</f>
        <v>75177.759999999995</v>
      </c>
      <c r="N729" s="9">
        <f>tblTransactions[[#This Row],[GrossSales]]*tblTransactions[[#This Row],[Discount]]</f>
        <v>0</v>
      </c>
      <c r="O729" s="9">
        <f>tblTransactions[[#This Row],[GrossSales]]-tblTransactions[[#This Row],[DiscountAmount]]</f>
        <v>75177.759999999995</v>
      </c>
      <c r="P729" s="9">
        <f>_xlfn.XLOOKUP(tblTransactions[[#This Row],[ProductID]],tblProducts[ProductID],tblProducts[UnitCost])</f>
        <v>51831.839999999997</v>
      </c>
      <c r="Q729" s="9">
        <f>tblTransactions[[#This Row],[Quantity]]*tblTransactions[[#This Row],[UnitCost]]</f>
        <v>51831.839999999997</v>
      </c>
      <c r="R729" s="9">
        <f>tblTransactions[[#This Row],[NetRevenue]]-tblTransactions[[#This Row],[TotalCost]]</f>
        <v>23345.919999999998</v>
      </c>
      <c r="S729" t="str">
        <f>_xlfn.XLOOKUP(tblTransactions[[#This Row],[ProductID]],tblProducts[ProductID],tblProducts[Category])</f>
        <v>Electronics</v>
      </c>
    </row>
    <row r="730" spans="1:19">
      <c r="A730" t="s">
        <v>17047</v>
      </c>
      <c r="B730" s="1">
        <v>45724</v>
      </c>
      <c r="C730" t="s">
        <v>14039</v>
      </c>
      <c r="D730" t="str">
        <f>_xlfn.XLOOKUP(tblTransactions[[#This Row],[CustomerID]],tblCustomers[CustomerID],tblCustomers[CustomerName])</f>
        <v>Yahvi Parmer</v>
      </c>
      <c r="E730" t="s">
        <v>16114</v>
      </c>
      <c r="F730" t="str">
        <f>_xlfn.XLOOKUP(tblTransactions[[#This Row],[ProductID]],tblProducts[ProductID],tblProducts[ProductName])</f>
        <v>Kids T-Shirt B7</v>
      </c>
      <c r="G730" t="s">
        <v>16295</v>
      </c>
      <c r="H730" t="str">
        <f>_xlfn.XLOOKUP(tblTransactions[[#This Row],[StoreID]],tblStores[StoreID],tblStores[Region])</f>
        <v>South</v>
      </c>
      <c r="I730">
        <v>1</v>
      </c>
      <c r="J730">
        <v>0.15</v>
      </c>
      <c r="K730" t="s">
        <v>16317</v>
      </c>
      <c r="L730" s="9">
        <f>_xlfn.XLOOKUP(tblTransactions[[#This Row],[ProductID]],tblProducts[ProductID],tblProducts[UnitPrice])</f>
        <v>2599.96</v>
      </c>
      <c r="M730" s="9">
        <f>tblTransactions[[#This Row],[Quantity]]*tblTransactions[[#This Row],[UnitPrice]]</f>
        <v>2599.96</v>
      </c>
      <c r="N730" s="9">
        <f>tblTransactions[[#This Row],[GrossSales]]*tblTransactions[[#This Row],[Discount]]</f>
        <v>389.99399999999997</v>
      </c>
      <c r="O730" s="9">
        <f>tblTransactions[[#This Row],[GrossSales]]-tblTransactions[[#This Row],[DiscountAmount]]</f>
        <v>2209.9659999999999</v>
      </c>
      <c r="P730" s="9">
        <f>_xlfn.XLOOKUP(tblTransactions[[#This Row],[ProductID]],tblProducts[ProductID],tblProducts[UnitCost])</f>
        <v>1643</v>
      </c>
      <c r="Q730" s="9">
        <f>tblTransactions[[#This Row],[Quantity]]*tblTransactions[[#This Row],[UnitCost]]</f>
        <v>1643</v>
      </c>
      <c r="R730" s="9">
        <f>tblTransactions[[#This Row],[NetRevenue]]-tblTransactions[[#This Row],[TotalCost]]</f>
        <v>566.96599999999989</v>
      </c>
      <c r="S730" t="str">
        <f>_xlfn.XLOOKUP(tblTransactions[[#This Row],[ProductID]],tblProducts[ProductID],tblProducts[Category])</f>
        <v>Clothing</v>
      </c>
    </row>
    <row r="731" spans="1:19">
      <c r="A731" t="s">
        <v>17048</v>
      </c>
      <c r="B731" s="1">
        <v>45727</v>
      </c>
      <c r="C731" t="s">
        <v>14497</v>
      </c>
      <c r="D731" t="str">
        <f>_xlfn.XLOOKUP(tblTransactions[[#This Row],[CustomerID]],tblCustomers[CustomerID],tblCustomers[CustomerName])</f>
        <v>Janya Korpal</v>
      </c>
      <c r="E731" t="s">
        <v>15971</v>
      </c>
      <c r="F731" t="str">
        <f>_xlfn.XLOOKUP(tblTransactions[[#This Row],[ProductID]],tblProducts[ProductID],tblProducts[ProductName])</f>
        <v>Ultrabook E5</v>
      </c>
      <c r="G731" t="s">
        <v>16275</v>
      </c>
      <c r="H731" t="str">
        <f>_xlfn.XLOOKUP(tblTransactions[[#This Row],[StoreID]],tblStores[StoreID],tblStores[Region])</f>
        <v>South</v>
      </c>
      <c r="I731">
        <v>2</v>
      </c>
      <c r="J731">
        <v>0.1</v>
      </c>
      <c r="K731" t="s">
        <v>16321</v>
      </c>
      <c r="L731" s="9">
        <f>_xlfn.XLOOKUP(tblTransactions[[#This Row],[ProductID]],tblProducts[ProductID],tblProducts[UnitPrice])</f>
        <v>48777.16</v>
      </c>
      <c r="M731" s="9">
        <f>tblTransactions[[#This Row],[Quantity]]*tblTransactions[[#This Row],[UnitPrice]]</f>
        <v>97554.32</v>
      </c>
      <c r="N731" s="9">
        <f>tblTransactions[[#This Row],[GrossSales]]*tblTransactions[[#This Row],[Discount]]</f>
        <v>9755.4320000000007</v>
      </c>
      <c r="O731" s="9">
        <f>tblTransactions[[#This Row],[GrossSales]]-tblTransactions[[#This Row],[DiscountAmount]]</f>
        <v>87798.888000000006</v>
      </c>
      <c r="P731" s="9">
        <f>_xlfn.XLOOKUP(tblTransactions[[#This Row],[ProductID]],tblProducts[ProductID],tblProducts[UnitCost])</f>
        <v>29771.48</v>
      </c>
      <c r="Q731" s="9">
        <f>tblTransactions[[#This Row],[Quantity]]*tblTransactions[[#This Row],[UnitCost]]</f>
        <v>59542.96</v>
      </c>
      <c r="R731" s="9">
        <f>tblTransactions[[#This Row],[NetRevenue]]-tblTransactions[[#This Row],[TotalCost]]</f>
        <v>28255.928000000007</v>
      </c>
      <c r="S731" t="str">
        <f>_xlfn.XLOOKUP(tblTransactions[[#This Row],[ProductID]],tblProducts[ProductID],tblProducts[Category])</f>
        <v>Electronics</v>
      </c>
    </row>
    <row r="732" spans="1:19">
      <c r="A732" t="s">
        <v>17049</v>
      </c>
      <c r="B732" s="1">
        <v>45727</v>
      </c>
      <c r="C732" t="s">
        <v>9678</v>
      </c>
      <c r="D732" t="str">
        <f>_xlfn.XLOOKUP(tblTransactions[[#This Row],[CustomerID]],tblCustomers[CustomerID],tblCustomers[CustomerName])</f>
        <v>Bhavani Devi</v>
      </c>
      <c r="E732" t="s">
        <v>16223</v>
      </c>
      <c r="F732" t="str">
        <f>_xlfn.XLOOKUP(tblTransactions[[#This Row],[ProductID]],tblProducts[ProductID],tblProducts[ProductName])</f>
        <v>Body Wash A1</v>
      </c>
      <c r="G732" t="s">
        <v>16293</v>
      </c>
      <c r="H732" t="str">
        <f>_xlfn.XLOOKUP(tblTransactions[[#This Row],[StoreID]],tblStores[StoreID],tblStores[Region])</f>
        <v>South</v>
      </c>
      <c r="I732">
        <v>1</v>
      </c>
      <c r="J732">
        <v>0</v>
      </c>
      <c r="K732" t="s">
        <v>16315</v>
      </c>
      <c r="L732" s="9">
        <f>_xlfn.XLOOKUP(tblTransactions[[#This Row],[ProductID]],tblProducts[ProductID],tblProducts[UnitPrice])</f>
        <v>3493.25</v>
      </c>
      <c r="M732" s="9">
        <f>tblTransactions[[#This Row],[Quantity]]*tblTransactions[[#This Row],[UnitPrice]]</f>
        <v>3493.25</v>
      </c>
      <c r="N732" s="9">
        <f>tblTransactions[[#This Row],[GrossSales]]*tblTransactions[[#This Row],[Discount]]</f>
        <v>0</v>
      </c>
      <c r="O732" s="9">
        <f>tblTransactions[[#This Row],[GrossSales]]-tblTransactions[[#This Row],[DiscountAmount]]</f>
        <v>3493.25</v>
      </c>
      <c r="P732" s="9">
        <f>_xlfn.XLOOKUP(tblTransactions[[#This Row],[ProductID]],tblProducts[ProductID],tblProducts[UnitCost])</f>
        <v>2550.08</v>
      </c>
      <c r="Q732" s="9">
        <f>tblTransactions[[#This Row],[Quantity]]*tblTransactions[[#This Row],[UnitCost]]</f>
        <v>2550.08</v>
      </c>
      <c r="R732" s="9">
        <f>tblTransactions[[#This Row],[NetRevenue]]-tblTransactions[[#This Row],[TotalCost]]</f>
        <v>943.17000000000007</v>
      </c>
      <c r="S732" t="str">
        <f>_xlfn.XLOOKUP(tblTransactions[[#This Row],[ProductID]],tblProducts[ProductID],tblProducts[Category])</f>
        <v>Personal Care</v>
      </c>
    </row>
    <row r="733" spans="1:19">
      <c r="A733" t="s">
        <v>17050</v>
      </c>
      <c r="B733" s="1">
        <v>45730</v>
      </c>
      <c r="C733" t="s">
        <v>4409</v>
      </c>
      <c r="D733" t="str">
        <f>_xlfn.XLOOKUP(tblTransactions[[#This Row],[CustomerID]],tblCustomers[CustomerID],tblCustomers[CustomerName])</f>
        <v>Vedika Bahri</v>
      </c>
      <c r="E733" t="s">
        <v>16089</v>
      </c>
      <c r="F733" t="str">
        <f>_xlfn.XLOOKUP(tblTransactions[[#This Row],[ProductID]],tblProducts[ProductID],tblProducts[ProductName])</f>
        <v>Women's Jeans B2</v>
      </c>
      <c r="G733" t="s">
        <v>16275</v>
      </c>
      <c r="H733" t="str">
        <f>_xlfn.XLOOKUP(tblTransactions[[#This Row],[StoreID]],tblStores[StoreID],tblStores[Region])</f>
        <v>South</v>
      </c>
      <c r="I733">
        <v>1</v>
      </c>
      <c r="J733">
        <v>0.05</v>
      </c>
      <c r="K733" t="s">
        <v>16315</v>
      </c>
      <c r="L733" s="9">
        <f>_xlfn.XLOOKUP(tblTransactions[[#This Row],[ProductID]],tblProducts[ProductID],tblProducts[UnitPrice])</f>
        <v>7788.99</v>
      </c>
      <c r="M733" s="9">
        <f>tblTransactions[[#This Row],[Quantity]]*tblTransactions[[#This Row],[UnitPrice]]</f>
        <v>7788.99</v>
      </c>
      <c r="N733" s="9">
        <f>tblTransactions[[#This Row],[GrossSales]]*tblTransactions[[#This Row],[Discount]]</f>
        <v>389.4495</v>
      </c>
      <c r="O733" s="9">
        <f>tblTransactions[[#This Row],[GrossSales]]-tblTransactions[[#This Row],[DiscountAmount]]</f>
        <v>7399.5405000000001</v>
      </c>
      <c r="P733" s="9">
        <f>_xlfn.XLOOKUP(tblTransactions[[#This Row],[ProductID]],tblProducts[ProductID],tblProducts[UnitCost])</f>
        <v>6231.21</v>
      </c>
      <c r="Q733" s="9">
        <f>tblTransactions[[#This Row],[Quantity]]*tblTransactions[[#This Row],[UnitCost]]</f>
        <v>6231.21</v>
      </c>
      <c r="R733" s="9">
        <f>tblTransactions[[#This Row],[NetRevenue]]-tblTransactions[[#This Row],[TotalCost]]</f>
        <v>1168.3305</v>
      </c>
      <c r="S733" t="str">
        <f>_xlfn.XLOOKUP(tblTransactions[[#This Row],[ProductID]],tblProducts[ProductID],tblProducts[Category])</f>
        <v>Clothing</v>
      </c>
    </row>
    <row r="734" spans="1:19">
      <c r="A734" t="s">
        <v>17051</v>
      </c>
      <c r="B734" s="1">
        <v>45734</v>
      </c>
      <c r="C734" t="s">
        <v>6955</v>
      </c>
      <c r="D734" t="str">
        <f>_xlfn.XLOOKUP(tblTransactions[[#This Row],[CustomerID]],tblCustomers[CustomerID],tblCustomers[CustomerName])</f>
        <v>Inaya Sankar</v>
      </c>
      <c r="E734" t="s">
        <v>16121</v>
      </c>
      <c r="F734" t="str">
        <f>_xlfn.XLOOKUP(tblTransactions[[#This Row],[ProductID]],tblProducts[ProductID],tblProducts[ProductName])</f>
        <v>Sandals C3</v>
      </c>
      <c r="G734" t="s">
        <v>16303</v>
      </c>
      <c r="H734" t="str">
        <f>_xlfn.XLOOKUP(tblTransactions[[#This Row],[StoreID]],tblStores[StoreID],tblStores[Region])</f>
        <v>West</v>
      </c>
      <c r="I734">
        <v>2</v>
      </c>
      <c r="J734">
        <v>0.2</v>
      </c>
      <c r="K734" t="s">
        <v>16317</v>
      </c>
      <c r="L734" s="9">
        <f>_xlfn.XLOOKUP(tblTransactions[[#This Row],[ProductID]],tblProducts[ProductID],tblProducts[UnitPrice])</f>
        <v>6708.36</v>
      </c>
      <c r="M734" s="9">
        <f>tblTransactions[[#This Row],[Quantity]]*tblTransactions[[#This Row],[UnitPrice]]</f>
        <v>13416.72</v>
      </c>
      <c r="N734" s="9">
        <f>tblTransactions[[#This Row],[GrossSales]]*tblTransactions[[#This Row],[Discount]]</f>
        <v>2683.3440000000001</v>
      </c>
      <c r="O734" s="9">
        <f>tblTransactions[[#This Row],[GrossSales]]-tblTransactions[[#This Row],[DiscountAmount]]</f>
        <v>10733.376</v>
      </c>
      <c r="P734" s="9">
        <f>_xlfn.XLOOKUP(tblTransactions[[#This Row],[ProductID]],tblProducts[ProductID],tblProducts[UnitCost])</f>
        <v>5031.45</v>
      </c>
      <c r="Q734" s="9">
        <f>tblTransactions[[#This Row],[Quantity]]*tblTransactions[[#This Row],[UnitCost]]</f>
        <v>10062.9</v>
      </c>
      <c r="R734" s="9">
        <f>tblTransactions[[#This Row],[NetRevenue]]-tblTransactions[[#This Row],[TotalCost]]</f>
        <v>670.47600000000057</v>
      </c>
      <c r="S734" t="str">
        <f>_xlfn.XLOOKUP(tblTransactions[[#This Row],[ProductID]],tblProducts[ProductID],tblProducts[Category])</f>
        <v>Clothing</v>
      </c>
    </row>
    <row r="735" spans="1:19">
      <c r="A735" t="s">
        <v>17052</v>
      </c>
      <c r="B735" s="1">
        <v>45735</v>
      </c>
      <c r="C735" t="s">
        <v>6989</v>
      </c>
      <c r="D735" t="str">
        <f>_xlfn.XLOOKUP(tblTransactions[[#This Row],[CustomerID]],tblCustomers[CustomerID],tblCustomers[CustomerName])</f>
        <v>Mitali Srinivas</v>
      </c>
      <c r="E735" t="s">
        <v>16114</v>
      </c>
      <c r="F735" t="str">
        <f>_xlfn.XLOOKUP(tblTransactions[[#This Row],[ProductID]],tblProducts[ProductID],tblProducts[ProductName])</f>
        <v>Kids T-Shirt B7</v>
      </c>
      <c r="G735" t="s">
        <v>16301</v>
      </c>
      <c r="H735" t="str">
        <f>_xlfn.XLOOKUP(tblTransactions[[#This Row],[StoreID]],tblStores[StoreID],tblStores[Region])</f>
        <v>East</v>
      </c>
      <c r="I735">
        <v>1</v>
      </c>
      <c r="J735">
        <v>0.15</v>
      </c>
      <c r="K735" t="s">
        <v>16321</v>
      </c>
      <c r="L735" s="9">
        <f>_xlfn.XLOOKUP(tblTransactions[[#This Row],[ProductID]],tblProducts[ProductID],tblProducts[UnitPrice])</f>
        <v>2599.96</v>
      </c>
      <c r="M735" s="9">
        <f>tblTransactions[[#This Row],[Quantity]]*tblTransactions[[#This Row],[UnitPrice]]</f>
        <v>2599.96</v>
      </c>
      <c r="N735" s="9">
        <f>tblTransactions[[#This Row],[GrossSales]]*tblTransactions[[#This Row],[Discount]]</f>
        <v>389.99399999999997</v>
      </c>
      <c r="O735" s="9">
        <f>tblTransactions[[#This Row],[GrossSales]]-tblTransactions[[#This Row],[DiscountAmount]]</f>
        <v>2209.9659999999999</v>
      </c>
      <c r="P735" s="9">
        <f>_xlfn.XLOOKUP(tblTransactions[[#This Row],[ProductID]],tblProducts[ProductID],tblProducts[UnitCost])</f>
        <v>1643</v>
      </c>
      <c r="Q735" s="9">
        <f>tblTransactions[[#This Row],[Quantity]]*tblTransactions[[#This Row],[UnitCost]]</f>
        <v>1643</v>
      </c>
      <c r="R735" s="9">
        <f>tblTransactions[[#This Row],[NetRevenue]]-tblTransactions[[#This Row],[TotalCost]]</f>
        <v>566.96599999999989</v>
      </c>
      <c r="S735" t="str">
        <f>_xlfn.XLOOKUP(tblTransactions[[#This Row],[ProductID]],tblProducts[ProductID],tblProducts[Category])</f>
        <v>Clothing</v>
      </c>
    </row>
    <row r="736" spans="1:19">
      <c r="A736" t="s">
        <v>17053</v>
      </c>
      <c r="B736" s="1">
        <v>45736</v>
      </c>
      <c r="C736" t="s">
        <v>9490</v>
      </c>
      <c r="D736" t="str">
        <f>_xlfn.XLOOKUP(tblTransactions[[#This Row],[CustomerID]],tblCustomers[CustomerID],tblCustomers[CustomerName])</f>
        <v>Yatan Anand</v>
      </c>
      <c r="E736" t="s">
        <v>16032</v>
      </c>
      <c r="F736" t="str">
        <f>_xlfn.XLOOKUP(tblTransactions[[#This Row],[ProductID]],tblProducts[ProductID],tblProducts[ProductName])</f>
        <v>Study Table D4</v>
      </c>
      <c r="G736" t="s">
        <v>16275</v>
      </c>
      <c r="H736" t="str">
        <f>_xlfn.XLOOKUP(tblTransactions[[#This Row],[StoreID]],tblStores[StoreID],tblStores[Region])</f>
        <v>South</v>
      </c>
      <c r="I736">
        <v>1</v>
      </c>
      <c r="J736">
        <v>0.1</v>
      </c>
      <c r="K736" t="s">
        <v>16317</v>
      </c>
      <c r="L736" s="9">
        <f>_xlfn.XLOOKUP(tblTransactions[[#This Row],[ProductID]],tblProducts[ProductID],tblProducts[UnitPrice])</f>
        <v>643.36</v>
      </c>
      <c r="M736" s="9">
        <f>tblTransactions[[#This Row],[Quantity]]*tblTransactions[[#This Row],[UnitPrice]]</f>
        <v>643.36</v>
      </c>
      <c r="N736" s="9">
        <f>tblTransactions[[#This Row],[GrossSales]]*tblTransactions[[#This Row],[Discount]]</f>
        <v>64.335999999999999</v>
      </c>
      <c r="O736" s="9">
        <f>tblTransactions[[#This Row],[GrossSales]]-tblTransactions[[#This Row],[DiscountAmount]]</f>
        <v>579.024</v>
      </c>
      <c r="P736" s="9">
        <f>_xlfn.XLOOKUP(tblTransactions[[#This Row],[ProductID]],tblProducts[ProductID],tblProducts[UnitCost])</f>
        <v>460.5</v>
      </c>
      <c r="Q736" s="9">
        <f>tblTransactions[[#This Row],[Quantity]]*tblTransactions[[#This Row],[UnitCost]]</f>
        <v>460.5</v>
      </c>
      <c r="R736" s="9">
        <f>tblTransactions[[#This Row],[NetRevenue]]-tblTransactions[[#This Row],[TotalCost]]</f>
        <v>118.524</v>
      </c>
      <c r="S736" t="str">
        <f>_xlfn.XLOOKUP(tblTransactions[[#This Row],[ProductID]],tblProducts[ProductID],tblProducts[Category])</f>
        <v>Home &amp; Kitchen</v>
      </c>
    </row>
    <row r="737" spans="1:19">
      <c r="A737" t="s">
        <v>17054</v>
      </c>
      <c r="B737" s="1">
        <v>45737</v>
      </c>
      <c r="C737" t="s">
        <v>9949</v>
      </c>
      <c r="D737" t="str">
        <f>_xlfn.XLOOKUP(tblTransactions[[#This Row],[CustomerID]],tblCustomers[CustomerID],tblCustomers[CustomerName])</f>
        <v>Raghav Kibe</v>
      </c>
      <c r="E737" t="s">
        <v>16110</v>
      </c>
      <c r="F737" t="str">
        <f>_xlfn.XLOOKUP(tblTransactions[[#This Row],[ProductID]],tblProducts[ProductID],tblProducts[ProductName])</f>
        <v>Kids T-Shirt E5</v>
      </c>
      <c r="G737" t="s">
        <v>16289</v>
      </c>
      <c r="H737" t="str">
        <f>_xlfn.XLOOKUP(tblTransactions[[#This Row],[StoreID]],tblStores[StoreID],tblStores[Region])</f>
        <v>South</v>
      </c>
      <c r="I737">
        <v>4</v>
      </c>
      <c r="J737">
        <v>0.1</v>
      </c>
      <c r="K737" t="s">
        <v>16317</v>
      </c>
      <c r="L737" s="9">
        <f>_xlfn.XLOOKUP(tblTransactions[[#This Row],[ProductID]],tblProducts[ProductID],tblProducts[UnitPrice])</f>
        <v>508.67</v>
      </c>
      <c r="M737" s="9">
        <f>tblTransactions[[#This Row],[Quantity]]*tblTransactions[[#This Row],[UnitPrice]]</f>
        <v>2034.68</v>
      </c>
      <c r="N737" s="9">
        <f>tblTransactions[[#This Row],[GrossSales]]*tblTransactions[[#This Row],[Discount]]</f>
        <v>203.46800000000002</v>
      </c>
      <c r="O737" s="9">
        <f>tblTransactions[[#This Row],[GrossSales]]-tblTransactions[[#This Row],[DiscountAmount]]</f>
        <v>1831.212</v>
      </c>
      <c r="P737" s="9">
        <f>_xlfn.XLOOKUP(tblTransactions[[#This Row],[ProductID]],tblProducts[ProductID],tblProducts[UnitCost])</f>
        <v>386.39</v>
      </c>
      <c r="Q737" s="9">
        <f>tblTransactions[[#This Row],[Quantity]]*tblTransactions[[#This Row],[UnitCost]]</f>
        <v>1545.56</v>
      </c>
      <c r="R737" s="9">
        <f>tblTransactions[[#This Row],[NetRevenue]]-tblTransactions[[#This Row],[TotalCost]]</f>
        <v>285.65200000000004</v>
      </c>
      <c r="S737" t="str">
        <f>_xlfn.XLOOKUP(tblTransactions[[#This Row],[ProductID]],tblProducts[ProductID],tblProducts[Category])</f>
        <v>Clothing</v>
      </c>
    </row>
    <row r="738" spans="1:19">
      <c r="A738" t="s">
        <v>17055</v>
      </c>
      <c r="B738" s="1">
        <v>45737</v>
      </c>
      <c r="C738" t="s">
        <v>2811</v>
      </c>
      <c r="D738" t="str">
        <f>_xlfn.XLOOKUP(tblTransactions[[#This Row],[CustomerID]],tblCustomers[CustomerID],tblCustomers[CustomerName])</f>
        <v>Neel Chaudhry</v>
      </c>
      <c r="E738" t="s">
        <v>16097</v>
      </c>
      <c r="F738" t="str">
        <f>_xlfn.XLOOKUP(tblTransactions[[#This Row],[ProductID]],tblProducts[ProductID],tblProducts[ProductName])</f>
        <v>Women's Jeans A6</v>
      </c>
      <c r="G738" t="s">
        <v>16281</v>
      </c>
      <c r="H738" t="str">
        <f>_xlfn.XLOOKUP(tblTransactions[[#This Row],[StoreID]],tblStores[StoreID],tblStores[Region])</f>
        <v>West</v>
      </c>
      <c r="I738">
        <v>1</v>
      </c>
      <c r="J738">
        <v>0</v>
      </c>
      <c r="K738" t="s">
        <v>16321</v>
      </c>
      <c r="L738" s="9">
        <f>_xlfn.XLOOKUP(tblTransactions[[#This Row],[ProductID]],tblProducts[ProductID],tblProducts[UnitPrice])</f>
        <v>7106.08</v>
      </c>
      <c r="M738" s="9">
        <f>tblTransactions[[#This Row],[Quantity]]*tblTransactions[[#This Row],[UnitPrice]]</f>
        <v>7106.08</v>
      </c>
      <c r="N738" s="9">
        <f>tblTransactions[[#This Row],[GrossSales]]*tblTransactions[[#This Row],[Discount]]</f>
        <v>0</v>
      </c>
      <c r="O738" s="9">
        <f>tblTransactions[[#This Row],[GrossSales]]-tblTransactions[[#This Row],[DiscountAmount]]</f>
        <v>7106.08</v>
      </c>
      <c r="P738" s="9">
        <f>_xlfn.XLOOKUP(tblTransactions[[#This Row],[ProductID]],tblProducts[ProductID],tblProducts[UnitCost])</f>
        <v>5246.63</v>
      </c>
      <c r="Q738" s="9">
        <f>tblTransactions[[#This Row],[Quantity]]*tblTransactions[[#This Row],[UnitCost]]</f>
        <v>5246.63</v>
      </c>
      <c r="R738" s="9">
        <f>tblTransactions[[#This Row],[NetRevenue]]-tblTransactions[[#This Row],[TotalCost]]</f>
        <v>1859.4499999999998</v>
      </c>
      <c r="S738" t="str">
        <f>_xlfn.XLOOKUP(tblTransactions[[#This Row],[ProductID]],tblProducts[ProductID],tblProducts[Category])</f>
        <v>Clothing</v>
      </c>
    </row>
    <row r="739" spans="1:19">
      <c r="A739" t="s">
        <v>17056</v>
      </c>
      <c r="B739" s="1">
        <v>45738</v>
      </c>
      <c r="C739" t="s">
        <v>13915</v>
      </c>
      <c r="D739" t="str">
        <f>_xlfn.XLOOKUP(tblTransactions[[#This Row],[CustomerID]],tblCustomers[CustomerID],tblCustomers[CustomerName])</f>
        <v>Noah Grewal</v>
      </c>
      <c r="E739" t="s">
        <v>16192</v>
      </c>
      <c r="F739" t="str">
        <f>_xlfn.XLOOKUP(tblTransactions[[#This Row],[ProductID]],tblProducts[ProductID],tblProducts[ProductName])</f>
        <v>Face Cream A1</v>
      </c>
      <c r="G739" t="s">
        <v>16285</v>
      </c>
      <c r="H739" t="str">
        <f>_xlfn.XLOOKUP(tblTransactions[[#This Row],[StoreID]],tblStores[StoreID],tblStores[Region])</f>
        <v>West</v>
      </c>
      <c r="I739">
        <v>4</v>
      </c>
      <c r="J739">
        <v>0.05</v>
      </c>
      <c r="K739" t="s">
        <v>16317</v>
      </c>
      <c r="L739" s="9">
        <f>_xlfn.XLOOKUP(tblTransactions[[#This Row],[ProductID]],tblProducts[ProductID],tblProducts[UnitPrice])</f>
        <v>1666.93</v>
      </c>
      <c r="M739" s="9">
        <f>tblTransactions[[#This Row],[Quantity]]*tblTransactions[[#This Row],[UnitPrice]]</f>
        <v>6667.72</v>
      </c>
      <c r="N739" s="9">
        <f>tblTransactions[[#This Row],[GrossSales]]*tblTransactions[[#This Row],[Discount]]</f>
        <v>333.38600000000002</v>
      </c>
      <c r="O739" s="9">
        <f>tblTransactions[[#This Row],[GrossSales]]-tblTransactions[[#This Row],[DiscountAmount]]</f>
        <v>6334.3339999999998</v>
      </c>
      <c r="P739" s="9">
        <f>_xlfn.XLOOKUP(tblTransactions[[#This Row],[ProductID]],tblProducts[ProductID],tblProducts[UnitCost])</f>
        <v>983.54</v>
      </c>
      <c r="Q739" s="9">
        <f>tblTransactions[[#This Row],[Quantity]]*tblTransactions[[#This Row],[UnitCost]]</f>
        <v>3934.16</v>
      </c>
      <c r="R739" s="9">
        <f>tblTransactions[[#This Row],[NetRevenue]]-tblTransactions[[#This Row],[TotalCost]]</f>
        <v>2400.174</v>
      </c>
      <c r="S739" t="str">
        <f>_xlfn.XLOOKUP(tblTransactions[[#This Row],[ProductID]],tblProducts[ProductID],tblProducts[Category])</f>
        <v>Personal Care</v>
      </c>
    </row>
    <row r="740" spans="1:19">
      <c r="A740" t="s">
        <v>17057</v>
      </c>
      <c r="B740" s="1">
        <v>45738</v>
      </c>
      <c r="C740" t="s">
        <v>10473</v>
      </c>
      <c r="D740" t="str">
        <f>_xlfn.XLOOKUP(tblTransactions[[#This Row],[CustomerID]],tblCustomers[CustomerID],tblCustomers[CustomerName])</f>
        <v>Naveen Bhavsar</v>
      </c>
      <c r="E740" t="s">
        <v>16055</v>
      </c>
      <c r="F740" t="str">
        <f>_xlfn.XLOOKUP(tblTransactions[[#This Row],[ProductID]],tblProducts[ProductID],tblProducts[ProductName])</f>
        <v>Wall Clock A1</v>
      </c>
      <c r="G740" t="s">
        <v>16295</v>
      </c>
      <c r="H740" t="str">
        <f>_xlfn.XLOOKUP(tblTransactions[[#This Row],[StoreID]],tblStores[StoreID],tblStores[Region])</f>
        <v>South</v>
      </c>
      <c r="I740">
        <v>1</v>
      </c>
      <c r="J740">
        <v>0.1</v>
      </c>
      <c r="K740" t="s">
        <v>16317</v>
      </c>
      <c r="L740" s="9">
        <f>_xlfn.XLOOKUP(tblTransactions[[#This Row],[ProductID]],tblProducts[ProductID],tblProducts[UnitPrice])</f>
        <v>4187.79</v>
      </c>
      <c r="M740" s="9">
        <f>tblTransactions[[#This Row],[Quantity]]*tblTransactions[[#This Row],[UnitPrice]]</f>
        <v>4187.79</v>
      </c>
      <c r="N740" s="9">
        <f>tblTransactions[[#This Row],[GrossSales]]*tblTransactions[[#This Row],[Discount]]</f>
        <v>418.779</v>
      </c>
      <c r="O740" s="9">
        <f>tblTransactions[[#This Row],[GrossSales]]-tblTransactions[[#This Row],[DiscountAmount]]</f>
        <v>3769.011</v>
      </c>
      <c r="P740" s="9">
        <f>_xlfn.XLOOKUP(tblTransactions[[#This Row],[ProductID]],tblProducts[ProductID],tblProducts[UnitCost])</f>
        <v>2951.03</v>
      </c>
      <c r="Q740" s="9">
        <f>tblTransactions[[#This Row],[Quantity]]*tblTransactions[[#This Row],[UnitCost]]</f>
        <v>2951.03</v>
      </c>
      <c r="R740" s="9">
        <f>tblTransactions[[#This Row],[NetRevenue]]-tblTransactions[[#This Row],[TotalCost]]</f>
        <v>817.98099999999977</v>
      </c>
      <c r="S740" t="str">
        <f>_xlfn.XLOOKUP(tblTransactions[[#This Row],[ProductID]],tblProducts[ProductID],tblProducts[Category])</f>
        <v>Home &amp; Kitchen</v>
      </c>
    </row>
    <row r="741" spans="1:19">
      <c r="A741" t="s">
        <v>17058</v>
      </c>
      <c r="B741" s="1">
        <v>45739</v>
      </c>
      <c r="C741" t="s">
        <v>13824</v>
      </c>
      <c r="D741" t="str">
        <f>_xlfn.XLOOKUP(tblTransactions[[#This Row],[CustomerID]],tblCustomers[CustomerID],tblCustomers[CustomerName])</f>
        <v>Parth Din</v>
      </c>
      <c r="E741" t="s">
        <v>16202</v>
      </c>
      <c r="F741" t="str">
        <f>_xlfn.XLOOKUP(tblTransactions[[#This Row],[ProductID]],tblProducts[ProductID],tblProducts[ProductName])</f>
        <v>Sunscreen E5</v>
      </c>
      <c r="G741" t="s">
        <v>16287</v>
      </c>
      <c r="H741" t="str">
        <f>_xlfn.XLOOKUP(tblTransactions[[#This Row],[StoreID]],tblStores[StoreID],tblStores[Region])</f>
        <v>North</v>
      </c>
      <c r="I741">
        <v>1</v>
      </c>
      <c r="J741">
        <v>0.05</v>
      </c>
      <c r="K741" t="s">
        <v>16315</v>
      </c>
      <c r="L741" s="9">
        <f>_xlfn.XLOOKUP(tblTransactions[[#This Row],[ProductID]],tblProducts[ProductID],tblProducts[UnitPrice])</f>
        <v>2328.63</v>
      </c>
      <c r="M741" s="9">
        <f>tblTransactions[[#This Row],[Quantity]]*tblTransactions[[#This Row],[UnitPrice]]</f>
        <v>2328.63</v>
      </c>
      <c r="N741" s="9">
        <f>tblTransactions[[#This Row],[GrossSales]]*tblTransactions[[#This Row],[Discount]]</f>
        <v>116.43150000000001</v>
      </c>
      <c r="O741" s="9">
        <f>tblTransactions[[#This Row],[GrossSales]]-tblTransactions[[#This Row],[DiscountAmount]]</f>
        <v>2212.1985</v>
      </c>
      <c r="P741" s="9">
        <f>_xlfn.XLOOKUP(tblTransactions[[#This Row],[ProductID]],tblProducts[ProductID],tblProducts[UnitCost])</f>
        <v>1946.99</v>
      </c>
      <c r="Q741" s="9">
        <f>tblTransactions[[#This Row],[Quantity]]*tblTransactions[[#This Row],[UnitCost]]</f>
        <v>1946.99</v>
      </c>
      <c r="R741" s="9">
        <f>tblTransactions[[#This Row],[NetRevenue]]-tblTransactions[[#This Row],[TotalCost]]</f>
        <v>265.20849999999996</v>
      </c>
      <c r="S741" t="str">
        <f>_xlfn.XLOOKUP(tblTransactions[[#This Row],[ProductID]],tblProducts[ProductID],tblProducts[Category])</f>
        <v>Personal Care</v>
      </c>
    </row>
    <row r="742" spans="1:19">
      <c r="A742" t="s">
        <v>17059</v>
      </c>
      <c r="B742" s="1">
        <v>45741</v>
      </c>
      <c r="C742" t="s">
        <v>7310</v>
      </c>
      <c r="D742" t="str">
        <f>_xlfn.XLOOKUP(tblTransactions[[#This Row],[CustomerID]],tblCustomers[CustomerID],tblCustomers[CustomerName])</f>
        <v>Naksh Wason</v>
      </c>
      <c r="E742" t="s">
        <v>15982</v>
      </c>
      <c r="F742" t="str">
        <f>_xlfn.XLOOKUP(tblTransactions[[#This Row],[ProductID]],tblProducts[ProductID],tblProducts[ProductName])</f>
        <v>Earbuds B2</v>
      </c>
      <c r="G742" t="s">
        <v>16299</v>
      </c>
      <c r="H742" t="str">
        <f>_xlfn.XLOOKUP(tblTransactions[[#This Row],[StoreID]],tblStores[StoreID],tblStores[Region])</f>
        <v>South</v>
      </c>
      <c r="I742">
        <v>2</v>
      </c>
      <c r="J742">
        <v>0</v>
      </c>
      <c r="K742" t="s">
        <v>16315</v>
      </c>
      <c r="L742" s="9">
        <f>_xlfn.XLOOKUP(tblTransactions[[#This Row],[ProductID]],tblProducts[ProductID],tblProducts[UnitPrice])</f>
        <v>43098.98</v>
      </c>
      <c r="M742" s="9">
        <f>tblTransactions[[#This Row],[Quantity]]*tblTransactions[[#This Row],[UnitPrice]]</f>
        <v>86197.96</v>
      </c>
      <c r="N742" s="9">
        <f>tblTransactions[[#This Row],[GrossSales]]*tblTransactions[[#This Row],[Discount]]</f>
        <v>0</v>
      </c>
      <c r="O742" s="9">
        <f>tblTransactions[[#This Row],[GrossSales]]-tblTransactions[[#This Row],[DiscountAmount]]</f>
        <v>86197.96</v>
      </c>
      <c r="P742" s="9">
        <f>_xlfn.XLOOKUP(tblTransactions[[#This Row],[ProductID]],tblProducts[ProductID],tblProducts[UnitCost])</f>
        <v>29477.79</v>
      </c>
      <c r="Q742" s="9">
        <f>tblTransactions[[#This Row],[Quantity]]*tblTransactions[[#This Row],[UnitCost]]</f>
        <v>58955.58</v>
      </c>
      <c r="R742" s="9">
        <f>tblTransactions[[#This Row],[NetRevenue]]-tblTransactions[[#This Row],[TotalCost]]</f>
        <v>27242.380000000005</v>
      </c>
      <c r="S742" t="str">
        <f>_xlfn.XLOOKUP(tblTransactions[[#This Row],[ProductID]],tblProducts[ProductID],tblProducts[Category])</f>
        <v>Electronics</v>
      </c>
    </row>
    <row r="743" spans="1:19">
      <c r="A743" t="s">
        <v>17060</v>
      </c>
      <c r="B743" s="1">
        <v>45741</v>
      </c>
      <c r="C743" t="s">
        <v>9128</v>
      </c>
      <c r="D743" t="str">
        <f>_xlfn.XLOOKUP(tblTransactions[[#This Row],[CustomerID]],tblCustomers[CustomerID],tblCustomers[CustomerName])</f>
        <v>Unni Palan</v>
      </c>
      <c r="E743" t="s">
        <v>16245</v>
      </c>
      <c r="F743" t="str">
        <f>_xlfn.XLOOKUP(tblTransactions[[#This Row],[ProductID]],tblProducts[ProductID],tblProducts[ProductName])</f>
        <v>Razor D4</v>
      </c>
      <c r="G743" t="s">
        <v>16303</v>
      </c>
      <c r="H743" t="str">
        <f>_xlfn.XLOOKUP(tblTransactions[[#This Row],[StoreID]],tblStores[StoreID],tblStores[Region])</f>
        <v>West</v>
      </c>
      <c r="I743">
        <v>1</v>
      </c>
      <c r="J743">
        <v>0</v>
      </c>
      <c r="K743" t="s">
        <v>16315</v>
      </c>
      <c r="L743" s="9">
        <f>_xlfn.XLOOKUP(tblTransactions[[#This Row],[ProductID]],tblProducts[ProductID],tblProducts[UnitPrice])</f>
        <v>4084.63</v>
      </c>
      <c r="M743" s="9">
        <f>tblTransactions[[#This Row],[Quantity]]*tblTransactions[[#This Row],[UnitPrice]]</f>
        <v>4084.63</v>
      </c>
      <c r="N743" s="9">
        <f>tblTransactions[[#This Row],[GrossSales]]*tblTransactions[[#This Row],[Discount]]</f>
        <v>0</v>
      </c>
      <c r="O743" s="9">
        <f>tblTransactions[[#This Row],[GrossSales]]-tblTransactions[[#This Row],[DiscountAmount]]</f>
        <v>4084.63</v>
      </c>
      <c r="P743" s="9">
        <f>_xlfn.XLOOKUP(tblTransactions[[#This Row],[ProductID]],tblProducts[ProductID],tblProducts[UnitCost])</f>
        <v>2990.01</v>
      </c>
      <c r="Q743" s="9">
        <f>tblTransactions[[#This Row],[Quantity]]*tblTransactions[[#This Row],[UnitCost]]</f>
        <v>2990.01</v>
      </c>
      <c r="R743" s="9">
        <f>tblTransactions[[#This Row],[NetRevenue]]-tblTransactions[[#This Row],[TotalCost]]</f>
        <v>1094.6199999999999</v>
      </c>
      <c r="S743" t="str">
        <f>_xlfn.XLOOKUP(tblTransactions[[#This Row],[ProductID]],tblProducts[ProductID],tblProducts[Category])</f>
        <v>Personal Care</v>
      </c>
    </row>
    <row r="744" spans="1:19">
      <c r="A744" t="s">
        <v>17061</v>
      </c>
      <c r="B744" s="1">
        <v>45742</v>
      </c>
      <c r="C744" t="s">
        <v>15808</v>
      </c>
      <c r="D744" t="str">
        <f>_xlfn.XLOOKUP(tblTransactions[[#This Row],[CustomerID]],tblCustomers[CustomerID],tblCustomers[CustomerName])</f>
        <v>Arunima Grover</v>
      </c>
      <c r="E744" t="s">
        <v>16154</v>
      </c>
      <c r="F744" t="str">
        <f>_xlfn.XLOOKUP(tblTransactions[[#This Row],[ProductID]],tblProducts[ProductID],tblProducts[ProductName])</f>
        <v>Namkeen D4</v>
      </c>
      <c r="G744" t="s">
        <v>16293</v>
      </c>
      <c r="H744" t="str">
        <f>_xlfn.XLOOKUP(tblTransactions[[#This Row],[StoreID]],tblStores[StoreID],tblStores[Region])</f>
        <v>South</v>
      </c>
      <c r="I744">
        <v>3</v>
      </c>
      <c r="J744">
        <v>0</v>
      </c>
      <c r="K744" t="s">
        <v>16317</v>
      </c>
      <c r="L744" s="9">
        <f>_xlfn.XLOOKUP(tblTransactions[[#This Row],[ProductID]],tblProducts[ProductID],tblProducts[UnitPrice])</f>
        <v>881.18</v>
      </c>
      <c r="M744" s="9">
        <f>tblTransactions[[#This Row],[Quantity]]*tblTransactions[[#This Row],[UnitPrice]]</f>
        <v>2643.54</v>
      </c>
      <c r="N744" s="9">
        <f>tblTransactions[[#This Row],[GrossSales]]*tblTransactions[[#This Row],[Discount]]</f>
        <v>0</v>
      </c>
      <c r="O744" s="9">
        <f>tblTransactions[[#This Row],[GrossSales]]-tblTransactions[[#This Row],[DiscountAmount]]</f>
        <v>2643.54</v>
      </c>
      <c r="P744" s="9">
        <f>_xlfn.XLOOKUP(tblTransactions[[#This Row],[ProductID]],tblProducts[ProductID],tblProducts[UnitCost])</f>
        <v>626.67999999999995</v>
      </c>
      <c r="Q744" s="9">
        <f>tblTransactions[[#This Row],[Quantity]]*tblTransactions[[#This Row],[UnitCost]]</f>
        <v>1880.04</v>
      </c>
      <c r="R744" s="9">
        <f>tblTransactions[[#This Row],[NetRevenue]]-tblTransactions[[#This Row],[TotalCost]]</f>
        <v>763.5</v>
      </c>
      <c r="S744" t="str">
        <f>_xlfn.XLOOKUP(tblTransactions[[#This Row],[ProductID]],tblProducts[ProductID],tblProducts[Category])</f>
        <v>Grocery</v>
      </c>
    </row>
    <row r="745" spans="1:19">
      <c r="A745" t="s">
        <v>17062</v>
      </c>
      <c r="B745" s="1">
        <v>45742</v>
      </c>
      <c r="C745" t="s">
        <v>11737</v>
      </c>
      <c r="D745" t="str">
        <f>_xlfn.XLOOKUP(tblTransactions[[#This Row],[CustomerID]],tblCustomers[CustomerID],tblCustomers[CustomerName])</f>
        <v>Dominic Bava</v>
      </c>
      <c r="E745" t="s">
        <v>16060</v>
      </c>
      <c r="F745" t="str">
        <f>_xlfn.XLOOKUP(tblTransactions[[#This Row],[ProductID]],tblProducts[ProductID],tblProducts[ProductName])</f>
        <v>Decorative Vase C3</v>
      </c>
      <c r="G745" t="s">
        <v>16287</v>
      </c>
      <c r="H745" t="str">
        <f>_xlfn.XLOOKUP(tblTransactions[[#This Row],[StoreID]],tblStores[StoreID],tblStores[Region])</f>
        <v>North</v>
      </c>
      <c r="I745">
        <v>1</v>
      </c>
      <c r="J745">
        <v>0</v>
      </c>
      <c r="K745" t="s">
        <v>16319</v>
      </c>
      <c r="L745" s="9">
        <f>_xlfn.XLOOKUP(tblTransactions[[#This Row],[ProductID]],tblProducts[ProductID],tblProducts[UnitPrice])</f>
        <v>26039.41</v>
      </c>
      <c r="M745" s="9">
        <f>tblTransactions[[#This Row],[Quantity]]*tblTransactions[[#This Row],[UnitPrice]]</f>
        <v>26039.41</v>
      </c>
      <c r="N745" s="9">
        <f>tblTransactions[[#This Row],[GrossSales]]*tblTransactions[[#This Row],[Discount]]</f>
        <v>0</v>
      </c>
      <c r="O745" s="9">
        <f>tblTransactions[[#This Row],[GrossSales]]-tblTransactions[[#This Row],[DiscountAmount]]</f>
        <v>26039.41</v>
      </c>
      <c r="P745" s="9">
        <f>_xlfn.XLOOKUP(tblTransactions[[#This Row],[ProductID]],tblProducts[ProductID],tblProducts[UnitCost])</f>
        <v>20592.23</v>
      </c>
      <c r="Q745" s="9">
        <f>tblTransactions[[#This Row],[Quantity]]*tblTransactions[[#This Row],[UnitCost]]</f>
        <v>20592.23</v>
      </c>
      <c r="R745" s="9">
        <f>tblTransactions[[#This Row],[NetRevenue]]-tblTransactions[[#This Row],[TotalCost]]</f>
        <v>5447.18</v>
      </c>
      <c r="S745" t="str">
        <f>_xlfn.XLOOKUP(tblTransactions[[#This Row],[ProductID]],tblProducts[ProductID],tblProducts[Category])</f>
        <v>Home &amp; Kitchen</v>
      </c>
    </row>
    <row r="746" spans="1:19">
      <c r="A746" t="s">
        <v>17063</v>
      </c>
      <c r="B746" s="1">
        <v>45744</v>
      </c>
      <c r="C746" t="s">
        <v>12054</v>
      </c>
      <c r="D746" t="str">
        <f>_xlfn.XLOOKUP(tblTransactions[[#This Row],[CustomerID]],tblCustomers[CustomerID],tblCustomers[CustomerName])</f>
        <v>Thomas Shankar</v>
      </c>
      <c r="E746" t="s">
        <v>15943</v>
      </c>
      <c r="F746" t="str">
        <f>_xlfn.XLOOKUP(tblTransactions[[#This Row],[ProductID]],tblProducts[ProductID],tblProducts[ProductName])</f>
        <v>QLED Smart TV C8</v>
      </c>
      <c r="G746" t="s">
        <v>16265</v>
      </c>
      <c r="H746" t="str">
        <f>_xlfn.XLOOKUP(tblTransactions[[#This Row],[StoreID]],tblStores[StoreID],tblStores[Region])</f>
        <v>North</v>
      </c>
      <c r="I746">
        <v>1</v>
      </c>
      <c r="J746">
        <v>0.1</v>
      </c>
      <c r="K746" t="s">
        <v>16317</v>
      </c>
      <c r="L746" s="9">
        <f>_xlfn.XLOOKUP(tblTransactions[[#This Row],[ProductID]],tblProducts[ProductID],tblProducts[UnitPrice])</f>
        <v>76009.95</v>
      </c>
      <c r="M746" s="9">
        <f>tblTransactions[[#This Row],[Quantity]]*tblTransactions[[#This Row],[UnitPrice]]</f>
        <v>76009.95</v>
      </c>
      <c r="N746" s="9">
        <f>tblTransactions[[#This Row],[GrossSales]]*tblTransactions[[#This Row],[Discount]]</f>
        <v>7600.9949999999999</v>
      </c>
      <c r="O746" s="9">
        <f>tblTransactions[[#This Row],[GrossSales]]-tblTransactions[[#This Row],[DiscountAmount]]</f>
        <v>68408.955000000002</v>
      </c>
      <c r="P746" s="9">
        <f>_xlfn.XLOOKUP(tblTransactions[[#This Row],[ProductID]],tblProducts[ProductID],tblProducts[UnitCost])</f>
        <v>41916.89</v>
      </c>
      <c r="Q746" s="9">
        <f>tblTransactions[[#This Row],[Quantity]]*tblTransactions[[#This Row],[UnitCost]]</f>
        <v>41916.89</v>
      </c>
      <c r="R746" s="9">
        <f>tblTransactions[[#This Row],[NetRevenue]]-tblTransactions[[#This Row],[TotalCost]]</f>
        <v>26492.065000000002</v>
      </c>
      <c r="S746" t="str">
        <f>_xlfn.XLOOKUP(tblTransactions[[#This Row],[ProductID]],tblProducts[ProductID],tblProducts[Category])</f>
        <v>Electronics</v>
      </c>
    </row>
    <row r="747" spans="1:19">
      <c r="A747" t="s">
        <v>17064</v>
      </c>
      <c r="B747" s="1">
        <v>45744</v>
      </c>
      <c r="C747" t="s">
        <v>4075</v>
      </c>
      <c r="D747" t="str">
        <f>_xlfn.XLOOKUP(tblTransactions[[#This Row],[CustomerID]],tblCustomers[CustomerID],tblCustomers[CustomerName])</f>
        <v>Manan Sathe</v>
      </c>
      <c r="E747" t="s">
        <v>16101</v>
      </c>
      <c r="F747" t="str">
        <f>_xlfn.XLOOKUP(tblTransactions[[#This Row],[ProductID]],tblProducts[ProductID],tblProducts[ProductName])</f>
        <v>Kids Jacket A1</v>
      </c>
      <c r="G747" t="s">
        <v>16285</v>
      </c>
      <c r="H747" t="str">
        <f>_xlfn.XLOOKUP(tblTransactions[[#This Row],[StoreID]],tblStores[StoreID],tblStores[Region])</f>
        <v>West</v>
      </c>
      <c r="I747">
        <v>1</v>
      </c>
      <c r="J747">
        <v>0.15</v>
      </c>
      <c r="K747" t="s">
        <v>16315</v>
      </c>
      <c r="L747" s="9">
        <f>_xlfn.XLOOKUP(tblTransactions[[#This Row],[ProductID]],tblProducts[ProductID],tblProducts[UnitPrice])</f>
        <v>1715.72</v>
      </c>
      <c r="M747" s="9">
        <f>tblTransactions[[#This Row],[Quantity]]*tblTransactions[[#This Row],[UnitPrice]]</f>
        <v>1715.72</v>
      </c>
      <c r="N747" s="9">
        <f>tblTransactions[[#This Row],[GrossSales]]*tblTransactions[[#This Row],[Discount]]</f>
        <v>257.358</v>
      </c>
      <c r="O747" s="9">
        <f>tblTransactions[[#This Row],[GrossSales]]-tblTransactions[[#This Row],[DiscountAmount]]</f>
        <v>1458.3620000000001</v>
      </c>
      <c r="P747" s="9">
        <f>_xlfn.XLOOKUP(tblTransactions[[#This Row],[ProductID]],tblProducts[ProductID],tblProducts[UnitCost])</f>
        <v>1050.32</v>
      </c>
      <c r="Q747" s="9">
        <f>tblTransactions[[#This Row],[Quantity]]*tblTransactions[[#This Row],[UnitCost]]</f>
        <v>1050.32</v>
      </c>
      <c r="R747" s="9">
        <f>tblTransactions[[#This Row],[NetRevenue]]-tblTransactions[[#This Row],[TotalCost]]</f>
        <v>408.04200000000014</v>
      </c>
      <c r="S747" t="str">
        <f>_xlfn.XLOOKUP(tblTransactions[[#This Row],[ProductID]],tblProducts[ProductID],tblProducts[Category])</f>
        <v>Clothing</v>
      </c>
    </row>
    <row r="748" spans="1:19">
      <c r="A748" t="s">
        <v>17065</v>
      </c>
      <c r="B748" s="1">
        <v>45745</v>
      </c>
      <c r="C748" t="s">
        <v>8038</v>
      </c>
      <c r="D748" t="str">
        <f>_xlfn.XLOOKUP(tblTransactions[[#This Row],[CustomerID]],tblCustomers[CustomerID],tblCustomers[CustomerName])</f>
        <v>Raksha Mane</v>
      </c>
      <c r="E748" t="s">
        <v>16206</v>
      </c>
      <c r="F748" t="str">
        <f>_xlfn.XLOOKUP(tblTransactions[[#This Row],[ProductID]],tblProducts[ProductID],tblProducts[ProductName])</f>
        <v>Moisturizer B7</v>
      </c>
      <c r="G748" t="s">
        <v>16279</v>
      </c>
      <c r="H748" t="str">
        <f>_xlfn.XLOOKUP(tblTransactions[[#This Row],[StoreID]],tblStores[StoreID],tblStores[Region])</f>
        <v>South</v>
      </c>
      <c r="I748">
        <v>4</v>
      </c>
      <c r="J748">
        <v>0</v>
      </c>
      <c r="K748" t="s">
        <v>16315</v>
      </c>
      <c r="L748" s="9">
        <f>_xlfn.XLOOKUP(tblTransactions[[#This Row],[ProductID]],tblProducts[ProductID],tblProducts[UnitPrice])</f>
        <v>3285.82</v>
      </c>
      <c r="M748" s="9">
        <f>tblTransactions[[#This Row],[Quantity]]*tblTransactions[[#This Row],[UnitPrice]]</f>
        <v>13143.28</v>
      </c>
      <c r="N748" s="9">
        <f>tblTransactions[[#This Row],[GrossSales]]*tblTransactions[[#This Row],[Discount]]</f>
        <v>0</v>
      </c>
      <c r="O748" s="9">
        <f>tblTransactions[[#This Row],[GrossSales]]-tblTransactions[[#This Row],[DiscountAmount]]</f>
        <v>13143.28</v>
      </c>
      <c r="P748" s="9">
        <f>_xlfn.XLOOKUP(tblTransactions[[#This Row],[ProductID]],tblProducts[ProductID],tblProducts[UnitCost])</f>
        <v>2256.9699999999998</v>
      </c>
      <c r="Q748" s="9">
        <f>tblTransactions[[#This Row],[Quantity]]*tblTransactions[[#This Row],[UnitCost]]</f>
        <v>9027.8799999999992</v>
      </c>
      <c r="R748" s="9">
        <f>tblTransactions[[#This Row],[NetRevenue]]-tblTransactions[[#This Row],[TotalCost]]</f>
        <v>4115.4000000000015</v>
      </c>
      <c r="S748" t="str">
        <f>_xlfn.XLOOKUP(tblTransactions[[#This Row],[ProductID]],tblProducts[ProductID],tblProducts[Category])</f>
        <v>Personal Care</v>
      </c>
    </row>
    <row r="749" spans="1:19">
      <c r="A749" t="s">
        <v>17066</v>
      </c>
      <c r="B749" s="1">
        <v>45747</v>
      </c>
      <c r="C749" t="s">
        <v>14116</v>
      </c>
      <c r="D749" t="str">
        <f>_xlfn.XLOOKUP(tblTransactions[[#This Row],[CustomerID]],tblCustomers[CustomerID],tblCustomers[CustomerName])</f>
        <v>Vedant Sheth</v>
      </c>
      <c r="E749" t="s">
        <v>16070</v>
      </c>
      <c r="F749" t="str">
        <f>_xlfn.XLOOKUP(tblTransactions[[#This Row],[ProductID]],tblProducts[ProductID],tblProducts[ProductName])</f>
        <v>Men's T-Shirt A1</v>
      </c>
      <c r="G749" t="s">
        <v>16307</v>
      </c>
      <c r="H749" t="str">
        <f>_xlfn.XLOOKUP(tblTransactions[[#This Row],[StoreID]],tblStores[StoreID],tblStores[Region])</f>
        <v>East</v>
      </c>
      <c r="I749">
        <v>1</v>
      </c>
      <c r="J749">
        <v>0.2</v>
      </c>
      <c r="K749" t="s">
        <v>16325</v>
      </c>
      <c r="L749" s="9">
        <f>_xlfn.XLOOKUP(tblTransactions[[#This Row],[ProductID]],tblProducts[ProductID],tblProducts[UnitPrice])</f>
        <v>6357.9</v>
      </c>
      <c r="M749" s="9">
        <f>tblTransactions[[#This Row],[Quantity]]*tblTransactions[[#This Row],[UnitPrice]]</f>
        <v>6357.9</v>
      </c>
      <c r="N749" s="9">
        <f>tblTransactions[[#This Row],[GrossSales]]*tblTransactions[[#This Row],[Discount]]</f>
        <v>1271.58</v>
      </c>
      <c r="O749" s="9">
        <f>tblTransactions[[#This Row],[GrossSales]]-tblTransactions[[#This Row],[DiscountAmount]]</f>
        <v>5086.32</v>
      </c>
      <c r="P749" s="9">
        <f>_xlfn.XLOOKUP(tblTransactions[[#This Row],[ProductID]],tblProducts[ProductID],tblProducts[UnitCost])</f>
        <v>4895.43</v>
      </c>
      <c r="Q749" s="9">
        <f>tblTransactions[[#This Row],[Quantity]]*tblTransactions[[#This Row],[UnitCost]]</f>
        <v>4895.43</v>
      </c>
      <c r="R749" s="9">
        <f>tblTransactions[[#This Row],[NetRevenue]]-tblTransactions[[#This Row],[TotalCost]]</f>
        <v>190.88999999999942</v>
      </c>
      <c r="S749" t="str">
        <f>_xlfn.XLOOKUP(tblTransactions[[#This Row],[ProductID]],tblProducts[ProductID],tblProducts[Category])</f>
        <v>Clothing</v>
      </c>
    </row>
    <row r="750" spans="1:19">
      <c r="A750" t="s">
        <v>17067</v>
      </c>
      <c r="B750" s="1">
        <v>45748</v>
      </c>
      <c r="C750" t="s">
        <v>3605</v>
      </c>
      <c r="D750" t="str">
        <f>_xlfn.XLOOKUP(tblTransactions[[#This Row],[CustomerID]],tblCustomers[CustomerID],tblCustomers[CustomerName])</f>
        <v>Ubika Nanda</v>
      </c>
      <c r="E750" t="s">
        <v>15937</v>
      </c>
      <c r="F750" t="str">
        <f>_xlfn.XLOOKUP(tblTransactions[[#This Row],[ProductID]],tblProducts[ProductID],tblProducts[ProductName])</f>
        <v>Smart LED TV E5</v>
      </c>
      <c r="G750" t="s">
        <v>16259</v>
      </c>
      <c r="H750" t="str">
        <f>_xlfn.XLOOKUP(tblTransactions[[#This Row],[StoreID]],tblStores[StoreID],tblStores[Region])</f>
        <v>East</v>
      </c>
      <c r="I750">
        <v>2</v>
      </c>
      <c r="J750">
        <v>0</v>
      </c>
      <c r="K750" t="s">
        <v>16317</v>
      </c>
      <c r="L750" s="9">
        <f>_xlfn.XLOOKUP(tblTransactions[[#This Row],[ProductID]],tblProducts[ProductID],tblProducts[UnitPrice])</f>
        <v>4719.2700000000004</v>
      </c>
      <c r="M750" s="9">
        <f>tblTransactions[[#This Row],[Quantity]]*tblTransactions[[#This Row],[UnitPrice]]</f>
        <v>9438.5400000000009</v>
      </c>
      <c r="N750" s="9">
        <f>tblTransactions[[#This Row],[GrossSales]]*tblTransactions[[#This Row],[Discount]]</f>
        <v>0</v>
      </c>
      <c r="O750" s="9">
        <f>tblTransactions[[#This Row],[GrossSales]]-tblTransactions[[#This Row],[DiscountAmount]]</f>
        <v>9438.5400000000009</v>
      </c>
      <c r="P750" s="9">
        <f>_xlfn.XLOOKUP(tblTransactions[[#This Row],[ProductID]],tblProducts[ProductID],tblProducts[UnitCost])</f>
        <v>3322.23</v>
      </c>
      <c r="Q750" s="9">
        <f>tblTransactions[[#This Row],[Quantity]]*tblTransactions[[#This Row],[UnitCost]]</f>
        <v>6644.46</v>
      </c>
      <c r="R750" s="9">
        <f>tblTransactions[[#This Row],[NetRevenue]]-tblTransactions[[#This Row],[TotalCost]]</f>
        <v>2794.0800000000008</v>
      </c>
      <c r="S750" t="str">
        <f>_xlfn.XLOOKUP(tblTransactions[[#This Row],[ProductID]],tblProducts[ProductID],tblProducts[Category])</f>
        <v>Electronics</v>
      </c>
    </row>
    <row r="751" spans="1:19">
      <c r="A751" t="s">
        <v>17068</v>
      </c>
      <c r="B751" s="1">
        <v>45749</v>
      </c>
      <c r="C751" t="s">
        <v>3532</v>
      </c>
      <c r="D751" t="str">
        <f>_xlfn.XLOOKUP(tblTransactions[[#This Row],[CustomerID]],tblCustomers[CustomerID],tblCustomers[CustomerName])</f>
        <v>Gagan Nath</v>
      </c>
      <c r="E751" t="s">
        <v>16055</v>
      </c>
      <c r="F751" t="str">
        <f>_xlfn.XLOOKUP(tblTransactions[[#This Row],[ProductID]],tblProducts[ProductID],tblProducts[ProductName])</f>
        <v>Wall Clock A1</v>
      </c>
      <c r="G751" t="s">
        <v>16262</v>
      </c>
      <c r="H751" t="str">
        <f>_xlfn.XLOOKUP(tblTransactions[[#This Row],[StoreID]],tblStores[StoreID],tblStores[Region])</f>
        <v>North</v>
      </c>
      <c r="I751">
        <v>1</v>
      </c>
      <c r="J751">
        <v>0</v>
      </c>
      <c r="K751" t="s">
        <v>16315</v>
      </c>
      <c r="L751" s="9">
        <f>_xlfn.XLOOKUP(tblTransactions[[#This Row],[ProductID]],tblProducts[ProductID],tblProducts[UnitPrice])</f>
        <v>4187.79</v>
      </c>
      <c r="M751" s="9">
        <f>tblTransactions[[#This Row],[Quantity]]*tblTransactions[[#This Row],[UnitPrice]]</f>
        <v>4187.79</v>
      </c>
      <c r="N751" s="9">
        <f>tblTransactions[[#This Row],[GrossSales]]*tblTransactions[[#This Row],[Discount]]</f>
        <v>0</v>
      </c>
      <c r="O751" s="9">
        <f>tblTransactions[[#This Row],[GrossSales]]-tblTransactions[[#This Row],[DiscountAmount]]</f>
        <v>4187.79</v>
      </c>
      <c r="P751" s="9">
        <f>_xlfn.XLOOKUP(tblTransactions[[#This Row],[ProductID]],tblProducts[ProductID],tblProducts[UnitCost])</f>
        <v>2951.03</v>
      </c>
      <c r="Q751" s="9">
        <f>tblTransactions[[#This Row],[Quantity]]*tblTransactions[[#This Row],[UnitCost]]</f>
        <v>2951.03</v>
      </c>
      <c r="R751" s="9">
        <f>tblTransactions[[#This Row],[NetRevenue]]-tblTransactions[[#This Row],[TotalCost]]</f>
        <v>1236.7599999999998</v>
      </c>
      <c r="S751" t="str">
        <f>_xlfn.XLOOKUP(tblTransactions[[#This Row],[ProductID]],tblProducts[ProductID],tblProducts[Category])</f>
        <v>Home &amp; Kitchen</v>
      </c>
    </row>
    <row r="752" spans="1:19">
      <c r="A752" t="s">
        <v>17069</v>
      </c>
      <c r="B752" s="1">
        <v>45750</v>
      </c>
      <c r="C752" t="s">
        <v>12305</v>
      </c>
      <c r="D752" t="str">
        <f>_xlfn.XLOOKUP(tblTransactions[[#This Row],[CustomerID]],tblCustomers[CustomerID],tblCustomers[CustomerName])</f>
        <v>Imaran Parmar</v>
      </c>
      <c r="E752" t="s">
        <v>16245</v>
      </c>
      <c r="F752" t="str">
        <f>_xlfn.XLOOKUP(tblTransactions[[#This Row],[ProductID]],tblProducts[ProductID],tblProducts[ProductName])</f>
        <v>Razor D4</v>
      </c>
      <c r="G752" t="s">
        <v>16273</v>
      </c>
      <c r="H752" t="str">
        <f>_xlfn.XLOOKUP(tblTransactions[[#This Row],[StoreID]],tblStores[StoreID],tblStores[Region])</f>
        <v>West</v>
      </c>
      <c r="I752">
        <v>3</v>
      </c>
      <c r="J752">
        <v>0</v>
      </c>
      <c r="K752" t="s">
        <v>16321</v>
      </c>
      <c r="L752" s="9">
        <f>_xlfn.XLOOKUP(tblTransactions[[#This Row],[ProductID]],tblProducts[ProductID],tblProducts[UnitPrice])</f>
        <v>4084.63</v>
      </c>
      <c r="M752" s="9">
        <f>tblTransactions[[#This Row],[Quantity]]*tblTransactions[[#This Row],[UnitPrice]]</f>
        <v>12253.89</v>
      </c>
      <c r="N752" s="9">
        <f>tblTransactions[[#This Row],[GrossSales]]*tblTransactions[[#This Row],[Discount]]</f>
        <v>0</v>
      </c>
      <c r="O752" s="9">
        <f>tblTransactions[[#This Row],[GrossSales]]-tblTransactions[[#This Row],[DiscountAmount]]</f>
        <v>12253.89</v>
      </c>
      <c r="P752" s="9">
        <f>_xlfn.XLOOKUP(tblTransactions[[#This Row],[ProductID]],tblProducts[ProductID],tblProducts[UnitCost])</f>
        <v>2990.01</v>
      </c>
      <c r="Q752" s="9">
        <f>tblTransactions[[#This Row],[Quantity]]*tblTransactions[[#This Row],[UnitCost]]</f>
        <v>8970.0300000000007</v>
      </c>
      <c r="R752" s="9">
        <f>tblTransactions[[#This Row],[NetRevenue]]-tblTransactions[[#This Row],[TotalCost]]</f>
        <v>3283.8599999999988</v>
      </c>
      <c r="S752" t="str">
        <f>_xlfn.XLOOKUP(tblTransactions[[#This Row],[ProductID]],tblProducts[ProductID],tblProducts[Category])</f>
        <v>Personal Care</v>
      </c>
    </row>
    <row r="753" spans="1:19">
      <c r="A753" t="s">
        <v>17070</v>
      </c>
      <c r="B753" s="1">
        <v>45750</v>
      </c>
      <c r="C753" t="s">
        <v>9780</v>
      </c>
      <c r="D753" t="str">
        <f>_xlfn.XLOOKUP(tblTransactions[[#This Row],[CustomerID]],tblCustomers[CustomerID],tblCustomers[CustomerName])</f>
        <v>Bhavna D’Alia</v>
      </c>
      <c r="E753" t="s">
        <v>16106</v>
      </c>
      <c r="F753" t="str">
        <f>_xlfn.XLOOKUP(tblTransactions[[#This Row],[ProductID]],tblProducts[ProductID],tblProducts[ProductName])</f>
        <v>Kids Dress C3</v>
      </c>
      <c r="G753" t="s">
        <v>16277</v>
      </c>
      <c r="H753" t="str">
        <f>_xlfn.XLOOKUP(tblTransactions[[#This Row],[StoreID]],tblStores[StoreID],tblStores[Region])</f>
        <v>West</v>
      </c>
      <c r="I753">
        <v>3</v>
      </c>
      <c r="J753">
        <v>0.1</v>
      </c>
      <c r="K753" t="s">
        <v>16315</v>
      </c>
      <c r="L753" s="9">
        <f>_xlfn.XLOOKUP(tblTransactions[[#This Row],[ProductID]],tblProducts[ProductID],tblProducts[UnitPrice])</f>
        <v>1436.28</v>
      </c>
      <c r="M753" s="9">
        <f>tblTransactions[[#This Row],[Quantity]]*tblTransactions[[#This Row],[UnitPrice]]</f>
        <v>4308.84</v>
      </c>
      <c r="N753" s="9">
        <f>tblTransactions[[#This Row],[GrossSales]]*tblTransactions[[#This Row],[Discount]]</f>
        <v>430.88400000000001</v>
      </c>
      <c r="O753" s="9">
        <f>tblTransactions[[#This Row],[GrossSales]]-tblTransactions[[#This Row],[DiscountAmount]]</f>
        <v>3877.9560000000001</v>
      </c>
      <c r="P753" s="9">
        <f>_xlfn.XLOOKUP(tblTransactions[[#This Row],[ProductID]],tblProducts[ProductID],tblProducts[UnitCost])</f>
        <v>1097.5</v>
      </c>
      <c r="Q753" s="9">
        <f>tblTransactions[[#This Row],[Quantity]]*tblTransactions[[#This Row],[UnitCost]]</f>
        <v>3292.5</v>
      </c>
      <c r="R753" s="9">
        <f>tblTransactions[[#This Row],[NetRevenue]]-tblTransactions[[#This Row],[TotalCost]]</f>
        <v>585.45600000000013</v>
      </c>
      <c r="S753" t="str">
        <f>_xlfn.XLOOKUP(tblTransactions[[#This Row],[ProductID]],tblProducts[ProductID],tblProducts[Category])</f>
        <v>Clothing</v>
      </c>
    </row>
    <row r="754" spans="1:19">
      <c r="A754" t="s">
        <v>17071</v>
      </c>
      <c r="B754" s="1">
        <v>45753</v>
      </c>
      <c r="C754" t="s">
        <v>15828</v>
      </c>
      <c r="D754" t="str">
        <f>_xlfn.XLOOKUP(tblTransactions[[#This Row],[CustomerID]],tblCustomers[CustomerID],tblCustomers[CustomerName])</f>
        <v>Sachi Sachdeva</v>
      </c>
      <c r="E754" t="s">
        <v>16202</v>
      </c>
      <c r="F754" t="str">
        <f>_xlfn.XLOOKUP(tblTransactions[[#This Row],[ProductID]],tblProducts[ProductID],tblProducts[ProductName])</f>
        <v>Sunscreen E5</v>
      </c>
      <c r="G754" t="s">
        <v>16256</v>
      </c>
      <c r="H754" t="str">
        <f>_xlfn.XLOOKUP(tblTransactions[[#This Row],[StoreID]],tblStores[StoreID],tblStores[Region])</f>
        <v>East</v>
      </c>
      <c r="I754">
        <v>1</v>
      </c>
      <c r="J754">
        <v>0</v>
      </c>
      <c r="K754" t="s">
        <v>16321</v>
      </c>
      <c r="L754" s="9">
        <f>_xlfn.XLOOKUP(tblTransactions[[#This Row],[ProductID]],tblProducts[ProductID],tblProducts[UnitPrice])</f>
        <v>2328.63</v>
      </c>
      <c r="M754" s="9">
        <f>tblTransactions[[#This Row],[Quantity]]*tblTransactions[[#This Row],[UnitPrice]]</f>
        <v>2328.63</v>
      </c>
      <c r="N754" s="9">
        <f>tblTransactions[[#This Row],[GrossSales]]*tblTransactions[[#This Row],[Discount]]</f>
        <v>0</v>
      </c>
      <c r="O754" s="9">
        <f>tblTransactions[[#This Row],[GrossSales]]-tblTransactions[[#This Row],[DiscountAmount]]</f>
        <v>2328.63</v>
      </c>
      <c r="P754" s="9">
        <f>_xlfn.XLOOKUP(tblTransactions[[#This Row],[ProductID]],tblProducts[ProductID],tblProducts[UnitCost])</f>
        <v>1946.99</v>
      </c>
      <c r="Q754" s="9">
        <f>tblTransactions[[#This Row],[Quantity]]*tblTransactions[[#This Row],[UnitCost]]</f>
        <v>1946.99</v>
      </c>
      <c r="R754" s="9">
        <f>tblTransactions[[#This Row],[NetRevenue]]-tblTransactions[[#This Row],[TotalCost]]</f>
        <v>381.6400000000001</v>
      </c>
      <c r="S754" t="str">
        <f>_xlfn.XLOOKUP(tblTransactions[[#This Row],[ProductID]],tblProducts[ProductID],tblProducts[Category])</f>
        <v>Personal Care</v>
      </c>
    </row>
    <row r="755" spans="1:19">
      <c r="A755" t="s">
        <v>17072</v>
      </c>
      <c r="B755" s="1">
        <v>45755</v>
      </c>
      <c r="C755" t="s">
        <v>8100</v>
      </c>
      <c r="D755" t="str">
        <f>_xlfn.XLOOKUP(tblTransactions[[#This Row],[CustomerID]],tblCustomers[CustomerID],tblCustomers[CustomerName])</f>
        <v>Michael Gulati</v>
      </c>
      <c r="E755" t="s">
        <v>15937</v>
      </c>
      <c r="F755" t="str">
        <f>_xlfn.XLOOKUP(tblTransactions[[#This Row],[ProductID]],tblProducts[ProductID],tblProducts[ProductName])</f>
        <v>Smart LED TV E5</v>
      </c>
      <c r="G755" t="s">
        <v>16291</v>
      </c>
      <c r="H755" t="str">
        <f>_xlfn.XLOOKUP(tblTransactions[[#This Row],[StoreID]],tblStores[StoreID],tblStores[Region])</f>
        <v>South</v>
      </c>
      <c r="I755">
        <v>1</v>
      </c>
      <c r="J755">
        <v>0</v>
      </c>
      <c r="K755" t="s">
        <v>16325</v>
      </c>
      <c r="L755" s="9">
        <f>_xlfn.XLOOKUP(tblTransactions[[#This Row],[ProductID]],tblProducts[ProductID],tblProducts[UnitPrice])</f>
        <v>4719.2700000000004</v>
      </c>
      <c r="M755" s="9">
        <f>tblTransactions[[#This Row],[Quantity]]*tblTransactions[[#This Row],[UnitPrice]]</f>
        <v>4719.2700000000004</v>
      </c>
      <c r="N755" s="9">
        <f>tblTransactions[[#This Row],[GrossSales]]*tblTransactions[[#This Row],[Discount]]</f>
        <v>0</v>
      </c>
      <c r="O755" s="9">
        <f>tblTransactions[[#This Row],[GrossSales]]-tblTransactions[[#This Row],[DiscountAmount]]</f>
        <v>4719.2700000000004</v>
      </c>
      <c r="P755" s="9">
        <f>_xlfn.XLOOKUP(tblTransactions[[#This Row],[ProductID]],tblProducts[ProductID],tblProducts[UnitCost])</f>
        <v>3322.23</v>
      </c>
      <c r="Q755" s="9">
        <f>tblTransactions[[#This Row],[Quantity]]*tblTransactions[[#This Row],[UnitCost]]</f>
        <v>3322.23</v>
      </c>
      <c r="R755" s="9">
        <f>tblTransactions[[#This Row],[NetRevenue]]-tblTransactions[[#This Row],[TotalCost]]</f>
        <v>1397.0400000000004</v>
      </c>
      <c r="S755" t="str">
        <f>_xlfn.XLOOKUP(tblTransactions[[#This Row],[ProductID]],tblProducts[ProductID],tblProducts[Category])</f>
        <v>Electronics</v>
      </c>
    </row>
    <row r="756" spans="1:19">
      <c r="A756" t="s">
        <v>17073</v>
      </c>
      <c r="B756" s="1">
        <v>45756</v>
      </c>
      <c r="C756" t="s">
        <v>4650</v>
      </c>
      <c r="D756" t="str">
        <f>_xlfn.XLOOKUP(tblTransactions[[#This Row],[CustomerID]],tblCustomers[CustomerID],tblCustomers[CustomerName])</f>
        <v>Isha Kumar</v>
      </c>
      <c r="E756" t="s">
        <v>16247</v>
      </c>
      <c r="F756" t="str">
        <f>_xlfn.XLOOKUP(tblTransactions[[#This Row],[ProductID]],tblProducts[ProductID],tblProducts[ProductName])</f>
        <v>Shaving Kit E5</v>
      </c>
      <c r="G756" t="s">
        <v>16285</v>
      </c>
      <c r="H756" t="str">
        <f>_xlfn.XLOOKUP(tblTransactions[[#This Row],[StoreID]],tblStores[StoreID],tblStores[Region])</f>
        <v>West</v>
      </c>
      <c r="I756">
        <v>1</v>
      </c>
      <c r="J756">
        <v>0</v>
      </c>
      <c r="K756" t="s">
        <v>16315</v>
      </c>
      <c r="L756" s="9">
        <f>_xlfn.XLOOKUP(tblTransactions[[#This Row],[ProductID]],tblProducts[ProductID],tblProducts[UnitPrice])</f>
        <v>3430.41</v>
      </c>
      <c r="M756" s="9">
        <f>tblTransactions[[#This Row],[Quantity]]*tblTransactions[[#This Row],[UnitPrice]]</f>
        <v>3430.41</v>
      </c>
      <c r="N756" s="9">
        <f>tblTransactions[[#This Row],[GrossSales]]*tblTransactions[[#This Row],[Discount]]</f>
        <v>0</v>
      </c>
      <c r="O756" s="9">
        <f>tblTransactions[[#This Row],[GrossSales]]-tblTransactions[[#This Row],[DiscountAmount]]</f>
        <v>3430.41</v>
      </c>
      <c r="P756" s="9">
        <f>_xlfn.XLOOKUP(tblTransactions[[#This Row],[ProductID]],tblProducts[ProductID],tblProducts[UnitCost])</f>
        <v>2912.56</v>
      </c>
      <c r="Q756" s="9">
        <f>tblTransactions[[#This Row],[Quantity]]*tblTransactions[[#This Row],[UnitCost]]</f>
        <v>2912.56</v>
      </c>
      <c r="R756" s="9">
        <f>tblTransactions[[#This Row],[NetRevenue]]-tblTransactions[[#This Row],[TotalCost]]</f>
        <v>517.84999999999991</v>
      </c>
      <c r="S756" t="str">
        <f>_xlfn.XLOOKUP(tblTransactions[[#This Row],[ProductID]],tblProducts[ProductID],tblProducts[Category])</f>
        <v>Personal Care</v>
      </c>
    </row>
    <row r="757" spans="1:19">
      <c r="A757" t="s">
        <v>17074</v>
      </c>
      <c r="B757" s="1">
        <v>45756</v>
      </c>
      <c r="C757" t="s">
        <v>10961</v>
      </c>
      <c r="D757" t="str">
        <f>_xlfn.XLOOKUP(tblTransactions[[#This Row],[CustomerID]],tblCustomers[CustomerID],tblCustomers[CustomerName])</f>
        <v>Pahal Dasgupta</v>
      </c>
      <c r="E757" t="s">
        <v>16058</v>
      </c>
      <c r="F757" t="str">
        <f>_xlfn.XLOOKUP(tblTransactions[[#This Row],[ProductID]],tblProducts[ProductID],tblProducts[ProductName])</f>
        <v>Decorative Vase B2</v>
      </c>
      <c r="G757" t="s">
        <v>16265</v>
      </c>
      <c r="H757" t="str">
        <f>_xlfn.XLOOKUP(tblTransactions[[#This Row],[StoreID]],tblStores[StoreID],tblStores[Region])</f>
        <v>North</v>
      </c>
      <c r="I757">
        <v>2</v>
      </c>
      <c r="J757">
        <v>0.05</v>
      </c>
      <c r="K757" t="s">
        <v>16317</v>
      </c>
      <c r="L757" s="9">
        <f>_xlfn.XLOOKUP(tblTransactions[[#This Row],[ProductID]],tblProducts[ProductID],tblProducts[UnitPrice])</f>
        <v>22102.15</v>
      </c>
      <c r="M757" s="9">
        <f>tblTransactions[[#This Row],[Quantity]]*tblTransactions[[#This Row],[UnitPrice]]</f>
        <v>44204.3</v>
      </c>
      <c r="N757" s="9">
        <f>tblTransactions[[#This Row],[GrossSales]]*tblTransactions[[#This Row],[Discount]]</f>
        <v>2210.2150000000001</v>
      </c>
      <c r="O757" s="9">
        <f>tblTransactions[[#This Row],[GrossSales]]-tblTransactions[[#This Row],[DiscountAmount]]</f>
        <v>41994.085000000006</v>
      </c>
      <c r="P757" s="9">
        <f>_xlfn.XLOOKUP(tblTransactions[[#This Row],[ProductID]],tblProducts[ProductID],tblProducts[UnitCost])</f>
        <v>15710.91</v>
      </c>
      <c r="Q757" s="9">
        <f>tblTransactions[[#This Row],[Quantity]]*tblTransactions[[#This Row],[UnitCost]]</f>
        <v>31421.82</v>
      </c>
      <c r="R757" s="9">
        <f>tblTransactions[[#This Row],[NetRevenue]]-tblTransactions[[#This Row],[TotalCost]]</f>
        <v>10572.265000000007</v>
      </c>
      <c r="S757" t="str">
        <f>_xlfn.XLOOKUP(tblTransactions[[#This Row],[ProductID]],tblProducts[ProductID],tblProducts[Category])</f>
        <v>Home &amp; Kitchen</v>
      </c>
    </row>
    <row r="758" spans="1:19">
      <c r="A758" t="s">
        <v>17075</v>
      </c>
      <c r="B758" s="1">
        <v>45760</v>
      </c>
      <c r="C758" t="s">
        <v>7581</v>
      </c>
      <c r="D758" t="str">
        <f>_xlfn.XLOOKUP(tblTransactions[[#This Row],[CustomerID]],tblCustomers[CustomerID],tblCustomers[CustomerName])</f>
        <v>Kashish Purohit</v>
      </c>
      <c r="E758" t="s">
        <v>16147</v>
      </c>
      <c r="F758" t="str">
        <f>_xlfn.XLOOKUP(tblTransactions[[#This Row],[ProductID]],tblProducts[ProductID],tblProducts[ProductName])</f>
        <v>Namkeen A1</v>
      </c>
      <c r="G758" t="s">
        <v>16267</v>
      </c>
      <c r="H758" t="str">
        <f>_xlfn.XLOOKUP(tblTransactions[[#This Row],[StoreID]],tblStores[StoreID],tblStores[Region])</f>
        <v>West</v>
      </c>
      <c r="I758">
        <v>4</v>
      </c>
      <c r="J758">
        <v>0</v>
      </c>
      <c r="K758" t="s">
        <v>16325</v>
      </c>
      <c r="L758" s="9">
        <f>_xlfn.XLOOKUP(tblTransactions[[#This Row],[ProductID]],tblProducts[ProductID],tblProducts[UnitPrice])</f>
        <v>1282.31</v>
      </c>
      <c r="M758" s="9">
        <f>tblTransactions[[#This Row],[Quantity]]*tblTransactions[[#This Row],[UnitPrice]]</f>
        <v>5129.24</v>
      </c>
      <c r="N758" s="9">
        <f>tblTransactions[[#This Row],[GrossSales]]*tblTransactions[[#This Row],[Discount]]</f>
        <v>0</v>
      </c>
      <c r="O758" s="9">
        <f>tblTransactions[[#This Row],[GrossSales]]-tblTransactions[[#This Row],[DiscountAmount]]</f>
        <v>5129.24</v>
      </c>
      <c r="P758" s="9">
        <f>_xlfn.XLOOKUP(tblTransactions[[#This Row],[ProductID]],tblProducts[ProductID],tblProducts[UnitCost])</f>
        <v>759</v>
      </c>
      <c r="Q758" s="9">
        <f>tblTransactions[[#This Row],[Quantity]]*tblTransactions[[#This Row],[UnitCost]]</f>
        <v>3036</v>
      </c>
      <c r="R758" s="9">
        <f>tblTransactions[[#This Row],[NetRevenue]]-tblTransactions[[#This Row],[TotalCost]]</f>
        <v>2093.2399999999998</v>
      </c>
      <c r="S758" t="str">
        <f>_xlfn.XLOOKUP(tblTransactions[[#This Row],[ProductID]],tblProducts[ProductID],tblProducts[Category])</f>
        <v>Grocery</v>
      </c>
    </row>
    <row r="759" spans="1:19">
      <c r="A759" t="s">
        <v>17076</v>
      </c>
      <c r="B759" s="1">
        <v>45760</v>
      </c>
      <c r="C759" t="s">
        <v>6593</v>
      </c>
      <c r="D759" t="str">
        <f>_xlfn.XLOOKUP(tblTransactions[[#This Row],[CustomerID]],tblCustomers[CustomerID],tblCustomers[CustomerName])</f>
        <v>Falan Talwar</v>
      </c>
      <c r="E759" t="s">
        <v>16064</v>
      </c>
      <c r="F759" t="str">
        <f>_xlfn.XLOOKUP(tblTransactions[[#This Row],[ProductID]],tblProducts[ProductID],tblProducts[ProductName])</f>
        <v>Decorative Vase E5</v>
      </c>
      <c r="G759" t="s">
        <v>16301</v>
      </c>
      <c r="H759" t="str">
        <f>_xlfn.XLOOKUP(tblTransactions[[#This Row],[StoreID]],tblStores[StoreID],tblStores[Region])</f>
        <v>East</v>
      </c>
      <c r="I759">
        <v>2</v>
      </c>
      <c r="J759">
        <v>0</v>
      </c>
      <c r="K759" t="s">
        <v>16315</v>
      </c>
      <c r="L759" s="9">
        <f>_xlfn.XLOOKUP(tblTransactions[[#This Row],[ProductID]],tblProducts[ProductID],tblProducts[UnitPrice])</f>
        <v>1797.31</v>
      </c>
      <c r="M759" s="9">
        <f>tblTransactions[[#This Row],[Quantity]]*tblTransactions[[#This Row],[UnitPrice]]</f>
        <v>3594.62</v>
      </c>
      <c r="N759" s="9">
        <f>tblTransactions[[#This Row],[GrossSales]]*tblTransactions[[#This Row],[Discount]]</f>
        <v>0</v>
      </c>
      <c r="O759" s="9">
        <f>tblTransactions[[#This Row],[GrossSales]]-tblTransactions[[#This Row],[DiscountAmount]]</f>
        <v>3594.62</v>
      </c>
      <c r="P759" s="9">
        <f>_xlfn.XLOOKUP(tblTransactions[[#This Row],[ProductID]],tblProducts[ProductID],tblProducts[UnitCost])</f>
        <v>1257.43</v>
      </c>
      <c r="Q759" s="9">
        <f>tblTransactions[[#This Row],[Quantity]]*tblTransactions[[#This Row],[UnitCost]]</f>
        <v>2514.86</v>
      </c>
      <c r="R759" s="9">
        <f>tblTransactions[[#This Row],[NetRevenue]]-tblTransactions[[#This Row],[TotalCost]]</f>
        <v>1079.7599999999998</v>
      </c>
      <c r="S759" t="str">
        <f>_xlfn.XLOOKUP(tblTransactions[[#This Row],[ProductID]],tblProducts[ProductID],tblProducts[Category])</f>
        <v>Home &amp; Kitchen</v>
      </c>
    </row>
    <row r="760" spans="1:19">
      <c r="A760" t="s">
        <v>17077</v>
      </c>
      <c r="B760" s="1">
        <v>45762</v>
      </c>
      <c r="C760" t="s">
        <v>4509</v>
      </c>
      <c r="D760" t="str">
        <f>_xlfn.XLOOKUP(tblTransactions[[#This Row],[CustomerID]],tblCustomers[CustomerID],tblCustomers[CustomerName])</f>
        <v>Lavanya De</v>
      </c>
      <c r="E760" t="s">
        <v>16200</v>
      </c>
      <c r="F760" t="str">
        <f>_xlfn.XLOOKUP(tblTransactions[[#This Row],[ProductID]],tblProducts[ProductID],tblProducts[ProductName])</f>
        <v>Face Cream D4</v>
      </c>
      <c r="G760" t="s">
        <v>16299</v>
      </c>
      <c r="H760" t="str">
        <f>_xlfn.XLOOKUP(tblTransactions[[#This Row],[StoreID]],tblStores[StoreID],tblStores[Region])</f>
        <v>South</v>
      </c>
      <c r="I760">
        <v>2</v>
      </c>
      <c r="J760">
        <v>0</v>
      </c>
      <c r="K760" t="s">
        <v>16315</v>
      </c>
      <c r="L760" s="9">
        <f>_xlfn.XLOOKUP(tblTransactions[[#This Row],[ProductID]],tblProducts[ProductID],tblProducts[UnitPrice])</f>
        <v>3082.2</v>
      </c>
      <c r="M760" s="9">
        <f>tblTransactions[[#This Row],[Quantity]]*tblTransactions[[#This Row],[UnitPrice]]</f>
        <v>6164.4</v>
      </c>
      <c r="N760" s="9">
        <f>tblTransactions[[#This Row],[GrossSales]]*tblTransactions[[#This Row],[Discount]]</f>
        <v>0</v>
      </c>
      <c r="O760" s="9">
        <f>tblTransactions[[#This Row],[GrossSales]]-tblTransactions[[#This Row],[DiscountAmount]]</f>
        <v>6164.4</v>
      </c>
      <c r="P760" s="9">
        <f>_xlfn.XLOOKUP(tblTransactions[[#This Row],[ProductID]],tblProducts[ProductID],tblProducts[UnitCost])</f>
        <v>2561.06</v>
      </c>
      <c r="Q760" s="9">
        <f>tblTransactions[[#This Row],[Quantity]]*tblTransactions[[#This Row],[UnitCost]]</f>
        <v>5122.12</v>
      </c>
      <c r="R760" s="9">
        <f>tblTransactions[[#This Row],[NetRevenue]]-tblTransactions[[#This Row],[TotalCost]]</f>
        <v>1042.2799999999997</v>
      </c>
      <c r="S760" t="str">
        <f>_xlfn.XLOOKUP(tblTransactions[[#This Row],[ProductID]],tblProducts[ProductID],tblProducts[Category])</f>
        <v>Personal Care</v>
      </c>
    </row>
    <row r="761" spans="1:19">
      <c r="A761" t="s">
        <v>17078</v>
      </c>
      <c r="B761" s="1">
        <v>45763</v>
      </c>
      <c r="C761" t="s">
        <v>15879</v>
      </c>
      <c r="D761" t="str">
        <f>_xlfn.XLOOKUP(tblTransactions[[#This Row],[CustomerID]],tblCustomers[CustomerID],tblCustomers[CustomerName])</f>
        <v>Lila Kara</v>
      </c>
      <c r="E761" t="s">
        <v>16053</v>
      </c>
      <c r="F761" t="str">
        <f>_xlfn.XLOOKUP(tblTransactions[[#This Row],[ProductID]],tblProducts[ProductID],tblProducts[ProductName])</f>
        <v>Pressure Cooker B7</v>
      </c>
      <c r="G761" t="s">
        <v>16271</v>
      </c>
      <c r="H761" t="str">
        <f>_xlfn.XLOOKUP(tblTransactions[[#This Row],[StoreID]],tblStores[StoreID],tblStores[Region])</f>
        <v>South</v>
      </c>
      <c r="I761">
        <v>4</v>
      </c>
      <c r="J761">
        <v>0.1</v>
      </c>
      <c r="K761" t="s">
        <v>16325</v>
      </c>
      <c r="L761" s="9">
        <f>_xlfn.XLOOKUP(tblTransactions[[#This Row],[ProductID]],tblProducts[ProductID],tblProducts[UnitPrice])</f>
        <v>24743.52</v>
      </c>
      <c r="M761" s="9">
        <f>tblTransactions[[#This Row],[Quantity]]*tblTransactions[[#This Row],[UnitPrice]]</f>
        <v>98974.080000000002</v>
      </c>
      <c r="N761" s="9">
        <f>tblTransactions[[#This Row],[GrossSales]]*tblTransactions[[#This Row],[Discount]]</f>
        <v>9897.4080000000013</v>
      </c>
      <c r="O761" s="9">
        <f>tblTransactions[[#This Row],[GrossSales]]-tblTransactions[[#This Row],[DiscountAmount]]</f>
        <v>89076.672000000006</v>
      </c>
      <c r="P761" s="9">
        <f>_xlfn.XLOOKUP(tblTransactions[[#This Row],[ProductID]],tblProducts[ProductID],tblProducts[UnitCost])</f>
        <v>16620.189999999999</v>
      </c>
      <c r="Q761" s="9">
        <f>tblTransactions[[#This Row],[Quantity]]*tblTransactions[[#This Row],[UnitCost]]</f>
        <v>66480.759999999995</v>
      </c>
      <c r="R761" s="9">
        <f>tblTransactions[[#This Row],[NetRevenue]]-tblTransactions[[#This Row],[TotalCost]]</f>
        <v>22595.912000000011</v>
      </c>
      <c r="S761" t="str">
        <f>_xlfn.XLOOKUP(tblTransactions[[#This Row],[ProductID]],tblProducts[ProductID],tblProducts[Category])</f>
        <v>Home &amp; Kitchen</v>
      </c>
    </row>
    <row r="762" spans="1:19">
      <c r="A762" t="s">
        <v>17079</v>
      </c>
      <c r="B762" s="1">
        <v>45764</v>
      </c>
      <c r="C762" t="s">
        <v>6329</v>
      </c>
      <c r="D762" t="str">
        <f>_xlfn.XLOOKUP(tblTransactions[[#This Row],[CustomerID]],tblCustomers[CustomerID],tblCustomers[CustomerName])</f>
        <v>George Sangha</v>
      </c>
      <c r="E762" t="s">
        <v>16013</v>
      </c>
      <c r="F762" t="str">
        <f>_xlfn.XLOOKUP(tblTransactions[[#This Row],[ProductID]],tblProducts[ProductID],tblProducts[ProductName])</f>
        <v>Electric Kettle B2</v>
      </c>
      <c r="G762" t="s">
        <v>16281</v>
      </c>
      <c r="H762" t="str">
        <f>_xlfn.XLOOKUP(tblTransactions[[#This Row],[StoreID]],tblStores[StoreID],tblStores[Region])</f>
        <v>West</v>
      </c>
      <c r="I762">
        <v>1</v>
      </c>
      <c r="J762">
        <v>0</v>
      </c>
      <c r="K762" t="s">
        <v>16317</v>
      </c>
      <c r="L762" s="9">
        <f>_xlfn.XLOOKUP(tblTransactions[[#This Row],[ProductID]],tblProducts[ProductID],tblProducts[UnitPrice])</f>
        <v>10664.54</v>
      </c>
      <c r="M762" s="9">
        <f>tblTransactions[[#This Row],[Quantity]]*tblTransactions[[#This Row],[UnitPrice]]</f>
        <v>10664.54</v>
      </c>
      <c r="N762" s="9">
        <f>tblTransactions[[#This Row],[GrossSales]]*tblTransactions[[#This Row],[Discount]]</f>
        <v>0</v>
      </c>
      <c r="O762" s="9">
        <f>tblTransactions[[#This Row],[GrossSales]]-tblTransactions[[#This Row],[DiscountAmount]]</f>
        <v>10664.54</v>
      </c>
      <c r="P762" s="9">
        <f>_xlfn.XLOOKUP(tblTransactions[[#This Row],[ProductID]],tblProducts[ProductID],tblProducts[UnitCost])</f>
        <v>8430.75</v>
      </c>
      <c r="Q762" s="9">
        <f>tblTransactions[[#This Row],[Quantity]]*tblTransactions[[#This Row],[UnitCost]]</f>
        <v>8430.75</v>
      </c>
      <c r="R762" s="9">
        <f>tblTransactions[[#This Row],[NetRevenue]]-tblTransactions[[#This Row],[TotalCost]]</f>
        <v>2233.7900000000009</v>
      </c>
      <c r="S762" t="str">
        <f>_xlfn.XLOOKUP(tblTransactions[[#This Row],[ProductID]],tblProducts[ProductID],tblProducts[Category])</f>
        <v>Home &amp; Kitchen</v>
      </c>
    </row>
    <row r="763" spans="1:19">
      <c r="A763" t="s">
        <v>17080</v>
      </c>
      <c r="B763" s="1">
        <v>45765</v>
      </c>
      <c r="C763" t="s">
        <v>14093</v>
      </c>
      <c r="D763" t="str">
        <f>_xlfn.XLOOKUP(tblTransactions[[#This Row],[CustomerID]],tblCustomers[CustomerID],tblCustomers[CustomerName])</f>
        <v>Peter Desai</v>
      </c>
      <c r="E763" t="s">
        <v>16147</v>
      </c>
      <c r="F763" t="str">
        <f>_xlfn.XLOOKUP(tblTransactions[[#This Row],[ProductID]],tblProducts[ProductID],tblProducts[ProductName])</f>
        <v>Namkeen A1</v>
      </c>
      <c r="G763" t="s">
        <v>16262</v>
      </c>
      <c r="H763" t="str">
        <f>_xlfn.XLOOKUP(tblTransactions[[#This Row],[StoreID]],tblStores[StoreID],tblStores[Region])</f>
        <v>North</v>
      </c>
      <c r="I763">
        <v>2</v>
      </c>
      <c r="J763">
        <v>0</v>
      </c>
      <c r="K763" t="s">
        <v>16325</v>
      </c>
      <c r="L763" s="9">
        <f>_xlfn.XLOOKUP(tblTransactions[[#This Row],[ProductID]],tblProducts[ProductID],tblProducts[UnitPrice])</f>
        <v>1282.31</v>
      </c>
      <c r="M763" s="9">
        <f>tblTransactions[[#This Row],[Quantity]]*tblTransactions[[#This Row],[UnitPrice]]</f>
        <v>2564.62</v>
      </c>
      <c r="N763" s="9">
        <f>tblTransactions[[#This Row],[GrossSales]]*tblTransactions[[#This Row],[Discount]]</f>
        <v>0</v>
      </c>
      <c r="O763" s="9">
        <f>tblTransactions[[#This Row],[GrossSales]]-tblTransactions[[#This Row],[DiscountAmount]]</f>
        <v>2564.62</v>
      </c>
      <c r="P763" s="9">
        <f>_xlfn.XLOOKUP(tblTransactions[[#This Row],[ProductID]],tblProducts[ProductID],tblProducts[UnitCost])</f>
        <v>759</v>
      </c>
      <c r="Q763" s="9">
        <f>tblTransactions[[#This Row],[Quantity]]*tblTransactions[[#This Row],[UnitCost]]</f>
        <v>1518</v>
      </c>
      <c r="R763" s="9">
        <f>tblTransactions[[#This Row],[NetRevenue]]-tblTransactions[[#This Row],[TotalCost]]</f>
        <v>1046.6199999999999</v>
      </c>
      <c r="S763" t="str">
        <f>_xlfn.XLOOKUP(tblTransactions[[#This Row],[ProductID]],tblProducts[ProductID],tblProducts[Category])</f>
        <v>Grocery</v>
      </c>
    </row>
    <row r="764" spans="1:19">
      <c r="A764" t="s">
        <v>17081</v>
      </c>
      <c r="B764" s="1">
        <v>45766</v>
      </c>
      <c r="C764" t="s">
        <v>10129</v>
      </c>
      <c r="D764" t="str">
        <f>_xlfn.XLOOKUP(tblTransactions[[#This Row],[CustomerID]],tblCustomers[CustomerID],tblCustomers[CustomerName])</f>
        <v>Arjun Balasubramanian</v>
      </c>
      <c r="E764" t="s">
        <v>16141</v>
      </c>
      <c r="F764" t="str">
        <f>_xlfn.XLOOKUP(tblTransactions[[#This Row],[ProductID]],tblProducts[ProductID],tblProducts[ProductName])</f>
        <v>Sugar E5</v>
      </c>
      <c r="G764" t="s">
        <v>16285</v>
      </c>
      <c r="H764" t="str">
        <f>_xlfn.XLOOKUP(tblTransactions[[#This Row],[StoreID]],tblStores[StoreID],tblStores[Region])</f>
        <v>West</v>
      </c>
      <c r="I764">
        <v>2</v>
      </c>
      <c r="J764">
        <v>0.1</v>
      </c>
      <c r="K764" t="s">
        <v>16321</v>
      </c>
      <c r="L764" s="9">
        <f>_xlfn.XLOOKUP(tblTransactions[[#This Row],[ProductID]],tblProducts[ProductID],tblProducts[UnitPrice])</f>
        <v>631.26</v>
      </c>
      <c r="M764" s="9">
        <f>tblTransactions[[#This Row],[Quantity]]*tblTransactions[[#This Row],[UnitPrice]]</f>
        <v>1262.52</v>
      </c>
      <c r="N764" s="9">
        <f>tblTransactions[[#This Row],[GrossSales]]*tblTransactions[[#This Row],[Discount]]</f>
        <v>126.25200000000001</v>
      </c>
      <c r="O764" s="9">
        <f>tblTransactions[[#This Row],[GrossSales]]-tblTransactions[[#This Row],[DiscountAmount]]</f>
        <v>1136.268</v>
      </c>
      <c r="P764" s="9">
        <f>_xlfn.XLOOKUP(tblTransactions[[#This Row],[ProductID]],tblProducts[ProductID],tblProducts[UnitCost])</f>
        <v>394.86</v>
      </c>
      <c r="Q764" s="9">
        <f>tblTransactions[[#This Row],[Quantity]]*tblTransactions[[#This Row],[UnitCost]]</f>
        <v>789.72</v>
      </c>
      <c r="R764" s="9">
        <f>tblTransactions[[#This Row],[NetRevenue]]-tblTransactions[[#This Row],[TotalCost]]</f>
        <v>346.548</v>
      </c>
      <c r="S764" t="str">
        <f>_xlfn.XLOOKUP(tblTransactions[[#This Row],[ProductID]],tblProducts[ProductID],tblProducts[Category])</f>
        <v>Grocery</v>
      </c>
    </row>
    <row r="765" spans="1:19">
      <c r="A765" t="s">
        <v>17082</v>
      </c>
      <c r="B765" s="1">
        <v>45766</v>
      </c>
      <c r="C765" t="s">
        <v>610</v>
      </c>
      <c r="D765" t="str">
        <f>_xlfn.XLOOKUP(tblTransactions[[#This Row],[CustomerID]],tblCustomers[CustomerID],tblCustomers[CustomerName])</f>
        <v>Krishna Shah</v>
      </c>
      <c r="E765" t="s">
        <v>16221</v>
      </c>
      <c r="F765" t="str">
        <f>_xlfn.XLOOKUP(tblTransactions[[#This Row],[ProductID]],tblProducts[ProductID],tblProducts[ProductName])</f>
        <v>Conditioner B7</v>
      </c>
      <c r="G765" t="s">
        <v>16289</v>
      </c>
      <c r="H765" t="str">
        <f>_xlfn.XLOOKUP(tblTransactions[[#This Row],[StoreID]],tblStores[StoreID],tblStores[Region])</f>
        <v>South</v>
      </c>
      <c r="I765">
        <v>1</v>
      </c>
      <c r="J765">
        <v>0.05</v>
      </c>
      <c r="K765" t="s">
        <v>16317</v>
      </c>
      <c r="L765" s="9">
        <f>_xlfn.XLOOKUP(tblTransactions[[#This Row],[ProductID]],tblProducts[ProductID],tblProducts[UnitPrice])</f>
        <v>1702.4</v>
      </c>
      <c r="M765" s="9">
        <f>tblTransactions[[#This Row],[Quantity]]*tblTransactions[[#This Row],[UnitPrice]]</f>
        <v>1702.4</v>
      </c>
      <c r="N765" s="9">
        <f>tblTransactions[[#This Row],[GrossSales]]*tblTransactions[[#This Row],[Discount]]</f>
        <v>85.12</v>
      </c>
      <c r="O765" s="9">
        <f>tblTransactions[[#This Row],[GrossSales]]-tblTransactions[[#This Row],[DiscountAmount]]</f>
        <v>1617.2800000000002</v>
      </c>
      <c r="P765" s="9">
        <f>_xlfn.XLOOKUP(tblTransactions[[#This Row],[ProductID]],tblProducts[ProductID],tblProducts[UnitCost])</f>
        <v>1284.8900000000001</v>
      </c>
      <c r="Q765" s="9">
        <f>tblTransactions[[#This Row],[Quantity]]*tblTransactions[[#This Row],[UnitCost]]</f>
        <v>1284.8900000000001</v>
      </c>
      <c r="R765" s="9">
        <f>tblTransactions[[#This Row],[NetRevenue]]-tblTransactions[[#This Row],[TotalCost]]</f>
        <v>332.3900000000001</v>
      </c>
      <c r="S765" t="str">
        <f>_xlfn.XLOOKUP(tblTransactions[[#This Row],[ProductID]],tblProducts[ProductID],tblProducts[Category])</f>
        <v>Personal Care</v>
      </c>
    </row>
    <row r="766" spans="1:19">
      <c r="A766" t="s">
        <v>17083</v>
      </c>
      <c r="B766" s="1">
        <v>45766</v>
      </c>
      <c r="C766" t="s">
        <v>4952</v>
      </c>
      <c r="D766" t="str">
        <f>_xlfn.XLOOKUP(tblTransactions[[#This Row],[CustomerID]],tblCustomers[CustomerID],tblCustomers[CustomerName])</f>
        <v>Warjas Tailor</v>
      </c>
      <c r="E766" t="s">
        <v>16198</v>
      </c>
      <c r="F766" t="str">
        <f>_xlfn.XLOOKUP(tblTransactions[[#This Row],[ProductID]],tblProducts[ProductID],tblProducts[ProductName])</f>
        <v>Face Wash C3</v>
      </c>
      <c r="G766" t="s">
        <v>16269</v>
      </c>
      <c r="H766" t="str">
        <f>_xlfn.XLOOKUP(tblTransactions[[#This Row],[StoreID]],tblStores[StoreID],tblStores[Region])</f>
        <v>North</v>
      </c>
      <c r="I766">
        <v>1</v>
      </c>
      <c r="J766">
        <v>0</v>
      </c>
      <c r="K766" t="s">
        <v>16325</v>
      </c>
      <c r="L766" s="9">
        <f>_xlfn.XLOOKUP(tblTransactions[[#This Row],[ProductID]],tblProducts[ProductID],tblProducts[UnitPrice])</f>
        <v>1783.65</v>
      </c>
      <c r="M766" s="9">
        <f>tblTransactions[[#This Row],[Quantity]]*tblTransactions[[#This Row],[UnitPrice]]</f>
        <v>1783.65</v>
      </c>
      <c r="N766" s="9">
        <f>tblTransactions[[#This Row],[GrossSales]]*tblTransactions[[#This Row],[Discount]]</f>
        <v>0</v>
      </c>
      <c r="O766" s="9">
        <f>tblTransactions[[#This Row],[GrossSales]]-tblTransactions[[#This Row],[DiscountAmount]]</f>
        <v>1783.65</v>
      </c>
      <c r="P766" s="9">
        <f>_xlfn.XLOOKUP(tblTransactions[[#This Row],[ProductID]],tblProducts[ProductID],tblProducts[UnitCost])</f>
        <v>1128.95</v>
      </c>
      <c r="Q766" s="9">
        <f>tblTransactions[[#This Row],[Quantity]]*tblTransactions[[#This Row],[UnitCost]]</f>
        <v>1128.95</v>
      </c>
      <c r="R766" s="9">
        <f>tblTransactions[[#This Row],[NetRevenue]]-tblTransactions[[#This Row],[TotalCost]]</f>
        <v>654.70000000000005</v>
      </c>
      <c r="S766" t="str">
        <f>_xlfn.XLOOKUP(tblTransactions[[#This Row],[ProductID]],tblProducts[ProductID],tblProducts[Category])</f>
        <v>Personal Care</v>
      </c>
    </row>
    <row r="767" spans="1:19">
      <c r="A767" t="s">
        <v>17084</v>
      </c>
      <c r="B767" s="1">
        <v>45768</v>
      </c>
      <c r="C767" t="s">
        <v>8595</v>
      </c>
      <c r="D767" t="str">
        <f>_xlfn.XLOOKUP(tblTransactions[[#This Row],[CustomerID]],tblCustomers[CustomerID],tblCustomers[CustomerName])</f>
        <v>Bhavani Yadav</v>
      </c>
      <c r="E767" t="s">
        <v>16017</v>
      </c>
      <c r="F767" t="str">
        <f>_xlfn.XLOOKUP(tblTransactions[[#This Row],[ProductID]],tblProducts[ProductID],tblProducts[ProductName])</f>
        <v>Microwave Oven D4</v>
      </c>
      <c r="G767" t="s">
        <v>16269</v>
      </c>
      <c r="H767" t="str">
        <f>_xlfn.XLOOKUP(tblTransactions[[#This Row],[StoreID]],tblStores[StoreID],tblStores[Region])</f>
        <v>North</v>
      </c>
      <c r="I767">
        <v>2</v>
      </c>
      <c r="J767">
        <v>0.1</v>
      </c>
      <c r="K767" t="s">
        <v>16315</v>
      </c>
      <c r="L767" s="9">
        <f>_xlfn.XLOOKUP(tblTransactions[[#This Row],[ProductID]],tblProducts[ProductID],tblProducts[UnitPrice])</f>
        <v>29579.63</v>
      </c>
      <c r="M767" s="9">
        <f>tblTransactions[[#This Row],[Quantity]]*tblTransactions[[#This Row],[UnitPrice]]</f>
        <v>59159.26</v>
      </c>
      <c r="N767" s="9">
        <f>tblTransactions[[#This Row],[GrossSales]]*tblTransactions[[#This Row],[Discount]]</f>
        <v>5915.9260000000004</v>
      </c>
      <c r="O767" s="9">
        <f>tblTransactions[[#This Row],[GrossSales]]-tblTransactions[[#This Row],[DiscountAmount]]</f>
        <v>53243.334000000003</v>
      </c>
      <c r="P767" s="9">
        <f>_xlfn.XLOOKUP(tblTransactions[[#This Row],[ProductID]],tblProducts[ProductID],tblProducts[UnitCost])</f>
        <v>24254.720000000001</v>
      </c>
      <c r="Q767" s="9">
        <f>tblTransactions[[#This Row],[Quantity]]*tblTransactions[[#This Row],[UnitCost]]</f>
        <v>48509.440000000002</v>
      </c>
      <c r="R767" s="9">
        <f>tblTransactions[[#This Row],[NetRevenue]]-tblTransactions[[#This Row],[TotalCost]]</f>
        <v>4733.8940000000002</v>
      </c>
      <c r="S767" t="str">
        <f>_xlfn.XLOOKUP(tblTransactions[[#This Row],[ProductID]],tblProducts[ProductID],tblProducts[Category])</f>
        <v>Home &amp; Kitchen</v>
      </c>
    </row>
    <row r="768" spans="1:19">
      <c r="A768" t="s">
        <v>17085</v>
      </c>
      <c r="B768" s="1">
        <v>45769</v>
      </c>
      <c r="C768" t="s">
        <v>12038</v>
      </c>
      <c r="D768" t="str">
        <f>_xlfn.XLOOKUP(tblTransactions[[#This Row],[CustomerID]],tblCustomers[CustomerID],tblCustomers[CustomerName])</f>
        <v>Anya Deshpande</v>
      </c>
      <c r="E768" t="s">
        <v>16001</v>
      </c>
      <c r="F768" t="str">
        <f>_xlfn.XLOOKUP(tblTransactions[[#This Row],[ProductID]],tblProducts[ProductID],tblProducts[ProductName])</f>
        <v>Power Bank D4</v>
      </c>
      <c r="G768" t="s">
        <v>16297</v>
      </c>
      <c r="H768" t="str">
        <f>_xlfn.XLOOKUP(tblTransactions[[#This Row],[StoreID]],tblStores[StoreID],tblStores[Region])</f>
        <v>North</v>
      </c>
      <c r="I768">
        <v>1</v>
      </c>
      <c r="J768">
        <v>0</v>
      </c>
      <c r="K768" t="s">
        <v>16317</v>
      </c>
      <c r="L768" s="9">
        <f>_xlfn.XLOOKUP(tblTransactions[[#This Row],[ProductID]],tblProducts[ProductID],tblProducts[UnitPrice])</f>
        <v>29153.55</v>
      </c>
      <c r="M768" s="9">
        <f>tblTransactions[[#This Row],[Quantity]]*tblTransactions[[#This Row],[UnitPrice]]</f>
        <v>29153.55</v>
      </c>
      <c r="N768" s="9">
        <f>tblTransactions[[#This Row],[GrossSales]]*tblTransactions[[#This Row],[Discount]]</f>
        <v>0</v>
      </c>
      <c r="O768" s="9">
        <f>tblTransactions[[#This Row],[GrossSales]]-tblTransactions[[#This Row],[DiscountAmount]]</f>
        <v>29153.55</v>
      </c>
      <c r="P768" s="9">
        <f>_xlfn.XLOOKUP(tblTransactions[[#This Row],[ProductID]],tblProducts[ProductID],tblProducts[UnitCost])</f>
        <v>21894.27</v>
      </c>
      <c r="Q768" s="9">
        <f>tblTransactions[[#This Row],[Quantity]]*tblTransactions[[#This Row],[UnitCost]]</f>
        <v>21894.27</v>
      </c>
      <c r="R768" s="9">
        <f>tblTransactions[[#This Row],[NetRevenue]]-tblTransactions[[#This Row],[TotalCost]]</f>
        <v>7259.2799999999988</v>
      </c>
      <c r="S768" t="str">
        <f>_xlfn.XLOOKUP(tblTransactions[[#This Row],[ProductID]],tblProducts[ProductID],tblProducts[Category])</f>
        <v>Electronics</v>
      </c>
    </row>
    <row r="769" spans="1:19">
      <c r="A769" t="s">
        <v>17086</v>
      </c>
      <c r="B769" s="1">
        <v>45769</v>
      </c>
      <c r="C769" t="s">
        <v>10718</v>
      </c>
      <c r="D769" t="str">
        <f>_xlfn.XLOOKUP(tblTransactions[[#This Row],[CustomerID]],tblCustomers[CustomerID],tblCustomers[CustomerName])</f>
        <v>Ati Misra</v>
      </c>
      <c r="E769" t="s">
        <v>16062</v>
      </c>
      <c r="F769" t="str">
        <f>_xlfn.XLOOKUP(tblTransactions[[#This Row],[ProductID]],tblProducts[ProductID],tblProducts[ProductName])</f>
        <v>Table Lamp D4</v>
      </c>
      <c r="G769" t="s">
        <v>16267</v>
      </c>
      <c r="H769" t="str">
        <f>_xlfn.XLOOKUP(tblTransactions[[#This Row],[StoreID]],tblStores[StoreID],tblStores[Region])</f>
        <v>West</v>
      </c>
      <c r="I769">
        <v>2</v>
      </c>
      <c r="J769">
        <v>0</v>
      </c>
      <c r="K769" t="s">
        <v>16321</v>
      </c>
      <c r="L769" s="9">
        <f>_xlfn.XLOOKUP(tblTransactions[[#This Row],[ProductID]],tblProducts[ProductID],tblProducts[UnitPrice])</f>
        <v>22222.83</v>
      </c>
      <c r="M769" s="9">
        <f>tblTransactions[[#This Row],[Quantity]]*tblTransactions[[#This Row],[UnitPrice]]</f>
        <v>44445.66</v>
      </c>
      <c r="N769" s="9">
        <f>tblTransactions[[#This Row],[GrossSales]]*tblTransactions[[#This Row],[Discount]]</f>
        <v>0</v>
      </c>
      <c r="O769" s="9">
        <f>tblTransactions[[#This Row],[GrossSales]]-tblTransactions[[#This Row],[DiscountAmount]]</f>
        <v>44445.66</v>
      </c>
      <c r="P769" s="9">
        <f>_xlfn.XLOOKUP(tblTransactions[[#This Row],[ProductID]],tblProducts[ProductID],tblProducts[UnitCost])</f>
        <v>17564.490000000002</v>
      </c>
      <c r="Q769" s="9">
        <f>tblTransactions[[#This Row],[Quantity]]*tblTransactions[[#This Row],[UnitCost]]</f>
        <v>35128.980000000003</v>
      </c>
      <c r="R769" s="9">
        <f>tblTransactions[[#This Row],[NetRevenue]]-tblTransactions[[#This Row],[TotalCost]]</f>
        <v>9316.68</v>
      </c>
      <c r="S769" t="str">
        <f>_xlfn.XLOOKUP(tblTransactions[[#This Row],[ProductID]],tblProducts[ProductID],tblProducts[Category])</f>
        <v>Home &amp; Kitchen</v>
      </c>
    </row>
    <row r="770" spans="1:19">
      <c r="A770" t="s">
        <v>17087</v>
      </c>
      <c r="B770" s="1">
        <v>45770</v>
      </c>
      <c r="C770" t="s">
        <v>254</v>
      </c>
      <c r="D770" t="str">
        <f>_xlfn.XLOOKUP(tblTransactions[[#This Row],[CustomerID]],tblCustomers[CustomerID],tblCustomers[CustomerName])</f>
        <v>Adweta Edwin</v>
      </c>
      <c r="E770" t="s">
        <v>15950</v>
      </c>
      <c r="F770" t="str">
        <f>_xlfn.XLOOKUP(tblTransactions[[#This Row],[ProductID]],tblProducts[ProductID],tblProducts[ProductName])</f>
        <v>Premium Smartphone C3</v>
      </c>
      <c r="G770" t="s">
        <v>16299</v>
      </c>
      <c r="H770" t="str">
        <f>_xlfn.XLOOKUP(tblTransactions[[#This Row],[StoreID]],tblStores[StoreID],tblStores[Region])</f>
        <v>South</v>
      </c>
      <c r="I770">
        <v>4</v>
      </c>
      <c r="J770">
        <v>0</v>
      </c>
      <c r="K770" t="s">
        <v>16315</v>
      </c>
      <c r="L770" s="9">
        <f>_xlfn.XLOOKUP(tblTransactions[[#This Row],[ProductID]],tblProducts[ProductID],tblProducts[UnitPrice])</f>
        <v>14902.07</v>
      </c>
      <c r="M770" s="9">
        <f>tblTransactions[[#This Row],[Quantity]]*tblTransactions[[#This Row],[UnitPrice]]</f>
        <v>59608.28</v>
      </c>
      <c r="N770" s="9">
        <f>tblTransactions[[#This Row],[GrossSales]]*tblTransactions[[#This Row],[Discount]]</f>
        <v>0</v>
      </c>
      <c r="O770" s="9">
        <f>tblTransactions[[#This Row],[GrossSales]]-tblTransactions[[#This Row],[DiscountAmount]]</f>
        <v>59608.28</v>
      </c>
      <c r="P770" s="9">
        <f>_xlfn.XLOOKUP(tblTransactions[[#This Row],[ProductID]],tblProducts[ProductID],tblProducts[UnitCost])</f>
        <v>9305.33</v>
      </c>
      <c r="Q770" s="9">
        <f>tblTransactions[[#This Row],[Quantity]]*tblTransactions[[#This Row],[UnitCost]]</f>
        <v>37221.32</v>
      </c>
      <c r="R770" s="9">
        <f>tblTransactions[[#This Row],[NetRevenue]]-tblTransactions[[#This Row],[TotalCost]]</f>
        <v>22386.959999999999</v>
      </c>
      <c r="S770" t="str">
        <f>_xlfn.XLOOKUP(tblTransactions[[#This Row],[ProductID]],tblProducts[ProductID],tblProducts[Category])</f>
        <v>Electronics</v>
      </c>
    </row>
    <row r="771" spans="1:19">
      <c r="A771" t="s">
        <v>17088</v>
      </c>
      <c r="B771" s="1">
        <v>45773</v>
      </c>
      <c r="C771" t="s">
        <v>2019</v>
      </c>
      <c r="D771" t="str">
        <f>_xlfn.XLOOKUP(tblTransactions[[#This Row],[CustomerID]],tblCustomers[CustomerID],tblCustomers[CustomerName])</f>
        <v>Gagan Mammen</v>
      </c>
      <c r="E771" t="s">
        <v>16192</v>
      </c>
      <c r="F771" t="str">
        <f>_xlfn.XLOOKUP(tblTransactions[[#This Row],[ProductID]],tblProducts[ProductID],tblProducts[ProductName])</f>
        <v>Face Cream A1</v>
      </c>
      <c r="G771" t="s">
        <v>16269</v>
      </c>
      <c r="H771" t="str">
        <f>_xlfn.XLOOKUP(tblTransactions[[#This Row],[StoreID]],tblStores[StoreID],tblStores[Region])</f>
        <v>North</v>
      </c>
      <c r="I771">
        <v>2</v>
      </c>
      <c r="J771">
        <v>0</v>
      </c>
      <c r="K771" t="s">
        <v>16319</v>
      </c>
      <c r="L771" s="9">
        <f>_xlfn.XLOOKUP(tblTransactions[[#This Row],[ProductID]],tblProducts[ProductID],tblProducts[UnitPrice])</f>
        <v>1666.93</v>
      </c>
      <c r="M771" s="9">
        <f>tblTransactions[[#This Row],[Quantity]]*tblTransactions[[#This Row],[UnitPrice]]</f>
        <v>3333.86</v>
      </c>
      <c r="N771" s="9">
        <f>tblTransactions[[#This Row],[GrossSales]]*tblTransactions[[#This Row],[Discount]]</f>
        <v>0</v>
      </c>
      <c r="O771" s="9">
        <f>tblTransactions[[#This Row],[GrossSales]]-tblTransactions[[#This Row],[DiscountAmount]]</f>
        <v>3333.86</v>
      </c>
      <c r="P771" s="9">
        <f>_xlfn.XLOOKUP(tblTransactions[[#This Row],[ProductID]],tblProducts[ProductID],tblProducts[UnitCost])</f>
        <v>983.54</v>
      </c>
      <c r="Q771" s="9">
        <f>tblTransactions[[#This Row],[Quantity]]*tblTransactions[[#This Row],[UnitCost]]</f>
        <v>1967.08</v>
      </c>
      <c r="R771" s="9">
        <f>tblTransactions[[#This Row],[NetRevenue]]-tblTransactions[[#This Row],[TotalCost]]</f>
        <v>1366.7800000000002</v>
      </c>
      <c r="S771" t="str">
        <f>_xlfn.XLOOKUP(tblTransactions[[#This Row],[ProductID]],tblProducts[ProductID],tblProducts[Category])</f>
        <v>Personal Care</v>
      </c>
    </row>
    <row r="772" spans="1:19">
      <c r="A772" t="s">
        <v>17089</v>
      </c>
      <c r="B772" s="1">
        <v>45773</v>
      </c>
      <c r="C772" t="s">
        <v>786</v>
      </c>
      <c r="D772" t="str">
        <f>_xlfn.XLOOKUP(tblTransactions[[#This Row],[CustomerID]],tblCustomers[CustomerID],tblCustomers[CustomerName])</f>
        <v>Qushi Seth</v>
      </c>
      <c r="E772" t="s">
        <v>16078</v>
      </c>
      <c r="F772" t="str">
        <f>_xlfn.XLOOKUP(tblTransactions[[#This Row],[ProductID]],tblProducts[ProductID],tblProducts[ProductName])</f>
        <v>Men's Jacket D4</v>
      </c>
      <c r="G772" t="s">
        <v>16262</v>
      </c>
      <c r="H772" t="str">
        <f>_xlfn.XLOOKUP(tblTransactions[[#This Row],[StoreID]],tblStores[StoreID],tblStores[Region])</f>
        <v>North</v>
      </c>
      <c r="I772">
        <v>1</v>
      </c>
      <c r="J772">
        <v>0.15</v>
      </c>
      <c r="K772" t="s">
        <v>16317</v>
      </c>
      <c r="L772" s="9">
        <f>_xlfn.XLOOKUP(tblTransactions[[#This Row],[ProductID]],tblProducts[ProductID],tblProducts[UnitPrice])</f>
        <v>4654.63</v>
      </c>
      <c r="M772" s="9">
        <f>tblTransactions[[#This Row],[Quantity]]*tblTransactions[[#This Row],[UnitPrice]]</f>
        <v>4654.63</v>
      </c>
      <c r="N772" s="9">
        <f>tblTransactions[[#This Row],[GrossSales]]*tblTransactions[[#This Row],[Discount]]</f>
        <v>698.19449999999995</v>
      </c>
      <c r="O772" s="9">
        <f>tblTransactions[[#This Row],[GrossSales]]-tblTransactions[[#This Row],[DiscountAmount]]</f>
        <v>3956.4355</v>
      </c>
      <c r="P772" s="9">
        <f>_xlfn.XLOOKUP(tblTransactions[[#This Row],[ProductID]],tblProducts[ProductID],tblProducts[UnitCost])</f>
        <v>2675.18</v>
      </c>
      <c r="Q772" s="9">
        <f>tblTransactions[[#This Row],[Quantity]]*tblTransactions[[#This Row],[UnitCost]]</f>
        <v>2675.18</v>
      </c>
      <c r="R772" s="9">
        <f>tblTransactions[[#This Row],[NetRevenue]]-tblTransactions[[#This Row],[TotalCost]]</f>
        <v>1281.2555000000002</v>
      </c>
      <c r="S772" t="str">
        <f>_xlfn.XLOOKUP(tblTransactions[[#This Row],[ProductID]],tblProducts[ProductID],tblProducts[Category])</f>
        <v>Clothing</v>
      </c>
    </row>
    <row r="773" spans="1:19">
      <c r="A773" t="s">
        <v>17090</v>
      </c>
      <c r="B773" s="1">
        <v>45773</v>
      </c>
      <c r="C773" t="s">
        <v>8182</v>
      </c>
      <c r="D773" t="str">
        <f>_xlfn.XLOOKUP(tblTransactions[[#This Row],[CustomerID]],tblCustomers[CustomerID],tblCustomers[CustomerName])</f>
        <v>Omkaar Dugar</v>
      </c>
      <c r="E773" t="s">
        <v>16182</v>
      </c>
      <c r="F773" t="str">
        <f>_xlfn.XLOOKUP(tblTransactions[[#This Row],[ProductID]],tblProducts[ProductID],tblProducts[ProductName])</f>
        <v>Instant Noodles C3</v>
      </c>
      <c r="G773" t="s">
        <v>16287</v>
      </c>
      <c r="H773" t="str">
        <f>_xlfn.XLOOKUP(tblTransactions[[#This Row],[StoreID]],tblStores[StoreID],tblStores[Region])</f>
        <v>North</v>
      </c>
      <c r="I773">
        <v>1</v>
      </c>
      <c r="J773">
        <v>0.05</v>
      </c>
      <c r="K773" t="s">
        <v>16317</v>
      </c>
      <c r="L773" s="9">
        <f>_xlfn.XLOOKUP(tblTransactions[[#This Row],[ProductID]],tblProducts[ProductID],tblProducts[UnitPrice])</f>
        <v>1499.75</v>
      </c>
      <c r="M773" s="9">
        <f>tblTransactions[[#This Row],[Quantity]]*tblTransactions[[#This Row],[UnitPrice]]</f>
        <v>1499.75</v>
      </c>
      <c r="N773" s="9">
        <f>tblTransactions[[#This Row],[GrossSales]]*tblTransactions[[#This Row],[Discount]]</f>
        <v>74.987499999999997</v>
      </c>
      <c r="O773" s="9">
        <f>tblTransactions[[#This Row],[GrossSales]]-tblTransactions[[#This Row],[DiscountAmount]]</f>
        <v>1424.7625</v>
      </c>
      <c r="P773" s="9">
        <f>_xlfn.XLOOKUP(tblTransactions[[#This Row],[ProductID]],tblProducts[ProductID],tblProducts[UnitCost])</f>
        <v>1194.1400000000001</v>
      </c>
      <c r="Q773" s="9">
        <f>tblTransactions[[#This Row],[Quantity]]*tblTransactions[[#This Row],[UnitCost]]</f>
        <v>1194.1400000000001</v>
      </c>
      <c r="R773" s="9">
        <f>tblTransactions[[#This Row],[NetRevenue]]-tblTransactions[[#This Row],[TotalCost]]</f>
        <v>230.62249999999995</v>
      </c>
      <c r="S773" t="str">
        <f>_xlfn.XLOOKUP(tblTransactions[[#This Row],[ProductID]],tblProducts[ProductID],tblProducts[Category])</f>
        <v>Grocery</v>
      </c>
    </row>
    <row r="774" spans="1:19">
      <c r="A774" t="s">
        <v>17091</v>
      </c>
      <c r="B774" s="1">
        <v>45773</v>
      </c>
      <c r="C774" t="s">
        <v>1661</v>
      </c>
      <c r="D774" t="str">
        <f>_xlfn.XLOOKUP(tblTransactions[[#This Row],[CustomerID]],tblCustomers[CustomerID],tblCustomers[CustomerName])</f>
        <v>Raksha Sethi</v>
      </c>
      <c r="E774" t="s">
        <v>16047</v>
      </c>
      <c r="F774" t="str">
        <f>_xlfn.XLOOKUP(tblTransactions[[#This Row],[ProductID]],tblProducts[ProductID],tblProducts[ProductName])</f>
        <v>Frying Pan D4</v>
      </c>
      <c r="G774" t="s">
        <v>16301</v>
      </c>
      <c r="H774" t="str">
        <f>_xlfn.XLOOKUP(tblTransactions[[#This Row],[StoreID]],tblStores[StoreID],tblStores[Region])</f>
        <v>East</v>
      </c>
      <c r="I774">
        <v>3</v>
      </c>
      <c r="J774">
        <v>0</v>
      </c>
      <c r="K774" t="s">
        <v>16325</v>
      </c>
      <c r="L774" s="9">
        <f>_xlfn.XLOOKUP(tblTransactions[[#This Row],[ProductID]],tblProducts[ProductID],tblProducts[UnitPrice])</f>
        <v>24430.33</v>
      </c>
      <c r="M774" s="9">
        <f>tblTransactions[[#This Row],[Quantity]]*tblTransactions[[#This Row],[UnitPrice]]</f>
        <v>73290.990000000005</v>
      </c>
      <c r="N774" s="9">
        <f>tblTransactions[[#This Row],[GrossSales]]*tblTransactions[[#This Row],[Discount]]</f>
        <v>0</v>
      </c>
      <c r="O774" s="9">
        <f>tblTransactions[[#This Row],[GrossSales]]-tblTransactions[[#This Row],[DiscountAmount]]</f>
        <v>73290.990000000005</v>
      </c>
      <c r="P774" s="9">
        <f>_xlfn.XLOOKUP(tblTransactions[[#This Row],[ProductID]],tblProducts[ProductID],tblProducts[UnitCost])</f>
        <v>14996.73</v>
      </c>
      <c r="Q774" s="9">
        <f>tblTransactions[[#This Row],[Quantity]]*tblTransactions[[#This Row],[UnitCost]]</f>
        <v>44990.19</v>
      </c>
      <c r="R774" s="9">
        <f>tblTransactions[[#This Row],[NetRevenue]]-tblTransactions[[#This Row],[TotalCost]]</f>
        <v>28300.800000000003</v>
      </c>
      <c r="S774" t="str">
        <f>_xlfn.XLOOKUP(tblTransactions[[#This Row],[ProductID]],tblProducts[ProductID],tblProducts[Category])</f>
        <v>Home &amp; Kitchen</v>
      </c>
    </row>
    <row r="775" spans="1:19">
      <c r="A775" t="s">
        <v>17092</v>
      </c>
      <c r="B775" s="1">
        <v>45778</v>
      </c>
      <c r="C775" t="s">
        <v>2099</v>
      </c>
      <c r="D775" t="str">
        <f>_xlfn.XLOOKUP(tblTransactions[[#This Row],[CustomerID]],tblCustomers[CustomerID],tblCustomers[CustomerName])</f>
        <v>Raksha Saini</v>
      </c>
      <c r="E775" t="s">
        <v>15962</v>
      </c>
      <c r="F775" t="str">
        <f>_xlfn.XLOOKUP(tblTransactions[[#This Row],[ProductID]],tblProducts[ProductID],tblProducts[ProductName])</f>
        <v>Ultrabook A1</v>
      </c>
      <c r="G775" t="s">
        <v>16259</v>
      </c>
      <c r="H775" t="str">
        <f>_xlfn.XLOOKUP(tblTransactions[[#This Row],[StoreID]],tblStores[StoreID],tblStores[Region])</f>
        <v>East</v>
      </c>
      <c r="I775">
        <v>1</v>
      </c>
      <c r="J775">
        <v>0</v>
      </c>
      <c r="K775" t="s">
        <v>16317</v>
      </c>
      <c r="L775" s="9">
        <f>_xlfn.XLOOKUP(tblTransactions[[#This Row],[ProductID]],tblProducts[ProductID],tblProducts[UnitPrice])</f>
        <v>61469.2</v>
      </c>
      <c r="M775" s="9">
        <f>tblTransactions[[#This Row],[Quantity]]*tblTransactions[[#This Row],[UnitPrice]]</f>
        <v>61469.2</v>
      </c>
      <c r="N775" s="9">
        <f>tblTransactions[[#This Row],[GrossSales]]*tblTransactions[[#This Row],[Discount]]</f>
        <v>0</v>
      </c>
      <c r="O775" s="9">
        <f>tblTransactions[[#This Row],[GrossSales]]-tblTransactions[[#This Row],[DiscountAmount]]</f>
        <v>61469.2</v>
      </c>
      <c r="P775" s="9">
        <f>_xlfn.XLOOKUP(tblTransactions[[#This Row],[ProductID]],tblProducts[ProductID],tblProducts[UnitCost])</f>
        <v>39781.99</v>
      </c>
      <c r="Q775" s="9">
        <f>tblTransactions[[#This Row],[Quantity]]*tblTransactions[[#This Row],[UnitCost]]</f>
        <v>39781.99</v>
      </c>
      <c r="R775" s="9">
        <f>tblTransactions[[#This Row],[NetRevenue]]-tblTransactions[[#This Row],[TotalCost]]</f>
        <v>21687.21</v>
      </c>
      <c r="S775" t="str">
        <f>_xlfn.XLOOKUP(tblTransactions[[#This Row],[ProductID]],tblProducts[ProductID],tblProducts[Category])</f>
        <v>Electronics</v>
      </c>
    </row>
    <row r="776" spans="1:19">
      <c r="A776" t="s">
        <v>17093</v>
      </c>
      <c r="B776" s="1">
        <v>45779</v>
      </c>
      <c r="C776" t="s">
        <v>14718</v>
      </c>
      <c r="D776" t="str">
        <f>_xlfn.XLOOKUP(tblTransactions[[#This Row],[CustomerID]],tblCustomers[CustomerID],tblCustomers[CustomerName])</f>
        <v>Bhanumati Mandal</v>
      </c>
      <c r="E776" t="s">
        <v>15967</v>
      </c>
      <c r="F776" t="str">
        <f>_xlfn.XLOOKUP(tblTransactions[[#This Row],[ProductID]],tblProducts[ProductID],tblProducts[ProductName])</f>
        <v>Student Laptop C3</v>
      </c>
      <c r="G776" t="s">
        <v>16295</v>
      </c>
      <c r="H776" t="str">
        <f>_xlfn.XLOOKUP(tblTransactions[[#This Row],[StoreID]],tblStores[StoreID],tblStores[Region])</f>
        <v>South</v>
      </c>
      <c r="I776">
        <v>3</v>
      </c>
      <c r="J776">
        <v>0</v>
      </c>
      <c r="K776" t="s">
        <v>16317</v>
      </c>
      <c r="L776" s="9">
        <f>_xlfn.XLOOKUP(tblTransactions[[#This Row],[ProductID]],tblProducts[ProductID],tblProducts[UnitPrice])</f>
        <v>12552.69</v>
      </c>
      <c r="M776" s="9">
        <f>tblTransactions[[#This Row],[Quantity]]*tblTransactions[[#This Row],[UnitPrice]]</f>
        <v>37658.07</v>
      </c>
      <c r="N776" s="9">
        <f>tblTransactions[[#This Row],[GrossSales]]*tblTransactions[[#This Row],[Discount]]</f>
        <v>0</v>
      </c>
      <c r="O776" s="9">
        <f>tblTransactions[[#This Row],[GrossSales]]-tblTransactions[[#This Row],[DiscountAmount]]</f>
        <v>37658.07</v>
      </c>
      <c r="P776" s="9">
        <f>_xlfn.XLOOKUP(tblTransactions[[#This Row],[ProductID]],tblProducts[ProductID],tblProducts[UnitCost])</f>
        <v>8737.9</v>
      </c>
      <c r="Q776" s="9">
        <f>tblTransactions[[#This Row],[Quantity]]*tblTransactions[[#This Row],[UnitCost]]</f>
        <v>26213.699999999997</v>
      </c>
      <c r="R776" s="9">
        <f>tblTransactions[[#This Row],[NetRevenue]]-tblTransactions[[#This Row],[TotalCost]]</f>
        <v>11444.370000000003</v>
      </c>
      <c r="S776" t="str">
        <f>_xlfn.XLOOKUP(tblTransactions[[#This Row],[ProductID]],tblProducts[ProductID],tblProducts[Category])</f>
        <v>Electronics</v>
      </c>
    </row>
    <row r="777" spans="1:19">
      <c r="A777" t="s">
        <v>17094</v>
      </c>
      <c r="B777" s="1">
        <v>45780</v>
      </c>
      <c r="C777" t="s">
        <v>480</v>
      </c>
      <c r="D777" t="str">
        <f>_xlfn.XLOOKUP(tblTransactions[[#This Row],[CustomerID]],tblCustomers[CustomerID],tblCustomers[CustomerName])</f>
        <v>Qasim Handa</v>
      </c>
      <c r="E777" t="s">
        <v>16192</v>
      </c>
      <c r="F777" t="str">
        <f>_xlfn.XLOOKUP(tblTransactions[[#This Row],[ProductID]],tblProducts[ProductID],tblProducts[ProductName])</f>
        <v>Face Cream A1</v>
      </c>
      <c r="G777" t="s">
        <v>16299</v>
      </c>
      <c r="H777" t="str">
        <f>_xlfn.XLOOKUP(tblTransactions[[#This Row],[StoreID]],tblStores[StoreID],tblStores[Region])</f>
        <v>South</v>
      </c>
      <c r="I777">
        <v>2</v>
      </c>
      <c r="J777">
        <v>0</v>
      </c>
      <c r="K777" t="s">
        <v>16321</v>
      </c>
      <c r="L777" s="9">
        <f>_xlfn.XLOOKUP(tblTransactions[[#This Row],[ProductID]],tblProducts[ProductID],tblProducts[UnitPrice])</f>
        <v>1666.93</v>
      </c>
      <c r="M777" s="9">
        <f>tblTransactions[[#This Row],[Quantity]]*tblTransactions[[#This Row],[UnitPrice]]</f>
        <v>3333.86</v>
      </c>
      <c r="N777" s="9">
        <f>tblTransactions[[#This Row],[GrossSales]]*tblTransactions[[#This Row],[Discount]]</f>
        <v>0</v>
      </c>
      <c r="O777" s="9">
        <f>tblTransactions[[#This Row],[GrossSales]]-tblTransactions[[#This Row],[DiscountAmount]]</f>
        <v>3333.86</v>
      </c>
      <c r="P777" s="9">
        <f>_xlfn.XLOOKUP(tblTransactions[[#This Row],[ProductID]],tblProducts[ProductID],tblProducts[UnitCost])</f>
        <v>983.54</v>
      </c>
      <c r="Q777" s="9">
        <f>tblTransactions[[#This Row],[Quantity]]*tblTransactions[[#This Row],[UnitCost]]</f>
        <v>1967.08</v>
      </c>
      <c r="R777" s="9">
        <f>tblTransactions[[#This Row],[NetRevenue]]-tblTransactions[[#This Row],[TotalCost]]</f>
        <v>1366.7800000000002</v>
      </c>
      <c r="S777" t="str">
        <f>_xlfn.XLOOKUP(tblTransactions[[#This Row],[ProductID]],tblProducts[ProductID],tblProducts[Category])</f>
        <v>Personal Care</v>
      </c>
    </row>
    <row r="778" spans="1:19">
      <c r="A778" t="s">
        <v>17095</v>
      </c>
      <c r="B778" s="1">
        <v>45781</v>
      </c>
      <c r="C778" t="s">
        <v>8134</v>
      </c>
      <c r="D778" t="str">
        <f>_xlfn.XLOOKUP(tblTransactions[[#This Row],[CustomerID]],tblCustomers[CustomerID],tblCustomers[CustomerName])</f>
        <v>Ojasvi Halder</v>
      </c>
      <c r="E778" t="s">
        <v>16019</v>
      </c>
      <c r="F778" t="str">
        <f>_xlfn.XLOOKUP(tblTransactions[[#This Row],[ProductID]],tblProducts[ProductID],tblProducts[ProductName])</f>
        <v>Microwave Oven E5</v>
      </c>
      <c r="G778" t="s">
        <v>16279</v>
      </c>
      <c r="H778" t="str">
        <f>_xlfn.XLOOKUP(tblTransactions[[#This Row],[StoreID]],tblStores[StoreID],tblStores[Region])</f>
        <v>South</v>
      </c>
      <c r="I778">
        <v>1</v>
      </c>
      <c r="J778">
        <v>0</v>
      </c>
      <c r="K778" t="s">
        <v>16315</v>
      </c>
      <c r="L778" s="9">
        <f>_xlfn.XLOOKUP(tblTransactions[[#This Row],[ProductID]],tblProducts[ProductID],tblProducts[UnitPrice])</f>
        <v>22827.119999999999</v>
      </c>
      <c r="M778" s="9">
        <f>tblTransactions[[#This Row],[Quantity]]*tblTransactions[[#This Row],[UnitPrice]]</f>
        <v>22827.119999999999</v>
      </c>
      <c r="N778" s="9">
        <f>tblTransactions[[#This Row],[GrossSales]]*tblTransactions[[#This Row],[Discount]]</f>
        <v>0</v>
      </c>
      <c r="O778" s="9">
        <f>tblTransactions[[#This Row],[GrossSales]]-tblTransactions[[#This Row],[DiscountAmount]]</f>
        <v>22827.119999999999</v>
      </c>
      <c r="P778" s="9">
        <f>_xlfn.XLOOKUP(tblTransactions[[#This Row],[ProductID]],tblProducts[ProductID],tblProducts[UnitCost])</f>
        <v>18264.07</v>
      </c>
      <c r="Q778" s="9">
        <f>tblTransactions[[#This Row],[Quantity]]*tblTransactions[[#This Row],[UnitCost]]</f>
        <v>18264.07</v>
      </c>
      <c r="R778" s="9">
        <f>tblTransactions[[#This Row],[NetRevenue]]-tblTransactions[[#This Row],[TotalCost]]</f>
        <v>4563.0499999999993</v>
      </c>
      <c r="S778" t="str">
        <f>_xlfn.XLOOKUP(tblTransactions[[#This Row],[ProductID]],tblProducts[ProductID],tblProducts[Category])</f>
        <v>Home &amp; Kitchen</v>
      </c>
    </row>
    <row r="779" spans="1:19">
      <c r="A779" t="s">
        <v>17096</v>
      </c>
      <c r="B779" s="1">
        <v>45781</v>
      </c>
      <c r="C779" t="s">
        <v>862</v>
      </c>
      <c r="D779" t="str">
        <f>_xlfn.XLOOKUP(tblTransactions[[#This Row],[CustomerID]],tblCustomers[CustomerID],tblCustomers[CustomerName])</f>
        <v>Xiti Pandya</v>
      </c>
      <c r="E779" t="s">
        <v>16108</v>
      </c>
      <c r="F779" t="str">
        <f>_xlfn.XLOOKUP(tblTransactions[[#This Row],[ProductID]],tblProducts[ProductID],tblProducts[ProductName])</f>
        <v>Kids Dress D4</v>
      </c>
      <c r="G779" t="s">
        <v>16275</v>
      </c>
      <c r="H779" t="str">
        <f>_xlfn.XLOOKUP(tblTransactions[[#This Row],[StoreID]],tblStores[StoreID],tblStores[Region])</f>
        <v>South</v>
      </c>
      <c r="I779">
        <v>3</v>
      </c>
      <c r="J779">
        <v>0.1</v>
      </c>
      <c r="K779" t="s">
        <v>16317</v>
      </c>
      <c r="L779" s="9">
        <f>_xlfn.XLOOKUP(tblTransactions[[#This Row],[ProductID]],tblProducts[ProductID],tblProducts[UnitPrice])</f>
        <v>1332.31</v>
      </c>
      <c r="M779" s="9">
        <f>tblTransactions[[#This Row],[Quantity]]*tblTransactions[[#This Row],[UnitPrice]]</f>
        <v>3996.93</v>
      </c>
      <c r="N779" s="9">
        <f>tblTransactions[[#This Row],[GrossSales]]*tblTransactions[[#This Row],[Discount]]</f>
        <v>399.69299999999998</v>
      </c>
      <c r="O779" s="9">
        <f>tblTransactions[[#This Row],[GrossSales]]-tblTransactions[[#This Row],[DiscountAmount]]</f>
        <v>3597.2370000000001</v>
      </c>
      <c r="P779" s="9">
        <f>_xlfn.XLOOKUP(tblTransactions[[#This Row],[ProductID]],tblProducts[ProductID],tblProducts[UnitCost])</f>
        <v>957.87</v>
      </c>
      <c r="Q779" s="9">
        <f>tblTransactions[[#This Row],[Quantity]]*tblTransactions[[#This Row],[UnitCost]]</f>
        <v>2873.61</v>
      </c>
      <c r="R779" s="9">
        <f>tblTransactions[[#This Row],[NetRevenue]]-tblTransactions[[#This Row],[TotalCost]]</f>
        <v>723.62699999999995</v>
      </c>
      <c r="S779" t="str">
        <f>_xlfn.XLOOKUP(tblTransactions[[#This Row],[ProductID]],tblProducts[ProductID],tblProducts[Category])</f>
        <v>Clothing</v>
      </c>
    </row>
    <row r="780" spans="1:19">
      <c r="A780" t="s">
        <v>17097</v>
      </c>
      <c r="B780" s="1">
        <v>45783</v>
      </c>
      <c r="C780" t="s">
        <v>9635</v>
      </c>
      <c r="D780" t="str">
        <f>_xlfn.XLOOKUP(tblTransactions[[#This Row],[CustomerID]],tblCustomers[CustomerID],tblCustomers[CustomerName])</f>
        <v>Dipta Bhandari</v>
      </c>
      <c r="E780" t="s">
        <v>15977</v>
      </c>
      <c r="F780" t="str">
        <f>_xlfn.XLOOKUP(tblTransactions[[#This Row],[ProductID]],tblProducts[ProductID],tblProducts[ProductName])</f>
        <v>Student Laptop C8</v>
      </c>
      <c r="G780" t="s">
        <v>16275</v>
      </c>
      <c r="H780" t="str">
        <f>_xlfn.XLOOKUP(tblTransactions[[#This Row],[StoreID]],tblStores[StoreID],tblStores[Region])</f>
        <v>South</v>
      </c>
      <c r="I780">
        <v>1</v>
      </c>
      <c r="J780">
        <v>0</v>
      </c>
      <c r="K780" t="s">
        <v>16315</v>
      </c>
      <c r="L780" s="9">
        <f>_xlfn.XLOOKUP(tblTransactions[[#This Row],[ProductID]],tblProducts[ProductID],tblProducts[UnitPrice])</f>
        <v>44917.11</v>
      </c>
      <c r="M780" s="9">
        <f>tblTransactions[[#This Row],[Quantity]]*tblTransactions[[#This Row],[UnitPrice]]</f>
        <v>44917.11</v>
      </c>
      <c r="N780" s="9">
        <f>tblTransactions[[#This Row],[GrossSales]]*tblTransactions[[#This Row],[Discount]]</f>
        <v>0</v>
      </c>
      <c r="O780" s="9">
        <f>tblTransactions[[#This Row],[GrossSales]]-tblTransactions[[#This Row],[DiscountAmount]]</f>
        <v>44917.11</v>
      </c>
      <c r="P780" s="9">
        <f>_xlfn.XLOOKUP(tblTransactions[[#This Row],[ProductID]],tblProducts[ProductID],tblProducts[UnitCost])</f>
        <v>33851.120000000003</v>
      </c>
      <c r="Q780" s="9">
        <f>tblTransactions[[#This Row],[Quantity]]*tblTransactions[[#This Row],[UnitCost]]</f>
        <v>33851.120000000003</v>
      </c>
      <c r="R780" s="9">
        <f>tblTransactions[[#This Row],[NetRevenue]]-tblTransactions[[#This Row],[TotalCost]]</f>
        <v>11065.989999999998</v>
      </c>
      <c r="S780" t="str">
        <f>_xlfn.XLOOKUP(tblTransactions[[#This Row],[ProductID]],tblProducts[ProductID],tblProducts[Category])</f>
        <v>Electronics</v>
      </c>
    </row>
    <row r="781" spans="1:19">
      <c r="A781" t="s">
        <v>17098</v>
      </c>
      <c r="B781" s="1">
        <v>45787</v>
      </c>
      <c r="C781" t="s">
        <v>15637</v>
      </c>
      <c r="D781" t="str">
        <f>_xlfn.XLOOKUP(tblTransactions[[#This Row],[CustomerID]],tblCustomers[CustomerID],tblCustomers[CustomerName])</f>
        <v>Ekiya Srivastava</v>
      </c>
      <c r="E781" t="s">
        <v>16086</v>
      </c>
      <c r="F781" t="str">
        <f>_xlfn.XLOOKUP(tblTransactions[[#This Row],[ProductID]],tblProducts[ProductID],tblProducts[ProductName])</f>
        <v>Women's Jeans A1</v>
      </c>
      <c r="G781" t="s">
        <v>16293</v>
      </c>
      <c r="H781" t="str">
        <f>_xlfn.XLOOKUP(tblTransactions[[#This Row],[StoreID]],tblStores[StoreID],tblStores[Region])</f>
        <v>South</v>
      </c>
      <c r="I781">
        <v>5</v>
      </c>
      <c r="J781">
        <v>0.1</v>
      </c>
      <c r="K781" t="s">
        <v>16315</v>
      </c>
      <c r="L781" s="9">
        <f>_xlfn.XLOOKUP(tblTransactions[[#This Row],[ProductID]],tblProducts[ProductID],tblProducts[UnitPrice])</f>
        <v>6726.61</v>
      </c>
      <c r="M781" s="9">
        <f>tblTransactions[[#This Row],[Quantity]]*tblTransactions[[#This Row],[UnitPrice]]</f>
        <v>33633.049999999996</v>
      </c>
      <c r="N781" s="9">
        <f>tblTransactions[[#This Row],[GrossSales]]*tblTransactions[[#This Row],[Discount]]</f>
        <v>3363.3049999999998</v>
      </c>
      <c r="O781" s="9">
        <f>tblTransactions[[#This Row],[GrossSales]]-tblTransactions[[#This Row],[DiscountAmount]]</f>
        <v>30269.744999999995</v>
      </c>
      <c r="P781" s="9">
        <f>_xlfn.XLOOKUP(tblTransactions[[#This Row],[ProductID]],tblProducts[ProductID],tblProducts[UnitCost])</f>
        <v>5191.03</v>
      </c>
      <c r="Q781" s="9">
        <f>tblTransactions[[#This Row],[Quantity]]*tblTransactions[[#This Row],[UnitCost]]</f>
        <v>25955.149999999998</v>
      </c>
      <c r="R781" s="9">
        <f>tblTransactions[[#This Row],[NetRevenue]]-tblTransactions[[#This Row],[TotalCost]]</f>
        <v>4314.5949999999975</v>
      </c>
      <c r="S781" t="str">
        <f>_xlfn.XLOOKUP(tblTransactions[[#This Row],[ProductID]],tblProducts[ProductID],tblProducts[Category])</f>
        <v>Clothing</v>
      </c>
    </row>
    <row r="782" spans="1:19">
      <c r="A782" t="s">
        <v>17099</v>
      </c>
      <c r="B782" s="1">
        <v>45788</v>
      </c>
      <c r="C782" t="s">
        <v>15237</v>
      </c>
      <c r="D782" t="str">
        <f>_xlfn.XLOOKUP(tblTransactions[[#This Row],[CustomerID]],tblCustomers[CustomerID],tblCustomers[CustomerName])</f>
        <v>Daksha Gade</v>
      </c>
      <c r="E782" t="s">
        <v>16060</v>
      </c>
      <c r="F782" t="str">
        <f>_xlfn.XLOOKUP(tblTransactions[[#This Row],[ProductID]],tblProducts[ProductID],tblProducts[ProductName])</f>
        <v>Decorative Vase C3</v>
      </c>
      <c r="G782" t="s">
        <v>16283</v>
      </c>
      <c r="H782" t="str">
        <f>_xlfn.XLOOKUP(tblTransactions[[#This Row],[StoreID]],tblStores[StoreID],tblStores[Region])</f>
        <v>South</v>
      </c>
      <c r="I782">
        <v>1</v>
      </c>
      <c r="J782">
        <v>0</v>
      </c>
      <c r="K782" t="s">
        <v>16317</v>
      </c>
      <c r="L782" s="9">
        <f>_xlfn.XLOOKUP(tblTransactions[[#This Row],[ProductID]],tblProducts[ProductID],tblProducts[UnitPrice])</f>
        <v>26039.41</v>
      </c>
      <c r="M782" s="9">
        <f>tblTransactions[[#This Row],[Quantity]]*tblTransactions[[#This Row],[UnitPrice]]</f>
        <v>26039.41</v>
      </c>
      <c r="N782" s="9">
        <f>tblTransactions[[#This Row],[GrossSales]]*tblTransactions[[#This Row],[Discount]]</f>
        <v>0</v>
      </c>
      <c r="O782" s="9">
        <f>tblTransactions[[#This Row],[GrossSales]]-tblTransactions[[#This Row],[DiscountAmount]]</f>
        <v>26039.41</v>
      </c>
      <c r="P782" s="9">
        <f>_xlfn.XLOOKUP(tblTransactions[[#This Row],[ProductID]],tblProducts[ProductID],tblProducts[UnitCost])</f>
        <v>20592.23</v>
      </c>
      <c r="Q782" s="9">
        <f>tblTransactions[[#This Row],[Quantity]]*tblTransactions[[#This Row],[UnitCost]]</f>
        <v>20592.23</v>
      </c>
      <c r="R782" s="9">
        <f>tblTransactions[[#This Row],[NetRevenue]]-tblTransactions[[#This Row],[TotalCost]]</f>
        <v>5447.18</v>
      </c>
      <c r="S782" t="str">
        <f>_xlfn.XLOOKUP(tblTransactions[[#This Row],[ProductID]],tblProducts[ProductID],tblProducts[Category])</f>
        <v>Home &amp; Kitchen</v>
      </c>
    </row>
    <row r="783" spans="1:19">
      <c r="A783" t="s">
        <v>17100</v>
      </c>
      <c r="B783" s="1">
        <v>45788</v>
      </c>
      <c r="C783" t="s">
        <v>8112</v>
      </c>
      <c r="D783" t="str">
        <f>_xlfn.XLOOKUP(tblTransactions[[#This Row],[CustomerID]],tblCustomers[CustomerID],tblCustomers[CustomerName])</f>
        <v>Chavvi Gade</v>
      </c>
      <c r="E783" t="s">
        <v>15948</v>
      </c>
      <c r="F783" t="str">
        <f>_xlfn.XLOOKUP(tblTransactions[[#This Row],[ProductID]],tblProducts[ProductID],tblProducts[ProductName])</f>
        <v>Budget Smartphone B2</v>
      </c>
      <c r="G783" t="s">
        <v>16299</v>
      </c>
      <c r="H783" t="str">
        <f>_xlfn.XLOOKUP(tblTransactions[[#This Row],[StoreID]],tblStores[StoreID],tblStores[Region])</f>
        <v>South</v>
      </c>
      <c r="I783">
        <v>1</v>
      </c>
      <c r="J783">
        <v>0.05</v>
      </c>
      <c r="K783" t="s">
        <v>16315</v>
      </c>
      <c r="L783" s="9">
        <f>_xlfn.XLOOKUP(tblTransactions[[#This Row],[ProductID]],tblProducts[ProductID],tblProducts[UnitPrice])</f>
        <v>4404.4399999999996</v>
      </c>
      <c r="M783" s="9">
        <f>tblTransactions[[#This Row],[Quantity]]*tblTransactions[[#This Row],[UnitPrice]]</f>
        <v>4404.4399999999996</v>
      </c>
      <c r="N783" s="9">
        <f>tblTransactions[[#This Row],[GrossSales]]*tblTransactions[[#This Row],[Discount]]</f>
        <v>220.22199999999998</v>
      </c>
      <c r="O783" s="9">
        <f>tblTransactions[[#This Row],[GrossSales]]-tblTransactions[[#This Row],[DiscountAmount]]</f>
        <v>4184.2179999999998</v>
      </c>
      <c r="P783" s="9">
        <f>_xlfn.XLOOKUP(tblTransactions[[#This Row],[ProductID]],tblProducts[ProductID],tblProducts[UnitCost])</f>
        <v>3239.84</v>
      </c>
      <c r="Q783" s="9">
        <f>tblTransactions[[#This Row],[Quantity]]*tblTransactions[[#This Row],[UnitCost]]</f>
        <v>3239.84</v>
      </c>
      <c r="R783" s="9">
        <f>tblTransactions[[#This Row],[NetRevenue]]-tblTransactions[[#This Row],[TotalCost]]</f>
        <v>944.3779999999997</v>
      </c>
      <c r="S783" t="str">
        <f>_xlfn.XLOOKUP(tblTransactions[[#This Row],[ProductID]],tblProducts[ProductID],tblProducts[Category])</f>
        <v>Electronics</v>
      </c>
    </row>
    <row r="784" spans="1:19">
      <c r="A784" t="s">
        <v>17101</v>
      </c>
      <c r="B784" s="1">
        <v>45788</v>
      </c>
      <c r="C784" t="s">
        <v>4369</v>
      </c>
      <c r="D784" t="str">
        <f>_xlfn.XLOOKUP(tblTransactions[[#This Row],[CustomerID]],tblCustomers[CustomerID],tblCustomers[CustomerName])</f>
        <v>Rachita Zacharia</v>
      </c>
      <c r="E784" t="s">
        <v>15937</v>
      </c>
      <c r="F784" t="str">
        <f>_xlfn.XLOOKUP(tblTransactions[[#This Row],[ProductID]],tblProducts[ProductID],tblProducts[ProductName])</f>
        <v>Smart LED TV E5</v>
      </c>
      <c r="G784" t="s">
        <v>16265</v>
      </c>
      <c r="H784" t="str">
        <f>_xlfn.XLOOKUP(tblTransactions[[#This Row],[StoreID]],tblStores[StoreID],tblStores[Region])</f>
        <v>North</v>
      </c>
      <c r="I784">
        <v>1</v>
      </c>
      <c r="J784">
        <v>0</v>
      </c>
      <c r="K784" t="s">
        <v>16321</v>
      </c>
      <c r="L784" s="9">
        <f>_xlfn.XLOOKUP(tblTransactions[[#This Row],[ProductID]],tblProducts[ProductID],tblProducts[UnitPrice])</f>
        <v>4719.2700000000004</v>
      </c>
      <c r="M784" s="9">
        <f>tblTransactions[[#This Row],[Quantity]]*tblTransactions[[#This Row],[UnitPrice]]</f>
        <v>4719.2700000000004</v>
      </c>
      <c r="N784" s="9">
        <f>tblTransactions[[#This Row],[GrossSales]]*tblTransactions[[#This Row],[Discount]]</f>
        <v>0</v>
      </c>
      <c r="O784" s="9">
        <f>tblTransactions[[#This Row],[GrossSales]]-tblTransactions[[#This Row],[DiscountAmount]]</f>
        <v>4719.2700000000004</v>
      </c>
      <c r="P784" s="9">
        <f>_xlfn.XLOOKUP(tblTransactions[[#This Row],[ProductID]],tblProducts[ProductID],tblProducts[UnitCost])</f>
        <v>3322.23</v>
      </c>
      <c r="Q784" s="9">
        <f>tblTransactions[[#This Row],[Quantity]]*tblTransactions[[#This Row],[UnitCost]]</f>
        <v>3322.23</v>
      </c>
      <c r="R784" s="9">
        <f>tblTransactions[[#This Row],[NetRevenue]]-tblTransactions[[#This Row],[TotalCost]]</f>
        <v>1397.0400000000004</v>
      </c>
      <c r="S784" t="str">
        <f>_xlfn.XLOOKUP(tblTransactions[[#This Row],[ProductID]],tblProducts[ProductID],tblProducts[Category])</f>
        <v>Electronics</v>
      </c>
    </row>
    <row r="785" spans="1:19">
      <c r="A785" t="s">
        <v>17102</v>
      </c>
      <c r="B785" s="1">
        <v>45789</v>
      </c>
      <c r="C785" t="s">
        <v>6809</v>
      </c>
      <c r="D785" t="str">
        <f>_xlfn.XLOOKUP(tblTransactions[[#This Row],[CustomerID]],tblCustomers[CustomerID],tblCustomers[CustomerName])</f>
        <v>Vedhika Iyer</v>
      </c>
      <c r="E785" t="s">
        <v>16238</v>
      </c>
      <c r="F785" t="str">
        <f>_xlfn.XLOOKUP(tblTransactions[[#This Row],[ProductID]],tblProducts[ProductID],tblProducts[ProductName])</f>
        <v>Razor A1</v>
      </c>
      <c r="G785" t="s">
        <v>16295</v>
      </c>
      <c r="H785" t="str">
        <f>_xlfn.XLOOKUP(tblTransactions[[#This Row],[StoreID]],tblStores[StoreID],tblStores[Region])</f>
        <v>South</v>
      </c>
      <c r="I785">
        <v>3</v>
      </c>
      <c r="J785">
        <v>0</v>
      </c>
      <c r="K785" t="s">
        <v>16321</v>
      </c>
      <c r="L785" s="9">
        <f>_xlfn.XLOOKUP(tblTransactions[[#This Row],[ProductID]],tblProducts[ProductID],tblProducts[UnitPrice])</f>
        <v>1037.07</v>
      </c>
      <c r="M785" s="9">
        <f>tblTransactions[[#This Row],[Quantity]]*tblTransactions[[#This Row],[UnitPrice]]</f>
        <v>3111.21</v>
      </c>
      <c r="N785" s="9">
        <f>tblTransactions[[#This Row],[GrossSales]]*tblTransactions[[#This Row],[Discount]]</f>
        <v>0</v>
      </c>
      <c r="O785" s="9">
        <f>tblTransactions[[#This Row],[GrossSales]]-tblTransactions[[#This Row],[DiscountAmount]]</f>
        <v>3111.21</v>
      </c>
      <c r="P785" s="9">
        <f>_xlfn.XLOOKUP(tblTransactions[[#This Row],[ProductID]],tblProducts[ProductID],tblProducts[UnitCost])</f>
        <v>720.16</v>
      </c>
      <c r="Q785" s="9">
        <f>tblTransactions[[#This Row],[Quantity]]*tblTransactions[[#This Row],[UnitCost]]</f>
        <v>2160.48</v>
      </c>
      <c r="R785" s="9">
        <f>tblTransactions[[#This Row],[NetRevenue]]-tblTransactions[[#This Row],[TotalCost]]</f>
        <v>950.73</v>
      </c>
      <c r="S785" t="str">
        <f>_xlfn.XLOOKUP(tblTransactions[[#This Row],[ProductID]],tblProducts[ProductID],tblProducts[Category])</f>
        <v>Personal Care</v>
      </c>
    </row>
    <row r="786" spans="1:19">
      <c r="A786" t="s">
        <v>17103</v>
      </c>
      <c r="B786" s="1">
        <v>45789</v>
      </c>
      <c r="C786" t="s">
        <v>4503</v>
      </c>
      <c r="D786" t="str">
        <f>_xlfn.XLOOKUP(tblTransactions[[#This Row],[CustomerID]],tblCustomers[CustomerID],tblCustomers[CustomerName])</f>
        <v>Sudiksha Talwar</v>
      </c>
      <c r="E786" t="s">
        <v>16196</v>
      </c>
      <c r="F786" t="str">
        <f>_xlfn.XLOOKUP(tblTransactions[[#This Row],[ProductID]],tblProducts[ProductID],tblProducts[ProductName])</f>
        <v>Sunscreen B2</v>
      </c>
      <c r="G786" t="s">
        <v>16267</v>
      </c>
      <c r="H786" t="str">
        <f>_xlfn.XLOOKUP(tblTransactions[[#This Row],[StoreID]],tblStores[StoreID],tblStores[Region])</f>
        <v>West</v>
      </c>
      <c r="I786">
        <v>1</v>
      </c>
      <c r="J786">
        <v>0</v>
      </c>
      <c r="K786" t="s">
        <v>16325</v>
      </c>
      <c r="L786" s="9">
        <f>_xlfn.XLOOKUP(tblTransactions[[#This Row],[ProductID]],tblProducts[ProductID],tblProducts[UnitPrice])</f>
        <v>1841.85</v>
      </c>
      <c r="M786" s="9">
        <f>tblTransactions[[#This Row],[Quantity]]*tblTransactions[[#This Row],[UnitPrice]]</f>
        <v>1841.85</v>
      </c>
      <c r="N786" s="9">
        <f>tblTransactions[[#This Row],[GrossSales]]*tblTransactions[[#This Row],[Discount]]</f>
        <v>0</v>
      </c>
      <c r="O786" s="9">
        <f>tblTransactions[[#This Row],[GrossSales]]-tblTransactions[[#This Row],[DiscountAmount]]</f>
        <v>1841.85</v>
      </c>
      <c r="P786" s="9">
        <f>_xlfn.XLOOKUP(tblTransactions[[#This Row],[ProductID]],tblProducts[ProductID],tblProducts[UnitCost])</f>
        <v>1327.7</v>
      </c>
      <c r="Q786" s="9">
        <f>tblTransactions[[#This Row],[Quantity]]*tblTransactions[[#This Row],[UnitCost]]</f>
        <v>1327.7</v>
      </c>
      <c r="R786" s="9">
        <f>tblTransactions[[#This Row],[NetRevenue]]-tblTransactions[[#This Row],[TotalCost]]</f>
        <v>514.14999999999986</v>
      </c>
      <c r="S786" t="str">
        <f>_xlfn.XLOOKUP(tblTransactions[[#This Row],[ProductID]],tblProducts[ProductID],tblProducts[Category])</f>
        <v>Personal Care</v>
      </c>
    </row>
    <row r="787" spans="1:19">
      <c r="A787" t="s">
        <v>17104</v>
      </c>
      <c r="B787" s="1">
        <v>45791</v>
      </c>
      <c r="C787" t="s">
        <v>10463</v>
      </c>
      <c r="D787" t="str">
        <f>_xlfn.XLOOKUP(tblTransactions[[#This Row],[CustomerID]],tblCustomers[CustomerID],tblCustomers[CustomerName])</f>
        <v>Nicholas Bhardwaj</v>
      </c>
      <c r="E787" t="s">
        <v>16198</v>
      </c>
      <c r="F787" t="str">
        <f>_xlfn.XLOOKUP(tblTransactions[[#This Row],[ProductID]],tblProducts[ProductID],tblProducts[ProductName])</f>
        <v>Face Wash C3</v>
      </c>
      <c r="G787" t="s">
        <v>16305</v>
      </c>
      <c r="H787" t="str">
        <f>_xlfn.XLOOKUP(tblTransactions[[#This Row],[StoreID]],tblStores[StoreID],tblStores[Region])</f>
        <v>South</v>
      </c>
      <c r="I787">
        <v>1</v>
      </c>
      <c r="J787">
        <v>0.05</v>
      </c>
      <c r="K787" t="s">
        <v>16315</v>
      </c>
      <c r="L787" s="9">
        <f>_xlfn.XLOOKUP(tblTransactions[[#This Row],[ProductID]],tblProducts[ProductID],tblProducts[UnitPrice])</f>
        <v>1783.65</v>
      </c>
      <c r="M787" s="9">
        <f>tblTransactions[[#This Row],[Quantity]]*tblTransactions[[#This Row],[UnitPrice]]</f>
        <v>1783.65</v>
      </c>
      <c r="N787" s="9">
        <f>tblTransactions[[#This Row],[GrossSales]]*tblTransactions[[#This Row],[Discount]]</f>
        <v>89.182500000000005</v>
      </c>
      <c r="O787" s="9">
        <f>tblTransactions[[#This Row],[GrossSales]]-tblTransactions[[#This Row],[DiscountAmount]]</f>
        <v>1694.4675000000002</v>
      </c>
      <c r="P787" s="9">
        <f>_xlfn.XLOOKUP(tblTransactions[[#This Row],[ProductID]],tblProducts[ProductID],tblProducts[UnitCost])</f>
        <v>1128.95</v>
      </c>
      <c r="Q787" s="9">
        <f>tblTransactions[[#This Row],[Quantity]]*tblTransactions[[#This Row],[UnitCost]]</f>
        <v>1128.95</v>
      </c>
      <c r="R787" s="9">
        <f>tblTransactions[[#This Row],[NetRevenue]]-tblTransactions[[#This Row],[TotalCost]]</f>
        <v>565.51750000000015</v>
      </c>
      <c r="S787" t="str">
        <f>_xlfn.XLOOKUP(tblTransactions[[#This Row],[ProductID]],tblProducts[ProductID],tblProducts[Category])</f>
        <v>Personal Care</v>
      </c>
    </row>
    <row r="788" spans="1:19">
      <c r="A788" t="s">
        <v>17105</v>
      </c>
      <c r="B788" s="1">
        <v>45792</v>
      </c>
      <c r="C788" t="s">
        <v>5147</v>
      </c>
      <c r="D788" t="str">
        <f>_xlfn.XLOOKUP(tblTransactions[[#This Row],[CustomerID]],tblCustomers[CustomerID],tblCustomers[CustomerName])</f>
        <v>Ishwar Dhar</v>
      </c>
      <c r="E788" t="s">
        <v>15950</v>
      </c>
      <c r="F788" t="str">
        <f>_xlfn.XLOOKUP(tblTransactions[[#This Row],[ProductID]],tblProducts[ProductID],tblProducts[ProductName])</f>
        <v>Premium Smartphone C3</v>
      </c>
      <c r="G788" t="s">
        <v>16287</v>
      </c>
      <c r="H788" t="str">
        <f>_xlfn.XLOOKUP(tblTransactions[[#This Row],[StoreID]],tblStores[StoreID],tblStores[Region])</f>
        <v>North</v>
      </c>
      <c r="I788">
        <v>2</v>
      </c>
      <c r="J788">
        <v>0.1</v>
      </c>
      <c r="K788" t="s">
        <v>16321</v>
      </c>
      <c r="L788" s="9">
        <f>_xlfn.XLOOKUP(tblTransactions[[#This Row],[ProductID]],tblProducts[ProductID],tblProducts[UnitPrice])</f>
        <v>14902.07</v>
      </c>
      <c r="M788" s="9">
        <f>tblTransactions[[#This Row],[Quantity]]*tblTransactions[[#This Row],[UnitPrice]]</f>
        <v>29804.14</v>
      </c>
      <c r="N788" s="9">
        <f>tblTransactions[[#This Row],[GrossSales]]*tblTransactions[[#This Row],[Discount]]</f>
        <v>2980.4140000000002</v>
      </c>
      <c r="O788" s="9">
        <f>tblTransactions[[#This Row],[GrossSales]]-tblTransactions[[#This Row],[DiscountAmount]]</f>
        <v>26823.725999999999</v>
      </c>
      <c r="P788" s="9">
        <f>_xlfn.XLOOKUP(tblTransactions[[#This Row],[ProductID]],tblProducts[ProductID],tblProducts[UnitCost])</f>
        <v>9305.33</v>
      </c>
      <c r="Q788" s="9">
        <f>tblTransactions[[#This Row],[Quantity]]*tblTransactions[[#This Row],[UnitCost]]</f>
        <v>18610.66</v>
      </c>
      <c r="R788" s="9">
        <f>tblTransactions[[#This Row],[NetRevenue]]-tblTransactions[[#This Row],[TotalCost]]</f>
        <v>8213.0659999999989</v>
      </c>
      <c r="S788" t="str">
        <f>_xlfn.XLOOKUP(tblTransactions[[#This Row],[ProductID]],tblProducts[ProductID],tblProducts[Category])</f>
        <v>Electronics</v>
      </c>
    </row>
    <row r="789" spans="1:19">
      <c r="A789" t="s">
        <v>17106</v>
      </c>
      <c r="B789" s="1">
        <v>45793</v>
      </c>
      <c r="C789" t="s">
        <v>14799</v>
      </c>
      <c r="D789" t="str">
        <f>_xlfn.XLOOKUP(tblTransactions[[#This Row],[CustomerID]],tblCustomers[CustomerID],tblCustomers[CustomerName])</f>
        <v>Nidhi Mann</v>
      </c>
      <c r="E789" t="s">
        <v>16145</v>
      </c>
      <c r="F789" t="str">
        <f>_xlfn.XLOOKUP(tblTransactions[[#This Row],[ProductID]],tblProducts[ProductID],tblProducts[ProductName])</f>
        <v>Rice B7</v>
      </c>
      <c r="G789" t="s">
        <v>16291</v>
      </c>
      <c r="H789" t="str">
        <f>_xlfn.XLOOKUP(tblTransactions[[#This Row],[StoreID]],tblStores[StoreID],tblStores[Region])</f>
        <v>South</v>
      </c>
      <c r="I789">
        <v>4</v>
      </c>
      <c r="J789">
        <v>0</v>
      </c>
      <c r="K789" t="s">
        <v>16317</v>
      </c>
      <c r="L789" s="9">
        <f>_xlfn.XLOOKUP(tblTransactions[[#This Row],[ProductID]],tblProducts[ProductID],tblProducts[UnitPrice])</f>
        <v>775.19</v>
      </c>
      <c r="M789" s="9">
        <f>tblTransactions[[#This Row],[Quantity]]*tblTransactions[[#This Row],[UnitPrice]]</f>
        <v>3100.76</v>
      </c>
      <c r="N789" s="9">
        <f>tblTransactions[[#This Row],[GrossSales]]*tblTransactions[[#This Row],[Discount]]</f>
        <v>0</v>
      </c>
      <c r="O789" s="9">
        <f>tblTransactions[[#This Row],[GrossSales]]-tblTransactions[[#This Row],[DiscountAmount]]</f>
        <v>3100.76</v>
      </c>
      <c r="P789" s="9">
        <f>_xlfn.XLOOKUP(tblTransactions[[#This Row],[ProductID]],tblProducts[ProductID],tblProducts[UnitCost])</f>
        <v>597.84</v>
      </c>
      <c r="Q789" s="9">
        <f>tblTransactions[[#This Row],[Quantity]]*tblTransactions[[#This Row],[UnitCost]]</f>
        <v>2391.36</v>
      </c>
      <c r="R789" s="9">
        <f>tblTransactions[[#This Row],[NetRevenue]]-tblTransactions[[#This Row],[TotalCost]]</f>
        <v>709.40000000000009</v>
      </c>
      <c r="S789" t="str">
        <f>_xlfn.XLOOKUP(tblTransactions[[#This Row],[ProductID]],tblProducts[ProductID],tblProducts[Category])</f>
        <v>Grocery</v>
      </c>
    </row>
    <row r="790" spans="1:19">
      <c r="A790" t="s">
        <v>17107</v>
      </c>
      <c r="B790" s="1">
        <v>45794</v>
      </c>
      <c r="C790" t="s">
        <v>750</v>
      </c>
      <c r="D790" t="str">
        <f>_xlfn.XLOOKUP(tblTransactions[[#This Row],[CustomerID]],tblCustomers[CustomerID],tblCustomers[CustomerName])</f>
        <v>Maanav De</v>
      </c>
      <c r="E790" t="s">
        <v>16064</v>
      </c>
      <c r="F790" t="str">
        <f>_xlfn.XLOOKUP(tblTransactions[[#This Row],[ProductID]],tblProducts[ProductID],tblProducts[ProductName])</f>
        <v>Decorative Vase E5</v>
      </c>
      <c r="G790" t="s">
        <v>16265</v>
      </c>
      <c r="H790" t="str">
        <f>_xlfn.XLOOKUP(tblTransactions[[#This Row],[StoreID]],tblStores[StoreID],tblStores[Region])</f>
        <v>North</v>
      </c>
      <c r="I790">
        <v>1</v>
      </c>
      <c r="J790">
        <v>0</v>
      </c>
      <c r="K790" t="s">
        <v>16315</v>
      </c>
      <c r="L790" s="9">
        <f>_xlfn.XLOOKUP(tblTransactions[[#This Row],[ProductID]],tblProducts[ProductID],tblProducts[UnitPrice])</f>
        <v>1797.31</v>
      </c>
      <c r="M790" s="9">
        <f>tblTransactions[[#This Row],[Quantity]]*tblTransactions[[#This Row],[UnitPrice]]</f>
        <v>1797.31</v>
      </c>
      <c r="N790" s="9">
        <f>tblTransactions[[#This Row],[GrossSales]]*tblTransactions[[#This Row],[Discount]]</f>
        <v>0</v>
      </c>
      <c r="O790" s="9">
        <f>tblTransactions[[#This Row],[GrossSales]]-tblTransactions[[#This Row],[DiscountAmount]]</f>
        <v>1797.31</v>
      </c>
      <c r="P790" s="9">
        <f>_xlfn.XLOOKUP(tblTransactions[[#This Row],[ProductID]],tblProducts[ProductID],tblProducts[UnitCost])</f>
        <v>1257.43</v>
      </c>
      <c r="Q790" s="9">
        <f>tblTransactions[[#This Row],[Quantity]]*tblTransactions[[#This Row],[UnitCost]]</f>
        <v>1257.43</v>
      </c>
      <c r="R790" s="9">
        <f>tblTransactions[[#This Row],[NetRevenue]]-tblTransactions[[#This Row],[TotalCost]]</f>
        <v>539.87999999999988</v>
      </c>
      <c r="S790" t="str">
        <f>_xlfn.XLOOKUP(tblTransactions[[#This Row],[ProductID]],tblProducts[ProductID],tblProducts[Category])</f>
        <v>Home &amp; Kitchen</v>
      </c>
    </row>
    <row r="791" spans="1:19">
      <c r="A791" t="s">
        <v>17108</v>
      </c>
      <c r="B791" s="1">
        <v>45794</v>
      </c>
      <c r="C791" t="s">
        <v>2259</v>
      </c>
      <c r="D791" t="str">
        <f>_xlfn.XLOOKUP(tblTransactions[[#This Row],[CustomerID]],tblCustomers[CustomerID],tblCustomers[CustomerName])</f>
        <v>Krisha Palla</v>
      </c>
      <c r="E791" t="s">
        <v>16226</v>
      </c>
      <c r="F791" t="str">
        <f>_xlfn.XLOOKUP(tblTransactions[[#This Row],[ProductID]],tblProducts[ProductID],tblProducts[ProductName])</f>
        <v>Body Wash B2</v>
      </c>
      <c r="G791" t="s">
        <v>16259</v>
      </c>
      <c r="H791" t="str">
        <f>_xlfn.XLOOKUP(tblTransactions[[#This Row],[StoreID]],tblStores[StoreID],tblStores[Region])</f>
        <v>East</v>
      </c>
      <c r="I791">
        <v>3</v>
      </c>
      <c r="J791">
        <v>0.1</v>
      </c>
      <c r="K791" t="s">
        <v>16317</v>
      </c>
      <c r="L791" s="9">
        <f>_xlfn.XLOOKUP(tblTransactions[[#This Row],[ProductID]],tblProducts[ProductID],tblProducts[UnitPrice])</f>
        <v>3897.08</v>
      </c>
      <c r="M791" s="9">
        <f>tblTransactions[[#This Row],[Quantity]]*tblTransactions[[#This Row],[UnitPrice]]</f>
        <v>11691.24</v>
      </c>
      <c r="N791" s="9">
        <f>tblTransactions[[#This Row],[GrossSales]]*tblTransactions[[#This Row],[Discount]]</f>
        <v>1169.124</v>
      </c>
      <c r="O791" s="9">
        <f>tblTransactions[[#This Row],[GrossSales]]-tblTransactions[[#This Row],[DiscountAmount]]</f>
        <v>10522.116</v>
      </c>
      <c r="P791" s="9">
        <f>_xlfn.XLOOKUP(tblTransactions[[#This Row],[ProductID]],tblProducts[ProductID],tblProducts[UnitCost])</f>
        <v>3214.46</v>
      </c>
      <c r="Q791" s="9">
        <f>tblTransactions[[#This Row],[Quantity]]*tblTransactions[[#This Row],[UnitCost]]</f>
        <v>9643.380000000001</v>
      </c>
      <c r="R791" s="9">
        <f>tblTransactions[[#This Row],[NetRevenue]]-tblTransactions[[#This Row],[TotalCost]]</f>
        <v>878.73599999999897</v>
      </c>
      <c r="S791" t="str">
        <f>_xlfn.XLOOKUP(tblTransactions[[#This Row],[ProductID]],tblProducts[ProductID],tblProducts[Category])</f>
        <v>Personal Care</v>
      </c>
    </row>
    <row r="792" spans="1:19">
      <c r="A792" t="s">
        <v>17109</v>
      </c>
      <c r="B792" s="1">
        <v>45795</v>
      </c>
      <c r="C792" t="s">
        <v>10557</v>
      </c>
      <c r="D792" t="str">
        <f>_xlfn.XLOOKUP(tblTransactions[[#This Row],[CustomerID]],tblCustomers[CustomerID],tblCustomers[CustomerName])</f>
        <v>Maanas Chad</v>
      </c>
      <c r="E792" t="s">
        <v>16190</v>
      </c>
      <c r="F792" t="str">
        <f>_xlfn.XLOOKUP(tblTransactions[[#This Row],[ProductID]],tblProducts[ProductID],tblProducts[ProductName])</f>
        <v>Pasta B7</v>
      </c>
      <c r="G792" t="s">
        <v>16287</v>
      </c>
      <c r="H792" t="str">
        <f>_xlfn.XLOOKUP(tblTransactions[[#This Row],[StoreID]],tblStores[StoreID],tblStores[Region])</f>
        <v>North</v>
      </c>
      <c r="I792">
        <v>3</v>
      </c>
      <c r="J792">
        <v>0</v>
      </c>
      <c r="K792" t="s">
        <v>16321</v>
      </c>
      <c r="L792" s="9">
        <f>_xlfn.XLOOKUP(tblTransactions[[#This Row],[ProductID]],tblProducts[ProductID],tblProducts[UnitPrice])</f>
        <v>777.56</v>
      </c>
      <c r="M792" s="9">
        <f>tblTransactions[[#This Row],[Quantity]]*tblTransactions[[#This Row],[UnitPrice]]</f>
        <v>2332.6799999999998</v>
      </c>
      <c r="N792" s="9">
        <f>tblTransactions[[#This Row],[GrossSales]]*tblTransactions[[#This Row],[Discount]]</f>
        <v>0</v>
      </c>
      <c r="O792" s="9">
        <f>tblTransactions[[#This Row],[GrossSales]]-tblTransactions[[#This Row],[DiscountAmount]]</f>
        <v>2332.6799999999998</v>
      </c>
      <c r="P792" s="9">
        <f>_xlfn.XLOOKUP(tblTransactions[[#This Row],[ProductID]],tblProducts[ProductID],tblProducts[UnitCost])</f>
        <v>503.09</v>
      </c>
      <c r="Q792" s="9">
        <f>tblTransactions[[#This Row],[Quantity]]*tblTransactions[[#This Row],[UnitCost]]</f>
        <v>1509.27</v>
      </c>
      <c r="R792" s="9">
        <f>tblTransactions[[#This Row],[NetRevenue]]-tblTransactions[[#This Row],[TotalCost]]</f>
        <v>823.40999999999985</v>
      </c>
      <c r="S792" t="str">
        <f>_xlfn.XLOOKUP(tblTransactions[[#This Row],[ProductID]],tblProducts[ProductID],tblProducts[Category])</f>
        <v>Grocery</v>
      </c>
    </row>
    <row r="793" spans="1:19">
      <c r="A793" t="s">
        <v>17110</v>
      </c>
      <c r="B793" s="1">
        <v>45795</v>
      </c>
      <c r="C793" t="s">
        <v>6327</v>
      </c>
      <c r="D793" t="str">
        <f>_xlfn.XLOOKUP(tblTransactions[[#This Row],[CustomerID]],tblCustomers[CustomerID],tblCustomers[CustomerName])</f>
        <v>Aashi Gour</v>
      </c>
      <c r="E793" t="s">
        <v>16145</v>
      </c>
      <c r="F793" t="str">
        <f>_xlfn.XLOOKUP(tblTransactions[[#This Row],[ProductID]],tblProducts[ProductID],tblProducts[ProductName])</f>
        <v>Rice B7</v>
      </c>
      <c r="G793" t="s">
        <v>16273</v>
      </c>
      <c r="H793" t="str">
        <f>_xlfn.XLOOKUP(tblTransactions[[#This Row],[StoreID]],tblStores[StoreID],tblStores[Region])</f>
        <v>West</v>
      </c>
      <c r="I793">
        <v>1</v>
      </c>
      <c r="J793">
        <v>0.1</v>
      </c>
      <c r="K793" t="s">
        <v>16317</v>
      </c>
      <c r="L793" s="9">
        <f>_xlfn.XLOOKUP(tblTransactions[[#This Row],[ProductID]],tblProducts[ProductID],tblProducts[UnitPrice])</f>
        <v>775.19</v>
      </c>
      <c r="M793" s="9">
        <f>tblTransactions[[#This Row],[Quantity]]*tblTransactions[[#This Row],[UnitPrice]]</f>
        <v>775.19</v>
      </c>
      <c r="N793" s="9">
        <f>tblTransactions[[#This Row],[GrossSales]]*tblTransactions[[#This Row],[Discount]]</f>
        <v>77.519000000000005</v>
      </c>
      <c r="O793" s="9">
        <f>tblTransactions[[#This Row],[GrossSales]]-tblTransactions[[#This Row],[DiscountAmount]]</f>
        <v>697.67100000000005</v>
      </c>
      <c r="P793" s="9">
        <f>_xlfn.XLOOKUP(tblTransactions[[#This Row],[ProductID]],tblProducts[ProductID],tblProducts[UnitCost])</f>
        <v>597.84</v>
      </c>
      <c r="Q793" s="9">
        <f>tblTransactions[[#This Row],[Quantity]]*tblTransactions[[#This Row],[UnitCost]]</f>
        <v>597.84</v>
      </c>
      <c r="R793" s="9">
        <f>tblTransactions[[#This Row],[NetRevenue]]-tblTransactions[[#This Row],[TotalCost]]</f>
        <v>99.831000000000017</v>
      </c>
      <c r="S793" t="str">
        <f>_xlfn.XLOOKUP(tblTransactions[[#This Row],[ProductID]],tblProducts[ProductID],tblProducts[Category])</f>
        <v>Grocery</v>
      </c>
    </row>
    <row r="794" spans="1:19">
      <c r="A794" t="s">
        <v>17111</v>
      </c>
      <c r="B794" s="1">
        <v>45795</v>
      </c>
      <c r="C794" t="s">
        <v>650</v>
      </c>
      <c r="D794" t="str">
        <f>_xlfn.XLOOKUP(tblTransactions[[#This Row],[CustomerID]],tblCustomers[CustomerID],tblCustomers[CustomerName])</f>
        <v>Pranit Garde</v>
      </c>
      <c r="E794" t="s">
        <v>16082</v>
      </c>
      <c r="F794" t="str">
        <f>_xlfn.XLOOKUP(tblTransactions[[#This Row],[ProductID]],tblProducts[ProductID],tblProducts[ProductName])</f>
        <v>Men's Jacket A6</v>
      </c>
      <c r="G794" t="s">
        <v>16269</v>
      </c>
      <c r="H794" t="str">
        <f>_xlfn.XLOOKUP(tblTransactions[[#This Row],[StoreID]],tblStores[StoreID],tblStores[Region])</f>
        <v>North</v>
      </c>
      <c r="I794">
        <v>1</v>
      </c>
      <c r="J794">
        <v>0</v>
      </c>
      <c r="K794" t="s">
        <v>16317</v>
      </c>
      <c r="L794" s="9">
        <f>_xlfn.XLOOKUP(tblTransactions[[#This Row],[ProductID]],tblProducts[ProductID],tblProducts[UnitPrice])</f>
        <v>3718.64</v>
      </c>
      <c r="M794" s="9">
        <f>tblTransactions[[#This Row],[Quantity]]*tblTransactions[[#This Row],[UnitPrice]]</f>
        <v>3718.64</v>
      </c>
      <c r="N794" s="9">
        <f>tblTransactions[[#This Row],[GrossSales]]*tblTransactions[[#This Row],[Discount]]</f>
        <v>0</v>
      </c>
      <c r="O794" s="9">
        <f>tblTransactions[[#This Row],[GrossSales]]-tblTransactions[[#This Row],[DiscountAmount]]</f>
        <v>3718.64</v>
      </c>
      <c r="P794" s="9">
        <f>_xlfn.XLOOKUP(tblTransactions[[#This Row],[ProductID]],tblProducts[ProductID],tblProducts[UnitCost])</f>
        <v>3021.38</v>
      </c>
      <c r="Q794" s="9">
        <f>tblTransactions[[#This Row],[Quantity]]*tblTransactions[[#This Row],[UnitCost]]</f>
        <v>3021.38</v>
      </c>
      <c r="R794" s="9">
        <f>tblTransactions[[#This Row],[NetRevenue]]-tblTransactions[[#This Row],[TotalCost]]</f>
        <v>697.25999999999976</v>
      </c>
      <c r="S794" t="str">
        <f>_xlfn.XLOOKUP(tblTransactions[[#This Row],[ProductID]],tblProducts[ProductID],tblProducts[Category])</f>
        <v>Clothing</v>
      </c>
    </row>
    <row r="795" spans="1:19">
      <c r="A795" t="s">
        <v>17112</v>
      </c>
      <c r="B795" s="1">
        <v>45796</v>
      </c>
      <c r="C795" t="s">
        <v>15537</v>
      </c>
      <c r="D795" t="str">
        <f>_xlfn.XLOOKUP(tblTransactions[[#This Row],[CustomerID]],tblCustomers[CustomerID],tblCustomers[CustomerName])</f>
        <v>Triya Chakrabarti</v>
      </c>
      <c r="E795" t="s">
        <v>16247</v>
      </c>
      <c r="F795" t="str">
        <f>_xlfn.XLOOKUP(tblTransactions[[#This Row],[ProductID]],tblProducts[ProductID],tblProducts[ProductName])</f>
        <v>Shaving Kit E5</v>
      </c>
      <c r="G795" t="s">
        <v>16295</v>
      </c>
      <c r="H795" t="str">
        <f>_xlfn.XLOOKUP(tblTransactions[[#This Row],[StoreID]],tblStores[StoreID],tblStores[Region])</f>
        <v>South</v>
      </c>
      <c r="I795">
        <v>1</v>
      </c>
      <c r="J795">
        <v>0</v>
      </c>
      <c r="K795" t="s">
        <v>16321</v>
      </c>
      <c r="L795" s="9">
        <f>_xlfn.XLOOKUP(tblTransactions[[#This Row],[ProductID]],tblProducts[ProductID],tblProducts[UnitPrice])</f>
        <v>3430.41</v>
      </c>
      <c r="M795" s="9">
        <f>tblTransactions[[#This Row],[Quantity]]*tblTransactions[[#This Row],[UnitPrice]]</f>
        <v>3430.41</v>
      </c>
      <c r="N795" s="9">
        <f>tblTransactions[[#This Row],[GrossSales]]*tblTransactions[[#This Row],[Discount]]</f>
        <v>0</v>
      </c>
      <c r="O795" s="9">
        <f>tblTransactions[[#This Row],[GrossSales]]-tblTransactions[[#This Row],[DiscountAmount]]</f>
        <v>3430.41</v>
      </c>
      <c r="P795" s="9">
        <f>_xlfn.XLOOKUP(tblTransactions[[#This Row],[ProductID]],tblProducts[ProductID],tblProducts[UnitCost])</f>
        <v>2912.56</v>
      </c>
      <c r="Q795" s="9">
        <f>tblTransactions[[#This Row],[Quantity]]*tblTransactions[[#This Row],[UnitCost]]</f>
        <v>2912.56</v>
      </c>
      <c r="R795" s="9">
        <f>tblTransactions[[#This Row],[NetRevenue]]-tblTransactions[[#This Row],[TotalCost]]</f>
        <v>517.84999999999991</v>
      </c>
      <c r="S795" t="str">
        <f>_xlfn.XLOOKUP(tblTransactions[[#This Row],[ProductID]],tblProducts[ProductID],tblProducts[Category])</f>
        <v>Personal Care</v>
      </c>
    </row>
    <row r="796" spans="1:19">
      <c r="A796" t="s">
        <v>17113</v>
      </c>
      <c r="B796" s="1">
        <v>45797</v>
      </c>
      <c r="C796" t="s">
        <v>12713</v>
      </c>
      <c r="D796" t="str">
        <f>_xlfn.XLOOKUP(tblTransactions[[#This Row],[CustomerID]],tblCustomers[CustomerID],tblCustomers[CustomerName])</f>
        <v>Hardik Zachariah</v>
      </c>
      <c r="E796" t="s">
        <v>16215</v>
      </c>
      <c r="F796" t="str">
        <f>_xlfn.XLOOKUP(tblTransactions[[#This Row],[ProductID]],tblProducts[ProductID],tblProducts[ProductName])</f>
        <v>Conditioner D4</v>
      </c>
      <c r="G796" t="s">
        <v>16265</v>
      </c>
      <c r="H796" t="str">
        <f>_xlfn.XLOOKUP(tblTransactions[[#This Row],[StoreID]],tblStores[StoreID],tblStores[Region])</f>
        <v>North</v>
      </c>
      <c r="I796">
        <v>1</v>
      </c>
      <c r="J796">
        <v>0</v>
      </c>
      <c r="K796" t="s">
        <v>16317</v>
      </c>
      <c r="L796" s="9">
        <f>_xlfn.XLOOKUP(tblTransactions[[#This Row],[ProductID]],tblProducts[ProductID],tblProducts[UnitPrice])</f>
        <v>4058.64</v>
      </c>
      <c r="M796" s="9">
        <f>tblTransactions[[#This Row],[Quantity]]*tblTransactions[[#This Row],[UnitPrice]]</f>
        <v>4058.64</v>
      </c>
      <c r="N796" s="9">
        <f>tblTransactions[[#This Row],[GrossSales]]*tblTransactions[[#This Row],[Discount]]</f>
        <v>0</v>
      </c>
      <c r="O796" s="9">
        <f>tblTransactions[[#This Row],[GrossSales]]-tblTransactions[[#This Row],[DiscountAmount]]</f>
        <v>4058.64</v>
      </c>
      <c r="P796" s="9">
        <f>_xlfn.XLOOKUP(tblTransactions[[#This Row],[ProductID]],tblProducts[ProductID],tblProducts[UnitCost])</f>
        <v>2892.93</v>
      </c>
      <c r="Q796" s="9">
        <f>tblTransactions[[#This Row],[Quantity]]*tblTransactions[[#This Row],[UnitCost]]</f>
        <v>2892.93</v>
      </c>
      <c r="R796" s="9">
        <f>tblTransactions[[#This Row],[NetRevenue]]-tblTransactions[[#This Row],[TotalCost]]</f>
        <v>1165.71</v>
      </c>
      <c r="S796" t="str">
        <f>_xlfn.XLOOKUP(tblTransactions[[#This Row],[ProductID]],tblProducts[ProductID],tblProducts[Category])</f>
        <v>Personal Care</v>
      </c>
    </row>
    <row r="797" spans="1:19">
      <c r="A797" t="s">
        <v>17114</v>
      </c>
      <c r="B797" s="1">
        <v>45799</v>
      </c>
      <c r="C797" t="s">
        <v>11256</v>
      </c>
      <c r="D797" t="str">
        <f>_xlfn.XLOOKUP(tblTransactions[[#This Row],[CustomerID]],tblCustomers[CustomerID],tblCustomers[CustomerName])</f>
        <v>Indrajit Dash</v>
      </c>
      <c r="E797" t="s">
        <v>16034</v>
      </c>
      <c r="F797" t="str">
        <f>_xlfn.XLOOKUP(tblTransactions[[#This Row],[ProductID]],tblProducts[ProductID],tblProducts[ProductName])</f>
        <v>Bookshelf E5</v>
      </c>
      <c r="G797" t="s">
        <v>16295</v>
      </c>
      <c r="H797" t="str">
        <f>_xlfn.XLOOKUP(tblTransactions[[#This Row],[StoreID]],tblStores[StoreID],tblStores[Region])</f>
        <v>South</v>
      </c>
      <c r="I797">
        <v>1</v>
      </c>
      <c r="J797">
        <v>0.1</v>
      </c>
      <c r="K797" t="s">
        <v>16317</v>
      </c>
      <c r="L797" s="9">
        <f>_xlfn.XLOOKUP(tblTransactions[[#This Row],[ProductID]],tblProducts[ProductID],tblProducts[UnitPrice])</f>
        <v>14006.13</v>
      </c>
      <c r="M797" s="9">
        <f>tblTransactions[[#This Row],[Quantity]]*tblTransactions[[#This Row],[UnitPrice]]</f>
        <v>14006.13</v>
      </c>
      <c r="N797" s="9">
        <f>tblTransactions[[#This Row],[GrossSales]]*tblTransactions[[#This Row],[Discount]]</f>
        <v>1400.6130000000001</v>
      </c>
      <c r="O797" s="9">
        <f>tblTransactions[[#This Row],[GrossSales]]-tblTransactions[[#This Row],[DiscountAmount]]</f>
        <v>12605.517</v>
      </c>
      <c r="P797" s="9">
        <f>_xlfn.XLOOKUP(tblTransactions[[#This Row],[ProductID]],tblProducts[ProductID],tblProducts[UnitCost])</f>
        <v>9829.2800000000007</v>
      </c>
      <c r="Q797" s="9">
        <f>tblTransactions[[#This Row],[Quantity]]*tblTransactions[[#This Row],[UnitCost]]</f>
        <v>9829.2800000000007</v>
      </c>
      <c r="R797" s="9">
        <f>tblTransactions[[#This Row],[NetRevenue]]-tblTransactions[[#This Row],[TotalCost]]</f>
        <v>2776.2369999999992</v>
      </c>
      <c r="S797" t="str">
        <f>_xlfn.XLOOKUP(tblTransactions[[#This Row],[ProductID]],tblProducts[ProductID],tblProducts[Category])</f>
        <v>Home &amp; Kitchen</v>
      </c>
    </row>
    <row r="798" spans="1:19">
      <c r="A798" t="s">
        <v>17115</v>
      </c>
      <c r="B798" s="1">
        <v>45800</v>
      </c>
      <c r="C798" t="s">
        <v>7940</v>
      </c>
      <c r="D798" t="str">
        <f>_xlfn.XLOOKUP(tblTransactions[[#This Row],[CustomerID]],tblCustomers[CustomerID],tblCustomers[CustomerName])</f>
        <v>Darsh Johal</v>
      </c>
      <c r="E798" t="s">
        <v>16030</v>
      </c>
      <c r="F798" t="str">
        <f>_xlfn.XLOOKUP(tblTransactions[[#This Row],[ProductID]],tblProducts[ProductID],tblProducts[ProductName])</f>
        <v>Study Table C3</v>
      </c>
      <c r="G798" t="s">
        <v>16259</v>
      </c>
      <c r="H798" t="str">
        <f>_xlfn.XLOOKUP(tblTransactions[[#This Row],[StoreID]],tblStores[StoreID],tblStores[Region])</f>
        <v>East</v>
      </c>
      <c r="I798">
        <v>3</v>
      </c>
      <c r="J798">
        <v>0</v>
      </c>
      <c r="K798" t="s">
        <v>16315</v>
      </c>
      <c r="L798" s="9">
        <f>_xlfn.XLOOKUP(tblTransactions[[#This Row],[ProductID]],tblProducts[ProductID],tblProducts[UnitPrice])</f>
        <v>29675.72</v>
      </c>
      <c r="M798" s="9">
        <f>tblTransactions[[#This Row],[Quantity]]*tblTransactions[[#This Row],[UnitPrice]]</f>
        <v>89027.16</v>
      </c>
      <c r="N798" s="9">
        <f>tblTransactions[[#This Row],[GrossSales]]*tblTransactions[[#This Row],[Discount]]</f>
        <v>0</v>
      </c>
      <c r="O798" s="9">
        <f>tblTransactions[[#This Row],[GrossSales]]-tblTransactions[[#This Row],[DiscountAmount]]</f>
        <v>89027.16</v>
      </c>
      <c r="P798" s="9">
        <f>_xlfn.XLOOKUP(tblTransactions[[#This Row],[ProductID]],tblProducts[ProductID],tblProducts[UnitCost])</f>
        <v>17695.330000000002</v>
      </c>
      <c r="Q798" s="9">
        <f>tblTransactions[[#This Row],[Quantity]]*tblTransactions[[#This Row],[UnitCost]]</f>
        <v>53085.990000000005</v>
      </c>
      <c r="R798" s="9">
        <f>tblTransactions[[#This Row],[NetRevenue]]-tblTransactions[[#This Row],[TotalCost]]</f>
        <v>35941.17</v>
      </c>
      <c r="S798" t="str">
        <f>_xlfn.XLOOKUP(tblTransactions[[#This Row],[ProductID]],tblProducts[ProductID],tblProducts[Category])</f>
        <v>Home &amp; Kitchen</v>
      </c>
    </row>
    <row r="799" spans="1:19">
      <c r="A799" t="s">
        <v>17116</v>
      </c>
      <c r="B799" s="1">
        <v>45800</v>
      </c>
      <c r="C799" t="s">
        <v>8236</v>
      </c>
      <c r="D799" t="str">
        <f>_xlfn.XLOOKUP(tblTransactions[[#This Row],[CustomerID]],tblCustomers[CustomerID],tblCustomers[CustomerName])</f>
        <v>Quincy Kumer</v>
      </c>
      <c r="E799" t="s">
        <v>16127</v>
      </c>
      <c r="F799" t="str">
        <f>_xlfn.XLOOKUP(tblTransactions[[#This Row],[ProductID]],tblProducts[ProductID],tblProducts[ProductName])</f>
        <v>Sports Shoes A6</v>
      </c>
      <c r="G799" t="s">
        <v>16267</v>
      </c>
      <c r="H799" t="str">
        <f>_xlfn.XLOOKUP(tblTransactions[[#This Row],[StoreID]],tblStores[StoreID],tblStores[Region])</f>
        <v>West</v>
      </c>
      <c r="I799">
        <v>3</v>
      </c>
      <c r="J799">
        <v>0.1</v>
      </c>
      <c r="K799" t="s">
        <v>16325</v>
      </c>
      <c r="L799" s="9">
        <f>_xlfn.XLOOKUP(tblTransactions[[#This Row],[ProductID]],tblProducts[ProductID],tblProducts[UnitPrice])</f>
        <v>4565.2299999999996</v>
      </c>
      <c r="M799" s="9">
        <f>tblTransactions[[#This Row],[Quantity]]*tblTransactions[[#This Row],[UnitPrice]]</f>
        <v>13695.689999999999</v>
      </c>
      <c r="N799" s="9">
        <f>tblTransactions[[#This Row],[GrossSales]]*tblTransactions[[#This Row],[Discount]]</f>
        <v>1369.569</v>
      </c>
      <c r="O799" s="9">
        <f>tblTransactions[[#This Row],[GrossSales]]-tblTransactions[[#This Row],[DiscountAmount]]</f>
        <v>12326.120999999999</v>
      </c>
      <c r="P799" s="9">
        <f>_xlfn.XLOOKUP(tblTransactions[[#This Row],[ProductID]],tblProducts[ProductID],tblProducts[UnitCost])</f>
        <v>3658.34</v>
      </c>
      <c r="Q799" s="9">
        <f>tblTransactions[[#This Row],[Quantity]]*tblTransactions[[#This Row],[UnitCost]]</f>
        <v>10975.02</v>
      </c>
      <c r="R799" s="9">
        <f>tblTransactions[[#This Row],[NetRevenue]]-tblTransactions[[#This Row],[TotalCost]]</f>
        <v>1351.1009999999987</v>
      </c>
      <c r="S799" t="str">
        <f>_xlfn.XLOOKUP(tblTransactions[[#This Row],[ProductID]],tblProducts[ProductID],tblProducts[Category])</f>
        <v>Clothing</v>
      </c>
    </row>
    <row r="800" spans="1:19">
      <c r="A800" t="s">
        <v>17117</v>
      </c>
      <c r="B800" s="1">
        <v>45800</v>
      </c>
      <c r="C800" t="s">
        <v>13337</v>
      </c>
      <c r="D800" t="str">
        <f>_xlfn.XLOOKUP(tblTransactions[[#This Row],[CustomerID]],tblCustomers[CustomerID],tblCustomers[CustomerName])</f>
        <v>Maya Datta</v>
      </c>
      <c r="E800" t="s">
        <v>16152</v>
      </c>
      <c r="F800" t="str">
        <f>_xlfn.XLOOKUP(tblTransactions[[#This Row],[ProductID]],tblProducts[ProductID],tblProducts[ProductName])</f>
        <v>Chips C3</v>
      </c>
      <c r="G800" t="s">
        <v>16256</v>
      </c>
      <c r="H800" t="str">
        <f>_xlfn.XLOOKUP(tblTransactions[[#This Row],[StoreID]],tblStores[StoreID],tblStores[Region])</f>
        <v>East</v>
      </c>
      <c r="I800">
        <v>1</v>
      </c>
      <c r="J800">
        <v>0.05</v>
      </c>
      <c r="K800" t="s">
        <v>16325</v>
      </c>
      <c r="L800" s="9">
        <f>_xlfn.XLOOKUP(tblTransactions[[#This Row],[ProductID]],tblProducts[ProductID],tblProducts[UnitPrice])</f>
        <v>152.38</v>
      </c>
      <c r="M800" s="9">
        <f>tblTransactions[[#This Row],[Quantity]]*tblTransactions[[#This Row],[UnitPrice]]</f>
        <v>152.38</v>
      </c>
      <c r="N800" s="9">
        <f>tblTransactions[[#This Row],[GrossSales]]*tblTransactions[[#This Row],[Discount]]</f>
        <v>7.6189999999999998</v>
      </c>
      <c r="O800" s="9">
        <f>tblTransactions[[#This Row],[GrossSales]]-tblTransactions[[#This Row],[DiscountAmount]]</f>
        <v>144.761</v>
      </c>
      <c r="P800" s="9">
        <f>_xlfn.XLOOKUP(tblTransactions[[#This Row],[ProductID]],tblProducts[ProductID],tblProducts[UnitCost])</f>
        <v>100.44</v>
      </c>
      <c r="Q800" s="9">
        <f>tblTransactions[[#This Row],[Quantity]]*tblTransactions[[#This Row],[UnitCost]]</f>
        <v>100.44</v>
      </c>
      <c r="R800" s="9">
        <f>tblTransactions[[#This Row],[NetRevenue]]-tblTransactions[[#This Row],[TotalCost]]</f>
        <v>44.320999999999998</v>
      </c>
      <c r="S800" t="str">
        <f>_xlfn.XLOOKUP(tblTransactions[[#This Row],[ProductID]],tblProducts[ProductID],tblProducts[Category])</f>
        <v>Grocery</v>
      </c>
    </row>
    <row r="801" spans="1:19">
      <c r="A801" t="s">
        <v>17118</v>
      </c>
      <c r="B801" s="1">
        <v>45800</v>
      </c>
      <c r="C801" t="s">
        <v>15111</v>
      </c>
      <c r="D801" t="str">
        <f>_xlfn.XLOOKUP(tblTransactions[[#This Row],[CustomerID]],tblCustomers[CustomerID],tblCustomers[CustomerName])</f>
        <v>Ekavir Saxena</v>
      </c>
      <c r="E801" t="s">
        <v>16152</v>
      </c>
      <c r="F801" t="str">
        <f>_xlfn.XLOOKUP(tblTransactions[[#This Row],[ProductID]],tblProducts[ProductID],tblProducts[ProductName])</f>
        <v>Chips C3</v>
      </c>
      <c r="G801" t="s">
        <v>16259</v>
      </c>
      <c r="H801" t="str">
        <f>_xlfn.XLOOKUP(tblTransactions[[#This Row],[StoreID]],tblStores[StoreID],tblStores[Region])</f>
        <v>East</v>
      </c>
      <c r="I801">
        <v>1</v>
      </c>
      <c r="J801">
        <v>0</v>
      </c>
      <c r="K801" t="s">
        <v>16325</v>
      </c>
      <c r="L801" s="9">
        <f>_xlfn.XLOOKUP(tblTransactions[[#This Row],[ProductID]],tblProducts[ProductID],tblProducts[UnitPrice])</f>
        <v>152.38</v>
      </c>
      <c r="M801" s="9">
        <f>tblTransactions[[#This Row],[Quantity]]*tblTransactions[[#This Row],[UnitPrice]]</f>
        <v>152.38</v>
      </c>
      <c r="N801" s="9">
        <f>tblTransactions[[#This Row],[GrossSales]]*tblTransactions[[#This Row],[Discount]]</f>
        <v>0</v>
      </c>
      <c r="O801" s="9">
        <f>tblTransactions[[#This Row],[GrossSales]]-tblTransactions[[#This Row],[DiscountAmount]]</f>
        <v>152.38</v>
      </c>
      <c r="P801" s="9">
        <f>_xlfn.XLOOKUP(tblTransactions[[#This Row],[ProductID]],tblProducts[ProductID],tblProducts[UnitCost])</f>
        <v>100.44</v>
      </c>
      <c r="Q801" s="9">
        <f>tblTransactions[[#This Row],[Quantity]]*tblTransactions[[#This Row],[UnitCost]]</f>
        <v>100.44</v>
      </c>
      <c r="R801" s="9">
        <f>tblTransactions[[#This Row],[NetRevenue]]-tblTransactions[[#This Row],[TotalCost]]</f>
        <v>51.94</v>
      </c>
      <c r="S801" t="str">
        <f>_xlfn.XLOOKUP(tblTransactions[[#This Row],[ProductID]],tblProducts[ProductID],tblProducts[Category])</f>
        <v>Grocery</v>
      </c>
    </row>
    <row r="802" spans="1:19">
      <c r="A802" t="s">
        <v>17119</v>
      </c>
      <c r="B802" s="1">
        <v>45801</v>
      </c>
      <c r="C802" t="s">
        <v>6199</v>
      </c>
      <c r="D802" t="str">
        <f>_xlfn.XLOOKUP(tblTransactions[[#This Row],[CustomerID]],tblCustomers[CustomerID],tblCustomers[CustomerName])</f>
        <v>Daksh Kanda</v>
      </c>
      <c r="E802" t="s">
        <v>16034</v>
      </c>
      <c r="F802" t="str">
        <f>_xlfn.XLOOKUP(tblTransactions[[#This Row],[ProductID]],tblProducts[ProductID],tblProducts[ProductName])</f>
        <v>Bookshelf E5</v>
      </c>
      <c r="G802" t="s">
        <v>16283</v>
      </c>
      <c r="H802" t="str">
        <f>_xlfn.XLOOKUP(tblTransactions[[#This Row],[StoreID]],tblStores[StoreID],tblStores[Region])</f>
        <v>South</v>
      </c>
      <c r="I802">
        <v>2</v>
      </c>
      <c r="J802">
        <v>0</v>
      </c>
      <c r="K802" t="s">
        <v>16317</v>
      </c>
      <c r="L802" s="9">
        <f>_xlfn.XLOOKUP(tblTransactions[[#This Row],[ProductID]],tblProducts[ProductID],tblProducts[UnitPrice])</f>
        <v>14006.13</v>
      </c>
      <c r="M802" s="9">
        <f>tblTransactions[[#This Row],[Quantity]]*tblTransactions[[#This Row],[UnitPrice]]</f>
        <v>28012.26</v>
      </c>
      <c r="N802" s="9">
        <f>tblTransactions[[#This Row],[GrossSales]]*tblTransactions[[#This Row],[Discount]]</f>
        <v>0</v>
      </c>
      <c r="O802" s="9">
        <f>tblTransactions[[#This Row],[GrossSales]]-tblTransactions[[#This Row],[DiscountAmount]]</f>
        <v>28012.26</v>
      </c>
      <c r="P802" s="9">
        <f>_xlfn.XLOOKUP(tblTransactions[[#This Row],[ProductID]],tblProducts[ProductID],tblProducts[UnitCost])</f>
        <v>9829.2800000000007</v>
      </c>
      <c r="Q802" s="9">
        <f>tblTransactions[[#This Row],[Quantity]]*tblTransactions[[#This Row],[UnitCost]]</f>
        <v>19658.560000000001</v>
      </c>
      <c r="R802" s="9">
        <f>tblTransactions[[#This Row],[NetRevenue]]-tblTransactions[[#This Row],[TotalCost]]</f>
        <v>8353.6999999999971</v>
      </c>
      <c r="S802" t="str">
        <f>_xlfn.XLOOKUP(tblTransactions[[#This Row],[ProductID]],tblProducts[ProductID],tblProducts[Category])</f>
        <v>Home &amp; Kitchen</v>
      </c>
    </row>
    <row r="803" spans="1:19">
      <c r="A803" t="s">
        <v>17120</v>
      </c>
      <c r="B803" s="1">
        <v>45804</v>
      </c>
      <c r="C803" t="s">
        <v>9533</v>
      </c>
      <c r="D803" t="str">
        <f>_xlfn.XLOOKUP(tblTransactions[[#This Row],[CustomerID]],tblCustomers[CustomerID],tblCustomers[CustomerName])</f>
        <v>Logan Mittal</v>
      </c>
      <c r="E803" t="s">
        <v>16112</v>
      </c>
      <c r="F803" t="str">
        <f>_xlfn.XLOOKUP(tblTransactions[[#This Row],[ProductID]],tblProducts[ProductID],tblProducts[ProductName])</f>
        <v>Kids T-Shirt A6</v>
      </c>
      <c r="G803" t="s">
        <v>16256</v>
      </c>
      <c r="H803" t="str">
        <f>_xlfn.XLOOKUP(tblTransactions[[#This Row],[StoreID]],tblStores[StoreID],tblStores[Region])</f>
        <v>East</v>
      </c>
      <c r="I803">
        <v>3</v>
      </c>
      <c r="J803">
        <v>0.15</v>
      </c>
      <c r="K803" t="s">
        <v>16325</v>
      </c>
      <c r="L803" s="9">
        <f>_xlfn.XLOOKUP(tblTransactions[[#This Row],[ProductID]],tblProducts[ProductID],tblProducts[UnitPrice])</f>
        <v>2008.33</v>
      </c>
      <c r="M803" s="9">
        <f>tblTransactions[[#This Row],[Quantity]]*tblTransactions[[#This Row],[UnitPrice]]</f>
        <v>6024.99</v>
      </c>
      <c r="N803" s="9">
        <f>tblTransactions[[#This Row],[GrossSales]]*tblTransactions[[#This Row],[Discount]]</f>
        <v>903.74849999999992</v>
      </c>
      <c r="O803" s="9">
        <f>tblTransactions[[#This Row],[GrossSales]]-tblTransactions[[#This Row],[DiscountAmount]]</f>
        <v>5121.2415000000001</v>
      </c>
      <c r="P803" s="9">
        <f>_xlfn.XLOOKUP(tblTransactions[[#This Row],[ProductID]],tblProducts[ProductID],tblProducts[UnitCost])</f>
        <v>1688.91</v>
      </c>
      <c r="Q803" s="9">
        <f>tblTransactions[[#This Row],[Quantity]]*tblTransactions[[#This Row],[UnitCost]]</f>
        <v>5066.7300000000005</v>
      </c>
      <c r="R803" s="9">
        <f>tblTransactions[[#This Row],[NetRevenue]]-tblTransactions[[#This Row],[TotalCost]]</f>
        <v>54.511499999999614</v>
      </c>
      <c r="S803" t="str">
        <f>_xlfn.XLOOKUP(tblTransactions[[#This Row],[ProductID]],tblProducts[ProductID],tblProducts[Category])</f>
        <v>Clothing</v>
      </c>
    </row>
    <row r="804" spans="1:19">
      <c r="A804" t="s">
        <v>17121</v>
      </c>
      <c r="B804" s="1">
        <v>45807</v>
      </c>
      <c r="C804" t="s">
        <v>2765</v>
      </c>
      <c r="D804" t="str">
        <f>_xlfn.XLOOKUP(tblTransactions[[#This Row],[CustomerID]],tblCustomers[CustomerID],tblCustomers[CustomerName])</f>
        <v>Kevin Chopra</v>
      </c>
      <c r="E804" t="s">
        <v>16112</v>
      </c>
      <c r="F804" t="str">
        <f>_xlfn.XLOOKUP(tblTransactions[[#This Row],[ProductID]],tblProducts[ProductID],tblProducts[ProductName])</f>
        <v>Kids T-Shirt A6</v>
      </c>
      <c r="G804" t="s">
        <v>16259</v>
      </c>
      <c r="H804" t="str">
        <f>_xlfn.XLOOKUP(tblTransactions[[#This Row],[StoreID]],tblStores[StoreID],tblStores[Region])</f>
        <v>East</v>
      </c>
      <c r="I804">
        <v>3</v>
      </c>
      <c r="J804">
        <v>0</v>
      </c>
      <c r="K804" t="s">
        <v>16321</v>
      </c>
      <c r="L804" s="9">
        <f>_xlfn.XLOOKUP(tblTransactions[[#This Row],[ProductID]],tblProducts[ProductID],tblProducts[UnitPrice])</f>
        <v>2008.33</v>
      </c>
      <c r="M804" s="9">
        <f>tblTransactions[[#This Row],[Quantity]]*tblTransactions[[#This Row],[UnitPrice]]</f>
        <v>6024.99</v>
      </c>
      <c r="N804" s="9">
        <f>tblTransactions[[#This Row],[GrossSales]]*tblTransactions[[#This Row],[Discount]]</f>
        <v>0</v>
      </c>
      <c r="O804" s="9">
        <f>tblTransactions[[#This Row],[GrossSales]]-tblTransactions[[#This Row],[DiscountAmount]]</f>
        <v>6024.99</v>
      </c>
      <c r="P804" s="9">
        <f>_xlfn.XLOOKUP(tblTransactions[[#This Row],[ProductID]],tblProducts[ProductID],tblProducts[UnitCost])</f>
        <v>1688.91</v>
      </c>
      <c r="Q804" s="9">
        <f>tblTransactions[[#This Row],[Quantity]]*tblTransactions[[#This Row],[UnitCost]]</f>
        <v>5066.7300000000005</v>
      </c>
      <c r="R804" s="9">
        <f>tblTransactions[[#This Row],[NetRevenue]]-tblTransactions[[#This Row],[TotalCost]]</f>
        <v>958.25999999999931</v>
      </c>
      <c r="S804" t="str">
        <f>_xlfn.XLOOKUP(tblTransactions[[#This Row],[ProductID]],tblProducts[ProductID],tblProducts[Category])</f>
        <v>Clothing</v>
      </c>
    </row>
    <row r="805" spans="1:19">
      <c r="A805" t="s">
        <v>17122</v>
      </c>
      <c r="B805" s="1">
        <v>45808</v>
      </c>
      <c r="C805" t="s">
        <v>6877</v>
      </c>
      <c r="D805" t="str">
        <f>_xlfn.XLOOKUP(tblTransactions[[#This Row],[CustomerID]],tblCustomers[CustomerID],tblCustomers[CustomerName])</f>
        <v>Vamakshi Naik</v>
      </c>
      <c r="E805" t="s">
        <v>16238</v>
      </c>
      <c r="F805" t="str">
        <f>_xlfn.XLOOKUP(tblTransactions[[#This Row],[ProductID]],tblProducts[ProductID],tblProducts[ProductName])</f>
        <v>Razor A1</v>
      </c>
      <c r="G805" t="s">
        <v>16277</v>
      </c>
      <c r="H805" t="str">
        <f>_xlfn.XLOOKUP(tblTransactions[[#This Row],[StoreID]],tblStores[StoreID],tblStores[Region])</f>
        <v>West</v>
      </c>
      <c r="I805">
        <v>4</v>
      </c>
      <c r="J805">
        <v>0</v>
      </c>
      <c r="K805" t="s">
        <v>16317</v>
      </c>
      <c r="L805" s="9">
        <f>_xlfn.XLOOKUP(tblTransactions[[#This Row],[ProductID]],tblProducts[ProductID],tblProducts[UnitPrice])</f>
        <v>1037.07</v>
      </c>
      <c r="M805" s="9">
        <f>tblTransactions[[#This Row],[Quantity]]*tblTransactions[[#This Row],[UnitPrice]]</f>
        <v>4148.28</v>
      </c>
      <c r="N805" s="9">
        <f>tblTransactions[[#This Row],[GrossSales]]*tblTransactions[[#This Row],[Discount]]</f>
        <v>0</v>
      </c>
      <c r="O805" s="9">
        <f>tblTransactions[[#This Row],[GrossSales]]-tblTransactions[[#This Row],[DiscountAmount]]</f>
        <v>4148.28</v>
      </c>
      <c r="P805" s="9">
        <f>_xlfn.XLOOKUP(tblTransactions[[#This Row],[ProductID]],tblProducts[ProductID],tblProducts[UnitCost])</f>
        <v>720.16</v>
      </c>
      <c r="Q805" s="9">
        <f>tblTransactions[[#This Row],[Quantity]]*tblTransactions[[#This Row],[UnitCost]]</f>
        <v>2880.64</v>
      </c>
      <c r="R805" s="9">
        <f>tblTransactions[[#This Row],[NetRevenue]]-tblTransactions[[#This Row],[TotalCost]]</f>
        <v>1267.6399999999999</v>
      </c>
      <c r="S805" t="str">
        <f>_xlfn.XLOOKUP(tblTransactions[[#This Row],[ProductID]],tblProducts[ProductID],tblProducts[Category])</f>
        <v>Personal Care</v>
      </c>
    </row>
    <row r="806" spans="1:19">
      <c r="A806" t="s">
        <v>17123</v>
      </c>
      <c r="B806" s="1">
        <v>45808</v>
      </c>
      <c r="C806" t="s">
        <v>11763</v>
      </c>
      <c r="D806" t="str">
        <f>_xlfn.XLOOKUP(tblTransactions[[#This Row],[CustomerID]],tblCustomers[CustomerID],tblCustomers[CustomerName])</f>
        <v>Nikita Sur</v>
      </c>
      <c r="E806" t="s">
        <v>16013</v>
      </c>
      <c r="F806" t="str">
        <f>_xlfn.XLOOKUP(tblTransactions[[#This Row],[ProductID]],tblProducts[ProductID],tblProducts[ProductName])</f>
        <v>Electric Kettle B2</v>
      </c>
      <c r="G806" t="s">
        <v>16262</v>
      </c>
      <c r="H806" t="str">
        <f>_xlfn.XLOOKUP(tblTransactions[[#This Row],[StoreID]],tblStores[StoreID],tblStores[Region])</f>
        <v>North</v>
      </c>
      <c r="I806">
        <v>1</v>
      </c>
      <c r="J806">
        <v>0</v>
      </c>
      <c r="K806" t="s">
        <v>16319</v>
      </c>
      <c r="L806" s="9">
        <f>_xlfn.XLOOKUP(tblTransactions[[#This Row],[ProductID]],tblProducts[ProductID],tblProducts[UnitPrice])</f>
        <v>10664.54</v>
      </c>
      <c r="M806" s="9">
        <f>tblTransactions[[#This Row],[Quantity]]*tblTransactions[[#This Row],[UnitPrice]]</f>
        <v>10664.54</v>
      </c>
      <c r="N806" s="9">
        <f>tblTransactions[[#This Row],[GrossSales]]*tblTransactions[[#This Row],[Discount]]</f>
        <v>0</v>
      </c>
      <c r="O806" s="9">
        <f>tblTransactions[[#This Row],[GrossSales]]-tblTransactions[[#This Row],[DiscountAmount]]</f>
        <v>10664.54</v>
      </c>
      <c r="P806" s="9">
        <f>_xlfn.XLOOKUP(tblTransactions[[#This Row],[ProductID]],tblProducts[ProductID],tblProducts[UnitCost])</f>
        <v>8430.75</v>
      </c>
      <c r="Q806" s="9">
        <f>tblTransactions[[#This Row],[Quantity]]*tblTransactions[[#This Row],[UnitCost]]</f>
        <v>8430.75</v>
      </c>
      <c r="R806" s="9">
        <f>tblTransactions[[#This Row],[NetRevenue]]-tblTransactions[[#This Row],[TotalCost]]</f>
        <v>2233.7900000000009</v>
      </c>
      <c r="S806" t="str">
        <f>_xlfn.XLOOKUP(tblTransactions[[#This Row],[ProductID]],tblProducts[ProductID],tblProducts[Category])</f>
        <v>Home &amp; Kitchen</v>
      </c>
    </row>
    <row r="807" spans="1:19">
      <c r="A807" t="s">
        <v>17124</v>
      </c>
      <c r="B807" s="1">
        <v>45809</v>
      </c>
      <c r="C807" t="s">
        <v>7792</v>
      </c>
      <c r="D807" t="str">
        <f>_xlfn.XLOOKUP(tblTransactions[[#This Row],[CustomerID]],tblCustomers[CustomerID],tblCustomers[CustomerName])</f>
        <v>Kritika Dasgupta</v>
      </c>
      <c r="E807" t="s">
        <v>16032</v>
      </c>
      <c r="F807" t="str">
        <f>_xlfn.XLOOKUP(tblTransactions[[#This Row],[ProductID]],tblProducts[ProductID],tblProducts[ProductName])</f>
        <v>Study Table D4</v>
      </c>
      <c r="G807" t="s">
        <v>16279</v>
      </c>
      <c r="H807" t="str">
        <f>_xlfn.XLOOKUP(tblTransactions[[#This Row],[StoreID]],tblStores[StoreID],tblStores[Region])</f>
        <v>South</v>
      </c>
      <c r="I807">
        <v>2</v>
      </c>
      <c r="J807">
        <v>0.1</v>
      </c>
      <c r="K807" t="s">
        <v>16317</v>
      </c>
      <c r="L807" s="9">
        <f>_xlfn.XLOOKUP(tblTransactions[[#This Row],[ProductID]],tblProducts[ProductID],tblProducts[UnitPrice])</f>
        <v>643.36</v>
      </c>
      <c r="M807" s="9">
        <f>tblTransactions[[#This Row],[Quantity]]*tblTransactions[[#This Row],[UnitPrice]]</f>
        <v>1286.72</v>
      </c>
      <c r="N807" s="9">
        <f>tblTransactions[[#This Row],[GrossSales]]*tblTransactions[[#This Row],[Discount]]</f>
        <v>128.672</v>
      </c>
      <c r="O807" s="9">
        <f>tblTransactions[[#This Row],[GrossSales]]-tblTransactions[[#This Row],[DiscountAmount]]</f>
        <v>1158.048</v>
      </c>
      <c r="P807" s="9">
        <f>_xlfn.XLOOKUP(tblTransactions[[#This Row],[ProductID]],tblProducts[ProductID],tblProducts[UnitCost])</f>
        <v>460.5</v>
      </c>
      <c r="Q807" s="9">
        <f>tblTransactions[[#This Row],[Quantity]]*tblTransactions[[#This Row],[UnitCost]]</f>
        <v>921</v>
      </c>
      <c r="R807" s="9">
        <f>tblTransactions[[#This Row],[NetRevenue]]-tblTransactions[[#This Row],[TotalCost]]</f>
        <v>237.048</v>
      </c>
      <c r="S807" t="str">
        <f>_xlfn.XLOOKUP(tblTransactions[[#This Row],[ProductID]],tblProducts[ProductID],tblProducts[Category])</f>
        <v>Home &amp; Kitchen</v>
      </c>
    </row>
    <row r="808" spans="1:19">
      <c r="A808" t="s">
        <v>17125</v>
      </c>
      <c r="B808" s="1">
        <v>45810</v>
      </c>
      <c r="C808" t="s">
        <v>12579</v>
      </c>
      <c r="D808" t="str">
        <f>_xlfn.XLOOKUP(tblTransactions[[#This Row],[CustomerID]],tblCustomers[CustomerID],tblCustomers[CustomerName])</f>
        <v>Anay Sahota</v>
      </c>
      <c r="E808" t="s">
        <v>16112</v>
      </c>
      <c r="F808" t="str">
        <f>_xlfn.XLOOKUP(tblTransactions[[#This Row],[ProductID]],tblProducts[ProductID],tblProducts[ProductName])</f>
        <v>Kids T-Shirt A6</v>
      </c>
      <c r="G808" t="s">
        <v>16273</v>
      </c>
      <c r="H808" t="str">
        <f>_xlfn.XLOOKUP(tblTransactions[[#This Row],[StoreID]],tblStores[StoreID],tblStores[Region])</f>
        <v>West</v>
      </c>
      <c r="I808">
        <v>1</v>
      </c>
      <c r="J808">
        <v>0.05</v>
      </c>
      <c r="K808" t="s">
        <v>16317</v>
      </c>
      <c r="L808" s="9">
        <f>_xlfn.XLOOKUP(tblTransactions[[#This Row],[ProductID]],tblProducts[ProductID],tblProducts[UnitPrice])</f>
        <v>2008.33</v>
      </c>
      <c r="M808" s="9">
        <f>tblTransactions[[#This Row],[Quantity]]*tblTransactions[[#This Row],[UnitPrice]]</f>
        <v>2008.33</v>
      </c>
      <c r="N808" s="9">
        <f>tblTransactions[[#This Row],[GrossSales]]*tblTransactions[[#This Row],[Discount]]</f>
        <v>100.4165</v>
      </c>
      <c r="O808" s="9">
        <f>tblTransactions[[#This Row],[GrossSales]]-tblTransactions[[#This Row],[DiscountAmount]]</f>
        <v>1907.9134999999999</v>
      </c>
      <c r="P808" s="9">
        <f>_xlfn.XLOOKUP(tblTransactions[[#This Row],[ProductID]],tblProducts[ProductID],tblProducts[UnitCost])</f>
        <v>1688.91</v>
      </c>
      <c r="Q808" s="9">
        <f>tblTransactions[[#This Row],[Quantity]]*tblTransactions[[#This Row],[UnitCost]]</f>
        <v>1688.91</v>
      </c>
      <c r="R808" s="9">
        <f>tblTransactions[[#This Row],[NetRevenue]]-tblTransactions[[#This Row],[TotalCost]]</f>
        <v>219.0034999999998</v>
      </c>
      <c r="S808" t="str">
        <f>_xlfn.XLOOKUP(tblTransactions[[#This Row],[ProductID]],tblProducts[ProductID],tblProducts[Category])</f>
        <v>Clothing</v>
      </c>
    </row>
    <row r="809" spans="1:19">
      <c r="A809" t="s">
        <v>17126</v>
      </c>
      <c r="B809" s="1">
        <v>45810</v>
      </c>
      <c r="C809" t="s">
        <v>13681</v>
      </c>
      <c r="D809" t="str">
        <f>_xlfn.XLOOKUP(tblTransactions[[#This Row],[CustomerID]],tblCustomers[CustomerID],tblCustomers[CustomerName])</f>
        <v>Laksh Mani</v>
      </c>
      <c r="E809" t="s">
        <v>16165</v>
      </c>
      <c r="F809" t="str">
        <f>_xlfn.XLOOKUP(tblTransactions[[#This Row],[ProductID]],tblProducts[ProductID],tblProducts[ProductName])</f>
        <v>Juice B2</v>
      </c>
      <c r="G809" t="s">
        <v>16287</v>
      </c>
      <c r="H809" t="str">
        <f>_xlfn.XLOOKUP(tblTransactions[[#This Row],[StoreID]],tblStores[StoreID],tblStores[Region])</f>
        <v>North</v>
      </c>
      <c r="I809">
        <v>3</v>
      </c>
      <c r="J809">
        <v>0</v>
      </c>
      <c r="K809" t="s">
        <v>16325</v>
      </c>
      <c r="L809" s="9">
        <f>_xlfn.XLOOKUP(tblTransactions[[#This Row],[ProductID]],tblProducts[ProductID],tblProducts[UnitPrice])</f>
        <v>1053.9000000000001</v>
      </c>
      <c r="M809" s="9">
        <f>tblTransactions[[#This Row],[Quantity]]*tblTransactions[[#This Row],[UnitPrice]]</f>
        <v>3161.7000000000003</v>
      </c>
      <c r="N809" s="9">
        <f>tblTransactions[[#This Row],[GrossSales]]*tblTransactions[[#This Row],[Discount]]</f>
        <v>0</v>
      </c>
      <c r="O809" s="9">
        <f>tblTransactions[[#This Row],[GrossSales]]-tblTransactions[[#This Row],[DiscountAmount]]</f>
        <v>3161.7000000000003</v>
      </c>
      <c r="P809" s="9">
        <f>_xlfn.XLOOKUP(tblTransactions[[#This Row],[ProductID]],tblProducts[ProductID],tblProducts[UnitCost])</f>
        <v>710.59</v>
      </c>
      <c r="Q809" s="9">
        <f>tblTransactions[[#This Row],[Quantity]]*tblTransactions[[#This Row],[UnitCost]]</f>
        <v>2131.77</v>
      </c>
      <c r="R809" s="9">
        <f>tblTransactions[[#This Row],[NetRevenue]]-tblTransactions[[#This Row],[TotalCost]]</f>
        <v>1029.9300000000003</v>
      </c>
      <c r="S809" t="str">
        <f>_xlfn.XLOOKUP(tblTransactions[[#This Row],[ProductID]],tblProducts[ProductID],tblProducts[Category])</f>
        <v>Grocery</v>
      </c>
    </row>
    <row r="810" spans="1:19">
      <c r="A810" t="s">
        <v>17127</v>
      </c>
      <c r="B810" s="1">
        <v>45811</v>
      </c>
      <c r="C810" t="s">
        <v>6309</v>
      </c>
      <c r="D810" t="str">
        <f>_xlfn.XLOOKUP(tblTransactions[[#This Row],[CustomerID]],tblCustomers[CustomerID],tblCustomers[CustomerName])</f>
        <v>Madhav Kala</v>
      </c>
      <c r="E810" t="s">
        <v>16171</v>
      </c>
      <c r="F810" t="str">
        <f>_xlfn.XLOOKUP(tblTransactions[[#This Row],[ProductID]],tblProducts[ProductID],tblProducts[ProductName])</f>
        <v>Juice E5</v>
      </c>
      <c r="G810" t="s">
        <v>16285</v>
      </c>
      <c r="H810" t="str">
        <f>_xlfn.XLOOKUP(tblTransactions[[#This Row],[StoreID]],tblStores[StoreID],tblStores[Region])</f>
        <v>West</v>
      </c>
      <c r="I810">
        <v>1</v>
      </c>
      <c r="J810">
        <v>0</v>
      </c>
      <c r="K810" t="s">
        <v>16317</v>
      </c>
      <c r="L810" s="9">
        <f>_xlfn.XLOOKUP(tblTransactions[[#This Row],[ProductID]],tblProducts[ProductID],tblProducts[UnitPrice])</f>
        <v>100.32</v>
      </c>
      <c r="M810" s="9">
        <f>tblTransactions[[#This Row],[Quantity]]*tblTransactions[[#This Row],[UnitPrice]]</f>
        <v>100.32</v>
      </c>
      <c r="N810" s="9">
        <f>tblTransactions[[#This Row],[GrossSales]]*tblTransactions[[#This Row],[Discount]]</f>
        <v>0</v>
      </c>
      <c r="O810" s="9">
        <f>tblTransactions[[#This Row],[GrossSales]]-tblTransactions[[#This Row],[DiscountAmount]]</f>
        <v>100.32</v>
      </c>
      <c r="P810" s="9">
        <f>_xlfn.XLOOKUP(tblTransactions[[#This Row],[ProductID]],tblProducts[ProductID],tblProducts[UnitCost])</f>
        <v>66.61</v>
      </c>
      <c r="Q810" s="9">
        <f>tblTransactions[[#This Row],[Quantity]]*tblTransactions[[#This Row],[UnitCost]]</f>
        <v>66.61</v>
      </c>
      <c r="R810" s="9">
        <f>tblTransactions[[#This Row],[NetRevenue]]-tblTransactions[[#This Row],[TotalCost]]</f>
        <v>33.709999999999994</v>
      </c>
      <c r="S810" t="str">
        <f>_xlfn.XLOOKUP(tblTransactions[[#This Row],[ProductID]],tblProducts[ProductID],tblProducts[Category])</f>
        <v>Grocery</v>
      </c>
    </row>
    <row r="811" spans="1:19">
      <c r="A811" t="s">
        <v>17128</v>
      </c>
      <c r="B811" s="1">
        <v>45812</v>
      </c>
      <c r="C811" t="s">
        <v>3946</v>
      </c>
      <c r="D811" t="str">
        <f>_xlfn.XLOOKUP(tblTransactions[[#This Row],[CustomerID]],tblCustomers[CustomerID],tblCustomers[CustomerName])</f>
        <v>Tarak Solanki</v>
      </c>
      <c r="E811" t="s">
        <v>16127</v>
      </c>
      <c r="F811" t="str">
        <f>_xlfn.XLOOKUP(tblTransactions[[#This Row],[ProductID]],tblProducts[ProductID],tblProducts[ProductName])</f>
        <v>Sports Shoes A6</v>
      </c>
      <c r="G811" t="s">
        <v>16269</v>
      </c>
      <c r="H811" t="str">
        <f>_xlfn.XLOOKUP(tblTransactions[[#This Row],[StoreID]],tblStores[StoreID],tblStores[Region])</f>
        <v>North</v>
      </c>
      <c r="I811">
        <v>1</v>
      </c>
      <c r="J811">
        <v>0.05</v>
      </c>
      <c r="K811" t="s">
        <v>16315</v>
      </c>
      <c r="L811" s="9">
        <f>_xlfn.XLOOKUP(tblTransactions[[#This Row],[ProductID]],tblProducts[ProductID],tblProducts[UnitPrice])</f>
        <v>4565.2299999999996</v>
      </c>
      <c r="M811" s="9">
        <f>tblTransactions[[#This Row],[Quantity]]*tblTransactions[[#This Row],[UnitPrice]]</f>
        <v>4565.2299999999996</v>
      </c>
      <c r="N811" s="9">
        <f>tblTransactions[[#This Row],[GrossSales]]*tblTransactions[[#This Row],[Discount]]</f>
        <v>228.26149999999998</v>
      </c>
      <c r="O811" s="9">
        <f>tblTransactions[[#This Row],[GrossSales]]-tblTransactions[[#This Row],[DiscountAmount]]</f>
        <v>4336.9684999999999</v>
      </c>
      <c r="P811" s="9">
        <f>_xlfn.XLOOKUP(tblTransactions[[#This Row],[ProductID]],tblProducts[ProductID],tblProducts[UnitCost])</f>
        <v>3658.34</v>
      </c>
      <c r="Q811" s="9">
        <f>tblTransactions[[#This Row],[Quantity]]*tblTransactions[[#This Row],[UnitCost]]</f>
        <v>3658.34</v>
      </c>
      <c r="R811" s="9">
        <f>tblTransactions[[#This Row],[NetRevenue]]-tblTransactions[[#This Row],[TotalCost]]</f>
        <v>678.6284999999998</v>
      </c>
      <c r="S811" t="str">
        <f>_xlfn.XLOOKUP(tblTransactions[[#This Row],[ProductID]],tblProducts[ProductID],tblProducts[Category])</f>
        <v>Clothing</v>
      </c>
    </row>
    <row r="812" spans="1:19">
      <c r="A812" t="s">
        <v>17129</v>
      </c>
      <c r="B812" s="1">
        <v>45812</v>
      </c>
      <c r="C812" t="s">
        <v>274</v>
      </c>
      <c r="D812" t="str">
        <f>_xlfn.XLOOKUP(tblTransactions[[#This Row],[CustomerID]],tblCustomers[CustomerID],tblCustomers[CustomerName])</f>
        <v>Gaurangi Sabharwal</v>
      </c>
      <c r="E812" t="s">
        <v>15971</v>
      </c>
      <c r="F812" t="str">
        <f>_xlfn.XLOOKUP(tblTransactions[[#This Row],[ProductID]],tblProducts[ProductID],tblProducts[ProductName])</f>
        <v>Ultrabook E5</v>
      </c>
      <c r="G812" t="s">
        <v>16303</v>
      </c>
      <c r="H812" t="str">
        <f>_xlfn.XLOOKUP(tblTransactions[[#This Row],[StoreID]],tblStores[StoreID],tblStores[Region])</f>
        <v>West</v>
      </c>
      <c r="I812">
        <v>3</v>
      </c>
      <c r="J812">
        <v>0.05</v>
      </c>
      <c r="K812" t="s">
        <v>16317</v>
      </c>
      <c r="L812" s="9">
        <f>_xlfn.XLOOKUP(tblTransactions[[#This Row],[ProductID]],tblProducts[ProductID],tblProducts[UnitPrice])</f>
        <v>48777.16</v>
      </c>
      <c r="M812" s="9">
        <f>tblTransactions[[#This Row],[Quantity]]*tblTransactions[[#This Row],[UnitPrice]]</f>
        <v>146331.48000000001</v>
      </c>
      <c r="N812" s="9">
        <f>tblTransactions[[#This Row],[GrossSales]]*tblTransactions[[#This Row],[Discount]]</f>
        <v>7316.5740000000005</v>
      </c>
      <c r="O812" s="9">
        <f>tblTransactions[[#This Row],[GrossSales]]-tblTransactions[[#This Row],[DiscountAmount]]</f>
        <v>139014.90600000002</v>
      </c>
      <c r="P812" s="9">
        <f>_xlfn.XLOOKUP(tblTransactions[[#This Row],[ProductID]],tblProducts[ProductID],tblProducts[UnitCost])</f>
        <v>29771.48</v>
      </c>
      <c r="Q812" s="9">
        <f>tblTransactions[[#This Row],[Quantity]]*tblTransactions[[#This Row],[UnitCost]]</f>
        <v>89314.44</v>
      </c>
      <c r="R812" s="9">
        <f>tblTransactions[[#This Row],[NetRevenue]]-tblTransactions[[#This Row],[TotalCost]]</f>
        <v>49700.466000000015</v>
      </c>
      <c r="S812" t="str">
        <f>_xlfn.XLOOKUP(tblTransactions[[#This Row],[ProductID]],tblProducts[ProductID],tblProducts[Category])</f>
        <v>Electronics</v>
      </c>
    </row>
    <row r="813" spans="1:19">
      <c r="A813" t="s">
        <v>17130</v>
      </c>
      <c r="B813" s="1">
        <v>45814</v>
      </c>
      <c r="C813" t="s">
        <v>12285</v>
      </c>
      <c r="D813" t="str">
        <f>_xlfn.XLOOKUP(tblTransactions[[#This Row],[CustomerID]],tblCustomers[CustomerID],tblCustomers[CustomerName])</f>
        <v>Chameli Sem</v>
      </c>
      <c r="E813" t="s">
        <v>16078</v>
      </c>
      <c r="F813" t="str">
        <f>_xlfn.XLOOKUP(tblTransactions[[#This Row],[ProductID]],tblProducts[ProductID],tblProducts[ProductName])</f>
        <v>Men's Jacket D4</v>
      </c>
      <c r="G813" t="s">
        <v>16295</v>
      </c>
      <c r="H813" t="str">
        <f>_xlfn.XLOOKUP(tblTransactions[[#This Row],[StoreID]],tblStores[StoreID],tblStores[Region])</f>
        <v>South</v>
      </c>
      <c r="I813">
        <v>2</v>
      </c>
      <c r="J813">
        <v>0</v>
      </c>
      <c r="K813" t="s">
        <v>16321</v>
      </c>
      <c r="L813" s="9">
        <f>_xlfn.XLOOKUP(tblTransactions[[#This Row],[ProductID]],tblProducts[ProductID],tblProducts[UnitPrice])</f>
        <v>4654.63</v>
      </c>
      <c r="M813" s="9">
        <f>tblTransactions[[#This Row],[Quantity]]*tblTransactions[[#This Row],[UnitPrice]]</f>
        <v>9309.26</v>
      </c>
      <c r="N813" s="9">
        <f>tblTransactions[[#This Row],[GrossSales]]*tblTransactions[[#This Row],[Discount]]</f>
        <v>0</v>
      </c>
      <c r="O813" s="9">
        <f>tblTransactions[[#This Row],[GrossSales]]-tblTransactions[[#This Row],[DiscountAmount]]</f>
        <v>9309.26</v>
      </c>
      <c r="P813" s="9">
        <f>_xlfn.XLOOKUP(tblTransactions[[#This Row],[ProductID]],tblProducts[ProductID],tblProducts[UnitCost])</f>
        <v>2675.18</v>
      </c>
      <c r="Q813" s="9">
        <f>tblTransactions[[#This Row],[Quantity]]*tblTransactions[[#This Row],[UnitCost]]</f>
        <v>5350.36</v>
      </c>
      <c r="R813" s="9">
        <f>tblTransactions[[#This Row],[NetRevenue]]-tblTransactions[[#This Row],[TotalCost]]</f>
        <v>3958.9000000000005</v>
      </c>
      <c r="S813" t="str">
        <f>_xlfn.XLOOKUP(tblTransactions[[#This Row],[ProductID]],tblProducts[ProductID],tblProducts[Category])</f>
        <v>Clothing</v>
      </c>
    </row>
    <row r="814" spans="1:19">
      <c r="A814" t="s">
        <v>17131</v>
      </c>
      <c r="B814" s="1">
        <v>45815</v>
      </c>
      <c r="C814" t="s">
        <v>7298</v>
      </c>
      <c r="D814" t="str">
        <f>_xlfn.XLOOKUP(tblTransactions[[#This Row],[CustomerID]],tblCustomers[CustomerID],tblCustomers[CustomerName])</f>
        <v>Ojas Wason</v>
      </c>
      <c r="E814" t="s">
        <v>15979</v>
      </c>
      <c r="F814" t="str">
        <f>_xlfn.XLOOKUP(tblTransactions[[#This Row],[ProductID]],tblProducts[ProductID],tblProducts[ProductName])</f>
        <v>Soundbar A1</v>
      </c>
      <c r="G814" t="s">
        <v>16275</v>
      </c>
      <c r="H814" t="str">
        <f>_xlfn.XLOOKUP(tblTransactions[[#This Row],[StoreID]],tblStores[StoreID],tblStores[Region])</f>
        <v>South</v>
      </c>
      <c r="I814">
        <v>1</v>
      </c>
      <c r="J814">
        <v>0</v>
      </c>
      <c r="K814" t="s">
        <v>16319</v>
      </c>
      <c r="L814" s="9">
        <f>_xlfn.XLOOKUP(tblTransactions[[#This Row],[ProductID]],tblProducts[ProductID],tblProducts[UnitPrice])</f>
        <v>45527.55</v>
      </c>
      <c r="M814" s="9">
        <f>tblTransactions[[#This Row],[Quantity]]*tblTransactions[[#This Row],[UnitPrice]]</f>
        <v>45527.55</v>
      </c>
      <c r="N814" s="9">
        <f>tblTransactions[[#This Row],[GrossSales]]*tblTransactions[[#This Row],[Discount]]</f>
        <v>0</v>
      </c>
      <c r="O814" s="9">
        <f>tblTransactions[[#This Row],[GrossSales]]-tblTransactions[[#This Row],[DiscountAmount]]</f>
        <v>45527.55</v>
      </c>
      <c r="P814" s="9">
        <f>_xlfn.XLOOKUP(tblTransactions[[#This Row],[ProductID]],tblProducts[ProductID],tblProducts[UnitCost])</f>
        <v>35089.57</v>
      </c>
      <c r="Q814" s="9">
        <f>tblTransactions[[#This Row],[Quantity]]*tblTransactions[[#This Row],[UnitCost]]</f>
        <v>35089.57</v>
      </c>
      <c r="R814" s="9">
        <f>tblTransactions[[#This Row],[NetRevenue]]-tblTransactions[[#This Row],[TotalCost]]</f>
        <v>10437.980000000003</v>
      </c>
      <c r="S814" t="str">
        <f>_xlfn.XLOOKUP(tblTransactions[[#This Row],[ProductID]],tblProducts[ProductID],tblProducts[Category])</f>
        <v>Electronics</v>
      </c>
    </row>
    <row r="815" spans="1:19">
      <c r="A815" t="s">
        <v>17132</v>
      </c>
      <c r="B815" s="1">
        <v>45815</v>
      </c>
      <c r="C815" t="s">
        <v>10726</v>
      </c>
      <c r="D815" t="str">
        <f>_xlfn.XLOOKUP(tblTransactions[[#This Row],[CustomerID]],tblCustomers[CustomerID],tblCustomers[CustomerName])</f>
        <v>Edhitha Mani</v>
      </c>
      <c r="E815" t="s">
        <v>16023</v>
      </c>
      <c r="F815" t="str">
        <f>_xlfn.XLOOKUP(tblTransactions[[#This Row],[ProductID]],tblProducts[ProductID],tblProducts[ProductName])</f>
        <v>Microwave Oven B7</v>
      </c>
      <c r="G815" t="s">
        <v>16279</v>
      </c>
      <c r="H815" t="str">
        <f>_xlfn.XLOOKUP(tblTransactions[[#This Row],[StoreID]],tblStores[StoreID],tblStores[Region])</f>
        <v>South</v>
      </c>
      <c r="I815">
        <v>2</v>
      </c>
      <c r="J815">
        <v>0.1</v>
      </c>
      <c r="K815" t="s">
        <v>16317</v>
      </c>
      <c r="L815" s="9">
        <f>_xlfn.XLOOKUP(tblTransactions[[#This Row],[ProductID]],tblProducts[ProductID],tblProducts[UnitPrice])</f>
        <v>14353.88</v>
      </c>
      <c r="M815" s="9">
        <f>tblTransactions[[#This Row],[Quantity]]*tblTransactions[[#This Row],[UnitPrice]]</f>
        <v>28707.759999999998</v>
      </c>
      <c r="N815" s="9">
        <f>tblTransactions[[#This Row],[GrossSales]]*tblTransactions[[#This Row],[Discount]]</f>
        <v>2870.7759999999998</v>
      </c>
      <c r="O815" s="9">
        <f>tblTransactions[[#This Row],[GrossSales]]-tblTransactions[[#This Row],[DiscountAmount]]</f>
        <v>25836.983999999997</v>
      </c>
      <c r="P815" s="9">
        <f>_xlfn.XLOOKUP(tblTransactions[[#This Row],[ProductID]],tblProducts[ProductID],tblProducts[UnitCost])</f>
        <v>8791.7900000000009</v>
      </c>
      <c r="Q815" s="9">
        <f>tblTransactions[[#This Row],[Quantity]]*tblTransactions[[#This Row],[UnitCost]]</f>
        <v>17583.580000000002</v>
      </c>
      <c r="R815" s="9">
        <f>tblTransactions[[#This Row],[NetRevenue]]-tblTransactions[[#This Row],[TotalCost]]</f>
        <v>8253.403999999995</v>
      </c>
      <c r="S815" t="str">
        <f>_xlfn.XLOOKUP(tblTransactions[[#This Row],[ProductID]],tblProducts[ProductID],tblProducts[Category])</f>
        <v>Home &amp; Kitchen</v>
      </c>
    </row>
    <row r="816" spans="1:19">
      <c r="A816" t="s">
        <v>17133</v>
      </c>
      <c r="B816" s="1">
        <v>45817</v>
      </c>
      <c r="C816" t="s">
        <v>2767</v>
      </c>
      <c r="D816" t="str">
        <f>_xlfn.XLOOKUP(tblTransactions[[#This Row],[CustomerID]],tblCustomers[CustomerID],tblCustomers[CustomerName])</f>
        <v>Samaksh Virk</v>
      </c>
      <c r="E816" t="s">
        <v>16023</v>
      </c>
      <c r="F816" t="str">
        <f>_xlfn.XLOOKUP(tblTransactions[[#This Row],[ProductID]],tblProducts[ProductID],tblProducts[ProductName])</f>
        <v>Microwave Oven B7</v>
      </c>
      <c r="G816" t="s">
        <v>16283</v>
      </c>
      <c r="H816" t="str">
        <f>_xlfn.XLOOKUP(tblTransactions[[#This Row],[StoreID]],tblStores[StoreID],tblStores[Region])</f>
        <v>South</v>
      </c>
      <c r="I816">
        <v>1</v>
      </c>
      <c r="J816">
        <v>0.1</v>
      </c>
      <c r="K816" t="s">
        <v>16317</v>
      </c>
      <c r="L816" s="9">
        <f>_xlfn.XLOOKUP(tblTransactions[[#This Row],[ProductID]],tblProducts[ProductID],tblProducts[UnitPrice])</f>
        <v>14353.88</v>
      </c>
      <c r="M816" s="9">
        <f>tblTransactions[[#This Row],[Quantity]]*tblTransactions[[#This Row],[UnitPrice]]</f>
        <v>14353.88</v>
      </c>
      <c r="N816" s="9">
        <f>tblTransactions[[#This Row],[GrossSales]]*tblTransactions[[#This Row],[Discount]]</f>
        <v>1435.3879999999999</v>
      </c>
      <c r="O816" s="9">
        <f>tblTransactions[[#This Row],[GrossSales]]-tblTransactions[[#This Row],[DiscountAmount]]</f>
        <v>12918.491999999998</v>
      </c>
      <c r="P816" s="9">
        <f>_xlfn.XLOOKUP(tblTransactions[[#This Row],[ProductID]],tblProducts[ProductID],tblProducts[UnitCost])</f>
        <v>8791.7900000000009</v>
      </c>
      <c r="Q816" s="9">
        <f>tblTransactions[[#This Row],[Quantity]]*tblTransactions[[#This Row],[UnitCost]]</f>
        <v>8791.7900000000009</v>
      </c>
      <c r="R816" s="9">
        <f>tblTransactions[[#This Row],[NetRevenue]]-tblTransactions[[#This Row],[TotalCost]]</f>
        <v>4126.7019999999975</v>
      </c>
      <c r="S816" t="str">
        <f>_xlfn.XLOOKUP(tblTransactions[[#This Row],[ProductID]],tblProducts[ProductID],tblProducts[Category])</f>
        <v>Home &amp; Kitchen</v>
      </c>
    </row>
    <row r="817" spans="1:19">
      <c r="A817" t="s">
        <v>17134</v>
      </c>
      <c r="B817" s="1">
        <v>45818</v>
      </c>
      <c r="C817" t="s">
        <v>5381</v>
      </c>
      <c r="D817" t="str">
        <f>_xlfn.XLOOKUP(tblTransactions[[#This Row],[CustomerID]],tblCustomers[CustomerID],tblCustomers[CustomerName])</f>
        <v>Charles Agrawal</v>
      </c>
      <c r="E817" t="s">
        <v>16175</v>
      </c>
      <c r="F817" t="str">
        <f>_xlfn.XLOOKUP(tblTransactions[[#This Row],[ProductID]],tblProducts[ProductID],tblProducts[ProductName])</f>
        <v>Soft Drink B7</v>
      </c>
      <c r="G817" t="s">
        <v>16305</v>
      </c>
      <c r="H817" t="str">
        <f>_xlfn.XLOOKUP(tblTransactions[[#This Row],[StoreID]],tblStores[StoreID],tblStores[Region])</f>
        <v>South</v>
      </c>
      <c r="I817">
        <v>2</v>
      </c>
      <c r="J817">
        <v>0.1</v>
      </c>
      <c r="K817" t="s">
        <v>16315</v>
      </c>
      <c r="L817" s="9">
        <f>_xlfn.XLOOKUP(tblTransactions[[#This Row],[ProductID]],tblProducts[ProductID],tblProducts[UnitPrice])</f>
        <v>343.15</v>
      </c>
      <c r="M817" s="9">
        <f>tblTransactions[[#This Row],[Quantity]]*tblTransactions[[#This Row],[UnitPrice]]</f>
        <v>686.3</v>
      </c>
      <c r="N817" s="9">
        <f>tblTransactions[[#This Row],[GrossSales]]*tblTransactions[[#This Row],[Discount]]</f>
        <v>68.63</v>
      </c>
      <c r="O817" s="9">
        <f>tblTransactions[[#This Row],[GrossSales]]-tblTransactions[[#This Row],[DiscountAmount]]</f>
        <v>617.66999999999996</v>
      </c>
      <c r="P817" s="9">
        <f>_xlfn.XLOOKUP(tblTransactions[[#This Row],[ProductID]],tblProducts[ProductID],tblProducts[UnitCost])</f>
        <v>192.59</v>
      </c>
      <c r="Q817" s="9">
        <f>tblTransactions[[#This Row],[Quantity]]*tblTransactions[[#This Row],[UnitCost]]</f>
        <v>385.18</v>
      </c>
      <c r="R817" s="9">
        <f>tblTransactions[[#This Row],[NetRevenue]]-tblTransactions[[#This Row],[TotalCost]]</f>
        <v>232.48999999999995</v>
      </c>
      <c r="S817" t="str">
        <f>_xlfn.XLOOKUP(tblTransactions[[#This Row],[ProductID]],tblProducts[ProductID],tblProducts[Category])</f>
        <v>Grocery</v>
      </c>
    </row>
    <row r="818" spans="1:19">
      <c r="A818" t="s">
        <v>17135</v>
      </c>
      <c r="B818" s="1">
        <v>45819</v>
      </c>
      <c r="C818" t="s">
        <v>10151</v>
      </c>
      <c r="D818" t="str">
        <f>_xlfn.XLOOKUP(tblTransactions[[#This Row],[CustomerID]],tblCustomers[CustomerID],tblCustomers[CustomerName])</f>
        <v>Yachana Basak</v>
      </c>
      <c r="E818" t="s">
        <v>15939</v>
      </c>
      <c r="F818" t="str">
        <f>_xlfn.XLOOKUP(tblTransactions[[#This Row],[ProductID]],tblProducts[ProductID],tblProducts[ProductName])</f>
        <v>Full HD TV A6</v>
      </c>
      <c r="G818" t="s">
        <v>16283</v>
      </c>
      <c r="H818" t="str">
        <f>_xlfn.XLOOKUP(tblTransactions[[#This Row],[StoreID]],tblStores[StoreID],tblStores[Region])</f>
        <v>South</v>
      </c>
      <c r="I818">
        <v>2</v>
      </c>
      <c r="J818">
        <v>0</v>
      </c>
      <c r="K818" t="s">
        <v>16317</v>
      </c>
      <c r="L818" s="9">
        <f>_xlfn.XLOOKUP(tblTransactions[[#This Row],[ProductID]],tblProducts[ProductID],tblProducts[UnitPrice])</f>
        <v>39996.370000000003</v>
      </c>
      <c r="M818" s="9">
        <f>tblTransactions[[#This Row],[Quantity]]*tblTransactions[[#This Row],[UnitPrice]]</f>
        <v>79992.740000000005</v>
      </c>
      <c r="N818" s="9">
        <f>tblTransactions[[#This Row],[GrossSales]]*tblTransactions[[#This Row],[Discount]]</f>
        <v>0</v>
      </c>
      <c r="O818" s="9">
        <f>tblTransactions[[#This Row],[GrossSales]]-tblTransactions[[#This Row],[DiscountAmount]]</f>
        <v>79992.740000000005</v>
      </c>
      <c r="P818" s="9">
        <f>_xlfn.XLOOKUP(tblTransactions[[#This Row],[ProductID]],tblProducts[ProductID],tblProducts[UnitCost])</f>
        <v>26192.21</v>
      </c>
      <c r="Q818" s="9">
        <f>tblTransactions[[#This Row],[Quantity]]*tblTransactions[[#This Row],[UnitCost]]</f>
        <v>52384.42</v>
      </c>
      <c r="R818" s="9">
        <f>tblTransactions[[#This Row],[NetRevenue]]-tblTransactions[[#This Row],[TotalCost]]</f>
        <v>27608.320000000007</v>
      </c>
      <c r="S818" t="str">
        <f>_xlfn.XLOOKUP(tblTransactions[[#This Row],[ProductID]],tblProducts[ProductID],tblProducts[Category])</f>
        <v>Electronics</v>
      </c>
    </row>
    <row r="819" spans="1:19">
      <c r="A819" t="s">
        <v>17136</v>
      </c>
      <c r="B819" s="1">
        <v>45820</v>
      </c>
      <c r="C819" t="s">
        <v>11986</v>
      </c>
      <c r="D819" t="str">
        <f>_xlfn.XLOOKUP(tblTransactions[[#This Row],[CustomerID]],tblCustomers[CustomerID],tblCustomers[CustomerName])</f>
        <v>Thomas Iyer</v>
      </c>
      <c r="E819" t="s">
        <v>16045</v>
      </c>
      <c r="F819" t="str">
        <f>_xlfn.XLOOKUP(tblTransactions[[#This Row],[ProductID]],tblProducts[ProductID],tblProducts[ProductName])</f>
        <v>Non-stick Pan C3</v>
      </c>
      <c r="G819" t="s">
        <v>16305</v>
      </c>
      <c r="H819" t="str">
        <f>_xlfn.XLOOKUP(tblTransactions[[#This Row],[StoreID]],tblStores[StoreID],tblStores[Region])</f>
        <v>South</v>
      </c>
      <c r="I819">
        <v>2</v>
      </c>
      <c r="J819">
        <v>0.05</v>
      </c>
      <c r="K819" t="s">
        <v>16321</v>
      </c>
      <c r="L819" s="9">
        <f>_xlfn.XLOOKUP(tblTransactions[[#This Row],[ProductID]],tblProducts[ProductID],tblProducts[UnitPrice])</f>
        <v>26326.12</v>
      </c>
      <c r="M819" s="9">
        <f>tblTransactions[[#This Row],[Quantity]]*tblTransactions[[#This Row],[UnitPrice]]</f>
        <v>52652.24</v>
      </c>
      <c r="N819" s="9">
        <f>tblTransactions[[#This Row],[GrossSales]]*tblTransactions[[#This Row],[Discount]]</f>
        <v>2632.6120000000001</v>
      </c>
      <c r="O819" s="9">
        <f>tblTransactions[[#This Row],[GrossSales]]-tblTransactions[[#This Row],[DiscountAmount]]</f>
        <v>50019.627999999997</v>
      </c>
      <c r="P819" s="9">
        <f>_xlfn.XLOOKUP(tblTransactions[[#This Row],[ProductID]],tblProducts[ProductID],tblProducts[UnitCost])</f>
        <v>17114.43</v>
      </c>
      <c r="Q819" s="9">
        <f>tblTransactions[[#This Row],[Quantity]]*tblTransactions[[#This Row],[UnitCost]]</f>
        <v>34228.86</v>
      </c>
      <c r="R819" s="9">
        <f>tblTransactions[[#This Row],[NetRevenue]]-tblTransactions[[#This Row],[TotalCost]]</f>
        <v>15790.767999999996</v>
      </c>
      <c r="S819" t="str">
        <f>_xlfn.XLOOKUP(tblTransactions[[#This Row],[ProductID]],tblProducts[ProductID],tblProducts[Category])</f>
        <v>Home &amp; Kitchen</v>
      </c>
    </row>
    <row r="820" spans="1:19">
      <c r="A820" t="s">
        <v>17137</v>
      </c>
      <c r="B820" s="1">
        <v>45821</v>
      </c>
      <c r="C820" t="s">
        <v>5651</v>
      </c>
      <c r="D820" t="str">
        <f>_xlfn.XLOOKUP(tblTransactions[[#This Row],[CustomerID]],tblCustomers[CustomerID],tblCustomers[CustomerName])</f>
        <v>Hredhaan Rana</v>
      </c>
      <c r="E820" t="s">
        <v>16116</v>
      </c>
      <c r="F820" t="str">
        <f>_xlfn.XLOOKUP(tblTransactions[[#This Row],[ProductID]],tblProducts[ProductID],tblProducts[ProductName])</f>
        <v>Sandals A1</v>
      </c>
      <c r="G820" t="s">
        <v>16256</v>
      </c>
      <c r="H820" t="str">
        <f>_xlfn.XLOOKUP(tblTransactions[[#This Row],[StoreID]],tblStores[StoreID],tblStores[Region])</f>
        <v>East</v>
      </c>
      <c r="I820">
        <v>2</v>
      </c>
      <c r="J820">
        <v>0</v>
      </c>
      <c r="K820" t="s">
        <v>16315</v>
      </c>
      <c r="L820" s="9">
        <f>_xlfn.XLOOKUP(tblTransactions[[#This Row],[ProductID]],tblProducts[ProductID],tblProducts[UnitPrice])</f>
        <v>7414.77</v>
      </c>
      <c r="M820" s="9">
        <f>tblTransactions[[#This Row],[Quantity]]*tblTransactions[[#This Row],[UnitPrice]]</f>
        <v>14829.54</v>
      </c>
      <c r="N820" s="9">
        <f>tblTransactions[[#This Row],[GrossSales]]*tblTransactions[[#This Row],[Discount]]</f>
        <v>0</v>
      </c>
      <c r="O820" s="9">
        <f>tblTransactions[[#This Row],[GrossSales]]-tblTransactions[[#This Row],[DiscountAmount]]</f>
        <v>14829.54</v>
      </c>
      <c r="P820" s="9">
        <f>_xlfn.XLOOKUP(tblTransactions[[#This Row],[ProductID]],tblProducts[ProductID],tblProducts[UnitCost])</f>
        <v>4859.1400000000003</v>
      </c>
      <c r="Q820" s="9">
        <f>tblTransactions[[#This Row],[Quantity]]*tblTransactions[[#This Row],[UnitCost]]</f>
        <v>9718.2800000000007</v>
      </c>
      <c r="R820" s="9">
        <f>tblTransactions[[#This Row],[NetRevenue]]-tblTransactions[[#This Row],[TotalCost]]</f>
        <v>5111.26</v>
      </c>
      <c r="S820" t="str">
        <f>_xlfn.XLOOKUP(tblTransactions[[#This Row],[ProductID]],tblProducts[ProductID],tblProducts[Category])</f>
        <v>Clothing</v>
      </c>
    </row>
    <row r="821" spans="1:19">
      <c r="A821" t="s">
        <v>17138</v>
      </c>
      <c r="B821" s="1">
        <v>45822</v>
      </c>
      <c r="C821" t="s">
        <v>6400</v>
      </c>
      <c r="D821" t="str">
        <f>_xlfn.XLOOKUP(tblTransactions[[#This Row],[CustomerID]],tblCustomers[CustomerID],tblCustomers[CustomerName])</f>
        <v>Oeshi Bali</v>
      </c>
      <c r="E821" t="s">
        <v>16106</v>
      </c>
      <c r="F821" t="str">
        <f>_xlfn.XLOOKUP(tblTransactions[[#This Row],[ProductID]],tblProducts[ProductID],tblProducts[ProductName])</f>
        <v>Kids Dress C3</v>
      </c>
      <c r="G821" t="s">
        <v>16293</v>
      </c>
      <c r="H821" t="str">
        <f>_xlfn.XLOOKUP(tblTransactions[[#This Row],[StoreID]],tblStores[StoreID],tblStores[Region])</f>
        <v>South</v>
      </c>
      <c r="I821">
        <v>1</v>
      </c>
      <c r="J821">
        <v>0.1</v>
      </c>
      <c r="K821" t="s">
        <v>16319</v>
      </c>
      <c r="L821" s="9">
        <f>_xlfn.XLOOKUP(tblTransactions[[#This Row],[ProductID]],tblProducts[ProductID],tblProducts[UnitPrice])</f>
        <v>1436.28</v>
      </c>
      <c r="M821" s="9">
        <f>tblTransactions[[#This Row],[Quantity]]*tblTransactions[[#This Row],[UnitPrice]]</f>
        <v>1436.28</v>
      </c>
      <c r="N821" s="9">
        <f>tblTransactions[[#This Row],[GrossSales]]*tblTransactions[[#This Row],[Discount]]</f>
        <v>143.62800000000001</v>
      </c>
      <c r="O821" s="9">
        <f>tblTransactions[[#This Row],[GrossSales]]-tblTransactions[[#This Row],[DiscountAmount]]</f>
        <v>1292.652</v>
      </c>
      <c r="P821" s="9">
        <f>_xlfn.XLOOKUP(tblTransactions[[#This Row],[ProductID]],tblProducts[ProductID],tblProducts[UnitCost])</f>
        <v>1097.5</v>
      </c>
      <c r="Q821" s="9">
        <f>tblTransactions[[#This Row],[Quantity]]*tblTransactions[[#This Row],[UnitCost]]</f>
        <v>1097.5</v>
      </c>
      <c r="R821" s="9">
        <f>tblTransactions[[#This Row],[NetRevenue]]-tblTransactions[[#This Row],[TotalCost]]</f>
        <v>195.15200000000004</v>
      </c>
      <c r="S821" t="str">
        <f>_xlfn.XLOOKUP(tblTransactions[[#This Row],[ProductID]],tblProducts[ProductID],tblProducts[Category])</f>
        <v>Clothing</v>
      </c>
    </row>
    <row r="822" spans="1:19">
      <c r="A822" t="s">
        <v>17139</v>
      </c>
      <c r="B822" s="1">
        <v>45823</v>
      </c>
      <c r="C822" t="s">
        <v>2129</v>
      </c>
      <c r="D822" t="str">
        <f>_xlfn.XLOOKUP(tblTransactions[[#This Row],[CustomerID]],tblCustomers[CustomerID],tblCustomers[CustomerName])</f>
        <v>Gopal Bawa</v>
      </c>
      <c r="E822" t="s">
        <v>16173</v>
      </c>
      <c r="F822" t="str">
        <f>_xlfn.XLOOKUP(tblTransactions[[#This Row],[ProductID]],tblProducts[ProductID],tblProducts[ProductName])</f>
        <v>Soft Drink A6</v>
      </c>
      <c r="G822" t="s">
        <v>16281</v>
      </c>
      <c r="H822" t="str">
        <f>_xlfn.XLOOKUP(tblTransactions[[#This Row],[StoreID]],tblStores[StoreID],tblStores[Region])</f>
        <v>West</v>
      </c>
      <c r="I822">
        <v>1</v>
      </c>
      <c r="J822">
        <v>0</v>
      </c>
      <c r="K822" t="s">
        <v>16317</v>
      </c>
      <c r="L822" s="9">
        <f>_xlfn.XLOOKUP(tblTransactions[[#This Row],[ProductID]],tblProducts[ProductID],tblProducts[UnitPrice])</f>
        <v>252.55</v>
      </c>
      <c r="M822" s="9">
        <f>tblTransactions[[#This Row],[Quantity]]*tblTransactions[[#This Row],[UnitPrice]]</f>
        <v>252.55</v>
      </c>
      <c r="N822" s="9">
        <f>tblTransactions[[#This Row],[GrossSales]]*tblTransactions[[#This Row],[Discount]]</f>
        <v>0</v>
      </c>
      <c r="O822" s="9">
        <f>tblTransactions[[#This Row],[GrossSales]]-tblTransactions[[#This Row],[DiscountAmount]]</f>
        <v>252.55</v>
      </c>
      <c r="P822" s="9">
        <f>_xlfn.XLOOKUP(tblTransactions[[#This Row],[ProductID]],tblProducts[ProductID],tblProducts[UnitCost])</f>
        <v>170.34</v>
      </c>
      <c r="Q822" s="9">
        <f>tblTransactions[[#This Row],[Quantity]]*tblTransactions[[#This Row],[UnitCost]]</f>
        <v>170.34</v>
      </c>
      <c r="R822" s="9">
        <f>tblTransactions[[#This Row],[NetRevenue]]-tblTransactions[[#This Row],[TotalCost]]</f>
        <v>82.210000000000008</v>
      </c>
      <c r="S822" t="str">
        <f>_xlfn.XLOOKUP(tblTransactions[[#This Row],[ProductID]],tblProducts[ProductID],tblProducts[Category])</f>
        <v>Grocery</v>
      </c>
    </row>
    <row r="823" spans="1:19">
      <c r="A823" t="s">
        <v>17140</v>
      </c>
      <c r="B823" s="1">
        <v>45823</v>
      </c>
      <c r="C823" t="s">
        <v>35</v>
      </c>
      <c r="D823" t="str">
        <f>_xlfn.XLOOKUP(tblTransactions[[#This Row],[CustomerID]],tblCustomers[CustomerID],tblCustomers[CustomerName])</f>
        <v>Nathaniel Sami</v>
      </c>
      <c r="E823" t="s">
        <v>15960</v>
      </c>
      <c r="F823" t="str">
        <f>_xlfn.XLOOKUP(tblTransactions[[#This Row],[ProductID]],tblProducts[ProductID],tblProducts[ProductName])</f>
        <v>Budget Smartphone C8</v>
      </c>
      <c r="G823" t="s">
        <v>16293</v>
      </c>
      <c r="H823" t="str">
        <f>_xlfn.XLOOKUP(tblTransactions[[#This Row],[StoreID]],tblStores[StoreID],tblStores[Region])</f>
        <v>South</v>
      </c>
      <c r="I823">
        <v>1</v>
      </c>
      <c r="J823">
        <v>0</v>
      </c>
      <c r="K823" t="s">
        <v>16317</v>
      </c>
      <c r="L823" s="9">
        <f>_xlfn.XLOOKUP(tblTransactions[[#This Row],[ProductID]],tblProducts[ProductID],tblProducts[UnitPrice])</f>
        <v>63665.16</v>
      </c>
      <c r="M823" s="9">
        <f>tblTransactions[[#This Row],[Quantity]]*tblTransactions[[#This Row],[UnitPrice]]</f>
        <v>63665.16</v>
      </c>
      <c r="N823" s="9">
        <f>tblTransactions[[#This Row],[GrossSales]]*tblTransactions[[#This Row],[Discount]]</f>
        <v>0</v>
      </c>
      <c r="O823" s="9">
        <f>tblTransactions[[#This Row],[GrossSales]]-tblTransactions[[#This Row],[DiscountAmount]]</f>
        <v>63665.16</v>
      </c>
      <c r="P823" s="9">
        <f>_xlfn.XLOOKUP(tblTransactions[[#This Row],[ProductID]],tblProducts[ProductID],tblProducts[UnitCost])</f>
        <v>52565.61</v>
      </c>
      <c r="Q823" s="9">
        <f>tblTransactions[[#This Row],[Quantity]]*tblTransactions[[#This Row],[UnitCost]]</f>
        <v>52565.61</v>
      </c>
      <c r="R823" s="9">
        <f>tblTransactions[[#This Row],[NetRevenue]]-tblTransactions[[#This Row],[TotalCost]]</f>
        <v>11099.550000000003</v>
      </c>
      <c r="S823" t="str">
        <f>_xlfn.XLOOKUP(tblTransactions[[#This Row],[ProductID]],tblProducts[ProductID],tblProducts[Category])</f>
        <v>Electronics</v>
      </c>
    </row>
    <row r="824" spans="1:19">
      <c r="A824" t="s">
        <v>17141</v>
      </c>
      <c r="B824" s="1">
        <v>45823</v>
      </c>
      <c r="C824" t="s">
        <v>8675</v>
      </c>
      <c r="D824" t="str">
        <f>_xlfn.XLOOKUP(tblTransactions[[#This Row],[CustomerID]],tblCustomers[CustomerID],tblCustomers[CustomerName])</f>
        <v>Triveni Sethi</v>
      </c>
      <c r="E824" t="s">
        <v>15982</v>
      </c>
      <c r="F824" t="str">
        <f>_xlfn.XLOOKUP(tblTransactions[[#This Row],[ProductID]],tblProducts[ProductID],tblProducts[ProductName])</f>
        <v>Earbuds B2</v>
      </c>
      <c r="G824" t="s">
        <v>16277</v>
      </c>
      <c r="H824" t="str">
        <f>_xlfn.XLOOKUP(tblTransactions[[#This Row],[StoreID]],tblStores[StoreID],tblStores[Region])</f>
        <v>West</v>
      </c>
      <c r="I824">
        <v>2</v>
      </c>
      <c r="J824">
        <v>0</v>
      </c>
      <c r="K824" t="s">
        <v>16325</v>
      </c>
      <c r="L824" s="9">
        <f>_xlfn.XLOOKUP(tblTransactions[[#This Row],[ProductID]],tblProducts[ProductID],tblProducts[UnitPrice])</f>
        <v>43098.98</v>
      </c>
      <c r="M824" s="9">
        <f>tblTransactions[[#This Row],[Quantity]]*tblTransactions[[#This Row],[UnitPrice]]</f>
        <v>86197.96</v>
      </c>
      <c r="N824" s="9">
        <f>tblTransactions[[#This Row],[GrossSales]]*tblTransactions[[#This Row],[Discount]]</f>
        <v>0</v>
      </c>
      <c r="O824" s="9">
        <f>tblTransactions[[#This Row],[GrossSales]]-tblTransactions[[#This Row],[DiscountAmount]]</f>
        <v>86197.96</v>
      </c>
      <c r="P824" s="9">
        <f>_xlfn.XLOOKUP(tblTransactions[[#This Row],[ProductID]],tblProducts[ProductID],tblProducts[UnitCost])</f>
        <v>29477.79</v>
      </c>
      <c r="Q824" s="9">
        <f>tblTransactions[[#This Row],[Quantity]]*tblTransactions[[#This Row],[UnitCost]]</f>
        <v>58955.58</v>
      </c>
      <c r="R824" s="9">
        <f>tblTransactions[[#This Row],[NetRevenue]]-tblTransactions[[#This Row],[TotalCost]]</f>
        <v>27242.380000000005</v>
      </c>
      <c r="S824" t="str">
        <f>_xlfn.XLOOKUP(tblTransactions[[#This Row],[ProductID]],tblProducts[ProductID],tblProducts[Category])</f>
        <v>Electronics</v>
      </c>
    </row>
    <row r="825" spans="1:19">
      <c r="A825" t="s">
        <v>17142</v>
      </c>
      <c r="B825" s="1">
        <v>45824</v>
      </c>
      <c r="C825" t="s">
        <v>8297</v>
      </c>
      <c r="D825" t="str">
        <f>_xlfn.XLOOKUP(tblTransactions[[#This Row],[CustomerID]],tblCustomers[CustomerID],tblCustomers[CustomerName])</f>
        <v>Falak Apte</v>
      </c>
      <c r="E825" t="s">
        <v>16013</v>
      </c>
      <c r="F825" t="str">
        <f>_xlfn.XLOOKUP(tblTransactions[[#This Row],[ProductID]],tblProducts[ProductID],tblProducts[ProductName])</f>
        <v>Electric Kettle B2</v>
      </c>
      <c r="G825" t="s">
        <v>16277</v>
      </c>
      <c r="H825" t="str">
        <f>_xlfn.XLOOKUP(tblTransactions[[#This Row],[StoreID]],tblStores[StoreID],tblStores[Region])</f>
        <v>West</v>
      </c>
      <c r="I825">
        <v>1</v>
      </c>
      <c r="J825">
        <v>0.05</v>
      </c>
      <c r="K825" t="s">
        <v>16319</v>
      </c>
      <c r="L825" s="9">
        <f>_xlfn.XLOOKUP(tblTransactions[[#This Row],[ProductID]],tblProducts[ProductID],tblProducts[UnitPrice])</f>
        <v>10664.54</v>
      </c>
      <c r="M825" s="9">
        <f>tblTransactions[[#This Row],[Quantity]]*tblTransactions[[#This Row],[UnitPrice]]</f>
        <v>10664.54</v>
      </c>
      <c r="N825" s="9">
        <f>tblTransactions[[#This Row],[GrossSales]]*tblTransactions[[#This Row],[Discount]]</f>
        <v>533.22700000000009</v>
      </c>
      <c r="O825" s="9">
        <f>tblTransactions[[#This Row],[GrossSales]]-tblTransactions[[#This Row],[DiscountAmount]]</f>
        <v>10131.313</v>
      </c>
      <c r="P825" s="9">
        <f>_xlfn.XLOOKUP(tblTransactions[[#This Row],[ProductID]],tblProducts[ProductID],tblProducts[UnitCost])</f>
        <v>8430.75</v>
      </c>
      <c r="Q825" s="9">
        <f>tblTransactions[[#This Row],[Quantity]]*tblTransactions[[#This Row],[UnitCost]]</f>
        <v>8430.75</v>
      </c>
      <c r="R825" s="9">
        <f>tblTransactions[[#This Row],[NetRevenue]]-tblTransactions[[#This Row],[TotalCost]]</f>
        <v>1700.5630000000001</v>
      </c>
      <c r="S825" t="str">
        <f>_xlfn.XLOOKUP(tblTransactions[[#This Row],[ProductID]],tblProducts[ProductID],tblProducts[Category])</f>
        <v>Home &amp; Kitchen</v>
      </c>
    </row>
    <row r="826" spans="1:19">
      <c r="A826" t="s">
        <v>17143</v>
      </c>
      <c r="B826" s="1">
        <v>45824</v>
      </c>
      <c r="C826" t="s">
        <v>614</v>
      </c>
      <c r="D826" t="str">
        <f>_xlfn.XLOOKUP(tblTransactions[[#This Row],[CustomerID]],tblCustomers[CustomerID],tblCustomers[CustomerName])</f>
        <v>Vivaan Roy</v>
      </c>
      <c r="E826" t="s">
        <v>16005</v>
      </c>
      <c r="F826" t="str">
        <f>_xlfn.XLOOKUP(tblTransactions[[#This Row],[ProductID]],tblProducts[ProductID],tblProducts[ProductName])</f>
        <v>Wireless Charger A6</v>
      </c>
      <c r="G826" t="s">
        <v>16305</v>
      </c>
      <c r="H826" t="str">
        <f>_xlfn.XLOOKUP(tblTransactions[[#This Row],[StoreID]],tblStores[StoreID],tblStores[Region])</f>
        <v>South</v>
      </c>
      <c r="I826">
        <v>1</v>
      </c>
      <c r="J826">
        <v>0</v>
      </c>
      <c r="K826" t="s">
        <v>16319</v>
      </c>
      <c r="L826" s="9">
        <f>_xlfn.XLOOKUP(tblTransactions[[#This Row],[ProductID]],tblProducts[ProductID],tblProducts[UnitPrice])</f>
        <v>78938.720000000001</v>
      </c>
      <c r="M826" s="9">
        <f>tblTransactions[[#This Row],[Quantity]]*tblTransactions[[#This Row],[UnitPrice]]</f>
        <v>78938.720000000001</v>
      </c>
      <c r="N826" s="9">
        <f>tblTransactions[[#This Row],[GrossSales]]*tblTransactions[[#This Row],[Discount]]</f>
        <v>0</v>
      </c>
      <c r="O826" s="9">
        <f>tblTransactions[[#This Row],[GrossSales]]-tblTransactions[[#This Row],[DiscountAmount]]</f>
        <v>78938.720000000001</v>
      </c>
      <c r="P826" s="9">
        <f>_xlfn.XLOOKUP(tblTransactions[[#This Row],[ProductID]],tblProducts[ProductID],tblProducts[UnitCost])</f>
        <v>53801.63</v>
      </c>
      <c r="Q826" s="9">
        <f>tblTransactions[[#This Row],[Quantity]]*tblTransactions[[#This Row],[UnitCost]]</f>
        <v>53801.63</v>
      </c>
      <c r="R826" s="9">
        <f>tblTransactions[[#This Row],[NetRevenue]]-tblTransactions[[#This Row],[TotalCost]]</f>
        <v>25137.090000000004</v>
      </c>
      <c r="S826" t="str">
        <f>_xlfn.XLOOKUP(tblTransactions[[#This Row],[ProductID]],tblProducts[ProductID],tblProducts[Category])</f>
        <v>Electronics</v>
      </c>
    </row>
    <row r="827" spans="1:19">
      <c r="A827" t="s">
        <v>17144</v>
      </c>
      <c r="B827" s="1">
        <v>45825</v>
      </c>
      <c r="C827" t="s">
        <v>8643</v>
      </c>
      <c r="D827" t="str">
        <f>_xlfn.XLOOKUP(tblTransactions[[#This Row],[CustomerID]],tblCustomers[CustomerID],tblCustomers[CustomerName])</f>
        <v>Vivaan Ahuja</v>
      </c>
      <c r="E827" t="s">
        <v>16204</v>
      </c>
      <c r="F827" t="str">
        <f>_xlfn.XLOOKUP(tblTransactions[[#This Row],[ProductID]],tblProducts[ProductID],tblProducts[ProductName])</f>
        <v>Moisturizer A6</v>
      </c>
      <c r="G827" t="s">
        <v>16265</v>
      </c>
      <c r="H827" t="str">
        <f>_xlfn.XLOOKUP(tblTransactions[[#This Row],[StoreID]],tblStores[StoreID],tblStores[Region])</f>
        <v>North</v>
      </c>
      <c r="I827">
        <v>1</v>
      </c>
      <c r="J827">
        <v>0</v>
      </c>
      <c r="K827" t="s">
        <v>16317</v>
      </c>
      <c r="L827" s="9">
        <f>_xlfn.XLOOKUP(tblTransactions[[#This Row],[ProductID]],tblProducts[ProductID],tblProducts[UnitPrice])</f>
        <v>1655.17</v>
      </c>
      <c r="M827" s="9">
        <f>tblTransactions[[#This Row],[Quantity]]*tblTransactions[[#This Row],[UnitPrice]]</f>
        <v>1655.17</v>
      </c>
      <c r="N827" s="9">
        <f>tblTransactions[[#This Row],[GrossSales]]*tblTransactions[[#This Row],[Discount]]</f>
        <v>0</v>
      </c>
      <c r="O827" s="9">
        <f>tblTransactions[[#This Row],[GrossSales]]-tblTransactions[[#This Row],[DiscountAmount]]</f>
        <v>1655.17</v>
      </c>
      <c r="P827" s="9">
        <f>_xlfn.XLOOKUP(tblTransactions[[#This Row],[ProductID]],tblProducts[ProductID],tblProducts[UnitCost])</f>
        <v>1375.84</v>
      </c>
      <c r="Q827" s="9">
        <f>tblTransactions[[#This Row],[Quantity]]*tblTransactions[[#This Row],[UnitCost]]</f>
        <v>1375.84</v>
      </c>
      <c r="R827" s="9">
        <f>tblTransactions[[#This Row],[NetRevenue]]-tblTransactions[[#This Row],[TotalCost]]</f>
        <v>279.33000000000015</v>
      </c>
      <c r="S827" t="str">
        <f>_xlfn.XLOOKUP(tblTransactions[[#This Row],[ProductID]],tblProducts[ProductID],tblProducts[Category])</f>
        <v>Personal Care</v>
      </c>
    </row>
    <row r="828" spans="1:19">
      <c r="A828" t="s">
        <v>17145</v>
      </c>
      <c r="B828" s="1">
        <v>45827</v>
      </c>
      <c r="C828" t="s">
        <v>3591</v>
      </c>
      <c r="D828" t="str">
        <f>_xlfn.XLOOKUP(tblTransactions[[#This Row],[CustomerID]],tblCustomers[CustomerID],tblCustomers[CustomerName])</f>
        <v>Ekavir Mittal</v>
      </c>
      <c r="E828" t="s">
        <v>15969</v>
      </c>
      <c r="F828" t="str">
        <f>_xlfn.XLOOKUP(tblTransactions[[#This Row],[ProductID]],tblProducts[ProductID],tblProducts[ProductName])</f>
        <v>Student Laptop D4</v>
      </c>
      <c r="G828" t="s">
        <v>16301</v>
      </c>
      <c r="H828" t="str">
        <f>_xlfn.XLOOKUP(tblTransactions[[#This Row],[StoreID]],tblStores[StoreID],tblStores[Region])</f>
        <v>East</v>
      </c>
      <c r="I828">
        <v>4</v>
      </c>
      <c r="J828">
        <v>0.05</v>
      </c>
      <c r="K828" t="s">
        <v>16317</v>
      </c>
      <c r="L828" s="9">
        <f>_xlfn.XLOOKUP(tblTransactions[[#This Row],[ProductID]],tblProducts[ProductID],tblProducts[UnitPrice])</f>
        <v>21602.44</v>
      </c>
      <c r="M828" s="9">
        <f>tblTransactions[[#This Row],[Quantity]]*tblTransactions[[#This Row],[UnitPrice]]</f>
        <v>86409.76</v>
      </c>
      <c r="N828" s="9">
        <f>tblTransactions[[#This Row],[GrossSales]]*tblTransactions[[#This Row],[Discount]]</f>
        <v>4320.4880000000003</v>
      </c>
      <c r="O828" s="9">
        <f>tblTransactions[[#This Row],[GrossSales]]-tblTransactions[[#This Row],[DiscountAmount]]</f>
        <v>82089.271999999997</v>
      </c>
      <c r="P828" s="9">
        <f>_xlfn.XLOOKUP(tblTransactions[[#This Row],[ProductID]],tblProducts[ProductID],tblProducts[UnitCost])</f>
        <v>13134.58</v>
      </c>
      <c r="Q828" s="9">
        <f>tblTransactions[[#This Row],[Quantity]]*tblTransactions[[#This Row],[UnitCost]]</f>
        <v>52538.32</v>
      </c>
      <c r="R828" s="9">
        <f>tblTransactions[[#This Row],[NetRevenue]]-tblTransactions[[#This Row],[TotalCost]]</f>
        <v>29550.951999999997</v>
      </c>
      <c r="S828" t="str">
        <f>_xlfn.XLOOKUP(tblTransactions[[#This Row],[ProductID]],tblProducts[ProductID],tblProducts[Category])</f>
        <v>Electronics</v>
      </c>
    </row>
    <row r="829" spans="1:19">
      <c r="A829" t="s">
        <v>17146</v>
      </c>
      <c r="B829" s="1">
        <v>45828</v>
      </c>
      <c r="C829" t="s">
        <v>7558</v>
      </c>
      <c r="D829" t="str">
        <f>_xlfn.XLOOKUP(tblTransactions[[#This Row],[CustomerID]],tblCustomers[CustomerID],tblCustomers[CustomerName])</f>
        <v>Chakrika Lad</v>
      </c>
      <c r="E829" t="s">
        <v>16001</v>
      </c>
      <c r="F829" t="str">
        <f>_xlfn.XLOOKUP(tblTransactions[[#This Row],[ProductID]],tblProducts[ProductID],tblProducts[ProductName])</f>
        <v>Power Bank D4</v>
      </c>
      <c r="G829" t="s">
        <v>16279</v>
      </c>
      <c r="H829" t="str">
        <f>_xlfn.XLOOKUP(tblTransactions[[#This Row],[StoreID]],tblStores[StoreID],tblStores[Region])</f>
        <v>South</v>
      </c>
      <c r="I829">
        <v>3</v>
      </c>
      <c r="J829">
        <v>0</v>
      </c>
      <c r="K829" t="s">
        <v>16317</v>
      </c>
      <c r="L829" s="9">
        <f>_xlfn.XLOOKUP(tblTransactions[[#This Row],[ProductID]],tblProducts[ProductID],tblProducts[UnitPrice])</f>
        <v>29153.55</v>
      </c>
      <c r="M829" s="9">
        <f>tblTransactions[[#This Row],[Quantity]]*tblTransactions[[#This Row],[UnitPrice]]</f>
        <v>87460.65</v>
      </c>
      <c r="N829" s="9">
        <f>tblTransactions[[#This Row],[GrossSales]]*tblTransactions[[#This Row],[Discount]]</f>
        <v>0</v>
      </c>
      <c r="O829" s="9">
        <f>tblTransactions[[#This Row],[GrossSales]]-tblTransactions[[#This Row],[DiscountAmount]]</f>
        <v>87460.65</v>
      </c>
      <c r="P829" s="9">
        <f>_xlfn.XLOOKUP(tblTransactions[[#This Row],[ProductID]],tblProducts[ProductID],tblProducts[UnitCost])</f>
        <v>21894.27</v>
      </c>
      <c r="Q829" s="9">
        <f>tblTransactions[[#This Row],[Quantity]]*tblTransactions[[#This Row],[UnitCost]]</f>
        <v>65682.81</v>
      </c>
      <c r="R829" s="9">
        <f>tblTransactions[[#This Row],[NetRevenue]]-tblTransactions[[#This Row],[TotalCost]]</f>
        <v>21777.839999999997</v>
      </c>
      <c r="S829" t="str">
        <f>_xlfn.XLOOKUP(tblTransactions[[#This Row],[ProductID]],tblProducts[ProductID],tblProducts[Category])</f>
        <v>Electronics</v>
      </c>
    </row>
    <row r="830" spans="1:19">
      <c r="A830" t="s">
        <v>17147</v>
      </c>
      <c r="B830" s="1">
        <v>45828</v>
      </c>
      <c r="C830" t="s">
        <v>4644</v>
      </c>
      <c r="D830" t="str">
        <f>_xlfn.XLOOKUP(tblTransactions[[#This Row],[CustomerID]],tblCustomers[CustomerID],tblCustomers[CustomerName])</f>
        <v>Chakradev Varghese</v>
      </c>
      <c r="E830" t="s">
        <v>15986</v>
      </c>
      <c r="F830" t="str">
        <f>_xlfn.XLOOKUP(tblTransactions[[#This Row],[ProductID]],tblProducts[ProductID],tblProducts[ProductName])</f>
        <v>Soundbar D4</v>
      </c>
      <c r="G830" t="s">
        <v>16279</v>
      </c>
      <c r="H830" t="str">
        <f>_xlfn.XLOOKUP(tblTransactions[[#This Row],[StoreID]],tblStores[StoreID],tblStores[Region])</f>
        <v>South</v>
      </c>
      <c r="I830">
        <v>2</v>
      </c>
      <c r="J830">
        <v>0</v>
      </c>
      <c r="K830" t="s">
        <v>16315</v>
      </c>
      <c r="L830" s="9">
        <f>_xlfn.XLOOKUP(tblTransactions[[#This Row],[ProductID]],tblProducts[ProductID],tblProducts[UnitPrice])</f>
        <v>52004.72</v>
      </c>
      <c r="M830" s="9">
        <f>tblTransactions[[#This Row],[Quantity]]*tblTransactions[[#This Row],[UnitPrice]]</f>
        <v>104009.44</v>
      </c>
      <c r="N830" s="9">
        <f>tblTransactions[[#This Row],[GrossSales]]*tblTransactions[[#This Row],[Discount]]</f>
        <v>0</v>
      </c>
      <c r="O830" s="9">
        <f>tblTransactions[[#This Row],[GrossSales]]-tblTransactions[[#This Row],[DiscountAmount]]</f>
        <v>104009.44</v>
      </c>
      <c r="P830" s="9">
        <f>_xlfn.XLOOKUP(tblTransactions[[#This Row],[ProductID]],tblProducts[ProductID],tblProducts[UnitCost])</f>
        <v>43224.87</v>
      </c>
      <c r="Q830" s="9">
        <f>tblTransactions[[#This Row],[Quantity]]*tblTransactions[[#This Row],[UnitCost]]</f>
        <v>86449.74</v>
      </c>
      <c r="R830" s="9">
        <f>tblTransactions[[#This Row],[NetRevenue]]-tblTransactions[[#This Row],[TotalCost]]</f>
        <v>17559.699999999997</v>
      </c>
      <c r="S830" t="str">
        <f>_xlfn.XLOOKUP(tblTransactions[[#This Row],[ProductID]],tblProducts[ProductID],tblProducts[Category])</f>
        <v>Electronics</v>
      </c>
    </row>
    <row r="831" spans="1:19">
      <c r="A831" t="s">
        <v>17148</v>
      </c>
      <c r="B831" s="1">
        <v>45829</v>
      </c>
      <c r="C831" t="s">
        <v>14246</v>
      </c>
      <c r="D831" t="str">
        <f>_xlfn.XLOOKUP(tblTransactions[[#This Row],[CustomerID]],tblCustomers[CustomerID],tblCustomers[CustomerName])</f>
        <v>Osha Roy</v>
      </c>
      <c r="E831" t="s">
        <v>16145</v>
      </c>
      <c r="F831" t="str">
        <f>_xlfn.XLOOKUP(tblTransactions[[#This Row],[ProductID]],tblProducts[ProductID],tblProducts[ProductName])</f>
        <v>Rice B7</v>
      </c>
      <c r="G831" t="s">
        <v>16293</v>
      </c>
      <c r="H831" t="str">
        <f>_xlfn.XLOOKUP(tblTransactions[[#This Row],[StoreID]],tblStores[StoreID],tblStores[Region])</f>
        <v>South</v>
      </c>
      <c r="I831">
        <v>1</v>
      </c>
      <c r="J831">
        <v>0</v>
      </c>
      <c r="K831" t="s">
        <v>16321</v>
      </c>
      <c r="L831" s="9">
        <f>_xlfn.XLOOKUP(tblTransactions[[#This Row],[ProductID]],tblProducts[ProductID],tblProducts[UnitPrice])</f>
        <v>775.19</v>
      </c>
      <c r="M831" s="9">
        <f>tblTransactions[[#This Row],[Quantity]]*tblTransactions[[#This Row],[UnitPrice]]</f>
        <v>775.19</v>
      </c>
      <c r="N831" s="9">
        <f>tblTransactions[[#This Row],[GrossSales]]*tblTransactions[[#This Row],[Discount]]</f>
        <v>0</v>
      </c>
      <c r="O831" s="9">
        <f>tblTransactions[[#This Row],[GrossSales]]-tblTransactions[[#This Row],[DiscountAmount]]</f>
        <v>775.19</v>
      </c>
      <c r="P831" s="9">
        <f>_xlfn.XLOOKUP(tblTransactions[[#This Row],[ProductID]],tblProducts[ProductID],tblProducts[UnitCost])</f>
        <v>597.84</v>
      </c>
      <c r="Q831" s="9">
        <f>tblTransactions[[#This Row],[Quantity]]*tblTransactions[[#This Row],[UnitCost]]</f>
        <v>597.84</v>
      </c>
      <c r="R831" s="9">
        <f>tblTransactions[[#This Row],[NetRevenue]]-tblTransactions[[#This Row],[TotalCost]]</f>
        <v>177.35000000000002</v>
      </c>
      <c r="S831" t="str">
        <f>_xlfn.XLOOKUP(tblTransactions[[#This Row],[ProductID]],tblProducts[ProductID],tblProducts[Category])</f>
        <v>Grocery</v>
      </c>
    </row>
    <row r="832" spans="1:19">
      <c r="A832" t="s">
        <v>17149</v>
      </c>
      <c r="B832" s="1">
        <v>45829</v>
      </c>
      <c r="C832" t="s">
        <v>230</v>
      </c>
      <c r="D832" t="str">
        <f>_xlfn.XLOOKUP(tblTransactions[[#This Row],[CustomerID]],tblCustomers[CustomerID],tblCustomers[CustomerName])</f>
        <v>Tanay Toor</v>
      </c>
      <c r="E832" t="s">
        <v>16121</v>
      </c>
      <c r="F832" t="str">
        <f>_xlfn.XLOOKUP(tblTransactions[[#This Row],[ProductID]],tblProducts[ProductID],tblProducts[ProductName])</f>
        <v>Sandals C3</v>
      </c>
      <c r="G832" t="s">
        <v>16301</v>
      </c>
      <c r="H832" t="str">
        <f>_xlfn.XLOOKUP(tblTransactions[[#This Row],[StoreID]],tblStores[StoreID],tblStores[Region])</f>
        <v>East</v>
      </c>
      <c r="I832">
        <v>1</v>
      </c>
      <c r="J832">
        <v>0.15</v>
      </c>
      <c r="K832" t="s">
        <v>16317</v>
      </c>
      <c r="L832" s="9">
        <f>_xlfn.XLOOKUP(tblTransactions[[#This Row],[ProductID]],tblProducts[ProductID],tblProducts[UnitPrice])</f>
        <v>6708.36</v>
      </c>
      <c r="M832" s="9">
        <f>tblTransactions[[#This Row],[Quantity]]*tblTransactions[[#This Row],[UnitPrice]]</f>
        <v>6708.36</v>
      </c>
      <c r="N832" s="9">
        <f>tblTransactions[[#This Row],[GrossSales]]*tblTransactions[[#This Row],[Discount]]</f>
        <v>1006.2539999999999</v>
      </c>
      <c r="O832" s="9">
        <f>tblTransactions[[#This Row],[GrossSales]]-tblTransactions[[#This Row],[DiscountAmount]]</f>
        <v>5702.1059999999998</v>
      </c>
      <c r="P832" s="9">
        <f>_xlfn.XLOOKUP(tblTransactions[[#This Row],[ProductID]],tblProducts[ProductID],tblProducts[UnitCost])</f>
        <v>5031.45</v>
      </c>
      <c r="Q832" s="9">
        <f>tblTransactions[[#This Row],[Quantity]]*tblTransactions[[#This Row],[UnitCost]]</f>
        <v>5031.45</v>
      </c>
      <c r="R832" s="9">
        <f>tblTransactions[[#This Row],[NetRevenue]]-tblTransactions[[#This Row],[TotalCost]]</f>
        <v>670.65599999999995</v>
      </c>
      <c r="S832" t="str">
        <f>_xlfn.XLOOKUP(tblTransactions[[#This Row],[ProductID]],tblProducts[ProductID],tblProducts[Category])</f>
        <v>Clothing</v>
      </c>
    </row>
    <row r="833" spans="1:19">
      <c r="A833" t="s">
        <v>17150</v>
      </c>
      <c r="B833" s="1">
        <v>45830</v>
      </c>
      <c r="C833" t="s">
        <v>14967</v>
      </c>
      <c r="D833" t="str">
        <f>_xlfn.XLOOKUP(tblTransactions[[#This Row],[CustomerID]],tblCustomers[CustomerID],tblCustomers[CustomerName])</f>
        <v>Harish Gera</v>
      </c>
      <c r="E833" t="s">
        <v>16055</v>
      </c>
      <c r="F833" t="str">
        <f>_xlfn.XLOOKUP(tblTransactions[[#This Row],[ProductID]],tblProducts[ProductID],tblProducts[ProductName])</f>
        <v>Wall Clock A1</v>
      </c>
      <c r="G833" t="s">
        <v>16299</v>
      </c>
      <c r="H833" t="str">
        <f>_xlfn.XLOOKUP(tblTransactions[[#This Row],[StoreID]],tblStores[StoreID],tblStores[Region])</f>
        <v>South</v>
      </c>
      <c r="I833">
        <v>1</v>
      </c>
      <c r="J833">
        <v>0.05</v>
      </c>
      <c r="K833" t="s">
        <v>16317</v>
      </c>
      <c r="L833" s="9">
        <f>_xlfn.XLOOKUP(tblTransactions[[#This Row],[ProductID]],tblProducts[ProductID],tblProducts[UnitPrice])</f>
        <v>4187.79</v>
      </c>
      <c r="M833" s="9">
        <f>tblTransactions[[#This Row],[Quantity]]*tblTransactions[[#This Row],[UnitPrice]]</f>
        <v>4187.79</v>
      </c>
      <c r="N833" s="9">
        <f>tblTransactions[[#This Row],[GrossSales]]*tblTransactions[[#This Row],[Discount]]</f>
        <v>209.3895</v>
      </c>
      <c r="O833" s="9">
        <f>tblTransactions[[#This Row],[GrossSales]]-tblTransactions[[#This Row],[DiscountAmount]]</f>
        <v>3978.4004999999997</v>
      </c>
      <c r="P833" s="9">
        <f>_xlfn.XLOOKUP(tblTransactions[[#This Row],[ProductID]],tblProducts[ProductID],tblProducts[UnitCost])</f>
        <v>2951.03</v>
      </c>
      <c r="Q833" s="9">
        <f>tblTransactions[[#This Row],[Quantity]]*tblTransactions[[#This Row],[UnitCost]]</f>
        <v>2951.03</v>
      </c>
      <c r="R833" s="9">
        <f>tblTransactions[[#This Row],[NetRevenue]]-tblTransactions[[#This Row],[TotalCost]]</f>
        <v>1027.3704999999995</v>
      </c>
      <c r="S833" t="str">
        <f>_xlfn.XLOOKUP(tblTransactions[[#This Row],[ProductID]],tblProducts[ProductID],tblProducts[Category])</f>
        <v>Home &amp; Kitchen</v>
      </c>
    </row>
    <row r="834" spans="1:19">
      <c r="A834" t="s">
        <v>17151</v>
      </c>
      <c r="B834" s="1">
        <v>45830</v>
      </c>
      <c r="C834" t="s">
        <v>5498</v>
      </c>
      <c r="D834" t="str">
        <f>_xlfn.XLOOKUP(tblTransactions[[#This Row],[CustomerID]],tblCustomers[CustomerID],tblCustomers[CustomerName])</f>
        <v>Ranveer Agrawal</v>
      </c>
      <c r="E834" t="s">
        <v>16145</v>
      </c>
      <c r="F834" t="str">
        <f>_xlfn.XLOOKUP(tblTransactions[[#This Row],[ProductID]],tblProducts[ProductID],tblProducts[ProductName])</f>
        <v>Rice B7</v>
      </c>
      <c r="G834" t="s">
        <v>16303</v>
      </c>
      <c r="H834" t="str">
        <f>_xlfn.XLOOKUP(tblTransactions[[#This Row],[StoreID]],tblStores[StoreID],tblStores[Region])</f>
        <v>West</v>
      </c>
      <c r="I834">
        <v>1</v>
      </c>
      <c r="J834">
        <v>0</v>
      </c>
      <c r="K834" t="s">
        <v>16321</v>
      </c>
      <c r="L834" s="9">
        <f>_xlfn.XLOOKUP(tblTransactions[[#This Row],[ProductID]],tblProducts[ProductID],tblProducts[UnitPrice])</f>
        <v>775.19</v>
      </c>
      <c r="M834" s="9">
        <f>tblTransactions[[#This Row],[Quantity]]*tblTransactions[[#This Row],[UnitPrice]]</f>
        <v>775.19</v>
      </c>
      <c r="N834" s="9">
        <f>tblTransactions[[#This Row],[GrossSales]]*tblTransactions[[#This Row],[Discount]]</f>
        <v>0</v>
      </c>
      <c r="O834" s="9">
        <f>tblTransactions[[#This Row],[GrossSales]]-tblTransactions[[#This Row],[DiscountAmount]]</f>
        <v>775.19</v>
      </c>
      <c r="P834" s="9">
        <f>_xlfn.XLOOKUP(tblTransactions[[#This Row],[ProductID]],tblProducts[ProductID],tblProducts[UnitCost])</f>
        <v>597.84</v>
      </c>
      <c r="Q834" s="9">
        <f>tblTransactions[[#This Row],[Quantity]]*tblTransactions[[#This Row],[UnitCost]]</f>
        <v>597.84</v>
      </c>
      <c r="R834" s="9">
        <f>tblTransactions[[#This Row],[NetRevenue]]-tblTransactions[[#This Row],[TotalCost]]</f>
        <v>177.35000000000002</v>
      </c>
      <c r="S834" t="str">
        <f>_xlfn.XLOOKUP(tblTransactions[[#This Row],[ProductID]],tblProducts[ProductID],tblProducts[Category])</f>
        <v>Grocery</v>
      </c>
    </row>
    <row r="835" spans="1:19">
      <c r="A835" t="s">
        <v>17152</v>
      </c>
      <c r="B835" s="1">
        <v>45832</v>
      </c>
      <c r="C835" t="s">
        <v>4325</v>
      </c>
      <c r="D835" t="str">
        <f>_xlfn.XLOOKUP(tblTransactions[[#This Row],[CustomerID]],tblCustomers[CustomerID],tblCustomers[CustomerName])</f>
        <v>Hemani Parikh</v>
      </c>
      <c r="E835" t="s">
        <v>16112</v>
      </c>
      <c r="F835" t="str">
        <f>_xlfn.XLOOKUP(tblTransactions[[#This Row],[ProductID]],tblProducts[ProductID],tblProducts[ProductName])</f>
        <v>Kids T-Shirt A6</v>
      </c>
      <c r="G835" t="s">
        <v>16271</v>
      </c>
      <c r="H835" t="str">
        <f>_xlfn.XLOOKUP(tblTransactions[[#This Row],[StoreID]],tblStores[StoreID],tblStores[Region])</f>
        <v>South</v>
      </c>
      <c r="I835">
        <v>1</v>
      </c>
      <c r="J835">
        <v>0.2</v>
      </c>
      <c r="K835" t="s">
        <v>16317</v>
      </c>
      <c r="L835" s="9">
        <f>_xlfn.XLOOKUP(tblTransactions[[#This Row],[ProductID]],tblProducts[ProductID],tblProducts[UnitPrice])</f>
        <v>2008.33</v>
      </c>
      <c r="M835" s="9">
        <f>tblTransactions[[#This Row],[Quantity]]*tblTransactions[[#This Row],[UnitPrice]]</f>
        <v>2008.33</v>
      </c>
      <c r="N835" s="9">
        <f>tblTransactions[[#This Row],[GrossSales]]*tblTransactions[[#This Row],[Discount]]</f>
        <v>401.666</v>
      </c>
      <c r="O835" s="9">
        <f>tblTransactions[[#This Row],[GrossSales]]-tblTransactions[[#This Row],[DiscountAmount]]</f>
        <v>1606.664</v>
      </c>
      <c r="P835" s="9">
        <f>_xlfn.XLOOKUP(tblTransactions[[#This Row],[ProductID]],tblProducts[ProductID],tblProducts[UnitCost])</f>
        <v>1688.91</v>
      </c>
      <c r="Q835" s="9">
        <f>tblTransactions[[#This Row],[Quantity]]*tblTransactions[[#This Row],[UnitCost]]</f>
        <v>1688.91</v>
      </c>
      <c r="R835" s="9">
        <f>tblTransactions[[#This Row],[NetRevenue]]-tblTransactions[[#This Row],[TotalCost]]</f>
        <v>-82.246000000000095</v>
      </c>
      <c r="S835" t="str">
        <f>_xlfn.XLOOKUP(tblTransactions[[#This Row],[ProductID]],tblProducts[ProductID],tblProducts[Category])</f>
        <v>Clothing</v>
      </c>
    </row>
    <row r="836" spans="1:19">
      <c r="A836" t="s">
        <v>17153</v>
      </c>
      <c r="B836" s="1">
        <v>45833</v>
      </c>
      <c r="C836" t="s">
        <v>4008</v>
      </c>
      <c r="D836" t="str">
        <f>_xlfn.XLOOKUP(tblTransactions[[#This Row],[CustomerID]],tblCustomers[CustomerID],tblCustomers[CustomerName])</f>
        <v>Yachana Vyas</v>
      </c>
      <c r="E836" t="s">
        <v>16003</v>
      </c>
      <c r="F836" t="str">
        <f>_xlfn.XLOOKUP(tblTransactions[[#This Row],[ProductID]],tblProducts[ProductID],tblProducts[ProductName])</f>
        <v>Wireless Charger E5</v>
      </c>
      <c r="G836" t="s">
        <v>16293</v>
      </c>
      <c r="H836" t="str">
        <f>_xlfn.XLOOKUP(tblTransactions[[#This Row],[StoreID]],tblStores[StoreID],tblStores[Region])</f>
        <v>South</v>
      </c>
      <c r="I836">
        <v>1</v>
      </c>
      <c r="J836">
        <v>0</v>
      </c>
      <c r="K836" t="s">
        <v>16317</v>
      </c>
      <c r="L836" s="9">
        <f>_xlfn.XLOOKUP(tblTransactions[[#This Row],[ProductID]],tblProducts[ProductID],tblProducts[UnitPrice])</f>
        <v>74177.87</v>
      </c>
      <c r="M836" s="9">
        <f>tblTransactions[[#This Row],[Quantity]]*tblTransactions[[#This Row],[UnitPrice]]</f>
        <v>74177.87</v>
      </c>
      <c r="N836" s="9">
        <f>tblTransactions[[#This Row],[GrossSales]]*tblTransactions[[#This Row],[Discount]]</f>
        <v>0</v>
      </c>
      <c r="O836" s="9">
        <f>tblTransactions[[#This Row],[GrossSales]]-tblTransactions[[#This Row],[DiscountAmount]]</f>
        <v>74177.87</v>
      </c>
      <c r="P836" s="9">
        <f>_xlfn.XLOOKUP(tblTransactions[[#This Row],[ProductID]],tblProducts[ProductID],tblProducts[UnitCost])</f>
        <v>46554.33</v>
      </c>
      <c r="Q836" s="9">
        <f>tblTransactions[[#This Row],[Quantity]]*tblTransactions[[#This Row],[UnitCost]]</f>
        <v>46554.33</v>
      </c>
      <c r="R836" s="9">
        <f>tblTransactions[[#This Row],[NetRevenue]]-tblTransactions[[#This Row],[TotalCost]]</f>
        <v>27623.539999999994</v>
      </c>
      <c r="S836" t="str">
        <f>_xlfn.XLOOKUP(tblTransactions[[#This Row],[ProductID]],tblProducts[ProductID],tblProducts[Category])</f>
        <v>Electronics</v>
      </c>
    </row>
    <row r="837" spans="1:19">
      <c r="A837" t="s">
        <v>17154</v>
      </c>
      <c r="B837" s="1">
        <v>45833</v>
      </c>
      <c r="C837" t="s">
        <v>1230</v>
      </c>
      <c r="D837" t="str">
        <f>_xlfn.XLOOKUP(tblTransactions[[#This Row],[CustomerID]],tblCustomers[CustomerID],tblCustomers[CustomerName])</f>
        <v>Chandani Soman</v>
      </c>
      <c r="E837" t="s">
        <v>16236</v>
      </c>
      <c r="F837" t="str">
        <f>_xlfn.XLOOKUP(tblTransactions[[#This Row],[ProductID]],tblProducts[ProductID],tblProducts[ProductName])</f>
        <v>Body Lotion B7</v>
      </c>
      <c r="G837" t="s">
        <v>16293</v>
      </c>
      <c r="H837" t="str">
        <f>_xlfn.XLOOKUP(tblTransactions[[#This Row],[StoreID]],tblStores[StoreID],tblStores[Region])</f>
        <v>South</v>
      </c>
      <c r="I837">
        <v>1</v>
      </c>
      <c r="J837">
        <v>0.1</v>
      </c>
      <c r="K837" t="s">
        <v>16321</v>
      </c>
      <c r="L837" s="9">
        <f>_xlfn.XLOOKUP(tblTransactions[[#This Row],[ProductID]],tblProducts[ProductID],tblProducts[UnitPrice])</f>
        <v>4198.8999999999996</v>
      </c>
      <c r="M837" s="9">
        <f>tblTransactions[[#This Row],[Quantity]]*tblTransactions[[#This Row],[UnitPrice]]</f>
        <v>4198.8999999999996</v>
      </c>
      <c r="N837" s="9">
        <f>tblTransactions[[#This Row],[GrossSales]]*tblTransactions[[#This Row],[Discount]]</f>
        <v>419.89</v>
      </c>
      <c r="O837" s="9">
        <f>tblTransactions[[#This Row],[GrossSales]]-tblTransactions[[#This Row],[DiscountAmount]]</f>
        <v>3779.0099999999998</v>
      </c>
      <c r="P837" s="9">
        <f>_xlfn.XLOOKUP(tblTransactions[[#This Row],[ProductID]],tblProducts[ProductID],tblProducts[UnitCost])</f>
        <v>2920.65</v>
      </c>
      <c r="Q837" s="9">
        <f>tblTransactions[[#This Row],[Quantity]]*tblTransactions[[#This Row],[UnitCost]]</f>
        <v>2920.65</v>
      </c>
      <c r="R837" s="9">
        <f>tblTransactions[[#This Row],[NetRevenue]]-tblTransactions[[#This Row],[TotalCost]]</f>
        <v>858.35999999999967</v>
      </c>
      <c r="S837" t="str">
        <f>_xlfn.XLOOKUP(tblTransactions[[#This Row],[ProductID]],tblProducts[ProductID],tblProducts[Category])</f>
        <v>Personal Care</v>
      </c>
    </row>
    <row r="838" spans="1:19">
      <c r="A838" t="s">
        <v>17155</v>
      </c>
      <c r="B838" s="1">
        <v>45834</v>
      </c>
      <c r="C838" t="s">
        <v>13769</v>
      </c>
      <c r="D838" t="str">
        <f>_xlfn.XLOOKUP(tblTransactions[[#This Row],[CustomerID]],tblCustomers[CustomerID],tblCustomers[CustomerName])</f>
        <v>Chakradev Sen</v>
      </c>
      <c r="E838" t="s">
        <v>16051</v>
      </c>
      <c r="F838" t="str">
        <f>_xlfn.XLOOKUP(tblTransactions[[#This Row],[ProductID]],tblProducts[ProductID],tblProducts[ProductName])</f>
        <v>Pressure Cooker A6</v>
      </c>
      <c r="G838" t="s">
        <v>16262</v>
      </c>
      <c r="H838" t="str">
        <f>_xlfn.XLOOKUP(tblTransactions[[#This Row],[StoreID]],tblStores[StoreID],tblStores[Region])</f>
        <v>North</v>
      </c>
      <c r="I838">
        <v>3</v>
      </c>
      <c r="J838">
        <v>0.05</v>
      </c>
      <c r="K838" t="s">
        <v>16317</v>
      </c>
      <c r="L838" s="9">
        <f>_xlfn.XLOOKUP(tblTransactions[[#This Row],[ProductID]],tblProducts[ProductID],tblProducts[UnitPrice])</f>
        <v>27105.29</v>
      </c>
      <c r="M838" s="9">
        <f>tblTransactions[[#This Row],[Quantity]]*tblTransactions[[#This Row],[UnitPrice]]</f>
        <v>81315.87</v>
      </c>
      <c r="N838" s="9">
        <f>tblTransactions[[#This Row],[GrossSales]]*tblTransactions[[#This Row],[Discount]]</f>
        <v>4065.7934999999998</v>
      </c>
      <c r="O838" s="9">
        <f>tblTransactions[[#This Row],[GrossSales]]-tblTransactions[[#This Row],[DiscountAmount]]</f>
        <v>77250.076499999996</v>
      </c>
      <c r="P838" s="9">
        <f>_xlfn.XLOOKUP(tblTransactions[[#This Row],[ProductID]],tblProducts[ProductID],tblProducts[UnitCost])</f>
        <v>17092.599999999999</v>
      </c>
      <c r="Q838" s="9">
        <f>tblTransactions[[#This Row],[Quantity]]*tblTransactions[[#This Row],[UnitCost]]</f>
        <v>51277.799999999996</v>
      </c>
      <c r="R838" s="9">
        <f>tblTransactions[[#This Row],[NetRevenue]]-tblTransactions[[#This Row],[TotalCost]]</f>
        <v>25972.2765</v>
      </c>
      <c r="S838" t="str">
        <f>_xlfn.XLOOKUP(tblTransactions[[#This Row],[ProductID]],tblProducts[ProductID],tblProducts[Category])</f>
        <v>Home &amp; Kitchen</v>
      </c>
    </row>
    <row r="839" spans="1:19">
      <c r="A839" t="s">
        <v>17156</v>
      </c>
      <c r="B839" s="1">
        <v>45835</v>
      </c>
      <c r="C839" t="s">
        <v>13992</v>
      </c>
      <c r="D839" t="str">
        <f>_xlfn.XLOOKUP(tblTransactions[[#This Row],[CustomerID]],tblCustomers[CustomerID],tblCustomers[CustomerName])</f>
        <v>Avi Agrawal</v>
      </c>
      <c r="E839" t="s">
        <v>16236</v>
      </c>
      <c r="F839" t="str">
        <f>_xlfn.XLOOKUP(tblTransactions[[#This Row],[ProductID]],tblProducts[ProductID],tblProducts[ProductName])</f>
        <v>Body Lotion B7</v>
      </c>
      <c r="G839" t="s">
        <v>16307</v>
      </c>
      <c r="H839" t="str">
        <f>_xlfn.XLOOKUP(tblTransactions[[#This Row],[StoreID]],tblStores[StoreID],tblStores[Region])</f>
        <v>East</v>
      </c>
      <c r="I839">
        <v>4</v>
      </c>
      <c r="J839">
        <v>0.1</v>
      </c>
      <c r="K839" t="s">
        <v>16317</v>
      </c>
      <c r="L839" s="9">
        <f>_xlfn.XLOOKUP(tblTransactions[[#This Row],[ProductID]],tblProducts[ProductID],tblProducts[UnitPrice])</f>
        <v>4198.8999999999996</v>
      </c>
      <c r="M839" s="9">
        <f>tblTransactions[[#This Row],[Quantity]]*tblTransactions[[#This Row],[UnitPrice]]</f>
        <v>16795.599999999999</v>
      </c>
      <c r="N839" s="9">
        <f>tblTransactions[[#This Row],[GrossSales]]*tblTransactions[[#This Row],[Discount]]</f>
        <v>1679.56</v>
      </c>
      <c r="O839" s="9">
        <f>tblTransactions[[#This Row],[GrossSales]]-tblTransactions[[#This Row],[DiscountAmount]]</f>
        <v>15116.039999999999</v>
      </c>
      <c r="P839" s="9">
        <f>_xlfn.XLOOKUP(tblTransactions[[#This Row],[ProductID]],tblProducts[ProductID],tblProducts[UnitCost])</f>
        <v>2920.65</v>
      </c>
      <c r="Q839" s="9">
        <f>tblTransactions[[#This Row],[Quantity]]*tblTransactions[[#This Row],[UnitCost]]</f>
        <v>11682.6</v>
      </c>
      <c r="R839" s="9">
        <f>tblTransactions[[#This Row],[NetRevenue]]-tblTransactions[[#This Row],[TotalCost]]</f>
        <v>3433.4399999999987</v>
      </c>
      <c r="S839" t="str">
        <f>_xlfn.XLOOKUP(tblTransactions[[#This Row],[ProductID]],tblProducts[ProductID],tblProducts[Category])</f>
        <v>Personal Care</v>
      </c>
    </row>
    <row r="840" spans="1:19">
      <c r="A840" t="s">
        <v>17157</v>
      </c>
      <c r="B840" s="1">
        <v>45836</v>
      </c>
      <c r="C840" t="s">
        <v>5267</v>
      </c>
      <c r="D840" t="str">
        <f>_xlfn.XLOOKUP(tblTransactions[[#This Row],[CustomerID]],tblCustomers[CustomerID],tblCustomers[CustomerName])</f>
        <v>Umang Saini</v>
      </c>
      <c r="E840" t="s">
        <v>16171</v>
      </c>
      <c r="F840" t="str">
        <f>_xlfn.XLOOKUP(tblTransactions[[#This Row],[ProductID]],tblProducts[ProductID],tblProducts[ProductName])</f>
        <v>Juice E5</v>
      </c>
      <c r="G840" t="s">
        <v>16275</v>
      </c>
      <c r="H840" t="str">
        <f>_xlfn.XLOOKUP(tblTransactions[[#This Row],[StoreID]],tblStores[StoreID],tblStores[Region])</f>
        <v>South</v>
      </c>
      <c r="I840">
        <v>1</v>
      </c>
      <c r="J840">
        <v>0.1</v>
      </c>
      <c r="K840" t="s">
        <v>16315</v>
      </c>
      <c r="L840" s="9">
        <f>_xlfn.XLOOKUP(tblTransactions[[#This Row],[ProductID]],tblProducts[ProductID],tblProducts[UnitPrice])</f>
        <v>100.32</v>
      </c>
      <c r="M840" s="9">
        <f>tblTransactions[[#This Row],[Quantity]]*tblTransactions[[#This Row],[UnitPrice]]</f>
        <v>100.32</v>
      </c>
      <c r="N840" s="9">
        <f>tblTransactions[[#This Row],[GrossSales]]*tblTransactions[[#This Row],[Discount]]</f>
        <v>10.032</v>
      </c>
      <c r="O840" s="9">
        <f>tblTransactions[[#This Row],[GrossSales]]-tblTransactions[[#This Row],[DiscountAmount]]</f>
        <v>90.287999999999997</v>
      </c>
      <c r="P840" s="9">
        <f>_xlfn.XLOOKUP(tblTransactions[[#This Row],[ProductID]],tblProducts[ProductID],tblProducts[UnitCost])</f>
        <v>66.61</v>
      </c>
      <c r="Q840" s="9">
        <f>tblTransactions[[#This Row],[Quantity]]*tblTransactions[[#This Row],[UnitCost]]</f>
        <v>66.61</v>
      </c>
      <c r="R840" s="9">
        <f>tblTransactions[[#This Row],[NetRevenue]]-tblTransactions[[#This Row],[TotalCost]]</f>
        <v>23.677999999999997</v>
      </c>
      <c r="S840" t="str">
        <f>_xlfn.XLOOKUP(tblTransactions[[#This Row],[ProductID]],tblProducts[ProductID],tblProducts[Category])</f>
        <v>Grocery</v>
      </c>
    </row>
    <row r="841" spans="1:19">
      <c r="A841" t="s">
        <v>17158</v>
      </c>
      <c r="B841" s="1">
        <v>45837</v>
      </c>
      <c r="C841" t="s">
        <v>6079</v>
      </c>
      <c r="D841" t="str">
        <f>_xlfn.XLOOKUP(tblTransactions[[#This Row],[CustomerID]],tblCustomers[CustomerID],tblCustomers[CustomerName])</f>
        <v>Hitesh Nigam</v>
      </c>
      <c r="E841" t="s">
        <v>16156</v>
      </c>
      <c r="F841" t="str">
        <f>_xlfn.XLOOKUP(tblTransactions[[#This Row],[ProductID]],tblProducts[ProductID],tblProducts[ProductName])</f>
        <v>Chocolate E5</v>
      </c>
      <c r="G841" t="s">
        <v>16259</v>
      </c>
      <c r="H841" t="str">
        <f>_xlfn.XLOOKUP(tblTransactions[[#This Row],[StoreID]],tblStores[StoreID],tblStores[Region])</f>
        <v>East</v>
      </c>
      <c r="I841">
        <v>1</v>
      </c>
      <c r="J841">
        <v>0</v>
      </c>
      <c r="K841" t="s">
        <v>16317</v>
      </c>
      <c r="L841" s="9">
        <f>_xlfn.XLOOKUP(tblTransactions[[#This Row],[ProductID]],tblProducts[ProductID],tblProducts[UnitPrice])</f>
        <v>817.37</v>
      </c>
      <c r="M841" s="9">
        <f>tblTransactions[[#This Row],[Quantity]]*tblTransactions[[#This Row],[UnitPrice]]</f>
        <v>817.37</v>
      </c>
      <c r="N841" s="9">
        <f>tblTransactions[[#This Row],[GrossSales]]*tblTransactions[[#This Row],[Discount]]</f>
        <v>0</v>
      </c>
      <c r="O841" s="9">
        <f>tblTransactions[[#This Row],[GrossSales]]-tblTransactions[[#This Row],[DiscountAmount]]</f>
        <v>817.37</v>
      </c>
      <c r="P841" s="9">
        <f>_xlfn.XLOOKUP(tblTransactions[[#This Row],[ProductID]],tblProducts[ProductID],tblProducts[UnitCost])</f>
        <v>595.03</v>
      </c>
      <c r="Q841" s="9">
        <f>tblTransactions[[#This Row],[Quantity]]*tblTransactions[[#This Row],[UnitCost]]</f>
        <v>595.03</v>
      </c>
      <c r="R841" s="9">
        <f>tblTransactions[[#This Row],[NetRevenue]]-tblTransactions[[#This Row],[TotalCost]]</f>
        <v>222.34000000000003</v>
      </c>
      <c r="S841" t="str">
        <f>_xlfn.XLOOKUP(tblTransactions[[#This Row],[ProductID]],tblProducts[ProductID],tblProducts[Category])</f>
        <v>Grocery</v>
      </c>
    </row>
    <row r="842" spans="1:19">
      <c r="A842" t="s">
        <v>17159</v>
      </c>
      <c r="B842" s="1">
        <v>45839</v>
      </c>
      <c r="C842" t="s">
        <v>8373</v>
      </c>
      <c r="D842" t="str">
        <f>_xlfn.XLOOKUP(tblTransactions[[#This Row],[CustomerID]],tblCustomers[CustomerID],tblCustomers[CustomerName])</f>
        <v>Samaksh Lanka</v>
      </c>
      <c r="E842" t="s">
        <v>16184</v>
      </c>
      <c r="F842" t="str">
        <f>_xlfn.XLOOKUP(tblTransactions[[#This Row],[ProductID]],tblProducts[ProductID],tblProducts[ProductName])</f>
        <v>Instant Noodles D4</v>
      </c>
      <c r="G842" t="s">
        <v>16305</v>
      </c>
      <c r="H842" t="str">
        <f>_xlfn.XLOOKUP(tblTransactions[[#This Row],[StoreID]],tblStores[StoreID],tblStores[Region])</f>
        <v>South</v>
      </c>
      <c r="I842">
        <v>4</v>
      </c>
      <c r="J842">
        <v>0</v>
      </c>
      <c r="K842" t="s">
        <v>16325</v>
      </c>
      <c r="L842" s="9">
        <f>_xlfn.XLOOKUP(tblTransactions[[#This Row],[ProductID]],tblProducts[ProductID],tblProducts[UnitPrice])</f>
        <v>400.63</v>
      </c>
      <c r="M842" s="9">
        <f>tblTransactions[[#This Row],[Quantity]]*tblTransactions[[#This Row],[UnitPrice]]</f>
        <v>1602.52</v>
      </c>
      <c r="N842" s="9">
        <f>tblTransactions[[#This Row],[GrossSales]]*tblTransactions[[#This Row],[Discount]]</f>
        <v>0</v>
      </c>
      <c r="O842" s="9">
        <f>tblTransactions[[#This Row],[GrossSales]]-tblTransactions[[#This Row],[DiscountAmount]]</f>
        <v>1602.52</v>
      </c>
      <c r="P842" s="9">
        <f>_xlfn.XLOOKUP(tblTransactions[[#This Row],[ProductID]],tblProducts[ProductID],tblProducts[UnitCost])</f>
        <v>222.73</v>
      </c>
      <c r="Q842" s="9">
        <f>tblTransactions[[#This Row],[Quantity]]*tblTransactions[[#This Row],[UnitCost]]</f>
        <v>890.92</v>
      </c>
      <c r="R842" s="9">
        <f>tblTransactions[[#This Row],[NetRevenue]]-tblTransactions[[#This Row],[TotalCost]]</f>
        <v>711.6</v>
      </c>
      <c r="S842" t="str">
        <f>_xlfn.XLOOKUP(tblTransactions[[#This Row],[ProductID]],tblProducts[ProductID],tblProducts[Category])</f>
        <v>Grocery</v>
      </c>
    </row>
    <row r="843" spans="1:19">
      <c r="A843" t="s">
        <v>17160</v>
      </c>
      <c r="B843" s="1">
        <v>45841</v>
      </c>
      <c r="C843" t="s">
        <v>9494</v>
      </c>
      <c r="D843" t="str">
        <f>_xlfn.XLOOKUP(tblTransactions[[#This Row],[CustomerID]],tblCustomers[CustomerID],tblCustomers[CustomerName])</f>
        <v>Xiti Thaman</v>
      </c>
      <c r="E843" t="s">
        <v>16230</v>
      </c>
      <c r="F843" t="str">
        <f>_xlfn.XLOOKUP(tblTransactions[[#This Row],[ProductID]],tblProducts[ProductID],tblProducts[ProductName])</f>
        <v>Body Lotion D4</v>
      </c>
      <c r="G843" t="s">
        <v>16283</v>
      </c>
      <c r="H843" t="str">
        <f>_xlfn.XLOOKUP(tblTransactions[[#This Row],[StoreID]],tblStores[StoreID],tblStores[Region])</f>
        <v>South</v>
      </c>
      <c r="I843">
        <v>1</v>
      </c>
      <c r="J843">
        <v>0</v>
      </c>
      <c r="K843" t="s">
        <v>16321</v>
      </c>
      <c r="L843" s="9">
        <f>_xlfn.XLOOKUP(tblTransactions[[#This Row],[ProductID]],tblProducts[ProductID],tblProducts[UnitPrice])</f>
        <v>3205.72</v>
      </c>
      <c r="M843" s="9">
        <f>tblTransactions[[#This Row],[Quantity]]*tblTransactions[[#This Row],[UnitPrice]]</f>
        <v>3205.72</v>
      </c>
      <c r="N843" s="9">
        <f>tblTransactions[[#This Row],[GrossSales]]*tblTransactions[[#This Row],[Discount]]</f>
        <v>0</v>
      </c>
      <c r="O843" s="9">
        <f>tblTransactions[[#This Row],[GrossSales]]-tblTransactions[[#This Row],[DiscountAmount]]</f>
        <v>3205.72</v>
      </c>
      <c r="P843" s="9">
        <f>_xlfn.XLOOKUP(tblTransactions[[#This Row],[ProductID]],tblProducts[ProductID],tblProducts[UnitCost])</f>
        <v>2167.94</v>
      </c>
      <c r="Q843" s="9">
        <f>tblTransactions[[#This Row],[Quantity]]*tblTransactions[[#This Row],[UnitCost]]</f>
        <v>2167.94</v>
      </c>
      <c r="R843" s="9">
        <f>tblTransactions[[#This Row],[NetRevenue]]-tblTransactions[[#This Row],[TotalCost]]</f>
        <v>1037.7799999999997</v>
      </c>
      <c r="S843" t="str">
        <f>_xlfn.XLOOKUP(tblTransactions[[#This Row],[ProductID]],tblProducts[ProductID],tblProducts[Category])</f>
        <v>Personal Care</v>
      </c>
    </row>
    <row r="844" spans="1:19">
      <c r="A844" t="s">
        <v>17161</v>
      </c>
      <c r="B844" s="1">
        <v>45841</v>
      </c>
      <c r="C844" t="s">
        <v>11357</v>
      </c>
      <c r="D844" t="str">
        <f>_xlfn.XLOOKUP(tblTransactions[[#This Row],[CustomerID]],tblCustomers[CustomerID],tblCustomers[CustomerName])</f>
        <v>Vedant Sani</v>
      </c>
      <c r="E844" t="s">
        <v>16127</v>
      </c>
      <c r="F844" t="str">
        <f>_xlfn.XLOOKUP(tblTransactions[[#This Row],[ProductID]],tblProducts[ProductID],tblProducts[ProductName])</f>
        <v>Sports Shoes A6</v>
      </c>
      <c r="G844" t="s">
        <v>16262</v>
      </c>
      <c r="H844" t="str">
        <f>_xlfn.XLOOKUP(tblTransactions[[#This Row],[StoreID]],tblStores[StoreID],tblStores[Region])</f>
        <v>North</v>
      </c>
      <c r="I844">
        <v>3</v>
      </c>
      <c r="J844">
        <v>0.05</v>
      </c>
      <c r="K844" t="s">
        <v>16321</v>
      </c>
      <c r="L844" s="9">
        <f>_xlfn.XLOOKUP(tblTransactions[[#This Row],[ProductID]],tblProducts[ProductID],tblProducts[UnitPrice])</f>
        <v>4565.2299999999996</v>
      </c>
      <c r="M844" s="9">
        <f>tblTransactions[[#This Row],[Quantity]]*tblTransactions[[#This Row],[UnitPrice]]</f>
        <v>13695.689999999999</v>
      </c>
      <c r="N844" s="9">
        <f>tblTransactions[[#This Row],[GrossSales]]*tblTransactions[[#This Row],[Discount]]</f>
        <v>684.78449999999998</v>
      </c>
      <c r="O844" s="9">
        <f>tblTransactions[[#This Row],[GrossSales]]-tblTransactions[[#This Row],[DiscountAmount]]</f>
        <v>13010.905499999999</v>
      </c>
      <c r="P844" s="9">
        <f>_xlfn.XLOOKUP(tblTransactions[[#This Row],[ProductID]],tblProducts[ProductID],tblProducts[UnitCost])</f>
        <v>3658.34</v>
      </c>
      <c r="Q844" s="9">
        <f>tblTransactions[[#This Row],[Quantity]]*tblTransactions[[#This Row],[UnitCost]]</f>
        <v>10975.02</v>
      </c>
      <c r="R844" s="9">
        <f>tblTransactions[[#This Row],[NetRevenue]]-tblTransactions[[#This Row],[TotalCost]]</f>
        <v>2035.8854999999985</v>
      </c>
      <c r="S844" t="str">
        <f>_xlfn.XLOOKUP(tblTransactions[[#This Row],[ProductID]],tblProducts[ProductID],tblProducts[Category])</f>
        <v>Clothing</v>
      </c>
    </row>
    <row r="845" spans="1:19">
      <c r="A845" t="s">
        <v>17162</v>
      </c>
      <c r="B845" s="1">
        <v>45841</v>
      </c>
      <c r="C845" t="s">
        <v>10471</v>
      </c>
      <c r="D845" t="str">
        <f>_xlfn.XLOOKUP(tblTransactions[[#This Row],[CustomerID]],tblCustomers[CustomerID],tblCustomers[CustomerName])</f>
        <v>Urvi Rajagopalan</v>
      </c>
      <c r="E845" t="s">
        <v>16182</v>
      </c>
      <c r="F845" t="str">
        <f>_xlfn.XLOOKUP(tblTransactions[[#This Row],[ProductID]],tblProducts[ProductID],tblProducts[ProductName])</f>
        <v>Instant Noodles C3</v>
      </c>
      <c r="G845" t="s">
        <v>16307</v>
      </c>
      <c r="H845" t="str">
        <f>_xlfn.XLOOKUP(tblTransactions[[#This Row],[StoreID]],tblStores[StoreID],tblStores[Region])</f>
        <v>East</v>
      </c>
      <c r="I845">
        <v>1</v>
      </c>
      <c r="J845">
        <v>0</v>
      </c>
      <c r="K845" t="s">
        <v>16319</v>
      </c>
      <c r="L845" s="9">
        <f>_xlfn.XLOOKUP(tblTransactions[[#This Row],[ProductID]],tblProducts[ProductID],tblProducts[UnitPrice])</f>
        <v>1499.75</v>
      </c>
      <c r="M845" s="9">
        <f>tblTransactions[[#This Row],[Quantity]]*tblTransactions[[#This Row],[UnitPrice]]</f>
        <v>1499.75</v>
      </c>
      <c r="N845" s="9">
        <f>tblTransactions[[#This Row],[GrossSales]]*tblTransactions[[#This Row],[Discount]]</f>
        <v>0</v>
      </c>
      <c r="O845" s="9">
        <f>tblTransactions[[#This Row],[GrossSales]]-tblTransactions[[#This Row],[DiscountAmount]]</f>
        <v>1499.75</v>
      </c>
      <c r="P845" s="9">
        <f>_xlfn.XLOOKUP(tblTransactions[[#This Row],[ProductID]],tblProducts[ProductID],tblProducts[UnitCost])</f>
        <v>1194.1400000000001</v>
      </c>
      <c r="Q845" s="9">
        <f>tblTransactions[[#This Row],[Quantity]]*tblTransactions[[#This Row],[UnitCost]]</f>
        <v>1194.1400000000001</v>
      </c>
      <c r="R845" s="9">
        <f>tblTransactions[[#This Row],[NetRevenue]]-tblTransactions[[#This Row],[TotalCost]]</f>
        <v>305.6099999999999</v>
      </c>
      <c r="S845" t="str">
        <f>_xlfn.XLOOKUP(tblTransactions[[#This Row],[ProductID]],tblProducts[ProductID],tblProducts[Category])</f>
        <v>Grocery</v>
      </c>
    </row>
    <row r="846" spans="1:19">
      <c r="A846" t="s">
        <v>17163</v>
      </c>
      <c r="B846" s="1">
        <v>45842</v>
      </c>
      <c r="C846" t="s">
        <v>11809</v>
      </c>
      <c r="D846" t="str">
        <f>_xlfn.XLOOKUP(tblTransactions[[#This Row],[CustomerID]],tblCustomers[CustomerID],tblCustomers[CustomerName])</f>
        <v>Odika Uppal</v>
      </c>
      <c r="E846" t="s">
        <v>16158</v>
      </c>
      <c r="F846" t="str">
        <f>_xlfn.XLOOKUP(tblTransactions[[#This Row],[ProductID]],tblProducts[ProductID],tblProducts[ProductName])</f>
        <v>Chocolate A6</v>
      </c>
      <c r="G846" t="s">
        <v>16301</v>
      </c>
      <c r="H846" t="str">
        <f>_xlfn.XLOOKUP(tblTransactions[[#This Row],[StoreID]],tblStores[StoreID],tblStores[Region])</f>
        <v>East</v>
      </c>
      <c r="I846">
        <v>4</v>
      </c>
      <c r="J846">
        <v>0</v>
      </c>
      <c r="K846" t="s">
        <v>16321</v>
      </c>
      <c r="L846" s="9">
        <f>_xlfn.XLOOKUP(tblTransactions[[#This Row],[ProductID]],tblProducts[ProductID],tblProducts[UnitPrice])</f>
        <v>1494.3</v>
      </c>
      <c r="M846" s="9">
        <f>tblTransactions[[#This Row],[Quantity]]*tblTransactions[[#This Row],[UnitPrice]]</f>
        <v>5977.2</v>
      </c>
      <c r="N846" s="9">
        <f>tblTransactions[[#This Row],[GrossSales]]*tblTransactions[[#This Row],[Discount]]</f>
        <v>0</v>
      </c>
      <c r="O846" s="9">
        <f>tblTransactions[[#This Row],[GrossSales]]-tblTransactions[[#This Row],[DiscountAmount]]</f>
        <v>5977.2</v>
      </c>
      <c r="P846" s="9">
        <f>_xlfn.XLOOKUP(tblTransactions[[#This Row],[ProductID]],tblProducts[ProductID],tblProducts[UnitCost])</f>
        <v>1031.67</v>
      </c>
      <c r="Q846" s="9">
        <f>tblTransactions[[#This Row],[Quantity]]*tblTransactions[[#This Row],[UnitCost]]</f>
        <v>4126.68</v>
      </c>
      <c r="R846" s="9">
        <f>tblTransactions[[#This Row],[NetRevenue]]-tblTransactions[[#This Row],[TotalCost]]</f>
        <v>1850.5199999999995</v>
      </c>
      <c r="S846" t="str">
        <f>_xlfn.XLOOKUP(tblTransactions[[#This Row],[ProductID]],tblProducts[ProductID],tblProducts[Category])</f>
        <v>Grocery</v>
      </c>
    </row>
    <row r="847" spans="1:19">
      <c r="A847" t="s">
        <v>17164</v>
      </c>
      <c r="B847" s="1">
        <v>45842</v>
      </c>
      <c r="C847" t="s">
        <v>7694</v>
      </c>
      <c r="D847" t="str">
        <f>_xlfn.XLOOKUP(tblTransactions[[#This Row],[CustomerID]],tblCustomers[CustomerID],tblCustomers[CustomerName])</f>
        <v>Rudra Varma</v>
      </c>
      <c r="E847" t="s">
        <v>16190</v>
      </c>
      <c r="F847" t="str">
        <f>_xlfn.XLOOKUP(tblTransactions[[#This Row],[ProductID]],tblProducts[ProductID],tblProducts[ProductName])</f>
        <v>Pasta B7</v>
      </c>
      <c r="G847" t="s">
        <v>16297</v>
      </c>
      <c r="H847" t="str">
        <f>_xlfn.XLOOKUP(tblTransactions[[#This Row],[StoreID]],tblStores[StoreID],tblStores[Region])</f>
        <v>North</v>
      </c>
      <c r="I847">
        <v>2</v>
      </c>
      <c r="J847">
        <v>0</v>
      </c>
      <c r="K847" t="s">
        <v>16317</v>
      </c>
      <c r="L847" s="9">
        <f>_xlfn.XLOOKUP(tblTransactions[[#This Row],[ProductID]],tblProducts[ProductID],tblProducts[UnitPrice])</f>
        <v>777.56</v>
      </c>
      <c r="M847" s="9">
        <f>tblTransactions[[#This Row],[Quantity]]*tblTransactions[[#This Row],[UnitPrice]]</f>
        <v>1555.12</v>
      </c>
      <c r="N847" s="9">
        <f>tblTransactions[[#This Row],[GrossSales]]*tblTransactions[[#This Row],[Discount]]</f>
        <v>0</v>
      </c>
      <c r="O847" s="9">
        <f>tblTransactions[[#This Row],[GrossSales]]-tblTransactions[[#This Row],[DiscountAmount]]</f>
        <v>1555.12</v>
      </c>
      <c r="P847" s="9">
        <f>_xlfn.XLOOKUP(tblTransactions[[#This Row],[ProductID]],tblProducts[ProductID],tblProducts[UnitCost])</f>
        <v>503.09</v>
      </c>
      <c r="Q847" s="9">
        <f>tblTransactions[[#This Row],[Quantity]]*tblTransactions[[#This Row],[UnitCost]]</f>
        <v>1006.18</v>
      </c>
      <c r="R847" s="9">
        <f>tblTransactions[[#This Row],[NetRevenue]]-tblTransactions[[#This Row],[TotalCost]]</f>
        <v>548.93999999999994</v>
      </c>
      <c r="S847" t="str">
        <f>_xlfn.XLOOKUP(tblTransactions[[#This Row],[ProductID]],tblProducts[ProductID],tblProducts[Category])</f>
        <v>Grocery</v>
      </c>
    </row>
    <row r="848" spans="1:19">
      <c r="A848" t="s">
        <v>17165</v>
      </c>
      <c r="B848" s="1">
        <v>45842</v>
      </c>
      <c r="C848" t="s">
        <v>14937</v>
      </c>
      <c r="D848" t="str">
        <f>_xlfn.XLOOKUP(tblTransactions[[#This Row],[CustomerID]],tblCustomers[CustomerID],tblCustomers[CustomerName])</f>
        <v>Nandini Mohan</v>
      </c>
      <c r="E848" t="s">
        <v>16165</v>
      </c>
      <c r="F848" t="str">
        <f>_xlfn.XLOOKUP(tblTransactions[[#This Row],[ProductID]],tblProducts[ProductID],tblProducts[ProductName])</f>
        <v>Juice B2</v>
      </c>
      <c r="G848" t="s">
        <v>16287</v>
      </c>
      <c r="H848" t="str">
        <f>_xlfn.XLOOKUP(tblTransactions[[#This Row],[StoreID]],tblStores[StoreID],tblStores[Region])</f>
        <v>North</v>
      </c>
      <c r="I848">
        <v>1</v>
      </c>
      <c r="J848">
        <v>0.1</v>
      </c>
      <c r="K848" t="s">
        <v>16317</v>
      </c>
      <c r="L848" s="9">
        <f>_xlfn.XLOOKUP(tblTransactions[[#This Row],[ProductID]],tblProducts[ProductID],tblProducts[UnitPrice])</f>
        <v>1053.9000000000001</v>
      </c>
      <c r="M848" s="9">
        <f>tblTransactions[[#This Row],[Quantity]]*tblTransactions[[#This Row],[UnitPrice]]</f>
        <v>1053.9000000000001</v>
      </c>
      <c r="N848" s="9">
        <f>tblTransactions[[#This Row],[GrossSales]]*tblTransactions[[#This Row],[Discount]]</f>
        <v>105.39000000000001</v>
      </c>
      <c r="O848" s="9">
        <f>tblTransactions[[#This Row],[GrossSales]]-tblTransactions[[#This Row],[DiscountAmount]]</f>
        <v>948.5100000000001</v>
      </c>
      <c r="P848" s="9">
        <f>_xlfn.XLOOKUP(tblTransactions[[#This Row],[ProductID]],tblProducts[ProductID],tblProducts[UnitCost])</f>
        <v>710.59</v>
      </c>
      <c r="Q848" s="9">
        <f>tblTransactions[[#This Row],[Quantity]]*tblTransactions[[#This Row],[UnitCost]]</f>
        <v>710.59</v>
      </c>
      <c r="R848" s="9">
        <f>tblTransactions[[#This Row],[NetRevenue]]-tblTransactions[[#This Row],[TotalCost]]</f>
        <v>237.92000000000007</v>
      </c>
      <c r="S848" t="str">
        <f>_xlfn.XLOOKUP(tblTransactions[[#This Row],[ProductID]],tblProducts[ProductID],tblProducts[Category])</f>
        <v>Grocery</v>
      </c>
    </row>
    <row r="849" spans="1:19">
      <c r="A849" t="s">
        <v>17166</v>
      </c>
      <c r="B849" s="1">
        <v>45842</v>
      </c>
      <c r="C849" t="s">
        <v>4351</v>
      </c>
      <c r="D849" t="str">
        <f>_xlfn.XLOOKUP(tblTransactions[[#This Row],[CustomerID]],tblCustomers[CustomerID],tblCustomers[CustomerName])</f>
        <v>Ojas Mistry</v>
      </c>
      <c r="E849" t="s">
        <v>16091</v>
      </c>
      <c r="F849" t="str">
        <f>_xlfn.XLOOKUP(tblTransactions[[#This Row],[ProductID]],tblProducts[ProductID],tblProducts[ProductName])</f>
        <v>Women's Jacket C3</v>
      </c>
      <c r="G849" t="s">
        <v>16269</v>
      </c>
      <c r="H849" t="str">
        <f>_xlfn.XLOOKUP(tblTransactions[[#This Row],[StoreID]],tblStores[StoreID],tblStores[Region])</f>
        <v>North</v>
      </c>
      <c r="I849">
        <v>1</v>
      </c>
      <c r="J849">
        <v>0.1</v>
      </c>
      <c r="K849" t="s">
        <v>16317</v>
      </c>
      <c r="L849" s="9">
        <f>_xlfn.XLOOKUP(tblTransactions[[#This Row],[ProductID]],tblProducts[ProductID],tblProducts[UnitPrice])</f>
        <v>3661.03</v>
      </c>
      <c r="M849" s="9">
        <f>tblTransactions[[#This Row],[Quantity]]*tblTransactions[[#This Row],[UnitPrice]]</f>
        <v>3661.03</v>
      </c>
      <c r="N849" s="9">
        <f>tblTransactions[[#This Row],[GrossSales]]*tblTransactions[[#This Row],[Discount]]</f>
        <v>366.10300000000007</v>
      </c>
      <c r="O849" s="9">
        <f>tblTransactions[[#This Row],[GrossSales]]-tblTransactions[[#This Row],[DiscountAmount]]</f>
        <v>3294.9270000000001</v>
      </c>
      <c r="P849" s="9">
        <f>_xlfn.XLOOKUP(tblTransactions[[#This Row],[ProductID]],tblProducts[ProductID],tblProducts[UnitCost])</f>
        <v>2588.56</v>
      </c>
      <c r="Q849" s="9">
        <f>tblTransactions[[#This Row],[Quantity]]*tblTransactions[[#This Row],[UnitCost]]</f>
        <v>2588.56</v>
      </c>
      <c r="R849" s="9">
        <f>tblTransactions[[#This Row],[NetRevenue]]-tblTransactions[[#This Row],[TotalCost]]</f>
        <v>706.36700000000019</v>
      </c>
      <c r="S849" t="str">
        <f>_xlfn.XLOOKUP(tblTransactions[[#This Row],[ProductID]],tblProducts[ProductID],tblProducts[Category])</f>
        <v>Clothing</v>
      </c>
    </row>
    <row r="850" spans="1:19">
      <c r="A850" t="s">
        <v>17167</v>
      </c>
      <c r="B850" s="1">
        <v>45843</v>
      </c>
      <c r="C850" t="s">
        <v>12153</v>
      </c>
      <c r="D850" t="str">
        <f>_xlfn.XLOOKUP(tblTransactions[[#This Row],[CustomerID]],tblCustomers[CustomerID],tblCustomers[CustomerName])</f>
        <v>Jeet Dugal</v>
      </c>
      <c r="E850" t="s">
        <v>16101</v>
      </c>
      <c r="F850" t="str">
        <f>_xlfn.XLOOKUP(tblTransactions[[#This Row],[ProductID]],tblProducts[ProductID],tblProducts[ProductName])</f>
        <v>Kids Jacket A1</v>
      </c>
      <c r="G850" t="s">
        <v>16267</v>
      </c>
      <c r="H850" t="str">
        <f>_xlfn.XLOOKUP(tblTransactions[[#This Row],[StoreID]],tblStores[StoreID],tblStores[Region])</f>
        <v>West</v>
      </c>
      <c r="I850">
        <v>1</v>
      </c>
      <c r="J850">
        <v>0.15</v>
      </c>
      <c r="K850" t="s">
        <v>16315</v>
      </c>
      <c r="L850" s="9">
        <f>_xlfn.XLOOKUP(tblTransactions[[#This Row],[ProductID]],tblProducts[ProductID],tblProducts[UnitPrice])</f>
        <v>1715.72</v>
      </c>
      <c r="M850" s="9">
        <f>tblTransactions[[#This Row],[Quantity]]*tblTransactions[[#This Row],[UnitPrice]]</f>
        <v>1715.72</v>
      </c>
      <c r="N850" s="9">
        <f>tblTransactions[[#This Row],[GrossSales]]*tblTransactions[[#This Row],[Discount]]</f>
        <v>257.358</v>
      </c>
      <c r="O850" s="9">
        <f>tblTransactions[[#This Row],[GrossSales]]-tblTransactions[[#This Row],[DiscountAmount]]</f>
        <v>1458.3620000000001</v>
      </c>
      <c r="P850" s="9">
        <f>_xlfn.XLOOKUP(tblTransactions[[#This Row],[ProductID]],tblProducts[ProductID],tblProducts[UnitCost])</f>
        <v>1050.32</v>
      </c>
      <c r="Q850" s="9">
        <f>tblTransactions[[#This Row],[Quantity]]*tblTransactions[[#This Row],[UnitCost]]</f>
        <v>1050.32</v>
      </c>
      <c r="R850" s="9">
        <f>tblTransactions[[#This Row],[NetRevenue]]-tblTransactions[[#This Row],[TotalCost]]</f>
        <v>408.04200000000014</v>
      </c>
      <c r="S850" t="str">
        <f>_xlfn.XLOOKUP(tblTransactions[[#This Row],[ProductID]],tblProducts[ProductID],tblProducts[Category])</f>
        <v>Clothing</v>
      </c>
    </row>
    <row r="851" spans="1:19">
      <c r="A851" t="s">
        <v>17168</v>
      </c>
      <c r="B851" s="1">
        <v>45843</v>
      </c>
      <c r="C851" t="s">
        <v>11110</v>
      </c>
      <c r="D851" t="str">
        <f>_xlfn.XLOOKUP(tblTransactions[[#This Row],[CustomerID]],tblCustomers[CustomerID],tblCustomers[CustomerName])</f>
        <v>Yutika Sharma</v>
      </c>
      <c r="E851" t="s">
        <v>16160</v>
      </c>
      <c r="F851" t="str">
        <f>_xlfn.XLOOKUP(tblTransactions[[#This Row],[ProductID]],tblProducts[ProductID],tblProducts[ProductName])</f>
        <v>Namkeen B7</v>
      </c>
      <c r="G851" t="s">
        <v>16287</v>
      </c>
      <c r="H851" t="str">
        <f>_xlfn.XLOOKUP(tblTransactions[[#This Row],[StoreID]],tblStores[StoreID],tblStores[Region])</f>
        <v>North</v>
      </c>
      <c r="I851">
        <v>1</v>
      </c>
      <c r="J851">
        <v>0.05</v>
      </c>
      <c r="K851" t="s">
        <v>16317</v>
      </c>
      <c r="L851" s="9">
        <f>_xlfn.XLOOKUP(tblTransactions[[#This Row],[ProductID]],tblProducts[ProductID],tblProducts[UnitPrice])</f>
        <v>1123.58</v>
      </c>
      <c r="M851" s="9">
        <f>tblTransactions[[#This Row],[Quantity]]*tblTransactions[[#This Row],[UnitPrice]]</f>
        <v>1123.58</v>
      </c>
      <c r="N851" s="9">
        <f>tblTransactions[[#This Row],[GrossSales]]*tblTransactions[[#This Row],[Discount]]</f>
        <v>56.179000000000002</v>
      </c>
      <c r="O851" s="9">
        <f>tblTransactions[[#This Row],[GrossSales]]-tblTransactions[[#This Row],[DiscountAmount]]</f>
        <v>1067.4009999999998</v>
      </c>
      <c r="P851" s="9">
        <f>_xlfn.XLOOKUP(tblTransactions[[#This Row],[ProductID]],tblProducts[ProductID],tblProducts[UnitCost])</f>
        <v>665.75</v>
      </c>
      <c r="Q851" s="9">
        <f>tblTransactions[[#This Row],[Quantity]]*tblTransactions[[#This Row],[UnitCost]]</f>
        <v>665.75</v>
      </c>
      <c r="R851" s="9">
        <f>tblTransactions[[#This Row],[NetRevenue]]-tblTransactions[[#This Row],[TotalCost]]</f>
        <v>401.65099999999984</v>
      </c>
      <c r="S851" t="str">
        <f>_xlfn.XLOOKUP(tblTransactions[[#This Row],[ProductID]],tblProducts[ProductID],tblProducts[Category])</f>
        <v>Grocery</v>
      </c>
    </row>
    <row r="852" spans="1:19">
      <c r="A852" t="s">
        <v>17169</v>
      </c>
      <c r="B852" s="1">
        <v>45843</v>
      </c>
      <c r="C852" t="s">
        <v>11118</v>
      </c>
      <c r="D852" t="str">
        <f>_xlfn.XLOOKUP(tblTransactions[[#This Row],[CustomerID]],tblCustomers[CustomerID],tblCustomers[CustomerName])</f>
        <v>Wahab Pingle</v>
      </c>
      <c r="E852" t="s">
        <v>16196</v>
      </c>
      <c r="F852" t="str">
        <f>_xlfn.XLOOKUP(tblTransactions[[#This Row],[ProductID]],tblProducts[ProductID],tblProducts[ProductName])</f>
        <v>Sunscreen B2</v>
      </c>
      <c r="G852" t="s">
        <v>16289</v>
      </c>
      <c r="H852" t="str">
        <f>_xlfn.XLOOKUP(tblTransactions[[#This Row],[StoreID]],tblStores[StoreID],tblStores[Region])</f>
        <v>South</v>
      </c>
      <c r="I852">
        <v>1</v>
      </c>
      <c r="J852">
        <v>0</v>
      </c>
      <c r="K852" t="s">
        <v>16325</v>
      </c>
      <c r="L852" s="9">
        <f>_xlfn.XLOOKUP(tblTransactions[[#This Row],[ProductID]],tblProducts[ProductID],tblProducts[UnitPrice])</f>
        <v>1841.85</v>
      </c>
      <c r="M852" s="9">
        <f>tblTransactions[[#This Row],[Quantity]]*tblTransactions[[#This Row],[UnitPrice]]</f>
        <v>1841.85</v>
      </c>
      <c r="N852" s="9">
        <f>tblTransactions[[#This Row],[GrossSales]]*tblTransactions[[#This Row],[Discount]]</f>
        <v>0</v>
      </c>
      <c r="O852" s="9">
        <f>tblTransactions[[#This Row],[GrossSales]]-tblTransactions[[#This Row],[DiscountAmount]]</f>
        <v>1841.85</v>
      </c>
      <c r="P852" s="9">
        <f>_xlfn.XLOOKUP(tblTransactions[[#This Row],[ProductID]],tblProducts[ProductID],tblProducts[UnitCost])</f>
        <v>1327.7</v>
      </c>
      <c r="Q852" s="9">
        <f>tblTransactions[[#This Row],[Quantity]]*tblTransactions[[#This Row],[UnitCost]]</f>
        <v>1327.7</v>
      </c>
      <c r="R852" s="9">
        <f>tblTransactions[[#This Row],[NetRevenue]]-tblTransactions[[#This Row],[TotalCost]]</f>
        <v>514.14999999999986</v>
      </c>
      <c r="S852" t="str">
        <f>_xlfn.XLOOKUP(tblTransactions[[#This Row],[ProductID]],tblProducts[ProductID],tblProducts[Category])</f>
        <v>Personal Care</v>
      </c>
    </row>
    <row r="853" spans="1:19">
      <c r="A853" t="s">
        <v>17170</v>
      </c>
      <c r="B853" s="1">
        <v>45844</v>
      </c>
      <c r="C853" t="s">
        <v>12060</v>
      </c>
      <c r="D853" t="str">
        <f>_xlfn.XLOOKUP(tblTransactions[[#This Row],[CustomerID]],tblCustomers[CustomerID],tblCustomers[CustomerName])</f>
        <v>Oliver Dhar</v>
      </c>
      <c r="E853" t="s">
        <v>15941</v>
      </c>
      <c r="F853" t="str">
        <f>_xlfn.XLOOKUP(tblTransactions[[#This Row],[ProductID]],tblProducts[ProductID],tblProducts[ProductName])</f>
        <v>Full HD TV B7</v>
      </c>
      <c r="G853" t="s">
        <v>16277</v>
      </c>
      <c r="H853" t="str">
        <f>_xlfn.XLOOKUP(tblTransactions[[#This Row],[StoreID]],tblStores[StoreID],tblStores[Region])</f>
        <v>West</v>
      </c>
      <c r="I853">
        <v>2</v>
      </c>
      <c r="J853">
        <v>0.1</v>
      </c>
      <c r="K853" t="s">
        <v>16315</v>
      </c>
      <c r="L853" s="9">
        <f>_xlfn.XLOOKUP(tblTransactions[[#This Row],[ProductID]],tblProducts[ProductID],tblProducts[UnitPrice])</f>
        <v>26638.81</v>
      </c>
      <c r="M853" s="9">
        <f>tblTransactions[[#This Row],[Quantity]]*tblTransactions[[#This Row],[UnitPrice]]</f>
        <v>53277.62</v>
      </c>
      <c r="N853" s="9">
        <f>tblTransactions[[#This Row],[GrossSales]]*tblTransactions[[#This Row],[Discount]]</f>
        <v>5327.7620000000006</v>
      </c>
      <c r="O853" s="9">
        <f>tblTransactions[[#This Row],[GrossSales]]-tblTransactions[[#This Row],[DiscountAmount]]</f>
        <v>47949.858</v>
      </c>
      <c r="P853" s="9">
        <f>_xlfn.XLOOKUP(tblTransactions[[#This Row],[ProductID]],tblProducts[ProductID],tblProducts[UnitCost])</f>
        <v>20107.810000000001</v>
      </c>
      <c r="Q853" s="9">
        <f>tblTransactions[[#This Row],[Quantity]]*tblTransactions[[#This Row],[UnitCost]]</f>
        <v>40215.620000000003</v>
      </c>
      <c r="R853" s="9">
        <f>tblTransactions[[#This Row],[NetRevenue]]-tblTransactions[[#This Row],[TotalCost]]</f>
        <v>7734.2379999999976</v>
      </c>
      <c r="S853" t="str">
        <f>_xlfn.XLOOKUP(tblTransactions[[#This Row],[ProductID]],tblProducts[ProductID],tblProducts[Category])</f>
        <v>Electronics</v>
      </c>
    </row>
    <row r="854" spans="1:19">
      <c r="A854" t="s">
        <v>17171</v>
      </c>
      <c r="B854" s="1">
        <v>45844</v>
      </c>
      <c r="C854" t="s">
        <v>13541</v>
      </c>
      <c r="D854" t="str">
        <f>_xlfn.XLOOKUP(tblTransactions[[#This Row],[CustomerID]],tblCustomers[CustomerID],tblCustomers[CustomerName])</f>
        <v>Zayyan Parekh</v>
      </c>
      <c r="E854" t="s">
        <v>16162</v>
      </c>
      <c r="F854" t="str">
        <f>_xlfn.XLOOKUP(tblTransactions[[#This Row],[ProductID]],tblProducts[ProductID],tblProducts[ProductName])</f>
        <v>Tea A1</v>
      </c>
      <c r="G854" t="s">
        <v>16307</v>
      </c>
      <c r="H854" t="str">
        <f>_xlfn.XLOOKUP(tblTransactions[[#This Row],[StoreID]],tblStores[StoreID],tblStores[Region])</f>
        <v>East</v>
      </c>
      <c r="I854">
        <v>1</v>
      </c>
      <c r="J854">
        <v>0.1</v>
      </c>
      <c r="K854" t="s">
        <v>16317</v>
      </c>
      <c r="L854" s="9">
        <f>_xlfn.XLOOKUP(tblTransactions[[#This Row],[ProductID]],tblProducts[ProductID],tblProducts[UnitPrice])</f>
        <v>675.13</v>
      </c>
      <c r="M854" s="9">
        <f>tblTransactions[[#This Row],[Quantity]]*tblTransactions[[#This Row],[UnitPrice]]</f>
        <v>675.13</v>
      </c>
      <c r="N854" s="9">
        <f>tblTransactions[[#This Row],[GrossSales]]*tblTransactions[[#This Row],[Discount]]</f>
        <v>67.513000000000005</v>
      </c>
      <c r="O854" s="9">
        <f>tblTransactions[[#This Row],[GrossSales]]-tblTransactions[[#This Row],[DiscountAmount]]</f>
        <v>607.61699999999996</v>
      </c>
      <c r="P854" s="9">
        <f>_xlfn.XLOOKUP(tblTransactions[[#This Row],[ProductID]],tblProducts[ProductID],tblProducts[UnitCost])</f>
        <v>510.45</v>
      </c>
      <c r="Q854" s="9">
        <f>tblTransactions[[#This Row],[Quantity]]*tblTransactions[[#This Row],[UnitCost]]</f>
        <v>510.45</v>
      </c>
      <c r="R854" s="9">
        <f>tblTransactions[[#This Row],[NetRevenue]]-tblTransactions[[#This Row],[TotalCost]]</f>
        <v>97.166999999999973</v>
      </c>
      <c r="S854" t="str">
        <f>_xlfn.XLOOKUP(tblTransactions[[#This Row],[ProductID]],tblProducts[ProductID],tblProducts[Category])</f>
        <v>Grocery</v>
      </c>
    </row>
    <row r="855" spans="1:19">
      <c r="A855" t="s">
        <v>17172</v>
      </c>
      <c r="B855" s="1">
        <v>45845</v>
      </c>
      <c r="C855" t="s">
        <v>10169</v>
      </c>
      <c r="D855" t="str">
        <f>_xlfn.XLOOKUP(tblTransactions[[#This Row],[CustomerID]],tblCustomers[CustomerID],tblCustomers[CustomerName])</f>
        <v>Manthan Luthra</v>
      </c>
      <c r="E855" t="s">
        <v>15948</v>
      </c>
      <c r="F855" t="str">
        <f>_xlfn.XLOOKUP(tblTransactions[[#This Row],[ProductID]],tblProducts[ProductID],tblProducts[ProductName])</f>
        <v>Budget Smartphone B2</v>
      </c>
      <c r="G855" t="s">
        <v>16305</v>
      </c>
      <c r="H855" t="str">
        <f>_xlfn.XLOOKUP(tblTransactions[[#This Row],[StoreID]],tblStores[StoreID],tblStores[Region])</f>
        <v>South</v>
      </c>
      <c r="I855">
        <v>2</v>
      </c>
      <c r="J855">
        <v>0</v>
      </c>
      <c r="K855" t="s">
        <v>16317</v>
      </c>
      <c r="L855" s="9">
        <f>_xlfn.XLOOKUP(tblTransactions[[#This Row],[ProductID]],tblProducts[ProductID],tblProducts[UnitPrice])</f>
        <v>4404.4399999999996</v>
      </c>
      <c r="M855" s="9">
        <f>tblTransactions[[#This Row],[Quantity]]*tblTransactions[[#This Row],[UnitPrice]]</f>
        <v>8808.8799999999992</v>
      </c>
      <c r="N855" s="9">
        <f>tblTransactions[[#This Row],[GrossSales]]*tblTransactions[[#This Row],[Discount]]</f>
        <v>0</v>
      </c>
      <c r="O855" s="9">
        <f>tblTransactions[[#This Row],[GrossSales]]-tblTransactions[[#This Row],[DiscountAmount]]</f>
        <v>8808.8799999999992</v>
      </c>
      <c r="P855" s="9">
        <f>_xlfn.XLOOKUP(tblTransactions[[#This Row],[ProductID]],tblProducts[ProductID],tblProducts[UnitCost])</f>
        <v>3239.84</v>
      </c>
      <c r="Q855" s="9">
        <f>tblTransactions[[#This Row],[Quantity]]*tblTransactions[[#This Row],[UnitCost]]</f>
        <v>6479.68</v>
      </c>
      <c r="R855" s="9">
        <f>tblTransactions[[#This Row],[NetRevenue]]-tblTransactions[[#This Row],[TotalCost]]</f>
        <v>2329.1999999999989</v>
      </c>
      <c r="S855" t="str">
        <f>_xlfn.XLOOKUP(tblTransactions[[#This Row],[ProductID]],tblProducts[ProductID],tblProducts[Category])</f>
        <v>Electronics</v>
      </c>
    </row>
    <row r="856" spans="1:19">
      <c r="A856" t="s">
        <v>17173</v>
      </c>
      <c r="B856" s="1">
        <v>45845</v>
      </c>
      <c r="C856" t="s">
        <v>7147</v>
      </c>
      <c r="D856" t="str">
        <f>_xlfn.XLOOKUP(tblTransactions[[#This Row],[CustomerID]],tblCustomers[CustomerID],tblCustomers[CustomerName])</f>
        <v>Warda Hora</v>
      </c>
      <c r="E856" t="s">
        <v>16249</v>
      </c>
      <c r="F856" t="str">
        <f>_xlfn.XLOOKUP(tblTransactions[[#This Row],[ProductID]],tblProducts[ProductID],tblProducts[ProductName])</f>
        <v>Beard Oil A6</v>
      </c>
      <c r="G856" t="s">
        <v>16289</v>
      </c>
      <c r="H856" t="str">
        <f>_xlfn.XLOOKUP(tblTransactions[[#This Row],[StoreID]],tblStores[StoreID],tblStores[Region])</f>
        <v>South</v>
      </c>
      <c r="I856">
        <v>3</v>
      </c>
      <c r="J856">
        <v>0</v>
      </c>
      <c r="K856" t="s">
        <v>16321</v>
      </c>
      <c r="L856" s="9">
        <f>_xlfn.XLOOKUP(tblTransactions[[#This Row],[ProductID]],tblProducts[ProductID],tblProducts[UnitPrice])</f>
        <v>4294.7</v>
      </c>
      <c r="M856" s="9">
        <f>tblTransactions[[#This Row],[Quantity]]*tblTransactions[[#This Row],[UnitPrice]]</f>
        <v>12884.099999999999</v>
      </c>
      <c r="N856" s="9">
        <f>tblTransactions[[#This Row],[GrossSales]]*tblTransactions[[#This Row],[Discount]]</f>
        <v>0</v>
      </c>
      <c r="O856" s="9">
        <f>tblTransactions[[#This Row],[GrossSales]]-tblTransactions[[#This Row],[DiscountAmount]]</f>
        <v>12884.099999999999</v>
      </c>
      <c r="P856" s="9">
        <f>_xlfn.XLOOKUP(tblTransactions[[#This Row],[ProductID]],tblProducts[ProductID],tblProducts[UnitCost])</f>
        <v>3317.06</v>
      </c>
      <c r="Q856" s="9">
        <f>tblTransactions[[#This Row],[Quantity]]*tblTransactions[[#This Row],[UnitCost]]</f>
        <v>9951.18</v>
      </c>
      <c r="R856" s="9">
        <f>tblTransactions[[#This Row],[NetRevenue]]-tblTransactions[[#This Row],[TotalCost]]</f>
        <v>2932.9199999999983</v>
      </c>
      <c r="S856" t="str">
        <f>_xlfn.XLOOKUP(tblTransactions[[#This Row],[ProductID]],tblProducts[ProductID],tblProducts[Category])</f>
        <v>Personal Care</v>
      </c>
    </row>
    <row r="857" spans="1:19">
      <c r="A857" t="s">
        <v>17174</v>
      </c>
      <c r="B857" s="1">
        <v>45849</v>
      </c>
      <c r="C857" t="s">
        <v>3337</v>
      </c>
      <c r="D857" t="str">
        <f>_xlfn.XLOOKUP(tblTransactions[[#This Row],[CustomerID]],tblCustomers[CustomerID],tblCustomers[CustomerName])</f>
        <v>Hredhaan Deep</v>
      </c>
      <c r="E857" t="s">
        <v>16062</v>
      </c>
      <c r="F857" t="str">
        <f>_xlfn.XLOOKUP(tblTransactions[[#This Row],[ProductID]],tblProducts[ProductID],tblProducts[ProductName])</f>
        <v>Table Lamp D4</v>
      </c>
      <c r="G857" t="s">
        <v>16262</v>
      </c>
      <c r="H857" t="str">
        <f>_xlfn.XLOOKUP(tblTransactions[[#This Row],[StoreID]],tblStores[StoreID],tblStores[Region])</f>
        <v>North</v>
      </c>
      <c r="I857">
        <v>1</v>
      </c>
      <c r="J857">
        <v>0.1</v>
      </c>
      <c r="K857" t="s">
        <v>16317</v>
      </c>
      <c r="L857" s="9">
        <f>_xlfn.XLOOKUP(tblTransactions[[#This Row],[ProductID]],tblProducts[ProductID],tblProducts[UnitPrice])</f>
        <v>22222.83</v>
      </c>
      <c r="M857" s="9">
        <f>tblTransactions[[#This Row],[Quantity]]*tblTransactions[[#This Row],[UnitPrice]]</f>
        <v>22222.83</v>
      </c>
      <c r="N857" s="9">
        <f>tblTransactions[[#This Row],[GrossSales]]*tblTransactions[[#This Row],[Discount]]</f>
        <v>2222.2830000000004</v>
      </c>
      <c r="O857" s="9">
        <f>tblTransactions[[#This Row],[GrossSales]]-tblTransactions[[#This Row],[DiscountAmount]]</f>
        <v>20000.547000000002</v>
      </c>
      <c r="P857" s="9">
        <f>_xlfn.XLOOKUP(tblTransactions[[#This Row],[ProductID]],tblProducts[ProductID],tblProducts[UnitCost])</f>
        <v>17564.490000000002</v>
      </c>
      <c r="Q857" s="9">
        <f>tblTransactions[[#This Row],[Quantity]]*tblTransactions[[#This Row],[UnitCost]]</f>
        <v>17564.490000000002</v>
      </c>
      <c r="R857" s="9">
        <f>tblTransactions[[#This Row],[NetRevenue]]-tblTransactions[[#This Row],[TotalCost]]</f>
        <v>2436.0570000000007</v>
      </c>
      <c r="S857" t="str">
        <f>_xlfn.XLOOKUP(tblTransactions[[#This Row],[ProductID]],tblProducts[ProductID],tblProducts[Category])</f>
        <v>Home &amp; Kitchen</v>
      </c>
    </row>
    <row r="858" spans="1:19">
      <c r="A858" t="s">
        <v>17175</v>
      </c>
      <c r="B858" s="1">
        <v>45853</v>
      </c>
      <c r="C858" t="s">
        <v>8094</v>
      </c>
      <c r="D858" t="str">
        <f>_xlfn.XLOOKUP(tblTransactions[[#This Row],[CustomerID]],tblCustomers[CustomerID],tblCustomers[CustomerName])</f>
        <v>Ekantika Sane</v>
      </c>
      <c r="E858" t="s">
        <v>15967</v>
      </c>
      <c r="F858" t="str">
        <f>_xlfn.XLOOKUP(tblTransactions[[#This Row],[ProductID]],tblProducts[ProductID],tblProducts[ProductName])</f>
        <v>Student Laptop C3</v>
      </c>
      <c r="G858" t="s">
        <v>16295</v>
      </c>
      <c r="H858" t="str">
        <f>_xlfn.XLOOKUP(tblTransactions[[#This Row],[StoreID]],tblStores[StoreID],tblStores[Region])</f>
        <v>South</v>
      </c>
      <c r="I858">
        <v>1</v>
      </c>
      <c r="J858">
        <v>0.1</v>
      </c>
      <c r="K858" t="s">
        <v>16321</v>
      </c>
      <c r="L858" s="9">
        <f>_xlfn.XLOOKUP(tblTransactions[[#This Row],[ProductID]],tblProducts[ProductID],tblProducts[UnitPrice])</f>
        <v>12552.69</v>
      </c>
      <c r="M858" s="9">
        <f>tblTransactions[[#This Row],[Quantity]]*tblTransactions[[#This Row],[UnitPrice]]</f>
        <v>12552.69</v>
      </c>
      <c r="N858" s="9">
        <f>tblTransactions[[#This Row],[GrossSales]]*tblTransactions[[#This Row],[Discount]]</f>
        <v>1255.2690000000002</v>
      </c>
      <c r="O858" s="9">
        <f>tblTransactions[[#This Row],[GrossSales]]-tblTransactions[[#This Row],[DiscountAmount]]</f>
        <v>11297.421</v>
      </c>
      <c r="P858" s="9">
        <f>_xlfn.XLOOKUP(tblTransactions[[#This Row],[ProductID]],tblProducts[ProductID],tblProducts[UnitCost])</f>
        <v>8737.9</v>
      </c>
      <c r="Q858" s="9">
        <f>tblTransactions[[#This Row],[Quantity]]*tblTransactions[[#This Row],[UnitCost]]</f>
        <v>8737.9</v>
      </c>
      <c r="R858" s="9">
        <f>tblTransactions[[#This Row],[NetRevenue]]-tblTransactions[[#This Row],[TotalCost]]</f>
        <v>2559.5210000000006</v>
      </c>
      <c r="S858" t="str">
        <f>_xlfn.XLOOKUP(tblTransactions[[#This Row],[ProductID]],tblProducts[ProductID],tblProducts[Category])</f>
        <v>Electronics</v>
      </c>
    </row>
    <row r="859" spans="1:19">
      <c r="A859" t="s">
        <v>17176</v>
      </c>
      <c r="B859" s="1">
        <v>45853</v>
      </c>
      <c r="C859" t="s">
        <v>6485</v>
      </c>
      <c r="D859" t="str">
        <f>_xlfn.XLOOKUP(tblTransactions[[#This Row],[CustomerID]],tblCustomers[CustomerID],tblCustomers[CustomerName])</f>
        <v>Reyansh Krishna</v>
      </c>
      <c r="E859" t="s">
        <v>16023</v>
      </c>
      <c r="F859" t="str">
        <f>_xlfn.XLOOKUP(tblTransactions[[#This Row],[ProductID]],tblProducts[ProductID],tblProducts[ProductName])</f>
        <v>Microwave Oven B7</v>
      </c>
      <c r="G859" t="s">
        <v>16307</v>
      </c>
      <c r="H859" t="str">
        <f>_xlfn.XLOOKUP(tblTransactions[[#This Row],[StoreID]],tblStores[StoreID],tblStores[Region])</f>
        <v>East</v>
      </c>
      <c r="I859">
        <v>3</v>
      </c>
      <c r="J859">
        <v>0.1</v>
      </c>
      <c r="K859" t="s">
        <v>16317</v>
      </c>
      <c r="L859" s="9">
        <f>_xlfn.XLOOKUP(tblTransactions[[#This Row],[ProductID]],tblProducts[ProductID],tblProducts[UnitPrice])</f>
        <v>14353.88</v>
      </c>
      <c r="M859" s="9">
        <f>tblTransactions[[#This Row],[Quantity]]*tblTransactions[[#This Row],[UnitPrice]]</f>
        <v>43061.64</v>
      </c>
      <c r="N859" s="9">
        <f>tblTransactions[[#This Row],[GrossSales]]*tblTransactions[[#This Row],[Discount]]</f>
        <v>4306.1639999999998</v>
      </c>
      <c r="O859" s="9">
        <f>tblTransactions[[#This Row],[GrossSales]]-tblTransactions[[#This Row],[DiscountAmount]]</f>
        <v>38755.476000000002</v>
      </c>
      <c r="P859" s="9">
        <f>_xlfn.XLOOKUP(tblTransactions[[#This Row],[ProductID]],tblProducts[ProductID],tblProducts[UnitCost])</f>
        <v>8791.7900000000009</v>
      </c>
      <c r="Q859" s="9">
        <f>tblTransactions[[#This Row],[Quantity]]*tblTransactions[[#This Row],[UnitCost]]</f>
        <v>26375.370000000003</v>
      </c>
      <c r="R859" s="9">
        <f>tblTransactions[[#This Row],[NetRevenue]]-tblTransactions[[#This Row],[TotalCost]]</f>
        <v>12380.106</v>
      </c>
      <c r="S859" t="str">
        <f>_xlfn.XLOOKUP(tblTransactions[[#This Row],[ProductID]],tblProducts[ProductID],tblProducts[Category])</f>
        <v>Home &amp; Kitchen</v>
      </c>
    </row>
    <row r="860" spans="1:19">
      <c r="A860" t="s">
        <v>17177</v>
      </c>
      <c r="B860" s="1">
        <v>45854</v>
      </c>
      <c r="C860" t="s">
        <v>8289</v>
      </c>
      <c r="D860" t="str">
        <f>_xlfn.XLOOKUP(tblTransactions[[#This Row],[CustomerID]],tblCustomers[CustomerID],tblCustomers[CustomerName])</f>
        <v>Inaya Bobal</v>
      </c>
      <c r="E860" t="s">
        <v>16070</v>
      </c>
      <c r="F860" t="str">
        <f>_xlfn.XLOOKUP(tblTransactions[[#This Row],[ProductID]],tblProducts[ProductID],tblProducts[ProductName])</f>
        <v>Men's T-Shirt A1</v>
      </c>
      <c r="G860" t="s">
        <v>16269</v>
      </c>
      <c r="H860" t="str">
        <f>_xlfn.XLOOKUP(tblTransactions[[#This Row],[StoreID]],tblStores[StoreID],tblStores[Region])</f>
        <v>North</v>
      </c>
      <c r="I860">
        <v>1</v>
      </c>
      <c r="J860">
        <v>0</v>
      </c>
      <c r="K860" t="s">
        <v>16315</v>
      </c>
      <c r="L860" s="9">
        <f>_xlfn.XLOOKUP(tblTransactions[[#This Row],[ProductID]],tblProducts[ProductID],tblProducts[UnitPrice])</f>
        <v>6357.9</v>
      </c>
      <c r="M860" s="9">
        <f>tblTransactions[[#This Row],[Quantity]]*tblTransactions[[#This Row],[UnitPrice]]</f>
        <v>6357.9</v>
      </c>
      <c r="N860" s="9">
        <f>tblTransactions[[#This Row],[GrossSales]]*tblTransactions[[#This Row],[Discount]]</f>
        <v>0</v>
      </c>
      <c r="O860" s="9">
        <f>tblTransactions[[#This Row],[GrossSales]]-tblTransactions[[#This Row],[DiscountAmount]]</f>
        <v>6357.9</v>
      </c>
      <c r="P860" s="9">
        <f>_xlfn.XLOOKUP(tblTransactions[[#This Row],[ProductID]],tblProducts[ProductID],tblProducts[UnitCost])</f>
        <v>4895.43</v>
      </c>
      <c r="Q860" s="9">
        <f>tblTransactions[[#This Row],[Quantity]]*tblTransactions[[#This Row],[UnitCost]]</f>
        <v>4895.43</v>
      </c>
      <c r="R860" s="9">
        <f>tblTransactions[[#This Row],[NetRevenue]]-tblTransactions[[#This Row],[TotalCost]]</f>
        <v>1462.4699999999993</v>
      </c>
      <c r="S860" t="str">
        <f>_xlfn.XLOOKUP(tblTransactions[[#This Row],[ProductID]],tblProducts[ProductID],tblProducts[Category])</f>
        <v>Clothing</v>
      </c>
    </row>
    <row r="861" spans="1:19">
      <c r="A861" t="s">
        <v>17178</v>
      </c>
      <c r="B861" s="1">
        <v>45855</v>
      </c>
      <c r="C861" t="s">
        <v>11396</v>
      </c>
      <c r="D861" t="str">
        <f>_xlfn.XLOOKUP(tblTransactions[[#This Row],[CustomerID]],tblCustomers[CustomerID],tblCustomers[CustomerName])</f>
        <v>Ekalinga Ram</v>
      </c>
      <c r="E861" t="s">
        <v>16249</v>
      </c>
      <c r="F861" t="str">
        <f>_xlfn.XLOOKUP(tblTransactions[[#This Row],[ProductID]],tblProducts[ProductID],tblProducts[ProductName])</f>
        <v>Beard Oil A6</v>
      </c>
      <c r="G861" t="s">
        <v>16287</v>
      </c>
      <c r="H861" t="str">
        <f>_xlfn.XLOOKUP(tblTransactions[[#This Row],[StoreID]],tblStores[StoreID],tblStores[Region])</f>
        <v>North</v>
      </c>
      <c r="I861">
        <v>1</v>
      </c>
      <c r="J861">
        <v>0</v>
      </c>
      <c r="K861" t="s">
        <v>16321</v>
      </c>
      <c r="L861" s="9">
        <f>_xlfn.XLOOKUP(tblTransactions[[#This Row],[ProductID]],tblProducts[ProductID],tblProducts[UnitPrice])</f>
        <v>4294.7</v>
      </c>
      <c r="M861" s="9">
        <f>tblTransactions[[#This Row],[Quantity]]*tblTransactions[[#This Row],[UnitPrice]]</f>
        <v>4294.7</v>
      </c>
      <c r="N861" s="9">
        <f>tblTransactions[[#This Row],[GrossSales]]*tblTransactions[[#This Row],[Discount]]</f>
        <v>0</v>
      </c>
      <c r="O861" s="9">
        <f>tblTransactions[[#This Row],[GrossSales]]-tblTransactions[[#This Row],[DiscountAmount]]</f>
        <v>4294.7</v>
      </c>
      <c r="P861" s="9">
        <f>_xlfn.XLOOKUP(tblTransactions[[#This Row],[ProductID]],tblProducts[ProductID],tblProducts[UnitCost])</f>
        <v>3317.06</v>
      </c>
      <c r="Q861" s="9">
        <f>tblTransactions[[#This Row],[Quantity]]*tblTransactions[[#This Row],[UnitCost]]</f>
        <v>3317.06</v>
      </c>
      <c r="R861" s="9">
        <f>tblTransactions[[#This Row],[NetRevenue]]-tblTransactions[[#This Row],[TotalCost]]</f>
        <v>977.63999999999987</v>
      </c>
      <c r="S861" t="str">
        <f>_xlfn.XLOOKUP(tblTransactions[[#This Row],[ProductID]],tblProducts[ProductID],tblProducts[Category])</f>
        <v>Personal Care</v>
      </c>
    </row>
    <row r="862" spans="1:19">
      <c r="A862" t="s">
        <v>17179</v>
      </c>
      <c r="B862" s="1">
        <v>45855</v>
      </c>
      <c r="C862" t="s">
        <v>10967</v>
      </c>
      <c r="D862" t="str">
        <f>_xlfn.XLOOKUP(tblTransactions[[#This Row],[CustomerID]],tblCustomers[CustomerID],tblCustomers[CustomerName])</f>
        <v>Ojas Bhat</v>
      </c>
      <c r="E862" t="s">
        <v>16023</v>
      </c>
      <c r="F862" t="str">
        <f>_xlfn.XLOOKUP(tblTransactions[[#This Row],[ProductID]],tblProducts[ProductID],tblProducts[ProductName])</f>
        <v>Microwave Oven B7</v>
      </c>
      <c r="G862" t="s">
        <v>16307</v>
      </c>
      <c r="H862" t="str">
        <f>_xlfn.XLOOKUP(tblTransactions[[#This Row],[StoreID]],tblStores[StoreID],tblStores[Region])</f>
        <v>East</v>
      </c>
      <c r="I862">
        <v>1</v>
      </c>
      <c r="J862">
        <v>0</v>
      </c>
      <c r="K862" t="s">
        <v>16317</v>
      </c>
      <c r="L862" s="9">
        <f>_xlfn.XLOOKUP(tblTransactions[[#This Row],[ProductID]],tblProducts[ProductID],tblProducts[UnitPrice])</f>
        <v>14353.88</v>
      </c>
      <c r="M862" s="9">
        <f>tblTransactions[[#This Row],[Quantity]]*tblTransactions[[#This Row],[UnitPrice]]</f>
        <v>14353.88</v>
      </c>
      <c r="N862" s="9">
        <f>tblTransactions[[#This Row],[GrossSales]]*tblTransactions[[#This Row],[Discount]]</f>
        <v>0</v>
      </c>
      <c r="O862" s="9">
        <f>tblTransactions[[#This Row],[GrossSales]]-tblTransactions[[#This Row],[DiscountAmount]]</f>
        <v>14353.88</v>
      </c>
      <c r="P862" s="9">
        <f>_xlfn.XLOOKUP(tblTransactions[[#This Row],[ProductID]],tblProducts[ProductID],tblProducts[UnitCost])</f>
        <v>8791.7900000000009</v>
      </c>
      <c r="Q862" s="9">
        <f>tblTransactions[[#This Row],[Quantity]]*tblTransactions[[#This Row],[UnitCost]]</f>
        <v>8791.7900000000009</v>
      </c>
      <c r="R862" s="9">
        <f>tblTransactions[[#This Row],[NetRevenue]]-tblTransactions[[#This Row],[TotalCost]]</f>
        <v>5562.0899999999983</v>
      </c>
      <c r="S862" t="str">
        <f>_xlfn.XLOOKUP(tblTransactions[[#This Row],[ProductID]],tblProducts[ProductID],tblProducts[Category])</f>
        <v>Home &amp; Kitchen</v>
      </c>
    </row>
    <row r="863" spans="1:19">
      <c r="A863" t="s">
        <v>17180</v>
      </c>
      <c r="B863" s="1">
        <v>45856</v>
      </c>
      <c r="C863" t="s">
        <v>6655</v>
      </c>
      <c r="D863" t="str">
        <f>_xlfn.XLOOKUP(tblTransactions[[#This Row],[CustomerID]],tblCustomers[CustomerID],tblCustomers[CustomerName])</f>
        <v>Manya Ramaswamy</v>
      </c>
      <c r="E863" t="s">
        <v>16019</v>
      </c>
      <c r="F863" t="str">
        <f>_xlfn.XLOOKUP(tblTransactions[[#This Row],[ProductID]],tblProducts[ProductID],tblProducts[ProductName])</f>
        <v>Microwave Oven E5</v>
      </c>
      <c r="G863" t="s">
        <v>16267</v>
      </c>
      <c r="H863" t="str">
        <f>_xlfn.XLOOKUP(tblTransactions[[#This Row],[StoreID]],tblStores[StoreID],tblStores[Region])</f>
        <v>West</v>
      </c>
      <c r="I863">
        <v>-1</v>
      </c>
      <c r="J863">
        <v>0</v>
      </c>
      <c r="K863" t="s">
        <v>16319</v>
      </c>
      <c r="L863" s="9">
        <f>_xlfn.XLOOKUP(tblTransactions[[#This Row],[ProductID]],tblProducts[ProductID],tblProducts[UnitPrice])</f>
        <v>22827.119999999999</v>
      </c>
      <c r="M863" s="9">
        <f>tblTransactions[[#This Row],[Quantity]]*tblTransactions[[#This Row],[UnitPrice]]</f>
        <v>-22827.119999999999</v>
      </c>
      <c r="N863" s="9">
        <f>tblTransactions[[#This Row],[GrossSales]]*tblTransactions[[#This Row],[Discount]]</f>
        <v>0</v>
      </c>
      <c r="O863" s="9">
        <f>tblTransactions[[#This Row],[GrossSales]]-tblTransactions[[#This Row],[DiscountAmount]]</f>
        <v>-22827.119999999999</v>
      </c>
      <c r="P863" s="9">
        <f>_xlfn.XLOOKUP(tblTransactions[[#This Row],[ProductID]],tblProducts[ProductID],tblProducts[UnitCost])</f>
        <v>18264.07</v>
      </c>
      <c r="Q863" s="9">
        <f>tblTransactions[[#This Row],[Quantity]]*tblTransactions[[#This Row],[UnitCost]]</f>
        <v>-18264.07</v>
      </c>
      <c r="R863" s="9">
        <f>tblTransactions[[#This Row],[NetRevenue]]-tblTransactions[[#This Row],[TotalCost]]</f>
        <v>-4563.0499999999993</v>
      </c>
      <c r="S863" t="str">
        <f>_xlfn.XLOOKUP(tblTransactions[[#This Row],[ProductID]],tblProducts[ProductID],tblProducts[Category])</f>
        <v>Home &amp; Kitchen</v>
      </c>
    </row>
    <row r="864" spans="1:19">
      <c r="A864" t="s">
        <v>17181</v>
      </c>
      <c r="B864" s="1">
        <v>45857</v>
      </c>
      <c r="C864" t="s">
        <v>8949</v>
      </c>
      <c r="D864" t="str">
        <f>_xlfn.XLOOKUP(tblTransactions[[#This Row],[CustomerID]],tblCustomers[CustomerID],tblCustomers[CustomerName])</f>
        <v>Darsh Hayer</v>
      </c>
      <c r="E864" t="s">
        <v>15956</v>
      </c>
      <c r="F864" t="str">
        <f>_xlfn.XLOOKUP(tblTransactions[[#This Row],[ProductID]],tblProducts[ProductID],tblProducts[ProductName])</f>
        <v>Budget Smartphone A6</v>
      </c>
      <c r="G864" t="s">
        <v>16259</v>
      </c>
      <c r="H864" t="str">
        <f>_xlfn.XLOOKUP(tblTransactions[[#This Row],[StoreID]],tblStores[StoreID],tblStores[Region])</f>
        <v>East</v>
      </c>
      <c r="I864">
        <v>1</v>
      </c>
      <c r="J864">
        <v>0.1</v>
      </c>
      <c r="K864" t="s">
        <v>16317</v>
      </c>
      <c r="L864" s="9">
        <f>_xlfn.XLOOKUP(tblTransactions[[#This Row],[ProductID]],tblProducts[ProductID],tblProducts[UnitPrice])</f>
        <v>9246.34</v>
      </c>
      <c r="M864" s="9">
        <f>tblTransactions[[#This Row],[Quantity]]*tblTransactions[[#This Row],[UnitPrice]]</f>
        <v>9246.34</v>
      </c>
      <c r="N864" s="9">
        <f>tblTransactions[[#This Row],[GrossSales]]*tblTransactions[[#This Row],[Discount]]</f>
        <v>924.63400000000001</v>
      </c>
      <c r="O864" s="9">
        <f>tblTransactions[[#This Row],[GrossSales]]-tblTransactions[[#This Row],[DiscountAmount]]</f>
        <v>8321.7060000000001</v>
      </c>
      <c r="P864" s="9">
        <f>_xlfn.XLOOKUP(tblTransactions[[#This Row],[ProductID]],tblProducts[ProductID],tblProducts[UnitCost])</f>
        <v>7613.27</v>
      </c>
      <c r="Q864" s="9">
        <f>tblTransactions[[#This Row],[Quantity]]*tblTransactions[[#This Row],[UnitCost]]</f>
        <v>7613.27</v>
      </c>
      <c r="R864" s="9">
        <f>tblTransactions[[#This Row],[NetRevenue]]-tblTransactions[[#This Row],[TotalCost]]</f>
        <v>708.43599999999969</v>
      </c>
      <c r="S864" t="str">
        <f>_xlfn.XLOOKUP(tblTransactions[[#This Row],[ProductID]],tblProducts[ProductID],tblProducts[Category])</f>
        <v>Electronics</v>
      </c>
    </row>
    <row r="865" spans="1:19">
      <c r="A865" t="s">
        <v>17182</v>
      </c>
      <c r="B865" s="1">
        <v>45858</v>
      </c>
      <c r="C865" t="s">
        <v>4107</v>
      </c>
      <c r="D865" t="str">
        <f>_xlfn.XLOOKUP(tblTransactions[[#This Row],[CustomerID]],tblCustomers[CustomerID],tblCustomers[CustomerName])</f>
        <v>Ojasvi Savant</v>
      </c>
      <c r="E865" t="s">
        <v>16251</v>
      </c>
      <c r="F865" t="str">
        <f>_xlfn.XLOOKUP(tblTransactions[[#This Row],[ProductID]],tblProducts[ProductID],tblProducts[ProductName])</f>
        <v>Trimmer B7</v>
      </c>
      <c r="G865" t="s">
        <v>16293</v>
      </c>
      <c r="H865" t="str">
        <f>_xlfn.XLOOKUP(tblTransactions[[#This Row],[StoreID]],tblStores[StoreID],tblStores[Region])</f>
        <v>South</v>
      </c>
      <c r="I865">
        <v>1</v>
      </c>
      <c r="J865">
        <v>0.05</v>
      </c>
      <c r="K865" t="s">
        <v>16315</v>
      </c>
      <c r="L865" s="9">
        <f>_xlfn.XLOOKUP(tblTransactions[[#This Row],[ProductID]],tblProducts[ProductID],tblProducts[UnitPrice])</f>
        <v>4199.75</v>
      </c>
      <c r="M865" s="9">
        <f>tblTransactions[[#This Row],[Quantity]]*tblTransactions[[#This Row],[UnitPrice]]</f>
        <v>4199.75</v>
      </c>
      <c r="N865" s="9">
        <f>tblTransactions[[#This Row],[GrossSales]]*tblTransactions[[#This Row],[Discount]]</f>
        <v>209.98750000000001</v>
      </c>
      <c r="O865" s="9">
        <f>tblTransactions[[#This Row],[GrossSales]]-tblTransactions[[#This Row],[DiscountAmount]]</f>
        <v>3989.7624999999998</v>
      </c>
      <c r="P865" s="9">
        <f>_xlfn.XLOOKUP(tblTransactions[[#This Row],[ProductID]],tblProducts[ProductID],tblProducts[UnitCost])</f>
        <v>2546.5700000000002</v>
      </c>
      <c r="Q865" s="9">
        <f>tblTransactions[[#This Row],[Quantity]]*tblTransactions[[#This Row],[UnitCost]]</f>
        <v>2546.5700000000002</v>
      </c>
      <c r="R865" s="9">
        <f>tblTransactions[[#This Row],[NetRevenue]]-tblTransactions[[#This Row],[TotalCost]]</f>
        <v>1443.1924999999997</v>
      </c>
      <c r="S865" t="str">
        <f>_xlfn.XLOOKUP(tblTransactions[[#This Row],[ProductID]],tblProducts[ProductID],tblProducts[Category])</f>
        <v>Personal Care</v>
      </c>
    </row>
    <row r="866" spans="1:19">
      <c r="A866" t="s">
        <v>17183</v>
      </c>
      <c r="B866" s="1">
        <v>45861</v>
      </c>
      <c r="C866" t="s">
        <v>6208</v>
      </c>
      <c r="D866" t="str">
        <f>_xlfn.XLOOKUP(tblTransactions[[#This Row],[CustomerID]],tblCustomers[CustomerID],tblCustomers[CustomerName])</f>
        <v>Anamika Chopra</v>
      </c>
      <c r="E866" t="s">
        <v>16099</v>
      </c>
      <c r="F866" t="str">
        <f>_xlfn.XLOOKUP(tblTransactions[[#This Row],[ProductID]],tblProducts[ProductID],tblProducts[ProductName])</f>
        <v>Women's Jeans B7</v>
      </c>
      <c r="G866" t="s">
        <v>16281</v>
      </c>
      <c r="H866" t="str">
        <f>_xlfn.XLOOKUP(tblTransactions[[#This Row],[StoreID]],tblStores[StoreID],tblStores[Region])</f>
        <v>West</v>
      </c>
      <c r="I866">
        <v>1</v>
      </c>
      <c r="J866">
        <v>0.1</v>
      </c>
      <c r="K866" t="s">
        <v>16321</v>
      </c>
      <c r="L866" s="9">
        <f>_xlfn.XLOOKUP(tblTransactions[[#This Row],[ProductID]],tblProducts[ProductID],tblProducts[UnitPrice])</f>
        <v>1227.0899999999999</v>
      </c>
      <c r="M866" s="9">
        <f>tblTransactions[[#This Row],[Quantity]]*tblTransactions[[#This Row],[UnitPrice]]</f>
        <v>1227.0899999999999</v>
      </c>
      <c r="N866" s="9">
        <f>tblTransactions[[#This Row],[GrossSales]]*tblTransactions[[#This Row],[Discount]]</f>
        <v>122.709</v>
      </c>
      <c r="O866" s="9">
        <f>tblTransactions[[#This Row],[GrossSales]]-tblTransactions[[#This Row],[DiscountAmount]]</f>
        <v>1104.3809999999999</v>
      </c>
      <c r="P866" s="9">
        <f>_xlfn.XLOOKUP(tblTransactions[[#This Row],[ProductID]],tblProducts[ProductID],tblProducts[UnitCost])</f>
        <v>945.11</v>
      </c>
      <c r="Q866" s="9">
        <f>tblTransactions[[#This Row],[Quantity]]*tblTransactions[[#This Row],[UnitCost]]</f>
        <v>945.11</v>
      </c>
      <c r="R866" s="9">
        <f>tblTransactions[[#This Row],[NetRevenue]]-tblTransactions[[#This Row],[TotalCost]]</f>
        <v>159.27099999999984</v>
      </c>
      <c r="S866" t="str">
        <f>_xlfn.XLOOKUP(tblTransactions[[#This Row],[ProductID]],tblProducts[ProductID],tblProducts[Category])</f>
        <v>Clothing</v>
      </c>
    </row>
    <row r="867" spans="1:19">
      <c r="A867" t="s">
        <v>17184</v>
      </c>
      <c r="B867" s="1">
        <v>45864</v>
      </c>
      <c r="C867" t="s">
        <v>7103</v>
      </c>
      <c r="D867" t="str">
        <f>_xlfn.XLOOKUP(tblTransactions[[#This Row],[CustomerID]],tblCustomers[CustomerID],tblCustomers[CustomerName])</f>
        <v>Naveen Pillay</v>
      </c>
      <c r="E867" t="s">
        <v>16162</v>
      </c>
      <c r="F867" t="str">
        <f>_xlfn.XLOOKUP(tblTransactions[[#This Row],[ProductID]],tblProducts[ProductID],tblProducts[ProductName])</f>
        <v>Tea A1</v>
      </c>
      <c r="G867" t="s">
        <v>16303</v>
      </c>
      <c r="H867" t="str">
        <f>_xlfn.XLOOKUP(tblTransactions[[#This Row],[StoreID]],tblStores[StoreID],tblStores[Region])</f>
        <v>West</v>
      </c>
      <c r="I867">
        <v>4</v>
      </c>
      <c r="J867">
        <v>0</v>
      </c>
      <c r="K867" t="s">
        <v>16315</v>
      </c>
      <c r="L867" s="9">
        <f>_xlfn.XLOOKUP(tblTransactions[[#This Row],[ProductID]],tblProducts[ProductID],tblProducts[UnitPrice])</f>
        <v>675.13</v>
      </c>
      <c r="M867" s="9">
        <f>tblTransactions[[#This Row],[Quantity]]*tblTransactions[[#This Row],[UnitPrice]]</f>
        <v>2700.52</v>
      </c>
      <c r="N867" s="9">
        <f>tblTransactions[[#This Row],[GrossSales]]*tblTransactions[[#This Row],[Discount]]</f>
        <v>0</v>
      </c>
      <c r="O867" s="9">
        <f>tblTransactions[[#This Row],[GrossSales]]-tblTransactions[[#This Row],[DiscountAmount]]</f>
        <v>2700.52</v>
      </c>
      <c r="P867" s="9">
        <f>_xlfn.XLOOKUP(tblTransactions[[#This Row],[ProductID]],tblProducts[ProductID],tblProducts[UnitCost])</f>
        <v>510.45</v>
      </c>
      <c r="Q867" s="9">
        <f>tblTransactions[[#This Row],[Quantity]]*tblTransactions[[#This Row],[UnitCost]]</f>
        <v>2041.8</v>
      </c>
      <c r="R867" s="9">
        <f>tblTransactions[[#This Row],[NetRevenue]]-tblTransactions[[#This Row],[TotalCost]]</f>
        <v>658.72</v>
      </c>
      <c r="S867" t="str">
        <f>_xlfn.XLOOKUP(tblTransactions[[#This Row],[ProductID]],tblProducts[ProductID],tblProducts[Category])</f>
        <v>Grocery</v>
      </c>
    </row>
    <row r="868" spans="1:19">
      <c r="A868" t="s">
        <v>17185</v>
      </c>
      <c r="B868" s="1">
        <v>45867</v>
      </c>
      <c r="C868" t="s">
        <v>574</v>
      </c>
      <c r="D868" t="str">
        <f>_xlfn.XLOOKUP(tblTransactions[[#This Row],[CustomerID]],tblCustomers[CustomerID],tblCustomers[CustomerName])</f>
        <v>Raghav Vasa</v>
      </c>
      <c r="E868" t="s">
        <v>16084</v>
      </c>
      <c r="F868" t="str">
        <f>_xlfn.XLOOKUP(tblTransactions[[#This Row],[ProductID]],tblProducts[ProductID],tblProducts[ProductName])</f>
        <v>Men's Jeans B7</v>
      </c>
      <c r="G868" t="s">
        <v>16275</v>
      </c>
      <c r="H868" t="str">
        <f>_xlfn.XLOOKUP(tblTransactions[[#This Row],[StoreID]],tblStores[StoreID],tblStores[Region])</f>
        <v>South</v>
      </c>
      <c r="I868">
        <v>1</v>
      </c>
      <c r="J868">
        <v>0.1</v>
      </c>
      <c r="K868" t="s">
        <v>16315</v>
      </c>
      <c r="L868" s="9">
        <f>_xlfn.XLOOKUP(tblTransactions[[#This Row],[ProductID]],tblProducts[ProductID],tblProducts[UnitPrice])</f>
        <v>7179.47</v>
      </c>
      <c r="M868" s="9">
        <f>tblTransactions[[#This Row],[Quantity]]*tblTransactions[[#This Row],[UnitPrice]]</f>
        <v>7179.47</v>
      </c>
      <c r="N868" s="9">
        <f>tblTransactions[[#This Row],[GrossSales]]*tblTransactions[[#This Row],[Discount]]</f>
        <v>717.94700000000012</v>
      </c>
      <c r="O868" s="9">
        <f>tblTransactions[[#This Row],[GrossSales]]-tblTransactions[[#This Row],[DiscountAmount]]</f>
        <v>6461.5230000000001</v>
      </c>
      <c r="P868" s="9">
        <f>_xlfn.XLOOKUP(tblTransactions[[#This Row],[ProductID]],tblProducts[ProductID],tblProducts[UnitCost])</f>
        <v>5473.35</v>
      </c>
      <c r="Q868" s="9">
        <f>tblTransactions[[#This Row],[Quantity]]*tblTransactions[[#This Row],[UnitCost]]</f>
        <v>5473.35</v>
      </c>
      <c r="R868" s="9">
        <f>tblTransactions[[#This Row],[NetRevenue]]-tblTransactions[[#This Row],[TotalCost]]</f>
        <v>988.17299999999977</v>
      </c>
      <c r="S868" t="str">
        <f>_xlfn.XLOOKUP(tblTransactions[[#This Row],[ProductID]],tblProducts[ProductID],tblProducts[Category])</f>
        <v>Clothing</v>
      </c>
    </row>
    <row r="869" spans="1:19">
      <c r="A869" t="s">
        <v>17186</v>
      </c>
      <c r="B869" s="1">
        <v>45868</v>
      </c>
      <c r="C869" t="s">
        <v>550</v>
      </c>
      <c r="D869" t="str">
        <f>_xlfn.XLOOKUP(tblTransactions[[#This Row],[CustomerID]],tblCustomers[CustomerID],tblCustomers[CustomerName])</f>
        <v>Ansh Luthra</v>
      </c>
      <c r="E869" t="s">
        <v>16158</v>
      </c>
      <c r="F869" t="str">
        <f>_xlfn.XLOOKUP(tblTransactions[[#This Row],[ProductID]],tblProducts[ProductID],tblProducts[ProductName])</f>
        <v>Chocolate A6</v>
      </c>
      <c r="G869" t="s">
        <v>16283</v>
      </c>
      <c r="H869" t="str">
        <f>_xlfn.XLOOKUP(tblTransactions[[#This Row],[StoreID]],tblStores[StoreID],tblStores[Region])</f>
        <v>South</v>
      </c>
      <c r="I869">
        <v>1</v>
      </c>
      <c r="J869">
        <v>0</v>
      </c>
      <c r="K869" t="s">
        <v>16315</v>
      </c>
      <c r="L869" s="9">
        <f>_xlfn.XLOOKUP(tblTransactions[[#This Row],[ProductID]],tblProducts[ProductID],tblProducts[UnitPrice])</f>
        <v>1494.3</v>
      </c>
      <c r="M869" s="9">
        <f>tblTransactions[[#This Row],[Quantity]]*tblTransactions[[#This Row],[UnitPrice]]</f>
        <v>1494.3</v>
      </c>
      <c r="N869" s="9">
        <f>tblTransactions[[#This Row],[GrossSales]]*tblTransactions[[#This Row],[Discount]]</f>
        <v>0</v>
      </c>
      <c r="O869" s="9">
        <f>tblTransactions[[#This Row],[GrossSales]]-tblTransactions[[#This Row],[DiscountAmount]]</f>
        <v>1494.3</v>
      </c>
      <c r="P869" s="9">
        <f>_xlfn.XLOOKUP(tblTransactions[[#This Row],[ProductID]],tblProducts[ProductID],tblProducts[UnitCost])</f>
        <v>1031.67</v>
      </c>
      <c r="Q869" s="9">
        <f>tblTransactions[[#This Row],[Quantity]]*tblTransactions[[#This Row],[UnitCost]]</f>
        <v>1031.67</v>
      </c>
      <c r="R869" s="9">
        <f>tblTransactions[[#This Row],[NetRevenue]]-tblTransactions[[#This Row],[TotalCost]]</f>
        <v>462.62999999999988</v>
      </c>
      <c r="S869" t="str">
        <f>_xlfn.XLOOKUP(tblTransactions[[#This Row],[ProductID]],tblProducts[ProductID],tblProducts[Category])</f>
        <v>Grocery</v>
      </c>
    </row>
    <row r="870" spans="1:19">
      <c r="A870" t="s">
        <v>17187</v>
      </c>
      <c r="B870" s="1">
        <v>45870</v>
      </c>
      <c r="C870" t="s">
        <v>11429</v>
      </c>
      <c r="D870" t="str">
        <f>_xlfn.XLOOKUP(tblTransactions[[#This Row],[CustomerID]],tblCustomers[CustomerID],tblCustomers[CustomerName])</f>
        <v>Yadavi Vala</v>
      </c>
      <c r="E870" t="s">
        <v>15990</v>
      </c>
      <c r="F870" t="str">
        <f>_xlfn.XLOOKUP(tblTransactions[[#This Row],[ProductID]],tblProducts[ProductID],tblProducts[ProductName])</f>
        <v>Earbuds A6</v>
      </c>
      <c r="G870" t="s">
        <v>16275</v>
      </c>
      <c r="H870" t="str">
        <f>_xlfn.XLOOKUP(tblTransactions[[#This Row],[StoreID]],tblStores[StoreID],tblStores[Region])</f>
        <v>South</v>
      </c>
      <c r="I870">
        <v>1</v>
      </c>
      <c r="J870">
        <v>0</v>
      </c>
      <c r="K870" t="s">
        <v>16315</v>
      </c>
      <c r="L870" s="9">
        <f>_xlfn.XLOOKUP(tblTransactions[[#This Row],[ProductID]],tblProducts[ProductID],tblProducts[UnitPrice])</f>
        <v>76019.78</v>
      </c>
      <c r="M870" s="9">
        <f>tblTransactions[[#This Row],[Quantity]]*tblTransactions[[#This Row],[UnitPrice]]</f>
        <v>76019.78</v>
      </c>
      <c r="N870" s="9">
        <f>tblTransactions[[#This Row],[GrossSales]]*tblTransactions[[#This Row],[Discount]]</f>
        <v>0</v>
      </c>
      <c r="O870" s="9">
        <f>tblTransactions[[#This Row],[GrossSales]]-tblTransactions[[#This Row],[DiscountAmount]]</f>
        <v>76019.78</v>
      </c>
      <c r="P870" s="9">
        <f>_xlfn.XLOOKUP(tblTransactions[[#This Row],[ProductID]],tblProducts[ProductID],tblProducts[UnitCost])</f>
        <v>53305.15</v>
      </c>
      <c r="Q870" s="9">
        <f>tblTransactions[[#This Row],[Quantity]]*tblTransactions[[#This Row],[UnitCost]]</f>
        <v>53305.15</v>
      </c>
      <c r="R870" s="9">
        <f>tblTransactions[[#This Row],[NetRevenue]]-tblTransactions[[#This Row],[TotalCost]]</f>
        <v>22714.629999999997</v>
      </c>
      <c r="S870" t="str">
        <f>_xlfn.XLOOKUP(tblTransactions[[#This Row],[ProductID]],tblProducts[ProductID],tblProducts[Category])</f>
        <v>Electronics</v>
      </c>
    </row>
    <row r="871" spans="1:19">
      <c r="A871" t="s">
        <v>17188</v>
      </c>
      <c r="B871" s="1">
        <v>45872</v>
      </c>
      <c r="C871" t="s">
        <v>7934</v>
      </c>
      <c r="D871" t="str">
        <f>_xlfn.XLOOKUP(tblTransactions[[#This Row],[CustomerID]],tblCustomers[CustomerID],tblCustomers[CustomerName])</f>
        <v>Peter Baria</v>
      </c>
      <c r="E871" t="s">
        <v>15945</v>
      </c>
      <c r="F871" t="str">
        <f>_xlfn.XLOOKUP(tblTransactions[[#This Row],[ProductID]],tblProducts[ProductID],tblProducts[ProductName])</f>
        <v>Budget Smartphone A1</v>
      </c>
      <c r="G871" t="s">
        <v>16299</v>
      </c>
      <c r="H871" t="str">
        <f>_xlfn.XLOOKUP(tblTransactions[[#This Row],[StoreID]],tblStores[StoreID],tblStores[Region])</f>
        <v>South</v>
      </c>
      <c r="I871">
        <v>1</v>
      </c>
      <c r="J871">
        <v>0</v>
      </c>
      <c r="K871" t="s">
        <v>16315</v>
      </c>
      <c r="L871" s="9">
        <f>_xlfn.XLOOKUP(tblTransactions[[#This Row],[ProductID]],tblProducts[ProductID],tblProducts[UnitPrice])</f>
        <v>46428.19</v>
      </c>
      <c r="M871" s="9">
        <f>tblTransactions[[#This Row],[Quantity]]*tblTransactions[[#This Row],[UnitPrice]]</f>
        <v>46428.19</v>
      </c>
      <c r="N871" s="9">
        <f>tblTransactions[[#This Row],[GrossSales]]*tblTransactions[[#This Row],[Discount]]</f>
        <v>0</v>
      </c>
      <c r="O871" s="9">
        <f>tblTransactions[[#This Row],[GrossSales]]-tblTransactions[[#This Row],[DiscountAmount]]</f>
        <v>46428.19</v>
      </c>
      <c r="P871" s="9">
        <f>_xlfn.XLOOKUP(tblTransactions[[#This Row],[ProductID]],tblProducts[ProductID],tblProducts[UnitCost])</f>
        <v>26886.09</v>
      </c>
      <c r="Q871" s="9">
        <f>tblTransactions[[#This Row],[Quantity]]*tblTransactions[[#This Row],[UnitCost]]</f>
        <v>26886.09</v>
      </c>
      <c r="R871" s="9">
        <f>tblTransactions[[#This Row],[NetRevenue]]-tblTransactions[[#This Row],[TotalCost]]</f>
        <v>19542.100000000002</v>
      </c>
      <c r="S871" t="str">
        <f>_xlfn.XLOOKUP(tblTransactions[[#This Row],[ProductID]],tblProducts[ProductID],tblProducts[Category])</f>
        <v>Electronics</v>
      </c>
    </row>
    <row r="872" spans="1:19">
      <c r="A872" t="s">
        <v>17189</v>
      </c>
      <c r="B872" s="1">
        <v>45872</v>
      </c>
      <c r="C872" t="s">
        <v>13655</v>
      </c>
      <c r="D872" t="str">
        <f>_xlfn.XLOOKUP(tblTransactions[[#This Row],[CustomerID]],tblCustomers[CustomerID],tblCustomers[CustomerName])</f>
        <v>Indira Shah</v>
      </c>
      <c r="E872" t="s">
        <v>16238</v>
      </c>
      <c r="F872" t="str">
        <f>_xlfn.XLOOKUP(tblTransactions[[#This Row],[ProductID]],tblProducts[ProductID],tblProducts[ProductName])</f>
        <v>Razor A1</v>
      </c>
      <c r="G872" t="s">
        <v>16303</v>
      </c>
      <c r="H872" t="str">
        <f>_xlfn.XLOOKUP(tblTransactions[[#This Row],[StoreID]],tblStores[StoreID],tblStores[Region])</f>
        <v>West</v>
      </c>
      <c r="I872">
        <v>4</v>
      </c>
      <c r="J872">
        <v>0</v>
      </c>
      <c r="K872" t="s">
        <v>16319</v>
      </c>
      <c r="L872" s="9">
        <f>_xlfn.XLOOKUP(tblTransactions[[#This Row],[ProductID]],tblProducts[ProductID],tblProducts[UnitPrice])</f>
        <v>1037.07</v>
      </c>
      <c r="M872" s="9">
        <f>tblTransactions[[#This Row],[Quantity]]*tblTransactions[[#This Row],[UnitPrice]]</f>
        <v>4148.28</v>
      </c>
      <c r="N872" s="9">
        <f>tblTransactions[[#This Row],[GrossSales]]*tblTransactions[[#This Row],[Discount]]</f>
        <v>0</v>
      </c>
      <c r="O872" s="9">
        <f>tblTransactions[[#This Row],[GrossSales]]-tblTransactions[[#This Row],[DiscountAmount]]</f>
        <v>4148.28</v>
      </c>
      <c r="P872" s="9">
        <f>_xlfn.XLOOKUP(tblTransactions[[#This Row],[ProductID]],tblProducts[ProductID],tblProducts[UnitCost])</f>
        <v>720.16</v>
      </c>
      <c r="Q872" s="9">
        <f>tblTransactions[[#This Row],[Quantity]]*tblTransactions[[#This Row],[UnitCost]]</f>
        <v>2880.64</v>
      </c>
      <c r="R872" s="9">
        <f>tblTransactions[[#This Row],[NetRevenue]]-tblTransactions[[#This Row],[TotalCost]]</f>
        <v>1267.6399999999999</v>
      </c>
      <c r="S872" t="str">
        <f>_xlfn.XLOOKUP(tblTransactions[[#This Row],[ProductID]],tblProducts[ProductID],tblProducts[Category])</f>
        <v>Personal Care</v>
      </c>
    </row>
    <row r="873" spans="1:19">
      <c r="A873" t="s">
        <v>17190</v>
      </c>
      <c r="B873" s="1">
        <v>45875</v>
      </c>
      <c r="C873" t="s">
        <v>13377</v>
      </c>
      <c r="D873" t="str">
        <f>_xlfn.XLOOKUP(tblTransactions[[#This Row],[CustomerID]],tblCustomers[CustomerID],tblCustomers[CustomerName])</f>
        <v>Wahab Dewan</v>
      </c>
      <c r="E873" t="s">
        <v>16040</v>
      </c>
      <c r="F873" t="str">
        <f>_xlfn.XLOOKUP(tblTransactions[[#This Row],[ProductID]],tblProducts[ProductID],tblProducts[ProductName])</f>
        <v>Cookware Set A1</v>
      </c>
      <c r="G873" t="s">
        <v>16299</v>
      </c>
      <c r="H873" t="str">
        <f>_xlfn.XLOOKUP(tblTransactions[[#This Row],[StoreID]],tblStores[StoreID],tblStores[Region])</f>
        <v>South</v>
      </c>
      <c r="I873">
        <v>3</v>
      </c>
      <c r="J873">
        <v>0.05</v>
      </c>
      <c r="K873" t="s">
        <v>16325</v>
      </c>
      <c r="L873" s="9">
        <f>_xlfn.XLOOKUP(tblTransactions[[#This Row],[ProductID]],tblProducts[ProductID],tblProducts[UnitPrice])</f>
        <v>23380</v>
      </c>
      <c r="M873" s="9">
        <f>tblTransactions[[#This Row],[Quantity]]*tblTransactions[[#This Row],[UnitPrice]]</f>
        <v>70140</v>
      </c>
      <c r="N873" s="9">
        <f>tblTransactions[[#This Row],[GrossSales]]*tblTransactions[[#This Row],[Discount]]</f>
        <v>3507</v>
      </c>
      <c r="O873" s="9">
        <f>tblTransactions[[#This Row],[GrossSales]]-tblTransactions[[#This Row],[DiscountAmount]]</f>
        <v>66633</v>
      </c>
      <c r="P873" s="9">
        <f>_xlfn.XLOOKUP(tblTransactions[[#This Row],[ProductID]],tblProducts[ProductID],tblProducts[UnitCost])</f>
        <v>15528.93</v>
      </c>
      <c r="Q873" s="9">
        <f>tblTransactions[[#This Row],[Quantity]]*tblTransactions[[#This Row],[UnitCost]]</f>
        <v>46586.79</v>
      </c>
      <c r="R873" s="9">
        <f>tblTransactions[[#This Row],[NetRevenue]]-tblTransactions[[#This Row],[TotalCost]]</f>
        <v>20046.21</v>
      </c>
      <c r="S873" t="str">
        <f>_xlfn.XLOOKUP(tblTransactions[[#This Row],[ProductID]],tblProducts[ProductID],tblProducts[Category])</f>
        <v>Home &amp; Kitchen</v>
      </c>
    </row>
    <row r="874" spans="1:19">
      <c r="A874" t="s">
        <v>17191</v>
      </c>
      <c r="B874" s="1">
        <v>45876</v>
      </c>
      <c r="C874" t="s">
        <v>10295</v>
      </c>
      <c r="D874" t="str">
        <f>_xlfn.XLOOKUP(tblTransactions[[#This Row],[CustomerID]],tblCustomers[CustomerID],tblCustomers[CustomerName])</f>
        <v>Upkaar Kashyap</v>
      </c>
      <c r="E874" t="s">
        <v>16009</v>
      </c>
      <c r="F874" t="str">
        <f>_xlfn.XLOOKUP(tblTransactions[[#This Row],[ProductID]],tblProducts[ProductID],tblProducts[ProductName])</f>
        <v>Mixer Grinder A1</v>
      </c>
      <c r="G874" t="s">
        <v>16269</v>
      </c>
      <c r="H874" t="str">
        <f>_xlfn.XLOOKUP(tblTransactions[[#This Row],[StoreID]],tblStores[StoreID],tblStores[Region])</f>
        <v>North</v>
      </c>
      <c r="I874">
        <v>3</v>
      </c>
      <c r="J874">
        <v>0.05</v>
      </c>
      <c r="K874" t="s">
        <v>16317</v>
      </c>
      <c r="L874" s="9">
        <f>_xlfn.XLOOKUP(tblTransactions[[#This Row],[ProductID]],tblProducts[ProductID],tblProducts[UnitPrice])</f>
        <v>14732.95</v>
      </c>
      <c r="M874" s="9">
        <f>tblTransactions[[#This Row],[Quantity]]*tblTransactions[[#This Row],[UnitPrice]]</f>
        <v>44198.850000000006</v>
      </c>
      <c r="N874" s="9">
        <f>tblTransactions[[#This Row],[GrossSales]]*tblTransactions[[#This Row],[Discount]]</f>
        <v>2209.9425000000006</v>
      </c>
      <c r="O874" s="9">
        <f>tblTransactions[[#This Row],[GrossSales]]-tblTransactions[[#This Row],[DiscountAmount]]</f>
        <v>41988.907500000008</v>
      </c>
      <c r="P874" s="9">
        <f>_xlfn.XLOOKUP(tblTransactions[[#This Row],[ProductID]],tblProducts[ProductID],tblProducts[UnitCost])</f>
        <v>10707.23</v>
      </c>
      <c r="Q874" s="9">
        <f>tblTransactions[[#This Row],[Quantity]]*tblTransactions[[#This Row],[UnitCost]]</f>
        <v>32121.69</v>
      </c>
      <c r="R874" s="9">
        <f>tblTransactions[[#This Row],[NetRevenue]]-tblTransactions[[#This Row],[TotalCost]]</f>
        <v>9867.2175000000097</v>
      </c>
      <c r="S874" t="str">
        <f>_xlfn.XLOOKUP(tblTransactions[[#This Row],[ProductID]],tblProducts[ProductID],tblProducts[Category])</f>
        <v>Home &amp; Kitchen</v>
      </c>
    </row>
    <row r="875" spans="1:19">
      <c r="A875" t="s">
        <v>17192</v>
      </c>
      <c r="B875" s="1">
        <v>45878</v>
      </c>
      <c r="C875" t="s">
        <v>15390</v>
      </c>
      <c r="D875" t="str">
        <f>_xlfn.XLOOKUP(tblTransactions[[#This Row],[CustomerID]],tblCustomers[CustomerID],tblCustomers[CustomerName])</f>
        <v>Alexander Sunder</v>
      </c>
      <c r="E875" t="s">
        <v>16217</v>
      </c>
      <c r="F875" t="str">
        <f>_xlfn.XLOOKUP(tblTransactions[[#This Row],[ProductID]],tblProducts[ProductID],tblProducts[ProductName])</f>
        <v>Hair Oil E5</v>
      </c>
      <c r="G875" t="s">
        <v>16297</v>
      </c>
      <c r="H875" t="str">
        <f>_xlfn.XLOOKUP(tblTransactions[[#This Row],[StoreID]],tblStores[StoreID],tblStores[Region])</f>
        <v>North</v>
      </c>
      <c r="I875">
        <v>2</v>
      </c>
      <c r="J875">
        <v>0.1</v>
      </c>
      <c r="K875" t="s">
        <v>16321</v>
      </c>
      <c r="L875" s="9">
        <f>_xlfn.XLOOKUP(tblTransactions[[#This Row],[ProductID]],tblProducts[ProductID],tblProducts[UnitPrice])</f>
        <v>3581.9</v>
      </c>
      <c r="M875" s="9">
        <f>tblTransactions[[#This Row],[Quantity]]*tblTransactions[[#This Row],[UnitPrice]]</f>
        <v>7163.8</v>
      </c>
      <c r="N875" s="9">
        <f>tblTransactions[[#This Row],[GrossSales]]*tblTransactions[[#This Row],[Discount]]</f>
        <v>716.38000000000011</v>
      </c>
      <c r="O875" s="9">
        <f>tblTransactions[[#This Row],[GrossSales]]-tblTransactions[[#This Row],[DiscountAmount]]</f>
        <v>6447.42</v>
      </c>
      <c r="P875" s="9">
        <f>_xlfn.XLOOKUP(tblTransactions[[#This Row],[ProductID]],tblProducts[ProductID],tblProducts[UnitCost])</f>
        <v>2770.12</v>
      </c>
      <c r="Q875" s="9">
        <f>tblTransactions[[#This Row],[Quantity]]*tblTransactions[[#This Row],[UnitCost]]</f>
        <v>5540.24</v>
      </c>
      <c r="R875" s="9">
        <f>tblTransactions[[#This Row],[NetRevenue]]-tblTransactions[[#This Row],[TotalCost]]</f>
        <v>907.18000000000029</v>
      </c>
      <c r="S875" t="str">
        <f>_xlfn.XLOOKUP(tblTransactions[[#This Row],[ProductID]],tblProducts[ProductID],tblProducts[Category])</f>
        <v>Personal Care</v>
      </c>
    </row>
    <row r="876" spans="1:19">
      <c r="A876" t="s">
        <v>17193</v>
      </c>
      <c r="B876" s="1">
        <v>45879</v>
      </c>
      <c r="C876" t="s">
        <v>13907</v>
      </c>
      <c r="D876" t="str">
        <f>_xlfn.XLOOKUP(tblTransactions[[#This Row],[CustomerID]],tblCustomers[CustomerID],tblCustomers[CustomerName])</f>
        <v>Aarnav Sahota</v>
      </c>
      <c r="E876" t="s">
        <v>16162</v>
      </c>
      <c r="F876" t="str">
        <f>_xlfn.XLOOKUP(tblTransactions[[#This Row],[ProductID]],tblProducts[ProductID],tblProducts[ProductName])</f>
        <v>Tea A1</v>
      </c>
      <c r="G876" t="s">
        <v>16273</v>
      </c>
      <c r="H876" t="str">
        <f>_xlfn.XLOOKUP(tblTransactions[[#This Row],[StoreID]],tblStores[StoreID],tblStores[Region])</f>
        <v>West</v>
      </c>
      <c r="I876">
        <v>1</v>
      </c>
      <c r="J876">
        <v>0.05</v>
      </c>
      <c r="K876" t="s">
        <v>16321</v>
      </c>
      <c r="L876" s="9">
        <f>_xlfn.XLOOKUP(tblTransactions[[#This Row],[ProductID]],tblProducts[ProductID],tblProducts[UnitPrice])</f>
        <v>675.13</v>
      </c>
      <c r="M876" s="9">
        <f>tblTransactions[[#This Row],[Quantity]]*tblTransactions[[#This Row],[UnitPrice]]</f>
        <v>675.13</v>
      </c>
      <c r="N876" s="9">
        <f>tblTransactions[[#This Row],[GrossSales]]*tblTransactions[[#This Row],[Discount]]</f>
        <v>33.756500000000003</v>
      </c>
      <c r="O876" s="9">
        <f>tblTransactions[[#This Row],[GrossSales]]-tblTransactions[[#This Row],[DiscountAmount]]</f>
        <v>641.37350000000004</v>
      </c>
      <c r="P876" s="9">
        <f>_xlfn.XLOOKUP(tblTransactions[[#This Row],[ProductID]],tblProducts[ProductID],tblProducts[UnitCost])</f>
        <v>510.45</v>
      </c>
      <c r="Q876" s="9">
        <f>tblTransactions[[#This Row],[Quantity]]*tblTransactions[[#This Row],[UnitCost]]</f>
        <v>510.45</v>
      </c>
      <c r="R876" s="9">
        <f>tblTransactions[[#This Row],[NetRevenue]]-tblTransactions[[#This Row],[TotalCost]]</f>
        <v>130.92350000000005</v>
      </c>
      <c r="S876" t="str">
        <f>_xlfn.XLOOKUP(tblTransactions[[#This Row],[ProductID]],tblProducts[ProductID],tblProducts[Category])</f>
        <v>Grocery</v>
      </c>
    </row>
    <row r="877" spans="1:19">
      <c r="A877" t="s">
        <v>17194</v>
      </c>
      <c r="B877" s="1">
        <v>45881</v>
      </c>
      <c r="C877" t="s">
        <v>2397</v>
      </c>
      <c r="D877" t="str">
        <f>_xlfn.XLOOKUP(tblTransactions[[#This Row],[CustomerID]],tblCustomers[CustomerID],tblCustomers[CustomerName])</f>
        <v>Aahana Kashyap</v>
      </c>
      <c r="E877" t="s">
        <v>16147</v>
      </c>
      <c r="F877" t="str">
        <f>_xlfn.XLOOKUP(tblTransactions[[#This Row],[ProductID]],tblProducts[ProductID],tblProducts[ProductName])</f>
        <v>Namkeen A1</v>
      </c>
      <c r="G877" t="s">
        <v>16293</v>
      </c>
      <c r="H877" t="str">
        <f>_xlfn.XLOOKUP(tblTransactions[[#This Row],[StoreID]],tblStores[StoreID],tblStores[Region])</f>
        <v>South</v>
      </c>
      <c r="I877">
        <v>2</v>
      </c>
      <c r="J877">
        <v>0.05</v>
      </c>
      <c r="K877" t="s">
        <v>16321</v>
      </c>
      <c r="L877" s="9">
        <f>_xlfn.XLOOKUP(tblTransactions[[#This Row],[ProductID]],tblProducts[ProductID],tblProducts[UnitPrice])</f>
        <v>1282.31</v>
      </c>
      <c r="M877" s="9">
        <f>tblTransactions[[#This Row],[Quantity]]*tblTransactions[[#This Row],[UnitPrice]]</f>
        <v>2564.62</v>
      </c>
      <c r="N877" s="9">
        <f>tblTransactions[[#This Row],[GrossSales]]*tblTransactions[[#This Row],[Discount]]</f>
        <v>128.23099999999999</v>
      </c>
      <c r="O877" s="9">
        <f>tblTransactions[[#This Row],[GrossSales]]-tblTransactions[[#This Row],[DiscountAmount]]</f>
        <v>2436.3890000000001</v>
      </c>
      <c r="P877" s="9">
        <f>_xlfn.XLOOKUP(tblTransactions[[#This Row],[ProductID]],tblProducts[ProductID],tblProducts[UnitCost])</f>
        <v>759</v>
      </c>
      <c r="Q877" s="9">
        <f>tblTransactions[[#This Row],[Quantity]]*tblTransactions[[#This Row],[UnitCost]]</f>
        <v>1518</v>
      </c>
      <c r="R877" s="9">
        <f>tblTransactions[[#This Row],[NetRevenue]]-tblTransactions[[#This Row],[TotalCost]]</f>
        <v>918.38900000000012</v>
      </c>
      <c r="S877" t="str">
        <f>_xlfn.XLOOKUP(tblTransactions[[#This Row],[ProductID]],tblProducts[ProductID],tblProducts[Category])</f>
        <v>Grocery</v>
      </c>
    </row>
    <row r="878" spans="1:19">
      <c r="A878" t="s">
        <v>17195</v>
      </c>
      <c r="B878" s="1">
        <v>45882</v>
      </c>
      <c r="C878" t="s">
        <v>12388</v>
      </c>
      <c r="D878" t="str">
        <f>_xlfn.XLOOKUP(tblTransactions[[#This Row],[CustomerID]],tblCustomers[CustomerID],tblCustomers[CustomerName])</f>
        <v>Advika Patel</v>
      </c>
      <c r="E878" t="s">
        <v>15950</v>
      </c>
      <c r="F878" t="str">
        <f>_xlfn.XLOOKUP(tblTransactions[[#This Row],[ProductID]],tblProducts[ProductID],tblProducts[ProductName])</f>
        <v>Premium Smartphone C3</v>
      </c>
      <c r="G878" t="s">
        <v>16267</v>
      </c>
      <c r="H878" t="str">
        <f>_xlfn.XLOOKUP(tblTransactions[[#This Row],[StoreID]],tblStores[StoreID],tblStores[Region])</f>
        <v>West</v>
      </c>
      <c r="I878">
        <v>3</v>
      </c>
      <c r="J878">
        <v>0</v>
      </c>
      <c r="K878" t="s">
        <v>16321</v>
      </c>
      <c r="L878" s="9">
        <f>_xlfn.XLOOKUP(tblTransactions[[#This Row],[ProductID]],tblProducts[ProductID],tblProducts[UnitPrice])</f>
        <v>14902.07</v>
      </c>
      <c r="M878" s="9">
        <f>tblTransactions[[#This Row],[Quantity]]*tblTransactions[[#This Row],[UnitPrice]]</f>
        <v>44706.21</v>
      </c>
      <c r="N878" s="9">
        <f>tblTransactions[[#This Row],[GrossSales]]*tblTransactions[[#This Row],[Discount]]</f>
        <v>0</v>
      </c>
      <c r="O878" s="9">
        <f>tblTransactions[[#This Row],[GrossSales]]-tblTransactions[[#This Row],[DiscountAmount]]</f>
        <v>44706.21</v>
      </c>
      <c r="P878" s="9">
        <f>_xlfn.XLOOKUP(tblTransactions[[#This Row],[ProductID]],tblProducts[ProductID],tblProducts[UnitCost])</f>
        <v>9305.33</v>
      </c>
      <c r="Q878" s="9">
        <f>tblTransactions[[#This Row],[Quantity]]*tblTransactions[[#This Row],[UnitCost]]</f>
        <v>27915.989999999998</v>
      </c>
      <c r="R878" s="9">
        <f>tblTransactions[[#This Row],[NetRevenue]]-tblTransactions[[#This Row],[TotalCost]]</f>
        <v>16790.22</v>
      </c>
      <c r="S878" t="str">
        <f>_xlfn.XLOOKUP(tblTransactions[[#This Row],[ProductID]],tblProducts[ProductID],tblProducts[Category])</f>
        <v>Electronics</v>
      </c>
    </row>
    <row r="879" spans="1:19">
      <c r="A879" t="s">
        <v>17196</v>
      </c>
      <c r="B879" s="1">
        <v>45883</v>
      </c>
      <c r="C879" t="s">
        <v>12555</v>
      </c>
      <c r="D879" t="str">
        <f>_xlfn.XLOOKUP(tblTransactions[[#This Row],[CustomerID]],tblCustomers[CustomerID],tblCustomers[CustomerName])</f>
        <v>Yashoda Narayanan</v>
      </c>
      <c r="E879" t="s">
        <v>15935</v>
      </c>
      <c r="F879" t="str">
        <f>_xlfn.XLOOKUP(tblTransactions[[#This Row],[ProductID]],tblProducts[ProductID],tblProducts[ProductName])</f>
        <v>QLED Smart TV D4</v>
      </c>
      <c r="G879" t="s">
        <v>16259</v>
      </c>
      <c r="H879" t="str">
        <f>_xlfn.XLOOKUP(tblTransactions[[#This Row],[StoreID]],tblStores[StoreID],tblStores[Region])</f>
        <v>East</v>
      </c>
      <c r="I879">
        <v>1</v>
      </c>
      <c r="J879">
        <v>0.1</v>
      </c>
      <c r="K879" t="s">
        <v>16315</v>
      </c>
      <c r="L879" s="9">
        <f>_xlfn.XLOOKUP(tblTransactions[[#This Row],[ProductID]],tblProducts[ProductID],tblProducts[UnitPrice])</f>
        <v>10619.36</v>
      </c>
      <c r="M879" s="9">
        <f>tblTransactions[[#This Row],[Quantity]]*tblTransactions[[#This Row],[UnitPrice]]</f>
        <v>10619.36</v>
      </c>
      <c r="N879" s="9">
        <f>tblTransactions[[#This Row],[GrossSales]]*tblTransactions[[#This Row],[Discount]]</f>
        <v>1061.9360000000001</v>
      </c>
      <c r="O879" s="9">
        <f>tblTransactions[[#This Row],[GrossSales]]-tblTransactions[[#This Row],[DiscountAmount]]</f>
        <v>9557.4240000000009</v>
      </c>
      <c r="P879" s="9">
        <f>_xlfn.XLOOKUP(tblTransactions[[#This Row],[ProductID]],tblProducts[ProductID],tblProducts[UnitCost])</f>
        <v>6544.82</v>
      </c>
      <c r="Q879" s="9">
        <f>tblTransactions[[#This Row],[Quantity]]*tblTransactions[[#This Row],[UnitCost]]</f>
        <v>6544.82</v>
      </c>
      <c r="R879" s="9">
        <f>tblTransactions[[#This Row],[NetRevenue]]-tblTransactions[[#This Row],[TotalCost]]</f>
        <v>3012.6040000000012</v>
      </c>
      <c r="S879" t="str">
        <f>_xlfn.XLOOKUP(tblTransactions[[#This Row],[ProductID]],tblProducts[ProductID],tblProducts[Category])</f>
        <v>Electronics</v>
      </c>
    </row>
    <row r="880" spans="1:19">
      <c r="A880" t="s">
        <v>17197</v>
      </c>
      <c r="B880" s="1">
        <v>45883</v>
      </c>
      <c r="C880" t="s">
        <v>12010</v>
      </c>
      <c r="D880" t="str">
        <f>_xlfn.XLOOKUP(tblTransactions[[#This Row],[CustomerID]],tblCustomers[CustomerID],tblCustomers[CustomerName])</f>
        <v>Ryan Patel</v>
      </c>
      <c r="E880" t="s">
        <v>16095</v>
      </c>
      <c r="F880" t="str">
        <f>_xlfn.XLOOKUP(tblTransactions[[#This Row],[ProductID]],tblProducts[ProductID],tblProducts[ProductName])</f>
        <v>Women's Jeans E5</v>
      </c>
      <c r="G880" t="s">
        <v>16295</v>
      </c>
      <c r="H880" t="str">
        <f>_xlfn.XLOOKUP(tblTransactions[[#This Row],[StoreID]],tblStores[StoreID],tblStores[Region])</f>
        <v>South</v>
      </c>
      <c r="I880">
        <v>1</v>
      </c>
      <c r="J880">
        <v>0.15</v>
      </c>
      <c r="K880" t="s">
        <v>16317</v>
      </c>
      <c r="L880" s="9">
        <f>_xlfn.XLOOKUP(tblTransactions[[#This Row],[ProductID]],tblProducts[ProductID],tblProducts[UnitPrice])</f>
        <v>909.72</v>
      </c>
      <c r="M880" s="9">
        <f>tblTransactions[[#This Row],[Quantity]]*tblTransactions[[#This Row],[UnitPrice]]</f>
        <v>909.72</v>
      </c>
      <c r="N880" s="9">
        <f>tblTransactions[[#This Row],[GrossSales]]*tblTransactions[[#This Row],[Discount]]</f>
        <v>136.458</v>
      </c>
      <c r="O880" s="9">
        <f>tblTransactions[[#This Row],[GrossSales]]-tblTransactions[[#This Row],[DiscountAmount]]</f>
        <v>773.26200000000006</v>
      </c>
      <c r="P880" s="9">
        <f>_xlfn.XLOOKUP(tblTransactions[[#This Row],[ProductID]],tblProducts[ProductID],tblProducts[UnitCost])</f>
        <v>546.83000000000004</v>
      </c>
      <c r="Q880" s="9">
        <f>tblTransactions[[#This Row],[Quantity]]*tblTransactions[[#This Row],[UnitCost]]</f>
        <v>546.83000000000004</v>
      </c>
      <c r="R880" s="9">
        <f>tblTransactions[[#This Row],[NetRevenue]]-tblTransactions[[#This Row],[TotalCost]]</f>
        <v>226.43200000000002</v>
      </c>
      <c r="S880" t="str">
        <f>_xlfn.XLOOKUP(tblTransactions[[#This Row],[ProductID]],tblProducts[ProductID],tblProducts[Category])</f>
        <v>Clothing</v>
      </c>
    </row>
    <row r="881" spans="1:19">
      <c r="A881" t="s">
        <v>17198</v>
      </c>
      <c r="B881" s="1">
        <v>45883</v>
      </c>
      <c r="C881" t="s">
        <v>11131</v>
      </c>
      <c r="D881" t="str">
        <f>_xlfn.XLOOKUP(tblTransactions[[#This Row],[CustomerID]],tblCustomers[CustomerID],tblCustomers[CustomerName])</f>
        <v>Ria Tripathi</v>
      </c>
      <c r="E881" t="s">
        <v>16219</v>
      </c>
      <c r="F881" t="str">
        <f>_xlfn.XLOOKUP(tblTransactions[[#This Row],[ProductID]],tblProducts[ProductID],tblProducts[ProductName])</f>
        <v>Hair Serum A6</v>
      </c>
      <c r="G881" t="s">
        <v>16275</v>
      </c>
      <c r="H881" t="str">
        <f>_xlfn.XLOOKUP(tblTransactions[[#This Row],[StoreID]],tblStores[StoreID],tblStores[Region])</f>
        <v>South</v>
      </c>
      <c r="I881">
        <v>1</v>
      </c>
      <c r="J881">
        <v>0.05</v>
      </c>
      <c r="K881" t="s">
        <v>16317</v>
      </c>
      <c r="L881" s="9">
        <f>_xlfn.XLOOKUP(tblTransactions[[#This Row],[ProductID]],tblProducts[ProductID],tblProducts[UnitPrice])</f>
        <v>3355.04</v>
      </c>
      <c r="M881" s="9">
        <f>tblTransactions[[#This Row],[Quantity]]*tblTransactions[[#This Row],[UnitPrice]]</f>
        <v>3355.04</v>
      </c>
      <c r="N881" s="9">
        <f>tblTransactions[[#This Row],[GrossSales]]*tblTransactions[[#This Row],[Discount]]</f>
        <v>167.75200000000001</v>
      </c>
      <c r="O881" s="9">
        <f>tblTransactions[[#This Row],[GrossSales]]-tblTransactions[[#This Row],[DiscountAmount]]</f>
        <v>3187.288</v>
      </c>
      <c r="P881" s="9">
        <f>_xlfn.XLOOKUP(tblTransactions[[#This Row],[ProductID]],tblProducts[ProductID],tblProducts[UnitCost])</f>
        <v>1914.01</v>
      </c>
      <c r="Q881" s="9">
        <f>tblTransactions[[#This Row],[Quantity]]*tblTransactions[[#This Row],[UnitCost]]</f>
        <v>1914.01</v>
      </c>
      <c r="R881" s="9">
        <f>tblTransactions[[#This Row],[NetRevenue]]-tblTransactions[[#This Row],[TotalCost]]</f>
        <v>1273.278</v>
      </c>
      <c r="S881" t="str">
        <f>_xlfn.XLOOKUP(tblTransactions[[#This Row],[ProductID]],tblProducts[ProductID],tblProducts[Category])</f>
        <v>Personal Care</v>
      </c>
    </row>
    <row r="882" spans="1:19">
      <c r="A882" t="s">
        <v>17199</v>
      </c>
      <c r="B882" s="1">
        <v>45884</v>
      </c>
      <c r="C882" t="s">
        <v>6431</v>
      </c>
      <c r="D882" t="str">
        <f>_xlfn.XLOOKUP(tblTransactions[[#This Row],[CustomerID]],tblCustomers[CustomerID],tblCustomers[CustomerName])</f>
        <v>Rachit Khatri</v>
      </c>
      <c r="E882" t="s">
        <v>16156</v>
      </c>
      <c r="F882" t="str">
        <f>_xlfn.XLOOKUP(tblTransactions[[#This Row],[ProductID]],tblProducts[ProductID],tblProducts[ProductName])</f>
        <v>Chocolate E5</v>
      </c>
      <c r="G882" t="s">
        <v>16305</v>
      </c>
      <c r="H882" t="str">
        <f>_xlfn.XLOOKUP(tblTransactions[[#This Row],[StoreID]],tblStores[StoreID],tblStores[Region])</f>
        <v>South</v>
      </c>
      <c r="I882">
        <v>1</v>
      </c>
      <c r="J882">
        <v>0</v>
      </c>
      <c r="K882" t="s">
        <v>16317</v>
      </c>
      <c r="L882" s="9">
        <f>_xlfn.XLOOKUP(tblTransactions[[#This Row],[ProductID]],tblProducts[ProductID],tblProducts[UnitPrice])</f>
        <v>817.37</v>
      </c>
      <c r="M882" s="9">
        <f>tblTransactions[[#This Row],[Quantity]]*tblTransactions[[#This Row],[UnitPrice]]</f>
        <v>817.37</v>
      </c>
      <c r="N882" s="9">
        <f>tblTransactions[[#This Row],[GrossSales]]*tblTransactions[[#This Row],[Discount]]</f>
        <v>0</v>
      </c>
      <c r="O882" s="9">
        <f>tblTransactions[[#This Row],[GrossSales]]-tblTransactions[[#This Row],[DiscountAmount]]</f>
        <v>817.37</v>
      </c>
      <c r="P882" s="9">
        <f>_xlfn.XLOOKUP(tblTransactions[[#This Row],[ProductID]],tblProducts[ProductID],tblProducts[UnitCost])</f>
        <v>595.03</v>
      </c>
      <c r="Q882" s="9">
        <f>tblTransactions[[#This Row],[Quantity]]*tblTransactions[[#This Row],[UnitCost]]</f>
        <v>595.03</v>
      </c>
      <c r="R882" s="9">
        <f>tblTransactions[[#This Row],[NetRevenue]]-tblTransactions[[#This Row],[TotalCost]]</f>
        <v>222.34000000000003</v>
      </c>
      <c r="S882" t="str">
        <f>_xlfn.XLOOKUP(tblTransactions[[#This Row],[ProductID]],tblProducts[ProductID],tblProducts[Category])</f>
        <v>Grocery</v>
      </c>
    </row>
    <row r="883" spans="1:19">
      <c r="A883" t="s">
        <v>17200</v>
      </c>
      <c r="B883" s="1">
        <v>45885</v>
      </c>
      <c r="C883" t="s">
        <v>1843</v>
      </c>
      <c r="D883" t="str">
        <f>_xlfn.XLOOKUP(tblTransactions[[#This Row],[CustomerID]],tblCustomers[CustomerID],tblCustomers[CustomerName])</f>
        <v>Isaiah Khosla</v>
      </c>
      <c r="E883" t="s">
        <v>16108</v>
      </c>
      <c r="F883" t="str">
        <f>_xlfn.XLOOKUP(tblTransactions[[#This Row],[ProductID]],tblProducts[ProductID],tblProducts[ProductName])</f>
        <v>Kids Dress D4</v>
      </c>
      <c r="G883" t="s">
        <v>16281</v>
      </c>
      <c r="H883" t="str">
        <f>_xlfn.XLOOKUP(tblTransactions[[#This Row],[StoreID]],tblStores[StoreID],tblStores[Region])</f>
        <v>West</v>
      </c>
      <c r="I883">
        <v>3</v>
      </c>
      <c r="J883">
        <v>0.15</v>
      </c>
      <c r="K883" t="s">
        <v>16317</v>
      </c>
      <c r="L883" s="9">
        <f>_xlfn.XLOOKUP(tblTransactions[[#This Row],[ProductID]],tblProducts[ProductID],tblProducts[UnitPrice])</f>
        <v>1332.31</v>
      </c>
      <c r="M883" s="9">
        <f>tblTransactions[[#This Row],[Quantity]]*tblTransactions[[#This Row],[UnitPrice]]</f>
        <v>3996.93</v>
      </c>
      <c r="N883" s="9">
        <f>tblTransactions[[#This Row],[GrossSales]]*tblTransactions[[#This Row],[Discount]]</f>
        <v>599.53949999999998</v>
      </c>
      <c r="O883" s="9">
        <f>tblTransactions[[#This Row],[GrossSales]]-tblTransactions[[#This Row],[DiscountAmount]]</f>
        <v>3397.3905</v>
      </c>
      <c r="P883" s="9">
        <f>_xlfn.XLOOKUP(tblTransactions[[#This Row],[ProductID]],tblProducts[ProductID],tblProducts[UnitCost])</f>
        <v>957.87</v>
      </c>
      <c r="Q883" s="9">
        <f>tblTransactions[[#This Row],[Quantity]]*tblTransactions[[#This Row],[UnitCost]]</f>
        <v>2873.61</v>
      </c>
      <c r="R883" s="9">
        <f>tblTransactions[[#This Row],[NetRevenue]]-tblTransactions[[#This Row],[TotalCost]]</f>
        <v>523.78049999999985</v>
      </c>
      <c r="S883" t="str">
        <f>_xlfn.XLOOKUP(tblTransactions[[#This Row],[ProductID]],tblProducts[ProductID],tblProducts[Category])</f>
        <v>Clothing</v>
      </c>
    </row>
    <row r="884" spans="1:19">
      <c r="A884" t="s">
        <v>17201</v>
      </c>
      <c r="B884" s="1">
        <v>45886</v>
      </c>
      <c r="C884" t="s">
        <v>1725</v>
      </c>
      <c r="D884" t="str">
        <f>_xlfn.XLOOKUP(tblTransactions[[#This Row],[CustomerID]],tblCustomers[CustomerID],tblCustomers[CustomerName])</f>
        <v>Brinda Bali</v>
      </c>
      <c r="E884" t="s">
        <v>16171</v>
      </c>
      <c r="F884" t="str">
        <f>_xlfn.XLOOKUP(tblTransactions[[#This Row],[ProductID]],tblProducts[ProductID],tblProducts[ProductName])</f>
        <v>Juice E5</v>
      </c>
      <c r="G884" t="s">
        <v>16285</v>
      </c>
      <c r="H884" t="str">
        <f>_xlfn.XLOOKUP(tblTransactions[[#This Row],[StoreID]],tblStores[StoreID],tblStores[Region])</f>
        <v>West</v>
      </c>
      <c r="I884">
        <v>1</v>
      </c>
      <c r="J884">
        <v>0</v>
      </c>
      <c r="K884" t="s">
        <v>16317</v>
      </c>
      <c r="L884" s="9">
        <f>_xlfn.XLOOKUP(tblTransactions[[#This Row],[ProductID]],tblProducts[ProductID],tblProducts[UnitPrice])</f>
        <v>100.32</v>
      </c>
      <c r="M884" s="9">
        <f>tblTransactions[[#This Row],[Quantity]]*tblTransactions[[#This Row],[UnitPrice]]</f>
        <v>100.32</v>
      </c>
      <c r="N884" s="9">
        <f>tblTransactions[[#This Row],[GrossSales]]*tblTransactions[[#This Row],[Discount]]</f>
        <v>0</v>
      </c>
      <c r="O884" s="9">
        <f>tblTransactions[[#This Row],[GrossSales]]-tblTransactions[[#This Row],[DiscountAmount]]</f>
        <v>100.32</v>
      </c>
      <c r="P884" s="9">
        <f>_xlfn.XLOOKUP(tblTransactions[[#This Row],[ProductID]],tblProducts[ProductID],tblProducts[UnitCost])</f>
        <v>66.61</v>
      </c>
      <c r="Q884" s="9">
        <f>tblTransactions[[#This Row],[Quantity]]*tblTransactions[[#This Row],[UnitCost]]</f>
        <v>66.61</v>
      </c>
      <c r="R884" s="9">
        <f>tblTransactions[[#This Row],[NetRevenue]]-tblTransactions[[#This Row],[TotalCost]]</f>
        <v>33.709999999999994</v>
      </c>
      <c r="S884" t="str">
        <f>_xlfn.XLOOKUP(tblTransactions[[#This Row],[ProductID]],tblProducts[ProductID],tblProducts[Category])</f>
        <v>Grocery</v>
      </c>
    </row>
    <row r="885" spans="1:19">
      <c r="A885" t="s">
        <v>17202</v>
      </c>
      <c r="B885" s="1">
        <v>45886</v>
      </c>
      <c r="C885" t="s">
        <v>13814</v>
      </c>
      <c r="D885" t="str">
        <f>_xlfn.XLOOKUP(tblTransactions[[#This Row],[CustomerID]],tblCustomers[CustomerID],tblCustomers[CustomerName])</f>
        <v>Faraj Bala</v>
      </c>
      <c r="E885" t="s">
        <v>16236</v>
      </c>
      <c r="F885" t="str">
        <f>_xlfn.XLOOKUP(tblTransactions[[#This Row],[ProductID]],tblProducts[ProductID],tblProducts[ProductName])</f>
        <v>Body Lotion B7</v>
      </c>
      <c r="G885" t="s">
        <v>16269</v>
      </c>
      <c r="H885" t="str">
        <f>_xlfn.XLOOKUP(tblTransactions[[#This Row],[StoreID]],tblStores[StoreID],tblStores[Region])</f>
        <v>North</v>
      </c>
      <c r="I885">
        <v>1</v>
      </c>
      <c r="J885">
        <v>0</v>
      </c>
      <c r="K885" t="s">
        <v>16315</v>
      </c>
      <c r="L885" s="9">
        <f>_xlfn.XLOOKUP(tblTransactions[[#This Row],[ProductID]],tblProducts[ProductID],tblProducts[UnitPrice])</f>
        <v>4198.8999999999996</v>
      </c>
      <c r="M885" s="9">
        <f>tblTransactions[[#This Row],[Quantity]]*tblTransactions[[#This Row],[UnitPrice]]</f>
        <v>4198.8999999999996</v>
      </c>
      <c r="N885" s="9">
        <f>tblTransactions[[#This Row],[GrossSales]]*tblTransactions[[#This Row],[Discount]]</f>
        <v>0</v>
      </c>
      <c r="O885" s="9">
        <f>tblTransactions[[#This Row],[GrossSales]]-tblTransactions[[#This Row],[DiscountAmount]]</f>
        <v>4198.8999999999996</v>
      </c>
      <c r="P885" s="9">
        <f>_xlfn.XLOOKUP(tblTransactions[[#This Row],[ProductID]],tblProducts[ProductID],tblProducts[UnitCost])</f>
        <v>2920.65</v>
      </c>
      <c r="Q885" s="9">
        <f>tblTransactions[[#This Row],[Quantity]]*tblTransactions[[#This Row],[UnitCost]]</f>
        <v>2920.65</v>
      </c>
      <c r="R885" s="9">
        <f>tblTransactions[[#This Row],[NetRevenue]]-tblTransactions[[#This Row],[TotalCost]]</f>
        <v>1278.2499999999995</v>
      </c>
      <c r="S885" t="str">
        <f>_xlfn.XLOOKUP(tblTransactions[[#This Row],[ProductID]],tblProducts[ProductID],tblProducts[Category])</f>
        <v>Personal Care</v>
      </c>
    </row>
    <row r="886" spans="1:19">
      <c r="A886" t="s">
        <v>17203</v>
      </c>
      <c r="B886" s="1">
        <v>45887</v>
      </c>
      <c r="C886" t="s">
        <v>4109</v>
      </c>
      <c r="D886" t="str">
        <f>_xlfn.XLOOKUP(tblTransactions[[#This Row],[CustomerID]],tblCustomers[CustomerID],tblCustomers[CustomerName])</f>
        <v>Nihal Samra</v>
      </c>
      <c r="E886" t="s">
        <v>16167</v>
      </c>
      <c r="F886" t="str">
        <f>_xlfn.XLOOKUP(tblTransactions[[#This Row],[ProductID]],tblProducts[ProductID],tblProducts[ProductName])</f>
        <v>Coffee C3</v>
      </c>
      <c r="G886" t="s">
        <v>16307</v>
      </c>
      <c r="H886" t="str">
        <f>_xlfn.XLOOKUP(tblTransactions[[#This Row],[StoreID]],tblStores[StoreID],tblStores[Region])</f>
        <v>East</v>
      </c>
      <c r="I886">
        <v>2</v>
      </c>
      <c r="J886">
        <v>0</v>
      </c>
      <c r="K886" t="s">
        <v>16317</v>
      </c>
      <c r="L886" s="9">
        <f>_xlfn.XLOOKUP(tblTransactions[[#This Row],[ProductID]],tblProducts[ProductID],tblProducts[UnitPrice])</f>
        <v>912.62</v>
      </c>
      <c r="M886" s="9">
        <f>tblTransactions[[#This Row],[Quantity]]*tblTransactions[[#This Row],[UnitPrice]]</f>
        <v>1825.24</v>
      </c>
      <c r="N886" s="9">
        <f>tblTransactions[[#This Row],[GrossSales]]*tblTransactions[[#This Row],[Discount]]</f>
        <v>0</v>
      </c>
      <c r="O886" s="9">
        <f>tblTransactions[[#This Row],[GrossSales]]-tblTransactions[[#This Row],[DiscountAmount]]</f>
        <v>1825.24</v>
      </c>
      <c r="P886" s="9">
        <f>_xlfn.XLOOKUP(tblTransactions[[#This Row],[ProductID]],tblProducts[ProductID],tblProducts[UnitCost])</f>
        <v>648.75</v>
      </c>
      <c r="Q886" s="9">
        <f>tblTransactions[[#This Row],[Quantity]]*tblTransactions[[#This Row],[UnitCost]]</f>
        <v>1297.5</v>
      </c>
      <c r="R886" s="9">
        <f>tblTransactions[[#This Row],[NetRevenue]]-tblTransactions[[#This Row],[TotalCost]]</f>
        <v>527.74</v>
      </c>
      <c r="S886" t="str">
        <f>_xlfn.XLOOKUP(tblTransactions[[#This Row],[ProductID]],tblProducts[ProductID],tblProducts[Category])</f>
        <v>Grocery</v>
      </c>
    </row>
    <row r="887" spans="1:19">
      <c r="A887" t="s">
        <v>17204</v>
      </c>
      <c r="B887" s="1">
        <v>45889</v>
      </c>
      <c r="C887" t="s">
        <v>14503</v>
      </c>
      <c r="D887" t="str">
        <f>_xlfn.XLOOKUP(tblTransactions[[#This Row],[CustomerID]],tblCustomers[CustomerID],tblCustomers[CustomerName])</f>
        <v>Gauri Srinivasan</v>
      </c>
      <c r="E887" t="s">
        <v>16104</v>
      </c>
      <c r="F887" t="str">
        <f>_xlfn.XLOOKUP(tblTransactions[[#This Row],[ProductID]],tblProducts[ProductID],tblProducts[ProductName])</f>
        <v>Kids Jeans B2</v>
      </c>
      <c r="G887" t="s">
        <v>16273</v>
      </c>
      <c r="H887" t="str">
        <f>_xlfn.XLOOKUP(tblTransactions[[#This Row],[StoreID]],tblStores[StoreID],tblStores[Region])</f>
        <v>West</v>
      </c>
      <c r="I887">
        <v>3</v>
      </c>
      <c r="J887">
        <v>0.2</v>
      </c>
      <c r="K887" t="s">
        <v>16317</v>
      </c>
      <c r="L887" s="9">
        <f>_xlfn.XLOOKUP(tblTransactions[[#This Row],[ProductID]],tblProducts[ProductID],tblProducts[UnitPrice])</f>
        <v>5613.98</v>
      </c>
      <c r="M887" s="9">
        <f>tblTransactions[[#This Row],[Quantity]]*tblTransactions[[#This Row],[UnitPrice]]</f>
        <v>16841.939999999999</v>
      </c>
      <c r="N887" s="9">
        <f>tblTransactions[[#This Row],[GrossSales]]*tblTransactions[[#This Row],[Discount]]</f>
        <v>3368.3879999999999</v>
      </c>
      <c r="O887" s="9">
        <f>tblTransactions[[#This Row],[GrossSales]]-tblTransactions[[#This Row],[DiscountAmount]]</f>
        <v>13473.552</v>
      </c>
      <c r="P887" s="9">
        <f>_xlfn.XLOOKUP(tblTransactions[[#This Row],[ProductID]],tblProducts[ProductID],tblProducts[UnitCost])</f>
        <v>3377.41</v>
      </c>
      <c r="Q887" s="9">
        <f>tblTransactions[[#This Row],[Quantity]]*tblTransactions[[#This Row],[UnitCost]]</f>
        <v>10132.23</v>
      </c>
      <c r="R887" s="9">
        <f>tblTransactions[[#This Row],[NetRevenue]]-tblTransactions[[#This Row],[TotalCost]]</f>
        <v>3341.3220000000001</v>
      </c>
      <c r="S887" t="str">
        <f>_xlfn.XLOOKUP(tblTransactions[[#This Row],[ProductID]],tblProducts[ProductID],tblProducts[Category])</f>
        <v>Clothing</v>
      </c>
    </row>
    <row r="888" spans="1:19">
      <c r="A888" t="s">
        <v>17205</v>
      </c>
      <c r="B888" s="1">
        <v>45889</v>
      </c>
      <c r="C888" t="s">
        <v>8355</v>
      </c>
      <c r="D888" t="str">
        <f>_xlfn.XLOOKUP(tblTransactions[[#This Row],[CustomerID]],tblCustomers[CustomerID],tblCustomers[CustomerName])</f>
        <v>Aradhana Sehgal</v>
      </c>
      <c r="E888" t="s">
        <v>16158</v>
      </c>
      <c r="F888" t="str">
        <f>_xlfn.XLOOKUP(tblTransactions[[#This Row],[ProductID]],tblProducts[ProductID],tblProducts[ProductName])</f>
        <v>Chocolate A6</v>
      </c>
      <c r="G888" t="s">
        <v>16259</v>
      </c>
      <c r="H888" t="str">
        <f>_xlfn.XLOOKUP(tblTransactions[[#This Row],[StoreID]],tblStores[StoreID],tblStores[Region])</f>
        <v>East</v>
      </c>
      <c r="I888">
        <v>1</v>
      </c>
      <c r="J888">
        <v>0.05</v>
      </c>
      <c r="K888" t="s">
        <v>16321</v>
      </c>
      <c r="L888" s="9">
        <f>_xlfn.XLOOKUP(tblTransactions[[#This Row],[ProductID]],tblProducts[ProductID],tblProducts[UnitPrice])</f>
        <v>1494.3</v>
      </c>
      <c r="M888" s="9">
        <f>tblTransactions[[#This Row],[Quantity]]*tblTransactions[[#This Row],[UnitPrice]]</f>
        <v>1494.3</v>
      </c>
      <c r="N888" s="9">
        <f>tblTransactions[[#This Row],[GrossSales]]*tblTransactions[[#This Row],[Discount]]</f>
        <v>74.715000000000003</v>
      </c>
      <c r="O888" s="9">
        <f>tblTransactions[[#This Row],[GrossSales]]-tblTransactions[[#This Row],[DiscountAmount]]</f>
        <v>1419.585</v>
      </c>
      <c r="P888" s="9">
        <f>_xlfn.XLOOKUP(tblTransactions[[#This Row],[ProductID]],tblProducts[ProductID],tblProducts[UnitCost])</f>
        <v>1031.67</v>
      </c>
      <c r="Q888" s="9">
        <f>tblTransactions[[#This Row],[Quantity]]*tblTransactions[[#This Row],[UnitCost]]</f>
        <v>1031.67</v>
      </c>
      <c r="R888" s="9">
        <f>tblTransactions[[#This Row],[NetRevenue]]-tblTransactions[[#This Row],[TotalCost]]</f>
        <v>387.91499999999996</v>
      </c>
      <c r="S888" t="str">
        <f>_xlfn.XLOOKUP(tblTransactions[[#This Row],[ProductID]],tblProducts[ProductID],tblProducts[Category])</f>
        <v>Grocery</v>
      </c>
    </row>
    <row r="889" spans="1:19">
      <c r="A889" t="s">
        <v>17206</v>
      </c>
      <c r="B889" s="1">
        <v>45889</v>
      </c>
      <c r="C889" t="s">
        <v>4349</v>
      </c>
      <c r="D889" t="str">
        <f>_xlfn.XLOOKUP(tblTransactions[[#This Row],[CustomerID]],tblCustomers[CustomerID],tblCustomers[CustomerName])</f>
        <v>Watika Thakkar</v>
      </c>
      <c r="E889" t="s">
        <v>15984</v>
      </c>
      <c r="F889" t="str">
        <f>_xlfn.XLOOKUP(tblTransactions[[#This Row],[ProductID]],tblProducts[ProductID],tblProducts[ProductName])</f>
        <v>Bluetooth Speaker C3</v>
      </c>
      <c r="G889" t="s">
        <v>16267</v>
      </c>
      <c r="H889" t="str">
        <f>_xlfn.XLOOKUP(tblTransactions[[#This Row],[StoreID]],tblStores[StoreID],tblStores[Region])</f>
        <v>West</v>
      </c>
      <c r="I889">
        <v>1</v>
      </c>
      <c r="J889">
        <v>0</v>
      </c>
      <c r="K889" t="s">
        <v>16321</v>
      </c>
      <c r="L889" s="9">
        <f>_xlfn.XLOOKUP(tblTransactions[[#This Row],[ProductID]],tblProducts[ProductID],tblProducts[UnitPrice])</f>
        <v>76661.149999999994</v>
      </c>
      <c r="M889" s="9">
        <f>tblTransactions[[#This Row],[Quantity]]*tblTransactions[[#This Row],[UnitPrice]]</f>
        <v>76661.149999999994</v>
      </c>
      <c r="N889" s="9">
        <f>tblTransactions[[#This Row],[GrossSales]]*tblTransactions[[#This Row],[Discount]]</f>
        <v>0</v>
      </c>
      <c r="O889" s="9">
        <f>tblTransactions[[#This Row],[GrossSales]]-tblTransactions[[#This Row],[DiscountAmount]]</f>
        <v>76661.149999999994</v>
      </c>
      <c r="P889" s="9">
        <f>_xlfn.XLOOKUP(tblTransactions[[#This Row],[ProductID]],tblProducts[ProductID],tblProducts[UnitCost])</f>
        <v>44142.48</v>
      </c>
      <c r="Q889" s="9">
        <f>tblTransactions[[#This Row],[Quantity]]*tblTransactions[[#This Row],[UnitCost]]</f>
        <v>44142.48</v>
      </c>
      <c r="R889" s="9">
        <f>tblTransactions[[#This Row],[NetRevenue]]-tblTransactions[[#This Row],[TotalCost]]</f>
        <v>32518.669999999991</v>
      </c>
      <c r="S889" t="str">
        <f>_xlfn.XLOOKUP(tblTransactions[[#This Row],[ProductID]],tblProducts[ProductID],tblProducts[Category])</f>
        <v>Electronics</v>
      </c>
    </row>
    <row r="890" spans="1:19">
      <c r="A890" t="s">
        <v>17207</v>
      </c>
      <c r="B890" s="1">
        <v>45889</v>
      </c>
      <c r="C890" t="s">
        <v>3409</v>
      </c>
      <c r="D890" t="str">
        <f>_xlfn.XLOOKUP(tblTransactions[[#This Row],[CustomerID]],tblCustomers[CustomerID],tblCustomers[CustomerName])</f>
        <v>Oni Morar</v>
      </c>
      <c r="E890" t="s">
        <v>16150</v>
      </c>
      <c r="F890" t="str">
        <f>_xlfn.XLOOKUP(tblTransactions[[#This Row],[ProductID]],tblProducts[ProductID],tblProducts[ProductName])</f>
        <v>Chocolate B2</v>
      </c>
      <c r="G890" t="s">
        <v>16293</v>
      </c>
      <c r="H890" t="str">
        <f>_xlfn.XLOOKUP(tblTransactions[[#This Row],[StoreID]],tblStores[StoreID],tblStores[Region])</f>
        <v>South</v>
      </c>
      <c r="I890">
        <v>3</v>
      </c>
      <c r="J890">
        <v>0.1</v>
      </c>
      <c r="K890" t="s">
        <v>16317</v>
      </c>
      <c r="L890" s="9">
        <f>_xlfn.XLOOKUP(tblTransactions[[#This Row],[ProductID]],tblProducts[ProductID],tblProducts[UnitPrice])</f>
        <v>500.73</v>
      </c>
      <c r="M890" s="9">
        <f>tblTransactions[[#This Row],[Quantity]]*tblTransactions[[#This Row],[UnitPrice]]</f>
        <v>1502.19</v>
      </c>
      <c r="N890" s="9">
        <f>tblTransactions[[#This Row],[GrossSales]]*tblTransactions[[#This Row],[Discount]]</f>
        <v>150.21900000000002</v>
      </c>
      <c r="O890" s="9">
        <f>tblTransactions[[#This Row],[GrossSales]]-tblTransactions[[#This Row],[DiscountAmount]]</f>
        <v>1351.971</v>
      </c>
      <c r="P890" s="9">
        <f>_xlfn.XLOOKUP(tblTransactions[[#This Row],[ProductID]],tblProducts[ProductID],tblProducts[UnitCost])</f>
        <v>407.66</v>
      </c>
      <c r="Q890" s="9">
        <f>tblTransactions[[#This Row],[Quantity]]*tblTransactions[[#This Row],[UnitCost]]</f>
        <v>1222.98</v>
      </c>
      <c r="R890" s="9">
        <f>tblTransactions[[#This Row],[NetRevenue]]-tblTransactions[[#This Row],[TotalCost]]</f>
        <v>128.99099999999999</v>
      </c>
      <c r="S890" t="str">
        <f>_xlfn.XLOOKUP(tblTransactions[[#This Row],[ProductID]],tblProducts[ProductID],tblProducts[Category])</f>
        <v>Grocery</v>
      </c>
    </row>
    <row r="891" spans="1:19">
      <c r="A891" t="s">
        <v>17208</v>
      </c>
      <c r="B891" s="1">
        <v>45889</v>
      </c>
      <c r="C891" t="s">
        <v>2638</v>
      </c>
      <c r="D891" t="str">
        <f>_xlfn.XLOOKUP(tblTransactions[[#This Row],[CustomerID]],tblCustomers[CustomerID],tblCustomers[CustomerName])</f>
        <v>Frederick Mody</v>
      </c>
      <c r="E891" t="s">
        <v>16177</v>
      </c>
      <c r="F891" t="str">
        <f>_xlfn.XLOOKUP(tblTransactions[[#This Row],[ProductID]],tblProducts[ProductID],tblProducts[ProductName])</f>
        <v>Instant Noodles A1</v>
      </c>
      <c r="G891" t="s">
        <v>16273</v>
      </c>
      <c r="H891" t="str">
        <f>_xlfn.XLOOKUP(tblTransactions[[#This Row],[StoreID]],tblStores[StoreID],tblStores[Region])</f>
        <v>West</v>
      </c>
      <c r="I891">
        <v>1</v>
      </c>
      <c r="J891">
        <v>0.05</v>
      </c>
      <c r="K891" t="s">
        <v>16317</v>
      </c>
      <c r="L891" s="9">
        <f>_xlfn.XLOOKUP(tblTransactions[[#This Row],[ProductID]],tblProducts[ProductID],tblProducts[UnitPrice])</f>
        <v>1210.1500000000001</v>
      </c>
      <c r="M891" s="9">
        <f>tblTransactions[[#This Row],[Quantity]]*tblTransactions[[#This Row],[UnitPrice]]</f>
        <v>1210.1500000000001</v>
      </c>
      <c r="N891" s="9">
        <f>tblTransactions[[#This Row],[GrossSales]]*tblTransactions[[#This Row],[Discount]]</f>
        <v>60.507500000000007</v>
      </c>
      <c r="O891" s="9">
        <f>tblTransactions[[#This Row],[GrossSales]]-tblTransactions[[#This Row],[DiscountAmount]]</f>
        <v>1149.6425000000002</v>
      </c>
      <c r="P891" s="9">
        <f>_xlfn.XLOOKUP(tblTransactions[[#This Row],[ProductID]],tblProducts[ProductID],tblProducts[UnitCost])</f>
        <v>697.43</v>
      </c>
      <c r="Q891" s="9">
        <f>tblTransactions[[#This Row],[Quantity]]*tblTransactions[[#This Row],[UnitCost]]</f>
        <v>697.43</v>
      </c>
      <c r="R891" s="9">
        <f>tblTransactions[[#This Row],[NetRevenue]]-tblTransactions[[#This Row],[TotalCost]]</f>
        <v>452.2125000000002</v>
      </c>
      <c r="S891" t="str">
        <f>_xlfn.XLOOKUP(tblTransactions[[#This Row],[ProductID]],tblProducts[ProductID],tblProducts[Category])</f>
        <v>Grocery</v>
      </c>
    </row>
    <row r="892" spans="1:19">
      <c r="A892" t="s">
        <v>17209</v>
      </c>
      <c r="B892" s="1">
        <v>45889</v>
      </c>
      <c r="C892" t="s">
        <v>14613</v>
      </c>
      <c r="D892" t="str">
        <f>_xlfn.XLOOKUP(tblTransactions[[#This Row],[CustomerID]],tblCustomers[CustomerID],tblCustomers[CustomerName])</f>
        <v>Om Barman</v>
      </c>
      <c r="E892" t="s">
        <v>16074</v>
      </c>
      <c r="F892" t="str">
        <f>_xlfn.XLOOKUP(tblTransactions[[#This Row],[ProductID]],tblProducts[ProductID],tblProducts[ProductName])</f>
        <v>Men's T-Shirt B2</v>
      </c>
      <c r="G892" t="s">
        <v>16262</v>
      </c>
      <c r="H892" t="str">
        <f>_xlfn.XLOOKUP(tblTransactions[[#This Row],[StoreID]],tblStores[StoreID],tblStores[Region])</f>
        <v>North</v>
      </c>
      <c r="I892">
        <v>2</v>
      </c>
      <c r="J892">
        <v>0</v>
      </c>
      <c r="K892" t="s">
        <v>16315</v>
      </c>
      <c r="L892" s="9">
        <f>_xlfn.XLOOKUP(tblTransactions[[#This Row],[ProductID]],tblProducts[ProductID],tblProducts[UnitPrice])</f>
        <v>5944.75</v>
      </c>
      <c r="M892" s="9">
        <f>tblTransactions[[#This Row],[Quantity]]*tblTransactions[[#This Row],[UnitPrice]]</f>
        <v>11889.5</v>
      </c>
      <c r="N892" s="9">
        <f>tblTransactions[[#This Row],[GrossSales]]*tblTransactions[[#This Row],[Discount]]</f>
        <v>0</v>
      </c>
      <c r="O892" s="9">
        <f>tblTransactions[[#This Row],[GrossSales]]-tblTransactions[[#This Row],[DiscountAmount]]</f>
        <v>11889.5</v>
      </c>
      <c r="P892" s="9">
        <f>_xlfn.XLOOKUP(tblTransactions[[#This Row],[ProductID]],tblProducts[ProductID],tblProducts[UnitCost])</f>
        <v>4447.5200000000004</v>
      </c>
      <c r="Q892" s="9">
        <f>tblTransactions[[#This Row],[Quantity]]*tblTransactions[[#This Row],[UnitCost]]</f>
        <v>8895.0400000000009</v>
      </c>
      <c r="R892" s="9">
        <f>tblTransactions[[#This Row],[NetRevenue]]-tblTransactions[[#This Row],[TotalCost]]</f>
        <v>2994.4599999999991</v>
      </c>
      <c r="S892" t="str">
        <f>_xlfn.XLOOKUP(tblTransactions[[#This Row],[ProductID]],tblProducts[ProductID],tblProducts[Category])</f>
        <v>Clothing</v>
      </c>
    </row>
    <row r="893" spans="1:19">
      <c r="A893" t="s">
        <v>17210</v>
      </c>
      <c r="B893" s="1">
        <v>45889</v>
      </c>
      <c r="C893" t="s">
        <v>9617</v>
      </c>
      <c r="D893" t="str">
        <f>_xlfn.XLOOKUP(tblTransactions[[#This Row],[CustomerID]],tblCustomers[CustomerID],tblCustomers[CustomerName])</f>
        <v>Yashodhara Mital</v>
      </c>
      <c r="E893" t="s">
        <v>16139</v>
      </c>
      <c r="F893" t="str">
        <f>_xlfn.XLOOKUP(tblTransactions[[#This Row],[ProductID]],tblProducts[ProductID],tblProducts[ProductName])</f>
        <v>Cooking Oil D4</v>
      </c>
      <c r="G893" t="s">
        <v>16281</v>
      </c>
      <c r="H893" t="str">
        <f>_xlfn.XLOOKUP(tblTransactions[[#This Row],[StoreID]],tblStores[StoreID],tblStores[Region])</f>
        <v>West</v>
      </c>
      <c r="I893">
        <v>4</v>
      </c>
      <c r="J893">
        <v>0.05</v>
      </c>
      <c r="K893" t="s">
        <v>16317</v>
      </c>
      <c r="L893" s="9">
        <f>_xlfn.XLOOKUP(tblTransactions[[#This Row],[ProductID]],tblProducts[ProductID],tblProducts[UnitPrice])</f>
        <v>1233.81</v>
      </c>
      <c r="M893" s="9">
        <f>tblTransactions[[#This Row],[Quantity]]*tblTransactions[[#This Row],[UnitPrice]]</f>
        <v>4935.24</v>
      </c>
      <c r="N893" s="9">
        <f>tblTransactions[[#This Row],[GrossSales]]*tblTransactions[[#This Row],[Discount]]</f>
        <v>246.762</v>
      </c>
      <c r="O893" s="9">
        <f>tblTransactions[[#This Row],[GrossSales]]-tblTransactions[[#This Row],[DiscountAmount]]</f>
        <v>4688.4780000000001</v>
      </c>
      <c r="P893" s="9">
        <f>_xlfn.XLOOKUP(tblTransactions[[#This Row],[ProductID]],tblProducts[ProductID],tblProducts[UnitCost])</f>
        <v>944.94</v>
      </c>
      <c r="Q893" s="9">
        <f>tblTransactions[[#This Row],[Quantity]]*tblTransactions[[#This Row],[UnitCost]]</f>
        <v>3779.76</v>
      </c>
      <c r="R893" s="9">
        <f>tblTransactions[[#This Row],[NetRevenue]]-tblTransactions[[#This Row],[TotalCost]]</f>
        <v>908.71799999999985</v>
      </c>
      <c r="S893" t="str">
        <f>_xlfn.XLOOKUP(tblTransactions[[#This Row],[ProductID]],tblProducts[ProductID],tblProducts[Category])</f>
        <v>Grocery</v>
      </c>
    </row>
    <row r="894" spans="1:19">
      <c r="A894" t="s">
        <v>17211</v>
      </c>
      <c r="B894" s="1">
        <v>45890</v>
      </c>
      <c r="C894" t="s">
        <v>9866</v>
      </c>
      <c r="D894" t="str">
        <f>_xlfn.XLOOKUP(tblTransactions[[#This Row],[CustomerID]],tblCustomers[CustomerID],tblCustomers[CustomerName])</f>
        <v>Charita Ray</v>
      </c>
      <c r="E894" t="s">
        <v>16110</v>
      </c>
      <c r="F894" t="str">
        <f>_xlfn.XLOOKUP(tblTransactions[[#This Row],[ProductID]],tblProducts[ProductID],tblProducts[ProductName])</f>
        <v>Kids T-Shirt E5</v>
      </c>
      <c r="G894" t="s">
        <v>16305</v>
      </c>
      <c r="H894" t="str">
        <f>_xlfn.XLOOKUP(tblTransactions[[#This Row],[StoreID]],tblStores[StoreID],tblStores[Region])</f>
        <v>South</v>
      </c>
      <c r="I894">
        <v>1</v>
      </c>
      <c r="J894">
        <v>0.2</v>
      </c>
      <c r="K894" t="s">
        <v>16317</v>
      </c>
      <c r="L894" s="9">
        <f>_xlfn.XLOOKUP(tblTransactions[[#This Row],[ProductID]],tblProducts[ProductID],tblProducts[UnitPrice])</f>
        <v>508.67</v>
      </c>
      <c r="M894" s="9">
        <f>tblTransactions[[#This Row],[Quantity]]*tblTransactions[[#This Row],[UnitPrice]]</f>
        <v>508.67</v>
      </c>
      <c r="N894" s="9">
        <f>tblTransactions[[#This Row],[GrossSales]]*tblTransactions[[#This Row],[Discount]]</f>
        <v>101.73400000000001</v>
      </c>
      <c r="O894" s="9">
        <f>tblTransactions[[#This Row],[GrossSales]]-tblTransactions[[#This Row],[DiscountAmount]]</f>
        <v>406.93600000000004</v>
      </c>
      <c r="P894" s="9">
        <f>_xlfn.XLOOKUP(tblTransactions[[#This Row],[ProductID]],tblProducts[ProductID],tblProducts[UnitCost])</f>
        <v>386.39</v>
      </c>
      <c r="Q894" s="9">
        <f>tblTransactions[[#This Row],[Quantity]]*tblTransactions[[#This Row],[UnitCost]]</f>
        <v>386.39</v>
      </c>
      <c r="R894" s="9">
        <f>tblTransactions[[#This Row],[NetRevenue]]-tblTransactions[[#This Row],[TotalCost]]</f>
        <v>20.546000000000049</v>
      </c>
      <c r="S894" t="str">
        <f>_xlfn.XLOOKUP(tblTransactions[[#This Row],[ProductID]],tblProducts[ProductID],tblProducts[Category])</f>
        <v>Clothing</v>
      </c>
    </row>
    <row r="895" spans="1:19">
      <c r="A895" t="s">
        <v>17212</v>
      </c>
      <c r="B895" s="1">
        <v>45892</v>
      </c>
      <c r="C895" t="s">
        <v>14853</v>
      </c>
      <c r="D895" t="str">
        <f>_xlfn.XLOOKUP(tblTransactions[[#This Row],[CustomerID]],tblCustomers[CustomerID],tblCustomers[CustomerName])</f>
        <v>Mitali Ratti</v>
      </c>
      <c r="E895" t="s">
        <v>16234</v>
      </c>
      <c r="F895" t="str">
        <f>_xlfn.XLOOKUP(tblTransactions[[#This Row],[ProductID]],tblProducts[ProductID],tblProducts[ProductName])</f>
        <v>Body Lotion A6</v>
      </c>
      <c r="G895" t="s">
        <v>16293</v>
      </c>
      <c r="H895" t="str">
        <f>_xlfn.XLOOKUP(tblTransactions[[#This Row],[StoreID]],tblStores[StoreID],tblStores[Region])</f>
        <v>South</v>
      </c>
      <c r="I895">
        <v>1</v>
      </c>
      <c r="J895">
        <v>0</v>
      </c>
      <c r="K895" t="s">
        <v>16315</v>
      </c>
      <c r="L895" s="9">
        <f>_xlfn.XLOOKUP(tblTransactions[[#This Row],[ProductID]],tblProducts[ProductID],tblProducts[UnitPrice])</f>
        <v>773.2</v>
      </c>
      <c r="M895" s="9">
        <f>tblTransactions[[#This Row],[Quantity]]*tblTransactions[[#This Row],[UnitPrice]]</f>
        <v>773.2</v>
      </c>
      <c r="N895" s="9">
        <f>tblTransactions[[#This Row],[GrossSales]]*tblTransactions[[#This Row],[Discount]]</f>
        <v>0</v>
      </c>
      <c r="O895" s="9">
        <f>tblTransactions[[#This Row],[GrossSales]]-tblTransactions[[#This Row],[DiscountAmount]]</f>
        <v>773.2</v>
      </c>
      <c r="P895" s="9">
        <f>_xlfn.XLOOKUP(tblTransactions[[#This Row],[ProductID]],tblProducts[ProductID],tblProducts[UnitCost])</f>
        <v>547.09</v>
      </c>
      <c r="Q895" s="9">
        <f>tblTransactions[[#This Row],[Quantity]]*tblTransactions[[#This Row],[UnitCost]]</f>
        <v>547.09</v>
      </c>
      <c r="R895" s="9">
        <f>tblTransactions[[#This Row],[NetRevenue]]-tblTransactions[[#This Row],[TotalCost]]</f>
        <v>226.11</v>
      </c>
      <c r="S895" t="str">
        <f>_xlfn.XLOOKUP(tblTransactions[[#This Row],[ProductID]],tblProducts[ProductID],tblProducts[Category])</f>
        <v>Personal Care</v>
      </c>
    </row>
    <row r="896" spans="1:19">
      <c r="A896" t="s">
        <v>17213</v>
      </c>
      <c r="B896" s="1">
        <v>45892</v>
      </c>
      <c r="C896" t="s">
        <v>3746</v>
      </c>
      <c r="D896" t="str">
        <f>_xlfn.XLOOKUP(tblTransactions[[#This Row],[CustomerID]],tblCustomers[CustomerID],tblCustomers[CustomerName])</f>
        <v>Sanaya Panchal</v>
      </c>
      <c r="E896" t="s">
        <v>15977</v>
      </c>
      <c r="F896" t="str">
        <f>_xlfn.XLOOKUP(tblTransactions[[#This Row],[ProductID]],tblProducts[ProductID],tblProducts[ProductName])</f>
        <v>Student Laptop C8</v>
      </c>
      <c r="G896" t="s">
        <v>16267</v>
      </c>
      <c r="H896" t="str">
        <f>_xlfn.XLOOKUP(tblTransactions[[#This Row],[StoreID]],tblStores[StoreID],tblStores[Region])</f>
        <v>West</v>
      </c>
      <c r="I896">
        <v>1</v>
      </c>
      <c r="J896">
        <v>0</v>
      </c>
      <c r="K896" t="s">
        <v>16325</v>
      </c>
      <c r="L896" s="9">
        <f>_xlfn.XLOOKUP(tblTransactions[[#This Row],[ProductID]],tblProducts[ProductID],tblProducts[UnitPrice])</f>
        <v>44917.11</v>
      </c>
      <c r="M896" s="9">
        <f>tblTransactions[[#This Row],[Quantity]]*tblTransactions[[#This Row],[UnitPrice]]</f>
        <v>44917.11</v>
      </c>
      <c r="N896" s="9">
        <f>tblTransactions[[#This Row],[GrossSales]]*tblTransactions[[#This Row],[Discount]]</f>
        <v>0</v>
      </c>
      <c r="O896" s="9">
        <f>tblTransactions[[#This Row],[GrossSales]]-tblTransactions[[#This Row],[DiscountAmount]]</f>
        <v>44917.11</v>
      </c>
      <c r="P896" s="9">
        <f>_xlfn.XLOOKUP(tblTransactions[[#This Row],[ProductID]],tblProducts[ProductID],tblProducts[UnitCost])</f>
        <v>33851.120000000003</v>
      </c>
      <c r="Q896" s="9">
        <f>tblTransactions[[#This Row],[Quantity]]*tblTransactions[[#This Row],[UnitCost]]</f>
        <v>33851.120000000003</v>
      </c>
      <c r="R896" s="9">
        <f>tblTransactions[[#This Row],[NetRevenue]]-tblTransactions[[#This Row],[TotalCost]]</f>
        <v>11065.989999999998</v>
      </c>
      <c r="S896" t="str">
        <f>_xlfn.XLOOKUP(tblTransactions[[#This Row],[ProductID]],tblProducts[ProductID],tblProducts[Category])</f>
        <v>Electronics</v>
      </c>
    </row>
    <row r="897" spans="1:19">
      <c r="A897" t="s">
        <v>17214</v>
      </c>
      <c r="B897" s="1">
        <v>45893</v>
      </c>
      <c r="C897" t="s">
        <v>10834</v>
      </c>
      <c r="D897" t="str">
        <f>_xlfn.XLOOKUP(tblTransactions[[#This Row],[CustomerID]],tblCustomers[CustomerID],tblCustomers[CustomerName])</f>
        <v>Bimala Kota</v>
      </c>
      <c r="E897" t="s">
        <v>16023</v>
      </c>
      <c r="F897" t="str">
        <f>_xlfn.XLOOKUP(tblTransactions[[#This Row],[ProductID]],tblProducts[ProductID],tblProducts[ProductName])</f>
        <v>Microwave Oven B7</v>
      </c>
      <c r="G897" t="s">
        <v>16283</v>
      </c>
      <c r="H897" t="str">
        <f>_xlfn.XLOOKUP(tblTransactions[[#This Row],[StoreID]],tblStores[StoreID],tblStores[Region])</f>
        <v>South</v>
      </c>
      <c r="I897">
        <v>1</v>
      </c>
      <c r="J897">
        <v>0.05</v>
      </c>
      <c r="K897" t="s">
        <v>16317</v>
      </c>
      <c r="L897" s="9">
        <f>_xlfn.XLOOKUP(tblTransactions[[#This Row],[ProductID]],tblProducts[ProductID],tblProducts[UnitPrice])</f>
        <v>14353.88</v>
      </c>
      <c r="M897" s="9">
        <f>tblTransactions[[#This Row],[Quantity]]*tblTransactions[[#This Row],[UnitPrice]]</f>
        <v>14353.88</v>
      </c>
      <c r="N897" s="9">
        <f>tblTransactions[[#This Row],[GrossSales]]*tblTransactions[[#This Row],[Discount]]</f>
        <v>717.69399999999996</v>
      </c>
      <c r="O897" s="9">
        <f>tblTransactions[[#This Row],[GrossSales]]-tblTransactions[[#This Row],[DiscountAmount]]</f>
        <v>13636.186</v>
      </c>
      <c r="P897" s="9">
        <f>_xlfn.XLOOKUP(tblTransactions[[#This Row],[ProductID]],tblProducts[ProductID],tblProducts[UnitCost])</f>
        <v>8791.7900000000009</v>
      </c>
      <c r="Q897" s="9">
        <f>tblTransactions[[#This Row],[Quantity]]*tblTransactions[[#This Row],[UnitCost]]</f>
        <v>8791.7900000000009</v>
      </c>
      <c r="R897" s="9">
        <f>tblTransactions[[#This Row],[NetRevenue]]-tblTransactions[[#This Row],[TotalCost]]</f>
        <v>4844.3959999999988</v>
      </c>
      <c r="S897" t="str">
        <f>_xlfn.XLOOKUP(tblTransactions[[#This Row],[ProductID]],tblProducts[ProductID],tblProducts[Category])</f>
        <v>Home &amp; Kitchen</v>
      </c>
    </row>
    <row r="898" spans="1:19">
      <c r="A898" t="s">
        <v>17215</v>
      </c>
      <c r="B898" s="1">
        <v>45893</v>
      </c>
      <c r="C898" t="s">
        <v>996</v>
      </c>
      <c r="D898" t="str">
        <f>_xlfn.XLOOKUP(tblTransactions[[#This Row],[CustomerID]],tblCustomers[CustomerID],tblCustomers[CustomerName])</f>
        <v>Hardik Nayak</v>
      </c>
      <c r="E898" t="s">
        <v>16017</v>
      </c>
      <c r="F898" t="str">
        <f>_xlfn.XLOOKUP(tblTransactions[[#This Row],[ProductID]],tblProducts[ProductID],tblProducts[ProductName])</f>
        <v>Microwave Oven D4</v>
      </c>
      <c r="G898" t="s">
        <v>16281</v>
      </c>
      <c r="H898" t="str">
        <f>_xlfn.XLOOKUP(tblTransactions[[#This Row],[StoreID]],tblStores[StoreID],tblStores[Region])</f>
        <v>West</v>
      </c>
      <c r="I898">
        <v>1</v>
      </c>
      <c r="J898">
        <v>0.05</v>
      </c>
      <c r="K898" t="s">
        <v>16317</v>
      </c>
      <c r="L898" s="9">
        <f>_xlfn.XLOOKUP(tblTransactions[[#This Row],[ProductID]],tblProducts[ProductID],tblProducts[UnitPrice])</f>
        <v>29579.63</v>
      </c>
      <c r="M898" s="9">
        <f>tblTransactions[[#This Row],[Quantity]]*tblTransactions[[#This Row],[UnitPrice]]</f>
        <v>29579.63</v>
      </c>
      <c r="N898" s="9">
        <f>tblTransactions[[#This Row],[GrossSales]]*tblTransactions[[#This Row],[Discount]]</f>
        <v>1478.9815000000001</v>
      </c>
      <c r="O898" s="9">
        <f>tblTransactions[[#This Row],[GrossSales]]-tblTransactions[[#This Row],[DiscountAmount]]</f>
        <v>28100.648499999999</v>
      </c>
      <c r="P898" s="9">
        <f>_xlfn.XLOOKUP(tblTransactions[[#This Row],[ProductID]],tblProducts[ProductID],tblProducts[UnitCost])</f>
        <v>24254.720000000001</v>
      </c>
      <c r="Q898" s="9">
        <f>tblTransactions[[#This Row],[Quantity]]*tblTransactions[[#This Row],[UnitCost]]</f>
        <v>24254.720000000001</v>
      </c>
      <c r="R898" s="9">
        <f>tblTransactions[[#This Row],[NetRevenue]]-tblTransactions[[#This Row],[TotalCost]]</f>
        <v>3845.9284999999982</v>
      </c>
      <c r="S898" t="str">
        <f>_xlfn.XLOOKUP(tblTransactions[[#This Row],[ProductID]],tblProducts[ProductID],tblProducts[Category])</f>
        <v>Home &amp; Kitchen</v>
      </c>
    </row>
    <row r="899" spans="1:19">
      <c r="A899" t="s">
        <v>17216</v>
      </c>
      <c r="B899" s="1">
        <v>45896</v>
      </c>
      <c r="C899" t="s">
        <v>15667</v>
      </c>
      <c r="D899" t="str">
        <f>_xlfn.XLOOKUP(tblTransactions[[#This Row],[CustomerID]],tblCustomers[CustomerID],tblCustomers[CustomerName])</f>
        <v>Ladli Das</v>
      </c>
      <c r="E899" t="s">
        <v>15958</v>
      </c>
      <c r="F899" t="str">
        <f>_xlfn.XLOOKUP(tblTransactions[[#This Row],[ProductID]],tblProducts[ProductID],tblProducts[ProductName])</f>
        <v>Budget Smartphone B7</v>
      </c>
      <c r="G899" t="s">
        <v>16305</v>
      </c>
      <c r="H899" t="str">
        <f>_xlfn.XLOOKUP(tblTransactions[[#This Row],[StoreID]],tblStores[StoreID],tblStores[Region])</f>
        <v>South</v>
      </c>
      <c r="I899">
        <v>2</v>
      </c>
      <c r="J899">
        <v>0</v>
      </c>
      <c r="K899" t="s">
        <v>16317</v>
      </c>
      <c r="L899" s="9">
        <f>_xlfn.XLOOKUP(tblTransactions[[#This Row],[ProductID]],tblProducts[ProductID],tblProducts[UnitPrice])</f>
        <v>61606.59</v>
      </c>
      <c r="M899" s="9">
        <f>tblTransactions[[#This Row],[Quantity]]*tblTransactions[[#This Row],[UnitPrice]]</f>
        <v>123213.18</v>
      </c>
      <c r="N899" s="9">
        <f>tblTransactions[[#This Row],[GrossSales]]*tblTransactions[[#This Row],[Discount]]</f>
        <v>0</v>
      </c>
      <c r="O899" s="9">
        <f>tblTransactions[[#This Row],[GrossSales]]-tblTransactions[[#This Row],[DiscountAmount]]</f>
        <v>123213.18</v>
      </c>
      <c r="P899" s="9">
        <f>_xlfn.XLOOKUP(tblTransactions[[#This Row],[ProductID]],tblProducts[ProductID],tblProducts[UnitCost])</f>
        <v>36366.370000000003</v>
      </c>
      <c r="Q899" s="9">
        <f>tblTransactions[[#This Row],[Quantity]]*tblTransactions[[#This Row],[UnitCost]]</f>
        <v>72732.740000000005</v>
      </c>
      <c r="R899" s="9">
        <f>tblTransactions[[#This Row],[NetRevenue]]-tblTransactions[[#This Row],[TotalCost]]</f>
        <v>50480.439999999988</v>
      </c>
      <c r="S899" t="str">
        <f>_xlfn.XLOOKUP(tblTransactions[[#This Row],[ProductID]],tblProducts[ProductID],tblProducts[Category])</f>
        <v>Electronics</v>
      </c>
    </row>
    <row r="900" spans="1:19">
      <c r="A900" t="s">
        <v>17217</v>
      </c>
      <c r="B900" s="1">
        <v>45896</v>
      </c>
      <c r="C900" t="s">
        <v>6414</v>
      </c>
      <c r="D900" t="str">
        <f>_xlfn.XLOOKUP(tblTransactions[[#This Row],[CustomerID]],tblCustomers[CustomerID],tblCustomers[CustomerName])</f>
        <v>Eesha Varughese</v>
      </c>
      <c r="E900" t="s">
        <v>16154</v>
      </c>
      <c r="F900" t="str">
        <f>_xlfn.XLOOKUP(tblTransactions[[#This Row],[ProductID]],tblProducts[ProductID],tblProducts[ProductName])</f>
        <v>Namkeen D4</v>
      </c>
      <c r="G900" t="s">
        <v>16271</v>
      </c>
      <c r="H900" t="str">
        <f>_xlfn.XLOOKUP(tblTransactions[[#This Row],[StoreID]],tblStores[StoreID],tblStores[Region])</f>
        <v>South</v>
      </c>
      <c r="I900">
        <v>1</v>
      </c>
      <c r="J900">
        <v>0</v>
      </c>
      <c r="K900" t="s">
        <v>16315</v>
      </c>
      <c r="L900" s="9">
        <f>_xlfn.XLOOKUP(tblTransactions[[#This Row],[ProductID]],tblProducts[ProductID],tblProducts[UnitPrice])</f>
        <v>881.18</v>
      </c>
      <c r="M900" s="9">
        <f>tblTransactions[[#This Row],[Quantity]]*tblTransactions[[#This Row],[UnitPrice]]</f>
        <v>881.18</v>
      </c>
      <c r="N900" s="9">
        <f>tblTransactions[[#This Row],[GrossSales]]*tblTransactions[[#This Row],[Discount]]</f>
        <v>0</v>
      </c>
      <c r="O900" s="9">
        <f>tblTransactions[[#This Row],[GrossSales]]-tblTransactions[[#This Row],[DiscountAmount]]</f>
        <v>881.18</v>
      </c>
      <c r="P900" s="9">
        <f>_xlfn.XLOOKUP(tblTransactions[[#This Row],[ProductID]],tblProducts[ProductID],tblProducts[UnitCost])</f>
        <v>626.67999999999995</v>
      </c>
      <c r="Q900" s="9">
        <f>tblTransactions[[#This Row],[Quantity]]*tblTransactions[[#This Row],[UnitCost]]</f>
        <v>626.67999999999995</v>
      </c>
      <c r="R900" s="9">
        <f>tblTransactions[[#This Row],[NetRevenue]]-tblTransactions[[#This Row],[TotalCost]]</f>
        <v>254.5</v>
      </c>
      <c r="S900" t="str">
        <f>_xlfn.XLOOKUP(tblTransactions[[#This Row],[ProductID]],tblProducts[ProductID],tblProducts[Category])</f>
        <v>Grocery</v>
      </c>
    </row>
    <row r="901" spans="1:19">
      <c r="A901" t="s">
        <v>17218</v>
      </c>
      <c r="B901" s="1">
        <v>45897</v>
      </c>
      <c r="C901" t="s">
        <v>8446</v>
      </c>
      <c r="D901" t="str">
        <f>_xlfn.XLOOKUP(tblTransactions[[#This Row],[CustomerID]],tblCustomers[CustomerID],tblCustomers[CustomerName])</f>
        <v>Daksha Narayanan</v>
      </c>
      <c r="E901" t="s">
        <v>16221</v>
      </c>
      <c r="F901" t="str">
        <f>_xlfn.XLOOKUP(tblTransactions[[#This Row],[ProductID]],tblProducts[ProductID],tblProducts[ProductName])</f>
        <v>Conditioner B7</v>
      </c>
      <c r="G901" t="s">
        <v>16281</v>
      </c>
      <c r="H901" t="str">
        <f>_xlfn.XLOOKUP(tblTransactions[[#This Row],[StoreID]],tblStores[StoreID],tblStores[Region])</f>
        <v>West</v>
      </c>
      <c r="I901">
        <v>2</v>
      </c>
      <c r="J901">
        <v>0.1</v>
      </c>
      <c r="K901" t="s">
        <v>16317</v>
      </c>
      <c r="L901" s="9">
        <f>_xlfn.XLOOKUP(tblTransactions[[#This Row],[ProductID]],tblProducts[ProductID],tblProducts[UnitPrice])</f>
        <v>1702.4</v>
      </c>
      <c r="M901" s="9">
        <f>tblTransactions[[#This Row],[Quantity]]*tblTransactions[[#This Row],[UnitPrice]]</f>
        <v>3404.8</v>
      </c>
      <c r="N901" s="9">
        <f>tblTransactions[[#This Row],[GrossSales]]*tblTransactions[[#This Row],[Discount]]</f>
        <v>340.48</v>
      </c>
      <c r="O901" s="9">
        <f>tblTransactions[[#This Row],[GrossSales]]-tblTransactions[[#This Row],[DiscountAmount]]</f>
        <v>3064.32</v>
      </c>
      <c r="P901" s="9">
        <f>_xlfn.XLOOKUP(tblTransactions[[#This Row],[ProductID]],tblProducts[ProductID],tblProducts[UnitCost])</f>
        <v>1284.8900000000001</v>
      </c>
      <c r="Q901" s="9">
        <f>tblTransactions[[#This Row],[Quantity]]*tblTransactions[[#This Row],[UnitCost]]</f>
        <v>2569.7800000000002</v>
      </c>
      <c r="R901" s="9">
        <f>tblTransactions[[#This Row],[NetRevenue]]-tblTransactions[[#This Row],[TotalCost]]</f>
        <v>494.53999999999996</v>
      </c>
      <c r="S901" t="str">
        <f>_xlfn.XLOOKUP(tblTransactions[[#This Row],[ProductID]],tblProducts[ProductID],tblProducts[Category])</f>
        <v>Personal Care</v>
      </c>
    </row>
    <row r="902" spans="1:19">
      <c r="A902" t="s">
        <v>17219</v>
      </c>
      <c r="B902" s="1">
        <v>45899</v>
      </c>
      <c r="C902" t="s">
        <v>13096</v>
      </c>
      <c r="D902" t="str">
        <f>_xlfn.XLOOKUP(tblTransactions[[#This Row],[CustomerID]],tblCustomers[CustomerID],tblCustomers[CustomerName])</f>
        <v>Maya Basak</v>
      </c>
      <c r="E902" t="s">
        <v>15969</v>
      </c>
      <c r="F902" t="str">
        <f>_xlfn.XLOOKUP(tblTransactions[[#This Row],[ProductID]],tblProducts[ProductID],tblProducts[ProductName])</f>
        <v>Student Laptop D4</v>
      </c>
      <c r="G902" t="s">
        <v>16305</v>
      </c>
      <c r="H902" t="str">
        <f>_xlfn.XLOOKUP(tblTransactions[[#This Row],[StoreID]],tblStores[StoreID],tblStores[Region])</f>
        <v>South</v>
      </c>
      <c r="I902">
        <v>1</v>
      </c>
      <c r="J902">
        <v>0</v>
      </c>
      <c r="K902" t="s">
        <v>16315</v>
      </c>
      <c r="L902" s="9">
        <f>_xlfn.XLOOKUP(tblTransactions[[#This Row],[ProductID]],tblProducts[ProductID],tblProducts[UnitPrice])</f>
        <v>21602.44</v>
      </c>
      <c r="M902" s="9">
        <f>tblTransactions[[#This Row],[Quantity]]*tblTransactions[[#This Row],[UnitPrice]]</f>
        <v>21602.44</v>
      </c>
      <c r="N902" s="9">
        <f>tblTransactions[[#This Row],[GrossSales]]*tblTransactions[[#This Row],[Discount]]</f>
        <v>0</v>
      </c>
      <c r="O902" s="9">
        <f>tblTransactions[[#This Row],[GrossSales]]-tblTransactions[[#This Row],[DiscountAmount]]</f>
        <v>21602.44</v>
      </c>
      <c r="P902" s="9">
        <f>_xlfn.XLOOKUP(tblTransactions[[#This Row],[ProductID]],tblProducts[ProductID],tblProducts[UnitCost])</f>
        <v>13134.58</v>
      </c>
      <c r="Q902" s="9">
        <f>tblTransactions[[#This Row],[Quantity]]*tblTransactions[[#This Row],[UnitCost]]</f>
        <v>13134.58</v>
      </c>
      <c r="R902" s="9">
        <f>tblTransactions[[#This Row],[NetRevenue]]-tblTransactions[[#This Row],[TotalCost]]</f>
        <v>8467.8599999999988</v>
      </c>
      <c r="S902" t="str">
        <f>_xlfn.XLOOKUP(tblTransactions[[#This Row],[ProductID]],tblProducts[ProductID],tblProducts[Category])</f>
        <v>Electronics</v>
      </c>
    </row>
    <row r="903" spans="1:19">
      <c r="A903" t="s">
        <v>17220</v>
      </c>
      <c r="B903" s="1">
        <v>45901</v>
      </c>
      <c r="C903" t="s">
        <v>3689</v>
      </c>
      <c r="D903" t="str">
        <f>_xlfn.XLOOKUP(tblTransactions[[#This Row],[CustomerID]],tblCustomers[CustomerID],tblCustomers[CustomerName])</f>
        <v>Charan Manne</v>
      </c>
      <c r="E903" t="s">
        <v>16200</v>
      </c>
      <c r="F903" t="str">
        <f>_xlfn.XLOOKUP(tblTransactions[[#This Row],[ProductID]],tblProducts[ProductID],tblProducts[ProductName])</f>
        <v>Face Cream D4</v>
      </c>
      <c r="G903" t="s">
        <v>16269</v>
      </c>
      <c r="H903" t="str">
        <f>_xlfn.XLOOKUP(tblTransactions[[#This Row],[StoreID]],tblStores[StoreID],tblStores[Region])</f>
        <v>North</v>
      </c>
      <c r="I903">
        <v>1</v>
      </c>
      <c r="J903">
        <v>0.1</v>
      </c>
      <c r="K903" t="s">
        <v>16325</v>
      </c>
      <c r="L903" s="9">
        <f>_xlfn.XLOOKUP(tblTransactions[[#This Row],[ProductID]],tblProducts[ProductID],tblProducts[UnitPrice])</f>
        <v>3082.2</v>
      </c>
      <c r="M903" s="9">
        <f>tblTransactions[[#This Row],[Quantity]]*tblTransactions[[#This Row],[UnitPrice]]</f>
        <v>3082.2</v>
      </c>
      <c r="N903" s="9">
        <f>tblTransactions[[#This Row],[GrossSales]]*tblTransactions[[#This Row],[Discount]]</f>
        <v>308.22000000000003</v>
      </c>
      <c r="O903" s="9">
        <f>tblTransactions[[#This Row],[GrossSales]]-tblTransactions[[#This Row],[DiscountAmount]]</f>
        <v>2773.9799999999996</v>
      </c>
      <c r="P903" s="9">
        <f>_xlfn.XLOOKUP(tblTransactions[[#This Row],[ProductID]],tblProducts[ProductID],tblProducts[UnitCost])</f>
        <v>2561.06</v>
      </c>
      <c r="Q903" s="9">
        <f>tblTransactions[[#This Row],[Quantity]]*tblTransactions[[#This Row],[UnitCost]]</f>
        <v>2561.06</v>
      </c>
      <c r="R903" s="9">
        <f>tblTransactions[[#This Row],[NetRevenue]]-tblTransactions[[#This Row],[TotalCost]]</f>
        <v>212.91999999999962</v>
      </c>
      <c r="S903" t="str">
        <f>_xlfn.XLOOKUP(tblTransactions[[#This Row],[ProductID]],tblProducts[ProductID],tblProducts[Category])</f>
        <v>Personal Care</v>
      </c>
    </row>
    <row r="904" spans="1:19">
      <c r="A904" t="s">
        <v>17221</v>
      </c>
      <c r="B904" s="1">
        <v>45903</v>
      </c>
      <c r="C904" t="s">
        <v>8993</v>
      </c>
      <c r="D904" t="str">
        <f>_xlfn.XLOOKUP(tblTransactions[[#This Row],[CustomerID]],tblCustomers[CustomerID],tblCustomers[CustomerName])</f>
        <v>Ishanvi Nigam</v>
      </c>
      <c r="E904" t="s">
        <v>15939</v>
      </c>
      <c r="F904" t="str">
        <f>_xlfn.XLOOKUP(tblTransactions[[#This Row],[ProductID]],tblProducts[ProductID],tblProducts[ProductName])</f>
        <v>Full HD TV A6</v>
      </c>
      <c r="G904" t="s">
        <v>16273</v>
      </c>
      <c r="H904" t="str">
        <f>_xlfn.XLOOKUP(tblTransactions[[#This Row],[StoreID]],tblStores[StoreID],tblStores[Region])</f>
        <v>West</v>
      </c>
      <c r="I904">
        <v>1</v>
      </c>
      <c r="J904">
        <v>0</v>
      </c>
      <c r="K904" t="s">
        <v>16317</v>
      </c>
      <c r="L904" s="9">
        <f>_xlfn.XLOOKUP(tblTransactions[[#This Row],[ProductID]],tblProducts[ProductID],tblProducts[UnitPrice])</f>
        <v>39996.370000000003</v>
      </c>
      <c r="M904" s="9">
        <f>tblTransactions[[#This Row],[Quantity]]*tblTransactions[[#This Row],[UnitPrice]]</f>
        <v>39996.370000000003</v>
      </c>
      <c r="N904" s="9">
        <f>tblTransactions[[#This Row],[GrossSales]]*tblTransactions[[#This Row],[Discount]]</f>
        <v>0</v>
      </c>
      <c r="O904" s="9">
        <f>tblTransactions[[#This Row],[GrossSales]]-tblTransactions[[#This Row],[DiscountAmount]]</f>
        <v>39996.370000000003</v>
      </c>
      <c r="P904" s="9">
        <f>_xlfn.XLOOKUP(tblTransactions[[#This Row],[ProductID]],tblProducts[ProductID],tblProducts[UnitCost])</f>
        <v>26192.21</v>
      </c>
      <c r="Q904" s="9">
        <f>tblTransactions[[#This Row],[Quantity]]*tblTransactions[[#This Row],[UnitCost]]</f>
        <v>26192.21</v>
      </c>
      <c r="R904" s="9">
        <f>tblTransactions[[#This Row],[NetRevenue]]-tblTransactions[[#This Row],[TotalCost]]</f>
        <v>13804.160000000003</v>
      </c>
      <c r="S904" t="str">
        <f>_xlfn.XLOOKUP(tblTransactions[[#This Row],[ProductID]],tblProducts[ProductID],tblProducts[Category])</f>
        <v>Electronics</v>
      </c>
    </row>
    <row r="905" spans="1:19">
      <c r="A905" t="s">
        <v>17222</v>
      </c>
      <c r="B905" s="1">
        <v>45904</v>
      </c>
      <c r="C905" t="s">
        <v>2369</v>
      </c>
      <c r="D905" t="str">
        <f>_xlfn.XLOOKUP(tblTransactions[[#This Row],[CustomerID]],tblCustomers[CustomerID],tblCustomers[CustomerName])</f>
        <v>Zayyan Som</v>
      </c>
      <c r="E905" t="s">
        <v>16169</v>
      </c>
      <c r="F905" t="str">
        <f>_xlfn.XLOOKUP(tblTransactions[[#This Row],[ProductID]],tblProducts[ProductID],tblProducts[ProductName])</f>
        <v>Coffee D4</v>
      </c>
      <c r="G905" t="s">
        <v>16291</v>
      </c>
      <c r="H905" t="str">
        <f>_xlfn.XLOOKUP(tblTransactions[[#This Row],[StoreID]],tblStores[StoreID],tblStores[Region])</f>
        <v>South</v>
      </c>
      <c r="I905">
        <v>1</v>
      </c>
      <c r="J905">
        <v>0.1</v>
      </c>
      <c r="K905" t="s">
        <v>16319</v>
      </c>
      <c r="L905" s="9">
        <f>_xlfn.XLOOKUP(tblTransactions[[#This Row],[ProductID]],tblProducts[ProductID],tblProducts[UnitPrice])</f>
        <v>985.76</v>
      </c>
      <c r="M905" s="9">
        <f>tblTransactions[[#This Row],[Quantity]]*tblTransactions[[#This Row],[UnitPrice]]</f>
        <v>985.76</v>
      </c>
      <c r="N905" s="9">
        <f>tblTransactions[[#This Row],[GrossSales]]*tblTransactions[[#This Row],[Discount]]</f>
        <v>98.576000000000008</v>
      </c>
      <c r="O905" s="9">
        <f>tblTransactions[[#This Row],[GrossSales]]-tblTransactions[[#This Row],[DiscountAmount]]</f>
        <v>887.18399999999997</v>
      </c>
      <c r="P905" s="9">
        <f>_xlfn.XLOOKUP(tblTransactions[[#This Row],[ProductID]],tblProducts[ProductID],tblProducts[UnitCost])</f>
        <v>669.86</v>
      </c>
      <c r="Q905" s="9">
        <f>tblTransactions[[#This Row],[Quantity]]*tblTransactions[[#This Row],[UnitCost]]</f>
        <v>669.86</v>
      </c>
      <c r="R905" s="9">
        <f>tblTransactions[[#This Row],[NetRevenue]]-tblTransactions[[#This Row],[TotalCost]]</f>
        <v>217.32399999999996</v>
      </c>
      <c r="S905" t="str">
        <f>_xlfn.XLOOKUP(tblTransactions[[#This Row],[ProductID]],tblProducts[ProductID],tblProducts[Category])</f>
        <v>Grocery</v>
      </c>
    </row>
    <row r="906" spans="1:19">
      <c r="A906" t="s">
        <v>17223</v>
      </c>
      <c r="B906" s="1">
        <v>45906</v>
      </c>
      <c r="C906" t="s">
        <v>6527</v>
      </c>
      <c r="D906" t="str">
        <f>_xlfn.XLOOKUP(tblTransactions[[#This Row],[CustomerID]],tblCustomers[CustomerID],tblCustomers[CustomerName])</f>
        <v>Oviya Saran</v>
      </c>
      <c r="E906" t="s">
        <v>16192</v>
      </c>
      <c r="F906" t="str">
        <f>_xlfn.XLOOKUP(tblTransactions[[#This Row],[ProductID]],tblProducts[ProductID],tblProducts[ProductName])</f>
        <v>Face Cream A1</v>
      </c>
      <c r="G906" t="s">
        <v>16285</v>
      </c>
      <c r="H906" t="str">
        <f>_xlfn.XLOOKUP(tblTransactions[[#This Row],[StoreID]],tblStores[StoreID],tblStores[Region])</f>
        <v>West</v>
      </c>
      <c r="I906">
        <v>3</v>
      </c>
      <c r="J906">
        <v>0.1</v>
      </c>
      <c r="K906" t="s">
        <v>16321</v>
      </c>
      <c r="L906" s="9">
        <f>_xlfn.XLOOKUP(tblTransactions[[#This Row],[ProductID]],tblProducts[ProductID],tblProducts[UnitPrice])</f>
        <v>1666.93</v>
      </c>
      <c r="M906" s="9">
        <f>tblTransactions[[#This Row],[Quantity]]*tblTransactions[[#This Row],[UnitPrice]]</f>
        <v>5000.79</v>
      </c>
      <c r="N906" s="9">
        <f>tblTransactions[[#This Row],[GrossSales]]*tblTransactions[[#This Row],[Discount]]</f>
        <v>500.07900000000001</v>
      </c>
      <c r="O906" s="9">
        <f>tblTransactions[[#This Row],[GrossSales]]-tblTransactions[[#This Row],[DiscountAmount]]</f>
        <v>4500.7110000000002</v>
      </c>
      <c r="P906" s="9">
        <f>_xlfn.XLOOKUP(tblTransactions[[#This Row],[ProductID]],tblProducts[ProductID],tblProducts[UnitCost])</f>
        <v>983.54</v>
      </c>
      <c r="Q906" s="9">
        <f>tblTransactions[[#This Row],[Quantity]]*tblTransactions[[#This Row],[UnitCost]]</f>
        <v>2950.62</v>
      </c>
      <c r="R906" s="9">
        <f>tblTransactions[[#This Row],[NetRevenue]]-tblTransactions[[#This Row],[TotalCost]]</f>
        <v>1550.0910000000003</v>
      </c>
      <c r="S906" t="str">
        <f>_xlfn.XLOOKUP(tblTransactions[[#This Row],[ProductID]],tblProducts[ProductID],tblProducts[Category])</f>
        <v>Personal Care</v>
      </c>
    </row>
    <row r="907" spans="1:19">
      <c r="A907" t="s">
        <v>17224</v>
      </c>
      <c r="B907" s="1">
        <v>45907</v>
      </c>
      <c r="C907" t="s">
        <v>4146</v>
      </c>
      <c r="D907" t="str">
        <f>_xlfn.XLOOKUP(tblTransactions[[#This Row],[CustomerID]],tblCustomers[CustomerID],tblCustomers[CustomerName])</f>
        <v>Aashi Gaba</v>
      </c>
      <c r="E907" t="s">
        <v>16192</v>
      </c>
      <c r="F907" t="str">
        <f>_xlfn.XLOOKUP(tblTransactions[[#This Row],[ProductID]],tblProducts[ProductID],tblProducts[ProductName])</f>
        <v>Face Cream A1</v>
      </c>
      <c r="G907" t="s">
        <v>16289</v>
      </c>
      <c r="H907" t="str">
        <f>_xlfn.XLOOKUP(tblTransactions[[#This Row],[StoreID]],tblStores[StoreID],tblStores[Region])</f>
        <v>South</v>
      </c>
      <c r="I907">
        <v>1</v>
      </c>
      <c r="J907">
        <v>0</v>
      </c>
      <c r="K907" t="s">
        <v>16321</v>
      </c>
      <c r="L907" s="9">
        <f>_xlfn.XLOOKUP(tblTransactions[[#This Row],[ProductID]],tblProducts[ProductID],tblProducts[UnitPrice])</f>
        <v>1666.93</v>
      </c>
      <c r="M907" s="9">
        <f>tblTransactions[[#This Row],[Quantity]]*tblTransactions[[#This Row],[UnitPrice]]</f>
        <v>1666.93</v>
      </c>
      <c r="N907" s="9">
        <f>tblTransactions[[#This Row],[GrossSales]]*tblTransactions[[#This Row],[Discount]]</f>
        <v>0</v>
      </c>
      <c r="O907" s="9">
        <f>tblTransactions[[#This Row],[GrossSales]]-tblTransactions[[#This Row],[DiscountAmount]]</f>
        <v>1666.93</v>
      </c>
      <c r="P907" s="9">
        <f>_xlfn.XLOOKUP(tblTransactions[[#This Row],[ProductID]],tblProducts[ProductID],tblProducts[UnitCost])</f>
        <v>983.54</v>
      </c>
      <c r="Q907" s="9">
        <f>tblTransactions[[#This Row],[Quantity]]*tblTransactions[[#This Row],[UnitCost]]</f>
        <v>983.54</v>
      </c>
      <c r="R907" s="9">
        <f>tblTransactions[[#This Row],[NetRevenue]]-tblTransactions[[#This Row],[TotalCost]]</f>
        <v>683.3900000000001</v>
      </c>
      <c r="S907" t="str">
        <f>_xlfn.XLOOKUP(tblTransactions[[#This Row],[ProductID]],tblProducts[ProductID],tblProducts[Category])</f>
        <v>Personal Care</v>
      </c>
    </row>
    <row r="908" spans="1:19">
      <c r="A908" t="s">
        <v>17225</v>
      </c>
      <c r="B908" s="1">
        <v>45908</v>
      </c>
      <c r="C908" t="s">
        <v>3990</v>
      </c>
      <c r="D908" t="str">
        <f>_xlfn.XLOOKUP(tblTransactions[[#This Row],[CustomerID]],tblCustomers[CustomerID],tblCustomers[CustomerName])</f>
        <v>Jasmit Shroff</v>
      </c>
      <c r="E908" t="s">
        <v>16097</v>
      </c>
      <c r="F908" t="str">
        <f>_xlfn.XLOOKUP(tblTransactions[[#This Row],[ProductID]],tblProducts[ProductID],tblProducts[ProductName])</f>
        <v>Women's Jeans A6</v>
      </c>
      <c r="G908" t="s">
        <v>16299</v>
      </c>
      <c r="H908" t="str">
        <f>_xlfn.XLOOKUP(tblTransactions[[#This Row],[StoreID]],tblStores[StoreID],tblStores[Region])</f>
        <v>South</v>
      </c>
      <c r="I908">
        <v>1</v>
      </c>
      <c r="J908">
        <v>0.1</v>
      </c>
      <c r="K908" t="s">
        <v>16317</v>
      </c>
      <c r="L908" s="9">
        <f>_xlfn.XLOOKUP(tblTransactions[[#This Row],[ProductID]],tblProducts[ProductID],tblProducts[UnitPrice])</f>
        <v>7106.08</v>
      </c>
      <c r="M908" s="9">
        <f>tblTransactions[[#This Row],[Quantity]]*tblTransactions[[#This Row],[UnitPrice]]</f>
        <v>7106.08</v>
      </c>
      <c r="N908" s="9">
        <f>tblTransactions[[#This Row],[GrossSales]]*tblTransactions[[#This Row],[Discount]]</f>
        <v>710.60800000000006</v>
      </c>
      <c r="O908" s="9">
        <f>tblTransactions[[#This Row],[GrossSales]]-tblTransactions[[#This Row],[DiscountAmount]]</f>
        <v>6395.4719999999998</v>
      </c>
      <c r="P908" s="9">
        <f>_xlfn.XLOOKUP(tblTransactions[[#This Row],[ProductID]],tblProducts[ProductID],tblProducts[UnitCost])</f>
        <v>5246.63</v>
      </c>
      <c r="Q908" s="9">
        <f>tblTransactions[[#This Row],[Quantity]]*tblTransactions[[#This Row],[UnitCost]]</f>
        <v>5246.63</v>
      </c>
      <c r="R908" s="9">
        <f>tblTransactions[[#This Row],[NetRevenue]]-tblTransactions[[#This Row],[TotalCost]]</f>
        <v>1148.8419999999996</v>
      </c>
      <c r="S908" t="str">
        <f>_xlfn.XLOOKUP(tblTransactions[[#This Row],[ProductID]],tblProducts[ProductID],tblProducts[Category])</f>
        <v>Clothing</v>
      </c>
    </row>
    <row r="909" spans="1:19">
      <c r="A909" t="s">
        <v>17226</v>
      </c>
      <c r="B909" s="1">
        <v>45910</v>
      </c>
      <c r="C909" t="s">
        <v>5209</v>
      </c>
      <c r="D909" t="str">
        <f>_xlfn.XLOOKUP(tblTransactions[[#This Row],[CustomerID]],tblCustomers[CustomerID],tblCustomers[CustomerName])</f>
        <v>Frado Desai</v>
      </c>
      <c r="E909" t="s">
        <v>16152</v>
      </c>
      <c r="F909" t="str">
        <f>_xlfn.XLOOKUP(tblTransactions[[#This Row],[ProductID]],tblProducts[ProductID],tblProducts[ProductName])</f>
        <v>Chips C3</v>
      </c>
      <c r="G909" t="s">
        <v>16305</v>
      </c>
      <c r="H909" t="str">
        <f>_xlfn.XLOOKUP(tblTransactions[[#This Row],[StoreID]],tblStores[StoreID],tblStores[Region])</f>
        <v>South</v>
      </c>
      <c r="I909">
        <v>1</v>
      </c>
      <c r="J909">
        <v>0</v>
      </c>
      <c r="K909" t="s">
        <v>16315</v>
      </c>
      <c r="L909" s="9">
        <f>_xlfn.XLOOKUP(tblTransactions[[#This Row],[ProductID]],tblProducts[ProductID],tblProducts[UnitPrice])</f>
        <v>152.38</v>
      </c>
      <c r="M909" s="9">
        <f>tblTransactions[[#This Row],[Quantity]]*tblTransactions[[#This Row],[UnitPrice]]</f>
        <v>152.38</v>
      </c>
      <c r="N909" s="9">
        <f>tblTransactions[[#This Row],[GrossSales]]*tblTransactions[[#This Row],[Discount]]</f>
        <v>0</v>
      </c>
      <c r="O909" s="9">
        <f>tblTransactions[[#This Row],[GrossSales]]-tblTransactions[[#This Row],[DiscountAmount]]</f>
        <v>152.38</v>
      </c>
      <c r="P909" s="9">
        <f>_xlfn.XLOOKUP(tblTransactions[[#This Row],[ProductID]],tblProducts[ProductID],tblProducts[UnitCost])</f>
        <v>100.44</v>
      </c>
      <c r="Q909" s="9">
        <f>tblTransactions[[#This Row],[Quantity]]*tblTransactions[[#This Row],[UnitCost]]</f>
        <v>100.44</v>
      </c>
      <c r="R909" s="9">
        <f>tblTransactions[[#This Row],[NetRevenue]]-tblTransactions[[#This Row],[TotalCost]]</f>
        <v>51.94</v>
      </c>
      <c r="S909" t="str">
        <f>_xlfn.XLOOKUP(tblTransactions[[#This Row],[ProductID]],tblProducts[ProductID],tblProducts[Category])</f>
        <v>Grocery</v>
      </c>
    </row>
    <row r="910" spans="1:19">
      <c r="A910" t="s">
        <v>17227</v>
      </c>
      <c r="B910" s="1">
        <v>45910</v>
      </c>
      <c r="C910" t="s">
        <v>13785</v>
      </c>
      <c r="D910" t="str">
        <f>_xlfn.XLOOKUP(tblTransactions[[#This Row],[CustomerID]],tblCustomers[CustomerID],tblCustomers[CustomerName])</f>
        <v>Yamini Soman</v>
      </c>
      <c r="E910" t="s">
        <v>16249</v>
      </c>
      <c r="F910" t="str">
        <f>_xlfn.XLOOKUP(tblTransactions[[#This Row],[ProductID]],tblProducts[ProductID],tblProducts[ProductName])</f>
        <v>Beard Oil A6</v>
      </c>
      <c r="G910" t="s">
        <v>16289</v>
      </c>
      <c r="H910" t="str">
        <f>_xlfn.XLOOKUP(tblTransactions[[#This Row],[StoreID]],tblStores[StoreID],tblStores[Region])</f>
        <v>South</v>
      </c>
      <c r="I910">
        <v>4</v>
      </c>
      <c r="J910">
        <v>0</v>
      </c>
      <c r="K910" t="s">
        <v>16317</v>
      </c>
      <c r="L910" s="9">
        <f>_xlfn.XLOOKUP(tblTransactions[[#This Row],[ProductID]],tblProducts[ProductID],tblProducts[UnitPrice])</f>
        <v>4294.7</v>
      </c>
      <c r="M910" s="9">
        <f>tblTransactions[[#This Row],[Quantity]]*tblTransactions[[#This Row],[UnitPrice]]</f>
        <v>17178.8</v>
      </c>
      <c r="N910" s="9">
        <f>tblTransactions[[#This Row],[GrossSales]]*tblTransactions[[#This Row],[Discount]]</f>
        <v>0</v>
      </c>
      <c r="O910" s="9">
        <f>tblTransactions[[#This Row],[GrossSales]]-tblTransactions[[#This Row],[DiscountAmount]]</f>
        <v>17178.8</v>
      </c>
      <c r="P910" s="9">
        <f>_xlfn.XLOOKUP(tblTransactions[[#This Row],[ProductID]],tblProducts[ProductID],tblProducts[UnitCost])</f>
        <v>3317.06</v>
      </c>
      <c r="Q910" s="9">
        <f>tblTransactions[[#This Row],[Quantity]]*tblTransactions[[#This Row],[UnitCost]]</f>
        <v>13268.24</v>
      </c>
      <c r="R910" s="9">
        <f>tblTransactions[[#This Row],[NetRevenue]]-tblTransactions[[#This Row],[TotalCost]]</f>
        <v>3910.5599999999995</v>
      </c>
      <c r="S910" t="str">
        <f>_xlfn.XLOOKUP(tblTransactions[[#This Row],[ProductID]],tblProducts[ProductID],tblProducts[Category])</f>
        <v>Personal Care</v>
      </c>
    </row>
    <row r="911" spans="1:19">
      <c r="A911" t="s">
        <v>17228</v>
      </c>
      <c r="B911" s="1">
        <v>45910</v>
      </c>
      <c r="C911" t="s">
        <v>4940</v>
      </c>
      <c r="D911" t="str">
        <f>_xlfn.XLOOKUP(tblTransactions[[#This Row],[CustomerID]],tblCustomers[CustomerID],tblCustomers[CustomerName])</f>
        <v>Daniel Nanda</v>
      </c>
      <c r="E911" t="s">
        <v>16055</v>
      </c>
      <c r="F911" t="str">
        <f>_xlfn.XLOOKUP(tblTransactions[[#This Row],[ProductID]],tblProducts[ProductID],tblProducts[ProductName])</f>
        <v>Wall Clock A1</v>
      </c>
      <c r="G911" t="s">
        <v>16269</v>
      </c>
      <c r="H911" t="str">
        <f>_xlfn.XLOOKUP(tblTransactions[[#This Row],[StoreID]],tblStores[StoreID],tblStores[Region])</f>
        <v>North</v>
      </c>
      <c r="I911">
        <v>3</v>
      </c>
      <c r="J911">
        <v>0.05</v>
      </c>
      <c r="K911" t="s">
        <v>16321</v>
      </c>
      <c r="L911" s="9">
        <f>_xlfn.XLOOKUP(tblTransactions[[#This Row],[ProductID]],tblProducts[ProductID],tblProducts[UnitPrice])</f>
        <v>4187.79</v>
      </c>
      <c r="M911" s="9">
        <f>tblTransactions[[#This Row],[Quantity]]*tblTransactions[[#This Row],[UnitPrice]]</f>
        <v>12563.369999999999</v>
      </c>
      <c r="N911" s="9">
        <f>tblTransactions[[#This Row],[GrossSales]]*tblTransactions[[#This Row],[Discount]]</f>
        <v>628.16849999999999</v>
      </c>
      <c r="O911" s="9">
        <f>tblTransactions[[#This Row],[GrossSales]]-tblTransactions[[#This Row],[DiscountAmount]]</f>
        <v>11935.201499999999</v>
      </c>
      <c r="P911" s="9">
        <f>_xlfn.XLOOKUP(tblTransactions[[#This Row],[ProductID]],tblProducts[ProductID],tblProducts[UnitCost])</f>
        <v>2951.03</v>
      </c>
      <c r="Q911" s="9">
        <f>tblTransactions[[#This Row],[Quantity]]*tblTransactions[[#This Row],[UnitCost]]</f>
        <v>8853.09</v>
      </c>
      <c r="R911" s="9">
        <f>tblTransactions[[#This Row],[NetRevenue]]-tblTransactions[[#This Row],[TotalCost]]</f>
        <v>3082.1114999999991</v>
      </c>
      <c r="S911" t="str">
        <f>_xlfn.XLOOKUP(tblTransactions[[#This Row],[ProductID]],tblProducts[ProductID],tblProducts[Category])</f>
        <v>Home &amp; Kitchen</v>
      </c>
    </row>
    <row r="912" spans="1:19">
      <c r="A912" t="s">
        <v>17229</v>
      </c>
      <c r="B912" s="1">
        <v>45912</v>
      </c>
      <c r="C912" t="s">
        <v>1907</v>
      </c>
      <c r="D912" t="str">
        <f>_xlfn.XLOOKUP(tblTransactions[[#This Row],[CustomerID]],tblCustomers[CustomerID],tblCustomers[CustomerName])</f>
        <v>Mason Gola</v>
      </c>
      <c r="E912" t="s">
        <v>16135</v>
      </c>
      <c r="F912" t="str">
        <f>_xlfn.XLOOKUP(tblTransactions[[#This Row],[ProductID]],tblProducts[ProductID],tblProducts[ProductName])</f>
        <v>Sugar B2</v>
      </c>
      <c r="G912" t="s">
        <v>16262</v>
      </c>
      <c r="H912" t="str">
        <f>_xlfn.XLOOKUP(tblTransactions[[#This Row],[StoreID]],tblStores[StoreID],tblStores[Region])</f>
        <v>North</v>
      </c>
      <c r="I912">
        <v>1</v>
      </c>
      <c r="J912">
        <v>0.05</v>
      </c>
      <c r="K912" t="s">
        <v>16317</v>
      </c>
      <c r="L912" s="9">
        <f>_xlfn.XLOOKUP(tblTransactions[[#This Row],[ProductID]],tblProducts[ProductID],tblProducts[UnitPrice])</f>
        <v>1384.91</v>
      </c>
      <c r="M912" s="9">
        <f>tblTransactions[[#This Row],[Quantity]]*tblTransactions[[#This Row],[UnitPrice]]</f>
        <v>1384.91</v>
      </c>
      <c r="N912" s="9">
        <f>tblTransactions[[#This Row],[GrossSales]]*tblTransactions[[#This Row],[Discount]]</f>
        <v>69.245500000000007</v>
      </c>
      <c r="O912" s="9">
        <f>tblTransactions[[#This Row],[GrossSales]]-tblTransactions[[#This Row],[DiscountAmount]]</f>
        <v>1315.6645000000001</v>
      </c>
      <c r="P912" s="9">
        <f>_xlfn.XLOOKUP(tblTransactions[[#This Row],[ProductID]],tblProducts[ProductID],tblProducts[UnitCost])</f>
        <v>1102.07</v>
      </c>
      <c r="Q912" s="9">
        <f>tblTransactions[[#This Row],[Quantity]]*tblTransactions[[#This Row],[UnitCost]]</f>
        <v>1102.07</v>
      </c>
      <c r="R912" s="9">
        <f>tblTransactions[[#This Row],[NetRevenue]]-tblTransactions[[#This Row],[TotalCost]]</f>
        <v>213.59450000000015</v>
      </c>
      <c r="S912" t="str">
        <f>_xlfn.XLOOKUP(tblTransactions[[#This Row],[ProductID]],tblProducts[ProductID],tblProducts[Category])</f>
        <v>Grocery</v>
      </c>
    </row>
    <row r="913" spans="1:19">
      <c r="A913" t="s">
        <v>17230</v>
      </c>
      <c r="B913" s="1">
        <v>45912</v>
      </c>
      <c r="C913" t="s">
        <v>13753</v>
      </c>
      <c r="D913" t="str">
        <f>_xlfn.XLOOKUP(tblTransactions[[#This Row],[CustomerID]],tblCustomers[CustomerID],tblCustomers[CustomerName])</f>
        <v>Damyanti Kari</v>
      </c>
      <c r="E913" t="s">
        <v>16074</v>
      </c>
      <c r="F913" t="str">
        <f>_xlfn.XLOOKUP(tblTransactions[[#This Row],[ProductID]],tblProducts[ProductID],tblProducts[ProductName])</f>
        <v>Men's T-Shirt B2</v>
      </c>
      <c r="G913" t="s">
        <v>16283</v>
      </c>
      <c r="H913" t="str">
        <f>_xlfn.XLOOKUP(tblTransactions[[#This Row],[StoreID]],tblStores[StoreID],tblStores[Region])</f>
        <v>South</v>
      </c>
      <c r="I913">
        <v>1</v>
      </c>
      <c r="J913">
        <v>0.15</v>
      </c>
      <c r="K913" t="s">
        <v>16321</v>
      </c>
      <c r="L913" s="9">
        <f>_xlfn.XLOOKUP(tblTransactions[[#This Row],[ProductID]],tblProducts[ProductID],tblProducts[UnitPrice])</f>
        <v>5944.75</v>
      </c>
      <c r="M913" s="9">
        <f>tblTransactions[[#This Row],[Quantity]]*tblTransactions[[#This Row],[UnitPrice]]</f>
        <v>5944.75</v>
      </c>
      <c r="N913" s="9">
        <f>tblTransactions[[#This Row],[GrossSales]]*tblTransactions[[#This Row],[Discount]]</f>
        <v>891.71249999999998</v>
      </c>
      <c r="O913" s="9">
        <f>tblTransactions[[#This Row],[GrossSales]]-tblTransactions[[#This Row],[DiscountAmount]]</f>
        <v>5053.0375000000004</v>
      </c>
      <c r="P913" s="9">
        <f>_xlfn.XLOOKUP(tblTransactions[[#This Row],[ProductID]],tblProducts[ProductID],tblProducts[UnitCost])</f>
        <v>4447.5200000000004</v>
      </c>
      <c r="Q913" s="9">
        <f>tblTransactions[[#This Row],[Quantity]]*tblTransactions[[#This Row],[UnitCost]]</f>
        <v>4447.5200000000004</v>
      </c>
      <c r="R913" s="9">
        <f>tblTransactions[[#This Row],[NetRevenue]]-tblTransactions[[#This Row],[TotalCost]]</f>
        <v>605.51749999999993</v>
      </c>
      <c r="S913" t="str">
        <f>_xlfn.XLOOKUP(tblTransactions[[#This Row],[ProductID]],tblProducts[ProductID],tblProducts[Category])</f>
        <v>Clothing</v>
      </c>
    </row>
    <row r="914" spans="1:19">
      <c r="A914" t="s">
        <v>17231</v>
      </c>
      <c r="B914" s="1">
        <v>45914</v>
      </c>
      <c r="C914" t="s">
        <v>9877</v>
      </c>
      <c r="D914" t="str">
        <f>_xlfn.XLOOKUP(tblTransactions[[#This Row],[CustomerID]],tblCustomers[CustomerID],tblCustomers[CustomerName])</f>
        <v>Simon Brar</v>
      </c>
      <c r="E914" t="s">
        <v>16147</v>
      </c>
      <c r="F914" t="str">
        <f>_xlfn.XLOOKUP(tblTransactions[[#This Row],[ProductID]],tblProducts[ProductID],tblProducts[ProductName])</f>
        <v>Namkeen A1</v>
      </c>
      <c r="G914" t="s">
        <v>16265</v>
      </c>
      <c r="H914" t="str">
        <f>_xlfn.XLOOKUP(tblTransactions[[#This Row],[StoreID]],tblStores[StoreID],tblStores[Region])</f>
        <v>North</v>
      </c>
      <c r="I914">
        <v>1</v>
      </c>
      <c r="J914">
        <v>0</v>
      </c>
      <c r="K914" t="s">
        <v>16321</v>
      </c>
      <c r="L914" s="9">
        <f>_xlfn.XLOOKUP(tblTransactions[[#This Row],[ProductID]],tblProducts[ProductID],tblProducts[UnitPrice])</f>
        <v>1282.31</v>
      </c>
      <c r="M914" s="9">
        <f>tblTransactions[[#This Row],[Quantity]]*tblTransactions[[#This Row],[UnitPrice]]</f>
        <v>1282.31</v>
      </c>
      <c r="N914" s="9">
        <f>tblTransactions[[#This Row],[GrossSales]]*tblTransactions[[#This Row],[Discount]]</f>
        <v>0</v>
      </c>
      <c r="O914" s="9">
        <f>tblTransactions[[#This Row],[GrossSales]]-tblTransactions[[#This Row],[DiscountAmount]]</f>
        <v>1282.31</v>
      </c>
      <c r="P914" s="9">
        <f>_xlfn.XLOOKUP(tblTransactions[[#This Row],[ProductID]],tblProducts[ProductID],tblProducts[UnitCost])</f>
        <v>759</v>
      </c>
      <c r="Q914" s="9">
        <f>tblTransactions[[#This Row],[Quantity]]*tblTransactions[[#This Row],[UnitCost]]</f>
        <v>759</v>
      </c>
      <c r="R914" s="9">
        <f>tblTransactions[[#This Row],[NetRevenue]]-tblTransactions[[#This Row],[TotalCost]]</f>
        <v>523.30999999999995</v>
      </c>
      <c r="S914" t="str">
        <f>_xlfn.XLOOKUP(tblTransactions[[#This Row],[ProductID]],tblProducts[ProductID],tblProducts[Category])</f>
        <v>Grocery</v>
      </c>
    </row>
    <row r="915" spans="1:19">
      <c r="A915" t="s">
        <v>17232</v>
      </c>
      <c r="B915" s="1">
        <v>45918</v>
      </c>
      <c r="C915" t="s">
        <v>14839</v>
      </c>
      <c r="D915" t="str">
        <f>_xlfn.XLOOKUP(tblTransactions[[#This Row],[CustomerID]],tblCustomers[CustomerID],tblCustomers[CustomerName])</f>
        <v>Jeet Balan</v>
      </c>
      <c r="E915" t="s">
        <v>15965</v>
      </c>
      <c r="F915" t="str">
        <f>_xlfn.XLOOKUP(tblTransactions[[#This Row],[ProductID]],tblProducts[ProductID],tblProducts[ProductName])</f>
        <v>Business Laptop B2</v>
      </c>
      <c r="G915" t="s">
        <v>16259</v>
      </c>
      <c r="H915" t="str">
        <f>_xlfn.XLOOKUP(tblTransactions[[#This Row],[StoreID]],tblStores[StoreID],tblStores[Region])</f>
        <v>East</v>
      </c>
      <c r="I915">
        <v>3</v>
      </c>
      <c r="J915">
        <v>0</v>
      </c>
      <c r="K915" t="s">
        <v>16317</v>
      </c>
      <c r="L915" s="9">
        <f>_xlfn.XLOOKUP(tblTransactions[[#This Row],[ProductID]],tblProducts[ProductID],tblProducts[UnitPrice])</f>
        <v>54876.34</v>
      </c>
      <c r="M915" s="9">
        <f>tblTransactions[[#This Row],[Quantity]]*tblTransactions[[#This Row],[UnitPrice]]</f>
        <v>164629.01999999999</v>
      </c>
      <c r="N915" s="9">
        <f>tblTransactions[[#This Row],[GrossSales]]*tblTransactions[[#This Row],[Discount]]</f>
        <v>0</v>
      </c>
      <c r="O915" s="9">
        <f>tblTransactions[[#This Row],[GrossSales]]-tblTransactions[[#This Row],[DiscountAmount]]</f>
        <v>164629.01999999999</v>
      </c>
      <c r="P915" s="9">
        <f>_xlfn.XLOOKUP(tblTransactions[[#This Row],[ProductID]],tblProducts[ProductID],tblProducts[UnitCost])</f>
        <v>41521.22</v>
      </c>
      <c r="Q915" s="9">
        <f>tblTransactions[[#This Row],[Quantity]]*tblTransactions[[#This Row],[UnitCost]]</f>
        <v>124563.66</v>
      </c>
      <c r="R915" s="9">
        <f>tblTransactions[[#This Row],[NetRevenue]]-tblTransactions[[#This Row],[TotalCost]]</f>
        <v>40065.359999999986</v>
      </c>
      <c r="S915" t="str">
        <f>_xlfn.XLOOKUP(tblTransactions[[#This Row],[ProductID]],tblProducts[ProductID],tblProducts[Category])</f>
        <v>Electronics</v>
      </c>
    </row>
    <row r="916" spans="1:19">
      <c r="A916" t="s">
        <v>17233</v>
      </c>
      <c r="B916" s="1">
        <v>45918</v>
      </c>
      <c r="C916" t="s">
        <v>12826</v>
      </c>
      <c r="D916" t="str">
        <f>_xlfn.XLOOKUP(tblTransactions[[#This Row],[CustomerID]],tblCustomers[CustomerID],tblCustomers[CustomerName])</f>
        <v>Rachana Sen</v>
      </c>
      <c r="E916" t="s">
        <v>16064</v>
      </c>
      <c r="F916" t="str">
        <f>_xlfn.XLOOKUP(tblTransactions[[#This Row],[ProductID]],tblProducts[ProductID],tblProducts[ProductName])</f>
        <v>Decorative Vase E5</v>
      </c>
      <c r="G916" t="s">
        <v>16291</v>
      </c>
      <c r="H916" t="str">
        <f>_xlfn.XLOOKUP(tblTransactions[[#This Row],[StoreID]],tblStores[StoreID],tblStores[Region])</f>
        <v>South</v>
      </c>
      <c r="I916">
        <v>2</v>
      </c>
      <c r="J916">
        <v>0.05</v>
      </c>
      <c r="K916" t="s">
        <v>16317</v>
      </c>
      <c r="L916" s="9">
        <f>_xlfn.XLOOKUP(tblTransactions[[#This Row],[ProductID]],tblProducts[ProductID],tblProducts[UnitPrice])</f>
        <v>1797.31</v>
      </c>
      <c r="M916" s="9">
        <f>tblTransactions[[#This Row],[Quantity]]*tblTransactions[[#This Row],[UnitPrice]]</f>
        <v>3594.62</v>
      </c>
      <c r="N916" s="9">
        <f>tblTransactions[[#This Row],[GrossSales]]*tblTransactions[[#This Row],[Discount]]</f>
        <v>179.73099999999999</v>
      </c>
      <c r="O916" s="9">
        <f>tblTransactions[[#This Row],[GrossSales]]-tblTransactions[[#This Row],[DiscountAmount]]</f>
        <v>3414.8890000000001</v>
      </c>
      <c r="P916" s="9">
        <f>_xlfn.XLOOKUP(tblTransactions[[#This Row],[ProductID]],tblProducts[ProductID],tblProducts[UnitCost])</f>
        <v>1257.43</v>
      </c>
      <c r="Q916" s="9">
        <f>tblTransactions[[#This Row],[Quantity]]*tblTransactions[[#This Row],[UnitCost]]</f>
        <v>2514.86</v>
      </c>
      <c r="R916" s="9">
        <f>tblTransactions[[#This Row],[NetRevenue]]-tblTransactions[[#This Row],[TotalCost]]</f>
        <v>900.029</v>
      </c>
      <c r="S916" t="str">
        <f>_xlfn.XLOOKUP(tblTransactions[[#This Row],[ProductID]],tblProducts[ProductID],tblProducts[Category])</f>
        <v>Home &amp; Kitchen</v>
      </c>
    </row>
    <row r="917" spans="1:19">
      <c r="A917" t="s">
        <v>17234</v>
      </c>
      <c r="B917" s="1">
        <v>45922</v>
      </c>
      <c r="C917" t="s">
        <v>4642</v>
      </c>
      <c r="D917" t="str">
        <f>_xlfn.XLOOKUP(tblTransactions[[#This Row],[CustomerID]],tblCustomers[CustomerID],tblCustomers[CustomerName])</f>
        <v>Chakrika Batta</v>
      </c>
      <c r="E917" t="s">
        <v>15992</v>
      </c>
      <c r="F917" t="str">
        <f>_xlfn.XLOOKUP(tblTransactions[[#This Row],[ProductID]],tblProducts[ProductID],tblProducts[ProductName])</f>
        <v>Wireless Headphones B7</v>
      </c>
      <c r="G917" t="s">
        <v>16277</v>
      </c>
      <c r="H917" t="str">
        <f>_xlfn.XLOOKUP(tblTransactions[[#This Row],[StoreID]],tblStores[StoreID],tblStores[Region])</f>
        <v>West</v>
      </c>
      <c r="I917">
        <v>1</v>
      </c>
      <c r="J917">
        <v>0</v>
      </c>
      <c r="K917" t="s">
        <v>16317</v>
      </c>
      <c r="L917" s="9">
        <f>_xlfn.XLOOKUP(tblTransactions[[#This Row],[ProductID]],tblProducts[ProductID],tblProducts[UnitPrice])</f>
        <v>52596.38</v>
      </c>
      <c r="M917" s="9">
        <f>tblTransactions[[#This Row],[Quantity]]*tblTransactions[[#This Row],[UnitPrice]]</f>
        <v>52596.38</v>
      </c>
      <c r="N917" s="9">
        <f>tblTransactions[[#This Row],[GrossSales]]*tblTransactions[[#This Row],[Discount]]</f>
        <v>0</v>
      </c>
      <c r="O917" s="9">
        <f>tblTransactions[[#This Row],[GrossSales]]-tblTransactions[[#This Row],[DiscountAmount]]</f>
        <v>52596.38</v>
      </c>
      <c r="P917" s="9">
        <f>_xlfn.XLOOKUP(tblTransactions[[#This Row],[ProductID]],tblProducts[ProductID],tblProducts[UnitCost])</f>
        <v>36028.78</v>
      </c>
      <c r="Q917" s="9">
        <f>tblTransactions[[#This Row],[Quantity]]*tblTransactions[[#This Row],[UnitCost]]</f>
        <v>36028.78</v>
      </c>
      <c r="R917" s="9">
        <f>tblTransactions[[#This Row],[NetRevenue]]-tblTransactions[[#This Row],[TotalCost]]</f>
        <v>16567.599999999999</v>
      </c>
      <c r="S917" t="str">
        <f>_xlfn.XLOOKUP(tblTransactions[[#This Row],[ProductID]],tblProducts[ProductID],tblProducts[Category])</f>
        <v>Electronics</v>
      </c>
    </row>
    <row r="918" spans="1:19">
      <c r="A918" t="s">
        <v>17235</v>
      </c>
      <c r="B918" s="1">
        <v>45925</v>
      </c>
      <c r="C918" t="s">
        <v>9354</v>
      </c>
      <c r="D918" t="str">
        <f>_xlfn.XLOOKUP(tblTransactions[[#This Row],[CustomerID]],tblCustomers[CustomerID],tblCustomers[CustomerName])</f>
        <v>Tripti Yogi</v>
      </c>
      <c r="E918" t="s">
        <v>16162</v>
      </c>
      <c r="F918" t="str">
        <f>_xlfn.XLOOKUP(tblTransactions[[#This Row],[ProductID]],tblProducts[ProductID],tblProducts[ProductName])</f>
        <v>Tea A1</v>
      </c>
      <c r="G918" t="s">
        <v>16267</v>
      </c>
      <c r="H918" t="str">
        <f>_xlfn.XLOOKUP(tblTransactions[[#This Row],[StoreID]],tblStores[StoreID],tblStores[Region])</f>
        <v>West</v>
      </c>
      <c r="I918">
        <v>1</v>
      </c>
      <c r="J918">
        <v>0</v>
      </c>
      <c r="K918" t="s">
        <v>16321</v>
      </c>
      <c r="L918" s="9">
        <f>_xlfn.XLOOKUP(tblTransactions[[#This Row],[ProductID]],tblProducts[ProductID],tblProducts[UnitPrice])</f>
        <v>675.13</v>
      </c>
      <c r="M918" s="9">
        <f>tblTransactions[[#This Row],[Quantity]]*tblTransactions[[#This Row],[UnitPrice]]</f>
        <v>675.13</v>
      </c>
      <c r="N918" s="9">
        <f>tblTransactions[[#This Row],[GrossSales]]*tblTransactions[[#This Row],[Discount]]</f>
        <v>0</v>
      </c>
      <c r="O918" s="9">
        <f>tblTransactions[[#This Row],[GrossSales]]-tblTransactions[[#This Row],[DiscountAmount]]</f>
        <v>675.13</v>
      </c>
      <c r="P918" s="9">
        <f>_xlfn.XLOOKUP(tblTransactions[[#This Row],[ProductID]],tblProducts[ProductID],tblProducts[UnitCost])</f>
        <v>510.45</v>
      </c>
      <c r="Q918" s="9">
        <f>tblTransactions[[#This Row],[Quantity]]*tblTransactions[[#This Row],[UnitCost]]</f>
        <v>510.45</v>
      </c>
      <c r="R918" s="9">
        <f>tblTransactions[[#This Row],[NetRevenue]]-tblTransactions[[#This Row],[TotalCost]]</f>
        <v>164.68</v>
      </c>
      <c r="S918" t="str">
        <f>_xlfn.XLOOKUP(tblTransactions[[#This Row],[ProductID]],tblProducts[ProductID],tblProducts[Category])</f>
        <v>Grocery</v>
      </c>
    </row>
    <row r="919" spans="1:19">
      <c r="A919" t="s">
        <v>17236</v>
      </c>
      <c r="B919" s="1">
        <v>45925</v>
      </c>
      <c r="C919" t="s">
        <v>7878</v>
      </c>
      <c r="D919" t="str">
        <f>_xlfn.XLOOKUP(tblTransactions[[#This Row],[CustomerID]],tblCustomers[CustomerID],tblCustomers[CustomerName])</f>
        <v>Anvi Banik</v>
      </c>
      <c r="E919" t="s">
        <v>16068</v>
      </c>
      <c r="F919" t="str">
        <f>_xlfn.XLOOKUP(tblTransactions[[#This Row],[ProductID]],tblProducts[ProductID],tblProducts[ProductName])</f>
        <v>Wall Clock B7</v>
      </c>
      <c r="G919" t="s">
        <v>16289</v>
      </c>
      <c r="H919" t="str">
        <f>_xlfn.XLOOKUP(tblTransactions[[#This Row],[StoreID]],tblStores[StoreID],tblStores[Region])</f>
        <v>South</v>
      </c>
      <c r="I919">
        <v>2</v>
      </c>
      <c r="J919">
        <v>0.05</v>
      </c>
      <c r="K919" t="s">
        <v>16325</v>
      </c>
      <c r="L919" s="9">
        <f>_xlfn.XLOOKUP(tblTransactions[[#This Row],[ProductID]],tblProducts[ProductID],tblProducts[UnitPrice])</f>
        <v>7801.86</v>
      </c>
      <c r="M919" s="9">
        <f>tblTransactions[[#This Row],[Quantity]]*tblTransactions[[#This Row],[UnitPrice]]</f>
        <v>15603.72</v>
      </c>
      <c r="N919" s="9">
        <f>tblTransactions[[#This Row],[GrossSales]]*tblTransactions[[#This Row],[Discount]]</f>
        <v>780.18600000000004</v>
      </c>
      <c r="O919" s="9">
        <f>tblTransactions[[#This Row],[GrossSales]]-tblTransactions[[#This Row],[DiscountAmount]]</f>
        <v>14823.534</v>
      </c>
      <c r="P919" s="9">
        <f>_xlfn.XLOOKUP(tblTransactions[[#This Row],[ProductID]],tblProducts[ProductID],tblProducts[UnitCost])</f>
        <v>5332.9</v>
      </c>
      <c r="Q919" s="9">
        <f>tblTransactions[[#This Row],[Quantity]]*tblTransactions[[#This Row],[UnitCost]]</f>
        <v>10665.8</v>
      </c>
      <c r="R919" s="9">
        <f>tblTransactions[[#This Row],[NetRevenue]]-tblTransactions[[#This Row],[TotalCost]]</f>
        <v>4157.7340000000004</v>
      </c>
      <c r="S919" t="str">
        <f>_xlfn.XLOOKUP(tblTransactions[[#This Row],[ProductID]],tblProducts[ProductID],tblProducts[Category])</f>
        <v>Home &amp; Kitchen</v>
      </c>
    </row>
    <row r="920" spans="1:19">
      <c r="A920" t="s">
        <v>17237</v>
      </c>
      <c r="B920" s="1">
        <v>45926</v>
      </c>
      <c r="C920" t="s">
        <v>8411</v>
      </c>
      <c r="D920" t="str">
        <f>_xlfn.XLOOKUP(tblTransactions[[#This Row],[CustomerID]],tblCustomers[CustomerID],tblCustomers[CustomerName])</f>
        <v>Nitara Grewal</v>
      </c>
      <c r="E920" t="s">
        <v>15941</v>
      </c>
      <c r="F920" t="str">
        <f>_xlfn.XLOOKUP(tblTransactions[[#This Row],[ProductID]],tblProducts[ProductID],tblProducts[ProductName])</f>
        <v>Full HD TV B7</v>
      </c>
      <c r="G920" t="s">
        <v>16291</v>
      </c>
      <c r="H920" t="str">
        <f>_xlfn.XLOOKUP(tblTransactions[[#This Row],[StoreID]],tblStores[StoreID],tblStores[Region])</f>
        <v>South</v>
      </c>
      <c r="I920">
        <v>4</v>
      </c>
      <c r="J920">
        <v>0</v>
      </c>
      <c r="K920" t="s">
        <v>16317</v>
      </c>
      <c r="L920" s="9">
        <f>_xlfn.XLOOKUP(tblTransactions[[#This Row],[ProductID]],tblProducts[ProductID],tblProducts[UnitPrice])</f>
        <v>26638.81</v>
      </c>
      <c r="M920" s="9">
        <f>tblTransactions[[#This Row],[Quantity]]*tblTransactions[[#This Row],[UnitPrice]]</f>
        <v>106555.24</v>
      </c>
      <c r="N920" s="9">
        <f>tblTransactions[[#This Row],[GrossSales]]*tblTransactions[[#This Row],[Discount]]</f>
        <v>0</v>
      </c>
      <c r="O920" s="9">
        <f>tblTransactions[[#This Row],[GrossSales]]-tblTransactions[[#This Row],[DiscountAmount]]</f>
        <v>106555.24</v>
      </c>
      <c r="P920" s="9">
        <f>_xlfn.XLOOKUP(tblTransactions[[#This Row],[ProductID]],tblProducts[ProductID],tblProducts[UnitCost])</f>
        <v>20107.810000000001</v>
      </c>
      <c r="Q920" s="9">
        <f>tblTransactions[[#This Row],[Quantity]]*tblTransactions[[#This Row],[UnitCost]]</f>
        <v>80431.240000000005</v>
      </c>
      <c r="R920" s="9">
        <f>tblTransactions[[#This Row],[NetRevenue]]-tblTransactions[[#This Row],[TotalCost]]</f>
        <v>26124</v>
      </c>
      <c r="S920" t="str">
        <f>_xlfn.XLOOKUP(tblTransactions[[#This Row],[ProductID]],tblProducts[ProductID],tblProducts[Category])</f>
        <v>Electronics</v>
      </c>
    </row>
    <row r="921" spans="1:19">
      <c r="A921" t="s">
        <v>17238</v>
      </c>
      <c r="B921" s="1">
        <v>45926</v>
      </c>
      <c r="C921" t="s">
        <v>14397</v>
      </c>
      <c r="D921" t="str">
        <f>_xlfn.XLOOKUP(tblTransactions[[#This Row],[CustomerID]],tblCustomers[CustomerID],tblCustomers[CustomerName])</f>
        <v>Tristan Sandal</v>
      </c>
      <c r="E921" t="s">
        <v>15935</v>
      </c>
      <c r="F921" t="str">
        <f>_xlfn.XLOOKUP(tblTransactions[[#This Row],[ProductID]],tblProducts[ProductID],tblProducts[ProductName])</f>
        <v>QLED Smart TV D4</v>
      </c>
      <c r="G921" t="s">
        <v>16256</v>
      </c>
      <c r="H921" t="str">
        <f>_xlfn.XLOOKUP(tblTransactions[[#This Row],[StoreID]],tblStores[StoreID],tblStores[Region])</f>
        <v>East</v>
      </c>
      <c r="I921">
        <v>1</v>
      </c>
      <c r="J921">
        <v>0</v>
      </c>
      <c r="K921" t="s">
        <v>16325</v>
      </c>
      <c r="L921" s="9">
        <f>_xlfn.XLOOKUP(tblTransactions[[#This Row],[ProductID]],tblProducts[ProductID],tblProducts[UnitPrice])</f>
        <v>10619.36</v>
      </c>
      <c r="M921" s="9">
        <f>tblTransactions[[#This Row],[Quantity]]*tblTransactions[[#This Row],[UnitPrice]]</f>
        <v>10619.36</v>
      </c>
      <c r="N921" s="9">
        <f>tblTransactions[[#This Row],[GrossSales]]*tblTransactions[[#This Row],[Discount]]</f>
        <v>0</v>
      </c>
      <c r="O921" s="9">
        <f>tblTransactions[[#This Row],[GrossSales]]-tblTransactions[[#This Row],[DiscountAmount]]</f>
        <v>10619.36</v>
      </c>
      <c r="P921" s="9">
        <f>_xlfn.XLOOKUP(tblTransactions[[#This Row],[ProductID]],tblProducts[ProductID],tblProducts[UnitCost])</f>
        <v>6544.82</v>
      </c>
      <c r="Q921" s="9">
        <f>tblTransactions[[#This Row],[Quantity]]*tblTransactions[[#This Row],[UnitCost]]</f>
        <v>6544.82</v>
      </c>
      <c r="R921" s="9">
        <f>tblTransactions[[#This Row],[NetRevenue]]-tblTransactions[[#This Row],[TotalCost]]</f>
        <v>4074.5400000000009</v>
      </c>
      <c r="S921" t="str">
        <f>_xlfn.XLOOKUP(tblTransactions[[#This Row],[ProductID]],tblProducts[ProductID],tblProducts[Category])</f>
        <v>Electronics</v>
      </c>
    </row>
    <row r="922" spans="1:19">
      <c r="A922" t="s">
        <v>17239</v>
      </c>
      <c r="B922" s="1">
        <v>45926</v>
      </c>
      <c r="C922" t="s">
        <v>2195</v>
      </c>
      <c r="D922" t="str">
        <f>_xlfn.XLOOKUP(tblTransactions[[#This Row],[CustomerID]],tblCustomers[CustomerID],tblCustomers[CustomerName])</f>
        <v>Baljiwan Gera</v>
      </c>
      <c r="E922" t="s">
        <v>15977</v>
      </c>
      <c r="F922" t="str">
        <f>_xlfn.XLOOKUP(tblTransactions[[#This Row],[ProductID]],tblProducts[ProductID],tblProducts[ProductName])</f>
        <v>Student Laptop C8</v>
      </c>
      <c r="G922" t="s">
        <v>16297</v>
      </c>
      <c r="H922" t="str">
        <f>_xlfn.XLOOKUP(tblTransactions[[#This Row],[StoreID]],tblStores[StoreID],tblStores[Region])</f>
        <v>North</v>
      </c>
      <c r="I922">
        <v>2</v>
      </c>
      <c r="J922">
        <v>0</v>
      </c>
      <c r="K922" t="s">
        <v>16321</v>
      </c>
      <c r="L922" s="9">
        <f>_xlfn.XLOOKUP(tblTransactions[[#This Row],[ProductID]],tblProducts[ProductID],tblProducts[UnitPrice])</f>
        <v>44917.11</v>
      </c>
      <c r="M922" s="9">
        <f>tblTransactions[[#This Row],[Quantity]]*tblTransactions[[#This Row],[UnitPrice]]</f>
        <v>89834.22</v>
      </c>
      <c r="N922" s="9">
        <f>tblTransactions[[#This Row],[GrossSales]]*tblTransactions[[#This Row],[Discount]]</f>
        <v>0</v>
      </c>
      <c r="O922" s="9">
        <f>tblTransactions[[#This Row],[GrossSales]]-tblTransactions[[#This Row],[DiscountAmount]]</f>
        <v>89834.22</v>
      </c>
      <c r="P922" s="9">
        <f>_xlfn.XLOOKUP(tblTransactions[[#This Row],[ProductID]],tblProducts[ProductID],tblProducts[UnitCost])</f>
        <v>33851.120000000003</v>
      </c>
      <c r="Q922" s="9">
        <f>tblTransactions[[#This Row],[Quantity]]*tblTransactions[[#This Row],[UnitCost]]</f>
        <v>67702.240000000005</v>
      </c>
      <c r="R922" s="9">
        <f>tblTransactions[[#This Row],[NetRevenue]]-tblTransactions[[#This Row],[TotalCost]]</f>
        <v>22131.979999999996</v>
      </c>
      <c r="S922" t="str">
        <f>_xlfn.XLOOKUP(tblTransactions[[#This Row],[ProductID]],tblProducts[ProductID],tblProducts[Category])</f>
        <v>Electronics</v>
      </c>
    </row>
    <row r="923" spans="1:19">
      <c r="A923" t="s">
        <v>17240</v>
      </c>
      <c r="B923" s="1">
        <v>45927</v>
      </c>
      <c r="C923" t="s">
        <v>5051</v>
      </c>
      <c r="D923" t="str">
        <f>_xlfn.XLOOKUP(tblTransactions[[#This Row],[CustomerID]],tblCustomers[CustomerID],tblCustomers[CustomerName])</f>
        <v>Diya Ahluwalia</v>
      </c>
      <c r="E923" t="s">
        <v>16204</v>
      </c>
      <c r="F923" t="str">
        <f>_xlfn.XLOOKUP(tblTransactions[[#This Row],[ProductID]],tblProducts[ProductID],tblProducts[ProductName])</f>
        <v>Moisturizer A6</v>
      </c>
      <c r="G923" t="s">
        <v>16273</v>
      </c>
      <c r="H923" t="str">
        <f>_xlfn.XLOOKUP(tblTransactions[[#This Row],[StoreID]],tblStores[StoreID],tblStores[Region])</f>
        <v>West</v>
      </c>
      <c r="I923">
        <v>1</v>
      </c>
      <c r="J923">
        <v>0</v>
      </c>
      <c r="K923" t="s">
        <v>16317</v>
      </c>
      <c r="L923" s="9">
        <f>_xlfn.XLOOKUP(tblTransactions[[#This Row],[ProductID]],tblProducts[ProductID],tblProducts[UnitPrice])</f>
        <v>1655.17</v>
      </c>
      <c r="M923" s="9">
        <f>tblTransactions[[#This Row],[Quantity]]*tblTransactions[[#This Row],[UnitPrice]]</f>
        <v>1655.17</v>
      </c>
      <c r="N923" s="9">
        <f>tblTransactions[[#This Row],[GrossSales]]*tblTransactions[[#This Row],[Discount]]</f>
        <v>0</v>
      </c>
      <c r="O923" s="9">
        <f>tblTransactions[[#This Row],[GrossSales]]-tblTransactions[[#This Row],[DiscountAmount]]</f>
        <v>1655.17</v>
      </c>
      <c r="P923" s="9">
        <f>_xlfn.XLOOKUP(tblTransactions[[#This Row],[ProductID]],tblProducts[ProductID],tblProducts[UnitCost])</f>
        <v>1375.84</v>
      </c>
      <c r="Q923" s="9">
        <f>tblTransactions[[#This Row],[Quantity]]*tblTransactions[[#This Row],[UnitCost]]</f>
        <v>1375.84</v>
      </c>
      <c r="R923" s="9">
        <f>tblTransactions[[#This Row],[NetRevenue]]-tblTransactions[[#This Row],[TotalCost]]</f>
        <v>279.33000000000015</v>
      </c>
      <c r="S923" t="str">
        <f>_xlfn.XLOOKUP(tblTransactions[[#This Row],[ProductID]],tblProducts[ProductID],tblProducts[Category])</f>
        <v>Personal Care</v>
      </c>
    </row>
    <row r="924" spans="1:19">
      <c r="A924" t="s">
        <v>17241</v>
      </c>
      <c r="B924" s="1">
        <v>45928</v>
      </c>
      <c r="C924" t="s">
        <v>13645</v>
      </c>
      <c r="D924" t="str">
        <f>_xlfn.XLOOKUP(tblTransactions[[#This Row],[CustomerID]],tblCustomers[CustomerID],tblCustomers[CustomerName])</f>
        <v>Alexander Gara</v>
      </c>
      <c r="E924" t="s">
        <v>16095</v>
      </c>
      <c r="F924" t="str">
        <f>_xlfn.XLOOKUP(tblTransactions[[#This Row],[ProductID]],tblProducts[ProductID],tblProducts[ProductName])</f>
        <v>Women's Jeans E5</v>
      </c>
      <c r="G924" t="s">
        <v>16287</v>
      </c>
      <c r="H924" t="str">
        <f>_xlfn.XLOOKUP(tblTransactions[[#This Row],[StoreID]],tblStores[StoreID],tblStores[Region])</f>
        <v>North</v>
      </c>
      <c r="I924">
        <v>4</v>
      </c>
      <c r="J924">
        <v>0.1</v>
      </c>
      <c r="K924" t="s">
        <v>16315</v>
      </c>
      <c r="L924" s="9">
        <f>_xlfn.XLOOKUP(tblTransactions[[#This Row],[ProductID]],tblProducts[ProductID],tblProducts[UnitPrice])</f>
        <v>909.72</v>
      </c>
      <c r="M924" s="9">
        <f>tblTransactions[[#This Row],[Quantity]]*tblTransactions[[#This Row],[UnitPrice]]</f>
        <v>3638.88</v>
      </c>
      <c r="N924" s="9">
        <f>tblTransactions[[#This Row],[GrossSales]]*tblTransactions[[#This Row],[Discount]]</f>
        <v>363.88800000000003</v>
      </c>
      <c r="O924" s="9">
        <f>tblTransactions[[#This Row],[GrossSales]]-tblTransactions[[#This Row],[DiscountAmount]]</f>
        <v>3274.9920000000002</v>
      </c>
      <c r="P924" s="9">
        <f>_xlfn.XLOOKUP(tblTransactions[[#This Row],[ProductID]],tblProducts[ProductID],tblProducts[UnitCost])</f>
        <v>546.83000000000004</v>
      </c>
      <c r="Q924" s="9">
        <f>tblTransactions[[#This Row],[Quantity]]*tblTransactions[[#This Row],[UnitCost]]</f>
        <v>2187.3200000000002</v>
      </c>
      <c r="R924" s="9">
        <f>tblTransactions[[#This Row],[NetRevenue]]-tblTransactions[[#This Row],[TotalCost]]</f>
        <v>1087.672</v>
      </c>
      <c r="S924" t="str">
        <f>_xlfn.XLOOKUP(tblTransactions[[#This Row],[ProductID]],tblProducts[ProductID],tblProducts[Category])</f>
        <v>Clothing</v>
      </c>
    </row>
    <row r="925" spans="1:19">
      <c r="A925" t="s">
        <v>17242</v>
      </c>
      <c r="B925" s="1">
        <v>45930</v>
      </c>
      <c r="C925" t="s">
        <v>3407</v>
      </c>
      <c r="D925" t="str">
        <f>_xlfn.XLOOKUP(tblTransactions[[#This Row],[CustomerID]],tblCustomers[CustomerID],tblCustomers[CustomerName])</f>
        <v>Maanav Gola</v>
      </c>
      <c r="E925" t="s">
        <v>15990</v>
      </c>
      <c r="F925" t="str">
        <f>_xlfn.XLOOKUP(tblTransactions[[#This Row],[ProductID]],tblProducts[ProductID],tblProducts[ProductName])</f>
        <v>Earbuds A6</v>
      </c>
      <c r="G925" t="s">
        <v>16271</v>
      </c>
      <c r="H925" t="str">
        <f>_xlfn.XLOOKUP(tblTransactions[[#This Row],[StoreID]],tblStores[StoreID],tblStores[Region])</f>
        <v>South</v>
      </c>
      <c r="I925">
        <v>1</v>
      </c>
      <c r="J925">
        <v>0</v>
      </c>
      <c r="K925" t="s">
        <v>16317</v>
      </c>
      <c r="L925" s="9">
        <f>_xlfn.XLOOKUP(tblTransactions[[#This Row],[ProductID]],tblProducts[ProductID],tblProducts[UnitPrice])</f>
        <v>76019.78</v>
      </c>
      <c r="M925" s="9">
        <f>tblTransactions[[#This Row],[Quantity]]*tblTransactions[[#This Row],[UnitPrice]]</f>
        <v>76019.78</v>
      </c>
      <c r="N925" s="9">
        <f>tblTransactions[[#This Row],[GrossSales]]*tblTransactions[[#This Row],[Discount]]</f>
        <v>0</v>
      </c>
      <c r="O925" s="9">
        <f>tblTransactions[[#This Row],[GrossSales]]-tblTransactions[[#This Row],[DiscountAmount]]</f>
        <v>76019.78</v>
      </c>
      <c r="P925" s="9">
        <f>_xlfn.XLOOKUP(tblTransactions[[#This Row],[ProductID]],tblProducts[ProductID],tblProducts[UnitCost])</f>
        <v>53305.15</v>
      </c>
      <c r="Q925" s="9">
        <f>tblTransactions[[#This Row],[Quantity]]*tblTransactions[[#This Row],[UnitCost]]</f>
        <v>53305.15</v>
      </c>
      <c r="R925" s="9">
        <f>tblTransactions[[#This Row],[NetRevenue]]-tblTransactions[[#This Row],[TotalCost]]</f>
        <v>22714.629999999997</v>
      </c>
      <c r="S925" t="str">
        <f>_xlfn.XLOOKUP(tblTransactions[[#This Row],[ProductID]],tblProducts[ProductID],tblProducts[Category])</f>
        <v>Electronics</v>
      </c>
    </row>
    <row r="926" spans="1:19">
      <c r="A926" t="s">
        <v>17243</v>
      </c>
      <c r="B926" s="1">
        <v>45931</v>
      </c>
      <c r="C926" t="s">
        <v>12384</v>
      </c>
      <c r="D926" t="str">
        <f>_xlfn.XLOOKUP(tblTransactions[[#This Row],[CustomerID]],tblCustomers[CustomerID],tblCustomers[CustomerName])</f>
        <v>Urishilla Agate</v>
      </c>
      <c r="E926" t="s">
        <v>16238</v>
      </c>
      <c r="F926" t="str">
        <f>_xlfn.XLOOKUP(tblTransactions[[#This Row],[ProductID]],tblProducts[ProductID],tblProducts[ProductName])</f>
        <v>Razor A1</v>
      </c>
      <c r="G926" t="s">
        <v>16297</v>
      </c>
      <c r="H926" t="str">
        <f>_xlfn.XLOOKUP(tblTransactions[[#This Row],[StoreID]],tblStores[StoreID],tblStores[Region])</f>
        <v>North</v>
      </c>
      <c r="I926">
        <v>2</v>
      </c>
      <c r="J926">
        <v>0.1</v>
      </c>
      <c r="K926" t="s">
        <v>16321</v>
      </c>
      <c r="L926" s="9">
        <f>_xlfn.XLOOKUP(tblTransactions[[#This Row],[ProductID]],tblProducts[ProductID],tblProducts[UnitPrice])</f>
        <v>1037.07</v>
      </c>
      <c r="M926" s="9">
        <f>tblTransactions[[#This Row],[Quantity]]*tblTransactions[[#This Row],[UnitPrice]]</f>
        <v>2074.14</v>
      </c>
      <c r="N926" s="9">
        <f>tblTransactions[[#This Row],[GrossSales]]*tblTransactions[[#This Row],[Discount]]</f>
        <v>207.41399999999999</v>
      </c>
      <c r="O926" s="9">
        <f>tblTransactions[[#This Row],[GrossSales]]-tblTransactions[[#This Row],[DiscountAmount]]</f>
        <v>1866.7259999999999</v>
      </c>
      <c r="P926" s="9">
        <f>_xlfn.XLOOKUP(tblTransactions[[#This Row],[ProductID]],tblProducts[ProductID],tblProducts[UnitCost])</f>
        <v>720.16</v>
      </c>
      <c r="Q926" s="9">
        <f>tblTransactions[[#This Row],[Quantity]]*tblTransactions[[#This Row],[UnitCost]]</f>
        <v>1440.32</v>
      </c>
      <c r="R926" s="9">
        <f>tblTransactions[[#This Row],[NetRevenue]]-tblTransactions[[#This Row],[TotalCost]]</f>
        <v>426.40599999999995</v>
      </c>
      <c r="S926" t="str">
        <f>_xlfn.XLOOKUP(tblTransactions[[#This Row],[ProductID]],tblProducts[ProductID],tblProducts[Category])</f>
        <v>Personal Care</v>
      </c>
    </row>
    <row r="927" spans="1:19">
      <c r="A927" t="s">
        <v>17244</v>
      </c>
      <c r="B927" s="1">
        <v>45933</v>
      </c>
      <c r="C927" t="s">
        <v>10004</v>
      </c>
      <c r="D927" t="str">
        <f>_xlfn.XLOOKUP(tblTransactions[[#This Row],[CustomerID]],tblCustomers[CustomerID],tblCustomers[CustomerName])</f>
        <v>Neelima Parikh</v>
      </c>
      <c r="E927" t="s">
        <v>15954</v>
      </c>
      <c r="F927" t="str">
        <f>_xlfn.XLOOKUP(tblTransactions[[#This Row],[ProductID]],tblProducts[ProductID],tblProducts[ProductName])</f>
        <v>5G Smartphone E5</v>
      </c>
      <c r="G927" t="s">
        <v>16303</v>
      </c>
      <c r="H927" t="str">
        <f>_xlfn.XLOOKUP(tblTransactions[[#This Row],[StoreID]],tblStores[StoreID],tblStores[Region])</f>
        <v>West</v>
      </c>
      <c r="I927">
        <v>1</v>
      </c>
      <c r="J927">
        <v>0.1</v>
      </c>
      <c r="K927" t="s">
        <v>16317</v>
      </c>
      <c r="L927" s="9">
        <f>_xlfn.XLOOKUP(tblTransactions[[#This Row],[ProductID]],tblProducts[ProductID],tblProducts[UnitPrice])</f>
        <v>36179.730000000003</v>
      </c>
      <c r="M927" s="9">
        <f>tblTransactions[[#This Row],[Quantity]]*tblTransactions[[#This Row],[UnitPrice]]</f>
        <v>36179.730000000003</v>
      </c>
      <c r="N927" s="9">
        <f>tblTransactions[[#This Row],[GrossSales]]*tblTransactions[[#This Row],[Discount]]</f>
        <v>3617.9730000000004</v>
      </c>
      <c r="O927" s="9">
        <f>tblTransactions[[#This Row],[GrossSales]]-tblTransactions[[#This Row],[DiscountAmount]]</f>
        <v>32561.757000000001</v>
      </c>
      <c r="P927" s="9">
        <f>_xlfn.XLOOKUP(tblTransactions[[#This Row],[ProductID]],tblProducts[ProductID],tblProducts[UnitCost])</f>
        <v>25344.32</v>
      </c>
      <c r="Q927" s="9">
        <f>tblTransactions[[#This Row],[Quantity]]*tblTransactions[[#This Row],[UnitCost]]</f>
        <v>25344.32</v>
      </c>
      <c r="R927" s="9">
        <f>tblTransactions[[#This Row],[NetRevenue]]-tblTransactions[[#This Row],[TotalCost]]</f>
        <v>7217.4370000000017</v>
      </c>
      <c r="S927" t="str">
        <f>_xlfn.XLOOKUP(tblTransactions[[#This Row],[ProductID]],tblProducts[ProductID],tblProducts[Category])</f>
        <v>Electronics</v>
      </c>
    </row>
    <row r="928" spans="1:19">
      <c r="A928" t="s">
        <v>17245</v>
      </c>
      <c r="B928" s="1">
        <v>45933</v>
      </c>
      <c r="C928" t="s">
        <v>8944</v>
      </c>
      <c r="D928" t="str">
        <f>_xlfn.XLOOKUP(tblTransactions[[#This Row],[CustomerID]],tblCustomers[CustomerID],tblCustomers[CustomerName])</f>
        <v>Anjali Nagarajan</v>
      </c>
      <c r="E928" t="s">
        <v>16230</v>
      </c>
      <c r="F928" t="str">
        <f>_xlfn.XLOOKUP(tblTransactions[[#This Row],[ProductID]],tblProducts[ProductID],tblProducts[ProductName])</f>
        <v>Body Lotion D4</v>
      </c>
      <c r="G928" t="s">
        <v>16277</v>
      </c>
      <c r="H928" t="str">
        <f>_xlfn.XLOOKUP(tblTransactions[[#This Row],[StoreID]],tblStores[StoreID],tblStores[Region])</f>
        <v>West</v>
      </c>
      <c r="I928">
        <v>1</v>
      </c>
      <c r="J928">
        <v>0.05</v>
      </c>
      <c r="K928" t="s">
        <v>16325</v>
      </c>
      <c r="L928" s="9">
        <f>_xlfn.XLOOKUP(tblTransactions[[#This Row],[ProductID]],tblProducts[ProductID],tblProducts[UnitPrice])</f>
        <v>3205.72</v>
      </c>
      <c r="M928" s="9">
        <f>tblTransactions[[#This Row],[Quantity]]*tblTransactions[[#This Row],[UnitPrice]]</f>
        <v>3205.72</v>
      </c>
      <c r="N928" s="9">
        <f>tblTransactions[[#This Row],[GrossSales]]*tblTransactions[[#This Row],[Discount]]</f>
        <v>160.286</v>
      </c>
      <c r="O928" s="9">
        <f>tblTransactions[[#This Row],[GrossSales]]-tblTransactions[[#This Row],[DiscountAmount]]</f>
        <v>3045.4339999999997</v>
      </c>
      <c r="P928" s="9">
        <f>_xlfn.XLOOKUP(tblTransactions[[#This Row],[ProductID]],tblProducts[ProductID],tblProducts[UnitCost])</f>
        <v>2167.94</v>
      </c>
      <c r="Q928" s="9">
        <f>tblTransactions[[#This Row],[Quantity]]*tblTransactions[[#This Row],[UnitCost]]</f>
        <v>2167.94</v>
      </c>
      <c r="R928" s="9">
        <f>tblTransactions[[#This Row],[NetRevenue]]-tblTransactions[[#This Row],[TotalCost]]</f>
        <v>877.49399999999969</v>
      </c>
      <c r="S928" t="str">
        <f>_xlfn.XLOOKUP(tblTransactions[[#This Row],[ProductID]],tblProducts[ProductID],tblProducts[Category])</f>
        <v>Personal Care</v>
      </c>
    </row>
    <row r="929" spans="1:19">
      <c r="A929" t="s">
        <v>17246</v>
      </c>
      <c r="B929" s="1">
        <v>45934</v>
      </c>
      <c r="C929" t="s">
        <v>13154</v>
      </c>
      <c r="D929" t="str">
        <f>_xlfn.XLOOKUP(tblTransactions[[#This Row],[CustomerID]],tblCustomers[CustomerID],tblCustomers[CustomerName])</f>
        <v>Sudiksha Lata</v>
      </c>
      <c r="E929" t="s">
        <v>16108</v>
      </c>
      <c r="F929" t="str">
        <f>_xlfn.XLOOKUP(tblTransactions[[#This Row],[ProductID]],tblProducts[ProductID],tblProducts[ProductName])</f>
        <v>Kids Dress D4</v>
      </c>
      <c r="G929" t="s">
        <v>16307</v>
      </c>
      <c r="H929" t="str">
        <f>_xlfn.XLOOKUP(tblTransactions[[#This Row],[StoreID]],tblStores[StoreID],tblStores[Region])</f>
        <v>East</v>
      </c>
      <c r="I929">
        <v>1</v>
      </c>
      <c r="J929">
        <v>0.05</v>
      </c>
      <c r="K929" t="s">
        <v>16325</v>
      </c>
      <c r="L929" s="9">
        <f>_xlfn.XLOOKUP(tblTransactions[[#This Row],[ProductID]],tblProducts[ProductID],tblProducts[UnitPrice])</f>
        <v>1332.31</v>
      </c>
      <c r="M929" s="9">
        <f>tblTransactions[[#This Row],[Quantity]]*tblTransactions[[#This Row],[UnitPrice]]</f>
        <v>1332.31</v>
      </c>
      <c r="N929" s="9">
        <f>tblTransactions[[#This Row],[GrossSales]]*tblTransactions[[#This Row],[Discount]]</f>
        <v>66.615499999999997</v>
      </c>
      <c r="O929" s="9">
        <f>tblTransactions[[#This Row],[GrossSales]]-tblTransactions[[#This Row],[DiscountAmount]]</f>
        <v>1265.6945000000001</v>
      </c>
      <c r="P929" s="9">
        <f>_xlfn.XLOOKUP(tblTransactions[[#This Row],[ProductID]],tblProducts[ProductID],tblProducts[UnitCost])</f>
        <v>957.87</v>
      </c>
      <c r="Q929" s="9">
        <f>tblTransactions[[#This Row],[Quantity]]*tblTransactions[[#This Row],[UnitCost]]</f>
        <v>957.87</v>
      </c>
      <c r="R929" s="9">
        <f>tblTransactions[[#This Row],[NetRevenue]]-tblTransactions[[#This Row],[TotalCost]]</f>
        <v>307.82450000000006</v>
      </c>
      <c r="S929" t="str">
        <f>_xlfn.XLOOKUP(tblTransactions[[#This Row],[ProductID]],tblProducts[ProductID],tblProducts[Category])</f>
        <v>Clothing</v>
      </c>
    </row>
    <row r="930" spans="1:19">
      <c r="A930" t="s">
        <v>17247</v>
      </c>
      <c r="B930" s="1">
        <v>45935</v>
      </c>
      <c r="C930" t="s">
        <v>6949</v>
      </c>
      <c r="D930" t="str">
        <f>_xlfn.XLOOKUP(tblTransactions[[#This Row],[CustomerID]],tblCustomers[CustomerID],tblCustomers[CustomerName])</f>
        <v>Faris Srinivas</v>
      </c>
      <c r="E930" t="s">
        <v>16015</v>
      </c>
      <c r="F930" t="str">
        <f>_xlfn.XLOOKUP(tblTransactions[[#This Row],[ProductID]],tblProducts[ProductID],tblProducts[ProductName])</f>
        <v>Electric Kettle C3</v>
      </c>
      <c r="G930" t="s">
        <v>16265</v>
      </c>
      <c r="H930" t="str">
        <f>_xlfn.XLOOKUP(tblTransactions[[#This Row],[StoreID]],tblStores[StoreID],tblStores[Region])</f>
        <v>North</v>
      </c>
      <c r="I930">
        <v>1</v>
      </c>
      <c r="J930">
        <v>0</v>
      </c>
      <c r="K930" t="s">
        <v>16321</v>
      </c>
      <c r="L930" s="9">
        <f>_xlfn.XLOOKUP(tblTransactions[[#This Row],[ProductID]],tblProducts[ProductID],tblProducts[UnitPrice])</f>
        <v>11511.46</v>
      </c>
      <c r="M930" s="9">
        <f>tblTransactions[[#This Row],[Quantity]]*tblTransactions[[#This Row],[UnitPrice]]</f>
        <v>11511.46</v>
      </c>
      <c r="N930" s="9">
        <f>tblTransactions[[#This Row],[GrossSales]]*tblTransactions[[#This Row],[Discount]]</f>
        <v>0</v>
      </c>
      <c r="O930" s="9">
        <f>tblTransactions[[#This Row],[GrossSales]]-tblTransactions[[#This Row],[DiscountAmount]]</f>
        <v>11511.46</v>
      </c>
      <c r="P930" s="9">
        <f>_xlfn.XLOOKUP(tblTransactions[[#This Row],[ProductID]],tblProducts[ProductID],tblProducts[UnitCost])</f>
        <v>9046.98</v>
      </c>
      <c r="Q930" s="9">
        <f>tblTransactions[[#This Row],[Quantity]]*tblTransactions[[#This Row],[UnitCost]]</f>
        <v>9046.98</v>
      </c>
      <c r="R930" s="9">
        <f>tblTransactions[[#This Row],[NetRevenue]]-tblTransactions[[#This Row],[TotalCost]]</f>
        <v>2464.4799999999996</v>
      </c>
      <c r="S930" t="str">
        <f>_xlfn.XLOOKUP(tblTransactions[[#This Row],[ProductID]],tblProducts[ProductID],tblProducts[Category])</f>
        <v>Home &amp; Kitchen</v>
      </c>
    </row>
    <row r="931" spans="1:19">
      <c r="A931" t="s">
        <v>17248</v>
      </c>
      <c r="B931" s="1">
        <v>45936</v>
      </c>
      <c r="C931" t="s">
        <v>10190</v>
      </c>
      <c r="D931" t="str">
        <f>_xlfn.XLOOKUP(tblTransactions[[#This Row],[CustomerID]],tblCustomers[CustomerID],tblCustomers[CustomerName])</f>
        <v>Advika Kuruvilla</v>
      </c>
      <c r="E931" t="s">
        <v>15969</v>
      </c>
      <c r="F931" t="str">
        <f>_xlfn.XLOOKUP(tblTransactions[[#This Row],[ProductID]],tblProducts[ProductID],tblProducts[ProductName])</f>
        <v>Student Laptop D4</v>
      </c>
      <c r="G931" t="s">
        <v>16287</v>
      </c>
      <c r="H931" t="str">
        <f>_xlfn.XLOOKUP(tblTransactions[[#This Row],[StoreID]],tblStores[StoreID],tblStores[Region])</f>
        <v>North</v>
      </c>
      <c r="I931">
        <v>1</v>
      </c>
      <c r="J931">
        <v>0</v>
      </c>
      <c r="K931" t="s">
        <v>16321</v>
      </c>
      <c r="L931" s="9">
        <f>_xlfn.XLOOKUP(tblTransactions[[#This Row],[ProductID]],tblProducts[ProductID],tblProducts[UnitPrice])</f>
        <v>21602.44</v>
      </c>
      <c r="M931" s="9">
        <f>tblTransactions[[#This Row],[Quantity]]*tblTransactions[[#This Row],[UnitPrice]]</f>
        <v>21602.44</v>
      </c>
      <c r="N931" s="9">
        <f>tblTransactions[[#This Row],[GrossSales]]*tblTransactions[[#This Row],[Discount]]</f>
        <v>0</v>
      </c>
      <c r="O931" s="9">
        <f>tblTransactions[[#This Row],[GrossSales]]-tblTransactions[[#This Row],[DiscountAmount]]</f>
        <v>21602.44</v>
      </c>
      <c r="P931" s="9">
        <f>_xlfn.XLOOKUP(tblTransactions[[#This Row],[ProductID]],tblProducts[ProductID],tblProducts[UnitCost])</f>
        <v>13134.58</v>
      </c>
      <c r="Q931" s="9">
        <f>tblTransactions[[#This Row],[Quantity]]*tblTransactions[[#This Row],[UnitCost]]</f>
        <v>13134.58</v>
      </c>
      <c r="R931" s="9">
        <f>tblTransactions[[#This Row],[NetRevenue]]-tblTransactions[[#This Row],[TotalCost]]</f>
        <v>8467.8599999999988</v>
      </c>
      <c r="S931" t="str">
        <f>_xlfn.XLOOKUP(tblTransactions[[#This Row],[ProductID]],tblProducts[ProductID],tblProducts[Category])</f>
        <v>Electronics</v>
      </c>
    </row>
    <row r="932" spans="1:19">
      <c r="A932" t="s">
        <v>17249</v>
      </c>
      <c r="B932" s="1">
        <v>45937</v>
      </c>
      <c r="C932" t="s">
        <v>11104</v>
      </c>
      <c r="D932" t="str">
        <f>_xlfn.XLOOKUP(tblTransactions[[#This Row],[CustomerID]],tblCustomers[CustomerID],tblCustomers[CustomerName])</f>
        <v>Ekalinga Lalla</v>
      </c>
      <c r="E932" t="s">
        <v>16184</v>
      </c>
      <c r="F932" t="str">
        <f>_xlfn.XLOOKUP(tblTransactions[[#This Row],[ProductID]],tblProducts[ProductID],tblProducts[ProductName])</f>
        <v>Instant Noodles D4</v>
      </c>
      <c r="G932" t="s">
        <v>16295</v>
      </c>
      <c r="H932" t="str">
        <f>_xlfn.XLOOKUP(tblTransactions[[#This Row],[StoreID]],tblStores[StoreID],tblStores[Region])</f>
        <v>South</v>
      </c>
      <c r="I932">
        <v>1</v>
      </c>
      <c r="J932">
        <v>0.05</v>
      </c>
      <c r="K932" t="s">
        <v>16321</v>
      </c>
      <c r="L932" s="9">
        <f>_xlfn.XLOOKUP(tblTransactions[[#This Row],[ProductID]],tblProducts[ProductID],tblProducts[UnitPrice])</f>
        <v>400.63</v>
      </c>
      <c r="M932" s="9">
        <f>tblTransactions[[#This Row],[Quantity]]*tblTransactions[[#This Row],[UnitPrice]]</f>
        <v>400.63</v>
      </c>
      <c r="N932" s="9">
        <f>tblTransactions[[#This Row],[GrossSales]]*tblTransactions[[#This Row],[Discount]]</f>
        <v>20.031500000000001</v>
      </c>
      <c r="O932" s="9">
        <f>tblTransactions[[#This Row],[GrossSales]]-tblTransactions[[#This Row],[DiscountAmount]]</f>
        <v>380.5985</v>
      </c>
      <c r="P932" s="9">
        <f>_xlfn.XLOOKUP(tblTransactions[[#This Row],[ProductID]],tblProducts[ProductID],tblProducts[UnitCost])</f>
        <v>222.73</v>
      </c>
      <c r="Q932" s="9">
        <f>tblTransactions[[#This Row],[Quantity]]*tblTransactions[[#This Row],[UnitCost]]</f>
        <v>222.73</v>
      </c>
      <c r="R932" s="9">
        <f>tblTransactions[[#This Row],[NetRevenue]]-tblTransactions[[#This Row],[TotalCost]]</f>
        <v>157.86850000000001</v>
      </c>
      <c r="S932" t="str">
        <f>_xlfn.XLOOKUP(tblTransactions[[#This Row],[ProductID]],tblProducts[ProductID],tblProducts[Category])</f>
        <v>Grocery</v>
      </c>
    </row>
    <row r="933" spans="1:19">
      <c r="A933" t="s">
        <v>17250</v>
      </c>
      <c r="B933" s="1">
        <v>45937</v>
      </c>
      <c r="C933" t="s">
        <v>11347</v>
      </c>
      <c r="D933" t="str">
        <f>_xlfn.XLOOKUP(tblTransactions[[#This Row],[CustomerID]],tblCustomers[CustomerID],tblCustomers[CustomerName])</f>
        <v>Nilima Lall</v>
      </c>
      <c r="E933" t="s">
        <v>16121</v>
      </c>
      <c r="F933" t="str">
        <f>_xlfn.XLOOKUP(tblTransactions[[#This Row],[ProductID]],tblProducts[ProductID],tblProducts[ProductName])</f>
        <v>Sandals C3</v>
      </c>
      <c r="G933" t="s">
        <v>16269</v>
      </c>
      <c r="H933" t="str">
        <f>_xlfn.XLOOKUP(tblTransactions[[#This Row],[StoreID]],tblStores[StoreID],tblStores[Region])</f>
        <v>North</v>
      </c>
      <c r="I933">
        <v>1</v>
      </c>
      <c r="J933">
        <v>0</v>
      </c>
      <c r="K933" t="s">
        <v>16317</v>
      </c>
      <c r="L933" s="9">
        <f>_xlfn.XLOOKUP(tblTransactions[[#This Row],[ProductID]],tblProducts[ProductID],tblProducts[UnitPrice])</f>
        <v>6708.36</v>
      </c>
      <c r="M933" s="9">
        <f>tblTransactions[[#This Row],[Quantity]]*tblTransactions[[#This Row],[UnitPrice]]</f>
        <v>6708.36</v>
      </c>
      <c r="N933" s="9">
        <f>tblTransactions[[#This Row],[GrossSales]]*tblTransactions[[#This Row],[Discount]]</f>
        <v>0</v>
      </c>
      <c r="O933" s="9">
        <f>tblTransactions[[#This Row],[GrossSales]]-tblTransactions[[#This Row],[DiscountAmount]]</f>
        <v>6708.36</v>
      </c>
      <c r="P933" s="9">
        <f>_xlfn.XLOOKUP(tblTransactions[[#This Row],[ProductID]],tblProducts[ProductID],tblProducts[UnitCost])</f>
        <v>5031.45</v>
      </c>
      <c r="Q933" s="9">
        <f>tblTransactions[[#This Row],[Quantity]]*tblTransactions[[#This Row],[UnitCost]]</f>
        <v>5031.45</v>
      </c>
      <c r="R933" s="9">
        <f>tblTransactions[[#This Row],[NetRevenue]]-tblTransactions[[#This Row],[TotalCost]]</f>
        <v>1676.9099999999999</v>
      </c>
      <c r="S933" t="str">
        <f>_xlfn.XLOOKUP(tblTransactions[[#This Row],[ProductID]],tblProducts[ProductID],tblProducts[Category])</f>
        <v>Clothing</v>
      </c>
    </row>
    <row r="934" spans="1:19">
      <c r="A934" t="s">
        <v>17251</v>
      </c>
      <c r="B934" s="1">
        <v>45938</v>
      </c>
      <c r="C934" t="s">
        <v>14529</v>
      </c>
      <c r="D934" t="str">
        <f>_xlfn.XLOOKUP(tblTransactions[[#This Row],[CustomerID]],tblCustomers[CustomerID],tblCustomers[CustomerName])</f>
        <v>Rushil Varty</v>
      </c>
      <c r="E934" t="s">
        <v>15933</v>
      </c>
      <c r="F934" t="str">
        <f>_xlfn.XLOOKUP(tblTransactions[[#This Row],[ProductID]],tblProducts[ProductID],tblProducts[ProductName])</f>
        <v>Smart LED TV C3</v>
      </c>
      <c r="G934" t="s">
        <v>16262</v>
      </c>
      <c r="H934" t="str">
        <f>_xlfn.XLOOKUP(tblTransactions[[#This Row],[StoreID]],tblStores[StoreID],tblStores[Region])</f>
        <v>North</v>
      </c>
      <c r="I934">
        <v>1</v>
      </c>
      <c r="J934">
        <v>0.05</v>
      </c>
      <c r="K934" t="s">
        <v>16315</v>
      </c>
      <c r="L934" s="9">
        <f>_xlfn.XLOOKUP(tblTransactions[[#This Row],[ProductID]],tblProducts[ProductID],tblProducts[UnitPrice])</f>
        <v>14374.7</v>
      </c>
      <c r="M934" s="9">
        <f>tblTransactions[[#This Row],[Quantity]]*tblTransactions[[#This Row],[UnitPrice]]</f>
        <v>14374.7</v>
      </c>
      <c r="N934" s="9">
        <f>tblTransactions[[#This Row],[GrossSales]]*tblTransactions[[#This Row],[Discount]]</f>
        <v>718.73500000000013</v>
      </c>
      <c r="O934" s="9">
        <f>tblTransactions[[#This Row],[GrossSales]]-tblTransactions[[#This Row],[DiscountAmount]]</f>
        <v>13655.965</v>
      </c>
      <c r="P934" s="9">
        <f>_xlfn.XLOOKUP(tblTransactions[[#This Row],[ProductID]],tblProducts[ProductID],tblProducts[UnitCost])</f>
        <v>11335.72</v>
      </c>
      <c r="Q934" s="9">
        <f>tblTransactions[[#This Row],[Quantity]]*tblTransactions[[#This Row],[UnitCost]]</f>
        <v>11335.72</v>
      </c>
      <c r="R934" s="9">
        <f>tblTransactions[[#This Row],[NetRevenue]]-tblTransactions[[#This Row],[TotalCost]]</f>
        <v>2320.2450000000008</v>
      </c>
      <c r="S934" t="str">
        <f>_xlfn.XLOOKUP(tblTransactions[[#This Row],[ProductID]],tblProducts[ProductID],tblProducts[Category])</f>
        <v>Electronics</v>
      </c>
    </row>
    <row r="935" spans="1:19">
      <c r="A935" t="s">
        <v>17252</v>
      </c>
      <c r="B935" s="1">
        <v>45940</v>
      </c>
      <c r="C935" t="s">
        <v>2616</v>
      </c>
      <c r="D935" t="str">
        <f>_xlfn.XLOOKUP(tblTransactions[[#This Row],[CustomerID]],tblCustomers[CustomerID],tblCustomers[CustomerName])</f>
        <v>Anay Ramachandran</v>
      </c>
      <c r="E935" t="s">
        <v>16152</v>
      </c>
      <c r="F935" t="str">
        <f>_xlfn.XLOOKUP(tblTransactions[[#This Row],[ProductID]],tblProducts[ProductID],tblProducts[ProductName])</f>
        <v>Chips C3</v>
      </c>
      <c r="G935" t="s">
        <v>16285</v>
      </c>
      <c r="H935" t="str">
        <f>_xlfn.XLOOKUP(tblTransactions[[#This Row],[StoreID]],tblStores[StoreID],tblStores[Region])</f>
        <v>West</v>
      </c>
      <c r="I935">
        <v>1</v>
      </c>
      <c r="J935">
        <v>0.1</v>
      </c>
      <c r="K935" t="s">
        <v>16319</v>
      </c>
      <c r="L935" s="9">
        <f>_xlfn.XLOOKUP(tblTransactions[[#This Row],[ProductID]],tblProducts[ProductID],tblProducts[UnitPrice])</f>
        <v>152.38</v>
      </c>
      <c r="M935" s="9">
        <f>tblTransactions[[#This Row],[Quantity]]*tblTransactions[[#This Row],[UnitPrice]]</f>
        <v>152.38</v>
      </c>
      <c r="N935" s="9">
        <f>tblTransactions[[#This Row],[GrossSales]]*tblTransactions[[#This Row],[Discount]]</f>
        <v>15.238</v>
      </c>
      <c r="O935" s="9">
        <f>tblTransactions[[#This Row],[GrossSales]]-tblTransactions[[#This Row],[DiscountAmount]]</f>
        <v>137.142</v>
      </c>
      <c r="P935" s="9">
        <f>_xlfn.XLOOKUP(tblTransactions[[#This Row],[ProductID]],tblProducts[ProductID],tblProducts[UnitCost])</f>
        <v>100.44</v>
      </c>
      <c r="Q935" s="9">
        <f>tblTransactions[[#This Row],[Quantity]]*tblTransactions[[#This Row],[UnitCost]]</f>
        <v>100.44</v>
      </c>
      <c r="R935" s="9">
        <f>tblTransactions[[#This Row],[NetRevenue]]-tblTransactions[[#This Row],[TotalCost]]</f>
        <v>36.701999999999998</v>
      </c>
      <c r="S935" t="str">
        <f>_xlfn.XLOOKUP(tblTransactions[[#This Row],[ProductID]],tblProducts[ProductID],tblProducts[Category])</f>
        <v>Grocery</v>
      </c>
    </row>
    <row r="936" spans="1:19">
      <c r="A936" t="s">
        <v>17253</v>
      </c>
      <c r="B936" s="1">
        <v>45941</v>
      </c>
      <c r="C936" t="s">
        <v>4729</v>
      </c>
      <c r="D936" t="str">
        <f>_xlfn.XLOOKUP(tblTransactions[[#This Row],[CustomerID]],tblCustomers[CustomerID],tblCustomers[CustomerName])</f>
        <v>Sarthak Mandal</v>
      </c>
      <c r="E936" t="s">
        <v>16162</v>
      </c>
      <c r="F936" t="str">
        <f>_xlfn.XLOOKUP(tblTransactions[[#This Row],[ProductID]],tblProducts[ProductID],tblProducts[ProductName])</f>
        <v>Tea A1</v>
      </c>
      <c r="G936" t="s">
        <v>16275</v>
      </c>
      <c r="H936" t="str">
        <f>_xlfn.XLOOKUP(tblTransactions[[#This Row],[StoreID]],tblStores[StoreID],tblStores[Region])</f>
        <v>South</v>
      </c>
      <c r="I936">
        <v>1</v>
      </c>
      <c r="J936">
        <v>0</v>
      </c>
      <c r="K936" t="s">
        <v>16317</v>
      </c>
      <c r="L936" s="9">
        <f>_xlfn.XLOOKUP(tblTransactions[[#This Row],[ProductID]],tblProducts[ProductID],tblProducts[UnitPrice])</f>
        <v>675.13</v>
      </c>
      <c r="M936" s="9">
        <f>tblTransactions[[#This Row],[Quantity]]*tblTransactions[[#This Row],[UnitPrice]]</f>
        <v>675.13</v>
      </c>
      <c r="N936" s="9">
        <f>tblTransactions[[#This Row],[GrossSales]]*tblTransactions[[#This Row],[Discount]]</f>
        <v>0</v>
      </c>
      <c r="O936" s="9">
        <f>tblTransactions[[#This Row],[GrossSales]]-tblTransactions[[#This Row],[DiscountAmount]]</f>
        <v>675.13</v>
      </c>
      <c r="P936" s="9">
        <f>_xlfn.XLOOKUP(tblTransactions[[#This Row],[ProductID]],tblProducts[ProductID],tblProducts[UnitCost])</f>
        <v>510.45</v>
      </c>
      <c r="Q936" s="9">
        <f>tblTransactions[[#This Row],[Quantity]]*tblTransactions[[#This Row],[UnitCost]]</f>
        <v>510.45</v>
      </c>
      <c r="R936" s="9">
        <f>tblTransactions[[#This Row],[NetRevenue]]-tblTransactions[[#This Row],[TotalCost]]</f>
        <v>164.68</v>
      </c>
      <c r="S936" t="str">
        <f>_xlfn.XLOOKUP(tblTransactions[[#This Row],[ProductID]],tblProducts[ProductID],tblProducts[Category])</f>
        <v>Grocery</v>
      </c>
    </row>
    <row r="937" spans="1:19">
      <c r="A937" t="s">
        <v>17254</v>
      </c>
      <c r="B937" s="1">
        <v>45943</v>
      </c>
      <c r="C937" t="s">
        <v>8271</v>
      </c>
      <c r="D937" t="str">
        <f>_xlfn.XLOOKUP(tblTransactions[[#This Row],[CustomerID]],tblCustomers[CustomerID],tblCustomers[CustomerName])</f>
        <v>Madhavi Vig</v>
      </c>
      <c r="E937" t="s">
        <v>16066</v>
      </c>
      <c r="F937" t="str">
        <f>_xlfn.XLOOKUP(tblTransactions[[#This Row],[ProductID]],tblProducts[ProductID],tblProducts[ProductName])</f>
        <v>Decorative Vase A6</v>
      </c>
      <c r="G937" t="s">
        <v>16285</v>
      </c>
      <c r="H937" t="str">
        <f>_xlfn.XLOOKUP(tblTransactions[[#This Row],[StoreID]],tblStores[StoreID],tblStores[Region])</f>
        <v>West</v>
      </c>
      <c r="I937">
        <v>1</v>
      </c>
      <c r="J937">
        <v>0.05</v>
      </c>
      <c r="K937" t="s">
        <v>16317</v>
      </c>
      <c r="L937" s="9">
        <f>_xlfn.XLOOKUP(tblTransactions[[#This Row],[ProductID]],tblProducts[ProductID],tblProducts[UnitPrice])</f>
        <v>3429.74</v>
      </c>
      <c r="M937" s="9">
        <f>tblTransactions[[#This Row],[Quantity]]*tblTransactions[[#This Row],[UnitPrice]]</f>
        <v>3429.74</v>
      </c>
      <c r="N937" s="9">
        <f>tblTransactions[[#This Row],[GrossSales]]*tblTransactions[[#This Row],[Discount]]</f>
        <v>171.48699999999999</v>
      </c>
      <c r="O937" s="9">
        <f>tblTransactions[[#This Row],[GrossSales]]-tblTransactions[[#This Row],[DiscountAmount]]</f>
        <v>3258.2529999999997</v>
      </c>
      <c r="P937" s="9">
        <f>_xlfn.XLOOKUP(tblTransactions[[#This Row],[ProductID]],tblProducts[ProductID],tblProducts[UnitCost])</f>
        <v>2172.39</v>
      </c>
      <c r="Q937" s="9">
        <f>tblTransactions[[#This Row],[Quantity]]*tblTransactions[[#This Row],[UnitCost]]</f>
        <v>2172.39</v>
      </c>
      <c r="R937" s="9">
        <f>tblTransactions[[#This Row],[NetRevenue]]-tblTransactions[[#This Row],[TotalCost]]</f>
        <v>1085.8629999999998</v>
      </c>
      <c r="S937" t="str">
        <f>_xlfn.XLOOKUP(tblTransactions[[#This Row],[ProductID]],tblProducts[ProductID],tblProducts[Category])</f>
        <v>Home &amp; Kitchen</v>
      </c>
    </row>
    <row r="938" spans="1:19">
      <c r="A938" t="s">
        <v>17255</v>
      </c>
      <c r="B938" s="1">
        <v>45944</v>
      </c>
      <c r="C938" t="s">
        <v>10674</v>
      </c>
      <c r="D938" t="str">
        <f>_xlfn.XLOOKUP(tblTransactions[[#This Row],[CustomerID]],tblCustomers[CustomerID],tblCustomers[CustomerName])</f>
        <v>Warinder Luthra</v>
      </c>
      <c r="E938" t="s">
        <v>16202</v>
      </c>
      <c r="F938" t="str">
        <f>_xlfn.XLOOKUP(tblTransactions[[#This Row],[ProductID]],tblProducts[ProductID],tblProducts[ProductName])</f>
        <v>Sunscreen E5</v>
      </c>
      <c r="G938" t="s">
        <v>16271</v>
      </c>
      <c r="H938" t="str">
        <f>_xlfn.XLOOKUP(tblTransactions[[#This Row],[StoreID]],tblStores[StoreID],tblStores[Region])</f>
        <v>South</v>
      </c>
      <c r="I938">
        <v>1</v>
      </c>
      <c r="J938">
        <v>0</v>
      </c>
      <c r="K938" t="s">
        <v>16315</v>
      </c>
      <c r="L938" s="9">
        <f>_xlfn.XLOOKUP(tblTransactions[[#This Row],[ProductID]],tblProducts[ProductID],tblProducts[UnitPrice])</f>
        <v>2328.63</v>
      </c>
      <c r="M938" s="9">
        <f>tblTransactions[[#This Row],[Quantity]]*tblTransactions[[#This Row],[UnitPrice]]</f>
        <v>2328.63</v>
      </c>
      <c r="N938" s="9">
        <f>tblTransactions[[#This Row],[GrossSales]]*tblTransactions[[#This Row],[Discount]]</f>
        <v>0</v>
      </c>
      <c r="O938" s="9">
        <f>tblTransactions[[#This Row],[GrossSales]]-tblTransactions[[#This Row],[DiscountAmount]]</f>
        <v>2328.63</v>
      </c>
      <c r="P938" s="9">
        <f>_xlfn.XLOOKUP(tblTransactions[[#This Row],[ProductID]],tblProducts[ProductID],tblProducts[UnitCost])</f>
        <v>1946.99</v>
      </c>
      <c r="Q938" s="9">
        <f>tblTransactions[[#This Row],[Quantity]]*tblTransactions[[#This Row],[UnitCost]]</f>
        <v>1946.99</v>
      </c>
      <c r="R938" s="9">
        <f>tblTransactions[[#This Row],[NetRevenue]]-tblTransactions[[#This Row],[TotalCost]]</f>
        <v>381.6400000000001</v>
      </c>
      <c r="S938" t="str">
        <f>_xlfn.XLOOKUP(tblTransactions[[#This Row],[ProductID]],tblProducts[ProductID],tblProducts[Category])</f>
        <v>Personal Care</v>
      </c>
    </row>
    <row r="939" spans="1:19">
      <c r="A939" t="s">
        <v>17256</v>
      </c>
      <c r="B939" s="1">
        <v>45945</v>
      </c>
      <c r="C939" t="s">
        <v>13593</v>
      </c>
      <c r="D939" t="str">
        <f>_xlfn.XLOOKUP(tblTransactions[[#This Row],[CustomerID]],tblCustomers[CustomerID],tblCustomers[CustomerName])</f>
        <v>Bachittar Arya</v>
      </c>
      <c r="E939" t="s">
        <v>16078</v>
      </c>
      <c r="F939" t="str">
        <f>_xlfn.XLOOKUP(tblTransactions[[#This Row],[ProductID]],tblProducts[ProductID],tblProducts[ProductName])</f>
        <v>Men's Jacket D4</v>
      </c>
      <c r="G939" t="s">
        <v>16289</v>
      </c>
      <c r="H939" t="str">
        <f>_xlfn.XLOOKUP(tblTransactions[[#This Row],[StoreID]],tblStores[StoreID],tblStores[Region])</f>
        <v>South</v>
      </c>
      <c r="I939">
        <v>1</v>
      </c>
      <c r="J939">
        <v>0</v>
      </c>
      <c r="K939" t="s">
        <v>16321</v>
      </c>
      <c r="L939" s="9">
        <f>_xlfn.XLOOKUP(tblTransactions[[#This Row],[ProductID]],tblProducts[ProductID],tblProducts[UnitPrice])</f>
        <v>4654.63</v>
      </c>
      <c r="M939" s="9">
        <f>tblTransactions[[#This Row],[Quantity]]*tblTransactions[[#This Row],[UnitPrice]]</f>
        <v>4654.63</v>
      </c>
      <c r="N939" s="9">
        <f>tblTransactions[[#This Row],[GrossSales]]*tblTransactions[[#This Row],[Discount]]</f>
        <v>0</v>
      </c>
      <c r="O939" s="9">
        <f>tblTransactions[[#This Row],[GrossSales]]-tblTransactions[[#This Row],[DiscountAmount]]</f>
        <v>4654.63</v>
      </c>
      <c r="P939" s="9">
        <f>_xlfn.XLOOKUP(tblTransactions[[#This Row],[ProductID]],tblProducts[ProductID],tblProducts[UnitCost])</f>
        <v>2675.18</v>
      </c>
      <c r="Q939" s="9">
        <f>tblTransactions[[#This Row],[Quantity]]*tblTransactions[[#This Row],[UnitCost]]</f>
        <v>2675.18</v>
      </c>
      <c r="R939" s="9">
        <f>tblTransactions[[#This Row],[NetRevenue]]-tblTransactions[[#This Row],[TotalCost]]</f>
        <v>1979.4500000000003</v>
      </c>
      <c r="S939" t="str">
        <f>_xlfn.XLOOKUP(tblTransactions[[#This Row],[ProductID]],tblProducts[ProductID],tblProducts[Category])</f>
        <v>Clothing</v>
      </c>
    </row>
    <row r="940" spans="1:19">
      <c r="A940" t="s">
        <v>17257</v>
      </c>
      <c r="B940" s="1">
        <v>45946</v>
      </c>
      <c r="C940" t="s">
        <v>1033</v>
      </c>
      <c r="D940" t="str">
        <f>_xlfn.XLOOKUP(tblTransactions[[#This Row],[CustomerID]],tblCustomers[CustomerID],tblCustomers[CustomerName])</f>
        <v>Gaurangi Deol</v>
      </c>
      <c r="E940" t="s">
        <v>16236</v>
      </c>
      <c r="F940" t="str">
        <f>_xlfn.XLOOKUP(tblTransactions[[#This Row],[ProductID]],tblProducts[ProductID],tblProducts[ProductName])</f>
        <v>Body Lotion B7</v>
      </c>
      <c r="G940" t="s">
        <v>16295</v>
      </c>
      <c r="H940" t="str">
        <f>_xlfn.XLOOKUP(tblTransactions[[#This Row],[StoreID]],tblStores[StoreID],tblStores[Region])</f>
        <v>South</v>
      </c>
      <c r="I940">
        <v>5</v>
      </c>
      <c r="J940">
        <v>0</v>
      </c>
      <c r="K940" t="s">
        <v>16315</v>
      </c>
      <c r="L940" s="9">
        <f>_xlfn.XLOOKUP(tblTransactions[[#This Row],[ProductID]],tblProducts[ProductID],tblProducts[UnitPrice])</f>
        <v>4198.8999999999996</v>
      </c>
      <c r="M940" s="9">
        <f>tblTransactions[[#This Row],[Quantity]]*tblTransactions[[#This Row],[UnitPrice]]</f>
        <v>20994.5</v>
      </c>
      <c r="N940" s="9">
        <f>tblTransactions[[#This Row],[GrossSales]]*tblTransactions[[#This Row],[Discount]]</f>
        <v>0</v>
      </c>
      <c r="O940" s="9">
        <f>tblTransactions[[#This Row],[GrossSales]]-tblTransactions[[#This Row],[DiscountAmount]]</f>
        <v>20994.5</v>
      </c>
      <c r="P940" s="9">
        <f>_xlfn.XLOOKUP(tblTransactions[[#This Row],[ProductID]],tblProducts[ProductID],tblProducts[UnitCost])</f>
        <v>2920.65</v>
      </c>
      <c r="Q940" s="9">
        <f>tblTransactions[[#This Row],[Quantity]]*tblTransactions[[#This Row],[UnitCost]]</f>
        <v>14603.25</v>
      </c>
      <c r="R940" s="9">
        <f>tblTransactions[[#This Row],[NetRevenue]]-tblTransactions[[#This Row],[TotalCost]]</f>
        <v>6391.25</v>
      </c>
      <c r="S940" t="str">
        <f>_xlfn.XLOOKUP(tblTransactions[[#This Row],[ProductID]],tblProducts[ProductID],tblProducts[Category])</f>
        <v>Personal Care</v>
      </c>
    </row>
    <row r="941" spans="1:19">
      <c r="A941" t="s">
        <v>17258</v>
      </c>
      <c r="B941" s="1">
        <v>45947</v>
      </c>
      <c r="C941" t="s">
        <v>12932</v>
      </c>
      <c r="D941" t="str">
        <f>_xlfn.XLOOKUP(tblTransactions[[#This Row],[CustomerID]],tblCustomers[CustomerID],tblCustomers[CustomerName])</f>
        <v>Vihaan Suresh</v>
      </c>
      <c r="E941" t="s">
        <v>16251</v>
      </c>
      <c r="F941" t="str">
        <f>_xlfn.XLOOKUP(tblTransactions[[#This Row],[ProductID]],tblProducts[ProductID],tblProducts[ProductName])</f>
        <v>Trimmer B7</v>
      </c>
      <c r="G941" t="s">
        <v>16277</v>
      </c>
      <c r="H941" t="str">
        <f>_xlfn.XLOOKUP(tblTransactions[[#This Row],[StoreID]],tblStores[StoreID],tblStores[Region])</f>
        <v>West</v>
      </c>
      <c r="I941">
        <v>1</v>
      </c>
      <c r="J941">
        <v>0</v>
      </c>
      <c r="K941" t="s">
        <v>16317</v>
      </c>
      <c r="L941" s="9">
        <f>_xlfn.XLOOKUP(tblTransactions[[#This Row],[ProductID]],tblProducts[ProductID],tblProducts[UnitPrice])</f>
        <v>4199.75</v>
      </c>
      <c r="M941" s="9">
        <f>tblTransactions[[#This Row],[Quantity]]*tblTransactions[[#This Row],[UnitPrice]]</f>
        <v>4199.75</v>
      </c>
      <c r="N941" s="9">
        <f>tblTransactions[[#This Row],[GrossSales]]*tblTransactions[[#This Row],[Discount]]</f>
        <v>0</v>
      </c>
      <c r="O941" s="9">
        <f>tblTransactions[[#This Row],[GrossSales]]-tblTransactions[[#This Row],[DiscountAmount]]</f>
        <v>4199.75</v>
      </c>
      <c r="P941" s="9">
        <f>_xlfn.XLOOKUP(tblTransactions[[#This Row],[ProductID]],tblProducts[ProductID],tblProducts[UnitCost])</f>
        <v>2546.5700000000002</v>
      </c>
      <c r="Q941" s="9">
        <f>tblTransactions[[#This Row],[Quantity]]*tblTransactions[[#This Row],[UnitCost]]</f>
        <v>2546.5700000000002</v>
      </c>
      <c r="R941" s="9">
        <f>tblTransactions[[#This Row],[NetRevenue]]-tblTransactions[[#This Row],[TotalCost]]</f>
        <v>1653.1799999999998</v>
      </c>
      <c r="S941" t="str">
        <f>_xlfn.XLOOKUP(tblTransactions[[#This Row],[ProductID]],tblProducts[ProductID],tblProducts[Category])</f>
        <v>Personal Care</v>
      </c>
    </row>
    <row r="942" spans="1:19">
      <c r="A942" t="s">
        <v>17259</v>
      </c>
      <c r="B942" s="1">
        <v>45948</v>
      </c>
      <c r="C942" t="s">
        <v>4393</v>
      </c>
      <c r="D942" t="str">
        <f>_xlfn.XLOOKUP(tblTransactions[[#This Row],[CustomerID]],tblCustomers[CustomerID],tblCustomers[CustomerName])</f>
        <v>Aahana Keer</v>
      </c>
      <c r="E942" t="s">
        <v>16156</v>
      </c>
      <c r="F942" t="str">
        <f>_xlfn.XLOOKUP(tblTransactions[[#This Row],[ProductID]],tblProducts[ProductID],tblProducts[ProductName])</f>
        <v>Chocolate E5</v>
      </c>
      <c r="G942" t="s">
        <v>16275</v>
      </c>
      <c r="H942" t="str">
        <f>_xlfn.XLOOKUP(tblTransactions[[#This Row],[StoreID]],tblStores[StoreID],tblStores[Region])</f>
        <v>South</v>
      </c>
      <c r="I942">
        <v>2</v>
      </c>
      <c r="J942">
        <v>0</v>
      </c>
      <c r="K942" t="s">
        <v>16317</v>
      </c>
      <c r="L942" s="9">
        <f>_xlfn.XLOOKUP(tblTransactions[[#This Row],[ProductID]],tblProducts[ProductID],tblProducts[UnitPrice])</f>
        <v>817.37</v>
      </c>
      <c r="M942" s="9">
        <f>tblTransactions[[#This Row],[Quantity]]*tblTransactions[[#This Row],[UnitPrice]]</f>
        <v>1634.74</v>
      </c>
      <c r="N942" s="9">
        <f>tblTransactions[[#This Row],[GrossSales]]*tblTransactions[[#This Row],[Discount]]</f>
        <v>0</v>
      </c>
      <c r="O942" s="9">
        <f>tblTransactions[[#This Row],[GrossSales]]-tblTransactions[[#This Row],[DiscountAmount]]</f>
        <v>1634.74</v>
      </c>
      <c r="P942" s="9">
        <f>_xlfn.XLOOKUP(tblTransactions[[#This Row],[ProductID]],tblProducts[ProductID],tblProducts[UnitCost])</f>
        <v>595.03</v>
      </c>
      <c r="Q942" s="9">
        <f>tblTransactions[[#This Row],[Quantity]]*tblTransactions[[#This Row],[UnitCost]]</f>
        <v>1190.06</v>
      </c>
      <c r="R942" s="9">
        <f>tblTransactions[[#This Row],[NetRevenue]]-tblTransactions[[#This Row],[TotalCost]]</f>
        <v>444.68000000000006</v>
      </c>
      <c r="S942" t="str">
        <f>_xlfn.XLOOKUP(tblTransactions[[#This Row],[ProductID]],tblProducts[ProductID],tblProducts[Category])</f>
        <v>Grocery</v>
      </c>
    </row>
    <row r="943" spans="1:19">
      <c r="A943" t="s">
        <v>17260</v>
      </c>
      <c r="B943" s="1">
        <v>45948</v>
      </c>
      <c r="C943" t="s">
        <v>4050</v>
      </c>
      <c r="D943" t="str">
        <f>_xlfn.XLOOKUP(tblTransactions[[#This Row],[CustomerID]],tblCustomers[CustomerID],tblCustomers[CustomerName])</f>
        <v>Ojas Dyal</v>
      </c>
      <c r="E943" t="s">
        <v>16086</v>
      </c>
      <c r="F943" t="str">
        <f>_xlfn.XLOOKUP(tblTransactions[[#This Row],[ProductID]],tblProducts[ProductID],tblProducts[ProductName])</f>
        <v>Women's Jeans A1</v>
      </c>
      <c r="G943" t="s">
        <v>16279</v>
      </c>
      <c r="H943" t="str">
        <f>_xlfn.XLOOKUP(tblTransactions[[#This Row],[StoreID]],tblStores[StoreID],tblStores[Region])</f>
        <v>South</v>
      </c>
      <c r="I943">
        <v>1</v>
      </c>
      <c r="J943">
        <v>0.05</v>
      </c>
      <c r="K943" t="s">
        <v>16317</v>
      </c>
      <c r="L943" s="9">
        <f>_xlfn.XLOOKUP(tblTransactions[[#This Row],[ProductID]],tblProducts[ProductID],tblProducts[UnitPrice])</f>
        <v>6726.61</v>
      </c>
      <c r="M943" s="9">
        <f>tblTransactions[[#This Row],[Quantity]]*tblTransactions[[#This Row],[UnitPrice]]</f>
        <v>6726.61</v>
      </c>
      <c r="N943" s="9">
        <f>tblTransactions[[#This Row],[GrossSales]]*tblTransactions[[#This Row],[Discount]]</f>
        <v>336.33050000000003</v>
      </c>
      <c r="O943" s="9">
        <f>tblTransactions[[#This Row],[GrossSales]]-tblTransactions[[#This Row],[DiscountAmount]]</f>
        <v>6390.2794999999996</v>
      </c>
      <c r="P943" s="9">
        <f>_xlfn.XLOOKUP(tblTransactions[[#This Row],[ProductID]],tblProducts[ProductID],tblProducts[UnitCost])</f>
        <v>5191.03</v>
      </c>
      <c r="Q943" s="9">
        <f>tblTransactions[[#This Row],[Quantity]]*tblTransactions[[#This Row],[UnitCost]]</f>
        <v>5191.03</v>
      </c>
      <c r="R943" s="9">
        <f>tblTransactions[[#This Row],[NetRevenue]]-tblTransactions[[#This Row],[TotalCost]]</f>
        <v>1199.2494999999999</v>
      </c>
      <c r="S943" t="str">
        <f>_xlfn.XLOOKUP(tblTransactions[[#This Row],[ProductID]],tblProducts[ProductID],tblProducts[Category])</f>
        <v>Clothing</v>
      </c>
    </row>
    <row r="944" spans="1:19">
      <c r="A944" t="s">
        <v>17261</v>
      </c>
      <c r="B944" s="1">
        <v>45950</v>
      </c>
      <c r="C944" t="s">
        <v>10750</v>
      </c>
      <c r="D944" t="str">
        <f>_xlfn.XLOOKUP(tblTransactions[[#This Row],[CustomerID]],tblCustomers[CustomerID],tblCustomers[CustomerName])</f>
        <v>Harish Mander</v>
      </c>
      <c r="E944" t="s">
        <v>16243</v>
      </c>
      <c r="F944" t="str">
        <f>_xlfn.XLOOKUP(tblTransactions[[#This Row],[ProductID]],tblProducts[ProductID],tblProducts[ProductName])</f>
        <v>Trimmer C3</v>
      </c>
      <c r="G944" t="s">
        <v>16289</v>
      </c>
      <c r="H944" t="str">
        <f>_xlfn.XLOOKUP(tblTransactions[[#This Row],[StoreID]],tblStores[StoreID],tblStores[Region])</f>
        <v>South</v>
      </c>
      <c r="I944">
        <v>1</v>
      </c>
      <c r="J944">
        <v>0</v>
      </c>
      <c r="K944" t="s">
        <v>16319</v>
      </c>
      <c r="L944" s="9">
        <f>_xlfn.XLOOKUP(tblTransactions[[#This Row],[ProductID]],tblProducts[ProductID],tblProducts[UnitPrice])</f>
        <v>3309.4</v>
      </c>
      <c r="M944" s="9">
        <f>tblTransactions[[#This Row],[Quantity]]*tblTransactions[[#This Row],[UnitPrice]]</f>
        <v>3309.4</v>
      </c>
      <c r="N944" s="9">
        <f>tblTransactions[[#This Row],[GrossSales]]*tblTransactions[[#This Row],[Discount]]</f>
        <v>0</v>
      </c>
      <c r="O944" s="9">
        <f>tblTransactions[[#This Row],[GrossSales]]-tblTransactions[[#This Row],[DiscountAmount]]</f>
        <v>3309.4</v>
      </c>
      <c r="P944" s="9">
        <f>_xlfn.XLOOKUP(tblTransactions[[#This Row],[ProductID]],tblProducts[ProductID],tblProducts[UnitCost])</f>
        <v>2744.04</v>
      </c>
      <c r="Q944" s="9">
        <f>tblTransactions[[#This Row],[Quantity]]*tblTransactions[[#This Row],[UnitCost]]</f>
        <v>2744.04</v>
      </c>
      <c r="R944" s="9">
        <f>tblTransactions[[#This Row],[NetRevenue]]-tblTransactions[[#This Row],[TotalCost]]</f>
        <v>565.36000000000013</v>
      </c>
      <c r="S944" t="str">
        <f>_xlfn.XLOOKUP(tblTransactions[[#This Row],[ProductID]],tblProducts[ProductID],tblProducts[Category])</f>
        <v>Personal Care</v>
      </c>
    </row>
    <row r="945" spans="1:19">
      <c r="A945" t="s">
        <v>17262</v>
      </c>
      <c r="B945" s="1">
        <v>45951</v>
      </c>
      <c r="C945" t="s">
        <v>3952</v>
      </c>
      <c r="D945" t="str">
        <f>_xlfn.XLOOKUP(tblTransactions[[#This Row],[CustomerID]],tblCustomers[CustomerID],tblCustomers[CustomerName])</f>
        <v>Radha Kapadia</v>
      </c>
      <c r="E945" t="s">
        <v>16104</v>
      </c>
      <c r="F945" t="str">
        <f>_xlfn.XLOOKUP(tblTransactions[[#This Row],[ProductID]],tblProducts[ProductID],tblProducts[ProductName])</f>
        <v>Kids Jeans B2</v>
      </c>
      <c r="G945" t="s">
        <v>16269</v>
      </c>
      <c r="H945" t="str">
        <f>_xlfn.XLOOKUP(tblTransactions[[#This Row],[StoreID]],tblStores[StoreID],tblStores[Region])</f>
        <v>North</v>
      </c>
      <c r="I945">
        <v>1</v>
      </c>
      <c r="J945">
        <v>0</v>
      </c>
      <c r="K945" t="s">
        <v>16325</v>
      </c>
      <c r="L945" s="9">
        <f>_xlfn.XLOOKUP(tblTransactions[[#This Row],[ProductID]],tblProducts[ProductID],tblProducts[UnitPrice])</f>
        <v>5613.98</v>
      </c>
      <c r="M945" s="9">
        <f>tblTransactions[[#This Row],[Quantity]]*tblTransactions[[#This Row],[UnitPrice]]</f>
        <v>5613.98</v>
      </c>
      <c r="N945" s="9">
        <f>tblTransactions[[#This Row],[GrossSales]]*tblTransactions[[#This Row],[Discount]]</f>
        <v>0</v>
      </c>
      <c r="O945" s="9">
        <f>tblTransactions[[#This Row],[GrossSales]]-tblTransactions[[#This Row],[DiscountAmount]]</f>
        <v>5613.98</v>
      </c>
      <c r="P945" s="9">
        <f>_xlfn.XLOOKUP(tblTransactions[[#This Row],[ProductID]],tblProducts[ProductID],tblProducts[UnitCost])</f>
        <v>3377.41</v>
      </c>
      <c r="Q945" s="9">
        <f>tblTransactions[[#This Row],[Quantity]]*tblTransactions[[#This Row],[UnitCost]]</f>
        <v>3377.41</v>
      </c>
      <c r="R945" s="9">
        <f>tblTransactions[[#This Row],[NetRevenue]]-tblTransactions[[#This Row],[TotalCost]]</f>
        <v>2236.5699999999997</v>
      </c>
      <c r="S945" t="str">
        <f>_xlfn.XLOOKUP(tblTransactions[[#This Row],[ProductID]],tblProducts[ProductID],tblProducts[Category])</f>
        <v>Clothing</v>
      </c>
    </row>
    <row r="946" spans="1:19">
      <c r="A946" t="s">
        <v>17263</v>
      </c>
      <c r="B946" s="1">
        <v>45951</v>
      </c>
      <c r="C946" t="s">
        <v>12085</v>
      </c>
      <c r="D946" t="str">
        <f>_xlfn.XLOOKUP(tblTransactions[[#This Row],[CustomerID]],tblCustomers[CustomerID],tblCustomers[CustomerName])</f>
        <v>Robert Sidhu</v>
      </c>
      <c r="E946" t="s">
        <v>16005</v>
      </c>
      <c r="F946" t="str">
        <f>_xlfn.XLOOKUP(tblTransactions[[#This Row],[ProductID]],tblProducts[ProductID],tblProducts[ProductName])</f>
        <v>Wireless Charger A6</v>
      </c>
      <c r="G946" t="s">
        <v>16297</v>
      </c>
      <c r="H946" t="str">
        <f>_xlfn.XLOOKUP(tblTransactions[[#This Row],[StoreID]],tblStores[StoreID],tblStores[Region])</f>
        <v>North</v>
      </c>
      <c r="I946">
        <v>3</v>
      </c>
      <c r="J946">
        <v>0.05</v>
      </c>
      <c r="K946" t="s">
        <v>16315</v>
      </c>
      <c r="L946" s="9">
        <f>_xlfn.XLOOKUP(tblTransactions[[#This Row],[ProductID]],tblProducts[ProductID],tblProducts[UnitPrice])</f>
        <v>78938.720000000001</v>
      </c>
      <c r="M946" s="9">
        <f>tblTransactions[[#This Row],[Quantity]]*tblTransactions[[#This Row],[UnitPrice]]</f>
        <v>236816.16</v>
      </c>
      <c r="N946" s="9">
        <f>tblTransactions[[#This Row],[GrossSales]]*tblTransactions[[#This Row],[Discount]]</f>
        <v>11840.808000000001</v>
      </c>
      <c r="O946" s="9">
        <f>tblTransactions[[#This Row],[GrossSales]]-tblTransactions[[#This Row],[DiscountAmount]]</f>
        <v>224975.35200000001</v>
      </c>
      <c r="P946" s="9">
        <f>_xlfn.XLOOKUP(tblTransactions[[#This Row],[ProductID]],tblProducts[ProductID],tblProducts[UnitCost])</f>
        <v>53801.63</v>
      </c>
      <c r="Q946" s="9">
        <f>tblTransactions[[#This Row],[Quantity]]*tblTransactions[[#This Row],[UnitCost]]</f>
        <v>161404.88999999998</v>
      </c>
      <c r="R946" s="9">
        <f>tblTransactions[[#This Row],[NetRevenue]]-tblTransactions[[#This Row],[TotalCost]]</f>
        <v>63570.462000000029</v>
      </c>
      <c r="S946" t="str">
        <f>_xlfn.XLOOKUP(tblTransactions[[#This Row],[ProductID]],tblProducts[ProductID],tblProducts[Category])</f>
        <v>Electronics</v>
      </c>
    </row>
    <row r="947" spans="1:19">
      <c r="A947" t="s">
        <v>17264</v>
      </c>
      <c r="B947" s="1">
        <v>45951</v>
      </c>
      <c r="C947" t="s">
        <v>6815</v>
      </c>
      <c r="D947" t="str">
        <f>_xlfn.XLOOKUP(tblTransactions[[#This Row],[CustomerID]],tblCustomers[CustomerID],tblCustomers[CustomerName])</f>
        <v>Yug Jayaraman</v>
      </c>
      <c r="E947" t="s">
        <v>15988</v>
      </c>
      <c r="F947" t="str">
        <f>_xlfn.XLOOKUP(tblTransactions[[#This Row],[ProductID]],tblProducts[ProductID],tblProducts[ProductName])</f>
        <v>Soundbar E5</v>
      </c>
      <c r="G947" t="s">
        <v>16307</v>
      </c>
      <c r="H947" t="str">
        <f>_xlfn.XLOOKUP(tblTransactions[[#This Row],[StoreID]],tblStores[StoreID],tblStores[Region])</f>
        <v>East</v>
      </c>
      <c r="I947">
        <v>2</v>
      </c>
      <c r="J947">
        <v>0.05</v>
      </c>
      <c r="K947" t="s">
        <v>16317</v>
      </c>
      <c r="L947" s="9">
        <f>_xlfn.XLOOKUP(tblTransactions[[#This Row],[ProductID]],tblProducts[ProductID],tblProducts[UnitPrice])</f>
        <v>51647.41</v>
      </c>
      <c r="M947" s="9">
        <f>tblTransactions[[#This Row],[Quantity]]*tblTransactions[[#This Row],[UnitPrice]]</f>
        <v>103294.82</v>
      </c>
      <c r="N947" s="9">
        <f>tblTransactions[[#This Row],[GrossSales]]*tblTransactions[[#This Row],[Discount]]</f>
        <v>5164.7410000000009</v>
      </c>
      <c r="O947" s="9">
        <f>tblTransactions[[#This Row],[GrossSales]]-tblTransactions[[#This Row],[DiscountAmount]]</f>
        <v>98130.079000000012</v>
      </c>
      <c r="P947" s="9">
        <f>_xlfn.XLOOKUP(tblTransactions[[#This Row],[ProductID]],tblProducts[ProductID],tblProducts[UnitCost])</f>
        <v>43564.65</v>
      </c>
      <c r="Q947" s="9">
        <f>tblTransactions[[#This Row],[Quantity]]*tblTransactions[[#This Row],[UnitCost]]</f>
        <v>87129.3</v>
      </c>
      <c r="R947" s="9">
        <f>tblTransactions[[#This Row],[NetRevenue]]-tblTransactions[[#This Row],[TotalCost]]</f>
        <v>11000.77900000001</v>
      </c>
      <c r="S947" t="str">
        <f>_xlfn.XLOOKUP(tblTransactions[[#This Row],[ProductID]],tblProducts[ProductID],tblProducts[Category])</f>
        <v>Electronics</v>
      </c>
    </row>
    <row r="948" spans="1:19">
      <c r="A948" t="s">
        <v>17265</v>
      </c>
      <c r="B948" s="1">
        <v>45953</v>
      </c>
      <c r="C948" t="s">
        <v>1815</v>
      </c>
      <c r="D948" t="str">
        <f>_xlfn.XLOOKUP(tblTransactions[[#This Row],[CustomerID]],tblCustomers[CustomerID],tblCustomers[CustomerName])</f>
        <v>Harshil Munshi</v>
      </c>
      <c r="E948" t="s">
        <v>15977</v>
      </c>
      <c r="F948" t="str">
        <f>_xlfn.XLOOKUP(tblTransactions[[#This Row],[ProductID]],tblProducts[ProductID],tblProducts[ProductName])</f>
        <v>Student Laptop C8</v>
      </c>
      <c r="G948" t="s">
        <v>16271</v>
      </c>
      <c r="H948" t="str">
        <f>_xlfn.XLOOKUP(tblTransactions[[#This Row],[StoreID]],tblStores[StoreID],tblStores[Region])</f>
        <v>South</v>
      </c>
      <c r="I948">
        <v>2</v>
      </c>
      <c r="J948">
        <v>0</v>
      </c>
      <c r="K948" t="s">
        <v>16315</v>
      </c>
      <c r="L948" s="9">
        <f>_xlfn.XLOOKUP(tblTransactions[[#This Row],[ProductID]],tblProducts[ProductID],tblProducts[UnitPrice])</f>
        <v>44917.11</v>
      </c>
      <c r="M948" s="9">
        <f>tblTransactions[[#This Row],[Quantity]]*tblTransactions[[#This Row],[UnitPrice]]</f>
        <v>89834.22</v>
      </c>
      <c r="N948" s="9">
        <f>tblTransactions[[#This Row],[GrossSales]]*tblTransactions[[#This Row],[Discount]]</f>
        <v>0</v>
      </c>
      <c r="O948" s="9">
        <f>tblTransactions[[#This Row],[GrossSales]]-tblTransactions[[#This Row],[DiscountAmount]]</f>
        <v>89834.22</v>
      </c>
      <c r="P948" s="9">
        <f>_xlfn.XLOOKUP(tblTransactions[[#This Row],[ProductID]],tblProducts[ProductID],tblProducts[UnitCost])</f>
        <v>33851.120000000003</v>
      </c>
      <c r="Q948" s="9">
        <f>tblTransactions[[#This Row],[Quantity]]*tblTransactions[[#This Row],[UnitCost]]</f>
        <v>67702.240000000005</v>
      </c>
      <c r="R948" s="9">
        <f>tblTransactions[[#This Row],[NetRevenue]]-tblTransactions[[#This Row],[TotalCost]]</f>
        <v>22131.979999999996</v>
      </c>
      <c r="S948" t="str">
        <f>_xlfn.XLOOKUP(tblTransactions[[#This Row],[ProductID]],tblProducts[ProductID],tblProducts[Category])</f>
        <v>Electronics</v>
      </c>
    </row>
    <row r="949" spans="1:19">
      <c r="A949" t="s">
        <v>17266</v>
      </c>
      <c r="B949" s="1">
        <v>45953</v>
      </c>
      <c r="C949" t="s">
        <v>3469</v>
      </c>
      <c r="D949" t="str">
        <f>_xlfn.XLOOKUP(tblTransactions[[#This Row],[CustomerID]],tblCustomers[CustomerID],tblCustomers[CustomerName])</f>
        <v>Sarthak Sachdeva</v>
      </c>
      <c r="E949" t="s">
        <v>16030</v>
      </c>
      <c r="F949" t="str">
        <f>_xlfn.XLOOKUP(tblTransactions[[#This Row],[ProductID]],tblProducts[ProductID],tblProducts[ProductName])</f>
        <v>Study Table C3</v>
      </c>
      <c r="G949" t="s">
        <v>16259</v>
      </c>
      <c r="H949" t="str">
        <f>_xlfn.XLOOKUP(tblTransactions[[#This Row],[StoreID]],tblStores[StoreID],tblStores[Region])</f>
        <v>East</v>
      </c>
      <c r="I949">
        <v>1</v>
      </c>
      <c r="J949">
        <v>0.05</v>
      </c>
      <c r="K949" t="s">
        <v>16317</v>
      </c>
      <c r="L949" s="9">
        <f>_xlfn.XLOOKUP(tblTransactions[[#This Row],[ProductID]],tblProducts[ProductID],tblProducts[UnitPrice])</f>
        <v>29675.72</v>
      </c>
      <c r="M949" s="9">
        <f>tblTransactions[[#This Row],[Quantity]]*tblTransactions[[#This Row],[UnitPrice]]</f>
        <v>29675.72</v>
      </c>
      <c r="N949" s="9">
        <f>tblTransactions[[#This Row],[GrossSales]]*tblTransactions[[#This Row],[Discount]]</f>
        <v>1483.7860000000001</v>
      </c>
      <c r="O949" s="9">
        <f>tblTransactions[[#This Row],[GrossSales]]-tblTransactions[[#This Row],[DiscountAmount]]</f>
        <v>28191.934000000001</v>
      </c>
      <c r="P949" s="9">
        <f>_xlfn.XLOOKUP(tblTransactions[[#This Row],[ProductID]],tblProducts[ProductID],tblProducts[UnitCost])</f>
        <v>17695.330000000002</v>
      </c>
      <c r="Q949" s="9">
        <f>tblTransactions[[#This Row],[Quantity]]*tblTransactions[[#This Row],[UnitCost]]</f>
        <v>17695.330000000002</v>
      </c>
      <c r="R949" s="9">
        <f>tblTransactions[[#This Row],[NetRevenue]]-tblTransactions[[#This Row],[TotalCost]]</f>
        <v>10496.603999999999</v>
      </c>
      <c r="S949" t="str">
        <f>_xlfn.XLOOKUP(tblTransactions[[#This Row],[ProductID]],tblProducts[ProductID],tblProducts[Category])</f>
        <v>Home &amp; Kitchen</v>
      </c>
    </row>
    <row r="950" spans="1:19">
      <c r="A950" t="s">
        <v>17267</v>
      </c>
      <c r="B950" s="1">
        <v>45956</v>
      </c>
      <c r="C950" t="s">
        <v>10798</v>
      </c>
      <c r="D950" t="str">
        <f>_xlfn.XLOOKUP(tblTransactions[[#This Row],[CustomerID]],tblCustomers[CustomerID],tblCustomers[CustomerName])</f>
        <v>Eshana Dhar</v>
      </c>
      <c r="E950" t="s">
        <v>16208</v>
      </c>
      <c r="F950" t="str">
        <f>_xlfn.XLOOKUP(tblTransactions[[#This Row],[ProductID]],tblProducts[ProductID],tblProducts[ProductName])</f>
        <v>Shampoo A1</v>
      </c>
      <c r="G950" t="s">
        <v>16287</v>
      </c>
      <c r="H950" t="str">
        <f>_xlfn.XLOOKUP(tblTransactions[[#This Row],[StoreID]],tblStores[StoreID],tblStores[Region])</f>
        <v>North</v>
      </c>
      <c r="I950">
        <v>2</v>
      </c>
      <c r="J950">
        <v>0</v>
      </c>
      <c r="K950" t="s">
        <v>16315</v>
      </c>
      <c r="L950" s="9">
        <f>_xlfn.XLOOKUP(tblTransactions[[#This Row],[ProductID]],tblProducts[ProductID],tblProducts[UnitPrice])</f>
        <v>3317.98</v>
      </c>
      <c r="M950" s="9">
        <f>tblTransactions[[#This Row],[Quantity]]*tblTransactions[[#This Row],[UnitPrice]]</f>
        <v>6635.96</v>
      </c>
      <c r="N950" s="9">
        <f>tblTransactions[[#This Row],[GrossSales]]*tblTransactions[[#This Row],[Discount]]</f>
        <v>0</v>
      </c>
      <c r="O950" s="9">
        <f>tblTransactions[[#This Row],[GrossSales]]-tblTransactions[[#This Row],[DiscountAmount]]</f>
        <v>6635.96</v>
      </c>
      <c r="P950" s="9">
        <f>_xlfn.XLOOKUP(tblTransactions[[#This Row],[ProductID]],tblProducts[ProductID],tblProducts[UnitCost])</f>
        <v>2151.56</v>
      </c>
      <c r="Q950" s="9">
        <f>tblTransactions[[#This Row],[Quantity]]*tblTransactions[[#This Row],[UnitCost]]</f>
        <v>4303.12</v>
      </c>
      <c r="R950" s="9">
        <f>tblTransactions[[#This Row],[NetRevenue]]-tblTransactions[[#This Row],[TotalCost]]</f>
        <v>2332.84</v>
      </c>
      <c r="S950" t="str">
        <f>_xlfn.XLOOKUP(tblTransactions[[#This Row],[ProductID]],tblProducts[ProductID],tblProducts[Category])</f>
        <v>Personal Care</v>
      </c>
    </row>
    <row r="951" spans="1:19">
      <c r="A951" t="s">
        <v>17268</v>
      </c>
      <c r="B951" s="1">
        <v>45957</v>
      </c>
      <c r="C951" t="s">
        <v>1548</v>
      </c>
      <c r="D951" t="str">
        <f>_xlfn.XLOOKUP(tblTransactions[[#This Row],[CustomerID]],tblCustomers[CustomerID],tblCustomers[CustomerName])</f>
        <v>Faqid Oak</v>
      </c>
      <c r="E951" t="s">
        <v>16003</v>
      </c>
      <c r="F951" t="str">
        <f>_xlfn.XLOOKUP(tblTransactions[[#This Row],[ProductID]],tblProducts[ProductID],tblProducts[ProductName])</f>
        <v>Wireless Charger E5</v>
      </c>
      <c r="G951" t="s">
        <v>16275</v>
      </c>
      <c r="H951" t="str">
        <f>_xlfn.XLOOKUP(tblTransactions[[#This Row],[StoreID]],tblStores[StoreID],tblStores[Region])</f>
        <v>South</v>
      </c>
      <c r="I951">
        <v>1</v>
      </c>
      <c r="J951">
        <v>0</v>
      </c>
      <c r="K951" t="s">
        <v>16325</v>
      </c>
      <c r="L951" s="9">
        <f>_xlfn.XLOOKUP(tblTransactions[[#This Row],[ProductID]],tblProducts[ProductID],tblProducts[UnitPrice])</f>
        <v>74177.87</v>
      </c>
      <c r="M951" s="9">
        <f>tblTransactions[[#This Row],[Quantity]]*tblTransactions[[#This Row],[UnitPrice]]</f>
        <v>74177.87</v>
      </c>
      <c r="N951" s="9">
        <f>tblTransactions[[#This Row],[GrossSales]]*tblTransactions[[#This Row],[Discount]]</f>
        <v>0</v>
      </c>
      <c r="O951" s="9">
        <f>tblTransactions[[#This Row],[GrossSales]]-tblTransactions[[#This Row],[DiscountAmount]]</f>
        <v>74177.87</v>
      </c>
      <c r="P951" s="9">
        <f>_xlfn.XLOOKUP(tblTransactions[[#This Row],[ProductID]],tblProducts[ProductID],tblProducts[UnitCost])</f>
        <v>46554.33</v>
      </c>
      <c r="Q951" s="9">
        <f>tblTransactions[[#This Row],[Quantity]]*tblTransactions[[#This Row],[UnitCost]]</f>
        <v>46554.33</v>
      </c>
      <c r="R951" s="9">
        <f>tblTransactions[[#This Row],[NetRevenue]]-tblTransactions[[#This Row],[TotalCost]]</f>
        <v>27623.539999999994</v>
      </c>
      <c r="S951" t="str">
        <f>_xlfn.XLOOKUP(tblTransactions[[#This Row],[ProductID]],tblProducts[ProductID],tblProducts[Category])</f>
        <v>Electronics</v>
      </c>
    </row>
    <row r="952" spans="1:19">
      <c r="A952" t="s">
        <v>17269</v>
      </c>
      <c r="B952" s="1">
        <v>45958</v>
      </c>
      <c r="C952" t="s">
        <v>9569</v>
      </c>
      <c r="D952" t="str">
        <f>_xlfn.XLOOKUP(tblTransactions[[#This Row],[CustomerID]],tblCustomers[CustomerID],tblCustomers[CustomerName])</f>
        <v>Gaurika Sharma</v>
      </c>
      <c r="E952" t="s">
        <v>16169</v>
      </c>
      <c r="F952" t="str">
        <f>_xlfn.XLOOKUP(tblTransactions[[#This Row],[ProductID]],tblProducts[ProductID],tblProducts[ProductName])</f>
        <v>Coffee D4</v>
      </c>
      <c r="G952" t="s">
        <v>16299</v>
      </c>
      <c r="H952" t="str">
        <f>_xlfn.XLOOKUP(tblTransactions[[#This Row],[StoreID]],tblStores[StoreID],tblStores[Region])</f>
        <v>South</v>
      </c>
      <c r="I952">
        <v>1</v>
      </c>
      <c r="J952">
        <v>0</v>
      </c>
      <c r="K952" t="s">
        <v>16317</v>
      </c>
      <c r="L952" s="9">
        <f>_xlfn.XLOOKUP(tblTransactions[[#This Row],[ProductID]],tblProducts[ProductID],tblProducts[UnitPrice])</f>
        <v>985.76</v>
      </c>
      <c r="M952" s="9">
        <f>tblTransactions[[#This Row],[Quantity]]*tblTransactions[[#This Row],[UnitPrice]]</f>
        <v>985.76</v>
      </c>
      <c r="N952" s="9">
        <f>tblTransactions[[#This Row],[GrossSales]]*tblTransactions[[#This Row],[Discount]]</f>
        <v>0</v>
      </c>
      <c r="O952" s="9">
        <f>tblTransactions[[#This Row],[GrossSales]]-tblTransactions[[#This Row],[DiscountAmount]]</f>
        <v>985.76</v>
      </c>
      <c r="P952" s="9">
        <f>_xlfn.XLOOKUP(tblTransactions[[#This Row],[ProductID]],tblProducts[ProductID],tblProducts[UnitCost])</f>
        <v>669.86</v>
      </c>
      <c r="Q952" s="9">
        <f>tblTransactions[[#This Row],[Quantity]]*tblTransactions[[#This Row],[UnitCost]]</f>
        <v>669.86</v>
      </c>
      <c r="R952" s="9">
        <f>tblTransactions[[#This Row],[NetRevenue]]-tblTransactions[[#This Row],[TotalCost]]</f>
        <v>315.89999999999998</v>
      </c>
      <c r="S952" t="str">
        <f>_xlfn.XLOOKUP(tblTransactions[[#This Row],[ProductID]],tblProducts[ProductID],tblProducts[Category])</f>
        <v>Grocery</v>
      </c>
    </row>
    <row r="953" spans="1:19">
      <c r="A953" t="s">
        <v>17270</v>
      </c>
      <c r="B953" s="1">
        <v>45959</v>
      </c>
      <c r="C953" t="s">
        <v>10659</v>
      </c>
      <c r="D953" t="str">
        <f>_xlfn.XLOOKUP(tblTransactions[[#This Row],[CustomerID]],tblCustomers[CustomerID],tblCustomers[CustomerName])</f>
        <v>Atharv Suri</v>
      </c>
      <c r="E953" t="s">
        <v>16234</v>
      </c>
      <c r="F953" t="str">
        <f>_xlfn.XLOOKUP(tblTransactions[[#This Row],[ProductID]],tblProducts[ProductID],tblProducts[ProductName])</f>
        <v>Body Lotion A6</v>
      </c>
      <c r="G953" t="s">
        <v>16267</v>
      </c>
      <c r="H953" t="str">
        <f>_xlfn.XLOOKUP(tblTransactions[[#This Row],[StoreID]],tblStores[StoreID],tblStores[Region])</f>
        <v>West</v>
      </c>
      <c r="I953">
        <v>2</v>
      </c>
      <c r="J953">
        <v>0.05</v>
      </c>
      <c r="K953" t="s">
        <v>16319</v>
      </c>
      <c r="L953" s="9">
        <f>_xlfn.XLOOKUP(tblTransactions[[#This Row],[ProductID]],tblProducts[ProductID],tblProducts[UnitPrice])</f>
        <v>773.2</v>
      </c>
      <c r="M953" s="9">
        <f>tblTransactions[[#This Row],[Quantity]]*tblTransactions[[#This Row],[UnitPrice]]</f>
        <v>1546.4</v>
      </c>
      <c r="N953" s="9">
        <f>tblTransactions[[#This Row],[GrossSales]]*tblTransactions[[#This Row],[Discount]]</f>
        <v>77.320000000000007</v>
      </c>
      <c r="O953" s="9">
        <f>tblTransactions[[#This Row],[GrossSales]]-tblTransactions[[#This Row],[DiscountAmount]]</f>
        <v>1469.0800000000002</v>
      </c>
      <c r="P953" s="9">
        <f>_xlfn.XLOOKUP(tblTransactions[[#This Row],[ProductID]],tblProducts[ProductID],tblProducts[UnitCost])</f>
        <v>547.09</v>
      </c>
      <c r="Q953" s="9">
        <f>tblTransactions[[#This Row],[Quantity]]*tblTransactions[[#This Row],[UnitCost]]</f>
        <v>1094.18</v>
      </c>
      <c r="R953" s="9">
        <f>tblTransactions[[#This Row],[NetRevenue]]-tblTransactions[[#This Row],[TotalCost]]</f>
        <v>374.90000000000009</v>
      </c>
      <c r="S953" t="str">
        <f>_xlfn.XLOOKUP(tblTransactions[[#This Row],[ProductID]],tblProducts[ProductID],tblProducts[Category])</f>
        <v>Personal Care</v>
      </c>
    </row>
    <row r="954" spans="1:19">
      <c r="A954" t="s">
        <v>17271</v>
      </c>
      <c r="B954" s="1">
        <v>45961</v>
      </c>
      <c r="C954" t="s">
        <v>3936</v>
      </c>
      <c r="D954" t="str">
        <f>_xlfn.XLOOKUP(tblTransactions[[#This Row],[CustomerID]],tblCustomers[CustomerID],tblCustomers[CustomerName])</f>
        <v>Indrajit Shroff</v>
      </c>
      <c r="E954" t="s">
        <v>16208</v>
      </c>
      <c r="F954" t="str">
        <f>_xlfn.XLOOKUP(tblTransactions[[#This Row],[ProductID]],tblProducts[ProductID],tblProducts[ProductName])</f>
        <v>Shampoo A1</v>
      </c>
      <c r="G954" t="s">
        <v>16291</v>
      </c>
      <c r="H954" t="str">
        <f>_xlfn.XLOOKUP(tblTransactions[[#This Row],[StoreID]],tblStores[StoreID],tblStores[Region])</f>
        <v>South</v>
      </c>
      <c r="I954">
        <v>3</v>
      </c>
      <c r="J954">
        <v>0</v>
      </c>
      <c r="K954" t="s">
        <v>16325</v>
      </c>
      <c r="L954" s="9">
        <f>_xlfn.XLOOKUP(tblTransactions[[#This Row],[ProductID]],tblProducts[ProductID],tblProducts[UnitPrice])</f>
        <v>3317.98</v>
      </c>
      <c r="M954" s="9">
        <f>tblTransactions[[#This Row],[Quantity]]*tblTransactions[[#This Row],[UnitPrice]]</f>
        <v>9953.94</v>
      </c>
      <c r="N954" s="9">
        <f>tblTransactions[[#This Row],[GrossSales]]*tblTransactions[[#This Row],[Discount]]</f>
        <v>0</v>
      </c>
      <c r="O954" s="9">
        <f>tblTransactions[[#This Row],[GrossSales]]-tblTransactions[[#This Row],[DiscountAmount]]</f>
        <v>9953.94</v>
      </c>
      <c r="P954" s="9">
        <f>_xlfn.XLOOKUP(tblTransactions[[#This Row],[ProductID]],tblProducts[ProductID],tblProducts[UnitCost])</f>
        <v>2151.56</v>
      </c>
      <c r="Q954" s="9">
        <f>tblTransactions[[#This Row],[Quantity]]*tblTransactions[[#This Row],[UnitCost]]</f>
        <v>6454.68</v>
      </c>
      <c r="R954" s="9">
        <f>tblTransactions[[#This Row],[NetRevenue]]-tblTransactions[[#This Row],[TotalCost]]</f>
        <v>3499.26</v>
      </c>
      <c r="S954" t="str">
        <f>_xlfn.XLOOKUP(tblTransactions[[#This Row],[ProductID]],tblProducts[ProductID],tblProducts[Category])</f>
        <v>Personal Care</v>
      </c>
    </row>
    <row r="955" spans="1:19">
      <c r="A955" t="s">
        <v>17272</v>
      </c>
      <c r="B955" s="1">
        <v>45961</v>
      </c>
      <c r="C955" t="s">
        <v>9937</v>
      </c>
      <c r="D955" t="str">
        <f>_xlfn.XLOOKUP(tblTransactions[[#This Row],[CustomerID]],tblCustomers[CustomerID],tblCustomers[CustomerName])</f>
        <v>Hredhaan Om</v>
      </c>
      <c r="E955" t="s">
        <v>16028</v>
      </c>
      <c r="F955" t="str">
        <f>_xlfn.XLOOKUP(tblTransactions[[#This Row],[ProductID]],tblProducts[ProductID],tblProducts[ProductName])</f>
        <v>Bookshelf B2</v>
      </c>
      <c r="G955" t="s">
        <v>16275</v>
      </c>
      <c r="H955" t="str">
        <f>_xlfn.XLOOKUP(tblTransactions[[#This Row],[StoreID]],tblStores[StoreID],tblStores[Region])</f>
        <v>South</v>
      </c>
      <c r="I955">
        <v>2</v>
      </c>
      <c r="J955">
        <v>0</v>
      </c>
      <c r="K955" t="s">
        <v>16319</v>
      </c>
      <c r="L955" s="9">
        <f>_xlfn.XLOOKUP(tblTransactions[[#This Row],[ProductID]],tblProducts[ProductID],tblProducts[UnitPrice])</f>
        <v>11987.07</v>
      </c>
      <c r="M955" s="9">
        <f>tblTransactions[[#This Row],[Quantity]]*tblTransactions[[#This Row],[UnitPrice]]</f>
        <v>23974.14</v>
      </c>
      <c r="N955" s="9">
        <f>tblTransactions[[#This Row],[GrossSales]]*tblTransactions[[#This Row],[Discount]]</f>
        <v>0</v>
      </c>
      <c r="O955" s="9">
        <f>tblTransactions[[#This Row],[GrossSales]]-tblTransactions[[#This Row],[DiscountAmount]]</f>
        <v>23974.14</v>
      </c>
      <c r="P955" s="9">
        <f>_xlfn.XLOOKUP(tblTransactions[[#This Row],[ProductID]],tblProducts[ProductID],tblProducts[UnitCost])</f>
        <v>8332.57</v>
      </c>
      <c r="Q955" s="9">
        <f>tblTransactions[[#This Row],[Quantity]]*tblTransactions[[#This Row],[UnitCost]]</f>
        <v>16665.14</v>
      </c>
      <c r="R955" s="9">
        <f>tblTransactions[[#This Row],[NetRevenue]]-tblTransactions[[#This Row],[TotalCost]]</f>
        <v>7309</v>
      </c>
      <c r="S955" t="str">
        <f>_xlfn.XLOOKUP(tblTransactions[[#This Row],[ProductID]],tblProducts[ProductID],tblProducts[Category])</f>
        <v>Home &amp; Kitchen</v>
      </c>
    </row>
    <row r="956" spans="1:19">
      <c r="A956" t="s">
        <v>17273</v>
      </c>
      <c r="B956" s="1">
        <v>45962</v>
      </c>
      <c r="C956" t="s">
        <v>1859</v>
      </c>
      <c r="D956" t="str">
        <f>_xlfn.XLOOKUP(tblTransactions[[#This Row],[CustomerID]],tblCustomers[CustomerID],tblCustomers[CustomerName])</f>
        <v>Yachana Sagar</v>
      </c>
      <c r="E956" t="s">
        <v>15988</v>
      </c>
      <c r="F956" t="str">
        <f>_xlfn.XLOOKUP(tblTransactions[[#This Row],[ProductID]],tblProducts[ProductID],tblProducts[ProductName])</f>
        <v>Soundbar E5</v>
      </c>
      <c r="G956" t="s">
        <v>16285</v>
      </c>
      <c r="H956" t="str">
        <f>_xlfn.XLOOKUP(tblTransactions[[#This Row],[StoreID]],tblStores[StoreID],tblStores[Region])</f>
        <v>West</v>
      </c>
      <c r="I956">
        <v>5</v>
      </c>
      <c r="J956">
        <v>0.05</v>
      </c>
      <c r="K956" t="s">
        <v>16315</v>
      </c>
      <c r="L956" s="9">
        <f>_xlfn.XLOOKUP(tblTransactions[[#This Row],[ProductID]],tblProducts[ProductID],tblProducts[UnitPrice])</f>
        <v>51647.41</v>
      </c>
      <c r="M956" s="9">
        <f>tblTransactions[[#This Row],[Quantity]]*tblTransactions[[#This Row],[UnitPrice]]</f>
        <v>258237.05000000002</v>
      </c>
      <c r="N956" s="9">
        <f>tblTransactions[[#This Row],[GrossSales]]*tblTransactions[[#This Row],[Discount]]</f>
        <v>12911.852500000001</v>
      </c>
      <c r="O956" s="9">
        <f>tblTransactions[[#This Row],[GrossSales]]-tblTransactions[[#This Row],[DiscountAmount]]</f>
        <v>245325.19750000001</v>
      </c>
      <c r="P956" s="9">
        <f>_xlfn.XLOOKUP(tblTransactions[[#This Row],[ProductID]],tblProducts[ProductID],tblProducts[UnitCost])</f>
        <v>43564.65</v>
      </c>
      <c r="Q956" s="9">
        <f>tblTransactions[[#This Row],[Quantity]]*tblTransactions[[#This Row],[UnitCost]]</f>
        <v>217823.25</v>
      </c>
      <c r="R956" s="9">
        <f>tblTransactions[[#This Row],[NetRevenue]]-tblTransactions[[#This Row],[TotalCost]]</f>
        <v>27501.947500000009</v>
      </c>
      <c r="S956" t="str">
        <f>_xlfn.XLOOKUP(tblTransactions[[#This Row],[ProductID]],tblProducts[ProductID],tblProducts[Category])</f>
        <v>Electronics</v>
      </c>
    </row>
    <row r="957" spans="1:19">
      <c r="A957" t="s">
        <v>17274</v>
      </c>
      <c r="B957" s="1">
        <v>45962</v>
      </c>
      <c r="C957" t="s">
        <v>1841</v>
      </c>
      <c r="D957" t="str">
        <f>_xlfn.XLOOKUP(tblTransactions[[#This Row],[CustomerID]],tblCustomers[CustomerID],tblCustomers[CustomerName])</f>
        <v>Wriddhish Talwar</v>
      </c>
      <c r="E957" t="s">
        <v>16129</v>
      </c>
      <c r="F957" t="str">
        <f>_xlfn.XLOOKUP(tblTransactions[[#This Row],[ProductID]],tblProducts[ProductID],tblProducts[ProductName])</f>
        <v>Running Shoes B7</v>
      </c>
      <c r="G957" t="s">
        <v>16262</v>
      </c>
      <c r="H957" t="str">
        <f>_xlfn.XLOOKUP(tblTransactions[[#This Row],[StoreID]],tblStores[StoreID],tblStores[Region])</f>
        <v>North</v>
      </c>
      <c r="I957">
        <v>1</v>
      </c>
      <c r="J957">
        <v>0</v>
      </c>
      <c r="K957" t="s">
        <v>16317</v>
      </c>
      <c r="L957" s="9">
        <f>_xlfn.XLOOKUP(tblTransactions[[#This Row],[ProductID]],tblProducts[ProductID],tblProducts[UnitPrice])</f>
        <v>7178.77</v>
      </c>
      <c r="M957" s="9">
        <f>tblTransactions[[#This Row],[Quantity]]*tblTransactions[[#This Row],[UnitPrice]]</f>
        <v>7178.77</v>
      </c>
      <c r="N957" s="9">
        <f>tblTransactions[[#This Row],[GrossSales]]*tblTransactions[[#This Row],[Discount]]</f>
        <v>0</v>
      </c>
      <c r="O957" s="9">
        <f>tblTransactions[[#This Row],[GrossSales]]-tblTransactions[[#This Row],[DiscountAmount]]</f>
        <v>7178.77</v>
      </c>
      <c r="P957" s="9">
        <f>_xlfn.XLOOKUP(tblTransactions[[#This Row],[ProductID]],tblProducts[ProductID],tblProducts[UnitCost])</f>
        <v>4813.8</v>
      </c>
      <c r="Q957" s="9">
        <f>tblTransactions[[#This Row],[Quantity]]*tblTransactions[[#This Row],[UnitCost]]</f>
        <v>4813.8</v>
      </c>
      <c r="R957" s="9">
        <f>tblTransactions[[#This Row],[NetRevenue]]-tblTransactions[[#This Row],[TotalCost]]</f>
        <v>2364.9700000000003</v>
      </c>
      <c r="S957" t="str">
        <f>_xlfn.XLOOKUP(tblTransactions[[#This Row],[ProductID]],tblProducts[ProductID],tblProducts[Category])</f>
        <v>Clothing</v>
      </c>
    </row>
    <row r="958" spans="1:19">
      <c r="A958" t="s">
        <v>17275</v>
      </c>
      <c r="B958" s="1">
        <v>45962</v>
      </c>
      <c r="C958" t="s">
        <v>14250</v>
      </c>
      <c r="D958" t="str">
        <f>_xlfn.XLOOKUP(tblTransactions[[#This Row],[CustomerID]],tblCustomers[CustomerID],tblCustomers[CustomerName])</f>
        <v>Yauvani Seth</v>
      </c>
      <c r="E958" t="s">
        <v>16093</v>
      </c>
      <c r="F958" t="str">
        <f>_xlfn.XLOOKUP(tblTransactions[[#This Row],[ProductID]],tblProducts[ProductID],tblProducts[ProductName])</f>
        <v>Women's Jeans D4</v>
      </c>
      <c r="G958" t="s">
        <v>16269</v>
      </c>
      <c r="H958" t="str">
        <f>_xlfn.XLOOKUP(tblTransactions[[#This Row],[StoreID]],tblStores[StoreID],tblStores[Region])</f>
        <v>North</v>
      </c>
      <c r="I958">
        <v>3</v>
      </c>
      <c r="J958">
        <v>0</v>
      </c>
      <c r="K958" t="s">
        <v>16315</v>
      </c>
      <c r="L958" s="9">
        <f>_xlfn.XLOOKUP(tblTransactions[[#This Row],[ProductID]],tblProducts[ProductID],tblProducts[UnitPrice])</f>
        <v>6178.38</v>
      </c>
      <c r="M958" s="9">
        <f>tblTransactions[[#This Row],[Quantity]]*tblTransactions[[#This Row],[UnitPrice]]</f>
        <v>18535.14</v>
      </c>
      <c r="N958" s="9">
        <f>tblTransactions[[#This Row],[GrossSales]]*tblTransactions[[#This Row],[Discount]]</f>
        <v>0</v>
      </c>
      <c r="O958" s="9">
        <f>tblTransactions[[#This Row],[GrossSales]]-tblTransactions[[#This Row],[DiscountAmount]]</f>
        <v>18535.14</v>
      </c>
      <c r="P958" s="9">
        <f>_xlfn.XLOOKUP(tblTransactions[[#This Row],[ProductID]],tblProducts[ProductID],tblProducts[UnitCost])</f>
        <v>4740.8599999999997</v>
      </c>
      <c r="Q958" s="9">
        <f>tblTransactions[[#This Row],[Quantity]]*tblTransactions[[#This Row],[UnitCost]]</f>
        <v>14222.579999999998</v>
      </c>
      <c r="R958" s="9">
        <f>tblTransactions[[#This Row],[NetRevenue]]-tblTransactions[[#This Row],[TotalCost]]</f>
        <v>4312.5600000000013</v>
      </c>
      <c r="S958" t="str">
        <f>_xlfn.XLOOKUP(tblTransactions[[#This Row],[ProductID]],tblProducts[ProductID],tblProducts[Category])</f>
        <v>Clothing</v>
      </c>
    </row>
    <row r="959" spans="1:19">
      <c r="A959" t="s">
        <v>17276</v>
      </c>
      <c r="B959" s="1">
        <v>45963</v>
      </c>
      <c r="C959" t="s">
        <v>7958</v>
      </c>
      <c r="D959" t="str">
        <f>_xlfn.XLOOKUP(tblTransactions[[#This Row],[CustomerID]],tblCustomers[CustomerID],tblCustomers[CustomerName])</f>
        <v>Tanmayi Acharya</v>
      </c>
      <c r="E959" t="s">
        <v>16165</v>
      </c>
      <c r="F959" t="str">
        <f>_xlfn.XLOOKUP(tblTransactions[[#This Row],[ProductID]],tblProducts[ProductID],tblProducts[ProductName])</f>
        <v>Juice B2</v>
      </c>
      <c r="G959" t="s">
        <v>16267</v>
      </c>
      <c r="H959" t="str">
        <f>_xlfn.XLOOKUP(tblTransactions[[#This Row],[StoreID]],tblStores[StoreID],tblStores[Region])</f>
        <v>West</v>
      </c>
      <c r="I959">
        <v>1</v>
      </c>
      <c r="J959">
        <v>0</v>
      </c>
      <c r="K959" t="s">
        <v>16325</v>
      </c>
      <c r="L959" s="9">
        <f>_xlfn.XLOOKUP(tblTransactions[[#This Row],[ProductID]],tblProducts[ProductID],tblProducts[UnitPrice])</f>
        <v>1053.9000000000001</v>
      </c>
      <c r="M959" s="9">
        <f>tblTransactions[[#This Row],[Quantity]]*tblTransactions[[#This Row],[UnitPrice]]</f>
        <v>1053.9000000000001</v>
      </c>
      <c r="N959" s="9">
        <f>tblTransactions[[#This Row],[GrossSales]]*tblTransactions[[#This Row],[Discount]]</f>
        <v>0</v>
      </c>
      <c r="O959" s="9">
        <f>tblTransactions[[#This Row],[GrossSales]]-tblTransactions[[#This Row],[DiscountAmount]]</f>
        <v>1053.9000000000001</v>
      </c>
      <c r="P959" s="9">
        <f>_xlfn.XLOOKUP(tblTransactions[[#This Row],[ProductID]],tblProducts[ProductID],tblProducts[UnitCost])</f>
        <v>710.59</v>
      </c>
      <c r="Q959" s="9">
        <f>tblTransactions[[#This Row],[Quantity]]*tblTransactions[[#This Row],[UnitCost]]</f>
        <v>710.59</v>
      </c>
      <c r="R959" s="9">
        <f>tblTransactions[[#This Row],[NetRevenue]]-tblTransactions[[#This Row],[TotalCost]]</f>
        <v>343.31000000000006</v>
      </c>
      <c r="S959" t="str">
        <f>_xlfn.XLOOKUP(tblTransactions[[#This Row],[ProductID]],tblProducts[ProductID],tblProducts[Category])</f>
        <v>Grocery</v>
      </c>
    </row>
    <row r="960" spans="1:19">
      <c r="A960" t="s">
        <v>17277</v>
      </c>
      <c r="B960" s="1">
        <v>45964</v>
      </c>
      <c r="C960" t="s">
        <v>12960</v>
      </c>
      <c r="D960" t="str">
        <f>_xlfn.XLOOKUP(tblTransactions[[#This Row],[CustomerID]],tblCustomers[CustomerID],tblCustomers[CustomerName])</f>
        <v>Harrison Vala</v>
      </c>
      <c r="E960" t="s">
        <v>16211</v>
      </c>
      <c r="F960" t="str">
        <f>_xlfn.XLOOKUP(tblTransactions[[#This Row],[ProductID]],tblProducts[ProductID],tblProducts[ProductName])</f>
        <v>Hair Serum B2</v>
      </c>
      <c r="G960" t="s">
        <v>16265</v>
      </c>
      <c r="H960" t="str">
        <f>_xlfn.XLOOKUP(tblTransactions[[#This Row],[StoreID]],tblStores[StoreID],tblStores[Region])</f>
        <v>North</v>
      </c>
      <c r="I960">
        <v>2</v>
      </c>
      <c r="J960">
        <v>0</v>
      </c>
      <c r="K960" t="s">
        <v>16315</v>
      </c>
      <c r="L960" s="9">
        <f>_xlfn.XLOOKUP(tblTransactions[[#This Row],[ProductID]],tblProducts[ProductID],tblProducts[UnitPrice])</f>
        <v>4780.68</v>
      </c>
      <c r="M960" s="9">
        <f>tblTransactions[[#This Row],[Quantity]]*tblTransactions[[#This Row],[UnitPrice]]</f>
        <v>9561.36</v>
      </c>
      <c r="N960" s="9">
        <f>tblTransactions[[#This Row],[GrossSales]]*tblTransactions[[#This Row],[Discount]]</f>
        <v>0</v>
      </c>
      <c r="O960" s="9">
        <f>tblTransactions[[#This Row],[GrossSales]]-tblTransactions[[#This Row],[DiscountAmount]]</f>
        <v>9561.36</v>
      </c>
      <c r="P960" s="9">
        <f>_xlfn.XLOOKUP(tblTransactions[[#This Row],[ProductID]],tblProducts[ProductID],tblProducts[UnitCost])</f>
        <v>3940.05</v>
      </c>
      <c r="Q960" s="9">
        <f>tblTransactions[[#This Row],[Quantity]]*tblTransactions[[#This Row],[UnitCost]]</f>
        <v>7880.1</v>
      </c>
      <c r="R960" s="9">
        <f>tblTransactions[[#This Row],[NetRevenue]]-tblTransactions[[#This Row],[TotalCost]]</f>
        <v>1681.2600000000002</v>
      </c>
      <c r="S960" t="str">
        <f>_xlfn.XLOOKUP(tblTransactions[[#This Row],[ProductID]],tblProducts[ProductID],tblProducts[Category])</f>
        <v>Personal Care</v>
      </c>
    </row>
    <row r="961" spans="1:19">
      <c r="A961" t="s">
        <v>17278</v>
      </c>
      <c r="B961" s="1">
        <v>45965</v>
      </c>
      <c r="C961" t="s">
        <v>14722</v>
      </c>
      <c r="D961" t="str">
        <f>_xlfn.XLOOKUP(tblTransactions[[#This Row],[CustomerID]],tblCustomers[CustomerID],tblCustomers[CustomerName])</f>
        <v>Oliver Prabhakar</v>
      </c>
      <c r="E961" t="s">
        <v>16175</v>
      </c>
      <c r="F961" t="str">
        <f>_xlfn.XLOOKUP(tblTransactions[[#This Row],[ProductID]],tblProducts[ProductID],tblProducts[ProductName])</f>
        <v>Soft Drink B7</v>
      </c>
      <c r="G961" t="s">
        <v>16293</v>
      </c>
      <c r="H961" t="str">
        <f>_xlfn.XLOOKUP(tblTransactions[[#This Row],[StoreID]],tblStores[StoreID],tblStores[Region])</f>
        <v>South</v>
      </c>
      <c r="I961">
        <v>1</v>
      </c>
      <c r="J961">
        <v>0.05</v>
      </c>
      <c r="K961" t="s">
        <v>16317</v>
      </c>
      <c r="L961" s="9">
        <f>_xlfn.XLOOKUP(tblTransactions[[#This Row],[ProductID]],tblProducts[ProductID],tblProducts[UnitPrice])</f>
        <v>343.15</v>
      </c>
      <c r="M961" s="9">
        <f>tblTransactions[[#This Row],[Quantity]]*tblTransactions[[#This Row],[UnitPrice]]</f>
        <v>343.15</v>
      </c>
      <c r="N961" s="9">
        <f>tblTransactions[[#This Row],[GrossSales]]*tblTransactions[[#This Row],[Discount]]</f>
        <v>17.157499999999999</v>
      </c>
      <c r="O961" s="9">
        <f>tblTransactions[[#This Row],[GrossSales]]-tblTransactions[[#This Row],[DiscountAmount]]</f>
        <v>325.99249999999995</v>
      </c>
      <c r="P961" s="9">
        <f>_xlfn.XLOOKUP(tblTransactions[[#This Row],[ProductID]],tblProducts[ProductID],tblProducts[UnitCost])</f>
        <v>192.59</v>
      </c>
      <c r="Q961" s="9">
        <f>tblTransactions[[#This Row],[Quantity]]*tblTransactions[[#This Row],[UnitCost]]</f>
        <v>192.59</v>
      </c>
      <c r="R961" s="9">
        <f>tblTransactions[[#This Row],[NetRevenue]]-tblTransactions[[#This Row],[TotalCost]]</f>
        <v>133.40249999999995</v>
      </c>
      <c r="S961" t="str">
        <f>_xlfn.XLOOKUP(tblTransactions[[#This Row],[ProductID]],tblProducts[ProductID],tblProducts[Category])</f>
        <v>Grocery</v>
      </c>
    </row>
    <row r="962" spans="1:19">
      <c r="A962" t="s">
        <v>17279</v>
      </c>
      <c r="B962" s="1">
        <v>45966</v>
      </c>
      <c r="C962" t="s">
        <v>10267</v>
      </c>
      <c r="D962" t="str">
        <f>_xlfn.XLOOKUP(tblTransactions[[#This Row],[CustomerID]],tblCustomers[CustomerID],tblCustomers[CustomerName])</f>
        <v>Lopa Chandran</v>
      </c>
      <c r="E962" t="s">
        <v>16154</v>
      </c>
      <c r="F962" t="str">
        <f>_xlfn.XLOOKUP(tblTransactions[[#This Row],[ProductID]],tblProducts[ProductID],tblProducts[ProductName])</f>
        <v>Namkeen D4</v>
      </c>
      <c r="G962" t="s">
        <v>16305</v>
      </c>
      <c r="H962" t="str">
        <f>_xlfn.XLOOKUP(tblTransactions[[#This Row],[StoreID]],tblStores[StoreID],tblStores[Region])</f>
        <v>South</v>
      </c>
      <c r="I962">
        <v>1</v>
      </c>
      <c r="J962">
        <v>0.1</v>
      </c>
      <c r="K962" t="s">
        <v>16321</v>
      </c>
      <c r="L962" s="9">
        <f>_xlfn.XLOOKUP(tblTransactions[[#This Row],[ProductID]],tblProducts[ProductID],tblProducts[UnitPrice])</f>
        <v>881.18</v>
      </c>
      <c r="M962" s="9">
        <f>tblTransactions[[#This Row],[Quantity]]*tblTransactions[[#This Row],[UnitPrice]]</f>
        <v>881.18</v>
      </c>
      <c r="N962" s="9">
        <f>tblTransactions[[#This Row],[GrossSales]]*tblTransactions[[#This Row],[Discount]]</f>
        <v>88.117999999999995</v>
      </c>
      <c r="O962" s="9">
        <f>tblTransactions[[#This Row],[GrossSales]]-tblTransactions[[#This Row],[DiscountAmount]]</f>
        <v>793.0619999999999</v>
      </c>
      <c r="P962" s="9">
        <f>_xlfn.XLOOKUP(tblTransactions[[#This Row],[ProductID]],tblProducts[ProductID],tblProducts[UnitCost])</f>
        <v>626.67999999999995</v>
      </c>
      <c r="Q962" s="9">
        <f>tblTransactions[[#This Row],[Quantity]]*tblTransactions[[#This Row],[UnitCost]]</f>
        <v>626.67999999999995</v>
      </c>
      <c r="R962" s="9">
        <f>tblTransactions[[#This Row],[NetRevenue]]-tblTransactions[[#This Row],[TotalCost]]</f>
        <v>166.38199999999995</v>
      </c>
      <c r="S962" t="str">
        <f>_xlfn.XLOOKUP(tblTransactions[[#This Row],[ProductID]],tblProducts[ProductID],tblProducts[Category])</f>
        <v>Grocery</v>
      </c>
    </row>
    <row r="963" spans="1:19">
      <c r="A963" t="s">
        <v>17280</v>
      </c>
      <c r="B963" s="1">
        <v>45971</v>
      </c>
      <c r="C963" t="s">
        <v>4196</v>
      </c>
      <c r="D963" t="str">
        <f>_xlfn.XLOOKUP(tblTransactions[[#This Row],[CustomerID]],tblCustomers[CustomerID],tblCustomers[CustomerName])</f>
        <v>Isaac Brahmbhatt</v>
      </c>
      <c r="E963" t="s">
        <v>16089</v>
      </c>
      <c r="F963" t="str">
        <f>_xlfn.XLOOKUP(tblTransactions[[#This Row],[ProductID]],tblProducts[ProductID],tblProducts[ProductName])</f>
        <v>Women's Jeans B2</v>
      </c>
      <c r="G963" t="s">
        <v>16275</v>
      </c>
      <c r="H963" t="str">
        <f>_xlfn.XLOOKUP(tblTransactions[[#This Row],[StoreID]],tblStores[StoreID],tblStores[Region])</f>
        <v>South</v>
      </c>
      <c r="I963">
        <v>1</v>
      </c>
      <c r="J963">
        <v>0</v>
      </c>
      <c r="K963" t="s">
        <v>16317</v>
      </c>
      <c r="L963" s="9">
        <f>_xlfn.XLOOKUP(tblTransactions[[#This Row],[ProductID]],tblProducts[ProductID],tblProducts[UnitPrice])</f>
        <v>7788.99</v>
      </c>
      <c r="M963" s="9">
        <f>tblTransactions[[#This Row],[Quantity]]*tblTransactions[[#This Row],[UnitPrice]]</f>
        <v>7788.99</v>
      </c>
      <c r="N963" s="9">
        <f>tblTransactions[[#This Row],[GrossSales]]*tblTransactions[[#This Row],[Discount]]</f>
        <v>0</v>
      </c>
      <c r="O963" s="9">
        <f>tblTransactions[[#This Row],[GrossSales]]-tblTransactions[[#This Row],[DiscountAmount]]</f>
        <v>7788.99</v>
      </c>
      <c r="P963" s="9">
        <f>_xlfn.XLOOKUP(tblTransactions[[#This Row],[ProductID]],tblProducts[ProductID],tblProducts[UnitCost])</f>
        <v>6231.21</v>
      </c>
      <c r="Q963" s="9">
        <f>tblTransactions[[#This Row],[Quantity]]*tblTransactions[[#This Row],[UnitCost]]</f>
        <v>6231.21</v>
      </c>
      <c r="R963" s="9">
        <f>tblTransactions[[#This Row],[NetRevenue]]-tblTransactions[[#This Row],[TotalCost]]</f>
        <v>1557.7799999999997</v>
      </c>
      <c r="S963" t="str">
        <f>_xlfn.XLOOKUP(tblTransactions[[#This Row],[ProductID]],tblProducts[ProductID],tblProducts[Category])</f>
        <v>Clothing</v>
      </c>
    </row>
    <row r="964" spans="1:19">
      <c r="A964" t="s">
        <v>17281</v>
      </c>
      <c r="B964" s="1">
        <v>45973</v>
      </c>
      <c r="C964" t="s">
        <v>2479</v>
      </c>
      <c r="D964" t="str">
        <f>_xlfn.XLOOKUP(tblTransactions[[#This Row],[CustomerID]],tblCustomers[CustomerID],tblCustomers[CustomerName])</f>
        <v>Bishakha Vig</v>
      </c>
      <c r="E964" t="s">
        <v>16135</v>
      </c>
      <c r="F964" t="str">
        <f>_xlfn.XLOOKUP(tblTransactions[[#This Row],[ProductID]],tblProducts[ProductID],tblProducts[ProductName])</f>
        <v>Sugar B2</v>
      </c>
      <c r="G964" t="s">
        <v>16283</v>
      </c>
      <c r="H964" t="str">
        <f>_xlfn.XLOOKUP(tblTransactions[[#This Row],[StoreID]],tblStores[StoreID],tblStores[Region])</f>
        <v>South</v>
      </c>
      <c r="I964">
        <v>2</v>
      </c>
      <c r="J964">
        <v>0</v>
      </c>
      <c r="K964" t="s">
        <v>16321</v>
      </c>
      <c r="L964" s="9">
        <f>_xlfn.XLOOKUP(tblTransactions[[#This Row],[ProductID]],tblProducts[ProductID],tblProducts[UnitPrice])</f>
        <v>1384.91</v>
      </c>
      <c r="M964" s="9">
        <f>tblTransactions[[#This Row],[Quantity]]*tblTransactions[[#This Row],[UnitPrice]]</f>
        <v>2769.82</v>
      </c>
      <c r="N964" s="9">
        <f>tblTransactions[[#This Row],[GrossSales]]*tblTransactions[[#This Row],[Discount]]</f>
        <v>0</v>
      </c>
      <c r="O964" s="9">
        <f>tblTransactions[[#This Row],[GrossSales]]-tblTransactions[[#This Row],[DiscountAmount]]</f>
        <v>2769.82</v>
      </c>
      <c r="P964" s="9">
        <f>_xlfn.XLOOKUP(tblTransactions[[#This Row],[ProductID]],tblProducts[ProductID],tblProducts[UnitCost])</f>
        <v>1102.07</v>
      </c>
      <c r="Q964" s="9">
        <f>tblTransactions[[#This Row],[Quantity]]*tblTransactions[[#This Row],[UnitCost]]</f>
        <v>2204.14</v>
      </c>
      <c r="R964" s="9">
        <f>tblTransactions[[#This Row],[NetRevenue]]-tblTransactions[[#This Row],[TotalCost]]</f>
        <v>565.68000000000029</v>
      </c>
      <c r="S964" t="str">
        <f>_xlfn.XLOOKUP(tblTransactions[[#This Row],[ProductID]],tblProducts[ProductID],tblProducts[Category])</f>
        <v>Grocery</v>
      </c>
    </row>
    <row r="965" spans="1:19">
      <c r="A965" t="s">
        <v>17282</v>
      </c>
      <c r="B965" s="1">
        <v>45974</v>
      </c>
      <c r="C965" t="s">
        <v>15683</v>
      </c>
      <c r="D965" t="str">
        <f>_xlfn.XLOOKUP(tblTransactions[[#This Row],[CustomerID]],tblCustomers[CustomerID],tblCustomers[CustomerName])</f>
        <v>Hemangini Nazareth</v>
      </c>
      <c r="E965" t="s">
        <v>16053</v>
      </c>
      <c r="F965" t="str">
        <f>_xlfn.XLOOKUP(tblTransactions[[#This Row],[ProductID]],tblProducts[ProductID],tblProducts[ProductName])</f>
        <v>Pressure Cooker B7</v>
      </c>
      <c r="G965" t="s">
        <v>16299</v>
      </c>
      <c r="H965" t="str">
        <f>_xlfn.XLOOKUP(tblTransactions[[#This Row],[StoreID]],tblStores[StoreID],tblStores[Region])</f>
        <v>South</v>
      </c>
      <c r="I965">
        <v>1</v>
      </c>
      <c r="J965">
        <v>0</v>
      </c>
      <c r="K965" t="s">
        <v>16317</v>
      </c>
      <c r="L965" s="9">
        <f>_xlfn.XLOOKUP(tblTransactions[[#This Row],[ProductID]],tblProducts[ProductID],tblProducts[UnitPrice])</f>
        <v>24743.52</v>
      </c>
      <c r="M965" s="9">
        <f>tblTransactions[[#This Row],[Quantity]]*tblTransactions[[#This Row],[UnitPrice]]</f>
        <v>24743.52</v>
      </c>
      <c r="N965" s="9">
        <f>tblTransactions[[#This Row],[GrossSales]]*tblTransactions[[#This Row],[Discount]]</f>
        <v>0</v>
      </c>
      <c r="O965" s="9">
        <f>tblTransactions[[#This Row],[GrossSales]]-tblTransactions[[#This Row],[DiscountAmount]]</f>
        <v>24743.52</v>
      </c>
      <c r="P965" s="9">
        <f>_xlfn.XLOOKUP(tblTransactions[[#This Row],[ProductID]],tblProducts[ProductID],tblProducts[UnitCost])</f>
        <v>16620.189999999999</v>
      </c>
      <c r="Q965" s="9">
        <f>tblTransactions[[#This Row],[Quantity]]*tblTransactions[[#This Row],[UnitCost]]</f>
        <v>16620.189999999999</v>
      </c>
      <c r="R965" s="9">
        <f>tblTransactions[[#This Row],[NetRevenue]]-tblTransactions[[#This Row],[TotalCost]]</f>
        <v>8123.3300000000017</v>
      </c>
      <c r="S965" t="str">
        <f>_xlfn.XLOOKUP(tblTransactions[[#This Row],[ProductID]],tblProducts[ProductID],tblProducts[Category])</f>
        <v>Home &amp; Kitchen</v>
      </c>
    </row>
    <row r="966" spans="1:19">
      <c r="A966" t="s">
        <v>17283</v>
      </c>
      <c r="B966" s="1">
        <v>45974</v>
      </c>
      <c r="C966" t="s">
        <v>14831</v>
      </c>
      <c r="D966" t="str">
        <f>_xlfn.XLOOKUP(tblTransactions[[#This Row],[CustomerID]],tblCustomers[CustomerID],tblCustomers[CustomerName])</f>
        <v>Falguni Luthra</v>
      </c>
      <c r="E966" t="s">
        <v>16137</v>
      </c>
      <c r="F966" t="str">
        <f>_xlfn.XLOOKUP(tblTransactions[[#This Row],[ProductID]],tblProducts[ProductID],tblProducts[ProductName])</f>
        <v>Sugar C3</v>
      </c>
      <c r="G966" t="s">
        <v>16295</v>
      </c>
      <c r="H966" t="str">
        <f>_xlfn.XLOOKUP(tblTransactions[[#This Row],[StoreID]],tblStores[StoreID],tblStores[Region])</f>
        <v>South</v>
      </c>
      <c r="I966">
        <v>4</v>
      </c>
      <c r="J966">
        <v>0</v>
      </c>
      <c r="K966" t="s">
        <v>16321</v>
      </c>
      <c r="L966" s="9">
        <f>_xlfn.XLOOKUP(tblTransactions[[#This Row],[ProductID]],tblProducts[ProductID],tblProducts[UnitPrice])</f>
        <v>1140.1600000000001</v>
      </c>
      <c r="M966" s="9">
        <f>tblTransactions[[#This Row],[Quantity]]*tblTransactions[[#This Row],[UnitPrice]]</f>
        <v>4560.6400000000003</v>
      </c>
      <c r="N966" s="9">
        <f>tblTransactions[[#This Row],[GrossSales]]*tblTransactions[[#This Row],[Discount]]</f>
        <v>0</v>
      </c>
      <c r="O966" s="9">
        <f>tblTransactions[[#This Row],[GrossSales]]-tblTransactions[[#This Row],[DiscountAmount]]</f>
        <v>4560.6400000000003</v>
      </c>
      <c r="P966" s="9">
        <f>_xlfn.XLOOKUP(tblTransactions[[#This Row],[ProductID]],tblProducts[ProductID],tblProducts[UnitCost])</f>
        <v>763.74</v>
      </c>
      <c r="Q966" s="9">
        <f>tblTransactions[[#This Row],[Quantity]]*tblTransactions[[#This Row],[UnitCost]]</f>
        <v>3054.96</v>
      </c>
      <c r="R966" s="9">
        <f>tblTransactions[[#This Row],[NetRevenue]]-tblTransactions[[#This Row],[TotalCost]]</f>
        <v>1505.6800000000003</v>
      </c>
      <c r="S966" t="str">
        <f>_xlfn.XLOOKUP(tblTransactions[[#This Row],[ProductID]],tblProducts[ProductID],tblProducts[Category])</f>
        <v>Grocery</v>
      </c>
    </row>
    <row r="967" spans="1:19">
      <c r="A967" t="s">
        <v>17284</v>
      </c>
      <c r="B967" s="1">
        <v>45976</v>
      </c>
      <c r="C967" t="s">
        <v>10336</v>
      </c>
      <c r="D967" t="str">
        <f>_xlfn.XLOOKUP(tblTransactions[[#This Row],[CustomerID]],tblCustomers[CustomerID],tblCustomers[CustomerName])</f>
        <v>Parth Kamdar</v>
      </c>
      <c r="E967" t="s">
        <v>15979</v>
      </c>
      <c r="F967" t="str">
        <f>_xlfn.XLOOKUP(tblTransactions[[#This Row],[ProductID]],tblProducts[ProductID],tblProducts[ProductName])</f>
        <v>Soundbar A1</v>
      </c>
      <c r="G967" t="s">
        <v>16271</v>
      </c>
      <c r="H967" t="str">
        <f>_xlfn.XLOOKUP(tblTransactions[[#This Row],[StoreID]],tblStores[StoreID],tblStores[Region])</f>
        <v>South</v>
      </c>
      <c r="I967">
        <v>1</v>
      </c>
      <c r="J967">
        <v>0.1</v>
      </c>
      <c r="K967" t="s">
        <v>16315</v>
      </c>
      <c r="L967" s="9">
        <f>_xlfn.XLOOKUP(tblTransactions[[#This Row],[ProductID]],tblProducts[ProductID],tblProducts[UnitPrice])</f>
        <v>45527.55</v>
      </c>
      <c r="M967" s="9">
        <f>tblTransactions[[#This Row],[Quantity]]*tblTransactions[[#This Row],[UnitPrice]]</f>
        <v>45527.55</v>
      </c>
      <c r="N967" s="9">
        <f>tblTransactions[[#This Row],[GrossSales]]*tblTransactions[[#This Row],[Discount]]</f>
        <v>4552.7550000000001</v>
      </c>
      <c r="O967" s="9">
        <f>tblTransactions[[#This Row],[GrossSales]]-tblTransactions[[#This Row],[DiscountAmount]]</f>
        <v>40974.795000000006</v>
      </c>
      <c r="P967" s="9">
        <f>_xlfn.XLOOKUP(tblTransactions[[#This Row],[ProductID]],tblProducts[ProductID],tblProducts[UnitCost])</f>
        <v>35089.57</v>
      </c>
      <c r="Q967" s="9">
        <f>tblTransactions[[#This Row],[Quantity]]*tblTransactions[[#This Row],[UnitCost]]</f>
        <v>35089.57</v>
      </c>
      <c r="R967" s="9">
        <f>tblTransactions[[#This Row],[NetRevenue]]-tblTransactions[[#This Row],[TotalCost]]</f>
        <v>5885.2250000000058</v>
      </c>
      <c r="S967" t="str">
        <f>_xlfn.XLOOKUP(tblTransactions[[#This Row],[ProductID]],tblProducts[ProductID],tblProducts[Category])</f>
        <v>Electronics</v>
      </c>
    </row>
    <row r="968" spans="1:19">
      <c r="A968" t="s">
        <v>17285</v>
      </c>
      <c r="B968" s="1">
        <v>45978</v>
      </c>
      <c r="C968" t="s">
        <v>13475</v>
      </c>
      <c r="D968" t="str">
        <f>_xlfn.XLOOKUP(tblTransactions[[#This Row],[CustomerID]],tblCustomers[CustomerID],tblCustomers[CustomerName])</f>
        <v>Ayushman Lalla</v>
      </c>
      <c r="E968" t="s">
        <v>16108</v>
      </c>
      <c r="F968" t="str">
        <f>_xlfn.XLOOKUP(tblTransactions[[#This Row],[ProductID]],tblProducts[ProductID],tblProducts[ProductName])</f>
        <v>Kids Dress D4</v>
      </c>
      <c r="G968" t="s">
        <v>16299</v>
      </c>
      <c r="H968" t="str">
        <f>_xlfn.XLOOKUP(tblTransactions[[#This Row],[StoreID]],tblStores[StoreID],tblStores[Region])</f>
        <v>South</v>
      </c>
      <c r="I968">
        <v>1</v>
      </c>
      <c r="J968">
        <v>0.2</v>
      </c>
      <c r="K968" t="s">
        <v>16315</v>
      </c>
      <c r="L968" s="9">
        <f>_xlfn.XLOOKUP(tblTransactions[[#This Row],[ProductID]],tblProducts[ProductID],tblProducts[UnitPrice])</f>
        <v>1332.31</v>
      </c>
      <c r="M968" s="9">
        <f>tblTransactions[[#This Row],[Quantity]]*tblTransactions[[#This Row],[UnitPrice]]</f>
        <v>1332.31</v>
      </c>
      <c r="N968" s="9">
        <f>tblTransactions[[#This Row],[GrossSales]]*tblTransactions[[#This Row],[Discount]]</f>
        <v>266.46199999999999</v>
      </c>
      <c r="O968" s="9">
        <f>tblTransactions[[#This Row],[GrossSales]]-tblTransactions[[#This Row],[DiscountAmount]]</f>
        <v>1065.848</v>
      </c>
      <c r="P968" s="9">
        <f>_xlfn.XLOOKUP(tblTransactions[[#This Row],[ProductID]],tblProducts[ProductID],tblProducts[UnitCost])</f>
        <v>957.87</v>
      </c>
      <c r="Q968" s="9">
        <f>tblTransactions[[#This Row],[Quantity]]*tblTransactions[[#This Row],[UnitCost]]</f>
        <v>957.87</v>
      </c>
      <c r="R968" s="9">
        <f>tblTransactions[[#This Row],[NetRevenue]]-tblTransactions[[#This Row],[TotalCost]]</f>
        <v>107.97799999999995</v>
      </c>
      <c r="S968" t="str">
        <f>_xlfn.XLOOKUP(tblTransactions[[#This Row],[ProductID]],tblProducts[ProductID],tblProducts[Category])</f>
        <v>Clothing</v>
      </c>
    </row>
    <row r="969" spans="1:19">
      <c r="A969" t="s">
        <v>17286</v>
      </c>
      <c r="B969" s="1">
        <v>45982</v>
      </c>
      <c r="C969" t="s">
        <v>3115</v>
      </c>
      <c r="D969" t="str">
        <f>_xlfn.XLOOKUP(tblTransactions[[#This Row],[CustomerID]],tblCustomers[CustomerID],tblCustomers[CustomerName])</f>
        <v>Chaitaly Suri</v>
      </c>
      <c r="E969" t="s">
        <v>16005</v>
      </c>
      <c r="F969" t="str">
        <f>_xlfn.XLOOKUP(tblTransactions[[#This Row],[ProductID]],tblProducts[ProductID],tblProducts[ProductName])</f>
        <v>Wireless Charger A6</v>
      </c>
      <c r="G969" t="s">
        <v>16271</v>
      </c>
      <c r="H969" t="str">
        <f>_xlfn.XLOOKUP(tblTransactions[[#This Row],[StoreID]],tblStores[StoreID],tblStores[Region])</f>
        <v>South</v>
      </c>
      <c r="I969">
        <v>2</v>
      </c>
      <c r="J969">
        <v>0</v>
      </c>
      <c r="K969" t="s">
        <v>16319</v>
      </c>
      <c r="L969" s="9">
        <f>_xlfn.XLOOKUP(tblTransactions[[#This Row],[ProductID]],tblProducts[ProductID],tblProducts[UnitPrice])</f>
        <v>78938.720000000001</v>
      </c>
      <c r="M969" s="9">
        <f>tblTransactions[[#This Row],[Quantity]]*tblTransactions[[#This Row],[UnitPrice]]</f>
        <v>157877.44</v>
      </c>
      <c r="N969" s="9">
        <f>tblTransactions[[#This Row],[GrossSales]]*tblTransactions[[#This Row],[Discount]]</f>
        <v>0</v>
      </c>
      <c r="O969" s="9">
        <f>tblTransactions[[#This Row],[GrossSales]]-tblTransactions[[#This Row],[DiscountAmount]]</f>
        <v>157877.44</v>
      </c>
      <c r="P969" s="9">
        <f>_xlfn.XLOOKUP(tblTransactions[[#This Row],[ProductID]],tblProducts[ProductID],tblProducts[UnitCost])</f>
        <v>53801.63</v>
      </c>
      <c r="Q969" s="9">
        <f>tblTransactions[[#This Row],[Quantity]]*tblTransactions[[#This Row],[UnitCost]]</f>
        <v>107603.26</v>
      </c>
      <c r="R969" s="9">
        <f>tblTransactions[[#This Row],[NetRevenue]]-tblTransactions[[#This Row],[TotalCost]]</f>
        <v>50274.180000000008</v>
      </c>
      <c r="S969" t="str">
        <f>_xlfn.XLOOKUP(tblTransactions[[#This Row],[ProductID]],tblProducts[ProductID],tblProducts[Category])</f>
        <v>Electronics</v>
      </c>
    </row>
    <row r="970" spans="1:19">
      <c r="A970" t="s">
        <v>17287</v>
      </c>
      <c r="B970" s="1">
        <v>45982</v>
      </c>
      <c r="C970" t="s">
        <v>11843</v>
      </c>
      <c r="D970" t="str">
        <f>_xlfn.XLOOKUP(tblTransactions[[#This Row],[CustomerID]],tblCustomers[CustomerID],tblCustomers[CustomerName])</f>
        <v>Upkaar Ahuja</v>
      </c>
      <c r="E970" t="s">
        <v>16064</v>
      </c>
      <c r="F970" t="str">
        <f>_xlfn.XLOOKUP(tblTransactions[[#This Row],[ProductID]],tblProducts[ProductID],tblProducts[ProductName])</f>
        <v>Decorative Vase E5</v>
      </c>
      <c r="G970" t="s">
        <v>16285</v>
      </c>
      <c r="H970" t="str">
        <f>_xlfn.XLOOKUP(tblTransactions[[#This Row],[StoreID]],tblStores[StoreID],tblStores[Region])</f>
        <v>West</v>
      </c>
      <c r="I970">
        <v>3</v>
      </c>
      <c r="J970">
        <v>0.05</v>
      </c>
      <c r="K970" t="s">
        <v>16317</v>
      </c>
      <c r="L970" s="9">
        <f>_xlfn.XLOOKUP(tblTransactions[[#This Row],[ProductID]],tblProducts[ProductID],tblProducts[UnitPrice])</f>
        <v>1797.31</v>
      </c>
      <c r="M970" s="9">
        <f>tblTransactions[[#This Row],[Quantity]]*tblTransactions[[#This Row],[UnitPrice]]</f>
        <v>5391.93</v>
      </c>
      <c r="N970" s="9">
        <f>tblTransactions[[#This Row],[GrossSales]]*tblTransactions[[#This Row],[Discount]]</f>
        <v>269.59650000000005</v>
      </c>
      <c r="O970" s="9">
        <f>tblTransactions[[#This Row],[GrossSales]]-tblTransactions[[#This Row],[DiscountAmount]]</f>
        <v>5122.3335000000006</v>
      </c>
      <c r="P970" s="9">
        <f>_xlfn.XLOOKUP(tblTransactions[[#This Row],[ProductID]],tblProducts[ProductID],tblProducts[UnitCost])</f>
        <v>1257.43</v>
      </c>
      <c r="Q970" s="9">
        <f>tblTransactions[[#This Row],[Quantity]]*tblTransactions[[#This Row],[UnitCost]]</f>
        <v>3772.29</v>
      </c>
      <c r="R970" s="9">
        <f>tblTransactions[[#This Row],[NetRevenue]]-tblTransactions[[#This Row],[TotalCost]]</f>
        <v>1350.0435000000007</v>
      </c>
      <c r="S970" t="str">
        <f>_xlfn.XLOOKUP(tblTransactions[[#This Row],[ProductID]],tblProducts[ProductID],tblProducts[Category])</f>
        <v>Home &amp; Kitchen</v>
      </c>
    </row>
    <row r="971" spans="1:19">
      <c r="A971" t="s">
        <v>17288</v>
      </c>
      <c r="B971" s="1">
        <v>45983</v>
      </c>
      <c r="C971" t="s">
        <v>4234</v>
      </c>
      <c r="D971" t="str">
        <f>_xlfn.XLOOKUP(tblTransactions[[#This Row],[CustomerID]],tblCustomers[CustomerID],tblCustomers[CustomerName])</f>
        <v>Nikita Chowdhury</v>
      </c>
      <c r="E971" t="s">
        <v>16003</v>
      </c>
      <c r="F971" t="str">
        <f>_xlfn.XLOOKUP(tblTransactions[[#This Row],[ProductID]],tblProducts[ProductID],tblProducts[ProductName])</f>
        <v>Wireless Charger E5</v>
      </c>
      <c r="G971" t="s">
        <v>16262</v>
      </c>
      <c r="H971" t="str">
        <f>_xlfn.XLOOKUP(tblTransactions[[#This Row],[StoreID]],tblStores[StoreID],tblStores[Region])</f>
        <v>North</v>
      </c>
      <c r="I971">
        <v>1</v>
      </c>
      <c r="J971">
        <v>0</v>
      </c>
      <c r="K971" t="s">
        <v>16317</v>
      </c>
      <c r="L971" s="9">
        <f>_xlfn.XLOOKUP(tblTransactions[[#This Row],[ProductID]],tblProducts[ProductID],tblProducts[UnitPrice])</f>
        <v>74177.87</v>
      </c>
      <c r="M971" s="9">
        <f>tblTransactions[[#This Row],[Quantity]]*tblTransactions[[#This Row],[UnitPrice]]</f>
        <v>74177.87</v>
      </c>
      <c r="N971" s="9">
        <f>tblTransactions[[#This Row],[GrossSales]]*tblTransactions[[#This Row],[Discount]]</f>
        <v>0</v>
      </c>
      <c r="O971" s="9">
        <f>tblTransactions[[#This Row],[GrossSales]]-tblTransactions[[#This Row],[DiscountAmount]]</f>
        <v>74177.87</v>
      </c>
      <c r="P971" s="9">
        <f>_xlfn.XLOOKUP(tblTransactions[[#This Row],[ProductID]],tblProducts[ProductID],tblProducts[UnitCost])</f>
        <v>46554.33</v>
      </c>
      <c r="Q971" s="9">
        <f>tblTransactions[[#This Row],[Quantity]]*tblTransactions[[#This Row],[UnitCost]]</f>
        <v>46554.33</v>
      </c>
      <c r="R971" s="9">
        <f>tblTransactions[[#This Row],[NetRevenue]]-tblTransactions[[#This Row],[TotalCost]]</f>
        <v>27623.539999999994</v>
      </c>
      <c r="S971" t="str">
        <f>_xlfn.XLOOKUP(tblTransactions[[#This Row],[ProductID]],tblProducts[ProductID],tblProducts[Category])</f>
        <v>Electronics</v>
      </c>
    </row>
    <row r="972" spans="1:19">
      <c r="A972" t="s">
        <v>17289</v>
      </c>
      <c r="B972" s="1">
        <v>45984</v>
      </c>
      <c r="C972" t="s">
        <v>3291</v>
      </c>
      <c r="D972" t="str">
        <f>_xlfn.XLOOKUP(tblTransactions[[#This Row],[CustomerID]],tblCustomers[CustomerID],tblCustomers[CustomerName])</f>
        <v>Lajita Trivedi</v>
      </c>
      <c r="E972" t="s">
        <v>15952</v>
      </c>
      <c r="F972" t="str">
        <f>_xlfn.XLOOKUP(tblTransactions[[#This Row],[ProductID]],tblProducts[ProductID],tblProducts[ProductName])</f>
        <v>Premium Smartphone D4</v>
      </c>
      <c r="G972" t="s">
        <v>16281</v>
      </c>
      <c r="H972" t="str">
        <f>_xlfn.XLOOKUP(tblTransactions[[#This Row],[StoreID]],tblStores[StoreID],tblStores[Region])</f>
        <v>West</v>
      </c>
      <c r="I972">
        <v>1</v>
      </c>
      <c r="J972">
        <v>0</v>
      </c>
      <c r="K972" t="s">
        <v>16321</v>
      </c>
      <c r="L972" s="9">
        <f>_xlfn.XLOOKUP(tblTransactions[[#This Row],[ProductID]],tblProducts[ProductID],tblProducts[UnitPrice])</f>
        <v>50139.94</v>
      </c>
      <c r="M972" s="9">
        <f>tblTransactions[[#This Row],[Quantity]]*tblTransactions[[#This Row],[UnitPrice]]</f>
        <v>50139.94</v>
      </c>
      <c r="N972" s="9">
        <f>tblTransactions[[#This Row],[GrossSales]]*tblTransactions[[#This Row],[Discount]]</f>
        <v>0</v>
      </c>
      <c r="O972" s="9">
        <f>tblTransactions[[#This Row],[GrossSales]]-tblTransactions[[#This Row],[DiscountAmount]]</f>
        <v>50139.94</v>
      </c>
      <c r="P972" s="9">
        <f>_xlfn.XLOOKUP(tblTransactions[[#This Row],[ProductID]],tblProducts[ProductID],tblProducts[UnitCost])</f>
        <v>37762.71</v>
      </c>
      <c r="Q972" s="9">
        <f>tblTransactions[[#This Row],[Quantity]]*tblTransactions[[#This Row],[UnitCost]]</f>
        <v>37762.71</v>
      </c>
      <c r="R972" s="9">
        <f>tblTransactions[[#This Row],[NetRevenue]]-tblTransactions[[#This Row],[TotalCost]]</f>
        <v>12377.230000000003</v>
      </c>
      <c r="S972" t="str">
        <f>_xlfn.XLOOKUP(tblTransactions[[#This Row],[ProductID]],tblProducts[ProductID],tblProducts[Category])</f>
        <v>Electronics</v>
      </c>
    </row>
    <row r="973" spans="1:19">
      <c r="A973" t="s">
        <v>17290</v>
      </c>
      <c r="B973" s="1">
        <v>45985</v>
      </c>
      <c r="C973" t="s">
        <v>12860</v>
      </c>
      <c r="D973" t="str">
        <f>_xlfn.XLOOKUP(tblTransactions[[#This Row],[CustomerID]],tblCustomers[CustomerID],tblCustomers[CustomerName])</f>
        <v>Abhiram Narula</v>
      </c>
      <c r="E973" t="s">
        <v>16169</v>
      </c>
      <c r="F973" t="str">
        <f>_xlfn.XLOOKUP(tblTransactions[[#This Row],[ProductID]],tblProducts[ProductID],tblProducts[ProductName])</f>
        <v>Coffee D4</v>
      </c>
      <c r="G973" t="s">
        <v>16271</v>
      </c>
      <c r="H973" t="str">
        <f>_xlfn.XLOOKUP(tblTransactions[[#This Row],[StoreID]],tblStores[StoreID],tblStores[Region])</f>
        <v>South</v>
      </c>
      <c r="I973">
        <v>2</v>
      </c>
      <c r="J973">
        <v>0</v>
      </c>
      <c r="K973" t="s">
        <v>16325</v>
      </c>
      <c r="L973" s="9">
        <f>_xlfn.XLOOKUP(tblTransactions[[#This Row],[ProductID]],tblProducts[ProductID],tblProducts[UnitPrice])</f>
        <v>985.76</v>
      </c>
      <c r="M973" s="9">
        <f>tblTransactions[[#This Row],[Quantity]]*tblTransactions[[#This Row],[UnitPrice]]</f>
        <v>1971.52</v>
      </c>
      <c r="N973" s="9">
        <f>tblTransactions[[#This Row],[GrossSales]]*tblTransactions[[#This Row],[Discount]]</f>
        <v>0</v>
      </c>
      <c r="O973" s="9">
        <f>tblTransactions[[#This Row],[GrossSales]]-tblTransactions[[#This Row],[DiscountAmount]]</f>
        <v>1971.52</v>
      </c>
      <c r="P973" s="9">
        <f>_xlfn.XLOOKUP(tblTransactions[[#This Row],[ProductID]],tblProducts[ProductID],tblProducts[UnitCost])</f>
        <v>669.86</v>
      </c>
      <c r="Q973" s="9">
        <f>tblTransactions[[#This Row],[Quantity]]*tblTransactions[[#This Row],[UnitCost]]</f>
        <v>1339.72</v>
      </c>
      <c r="R973" s="9">
        <f>tblTransactions[[#This Row],[NetRevenue]]-tblTransactions[[#This Row],[TotalCost]]</f>
        <v>631.79999999999995</v>
      </c>
      <c r="S973" t="str">
        <f>_xlfn.XLOOKUP(tblTransactions[[#This Row],[ProductID]],tblProducts[ProductID],tblProducts[Category])</f>
        <v>Grocery</v>
      </c>
    </row>
    <row r="974" spans="1:19">
      <c r="A974" t="s">
        <v>17291</v>
      </c>
      <c r="B974" s="1">
        <v>45988</v>
      </c>
      <c r="C974" t="s">
        <v>11775</v>
      </c>
      <c r="D974" t="str">
        <f>_xlfn.XLOOKUP(tblTransactions[[#This Row],[CustomerID]],tblCustomers[CustomerID],tblCustomers[CustomerName])</f>
        <v>Tejas Hari</v>
      </c>
      <c r="E974" t="s">
        <v>16167</v>
      </c>
      <c r="F974" t="str">
        <f>_xlfn.XLOOKUP(tblTransactions[[#This Row],[ProductID]],tblProducts[ProductID],tblProducts[ProductName])</f>
        <v>Coffee C3</v>
      </c>
      <c r="G974" t="s">
        <v>16295</v>
      </c>
      <c r="H974" t="str">
        <f>_xlfn.XLOOKUP(tblTransactions[[#This Row],[StoreID]],tblStores[StoreID],tblStores[Region])</f>
        <v>South</v>
      </c>
      <c r="I974">
        <v>2</v>
      </c>
      <c r="J974">
        <v>0</v>
      </c>
      <c r="K974" t="s">
        <v>16319</v>
      </c>
      <c r="L974" s="9">
        <f>_xlfn.XLOOKUP(tblTransactions[[#This Row],[ProductID]],tblProducts[ProductID],tblProducts[UnitPrice])</f>
        <v>912.62</v>
      </c>
      <c r="M974" s="9">
        <f>tblTransactions[[#This Row],[Quantity]]*tblTransactions[[#This Row],[UnitPrice]]</f>
        <v>1825.24</v>
      </c>
      <c r="N974" s="9">
        <f>tblTransactions[[#This Row],[GrossSales]]*tblTransactions[[#This Row],[Discount]]</f>
        <v>0</v>
      </c>
      <c r="O974" s="9">
        <f>tblTransactions[[#This Row],[GrossSales]]-tblTransactions[[#This Row],[DiscountAmount]]</f>
        <v>1825.24</v>
      </c>
      <c r="P974" s="9">
        <f>_xlfn.XLOOKUP(tblTransactions[[#This Row],[ProductID]],tblProducts[ProductID],tblProducts[UnitCost])</f>
        <v>648.75</v>
      </c>
      <c r="Q974" s="9">
        <f>tblTransactions[[#This Row],[Quantity]]*tblTransactions[[#This Row],[UnitCost]]</f>
        <v>1297.5</v>
      </c>
      <c r="R974" s="9">
        <f>tblTransactions[[#This Row],[NetRevenue]]-tblTransactions[[#This Row],[TotalCost]]</f>
        <v>527.74</v>
      </c>
      <c r="S974" t="str">
        <f>_xlfn.XLOOKUP(tblTransactions[[#This Row],[ProductID]],tblProducts[ProductID],tblProducts[Category])</f>
        <v>Grocery</v>
      </c>
    </row>
    <row r="975" spans="1:19">
      <c r="A975" t="s">
        <v>17292</v>
      </c>
      <c r="B975" s="1">
        <v>45990</v>
      </c>
      <c r="C975" t="s">
        <v>7698</v>
      </c>
      <c r="D975" t="str">
        <f>_xlfn.XLOOKUP(tblTransactions[[#This Row],[CustomerID]],tblCustomers[CustomerID],tblCustomers[CustomerName])</f>
        <v>Baghyawati Baral</v>
      </c>
      <c r="E975" t="s">
        <v>16112</v>
      </c>
      <c r="F975" t="str">
        <f>_xlfn.XLOOKUP(tblTransactions[[#This Row],[ProductID]],tblProducts[ProductID],tblProducts[ProductName])</f>
        <v>Kids T-Shirt A6</v>
      </c>
      <c r="G975" t="s">
        <v>16281</v>
      </c>
      <c r="H975" t="str">
        <f>_xlfn.XLOOKUP(tblTransactions[[#This Row],[StoreID]],tblStores[StoreID],tblStores[Region])</f>
        <v>West</v>
      </c>
      <c r="I975">
        <v>1</v>
      </c>
      <c r="J975">
        <v>0.2</v>
      </c>
      <c r="K975" t="s">
        <v>16325</v>
      </c>
      <c r="L975" s="9">
        <f>_xlfn.XLOOKUP(tblTransactions[[#This Row],[ProductID]],tblProducts[ProductID],tblProducts[UnitPrice])</f>
        <v>2008.33</v>
      </c>
      <c r="M975" s="9">
        <f>tblTransactions[[#This Row],[Quantity]]*tblTransactions[[#This Row],[UnitPrice]]</f>
        <v>2008.33</v>
      </c>
      <c r="N975" s="9">
        <f>tblTransactions[[#This Row],[GrossSales]]*tblTransactions[[#This Row],[Discount]]</f>
        <v>401.666</v>
      </c>
      <c r="O975" s="9">
        <f>tblTransactions[[#This Row],[GrossSales]]-tblTransactions[[#This Row],[DiscountAmount]]</f>
        <v>1606.664</v>
      </c>
      <c r="P975" s="9">
        <f>_xlfn.XLOOKUP(tblTransactions[[#This Row],[ProductID]],tblProducts[ProductID],tblProducts[UnitCost])</f>
        <v>1688.91</v>
      </c>
      <c r="Q975" s="9">
        <f>tblTransactions[[#This Row],[Quantity]]*tblTransactions[[#This Row],[UnitCost]]</f>
        <v>1688.91</v>
      </c>
      <c r="R975" s="9">
        <f>tblTransactions[[#This Row],[NetRevenue]]-tblTransactions[[#This Row],[TotalCost]]</f>
        <v>-82.246000000000095</v>
      </c>
      <c r="S975" t="str">
        <f>_xlfn.XLOOKUP(tblTransactions[[#This Row],[ProductID]],tblProducts[ProductID],tblProducts[Category])</f>
        <v>Clothing</v>
      </c>
    </row>
    <row r="976" spans="1:19">
      <c r="A976" t="s">
        <v>17293</v>
      </c>
      <c r="B976" s="1">
        <v>45991</v>
      </c>
      <c r="C976" t="s">
        <v>11366</v>
      </c>
      <c r="D976" t="str">
        <f>_xlfn.XLOOKUP(tblTransactions[[#This Row],[CustomerID]],tblCustomers[CustomerID],tblCustomers[CustomerName])</f>
        <v>Viraj Thakur</v>
      </c>
      <c r="E976" t="s">
        <v>16217</v>
      </c>
      <c r="F976" t="str">
        <f>_xlfn.XLOOKUP(tblTransactions[[#This Row],[ProductID]],tblProducts[ProductID],tblProducts[ProductName])</f>
        <v>Hair Oil E5</v>
      </c>
      <c r="G976" t="s">
        <v>16289</v>
      </c>
      <c r="H976" t="str">
        <f>_xlfn.XLOOKUP(tblTransactions[[#This Row],[StoreID]],tblStores[StoreID],tblStores[Region])</f>
        <v>South</v>
      </c>
      <c r="I976">
        <v>4</v>
      </c>
      <c r="J976">
        <v>0.1</v>
      </c>
      <c r="K976" t="s">
        <v>16319</v>
      </c>
      <c r="L976" s="9">
        <f>_xlfn.XLOOKUP(tblTransactions[[#This Row],[ProductID]],tblProducts[ProductID],tblProducts[UnitPrice])</f>
        <v>3581.9</v>
      </c>
      <c r="M976" s="9">
        <f>tblTransactions[[#This Row],[Quantity]]*tblTransactions[[#This Row],[UnitPrice]]</f>
        <v>14327.6</v>
      </c>
      <c r="N976" s="9">
        <f>tblTransactions[[#This Row],[GrossSales]]*tblTransactions[[#This Row],[Discount]]</f>
        <v>1432.7600000000002</v>
      </c>
      <c r="O976" s="9">
        <f>tblTransactions[[#This Row],[GrossSales]]-tblTransactions[[#This Row],[DiscountAmount]]</f>
        <v>12894.84</v>
      </c>
      <c r="P976" s="9">
        <f>_xlfn.XLOOKUP(tblTransactions[[#This Row],[ProductID]],tblProducts[ProductID],tblProducts[UnitCost])</f>
        <v>2770.12</v>
      </c>
      <c r="Q976" s="9">
        <f>tblTransactions[[#This Row],[Quantity]]*tblTransactions[[#This Row],[UnitCost]]</f>
        <v>11080.48</v>
      </c>
      <c r="R976" s="9">
        <f>tblTransactions[[#This Row],[NetRevenue]]-tblTransactions[[#This Row],[TotalCost]]</f>
        <v>1814.3600000000006</v>
      </c>
      <c r="S976" t="str">
        <f>_xlfn.XLOOKUP(tblTransactions[[#This Row],[ProductID]],tblProducts[ProductID],tblProducts[Category])</f>
        <v>Personal Care</v>
      </c>
    </row>
    <row r="977" spans="1:19">
      <c r="A977" t="s">
        <v>17294</v>
      </c>
      <c r="B977" s="1">
        <v>45992</v>
      </c>
      <c r="C977" t="s">
        <v>5189</v>
      </c>
      <c r="D977" t="str">
        <f>_xlfn.XLOOKUP(tblTransactions[[#This Row],[CustomerID]],tblCustomers[CustomerID],tblCustomers[CustomerName])</f>
        <v>Oliver Trivedi</v>
      </c>
      <c r="E977" t="s">
        <v>16114</v>
      </c>
      <c r="F977" t="str">
        <f>_xlfn.XLOOKUP(tblTransactions[[#This Row],[ProductID]],tblProducts[ProductID],tblProducts[ProductName])</f>
        <v>Kids T-Shirt B7</v>
      </c>
      <c r="G977" t="s">
        <v>16305</v>
      </c>
      <c r="H977" t="str">
        <f>_xlfn.XLOOKUP(tblTransactions[[#This Row],[StoreID]],tblStores[StoreID],tblStores[Region])</f>
        <v>South</v>
      </c>
      <c r="I977">
        <v>2</v>
      </c>
      <c r="J977">
        <v>0.15</v>
      </c>
      <c r="K977" t="s">
        <v>16317</v>
      </c>
      <c r="L977" s="9">
        <f>_xlfn.XLOOKUP(tblTransactions[[#This Row],[ProductID]],tblProducts[ProductID],tblProducts[UnitPrice])</f>
        <v>2599.96</v>
      </c>
      <c r="M977" s="9">
        <f>tblTransactions[[#This Row],[Quantity]]*tblTransactions[[#This Row],[UnitPrice]]</f>
        <v>5199.92</v>
      </c>
      <c r="N977" s="9">
        <f>tblTransactions[[#This Row],[GrossSales]]*tblTransactions[[#This Row],[Discount]]</f>
        <v>779.98799999999994</v>
      </c>
      <c r="O977" s="9">
        <f>tblTransactions[[#This Row],[GrossSales]]-tblTransactions[[#This Row],[DiscountAmount]]</f>
        <v>4419.9319999999998</v>
      </c>
      <c r="P977" s="9">
        <f>_xlfn.XLOOKUP(tblTransactions[[#This Row],[ProductID]],tblProducts[ProductID],tblProducts[UnitCost])</f>
        <v>1643</v>
      </c>
      <c r="Q977" s="9">
        <f>tblTransactions[[#This Row],[Quantity]]*tblTransactions[[#This Row],[UnitCost]]</f>
        <v>3286</v>
      </c>
      <c r="R977" s="9">
        <f>tblTransactions[[#This Row],[NetRevenue]]-tblTransactions[[#This Row],[TotalCost]]</f>
        <v>1133.9319999999998</v>
      </c>
      <c r="S977" t="str">
        <f>_xlfn.XLOOKUP(tblTransactions[[#This Row],[ProductID]],tblProducts[ProductID],tblProducts[Category])</f>
        <v>Clothing</v>
      </c>
    </row>
    <row r="978" spans="1:19">
      <c r="A978" t="s">
        <v>17295</v>
      </c>
      <c r="B978" s="1">
        <v>45993</v>
      </c>
      <c r="C978" t="s">
        <v>4138</v>
      </c>
      <c r="D978" t="str">
        <f>_xlfn.XLOOKUP(tblTransactions[[#This Row],[CustomerID]],tblCustomers[CustomerID],tblCustomers[CustomerName])</f>
        <v>Aradhana Tailor</v>
      </c>
      <c r="E978" t="s">
        <v>16112</v>
      </c>
      <c r="F978" t="str">
        <f>_xlfn.XLOOKUP(tblTransactions[[#This Row],[ProductID]],tblProducts[ProductID],tblProducts[ProductName])</f>
        <v>Kids T-Shirt A6</v>
      </c>
      <c r="G978" t="s">
        <v>16271</v>
      </c>
      <c r="H978" t="str">
        <f>_xlfn.XLOOKUP(tblTransactions[[#This Row],[StoreID]],tblStores[StoreID],tblStores[Region])</f>
        <v>South</v>
      </c>
      <c r="I978">
        <v>1</v>
      </c>
      <c r="J978">
        <v>0.05</v>
      </c>
      <c r="K978" t="s">
        <v>16321</v>
      </c>
      <c r="L978" s="9">
        <f>_xlfn.XLOOKUP(tblTransactions[[#This Row],[ProductID]],tblProducts[ProductID],tblProducts[UnitPrice])</f>
        <v>2008.33</v>
      </c>
      <c r="M978" s="9">
        <f>tblTransactions[[#This Row],[Quantity]]*tblTransactions[[#This Row],[UnitPrice]]</f>
        <v>2008.33</v>
      </c>
      <c r="N978" s="9">
        <f>tblTransactions[[#This Row],[GrossSales]]*tblTransactions[[#This Row],[Discount]]</f>
        <v>100.4165</v>
      </c>
      <c r="O978" s="9">
        <f>tblTransactions[[#This Row],[GrossSales]]-tblTransactions[[#This Row],[DiscountAmount]]</f>
        <v>1907.9134999999999</v>
      </c>
      <c r="P978" s="9">
        <f>_xlfn.XLOOKUP(tblTransactions[[#This Row],[ProductID]],tblProducts[ProductID],tblProducts[UnitCost])</f>
        <v>1688.91</v>
      </c>
      <c r="Q978" s="9">
        <f>tblTransactions[[#This Row],[Quantity]]*tblTransactions[[#This Row],[UnitCost]]</f>
        <v>1688.91</v>
      </c>
      <c r="R978" s="9">
        <f>tblTransactions[[#This Row],[NetRevenue]]-tblTransactions[[#This Row],[TotalCost]]</f>
        <v>219.0034999999998</v>
      </c>
      <c r="S978" t="str">
        <f>_xlfn.XLOOKUP(tblTransactions[[#This Row],[ProductID]],tblProducts[ProductID],tblProducts[Category])</f>
        <v>Clothing</v>
      </c>
    </row>
    <row r="979" spans="1:19">
      <c r="A979" t="s">
        <v>17296</v>
      </c>
      <c r="B979" s="1">
        <v>45996</v>
      </c>
      <c r="C979" t="s">
        <v>10330</v>
      </c>
      <c r="D979" t="str">
        <f>_xlfn.XLOOKUP(tblTransactions[[#This Row],[CustomerID]],tblCustomers[CustomerID],tblCustomers[CustomerName])</f>
        <v>Gaurang Bala</v>
      </c>
      <c r="E979" t="s">
        <v>15975</v>
      </c>
      <c r="F979" t="str">
        <f>_xlfn.XLOOKUP(tblTransactions[[#This Row],[ProductID]],tblProducts[ProductID],tblProducts[ProductName])</f>
        <v>Student Laptop B7</v>
      </c>
      <c r="G979" t="s">
        <v>16287</v>
      </c>
      <c r="H979" t="str">
        <f>_xlfn.XLOOKUP(tblTransactions[[#This Row],[StoreID]],tblStores[StoreID],tblStores[Region])</f>
        <v>North</v>
      </c>
      <c r="I979">
        <v>1</v>
      </c>
      <c r="J979">
        <v>0</v>
      </c>
      <c r="K979" t="s">
        <v>16319</v>
      </c>
      <c r="L979" s="9">
        <f>_xlfn.XLOOKUP(tblTransactions[[#This Row],[ProductID]],tblProducts[ProductID],tblProducts[UnitPrice])</f>
        <v>36481.47</v>
      </c>
      <c r="M979" s="9">
        <f>tblTransactions[[#This Row],[Quantity]]*tblTransactions[[#This Row],[UnitPrice]]</f>
        <v>36481.47</v>
      </c>
      <c r="N979" s="9">
        <f>tblTransactions[[#This Row],[GrossSales]]*tblTransactions[[#This Row],[Discount]]</f>
        <v>0</v>
      </c>
      <c r="O979" s="9">
        <f>tblTransactions[[#This Row],[GrossSales]]-tblTransactions[[#This Row],[DiscountAmount]]</f>
        <v>36481.47</v>
      </c>
      <c r="P979" s="9">
        <f>_xlfn.XLOOKUP(tblTransactions[[#This Row],[ProductID]],tblProducts[ProductID],tblProducts[UnitCost])</f>
        <v>30666.16</v>
      </c>
      <c r="Q979" s="9">
        <f>tblTransactions[[#This Row],[Quantity]]*tblTransactions[[#This Row],[UnitCost]]</f>
        <v>30666.16</v>
      </c>
      <c r="R979" s="9">
        <f>tblTransactions[[#This Row],[NetRevenue]]-tblTransactions[[#This Row],[TotalCost]]</f>
        <v>5815.3100000000013</v>
      </c>
      <c r="S979" t="str">
        <f>_xlfn.XLOOKUP(tblTransactions[[#This Row],[ProductID]],tblProducts[ProductID],tblProducts[Category])</f>
        <v>Electronics</v>
      </c>
    </row>
    <row r="980" spans="1:19">
      <c r="A980" t="s">
        <v>17297</v>
      </c>
      <c r="B980" s="1">
        <v>45998</v>
      </c>
      <c r="C980" t="s">
        <v>10975</v>
      </c>
      <c r="D980" t="str">
        <f>_xlfn.XLOOKUP(tblTransactions[[#This Row],[CustomerID]],tblCustomers[CustomerID],tblCustomers[CustomerName])</f>
        <v>Hredhaan Oommen</v>
      </c>
      <c r="E980" t="s">
        <v>15992</v>
      </c>
      <c r="F980" t="str">
        <f>_xlfn.XLOOKUP(tblTransactions[[#This Row],[ProductID]],tblProducts[ProductID],tblProducts[ProductName])</f>
        <v>Wireless Headphones B7</v>
      </c>
      <c r="G980" t="s">
        <v>16285</v>
      </c>
      <c r="H980" t="str">
        <f>_xlfn.XLOOKUP(tblTransactions[[#This Row],[StoreID]],tblStores[StoreID],tblStores[Region])</f>
        <v>West</v>
      </c>
      <c r="I980">
        <v>2</v>
      </c>
      <c r="J980">
        <v>0</v>
      </c>
      <c r="K980" t="s">
        <v>16317</v>
      </c>
      <c r="L980" s="9">
        <f>_xlfn.XLOOKUP(tblTransactions[[#This Row],[ProductID]],tblProducts[ProductID],tblProducts[UnitPrice])</f>
        <v>52596.38</v>
      </c>
      <c r="M980" s="9">
        <f>tblTransactions[[#This Row],[Quantity]]*tblTransactions[[#This Row],[UnitPrice]]</f>
        <v>105192.76</v>
      </c>
      <c r="N980" s="9">
        <f>tblTransactions[[#This Row],[GrossSales]]*tblTransactions[[#This Row],[Discount]]</f>
        <v>0</v>
      </c>
      <c r="O980" s="9">
        <f>tblTransactions[[#This Row],[GrossSales]]-tblTransactions[[#This Row],[DiscountAmount]]</f>
        <v>105192.76</v>
      </c>
      <c r="P980" s="9">
        <f>_xlfn.XLOOKUP(tblTransactions[[#This Row],[ProductID]],tblProducts[ProductID],tblProducts[UnitCost])</f>
        <v>36028.78</v>
      </c>
      <c r="Q980" s="9">
        <f>tblTransactions[[#This Row],[Quantity]]*tblTransactions[[#This Row],[UnitCost]]</f>
        <v>72057.56</v>
      </c>
      <c r="R980" s="9">
        <f>tblTransactions[[#This Row],[NetRevenue]]-tblTransactions[[#This Row],[TotalCost]]</f>
        <v>33135.199999999997</v>
      </c>
      <c r="S980" t="str">
        <f>_xlfn.XLOOKUP(tblTransactions[[#This Row],[ProductID]],tblProducts[ProductID],tblProducts[Category])</f>
        <v>Electronics</v>
      </c>
    </row>
    <row r="981" spans="1:19">
      <c r="A981" t="s">
        <v>17298</v>
      </c>
      <c r="B981" s="1">
        <v>45999</v>
      </c>
      <c r="C981" t="s">
        <v>13453</v>
      </c>
      <c r="D981" t="str">
        <f>_xlfn.XLOOKUP(tblTransactions[[#This Row],[CustomerID]],tblCustomers[CustomerID],tblCustomers[CustomerName])</f>
        <v>Falak Pal</v>
      </c>
      <c r="E981" t="s">
        <v>16226</v>
      </c>
      <c r="F981" t="str">
        <f>_xlfn.XLOOKUP(tblTransactions[[#This Row],[ProductID]],tblProducts[ProductID],tblProducts[ProductName])</f>
        <v>Body Wash B2</v>
      </c>
      <c r="G981" t="s">
        <v>16269</v>
      </c>
      <c r="H981" t="str">
        <f>_xlfn.XLOOKUP(tblTransactions[[#This Row],[StoreID]],tblStores[StoreID],tblStores[Region])</f>
        <v>North</v>
      </c>
      <c r="I981">
        <v>1</v>
      </c>
      <c r="J981">
        <v>0.1</v>
      </c>
      <c r="K981" t="s">
        <v>16317</v>
      </c>
      <c r="L981" s="9">
        <f>_xlfn.XLOOKUP(tblTransactions[[#This Row],[ProductID]],tblProducts[ProductID],tblProducts[UnitPrice])</f>
        <v>3897.08</v>
      </c>
      <c r="M981" s="9">
        <f>tblTransactions[[#This Row],[Quantity]]*tblTransactions[[#This Row],[UnitPrice]]</f>
        <v>3897.08</v>
      </c>
      <c r="N981" s="9">
        <f>tblTransactions[[#This Row],[GrossSales]]*tblTransactions[[#This Row],[Discount]]</f>
        <v>389.70800000000003</v>
      </c>
      <c r="O981" s="9">
        <f>tblTransactions[[#This Row],[GrossSales]]-tblTransactions[[#This Row],[DiscountAmount]]</f>
        <v>3507.3719999999998</v>
      </c>
      <c r="P981" s="9">
        <f>_xlfn.XLOOKUP(tblTransactions[[#This Row],[ProductID]],tblProducts[ProductID],tblProducts[UnitCost])</f>
        <v>3214.46</v>
      </c>
      <c r="Q981" s="9">
        <f>tblTransactions[[#This Row],[Quantity]]*tblTransactions[[#This Row],[UnitCost]]</f>
        <v>3214.46</v>
      </c>
      <c r="R981" s="9">
        <f>tblTransactions[[#This Row],[NetRevenue]]-tblTransactions[[#This Row],[TotalCost]]</f>
        <v>292.91199999999981</v>
      </c>
      <c r="S981" t="str">
        <f>_xlfn.XLOOKUP(tblTransactions[[#This Row],[ProductID]],tblProducts[ProductID],tblProducts[Category])</f>
        <v>Personal Care</v>
      </c>
    </row>
    <row r="982" spans="1:19">
      <c r="A982" t="s">
        <v>17299</v>
      </c>
      <c r="B982" s="1">
        <v>45999</v>
      </c>
      <c r="C982" t="s">
        <v>1099</v>
      </c>
      <c r="D982" t="str">
        <f>_xlfn.XLOOKUP(tblTransactions[[#This Row],[CustomerID]],tblCustomers[CustomerID],tblCustomers[CustomerName])</f>
        <v>Adweta Lad</v>
      </c>
      <c r="E982" t="s">
        <v>15948</v>
      </c>
      <c r="F982" t="str">
        <f>_xlfn.XLOOKUP(tblTransactions[[#This Row],[ProductID]],tblProducts[ProductID],tblProducts[ProductName])</f>
        <v>Budget Smartphone B2</v>
      </c>
      <c r="G982" t="s">
        <v>16295</v>
      </c>
      <c r="H982" t="str">
        <f>_xlfn.XLOOKUP(tblTransactions[[#This Row],[StoreID]],tblStores[StoreID],tblStores[Region])</f>
        <v>South</v>
      </c>
      <c r="I982">
        <v>5</v>
      </c>
      <c r="J982">
        <v>0.05</v>
      </c>
      <c r="K982" t="s">
        <v>16315</v>
      </c>
      <c r="L982" s="9">
        <f>_xlfn.XLOOKUP(tblTransactions[[#This Row],[ProductID]],tblProducts[ProductID],tblProducts[UnitPrice])</f>
        <v>4404.4399999999996</v>
      </c>
      <c r="M982" s="9">
        <f>tblTransactions[[#This Row],[Quantity]]*tblTransactions[[#This Row],[UnitPrice]]</f>
        <v>22022.199999999997</v>
      </c>
      <c r="N982" s="9">
        <f>tblTransactions[[#This Row],[GrossSales]]*tblTransactions[[#This Row],[Discount]]</f>
        <v>1101.1099999999999</v>
      </c>
      <c r="O982" s="9">
        <f>tblTransactions[[#This Row],[GrossSales]]-tblTransactions[[#This Row],[DiscountAmount]]</f>
        <v>20921.089999999997</v>
      </c>
      <c r="P982" s="9">
        <f>_xlfn.XLOOKUP(tblTransactions[[#This Row],[ProductID]],tblProducts[ProductID],tblProducts[UnitCost])</f>
        <v>3239.84</v>
      </c>
      <c r="Q982" s="9">
        <f>tblTransactions[[#This Row],[Quantity]]*tblTransactions[[#This Row],[UnitCost]]</f>
        <v>16199.2</v>
      </c>
      <c r="R982" s="9">
        <f>tblTransactions[[#This Row],[NetRevenue]]-tblTransactions[[#This Row],[TotalCost]]</f>
        <v>4721.8899999999958</v>
      </c>
      <c r="S982" t="str">
        <f>_xlfn.XLOOKUP(tblTransactions[[#This Row],[ProductID]],tblProducts[ProductID],tblProducts[Category])</f>
        <v>Electronics</v>
      </c>
    </row>
    <row r="983" spans="1:19">
      <c r="A983" t="s">
        <v>17300</v>
      </c>
      <c r="B983" s="1">
        <v>46003</v>
      </c>
      <c r="C983" t="s">
        <v>8138</v>
      </c>
      <c r="D983" t="str">
        <f>_xlfn.XLOOKUP(tblTransactions[[#This Row],[CustomerID]],tblCustomers[CustomerID],tblCustomers[CustomerName])</f>
        <v>Vanya Kumer</v>
      </c>
      <c r="E983" t="s">
        <v>16032</v>
      </c>
      <c r="F983" t="str">
        <f>_xlfn.XLOOKUP(tblTransactions[[#This Row],[ProductID]],tblProducts[ProductID],tblProducts[ProductName])</f>
        <v>Study Table D4</v>
      </c>
      <c r="G983" t="s">
        <v>16287</v>
      </c>
      <c r="H983" t="str">
        <f>_xlfn.XLOOKUP(tblTransactions[[#This Row],[StoreID]],tblStores[StoreID],tblStores[Region])</f>
        <v>North</v>
      </c>
      <c r="I983">
        <v>1</v>
      </c>
      <c r="J983">
        <v>0</v>
      </c>
      <c r="K983" t="s">
        <v>16315</v>
      </c>
      <c r="L983" s="9">
        <f>_xlfn.XLOOKUP(tblTransactions[[#This Row],[ProductID]],tblProducts[ProductID],tblProducts[UnitPrice])</f>
        <v>643.36</v>
      </c>
      <c r="M983" s="9">
        <f>tblTransactions[[#This Row],[Quantity]]*tblTransactions[[#This Row],[UnitPrice]]</f>
        <v>643.36</v>
      </c>
      <c r="N983" s="9">
        <f>tblTransactions[[#This Row],[GrossSales]]*tblTransactions[[#This Row],[Discount]]</f>
        <v>0</v>
      </c>
      <c r="O983" s="9">
        <f>tblTransactions[[#This Row],[GrossSales]]-tblTransactions[[#This Row],[DiscountAmount]]</f>
        <v>643.36</v>
      </c>
      <c r="P983" s="9">
        <f>_xlfn.XLOOKUP(tblTransactions[[#This Row],[ProductID]],tblProducts[ProductID],tblProducts[UnitCost])</f>
        <v>460.5</v>
      </c>
      <c r="Q983" s="9">
        <f>tblTransactions[[#This Row],[Quantity]]*tblTransactions[[#This Row],[UnitCost]]</f>
        <v>460.5</v>
      </c>
      <c r="R983" s="9">
        <f>tblTransactions[[#This Row],[NetRevenue]]-tblTransactions[[#This Row],[TotalCost]]</f>
        <v>182.86</v>
      </c>
      <c r="S983" t="str">
        <f>_xlfn.XLOOKUP(tblTransactions[[#This Row],[ProductID]],tblProducts[ProductID],tblProducts[Category])</f>
        <v>Home &amp; Kitchen</v>
      </c>
    </row>
    <row r="984" spans="1:19">
      <c r="A984" t="s">
        <v>17301</v>
      </c>
      <c r="B984" s="1">
        <v>46003</v>
      </c>
      <c r="C984" t="s">
        <v>15047</v>
      </c>
      <c r="D984" t="str">
        <f>_xlfn.XLOOKUP(tblTransactions[[#This Row],[CustomerID]],tblCustomers[CustomerID],tblCustomers[CustomerName])</f>
        <v>Utkarsh Char</v>
      </c>
      <c r="E984" t="s">
        <v>16023</v>
      </c>
      <c r="F984" t="str">
        <f>_xlfn.XLOOKUP(tblTransactions[[#This Row],[ProductID]],tblProducts[ProductID],tblProducts[ProductName])</f>
        <v>Microwave Oven B7</v>
      </c>
      <c r="G984" t="s">
        <v>16303</v>
      </c>
      <c r="H984" t="str">
        <f>_xlfn.XLOOKUP(tblTransactions[[#This Row],[StoreID]],tblStores[StoreID],tblStores[Region])</f>
        <v>West</v>
      </c>
      <c r="I984">
        <v>1</v>
      </c>
      <c r="J984">
        <v>0</v>
      </c>
      <c r="K984" t="s">
        <v>16321</v>
      </c>
      <c r="L984" s="9">
        <f>_xlfn.XLOOKUP(tblTransactions[[#This Row],[ProductID]],tblProducts[ProductID],tblProducts[UnitPrice])</f>
        <v>14353.88</v>
      </c>
      <c r="M984" s="9">
        <f>tblTransactions[[#This Row],[Quantity]]*tblTransactions[[#This Row],[UnitPrice]]</f>
        <v>14353.88</v>
      </c>
      <c r="N984" s="9">
        <f>tblTransactions[[#This Row],[GrossSales]]*tblTransactions[[#This Row],[Discount]]</f>
        <v>0</v>
      </c>
      <c r="O984" s="9">
        <f>tblTransactions[[#This Row],[GrossSales]]-tblTransactions[[#This Row],[DiscountAmount]]</f>
        <v>14353.88</v>
      </c>
      <c r="P984" s="9">
        <f>_xlfn.XLOOKUP(tblTransactions[[#This Row],[ProductID]],tblProducts[ProductID],tblProducts[UnitCost])</f>
        <v>8791.7900000000009</v>
      </c>
      <c r="Q984" s="9">
        <f>tblTransactions[[#This Row],[Quantity]]*tblTransactions[[#This Row],[UnitCost]]</f>
        <v>8791.7900000000009</v>
      </c>
      <c r="R984" s="9">
        <f>tblTransactions[[#This Row],[NetRevenue]]-tblTransactions[[#This Row],[TotalCost]]</f>
        <v>5562.0899999999983</v>
      </c>
      <c r="S984" t="str">
        <f>_xlfn.XLOOKUP(tblTransactions[[#This Row],[ProductID]],tblProducts[ProductID],tblProducts[Category])</f>
        <v>Home &amp; Kitchen</v>
      </c>
    </row>
    <row r="985" spans="1:19">
      <c r="A985" t="s">
        <v>17302</v>
      </c>
      <c r="B985" s="1">
        <v>46005</v>
      </c>
      <c r="C985" t="s">
        <v>430</v>
      </c>
      <c r="D985" t="str">
        <f>_xlfn.XLOOKUP(tblTransactions[[#This Row],[CustomerID]],tblCustomers[CustomerID],tblCustomers[CustomerName])</f>
        <v>Idika Walia</v>
      </c>
      <c r="E985" t="s">
        <v>15999</v>
      </c>
      <c r="F985" t="str">
        <f>_xlfn.XLOOKUP(tblTransactions[[#This Row],[ProductID]],tblProducts[ProductID],tblProducts[ProductName])</f>
        <v>Wireless Charger C3</v>
      </c>
      <c r="G985" t="s">
        <v>16275</v>
      </c>
      <c r="H985" t="str">
        <f>_xlfn.XLOOKUP(tblTransactions[[#This Row],[StoreID]],tblStores[StoreID],tblStores[Region])</f>
        <v>South</v>
      </c>
      <c r="I985">
        <v>1</v>
      </c>
      <c r="J985">
        <v>0</v>
      </c>
      <c r="K985" t="s">
        <v>16317</v>
      </c>
      <c r="L985" s="9">
        <f>_xlfn.XLOOKUP(tblTransactions[[#This Row],[ProductID]],tblProducts[ProductID],tblProducts[UnitPrice])</f>
        <v>70426.350000000006</v>
      </c>
      <c r="M985" s="9">
        <f>tblTransactions[[#This Row],[Quantity]]*tblTransactions[[#This Row],[UnitPrice]]</f>
        <v>70426.350000000006</v>
      </c>
      <c r="N985" s="9">
        <f>tblTransactions[[#This Row],[GrossSales]]*tblTransactions[[#This Row],[Discount]]</f>
        <v>0</v>
      </c>
      <c r="O985" s="9">
        <f>tblTransactions[[#This Row],[GrossSales]]-tblTransactions[[#This Row],[DiscountAmount]]</f>
        <v>70426.350000000006</v>
      </c>
      <c r="P985" s="9">
        <f>_xlfn.XLOOKUP(tblTransactions[[#This Row],[ProductID]],tblProducts[ProductID],tblProducts[UnitCost])</f>
        <v>41048.31</v>
      </c>
      <c r="Q985" s="9">
        <f>tblTransactions[[#This Row],[Quantity]]*tblTransactions[[#This Row],[UnitCost]]</f>
        <v>41048.31</v>
      </c>
      <c r="R985" s="9">
        <f>tblTransactions[[#This Row],[NetRevenue]]-tblTransactions[[#This Row],[TotalCost]]</f>
        <v>29378.040000000008</v>
      </c>
      <c r="S985" t="str">
        <f>_xlfn.XLOOKUP(tblTransactions[[#This Row],[ProductID]],tblProducts[ProductID],tblProducts[Category])</f>
        <v>Electronics</v>
      </c>
    </row>
    <row r="986" spans="1:19">
      <c r="A986" t="s">
        <v>17303</v>
      </c>
      <c r="B986" s="1">
        <v>46009</v>
      </c>
      <c r="C986" t="s">
        <v>4704</v>
      </c>
      <c r="D986" t="str">
        <f>_xlfn.XLOOKUP(tblTransactions[[#This Row],[CustomerID]],tblCustomers[CustomerID],tblCustomers[CustomerName])</f>
        <v>Bina Bansal</v>
      </c>
      <c r="E986" t="s">
        <v>15962</v>
      </c>
      <c r="F986" t="str">
        <f>_xlfn.XLOOKUP(tblTransactions[[#This Row],[ProductID]],tblProducts[ProductID],tblProducts[ProductName])</f>
        <v>Ultrabook A1</v>
      </c>
      <c r="G986" t="s">
        <v>16279</v>
      </c>
      <c r="H986" t="str">
        <f>_xlfn.XLOOKUP(tblTransactions[[#This Row],[StoreID]],tblStores[StoreID],tblStores[Region])</f>
        <v>South</v>
      </c>
      <c r="I986">
        <v>1</v>
      </c>
      <c r="J986">
        <v>0.05</v>
      </c>
      <c r="K986" t="s">
        <v>16315</v>
      </c>
      <c r="L986" s="9">
        <f>_xlfn.XLOOKUP(tblTransactions[[#This Row],[ProductID]],tblProducts[ProductID],tblProducts[UnitPrice])</f>
        <v>61469.2</v>
      </c>
      <c r="M986" s="9">
        <f>tblTransactions[[#This Row],[Quantity]]*tblTransactions[[#This Row],[UnitPrice]]</f>
        <v>61469.2</v>
      </c>
      <c r="N986" s="9">
        <f>tblTransactions[[#This Row],[GrossSales]]*tblTransactions[[#This Row],[Discount]]</f>
        <v>3073.46</v>
      </c>
      <c r="O986" s="9">
        <f>tblTransactions[[#This Row],[GrossSales]]-tblTransactions[[#This Row],[DiscountAmount]]</f>
        <v>58395.74</v>
      </c>
      <c r="P986" s="9">
        <f>_xlfn.XLOOKUP(tblTransactions[[#This Row],[ProductID]],tblProducts[ProductID],tblProducts[UnitCost])</f>
        <v>39781.99</v>
      </c>
      <c r="Q986" s="9">
        <f>tblTransactions[[#This Row],[Quantity]]*tblTransactions[[#This Row],[UnitCost]]</f>
        <v>39781.99</v>
      </c>
      <c r="R986" s="9">
        <f>tblTransactions[[#This Row],[NetRevenue]]-tblTransactions[[#This Row],[TotalCost]]</f>
        <v>18613.75</v>
      </c>
      <c r="S986" t="str">
        <f>_xlfn.XLOOKUP(tblTransactions[[#This Row],[ProductID]],tblProducts[ProductID],tblProducts[Category])</f>
        <v>Electronics</v>
      </c>
    </row>
    <row r="987" spans="1:19">
      <c r="A987" t="s">
        <v>17304</v>
      </c>
      <c r="B987" s="1">
        <v>46009</v>
      </c>
      <c r="C987" t="s">
        <v>5081</v>
      </c>
      <c r="D987" t="str">
        <f>_xlfn.XLOOKUP(tblTransactions[[#This Row],[CustomerID]],tblCustomers[CustomerID],tblCustomers[CustomerName])</f>
        <v>Riya Bhakta</v>
      </c>
      <c r="E987" t="s">
        <v>16141</v>
      </c>
      <c r="F987" t="str">
        <f>_xlfn.XLOOKUP(tblTransactions[[#This Row],[ProductID]],tblProducts[ProductID],tblProducts[ProductName])</f>
        <v>Sugar E5</v>
      </c>
      <c r="G987" t="s">
        <v>16277</v>
      </c>
      <c r="H987" t="str">
        <f>_xlfn.XLOOKUP(tblTransactions[[#This Row],[StoreID]],tblStores[StoreID],tblStores[Region])</f>
        <v>West</v>
      </c>
      <c r="I987">
        <v>1</v>
      </c>
      <c r="J987">
        <v>0</v>
      </c>
      <c r="K987" t="s">
        <v>16317</v>
      </c>
      <c r="L987" s="9">
        <f>_xlfn.XLOOKUP(tblTransactions[[#This Row],[ProductID]],tblProducts[ProductID],tblProducts[UnitPrice])</f>
        <v>631.26</v>
      </c>
      <c r="M987" s="9">
        <f>tblTransactions[[#This Row],[Quantity]]*tblTransactions[[#This Row],[UnitPrice]]</f>
        <v>631.26</v>
      </c>
      <c r="N987" s="9">
        <f>tblTransactions[[#This Row],[GrossSales]]*tblTransactions[[#This Row],[Discount]]</f>
        <v>0</v>
      </c>
      <c r="O987" s="9">
        <f>tblTransactions[[#This Row],[GrossSales]]-tblTransactions[[#This Row],[DiscountAmount]]</f>
        <v>631.26</v>
      </c>
      <c r="P987" s="9">
        <f>_xlfn.XLOOKUP(tblTransactions[[#This Row],[ProductID]],tblProducts[ProductID],tblProducts[UnitCost])</f>
        <v>394.86</v>
      </c>
      <c r="Q987" s="9">
        <f>tblTransactions[[#This Row],[Quantity]]*tblTransactions[[#This Row],[UnitCost]]</f>
        <v>394.86</v>
      </c>
      <c r="R987" s="9">
        <f>tblTransactions[[#This Row],[NetRevenue]]-tblTransactions[[#This Row],[TotalCost]]</f>
        <v>236.39999999999998</v>
      </c>
      <c r="S987" t="str">
        <f>_xlfn.XLOOKUP(tblTransactions[[#This Row],[ProductID]],tblProducts[ProductID],tblProducts[Category])</f>
        <v>Grocery</v>
      </c>
    </row>
    <row r="988" spans="1:19">
      <c r="A988" t="s">
        <v>17305</v>
      </c>
      <c r="B988" s="1">
        <v>46009</v>
      </c>
      <c r="C988" t="s">
        <v>8643</v>
      </c>
      <c r="D988" t="str">
        <f>_xlfn.XLOOKUP(tblTransactions[[#This Row],[CustomerID]],tblCustomers[CustomerID],tblCustomers[CustomerName])</f>
        <v>Vivaan Ahuja</v>
      </c>
      <c r="E988" t="s">
        <v>16121</v>
      </c>
      <c r="F988" t="str">
        <f>_xlfn.XLOOKUP(tblTransactions[[#This Row],[ProductID]],tblProducts[ProductID],tblProducts[ProductName])</f>
        <v>Sandals C3</v>
      </c>
      <c r="G988" t="s">
        <v>16291</v>
      </c>
      <c r="H988" t="str">
        <f>_xlfn.XLOOKUP(tblTransactions[[#This Row],[StoreID]],tblStores[StoreID],tblStores[Region])</f>
        <v>South</v>
      </c>
      <c r="I988">
        <v>1</v>
      </c>
      <c r="J988">
        <v>0.1</v>
      </c>
      <c r="K988" t="s">
        <v>16321</v>
      </c>
      <c r="L988" s="9">
        <f>_xlfn.XLOOKUP(tblTransactions[[#This Row],[ProductID]],tblProducts[ProductID],tblProducts[UnitPrice])</f>
        <v>6708.36</v>
      </c>
      <c r="M988" s="9">
        <f>tblTransactions[[#This Row],[Quantity]]*tblTransactions[[#This Row],[UnitPrice]]</f>
        <v>6708.36</v>
      </c>
      <c r="N988" s="9">
        <f>tblTransactions[[#This Row],[GrossSales]]*tblTransactions[[#This Row],[Discount]]</f>
        <v>670.83600000000001</v>
      </c>
      <c r="O988" s="9">
        <f>tblTransactions[[#This Row],[GrossSales]]-tblTransactions[[#This Row],[DiscountAmount]]</f>
        <v>6037.5239999999994</v>
      </c>
      <c r="P988" s="9">
        <f>_xlfn.XLOOKUP(tblTransactions[[#This Row],[ProductID]],tblProducts[ProductID],tblProducts[UnitCost])</f>
        <v>5031.45</v>
      </c>
      <c r="Q988" s="9">
        <f>tblTransactions[[#This Row],[Quantity]]*tblTransactions[[#This Row],[UnitCost]]</f>
        <v>5031.45</v>
      </c>
      <c r="R988" s="9">
        <f>tblTransactions[[#This Row],[NetRevenue]]-tblTransactions[[#This Row],[TotalCost]]</f>
        <v>1006.0739999999996</v>
      </c>
      <c r="S988" t="str">
        <f>_xlfn.XLOOKUP(tblTransactions[[#This Row],[ProductID]],tblProducts[ProductID],tblProducts[Category])</f>
        <v>Clothing</v>
      </c>
    </row>
    <row r="989" spans="1:19">
      <c r="A989" t="s">
        <v>17306</v>
      </c>
      <c r="B989" s="1">
        <v>46009</v>
      </c>
      <c r="C989" t="s">
        <v>13659</v>
      </c>
      <c r="D989" t="str">
        <f>_xlfn.XLOOKUP(tblTransactions[[#This Row],[CustomerID]],tblCustomers[CustomerID],tblCustomers[CustomerName])</f>
        <v>Lopa Savant</v>
      </c>
      <c r="E989" t="s">
        <v>16129</v>
      </c>
      <c r="F989" t="str">
        <f>_xlfn.XLOOKUP(tblTransactions[[#This Row],[ProductID]],tblProducts[ProductID],tblProducts[ProductName])</f>
        <v>Running Shoes B7</v>
      </c>
      <c r="G989" t="s">
        <v>16271</v>
      </c>
      <c r="H989" t="str">
        <f>_xlfn.XLOOKUP(tblTransactions[[#This Row],[StoreID]],tblStores[StoreID],tblStores[Region])</f>
        <v>South</v>
      </c>
      <c r="I989">
        <v>1</v>
      </c>
      <c r="J989">
        <v>0.1</v>
      </c>
      <c r="K989" t="s">
        <v>16317</v>
      </c>
      <c r="L989" s="9">
        <f>_xlfn.XLOOKUP(tblTransactions[[#This Row],[ProductID]],tblProducts[ProductID],tblProducts[UnitPrice])</f>
        <v>7178.77</v>
      </c>
      <c r="M989" s="9">
        <f>tblTransactions[[#This Row],[Quantity]]*tblTransactions[[#This Row],[UnitPrice]]</f>
        <v>7178.77</v>
      </c>
      <c r="N989" s="9">
        <f>tblTransactions[[#This Row],[GrossSales]]*tblTransactions[[#This Row],[Discount]]</f>
        <v>717.87700000000007</v>
      </c>
      <c r="O989" s="9">
        <f>tblTransactions[[#This Row],[GrossSales]]-tblTransactions[[#This Row],[DiscountAmount]]</f>
        <v>6460.893</v>
      </c>
      <c r="P989" s="9">
        <f>_xlfn.XLOOKUP(tblTransactions[[#This Row],[ProductID]],tblProducts[ProductID],tblProducts[UnitCost])</f>
        <v>4813.8</v>
      </c>
      <c r="Q989" s="9">
        <f>tblTransactions[[#This Row],[Quantity]]*tblTransactions[[#This Row],[UnitCost]]</f>
        <v>4813.8</v>
      </c>
      <c r="R989" s="9">
        <f>tblTransactions[[#This Row],[NetRevenue]]-tblTransactions[[#This Row],[TotalCost]]</f>
        <v>1647.0929999999998</v>
      </c>
      <c r="S989" t="str">
        <f>_xlfn.XLOOKUP(tblTransactions[[#This Row],[ProductID]],tblProducts[ProductID],tblProducts[Category])</f>
        <v>Clothing</v>
      </c>
    </row>
    <row r="990" spans="1:19">
      <c r="A990" t="s">
        <v>17307</v>
      </c>
      <c r="B990" s="1">
        <v>46011</v>
      </c>
      <c r="C990" t="s">
        <v>10082</v>
      </c>
      <c r="D990" t="str">
        <f>_xlfn.XLOOKUP(tblTransactions[[#This Row],[CustomerID]],tblCustomers[CustomerID],tblCustomers[CustomerName])</f>
        <v>Ojas Lata</v>
      </c>
      <c r="E990" t="s">
        <v>16021</v>
      </c>
      <c r="F990" t="str">
        <f>_xlfn.XLOOKUP(tblTransactions[[#This Row],[ProductID]],tblProducts[ProductID],tblProducts[ProductName])</f>
        <v>Microwave Oven A6</v>
      </c>
      <c r="G990" t="s">
        <v>16262</v>
      </c>
      <c r="H990" t="str">
        <f>_xlfn.XLOOKUP(tblTransactions[[#This Row],[StoreID]],tblStores[StoreID],tblStores[Region])</f>
        <v>North</v>
      </c>
      <c r="I990">
        <v>1</v>
      </c>
      <c r="J990">
        <v>0.05</v>
      </c>
      <c r="K990" t="s">
        <v>16317</v>
      </c>
      <c r="L990" s="9">
        <f>_xlfn.XLOOKUP(tblTransactions[[#This Row],[ProductID]],tblProducts[ProductID],tblProducts[UnitPrice])</f>
        <v>20212.79</v>
      </c>
      <c r="M990" s="9">
        <f>tblTransactions[[#This Row],[Quantity]]*tblTransactions[[#This Row],[UnitPrice]]</f>
        <v>20212.79</v>
      </c>
      <c r="N990" s="9">
        <f>tblTransactions[[#This Row],[GrossSales]]*tblTransactions[[#This Row],[Discount]]</f>
        <v>1010.6395000000001</v>
      </c>
      <c r="O990" s="9">
        <f>tblTransactions[[#This Row],[GrossSales]]-tblTransactions[[#This Row],[DiscountAmount]]</f>
        <v>19202.1505</v>
      </c>
      <c r="P990" s="9">
        <f>_xlfn.XLOOKUP(tblTransactions[[#This Row],[ProductID]],tblProducts[ProductID],tblProducts[UnitCost])</f>
        <v>16868.88</v>
      </c>
      <c r="Q990" s="9">
        <f>tblTransactions[[#This Row],[Quantity]]*tblTransactions[[#This Row],[UnitCost]]</f>
        <v>16868.88</v>
      </c>
      <c r="R990" s="9">
        <f>tblTransactions[[#This Row],[NetRevenue]]-tblTransactions[[#This Row],[TotalCost]]</f>
        <v>2333.2704999999987</v>
      </c>
      <c r="S990" t="str">
        <f>_xlfn.XLOOKUP(tblTransactions[[#This Row],[ProductID]],tblProducts[ProductID],tblProducts[Category])</f>
        <v>Home &amp; Kitchen</v>
      </c>
    </row>
    <row r="991" spans="1:19">
      <c r="A991" t="s">
        <v>17308</v>
      </c>
      <c r="B991" s="1">
        <v>46012</v>
      </c>
      <c r="C991" t="s">
        <v>7910</v>
      </c>
      <c r="D991" t="str">
        <f>_xlfn.XLOOKUP(tblTransactions[[#This Row],[CustomerID]],tblCustomers[CustomerID],tblCustomers[CustomerName])</f>
        <v>Akshay Bhattacharyya</v>
      </c>
      <c r="E991" t="s">
        <v>15988</v>
      </c>
      <c r="F991" t="str">
        <f>_xlfn.XLOOKUP(tblTransactions[[#This Row],[ProductID]],tblProducts[ProductID],tblProducts[ProductName])</f>
        <v>Soundbar E5</v>
      </c>
      <c r="G991" t="s">
        <v>16297</v>
      </c>
      <c r="H991" t="str">
        <f>_xlfn.XLOOKUP(tblTransactions[[#This Row],[StoreID]],tblStores[StoreID],tblStores[Region])</f>
        <v>North</v>
      </c>
      <c r="I991">
        <v>3</v>
      </c>
      <c r="J991">
        <v>0</v>
      </c>
      <c r="K991" t="s">
        <v>16317</v>
      </c>
      <c r="L991" s="9">
        <f>_xlfn.XLOOKUP(tblTransactions[[#This Row],[ProductID]],tblProducts[ProductID],tblProducts[UnitPrice])</f>
        <v>51647.41</v>
      </c>
      <c r="M991" s="9">
        <f>tblTransactions[[#This Row],[Quantity]]*tblTransactions[[#This Row],[UnitPrice]]</f>
        <v>154942.23000000001</v>
      </c>
      <c r="N991" s="9">
        <f>tblTransactions[[#This Row],[GrossSales]]*tblTransactions[[#This Row],[Discount]]</f>
        <v>0</v>
      </c>
      <c r="O991" s="9">
        <f>tblTransactions[[#This Row],[GrossSales]]-tblTransactions[[#This Row],[DiscountAmount]]</f>
        <v>154942.23000000001</v>
      </c>
      <c r="P991" s="9">
        <f>_xlfn.XLOOKUP(tblTransactions[[#This Row],[ProductID]],tblProducts[ProductID],tblProducts[UnitCost])</f>
        <v>43564.65</v>
      </c>
      <c r="Q991" s="9">
        <f>tblTransactions[[#This Row],[Quantity]]*tblTransactions[[#This Row],[UnitCost]]</f>
        <v>130693.95000000001</v>
      </c>
      <c r="R991" s="9">
        <f>tblTransactions[[#This Row],[NetRevenue]]-tblTransactions[[#This Row],[TotalCost]]</f>
        <v>24248.28</v>
      </c>
      <c r="S991" t="str">
        <f>_xlfn.XLOOKUP(tblTransactions[[#This Row],[ProductID]],tblProducts[ProductID],tblProducts[Category])</f>
        <v>Electronics</v>
      </c>
    </row>
    <row r="992" spans="1:19">
      <c r="A992" t="s">
        <v>17309</v>
      </c>
      <c r="B992" s="1">
        <v>46012</v>
      </c>
      <c r="C992" t="s">
        <v>6509</v>
      </c>
      <c r="D992" t="str">
        <f>_xlfn.XLOOKUP(tblTransactions[[#This Row],[CustomerID]],tblCustomers[CustomerID],tblCustomers[CustomerName])</f>
        <v>Quincy Parmar</v>
      </c>
      <c r="E992" t="s">
        <v>16110</v>
      </c>
      <c r="F992" t="str">
        <f>_xlfn.XLOOKUP(tblTransactions[[#This Row],[ProductID]],tblProducts[ProductID],tblProducts[ProductName])</f>
        <v>Kids T-Shirt E5</v>
      </c>
      <c r="G992" t="s">
        <v>16301</v>
      </c>
      <c r="H992" t="str">
        <f>_xlfn.XLOOKUP(tblTransactions[[#This Row],[StoreID]],tblStores[StoreID],tblStores[Region])</f>
        <v>East</v>
      </c>
      <c r="I992">
        <v>4</v>
      </c>
      <c r="J992">
        <v>0.05</v>
      </c>
      <c r="K992" t="s">
        <v>16321</v>
      </c>
      <c r="L992" s="9">
        <f>_xlfn.XLOOKUP(tblTransactions[[#This Row],[ProductID]],tblProducts[ProductID],tblProducts[UnitPrice])</f>
        <v>508.67</v>
      </c>
      <c r="M992" s="9">
        <f>tblTransactions[[#This Row],[Quantity]]*tblTransactions[[#This Row],[UnitPrice]]</f>
        <v>2034.68</v>
      </c>
      <c r="N992" s="9">
        <f>tblTransactions[[#This Row],[GrossSales]]*tblTransactions[[#This Row],[Discount]]</f>
        <v>101.73400000000001</v>
      </c>
      <c r="O992" s="9">
        <f>tblTransactions[[#This Row],[GrossSales]]-tblTransactions[[#This Row],[DiscountAmount]]</f>
        <v>1932.9460000000001</v>
      </c>
      <c r="P992" s="9">
        <f>_xlfn.XLOOKUP(tblTransactions[[#This Row],[ProductID]],tblProducts[ProductID],tblProducts[UnitCost])</f>
        <v>386.39</v>
      </c>
      <c r="Q992" s="9">
        <f>tblTransactions[[#This Row],[Quantity]]*tblTransactions[[#This Row],[UnitCost]]</f>
        <v>1545.56</v>
      </c>
      <c r="R992" s="9">
        <f>tblTransactions[[#This Row],[NetRevenue]]-tblTransactions[[#This Row],[TotalCost]]</f>
        <v>387.38600000000019</v>
      </c>
      <c r="S992" t="str">
        <f>_xlfn.XLOOKUP(tblTransactions[[#This Row],[ProductID]],tblProducts[ProductID],tblProducts[Category])</f>
        <v>Clothing</v>
      </c>
    </row>
    <row r="993" spans="1:19">
      <c r="A993" t="s">
        <v>17310</v>
      </c>
      <c r="B993" s="1">
        <v>46013</v>
      </c>
      <c r="C993" t="s">
        <v>15306</v>
      </c>
      <c r="D993" t="str">
        <f>_xlfn.XLOOKUP(tblTransactions[[#This Row],[CustomerID]],tblCustomers[CustomerID],tblCustomers[CustomerName])</f>
        <v>Vinaya Parmar</v>
      </c>
      <c r="E993" t="s">
        <v>16001</v>
      </c>
      <c r="F993" t="str">
        <f>_xlfn.XLOOKUP(tblTransactions[[#This Row],[ProductID]],tblProducts[ProductID],tblProducts[ProductName])</f>
        <v>Power Bank D4</v>
      </c>
      <c r="G993" t="s">
        <v>16283</v>
      </c>
      <c r="H993" t="str">
        <f>_xlfn.XLOOKUP(tblTransactions[[#This Row],[StoreID]],tblStores[StoreID],tblStores[Region])</f>
        <v>South</v>
      </c>
      <c r="I993">
        <v>1</v>
      </c>
      <c r="J993">
        <v>0.1</v>
      </c>
      <c r="K993" t="s">
        <v>16317</v>
      </c>
      <c r="L993" s="9">
        <f>_xlfn.XLOOKUP(tblTransactions[[#This Row],[ProductID]],tblProducts[ProductID],tblProducts[UnitPrice])</f>
        <v>29153.55</v>
      </c>
      <c r="M993" s="9">
        <f>tblTransactions[[#This Row],[Quantity]]*tblTransactions[[#This Row],[UnitPrice]]</f>
        <v>29153.55</v>
      </c>
      <c r="N993" s="9">
        <f>tblTransactions[[#This Row],[GrossSales]]*tblTransactions[[#This Row],[Discount]]</f>
        <v>2915.355</v>
      </c>
      <c r="O993" s="9">
        <f>tblTransactions[[#This Row],[GrossSales]]-tblTransactions[[#This Row],[DiscountAmount]]</f>
        <v>26238.195</v>
      </c>
      <c r="P993" s="9">
        <f>_xlfn.XLOOKUP(tblTransactions[[#This Row],[ProductID]],tblProducts[ProductID],tblProducts[UnitCost])</f>
        <v>21894.27</v>
      </c>
      <c r="Q993" s="9">
        <f>tblTransactions[[#This Row],[Quantity]]*tblTransactions[[#This Row],[UnitCost]]</f>
        <v>21894.27</v>
      </c>
      <c r="R993" s="9">
        <f>tblTransactions[[#This Row],[NetRevenue]]-tblTransactions[[#This Row],[TotalCost]]</f>
        <v>4343.9249999999993</v>
      </c>
      <c r="S993" t="str">
        <f>_xlfn.XLOOKUP(tblTransactions[[#This Row],[ProductID]],tblProducts[ProductID],tblProducts[Category])</f>
        <v>Electronics</v>
      </c>
    </row>
    <row r="994" spans="1:19">
      <c r="A994" t="s">
        <v>17311</v>
      </c>
      <c r="B994" s="1">
        <v>46015</v>
      </c>
      <c r="C994" t="s">
        <v>11741</v>
      </c>
      <c r="D994" t="str">
        <f>_xlfn.XLOOKUP(tblTransactions[[#This Row],[CustomerID]],tblCustomers[CustomerID],tblCustomers[CustomerName])</f>
        <v>Daksha Arora</v>
      </c>
      <c r="E994" t="s">
        <v>16093</v>
      </c>
      <c r="F994" t="str">
        <f>_xlfn.XLOOKUP(tblTransactions[[#This Row],[ProductID]],tblProducts[ProductID],tblProducts[ProductName])</f>
        <v>Women's Jeans D4</v>
      </c>
      <c r="G994" t="s">
        <v>16269</v>
      </c>
      <c r="H994" t="str">
        <f>_xlfn.XLOOKUP(tblTransactions[[#This Row],[StoreID]],tblStores[StoreID],tblStores[Region])</f>
        <v>North</v>
      </c>
      <c r="I994">
        <v>3</v>
      </c>
      <c r="J994">
        <v>0.1</v>
      </c>
      <c r="K994" t="s">
        <v>16317</v>
      </c>
      <c r="L994" s="9">
        <f>_xlfn.XLOOKUP(tblTransactions[[#This Row],[ProductID]],tblProducts[ProductID],tblProducts[UnitPrice])</f>
        <v>6178.38</v>
      </c>
      <c r="M994" s="9">
        <f>tblTransactions[[#This Row],[Quantity]]*tblTransactions[[#This Row],[UnitPrice]]</f>
        <v>18535.14</v>
      </c>
      <c r="N994" s="9">
        <f>tblTransactions[[#This Row],[GrossSales]]*tblTransactions[[#This Row],[Discount]]</f>
        <v>1853.5140000000001</v>
      </c>
      <c r="O994" s="9">
        <f>tblTransactions[[#This Row],[GrossSales]]-tblTransactions[[#This Row],[DiscountAmount]]</f>
        <v>16681.626</v>
      </c>
      <c r="P994" s="9">
        <f>_xlfn.XLOOKUP(tblTransactions[[#This Row],[ProductID]],tblProducts[ProductID],tblProducts[UnitCost])</f>
        <v>4740.8599999999997</v>
      </c>
      <c r="Q994" s="9">
        <f>tblTransactions[[#This Row],[Quantity]]*tblTransactions[[#This Row],[UnitCost]]</f>
        <v>14222.579999999998</v>
      </c>
      <c r="R994" s="9">
        <f>tblTransactions[[#This Row],[NetRevenue]]-tblTransactions[[#This Row],[TotalCost]]</f>
        <v>2459.0460000000021</v>
      </c>
      <c r="S994" t="str">
        <f>_xlfn.XLOOKUP(tblTransactions[[#This Row],[ProductID]],tblProducts[ProductID],tblProducts[Category])</f>
        <v>Clothing</v>
      </c>
    </row>
    <row r="995" spans="1:19">
      <c r="A995" t="s">
        <v>17312</v>
      </c>
      <c r="B995" s="1">
        <v>46016</v>
      </c>
      <c r="C995" t="s">
        <v>196</v>
      </c>
      <c r="D995" t="str">
        <f>_xlfn.XLOOKUP(tblTransactions[[#This Row],[CustomerID]],tblCustomers[CustomerID],tblCustomers[CustomerName])</f>
        <v>Madhavi Lanka</v>
      </c>
      <c r="E995" t="s">
        <v>16230</v>
      </c>
      <c r="F995" t="str">
        <f>_xlfn.XLOOKUP(tblTransactions[[#This Row],[ProductID]],tblProducts[ProductID],tblProducts[ProductName])</f>
        <v>Body Lotion D4</v>
      </c>
      <c r="G995" t="s">
        <v>16271</v>
      </c>
      <c r="H995" t="str">
        <f>_xlfn.XLOOKUP(tblTransactions[[#This Row],[StoreID]],tblStores[StoreID],tblStores[Region])</f>
        <v>South</v>
      </c>
      <c r="I995">
        <v>1</v>
      </c>
      <c r="J995">
        <v>0</v>
      </c>
      <c r="K995" t="s">
        <v>16319</v>
      </c>
      <c r="L995" s="9">
        <f>_xlfn.XLOOKUP(tblTransactions[[#This Row],[ProductID]],tblProducts[ProductID],tblProducts[UnitPrice])</f>
        <v>3205.72</v>
      </c>
      <c r="M995" s="9">
        <f>tblTransactions[[#This Row],[Quantity]]*tblTransactions[[#This Row],[UnitPrice]]</f>
        <v>3205.72</v>
      </c>
      <c r="N995" s="9">
        <f>tblTransactions[[#This Row],[GrossSales]]*tblTransactions[[#This Row],[Discount]]</f>
        <v>0</v>
      </c>
      <c r="O995" s="9">
        <f>tblTransactions[[#This Row],[GrossSales]]-tblTransactions[[#This Row],[DiscountAmount]]</f>
        <v>3205.72</v>
      </c>
      <c r="P995" s="9">
        <f>_xlfn.XLOOKUP(tblTransactions[[#This Row],[ProductID]],tblProducts[ProductID],tblProducts[UnitCost])</f>
        <v>2167.94</v>
      </c>
      <c r="Q995" s="9">
        <f>tblTransactions[[#This Row],[Quantity]]*tblTransactions[[#This Row],[UnitCost]]</f>
        <v>2167.94</v>
      </c>
      <c r="R995" s="9">
        <f>tblTransactions[[#This Row],[NetRevenue]]-tblTransactions[[#This Row],[TotalCost]]</f>
        <v>1037.7799999999997</v>
      </c>
      <c r="S995" t="str">
        <f>_xlfn.XLOOKUP(tblTransactions[[#This Row],[ProductID]],tblProducts[ProductID],tblProducts[Category])</f>
        <v>Personal Care</v>
      </c>
    </row>
    <row r="996" spans="1:19">
      <c r="A996" t="s">
        <v>17313</v>
      </c>
      <c r="B996" s="1">
        <v>46017</v>
      </c>
      <c r="C996" t="s">
        <v>12269</v>
      </c>
      <c r="D996" t="str">
        <f>_xlfn.XLOOKUP(tblTransactions[[#This Row],[CustomerID]],tblCustomers[CustomerID],tblCustomers[CustomerName])</f>
        <v>Jai Biswas</v>
      </c>
      <c r="E996" t="s">
        <v>16104</v>
      </c>
      <c r="F996" t="str">
        <f>_xlfn.XLOOKUP(tblTransactions[[#This Row],[ProductID]],tblProducts[ProductID],tblProducts[ProductName])</f>
        <v>Kids Jeans B2</v>
      </c>
      <c r="G996" t="s">
        <v>16295</v>
      </c>
      <c r="H996" t="str">
        <f>_xlfn.XLOOKUP(tblTransactions[[#This Row],[StoreID]],tblStores[StoreID],tblStores[Region])</f>
        <v>South</v>
      </c>
      <c r="I996">
        <v>1</v>
      </c>
      <c r="J996">
        <v>0.2</v>
      </c>
      <c r="K996" t="s">
        <v>16317</v>
      </c>
      <c r="L996" s="9">
        <f>_xlfn.XLOOKUP(tblTransactions[[#This Row],[ProductID]],tblProducts[ProductID],tblProducts[UnitPrice])</f>
        <v>5613.98</v>
      </c>
      <c r="M996" s="9">
        <f>tblTransactions[[#This Row],[Quantity]]*tblTransactions[[#This Row],[UnitPrice]]</f>
        <v>5613.98</v>
      </c>
      <c r="N996" s="9">
        <f>tblTransactions[[#This Row],[GrossSales]]*tblTransactions[[#This Row],[Discount]]</f>
        <v>1122.796</v>
      </c>
      <c r="O996" s="9">
        <f>tblTransactions[[#This Row],[GrossSales]]-tblTransactions[[#This Row],[DiscountAmount]]</f>
        <v>4491.1839999999993</v>
      </c>
      <c r="P996" s="9">
        <f>_xlfn.XLOOKUP(tblTransactions[[#This Row],[ProductID]],tblProducts[ProductID],tblProducts[UnitCost])</f>
        <v>3377.41</v>
      </c>
      <c r="Q996" s="9">
        <f>tblTransactions[[#This Row],[Quantity]]*tblTransactions[[#This Row],[UnitCost]]</f>
        <v>3377.41</v>
      </c>
      <c r="R996" s="9">
        <f>tblTransactions[[#This Row],[NetRevenue]]-tblTransactions[[#This Row],[TotalCost]]</f>
        <v>1113.7739999999994</v>
      </c>
      <c r="S996" t="str">
        <f>_xlfn.XLOOKUP(tblTransactions[[#This Row],[ProductID]],tblProducts[ProductID],tblProducts[Category])</f>
        <v>Clothing</v>
      </c>
    </row>
    <row r="997" spans="1:19">
      <c r="A997" t="s">
        <v>17314</v>
      </c>
      <c r="B997" s="1">
        <v>46018</v>
      </c>
      <c r="C997" t="s">
        <v>10647</v>
      </c>
      <c r="D997" t="str">
        <f>_xlfn.XLOOKUP(tblTransactions[[#This Row],[CustomerID]],tblCustomers[CustomerID],tblCustomers[CustomerName])</f>
        <v>Vasudha Gokhale</v>
      </c>
      <c r="E997" t="s">
        <v>16206</v>
      </c>
      <c r="F997" t="str">
        <f>_xlfn.XLOOKUP(tblTransactions[[#This Row],[ProductID]],tblProducts[ProductID],tblProducts[ProductName])</f>
        <v>Moisturizer B7</v>
      </c>
      <c r="G997" t="s">
        <v>16293</v>
      </c>
      <c r="H997" t="str">
        <f>_xlfn.XLOOKUP(tblTransactions[[#This Row],[StoreID]],tblStores[StoreID],tblStores[Region])</f>
        <v>South</v>
      </c>
      <c r="I997">
        <v>1</v>
      </c>
      <c r="J997">
        <v>0.1</v>
      </c>
      <c r="K997" t="s">
        <v>16325</v>
      </c>
      <c r="L997" s="9">
        <f>_xlfn.XLOOKUP(tblTransactions[[#This Row],[ProductID]],tblProducts[ProductID],tblProducts[UnitPrice])</f>
        <v>3285.82</v>
      </c>
      <c r="M997" s="9">
        <f>tblTransactions[[#This Row],[Quantity]]*tblTransactions[[#This Row],[UnitPrice]]</f>
        <v>3285.82</v>
      </c>
      <c r="N997" s="9">
        <f>tblTransactions[[#This Row],[GrossSales]]*tblTransactions[[#This Row],[Discount]]</f>
        <v>328.58200000000005</v>
      </c>
      <c r="O997" s="9">
        <f>tblTransactions[[#This Row],[GrossSales]]-tblTransactions[[#This Row],[DiscountAmount]]</f>
        <v>2957.2380000000003</v>
      </c>
      <c r="P997" s="9">
        <f>_xlfn.XLOOKUP(tblTransactions[[#This Row],[ProductID]],tblProducts[ProductID],tblProducts[UnitCost])</f>
        <v>2256.9699999999998</v>
      </c>
      <c r="Q997" s="9">
        <f>tblTransactions[[#This Row],[Quantity]]*tblTransactions[[#This Row],[UnitCost]]</f>
        <v>2256.9699999999998</v>
      </c>
      <c r="R997" s="9">
        <f>tblTransactions[[#This Row],[NetRevenue]]-tblTransactions[[#This Row],[TotalCost]]</f>
        <v>700.26800000000048</v>
      </c>
      <c r="S997" t="str">
        <f>_xlfn.XLOOKUP(tblTransactions[[#This Row],[ProductID]],tblProducts[ProductID],tblProducts[Category])</f>
        <v>Personal Care</v>
      </c>
    </row>
    <row r="998" spans="1:19">
      <c r="A998" t="s">
        <v>17315</v>
      </c>
      <c r="B998" s="1">
        <v>46019</v>
      </c>
      <c r="C998" t="s">
        <v>3551</v>
      </c>
      <c r="D998" t="str">
        <f>_xlfn.XLOOKUP(tblTransactions[[#This Row],[CustomerID]],tblCustomers[CustomerID],tblCustomers[CustomerName])</f>
        <v>Yash Garg</v>
      </c>
      <c r="E998" t="s">
        <v>16160</v>
      </c>
      <c r="F998" t="str">
        <f>_xlfn.XLOOKUP(tblTransactions[[#This Row],[ProductID]],tblProducts[ProductID],tblProducts[ProductName])</f>
        <v>Namkeen B7</v>
      </c>
      <c r="G998" t="s">
        <v>16293</v>
      </c>
      <c r="H998" t="str">
        <f>_xlfn.XLOOKUP(tblTransactions[[#This Row],[StoreID]],tblStores[StoreID],tblStores[Region])</f>
        <v>South</v>
      </c>
      <c r="I998">
        <v>1</v>
      </c>
      <c r="J998">
        <v>0.05</v>
      </c>
      <c r="K998" t="s">
        <v>16321</v>
      </c>
      <c r="L998" s="9">
        <f>_xlfn.XLOOKUP(tblTransactions[[#This Row],[ProductID]],tblProducts[ProductID],tblProducts[UnitPrice])</f>
        <v>1123.58</v>
      </c>
      <c r="M998" s="9">
        <f>tblTransactions[[#This Row],[Quantity]]*tblTransactions[[#This Row],[UnitPrice]]</f>
        <v>1123.58</v>
      </c>
      <c r="N998" s="9">
        <f>tblTransactions[[#This Row],[GrossSales]]*tblTransactions[[#This Row],[Discount]]</f>
        <v>56.179000000000002</v>
      </c>
      <c r="O998" s="9">
        <f>tblTransactions[[#This Row],[GrossSales]]-tblTransactions[[#This Row],[DiscountAmount]]</f>
        <v>1067.4009999999998</v>
      </c>
      <c r="P998" s="9">
        <f>_xlfn.XLOOKUP(tblTransactions[[#This Row],[ProductID]],tblProducts[ProductID],tblProducts[UnitCost])</f>
        <v>665.75</v>
      </c>
      <c r="Q998" s="9">
        <f>tblTransactions[[#This Row],[Quantity]]*tblTransactions[[#This Row],[UnitCost]]</f>
        <v>665.75</v>
      </c>
      <c r="R998" s="9">
        <f>tblTransactions[[#This Row],[NetRevenue]]-tblTransactions[[#This Row],[TotalCost]]</f>
        <v>401.65099999999984</v>
      </c>
      <c r="S998" t="str">
        <f>_xlfn.XLOOKUP(tblTransactions[[#This Row],[ProductID]],tblProducts[ProductID],tblProducts[Category])</f>
        <v>Grocery</v>
      </c>
    </row>
    <row r="999" spans="1:19">
      <c r="A999" t="s">
        <v>17316</v>
      </c>
      <c r="B999" s="1">
        <v>46021</v>
      </c>
      <c r="C999" t="s">
        <v>13854</v>
      </c>
      <c r="D999" t="str">
        <f>_xlfn.XLOOKUP(tblTransactions[[#This Row],[CustomerID]],tblCustomers[CustomerID],tblCustomers[CustomerName])</f>
        <v>Pahal Bakshi</v>
      </c>
      <c r="E999" t="s">
        <v>16043</v>
      </c>
      <c r="F999" t="str">
        <f>_xlfn.XLOOKUP(tblTransactions[[#This Row],[ProductID]],tblProducts[ProductID],tblProducts[ProductName])</f>
        <v>Non-stick Pan B2</v>
      </c>
      <c r="G999" t="s">
        <v>16283</v>
      </c>
      <c r="H999" t="str">
        <f>_xlfn.XLOOKUP(tblTransactions[[#This Row],[StoreID]],tblStores[StoreID],tblStores[Region])</f>
        <v>South</v>
      </c>
      <c r="I999">
        <v>1</v>
      </c>
      <c r="J999">
        <v>0</v>
      </c>
      <c r="K999" t="s">
        <v>16321</v>
      </c>
      <c r="L999" s="9">
        <f>_xlfn.XLOOKUP(tblTransactions[[#This Row],[ProductID]],tblProducts[ProductID],tblProducts[UnitPrice])</f>
        <v>17619.849999999999</v>
      </c>
      <c r="M999" s="9">
        <f>tblTransactions[[#This Row],[Quantity]]*tblTransactions[[#This Row],[UnitPrice]]</f>
        <v>17619.849999999999</v>
      </c>
      <c r="N999" s="9">
        <f>tblTransactions[[#This Row],[GrossSales]]*tblTransactions[[#This Row],[Discount]]</f>
        <v>0</v>
      </c>
      <c r="O999" s="9">
        <f>tblTransactions[[#This Row],[GrossSales]]-tblTransactions[[#This Row],[DiscountAmount]]</f>
        <v>17619.849999999999</v>
      </c>
      <c r="P999" s="9">
        <f>_xlfn.XLOOKUP(tblTransactions[[#This Row],[ProductID]],tblProducts[ProductID],tblProducts[UnitCost])</f>
        <v>13837.65</v>
      </c>
      <c r="Q999" s="9">
        <f>tblTransactions[[#This Row],[Quantity]]*tblTransactions[[#This Row],[UnitCost]]</f>
        <v>13837.65</v>
      </c>
      <c r="R999" s="9">
        <f>tblTransactions[[#This Row],[NetRevenue]]-tblTransactions[[#This Row],[TotalCost]]</f>
        <v>3782.1999999999989</v>
      </c>
      <c r="S999" t="str">
        <f>_xlfn.XLOOKUP(tblTransactions[[#This Row],[ProductID]],tblProducts[ProductID],tblProducts[Category])</f>
        <v>Home &amp; Kitchen</v>
      </c>
    </row>
    <row r="1000" spans="1:19">
      <c r="A1000" t="s">
        <v>17317</v>
      </c>
      <c r="B1000" s="1">
        <v>46022</v>
      </c>
      <c r="C1000" t="s">
        <v>4626</v>
      </c>
      <c r="D1000" t="str">
        <f>_xlfn.XLOOKUP(tblTransactions[[#This Row],[CustomerID]],tblCustomers[CustomerID],tblCustomers[CustomerName])</f>
        <v>Quincy Saraf</v>
      </c>
      <c r="E1000" t="s">
        <v>16200</v>
      </c>
      <c r="F1000" t="str">
        <f>_xlfn.XLOOKUP(tblTransactions[[#This Row],[ProductID]],tblProducts[ProductID],tblProducts[ProductName])</f>
        <v>Face Cream D4</v>
      </c>
      <c r="G1000" t="s">
        <v>16289</v>
      </c>
      <c r="H1000" t="str">
        <f>_xlfn.XLOOKUP(tblTransactions[[#This Row],[StoreID]],tblStores[StoreID],tblStores[Region])</f>
        <v>South</v>
      </c>
      <c r="I1000">
        <v>2</v>
      </c>
      <c r="J1000">
        <v>0.1</v>
      </c>
      <c r="K1000" t="s">
        <v>16315</v>
      </c>
      <c r="L1000" s="9">
        <f>_xlfn.XLOOKUP(tblTransactions[[#This Row],[ProductID]],tblProducts[ProductID],tblProducts[UnitPrice])</f>
        <v>3082.2</v>
      </c>
      <c r="M1000" s="9">
        <f>tblTransactions[[#This Row],[Quantity]]*tblTransactions[[#This Row],[UnitPrice]]</f>
        <v>6164.4</v>
      </c>
      <c r="N1000" s="9">
        <f>tblTransactions[[#This Row],[GrossSales]]*tblTransactions[[#This Row],[Discount]]</f>
        <v>616.44000000000005</v>
      </c>
      <c r="O1000" s="9">
        <f>tblTransactions[[#This Row],[GrossSales]]-tblTransactions[[#This Row],[DiscountAmount]]</f>
        <v>5547.9599999999991</v>
      </c>
      <c r="P1000" s="9">
        <f>_xlfn.XLOOKUP(tblTransactions[[#This Row],[ProductID]],tblProducts[ProductID],tblProducts[UnitCost])</f>
        <v>2561.06</v>
      </c>
      <c r="Q1000" s="9">
        <f>tblTransactions[[#This Row],[Quantity]]*tblTransactions[[#This Row],[UnitCost]]</f>
        <v>5122.12</v>
      </c>
      <c r="R1000" s="9">
        <f>tblTransactions[[#This Row],[NetRevenue]]-tblTransactions[[#This Row],[TotalCost]]</f>
        <v>425.83999999999924</v>
      </c>
      <c r="S1000" t="str">
        <f>_xlfn.XLOOKUP(tblTransactions[[#This Row],[ProductID]],tblProducts[ProductID],tblProducts[Category])</f>
        <v>Personal Care</v>
      </c>
    </row>
    <row r="1001" spans="1:19">
      <c r="A1001" t="s">
        <v>17318</v>
      </c>
      <c r="B1001" s="1">
        <v>46022</v>
      </c>
      <c r="C1001" t="s">
        <v>3677</v>
      </c>
      <c r="D1001" t="str">
        <f>_xlfn.XLOOKUP(tblTransactions[[#This Row],[CustomerID]],tblCustomers[CustomerID],tblCustomers[CustomerName])</f>
        <v>Chatresh Oza</v>
      </c>
      <c r="E1001" t="s">
        <v>16036</v>
      </c>
      <c r="F1001" t="str">
        <f>_xlfn.XLOOKUP(tblTransactions[[#This Row],[ProductID]],tblProducts[ProductID],tblProducts[ProductName])</f>
        <v>Bookshelf A6</v>
      </c>
      <c r="G1001" t="s">
        <v>16285</v>
      </c>
      <c r="H1001" t="str">
        <f>_xlfn.XLOOKUP(tblTransactions[[#This Row],[StoreID]],tblStores[StoreID],tblStores[Region])</f>
        <v>West</v>
      </c>
      <c r="I1001">
        <v>4</v>
      </c>
      <c r="J1001">
        <v>0.05</v>
      </c>
      <c r="K1001" t="s">
        <v>16325</v>
      </c>
      <c r="L1001" s="9">
        <f>_xlfn.XLOOKUP(tblTransactions[[#This Row],[ProductID]],tblProducts[ProductID],tblProducts[UnitPrice])</f>
        <v>23736.31</v>
      </c>
      <c r="M1001" s="9">
        <f>tblTransactions[[#This Row],[Quantity]]*tblTransactions[[#This Row],[UnitPrice]]</f>
        <v>94945.24</v>
      </c>
      <c r="N1001" s="9">
        <f>tblTransactions[[#This Row],[GrossSales]]*tblTransactions[[#This Row],[Discount]]</f>
        <v>4747.2620000000006</v>
      </c>
      <c r="O1001" s="9">
        <f>tblTransactions[[#This Row],[GrossSales]]-tblTransactions[[#This Row],[DiscountAmount]]</f>
        <v>90197.978000000003</v>
      </c>
      <c r="P1001" s="9">
        <f>_xlfn.XLOOKUP(tblTransactions[[#This Row],[ProductID]],tblProducts[ProductID],tblProducts[UnitCost])</f>
        <v>13874.86</v>
      </c>
      <c r="Q1001" s="9">
        <f>tblTransactions[[#This Row],[Quantity]]*tblTransactions[[#This Row],[UnitCost]]</f>
        <v>55499.44</v>
      </c>
      <c r="R1001" s="9">
        <f>tblTransactions[[#This Row],[NetRevenue]]-tblTransactions[[#This Row],[TotalCost]]</f>
        <v>34698.538</v>
      </c>
      <c r="S1001" t="str">
        <f>_xlfn.XLOOKUP(tblTransactions[[#This Row],[ProductID]],tblProducts[ProductID],tblProducts[Category])</f>
        <v>Home &amp; Kitchen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7F39-852D-4DFD-B927-93829C511DC1}">
  <dimension ref="A1:E8"/>
  <sheetViews>
    <sheetView workbookViewId="0">
      <selection activeCell="D7" sqref="D7"/>
    </sheetView>
  </sheetViews>
  <sheetFormatPr defaultRowHeight="14.4"/>
  <cols>
    <col min="1" max="1" width="17.44140625" customWidth="1"/>
    <col min="2" max="2" width="21.6640625" customWidth="1"/>
    <col min="3" max="3" width="19.33203125" customWidth="1"/>
    <col min="4" max="4" width="30" customWidth="1"/>
    <col min="5" max="5" width="25.33203125" customWidth="1"/>
  </cols>
  <sheetData>
    <row r="1" spans="1:5">
      <c r="A1" s="2" t="s">
        <v>17319</v>
      </c>
      <c r="B1" s="2" t="s">
        <v>17320</v>
      </c>
      <c r="C1" s="2" t="s">
        <v>17321</v>
      </c>
      <c r="D1" s="2" t="s">
        <v>17322</v>
      </c>
      <c r="E1" s="2" t="s">
        <v>17323</v>
      </c>
    </row>
    <row r="2" spans="1:5">
      <c r="A2" s="4" t="s">
        <v>17324</v>
      </c>
      <c r="B2" s="4" t="s">
        <v>17325</v>
      </c>
      <c r="C2" s="3">
        <v>30</v>
      </c>
      <c r="D2" s="4" t="s">
        <v>17326</v>
      </c>
      <c r="E2" s="4" t="s">
        <v>17327</v>
      </c>
    </row>
    <row r="3" spans="1:5" ht="28.8">
      <c r="A3" s="4" t="s">
        <v>17328</v>
      </c>
      <c r="B3" s="4" t="s">
        <v>17329</v>
      </c>
      <c r="C3" s="3">
        <v>10</v>
      </c>
      <c r="D3" s="4" t="s">
        <v>17330</v>
      </c>
      <c r="E3" s="4" t="s">
        <v>17331</v>
      </c>
    </row>
    <row r="4" spans="1:5">
      <c r="A4" s="4" t="s">
        <v>17328</v>
      </c>
      <c r="B4" s="4" t="s">
        <v>17332</v>
      </c>
      <c r="C4" s="3">
        <v>8</v>
      </c>
      <c r="D4" s="4" t="s">
        <v>17333</v>
      </c>
      <c r="E4" s="4" t="s">
        <v>17334</v>
      </c>
    </row>
    <row r="5" spans="1:5">
      <c r="A5" s="4" t="s">
        <v>17328</v>
      </c>
      <c r="B5" s="4" t="s">
        <v>17335</v>
      </c>
      <c r="C5" s="3">
        <v>13</v>
      </c>
      <c r="D5" s="4" t="s">
        <v>17336</v>
      </c>
      <c r="E5" s="4" t="s">
        <v>17337</v>
      </c>
    </row>
    <row r="6" spans="1:5">
      <c r="A6" s="4" t="s">
        <v>17338</v>
      </c>
      <c r="B6" s="4" t="s">
        <v>17339</v>
      </c>
      <c r="C6" s="3">
        <v>5</v>
      </c>
      <c r="D6" s="4" t="s">
        <v>17340</v>
      </c>
      <c r="E6" s="4" t="s">
        <v>17341</v>
      </c>
    </row>
    <row r="7" spans="1:5" ht="28.8">
      <c r="A7" s="4" t="s">
        <v>17338</v>
      </c>
      <c r="B7" s="4" t="s">
        <v>17342</v>
      </c>
      <c r="C7" s="3">
        <v>15</v>
      </c>
      <c r="D7" s="4" t="s">
        <v>17343</v>
      </c>
      <c r="E7" s="4" t="s">
        <v>17344</v>
      </c>
    </row>
    <row r="8" spans="1:5" ht="28.8">
      <c r="A8" s="4" t="s">
        <v>17338</v>
      </c>
      <c r="B8" s="4" t="s">
        <v>17345</v>
      </c>
      <c r="C8" s="3">
        <v>5</v>
      </c>
      <c r="D8" s="4" t="s">
        <v>17346</v>
      </c>
      <c r="E8" s="4" t="s">
        <v>17347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A4EB-1381-4FA7-B39A-A5C63736C7A9}">
  <dimension ref="A1:N967"/>
  <sheetViews>
    <sheetView tabSelected="1" topLeftCell="D1" workbookViewId="0">
      <selection activeCell="L25" sqref="L25"/>
    </sheetView>
  </sheetViews>
  <sheetFormatPr defaultRowHeight="14.4"/>
  <cols>
    <col min="1" max="1" width="21.109375" customWidth="1"/>
    <col min="2" max="2" width="14.33203125" customWidth="1"/>
    <col min="4" max="4" width="14.21875" bestFit="1" customWidth="1"/>
    <col min="5" max="5" width="18" bestFit="1" customWidth="1"/>
    <col min="6" max="6" width="13.21875" bestFit="1" customWidth="1"/>
    <col min="7" max="7" width="14.88671875" bestFit="1" customWidth="1"/>
    <col min="8" max="8" width="18.77734375" bestFit="1" customWidth="1"/>
    <col min="9" max="9" width="23" bestFit="1" customWidth="1"/>
    <col min="10" max="10" width="15.44140625" bestFit="1" customWidth="1"/>
    <col min="11" max="11" width="18" bestFit="1" customWidth="1"/>
    <col min="12" max="12" width="13.21875" bestFit="1" customWidth="1"/>
    <col min="13" max="13" width="14.88671875" bestFit="1" customWidth="1"/>
    <col min="14" max="14" width="18.77734375" bestFit="1" customWidth="1"/>
  </cols>
  <sheetData>
    <row r="1" spans="1:14">
      <c r="A1" t="s">
        <v>17348</v>
      </c>
    </row>
    <row r="3" spans="1:14">
      <c r="A3" t="s">
        <v>17349</v>
      </c>
      <c r="B3" t="s">
        <v>17350</v>
      </c>
      <c r="D3" s="10" t="s">
        <v>17366</v>
      </c>
      <c r="E3" t="s">
        <v>17368</v>
      </c>
      <c r="F3" t="s">
        <v>17369</v>
      </c>
      <c r="G3" t="s">
        <v>17370</v>
      </c>
      <c r="H3" t="s">
        <v>17371</v>
      </c>
    </row>
    <row r="4" spans="1:14">
      <c r="A4" t="s">
        <v>17351</v>
      </c>
      <c r="B4">
        <f>ROWS(tblCustomers[CustomerID])</f>
        <v>8000</v>
      </c>
      <c r="D4" s="11" t="s">
        <v>16072</v>
      </c>
      <c r="E4" s="9">
        <v>1375873.9649999992</v>
      </c>
      <c r="F4" s="9">
        <v>266556.30499999993</v>
      </c>
      <c r="G4" s="13">
        <v>333</v>
      </c>
      <c r="H4" s="12">
        <v>0.19373599020023619</v>
      </c>
    </row>
    <row r="5" spans="1:14">
      <c r="A5" t="s">
        <v>17352</v>
      </c>
      <c r="B5">
        <f>ROWS(tblProducts[ProductID])</f>
        <v>150</v>
      </c>
      <c r="D5" s="11" t="s">
        <v>15929</v>
      </c>
      <c r="E5" s="9">
        <v>17780952.913999997</v>
      </c>
      <c r="F5" s="9">
        <v>5020363.9840000011</v>
      </c>
      <c r="G5" s="13">
        <v>449</v>
      </c>
      <c r="H5" s="12">
        <v>0.28234504687581569</v>
      </c>
    </row>
    <row r="6" spans="1:14">
      <c r="A6" t="s">
        <v>17353</v>
      </c>
      <c r="B6">
        <f>ROWS(tblStores[StoreID])</f>
        <v>25</v>
      </c>
      <c r="D6" s="11" t="s">
        <v>16133</v>
      </c>
      <c r="E6" s="9">
        <v>243430.962</v>
      </c>
      <c r="F6" s="9">
        <v>71616.14199999992</v>
      </c>
      <c r="G6" s="13">
        <v>290</v>
      </c>
      <c r="H6" s="12">
        <v>0.29419487731392163</v>
      </c>
    </row>
    <row r="7" spans="1:14">
      <c r="A7" t="s">
        <v>17354</v>
      </c>
      <c r="B7">
        <f>ROWS(tblTransactions[OrderID])</f>
        <v>1000</v>
      </c>
      <c r="D7" s="11" t="s">
        <v>16011</v>
      </c>
      <c r="E7" s="9">
        <v>4881095.5655000024</v>
      </c>
      <c r="F7" s="9">
        <v>1351766.1154999996</v>
      </c>
      <c r="G7" s="13">
        <v>306</v>
      </c>
      <c r="H7" s="12">
        <v>0.27693908004063622</v>
      </c>
    </row>
    <row r="8" spans="1:14">
      <c r="A8" t="s">
        <v>17355</v>
      </c>
      <c r="B8">
        <f>SUM(tblTransactions[Quantity])</f>
        <v>1730</v>
      </c>
      <c r="D8" s="11" t="s">
        <v>16194</v>
      </c>
      <c r="E8" s="9">
        <v>994697.81050000025</v>
      </c>
      <c r="F8" s="9">
        <v>257518.3205</v>
      </c>
      <c r="G8" s="13">
        <v>352</v>
      </c>
      <c r="H8" s="12">
        <v>0.2588910096932398</v>
      </c>
    </row>
    <row r="9" spans="1:14">
      <c r="A9" t="s">
        <v>17361</v>
      </c>
      <c r="B9" s="9">
        <f>SUM(tblTransactions[NetRevenue])</f>
        <v>25276051.216999978</v>
      </c>
      <c r="D9" s="11" t="s">
        <v>17367</v>
      </c>
      <c r="E9" s="9">
        <v>25276051.217</v>
      </c>
      <c r="F9" s="9">
        <v>6967820.8670000006</v>
      </c>
      <c r="G9" s="13">
        <v>1730</v>
      </c>
      <c r="H9" s="12">
        <v>0.27566888542754764</v>
      </c>
    </row>
    <row r="10" spans="1:14">
      <c r="A10" t="s">
        <v>17362</v>
      </c>
      <c r="B10" s="9">
        <f>SUM(tblTransactions[TotalCost])</f>
        <v>18308230.349999983</v>
      </c>
    </row>
    <row r="11" spans="1:14">
      <c r="A11" t="s">
        <v>17363</v>
      </c>
      <c r="B11" s="9">
        <f>SUM(tblTransactions[Profit])</f>
        <v>6967820.8669999931</v>
      </c>
    </row>
    <row r="12" spans="1:14">
      <c r="A12" t="s">
        <v>17364</v>
      </c>
      <c r="B12" s="8">
        <f>B11/B9</f>
        <v>0.27566888542754764</v>
      </c>
    </row>
    <row r="13" spans="1:14">
      <c r="A13" t="s">
        <v>17365</v>
      </c>
      <c r="B13" s="9">
        <f>B9/B7</f>
        <v>25276.051216999978</v>
      </c>
    </row>
    <row r="15" spans="1:14">
      <c r="D15" s="10" t="s">
        <v>17366</v>
      </c>
      <c r="E15" t="s">
        <v>17368</v>
      </c>
      <c r="F15" t="s">
        <v>17369</v>
      </c>
      <c r="G15" t="s">
        <v>17370</v>
      </c>
      <c r="I15" s="10" t="s">
        <v>17366</v>
      </c>
      <c r="J15" t="s">
        <v>17372</v>
      </c>
      <c r="K15" t="s">
        <v>17368</v>
      </c>
      <c r="L15" t="s">
        <v>17369</v>
      </c>
      <c r="M15" t="s">
        <v>17370</v>
      </c>
      <c r="N15" t="s">
        <v>17371</v>
      </c>
    </row>
    <row r="16" spans="1:14">
      <c r="D16" s="11" t="s">
        <v>16181</v>
      </c>
      <c r="E16" s="9">
        <v>-13.063000000000002</v>
      </c>
      <c r="F16" s="9">
        <v>-13.063000000000002</v>
      </c>
      <c r="G16" s="13">
        <v>0</v>
      </c>
      <c r="I16" s="11" t="s">
        <v>17</v>
      </c>
      <c r="J16" s="13">
        <v>420</v>
      </c>
      <c r="K16" s="9">
        <v>9722180.6045000087</v>
      </c>
      <c r="L16" s="9">
        <v>2665784.8845000002</v>
      </c>
      <c r="M16" s="13">
        <v>697</v>
      </c>
      <c r="N16" s="12">
        <v>0.27419619043757681</v>
      </c>
    </row>
    <row r="17" spans="4:14">
      <c r="D17" s="11" t="s">
        <v>16144</v>
      </c>
      <c r="E17" s="9">
        <v>224.12399999999997</v>
      </c>
      <c r="F17" s="9">
        <v>69.403999999999982</v>
      </c>
      <c r="G17" s="13">
        <v>2</v>
      </c>
      <c r="I17" s="11" t="s">
        <v>22</v>
      </c>
      <c r="J17" s="13">
        <v>239</v>
      </c>
      <c r="K17" s="9">
        <v>6854994.4015000015</v>
      </c>
      <c r="L17" s="9">
        <v>1806616.9415000002</v>
      </c>
      <c r="M17" s="13">
        <v>448</v>
      </c>
      <c r="N17" s="12">
        <v>0.26354754441589018</v>
      </c>
    </row>
    <row r="18" spans="4:14">
      <c r="D18" s="11" t="s">
        <v>16172</v>
      </c>
      <c r="E18" s="9">
        <v>662.11199999999985</v>
      </c>
      <c r="F18" s="9">
        <v>195.84199999999998</v>
      </c>
      <c r="G18" s="13">
        <v>7</v>
      </c>
      <c r="I18" s="11" t="s">
        <v>12</v>
      </c>
      <c r="J18" s="13">
        <v>196</v>
      </c>
      <c r="K18" s="9">
        <v>4503126.3435000041</v>
      </c>
      <c r="L18" s="9">
        <v>1222468.9035000012</v>
      </c>
      <c r="M18" s="13">
        <v>317</v>
      </c>
      <c r="N18" s="12">
        <v>0.27147115364963331</v>
      </c>
    </row>
    <row r="19" spans="4:14">
      <c r="D19" s="11" t="s">
        <v>16187</v>
      </c>
      <c r="E19" s="9">
        <v>798.18200000000002</v>
      </c>
      <c r="F19" s="9">
        <v>314.22199999999998</v>
      </c>
      <c r="G19" s="13">
        <v>4</v>
      </c>
      <c r="I19" s="11" t="s">
        <v>78</v>
      </c>
      <c r="J19" s="13">
        <v>145</v>
      </c>
      <c r="K19" s="9">
        <v>4195749.8674999988</v>
      </c>
      <c r="L19" s="9">
        <v>1272950.1375000004</v>
      </c>
      <c r="M19" s="13">
        <v>268</v>
      </c>
      <c r="N19" s="12">
        <v>0.30339037781069556</v>
      </c>
    </row>
    <row r="20" spans="4:14">
      <c r="D20" s="11" t="s">
        <v>16174</v>
      </c>
      <c r="E20" s="9">
        <v>1262.75</v>
      </c>
      <c r="F20" s="9">
        <v>411.05000000000007</v>
      </c>
      <c r="G20" s="13">
        <v>5</v>
      </c>
      <c r="I20" s="11" t="s">
        <v>17367</v>
      </c>
      <c r="J20" s="13">
        <v>1000</v>
      </c>
      <c r="K20" s="9">
        <v>25276051.217000011</v>
      </c>
      <c r="L20" s="9">
        <v>6967820.8670000015</v>
      </c>
      <c r="M20" s="13">
        <v>1730</v>
      </c>
      <c r="N20" s="12">
        <v>0.27566888542754758</v>
      </c>
    </row>
    <row r="21" spans="4:14">
      <c r="D21" s="11" t="s">
        <v>16153</v>
      </c>
      <c r="E21" s="9">
        <v>1737.1320000000003</v>
      </c>
      <c r="F21" s="9">
        <v>531.85199999999998</v>
      </c>
      <c r="G21" s="13">
        <v>12</v>
      </c>
    </row>
    <row r="22" spans="4:14">
      <c r="D22" s="11" t="s">
        <v>16229</v>
      </c>
      <c r="E22" s="9">
        <v>2048.62</v>
      </c>
      <c r="F22" s="9">
        <v>274.62999999999988</v>
      </c>
      <c r="G22" s="13">
        <v>3</v>
      </c>
    </row>
    <row r="23" spans="4:14">
      <c r="D23" s="11" t="s">
        <v>16132</v>
      </c>
      <c r="E23" s="9">
        <v>2848.6474999999996</v>
      </c>
      <c r="F23" s="9">
        <v>658.19750000000022</v>
      </c>
      <c r="G23" s="13">
        <v>5</v>
      </c>
    </row>
    <row r="24" spans="4:14">
      <c r="D24" s="11" t="s">
        <v>16102</v>
      </c>
      <c r="E24" s="9">
        <v>2916.7240000000002</v>
      </c>
      <c r="F24" s="9">
        <v>816.08400000000029</v>
      </c>
      <c r="G24" s="13">
        <v>2</v>
      </c>
      <c r="I24" s="10" t="s">
        <v>17366</v>
      </c>
      <c r="J24" t="s">
        <v>17372</v>
      </c>
      <c r="K24" t="s">
        <v>17368</v>
      </c>
      <c r="L24" t="s">
        <v>17369</v>
      </c>
      <c r="M24" t="s">
        <v>17370</v>
      </c>
      <c r="N24" t="s">
        <v>17371</v>
      </c>
    </row>
    <row r="25" spans="4:14">
      <c r="D25" s="11" t="s">
        <v>16151</v>
      </c>
      <c r="E25" s="9">
        <v>3329.8545000000004</v>
      </c>
      <c r="F25" s="9">
        <v>476.23449999999997</v>
      </c>
      <c r="G25" s="13">
        <v>7</v>
      </c>
      <c r="I25" s="11" t="s">
        <v>12674</v>
      </c>
      <c r="J25" s="13">
        <v>1</v>
      </c>
      <c r="K25" s="9">
        <v>364140.46250000002</v>
      </c>
      <c r="L25" s="9">
        <v>143428.0625</v>
      </c>
      <c r="M25" s="13">
        <v>5</v>
      </c>
      <c r="N25" s="12">
        <v>0.39388114552087161</v>
      </c>
    </row>
    <row r="26" spans="4:14">
      <c r="D26" s="11" t="s">
        <v>16176</v>
      </c>
      <c r="E26" s="9">
        <v>4529.58</v>
      </c>
      <c r="F26" s="9">
        <v>1833.3199999999995</v>
      </c>
      <c r="G26" s="13">
        <v>14</v>
      </c>
      <c r="I26" s="11" t="s">
        <v>7919</v>
      </c>
      <c r="J26" s="13">
        <v>1</v>
      </c>
      <c r="K26" s="9">
        <v>315754.88</v>
      </c>
      <c r="L26" s="9">
        <v>100548.36000000002</v>
      </c>
      <c r="M26" s="13">
        <v>4</v>
      </c>
      <c r="N26" s="12">
        <v>0.3184380238240499</v>
      </c>
    </row>
    <row r="27" spans="4:14">
      <c r="D27" s="11" t="s">
        <v>16185</v>
      </c>
      <c r="E27" s="9">
        <v>4727.4339999999993</v>
      </c>
      <c r="F27" s="9">
        <v>2054.674</v>
      </c>
      <c r="G27" s="13">
        <v>12</v>
      </c>
      <c r="I27" s="11" t="s">
        <v>14265</v>
      </c>
      <c r="J27" s="13">
        <v>1</v>
      </c>
      <c r="K27" s="9">
        <v>270639.93599999999</v>
      </c>
      <c r="L27" s="9">
        <v>63312.576000000001</v>
      </c>
      <c r="M27" s="13">
        <v>4</v>
      </c>
      <c r="N27" s="12">
        <v>0.23393656138020963</v>
      </c>
    </row>
    <row r="28" spans="4:14">
      <c r="D28" s="11" t="s">
        <v>16096</v>
      </c>
      <c r="E28" s="9">
        <v>5594.7780000000002</v>
      </c>
      <c r="F28" s="9">
        <v>1766.9680000000001</v>
      </c>
      <c r="G28" s="13">
        <v>7</v>
      </c>
      <c r="I28" s="11" t="s">
        <v>11259</v>
      </c>
      <c r="J28" s="13">
        <v>1</v>
      </c>
      <c r="K28" s="9">
        <v>258237.05000000002</v>
      </c>
      <c r="L28" s="9">
        <v>40413.800000000017</v>
      </c>
      <c r="M28" s="13">
        <v>5</v>
      </c>
      <c r="N28" s="12">
        <v>0.15649884476298043</v>
      </c>
    </row>
    <row r="29" spans="4:14">
      <c r="D29" s="11" t="s">
        <v>16191</v>
      </c>
      <c r="E29" s="9">
        <v>6142.7239999999993</v>
      </c>
      <c r="F29" s="9">
        <v>2118.0039999999999</v>
      </c>
      <c r="G29" s="13">
        <v>8</v>
      </c>
      <c r="I29" s="11" t="s">
        <v>1860</v>
      </c>
      <c r="J29" s="13">
        <v>1</v>
      </c>
      <c r="K29" s="9">
        <v>245325.19750000001</v>
      </c>
      <c r="L29" s="9">
        <v>27501.947500000009</v>
      </c>
      <c r="M29" s="13">
        <v>5</v>
      </c>
      <c r="N29" s="12">
        <v>0.11210404711892674</v>
      </c>
    </row>
    <row r="30" spans="4:14">
      <c r="D30" s="11" t="s">
        <v>16142</v>
      </c>
      <c r="E30" s="9">
        <v>7385.7420000000002</v>
      </c>
      <c r="F30" s="9">
        <v>2647.422</v>
      </c>
      <c r="G30" s="13">
        <v>12</v>
      </c>
      <c r="I30" s="11" t="s">
        <v>12086</v>
      </c>
      <c r="J30" s="13">
        <v>2</v>
      </c>
      <c r="K30" s="9">
        <v>240801.09400000001</v>
      </c>
      <c r="L30" s="9">
        <v>68695.484000000026</v>
      </c>
      <c r="M30" s="13">
        <v>7</v>
      </c>
      <c r="N30" s="12">
        <v>0.28527895309312851</v>
      </c>
    </row>
    <row r="31" spans="4:14">
      <c r="D31" s="11" t="s">
        <v>16136</v>
      </c>
      <c r="E31" s="9">
        <v>7963.2325000000001</v>
      </c>
      <c r="F31" s="9">
        <v>1350.8125000000009</v>
      </c>
      <c r="G31" s="13">
        <v>6</v>
      </c>
      <c r="I31" s="11" t="s">
        <v>13574</v>
      </c>
      <c r="J31" s="13">
        <v>2</v>
      </c>
      <c r="K31" s="9">
        <v>234106.17</v>
      </c>
      <c r="L31" s="9">
        <v>92697.170000000027</v>
      </c>
      <c r="M31" s="13">
        <v>4</v>
      </c>
      <c r="N31" s="12">
        <v>0.3959620970263194</v>
      </c>
    </row>
    <row r="32" spans="4:14">
      <c r="D32" s="11" t="s">
        <v>16178</v>
      </c>
      <c r="E32" s="9">
        <v>7986.99</v>
      </c>
      <c r="F32" s="9">
        <v>3104.9800000000009</v>
      </c>
      <c r="G32" s="13">
        <v>7</v>
      </c>
      <c r="I32" s="11" t="s">
        <v>15293</v>
      </c>
      <c r="J32" s="13">
        <v>1</v>
      </c>
      <c r="K32" s="9">
        <v>234105.04199999999</v>
      </c>
      <c r="L32" s="9">
        <v>88639.561999999976</v>
      </c>
      <c r="M32" s="13">
        <v>4</v>
      </c>
      <c r="N32" s="12">
        <v>0.37863158026301708</v>
      </c>
    </row>
    <row r="33" spans="4:14">
      <c r="D33" s="11" t="s">
        <v>16216</v>
      </c>
      <c r="E33" s="9">
        <v>8117.28</v>
      </c>
      <c r="F33" s="9">
        <v>2331.42</v>
      </c>
      <c r="G33" s="13">
        <v>2</v>
      </c>
      <c r="I33" s="11" t="s">
        <v>3819</v>
      </c>
      <c r="J33" s="13">
        <v>1</v>
      </c>
      <c r="K33" s="9">
        <v>224975.35200000001</v>
      </c>
      <c r="L33" s="9">
        <v>63570.462000000029</v>
      </c>
      <c r="M33" s="13">
        <v>3</v>
      </c>
      <c r="N33" s="12">
        <v>0.282566340867421</v>
      </c>
    </row>
    <row r="34" spans="4:14">
      <c r="D34" s="11" t="s">
        <v>16235</v>
      </c>
      <c r="E34" s="9">
        <v>8311.9</v>
      </c>
      <c r="F34" s="9">
        <v>2293.9100000000003</v>
      </c>
      <c r="G34" s="13">
        <v>11</v>
      </c>
      <c r="I34" s="11" t="s">
        <v>4225</v>
      </c>
      <c r="J34" s="13">
        <v>1</v>
      </c>
      <c r="K34" s="9">
        <v>216628.35749999998</v>
      </c>
      <c r="L34" s="9">
        <v>90877.687499999985</v>
      </c>
      <c r="M34" s="13">
        <v>3</v>
      </c>
      <c r="N34" s="12">
        <v>0.41950965491671605</v>
      </c>
    </row>
    <row r="35" spans="4:14">
      <c r="D35" s="11" t="s">
        <v>16242</v>
      </c>
      <c r="E35" s="9">
        <v>8420.0650000000005</v>
      </c>
      <c r="F35" s="9">
        <v>1350.9450000000002</v>
      </c>
      <c r="G35" s="13">
        <v>16</v>
      </c>
      <c r="I35" s="11" t="s">
        <v>15309</v>
      </c>
      <c r="J35" s="13">
        <v>1</v>
      </c>
      <c r="K35" s="9">
        <v>200715.0975</v>
      </c>
      <c r="L35" s="9">
        <v>77570.16750000001</v>
      </c>
      <c r="M35" s="13">
        <v>3</v>
      </c>
      <c r="N35" s="12">
        <v>0.38646902234148084</v>
      </c>
    </row>
    <row r="36" spans="4:14">
      <c r="D36" s="11" t="s">
        <v>16163</v>
      </c>
      <c r="E36" s="9">
        <v>8574.1509999999998</v>
      </c>
      <c r="F36" s="9">
        <v>1938.3010000000004</v>
      </c>
      <c r="G36" s="13">
        <v>13</v>
      </c>
      <c r="I36" s="11" t="s">
        <v>13011</v>
      </c>
      <c r="J36" s="13">
        <v>1</v>
      </c>
      <c r="K36" s="9">
        <v>195108.64</v>
      </c>
      <c r="L36" s="9">
        <v>76022.720000000016</v>
      </c>
      <c r="M36" s="13">
        <v>4</v>
      </c>
      <c r="N36" s="12">
        <v>0.38964302144692314</v>
      </c>
    </row>
    <row r="37" spans="4:14">
      <c r="D37" s="11" t="s">
        <v>16155</v>
      </c>
      <c r="E37" s="9">
        <v>8723.6820000000007</v>
      </c>
      <c r="F37" s="9">
        <v>2456.8820000000001</v>
      </c>
      <c r="G37" s="13">
        <v>10</v>
      </c>
      <c r="I37" s="11" t="s">
        <v>11220</v>
      </c>
      <c r="J37" s="13">
        <v>1</v>
      </c>
      <c r="K37" s="9">
        <v>175597.77600000001</v>
      </c>
      <c r="L37" s="9">
        <v>56511.856000000014</v>
      </c>
      <c r="M37" s="13">
        <v>4</v>
      </c>
      <c r="N37" s="12">
        <v>0.32182557938547018</v>
      </c>
    </row>
    <row r="38" spans="4:14">
      <c r="D38" s="11" t="s">
        <v>16140</v>
      </c>
      <c r="E38" s="9">
        <v>9623.7180000000008</v>
      </c>
      <c r="F38" s="9">
        <v>2064.1979999999994</v>
      </c>
      <c r="G38" s="13">
        <v>8</v>
      </c>
      <c r="I38" s="11" t="s">
        <v>13910</v>
      </c>
      <c r="J38" s="13">
        <v>2</v>
      </c>
      <c r="K38" s="9">
        <v>171927.03599999999</v>
      </c>
      <c r="L38" s="9">
        <v>52259.135999999991</v>
      </c>
      <c r="M38" s="13">
        <v>3</v>
      </c>
      <c r="N38" s="12">
        <v>0.3039611291850573</v>
      </c>
    </row>
    <row r="39" spans="4:14">
      <c r="D39" s="11" t="s">
        <v>16033</v>
      </c>
      <c r="E39" s="9">
        <v>9972.0800000000017</v>
      </c>
      <c r="F39" s="9">
        <v>2604.0800000000004</v>
      </c>
      <c r="G39" s="13">
        <v>16</v>
      </c>
      <c r="I39" s="11" t="s">
        <v>5481</v>
      </c>
      <c r="J39" s="13">
        <v>1</v>
      </c>
      <c r="K39" s="9">
        <v>166337.79300000001</v>
      </c>
      <c r="L39" s="9">
        <v>57238.68299999999</v>
      </c>
      <c r="M39" s="13">
        <v>3</v>
      </c>
      <c r="N39" s="12">
        <v>0.34411111249985138</v>
      </c>
    </row>
    <row r="40" spans="4:14">
      <c r="D40" s="11" t="s">
        <v>16100</v>
      </c>
      <c r="E40" s="9">
        <v>10123.492499999998</v>
      </c>
      <c r="F40" s="9">
        <v>1617.5024999999991</v>
      </c>
      <c r="G40" s="13">
        <v>9</v>
      </c>
      <c r="I40" s="11" t="s">
        <v>13050</v>
      </c>
      <c r="J40" s="13">
        <v>1</v>
      </c>
      <c r="K40" s="9">
        <v>165966.83999999997</v>
      </c>
      <c r="L40" s="9">
        <v>46620.869999999966</v>
      </c>
      <c r="M40" s="13">
        <v>3</v>
      </c>
      <c r="N40" s="12">
        <v>0.28090472771548808</v>
      </c>
    </row>
    <row r="41" spans="4:14">
      <c r="D41" s="11" t="s">
        <v>16146</v>
      </c>
      <c r="E41" s="9">
        <v>10465.065000000002</v>
      </c>
      <c r="F41" s="9">
        <v>2095.3050000000003</v>
      </c>
      <c r="G41" s="13">
        <v>14</v>
      </c>
      <c r="I41" s="11" t="s">
        <v>14840</v>
      </c>
      <c r="J41" s="13">
        <v>1</v>
      </c>
      <c r="K41" s="9">
        <v>164629.01999999999</v>
      </c>
      <c r="L41" s="9">
        <v>40065.359999999986</v>
      </c>
      <c r="M41" s="13">
        <v>3</v>
      </c>
      <c r="N41" s="12">
        <v>0.24336754236889699</v>
      </c>
    </row>
    <row r="42" spans="4:14">
      <c r="D42" s="11" t="s">
        <v>16168</v>
      </c>
      <c r="E42" s="9">
        <v>10768.915999999999</v>
      </c>
      <c r="F42" s="9">
        <v>2983.9160000000002</v>
      </c>
      <c r="G42" s="13">
        <v>12</v>
      </c>
      <c r="I42" s="11" t="s">
        <v>12939</v>
      </c>
      <c r="J42" s="13">
        <v>1</v>
      </c>
      <c r="K42" s="9">
        <v>164629.01999999999</v>
      </c>
      <c r="L42" s="9">
        <v>40065.359999999986</v>
      </c>
      <c r="M42" s="13">
        <v>3</v>
      </c>
      <c r="N42" s="12">
        <v>0.24336754236889699</v>
      </c>
    </row>
    <row r="43" spans="4:14">
      <c r="D43" s="11" t="s">
        <v>16189</v>
      </c>
      <c r="E43" s="9">
        <v>11061.032499999999</v>
      </c>
      <c r="F43" s="9">
        <v>3546.0525000000007</v>
      </c>
      <c r="G43" s="13">
        <v>11</v>
      </c>
      <c r="I43" s="11" t="s">
        <v>3460</v>
      </c>
      <c r="J43" s="13">
        <v>1</v>
      </c>
      <c r="K43" s="9">
        <v>159985.48000000001</v>
      </c>
      <c r="L43" s="9">
        <v>55216.640000000014</v>
      </c>
      <c r="M43" s="13">
        <v>4</v>
      </c>
      <c r="N43" s="12">
        <v>0.34513532103038358</v>
      </c>
    </row>
    <row r="44" spans="4:14">
      <c r="D44" s="11" t="s">
        <v>16111</v>
      </c>
      <c r="E44" s="9">
        <v>11495.941999999999</v>
      </c>
      <c r="F44" s="9">
        <v>1836.1920000000007</v>
      </c>
      <c r="G44" s="13">
        <v>25</v>
      </c>
      <c r="I44" s="11" t="s">
        <v>9068</v>
      </c>
      <c r="J44" s="13">
        <v>1</v>
      </c>
      <c r="K44" s="9">
        <v>157877.44</v>
      </c>
      <c r="L44" s="9">
        <v>50274.180000000008</v>
      </c>
      <c r="M44" s="13">
        <v>2</v>
      </c>
      <c r="N44" s="12">
        <v>0.3184380238240499</v>
      </c>
    </row>
    <row r="45" spans="4:14">
      <c r="D45" s="11" t="s">
        <v>16183</v>
      </c>
      <c r="E45" s="9">
        <v>11623.0625</v>
      </c>
      <c r="F45" s="9">
        <v>2069.9424999999997</v>
      </c>
      <c r="G45" s="13">
        <v>8</v>
      </c>
      <c r="I45" s="11" t="s">
        <v>3116</v>
      </c>
      <c r="J45" s="13">
        <v>1</v>
      </c>
      <c r="K45" s="9">
        <v>157877.44</v>
      </c>
      <c r="L45" s="9">
        <v>50274.180000000008</v>
      </c>
      <c r="M45" s="13">
        <v>2</v>
      </c>
      <c r="N45" s="12">
        <v>0.3184380238240499</v>
      </c>
    </row>
    <row r="46" spans="4:14">
      <c r="D46" s="11" t="s">
        <v>16161</v>
      </c>
      <c r="E46" s="9">
        <v>12696.453999999998</v>
      </c>
      <c r="F46" s="9">
        <v>4707.4539999999979</v>
      </c>
      <c r="G46" s="13">
        <v>12</v>
      </c>
      <c r="I46" s="11" t="s">
        <v>7911</v>
      </c>
      <c r="J46" s="13">
        <v>1</v>
      </c>
      <c r="K46" s="9">
        <v>154942.23000000001</v>
      </c>
      <c r="L46" s="9">
        <v>24248.28</v>
      </c>
      <c r="M46" s="13">
        <v>3</v>
      </c>
      <c r="N46" s="12">
        <v>0.15649884476298034</v>
      </c>
    </row>
    <row r="47" spans="4:14">
      <c r="D47" s="11" t="s">
        <v>16138</v>
      </c>
      <c r="E47" s="9">
        <v>13339.871999999999</v>
      </c>
      <c r="F47" s="9">
        <v>4174.9920000000002</v>
      </c>
      <c r="G47" s="13">
        <v>12</v>
      </c>
      <c r="I47" s="11" t="s">
        <v>3610</v>
      </c>
      <c r="J47" s="13">
        <v>1</v>
      </c>
      <c r="K47" s="9">
        <v>154788.42000000001</v>
      </c>
      <c r="L47" s="9">
        <v>56711.080000000016</v>
      </c>
      <c r="M47" s="13">
        <v>2</v>
      </c>
      <c r="N47" s="12">
        <v>0.3663780533453343</v>
      </c>
    </row>
    <row r="48" spans="4:14">
      <c r="D48" s="11" t="s">
        <v>16081</v>
      </c>
      <c r="E48" s="9">
        <v>13379.877500000001</v>
      </c>
      <c r="F48" s="9">
        <v>637.14750000000026</v>
      </c>
      <c r="G48" s="13">
        <v>7</v>
      </c>
      <c r="I48" s="11" t="s">
        <v>11606</v>
      </c>
      <c r="J48" s="13">
        <v>1</v>
      </c>
      <c r="K48" s="9">
        <v>153322.29999999999</v>
      </c>
      <c r="L48" s="9">
        <v>65037.339999999982</v>
      </c>
      <c r="M48" s="13">
        <v>2</v>
      </c>
      <c r="N48" s="12">
        <v>0.42418708824482798</v>
      </c>
    </row>
    <row r="49" spans="4:14">
      <c r="D49" s="11" t="s">
        <v>16170</v>
      </c>
      <c r="E49" s="9">
        <v>13652.776</v>
      </c>
      <c r="F49" s="9">
        <v>4274.7359999999999</v>
      </c>
      <c r="G49" s="13">
        <v>14</v>
      </c>
      <c r="I49" s="11" t="s">
        <v>15348</v>
      </c>
      <c r="J49" s="13">
        <v>1</v>
      </c>
      <c r="K49" s="9">
        <v>152039.56</v>
      </c>
      <c r="L49" s="9">
        <v>45429.259999999995</v>
      </c>
      <c r="M49" s="13">
        <v>2</v>
      </c>
      <c r="N49" s="12">
        <v>0.29879894416953057</v>
      </c>
    </row>
    <row r="50" spans="4:14">
      <c r="D50" s="11" t="s">
        <v>16203</v>
      </c>
      <c r="E50" s="9">
        <v>13855.3485</v>
      </c>
      <c r="F50" s="9">
        <v>2173.4085000000005</v>
      </c>
      <c r="G50" s="13">
        <v>6</v>
      </c>
      <c r="I50" s="11" t="s">
        <v>12957</v>
      </c>
      <c r="J50" s="13">
        <v>1</v>
      </c>
      <c r="K50" s="9">
        <v>152039.56</v>
      </c>
      <c r="L50" s="9">
        <v>45429.259999999995</v>
      </c>
      <c r="M50" s="13">
        <v>2</v>
      </c>
      <c r="N50" s="12">
        <v>0.29879894416953057</v>
      </c>
    </row>
    <row r="51" spans="4:14">
      <c r="D51" s="11" t="s">
        <v>16109</v>
      </c>
      <c r="E51" s="9">
        <v>14255.716999999999</v>
      </c>
      <c r="F51" s="9">
        <v>2761.2769999999996</v>
      </c>
      <c r="G51" s="13">
        <v>12</v>
      </c>
      <c r="I51" s="11" t="s">
        <v>12488</v>
      </c>
      <c r="J51" s="13">
        <v>1</v>
      </c>
      <c r="K51" s="9">
        <v>150419.82</v>
      </c>
      <c r="L51" s="9">
        <v>37131.69</v>
      </c>
      <c r="M51" s="13">
        <v>3</v>
      </c>
      <c r="N51" s="12">
        <v>0.24685370584807242</v>
      </c>
    </row>
    <row r="52" spans="4:14">
      <c r="D52" s="11" t="s">
        <v>16166</v>
      </c>
      <c r="E52" s="9">
        <v>14543.82</v>
      </c>
      <c r="F52" s="9">
        <v>4595.5600000000013</v>
      </c>
      <c r="G52" s="13">
        <v>14</v>
      </c>
      <c r="I52" s="11" t="s">
        <v>68</v>
      </c>
      <c r="J52" s="13">
        <v>1</v>
      </c>
      <c r="K52" s="9">
        <v>150355.51999999999</v>
      </c>
      <c r="L52" s="9">
        <v>46691.839999999997</v>
      </c>
      <c r="M52" s="13">
        <v>2</v>
      </c>
      <c r="N52" s="12">
        <v>0.31054290524218864</v>
      </c>
    </row>
    <row r="53" spans="4:14">
      <c r="D53" s="11" t="s">
        <v>16205</v>
      </c>
      <c r="E53" s="9">
        <v>15641.356500000002</v>
      </c>
      <c r="F53" s="9">
        <v>1882.9565000000014</v>
      </c>
      <c r="G53" s="13">
        <v>10</v>
      </c>
      <c r="I53" s="11" t="s">
        <v>14103</v>
      </c>
      <c r="J53" s="13">
        <v>1</v>
      </c>
      <c r="K53" s="9">
        <v>146331.48000000001</v>
      </c>
      <c r="L53" s="9">
        <v>57017.040000000008</v>
      </c>
      <c r="M53" s="13">
        <v>3</v>
      </c>
      <c r="N53" s="12">
        <v>0.38964302144692314</v>
      </c>
    </row>
    <row r="54" spans="4:14">
      <c r="D54" s="11" t="s">
        <v>16107</v>
      </c>
      <c r="E54" s="9">
        <v>15870.894</v>
      </c>
      <c r="F54" s="9">
        <v>2700.8940000000002</v>
      </c>
      <c r="G54" s="13">
        <v>12</v>
      </c>
      <c r="I54" s="11" t="s">
        <v>12899</v>
      </c>
      <c r="J54" s="13">
        <v>1</v>
      </c>
      <c r="K54" s="9">
        <v>145925.88</v>
      </c>
      <c r="L54" s="9">
        <v>23261.240000000005</v>
      </c>
      <c r="M54" s="13">
        <v>4</v>
      </c>
      <c r="N54" s="12">
        <v>0.15940448671613291</v>
      </c>
    </row>
    <row r="55" spans="4:14">
      <c r="D55" s="11" t="s">
        <v>16224</v>
      </c>
      <c r="E55" s="9">
        <v>17466.25</v>
      </c>
      <c r="F55" s="9">
        <v>4715.8500000000004</v>
      </c>
      <c r="G55" s="13">
        <v>5</v>
      </c>
      <c r="I55" s="11" t="s">
        <v>10352</v>
      </c>
      <c r="J55" s="13">
        <v>1</v>
      </c>
      <c r="K55" s="9">
        <v>145656.185</v>
      </c>
      <c r="L55" s="9">
        <v>57371.224999999991</v>
      </c>
      <c r="M55" s="13">
        <v>2</v>
      </c>
      <c r="N55" s="12">
        <v>0.39388114552087156</v>
      </c>
    </row>
    <row r="56" spans="4:14">
      <c r="D56" s="11" t="s">
        <v>16157</v>
      </c>
      <c r="E56" s="9">
        <v>18636.036000000007</v>
      </c>
      <c r="F56" s="9">
        <v>4355.3160000000016</v>
      </c>
      <c r="G56" s="13">
        <v>24</v>
      </c>
      <c r="I56" s="11" t="s">
        <v>15417</v>
      </c>
      <c r="J56" s="13">
        <v>1</v>
      </c>
      <c r="K56" s="9">
        <v>142898.829</v>
      </c>
      <c r="L56" s="9">
        <v>29610.698999999993</v>
      </c>
      <c r="M56" s="13">
        <v>3</v>
      </c>
      <c r="N56" s="12">
        <v>0.20721442720849723</v>
      </c>
    </row>
    <row r="57" spans="4:14">
      <c r="D57" s="11" t="s">
        <v>16199</v>
      </c>
      <c r="E57" s="9">
        <v>20422.792500000003</v>
      </c>
      <c r="F57" s="9">
        <v>6875.3924999999999</v>
      </c>
      <c r="G57" s="13">
        <v>12</v>
      </c>
      <c r="I57" s="11" t="s">
        <v>14506</v>
      </c>
      <c r="J57" s="13">
        <v>1</v>
      </c>
      <c r="K57" s="9">
        <v>142837.74399999998</v>
      </c>
      <c r="L57" s="9">
        <v>39174.063999999984</v>
      </c>
      <c r="M57" s="13">
        <v>2</v>
      </c>
      <c r="N57" s="12">
        <v>0.27425568972861958</v>
      </c>
    </row>
    <row r="58" spans="4:14">
      <c r="D58" s="11" t="s">
        <v>16239</v>
      </c>
      <c r="E58" s="9">
        <v>21052.520999999997</v>
      </c>
      <c r="F58" s="9">
        <v>5929.1609999999991</v>
      </c>
      <c r="G58" s="13">
        <v>21</v>
      </c>
      <c r="I58" s="11" t="s">
        <v>925</v>
      </c>
      <c r="J58" s="13">
        <v>2</v>
      </c>
      <c r="K58" s="9">
        <v>140948.24400000001</v>
      </c>
      <c r="L58" s="9">
        <v>9270.7540000000008</v>
      </c>
      <c r="M58" s="13">
        <v>4</v>
      </c>
      <c r="N58" s="12">
        <v>6.5774171688155261E-2</v>
      </c>
    </row>
    <row r="59" spans="4:14">
      <c r="D59" s="11" t="s">
        <v>16148</v>
      </c>
      <c r="E59" s="9">
        <v>21222.230500000001</v>
      </c>
      <c r="F59" s="9">
        <v>8319.2304999999997</v>
      </c>
      <c r="G59" s="13">
        <v>17</v>
      </c>
      <c r="I59" s="11" t="s">
        <v>7190</v>
      </c>
      <c r="J59" s="13">
        <v>1</v>
      </c>
      <c r="K59" s="9">
        <v>139448.00700000001</v>
      </c>
      <c r="L59" s="9">
        <v>8754.0570000000007</v>
      </c>
      <c r="M59" s="13">
        <v>3</v>
      </c>
      <c r="N59" s="12">
        <v>6.2776494181089298E-2</v>
      </c>
    </row>
    <row r="60" spans="4:14">
      <c r="D60" s="11" t="s">
        <v>16126</v>
      </c>
      <c r="E60" s="9">
        <v>21558.207999999999</v>
      </c>
      <c r="F60" s="9">
        <v>6490.7779999999993</v>
      </c>
      <c r="G60" s="13">
        <v>7</v>
      </c>
      <c r="I60" s="11" t="s">
        <v>15488</v>
      </c>
      <c r="J60" s="13">
        <v>1</v>
      </c>
      <c r="K60" s="9">
        <v>139448.00700000001</v>
      </c>
      <c r="L60" s="9">
        <v>8754.0570000000007</v>
      </c>
      <c r="M60" s="13">
        <v>3</v>
      </c>
      <c r="N60" s="12">
        <v>6.2776494181089298E-2</v>
      </c>
    </row>
    <row r="61" spans="4:14">
      <c r="D61" s="11" t="s">
        <v>16231</v>
      </c>
      <c r="E61" s="9">
        <v>22119.468000000001</v>
      </c>
      <c r="F61" s="9">
        <v>6943.8879999999981</v>
      </c>
      <c r="G61" s="13">
        <v>7</v>
      </c>
      <c r="I61" s="11" t="s">
        <v>3709</v>
      </c>
      <c r="J61" s="13">
        <v>1</v>
      </c>
      <c r="K61" s="9">
        <v>139014.90600000002</v>
      </c>
      <c r="L61" s="9">
        <v>49700.466000000015</v>
      </c>
      <c r="M61" s="13">
        <v>3</v>
      </c>
      <c r="N61" s="12">
        <v>0.35751896994412963</v>
      </c>
    </row>
    <row r="62" spans="4:14">
      <c r="D62" s="11" t="s">
        <v>16065</v>
      </c>
      <c r="E62" s="9">
        <v>22646.106</v>
      </c>
      <c r="F62" s="9">
        <v>6299.5160000000005</v>
      </c>
      <c r="G62" s="13">
        <v>13</v>
      </c>
      <c r="I62" s="11" t="s">
        <v>275</v>
      </c>
      <c r="J62" s="13">
        <v>1</v>
      </c>
      <c r="K62" s="9">
        <v>139014.90600000002</v>
      </c>
      <c r="L62" s="9">
        <v>49700.466000000015</v>
      </c>
      <c r="M62" s="13">
        <v>3</v>
      </c>
      <c r="N62" s="12">
        <v>0.35751896994412963</v>
      </c>
    </row>
    <row r="63" spans="4:14">
      <c r="D63" s="11" t="s">
        <v>16222</v>
      </c>
      <c r="E63" s="9">
        <v>22897.280000000002</v>
      </c>
      <c r="F63" s="9">
        <v>4908.8200000000006</v>
      </c>
      <c r="G63" s="13">
        <v>14</v>
      </c>
      <c r="I63" s="11" t="s">
        <v>2164</v>
      </c>
      <c r="J63" s="13">
        <v>1</v>
      </c>
      <c r="K63" s="9">
        <v>133194.05000000002</v>
      </c>
      <c r="L63" s="9">
        <v>32655.000000000015</v>
      </c>
      <c r="M63" s="13">
        <v>5</v>
      </c>
      <c r="N63" s="12">
        <v>0.24516860925844669</v>
      </c>
    </row>
    <row r="64" spans="4:14">
      <c r="D64" s="11" t="s">
        <v>16085</v>
      </c>
      <c r="E64" s="9">
        <v>23692.251</v>
      </c>
      <c r="F64" s="9">
        <v>1798.8509999999987</v>
      </c>
      <c r="G64" s="13">
        <v>4</v>
      </c>
      <c r="I64" s="11" t="s">
        <v>4486</v>
      </c>
      <c r="J64" s="13">
        <v>1</v>
      </c>
      <c r="K64" s="9">
        <v>132320.34150000001</v>
      </c>
      <c r="L64" s="9">
        <v>51662.071500000005</v>
      </c>
      <c r="M64" s="13">
        <v>3</v>
      </c>
      <c r="N64" s="12">
        <v>0.39043181807386734</v>
      </c>
    </row>
    <row r="65" spans="4:14">
      <c r="D65" s="11" t="s">
        <v>16083</v>
      </c>
      <c r="E65" s="9">
        <v>23799.295999999995</v>
      </c>
      <c r="F65" s="9">
        <v>2649.6359999999986</v>
      </c>
      <c r="G65" s="13">
        <v>7</v>
      </c>
      <c r="I65" s="11" t="s">
        <v>2374</v>
      </c>
      <c r="J65" s="13">
        <v>1</v>
      </c>
      <c r="K65" s="9">
        <v>127330.32</v>
      </c>
      <c r="L65" s="9">
        <v>22199.100000000006</v>
      </c>
      <c r="M65" s="13">
        <v>2</v>
      </c>
      <c r="N65" s="12">
        <v>0.17434260747950689</v>
      </c>
    </row>
    <row r="66" spans="4:14">
      <c r="D66" s="11" t="s">
        <v>16233</v>
      </c>
      <c r="E66" s="9">
        <v>23852.862000000001</v>
      </c>
      <c r="F66" s="9">
        <v>7818.942</v>
      </c>
      <c r="G66" s="13">
        <v>8</v>
      </c>
      <c r="I66" s="11" t="s">
        <v>12919</v>
      </c>
      <c r="J66" s="13">
        <v>1</v>
      </c>
      <c r="K66" s="9">
        <v>123213.18</v>
      </c>
      <c r="L66" s="9">
        <v>50480.439999999988</v>
      </c>
      <c r="M66" s="13">
        <v>2</v>
      </c>
      <c r="N66" s="12">
        <v>0.40970000124986622</v>
      </c>
    </row>
    <row r="67" spans="4:14">
      <c r="D67" s="11" t="s">
        <v>16039</v>
      </c>
      <c r="E67" s="9">
        <v>28109.46</v>
      </c>
      <c r="F67" s="9">
        <v>10077.779999999997</v>
      </c>
      <c r="G67" s="13">
        <v>6</v>
      </c>
      <c r="I67" s="11" t="s">
        <v>15668</v>
      </c>
      <c r="J67" s="13">
        <v>1</v>
      </c>
      <c r="K67" s="9">
        <v>123213.18</v>
      </c>
      <c r="L67" s="9">
        <v>50480.439999999988</v>
      </c>
      <c r="M67" s="13">
        <v>2</v>
      </c>
      <c r="N67" s="12">
        <v>0.40970000124986622</v>
      </c>
    </row>
    <row r="68" spans="4:14">
      <c r="D68" s="11" t="s">
        <v>16159</v>
      </c>
      <c r="E68" s="9">
        <v>28914.704999999998</v>
      </c>
      <c r="F68" s="9">
        <v>8281.3049999999985</v>
      </c>
      <c r="G68" s="13">
        <v>20</v>
      </c>
      <c r="I68" s="11" t="s">
        <v>11830</v>
      </c>
      <c r="J68" s="13">
        <v>1</v>
      </c>
      <c r="K68" s="9">
        <v>122938.4</v>
      </c>
      <c r="L68" s="9">
        <v>43374.42</v>
      </c>
      <c r="M68" s="13">
        <v>2</v>
      </c>
      <c r="N68" s="12">
        <v>0.35281425494393942</v>
      </c>
    </row>
    <row r="69" spans="4:14">
      <c r="D69" s="11" t="s">
        <v>16193</v>
      </c>
      <c r="E69" s="9">
        <v>30421.4725</v>
      </c>
      <c r="F69" s="9">
        <v>11734.212500000001</v>
      </c>
      <c r="G69" s="13">
        <v>19</v>
      </c>
      <c r="I69" s="11" t="s">
        <v>9074</v>
      </c>
      <c r="J69" s="13">
        <v>1</v>
      </c>
      <c r="K69" s="9">
        <v>121276.19700000001</v>
      </c>
      <c r="L69" s="9">
        <v>19722.837</v>
      </c>
      <c r="M69" s="13">
        <v>3</v>
      </c>
      <c r="N69" s="12">
        <v>0.16262743628083917</v>
      </c>
    </row>
    <row r="70" spans="4:14">
      <c r="D70" s="11" t="s">
        <v>16197</v>
      </c>
      <c r="E70" s="9">
        <v>30482.617499999997</v>
      </c>
      <c r="F70" s="9">
        <v>7911.7174999999961</v>
      </c>
      <c r="G70" s="13">
        <v>17</v>
      </c>
      <c r="I70" s="11" t="s">
        <v>15331</v>
      </c>
      <c r="J70" s="13">
        <v>1</v>
      </c>
      <c r="K70" s="9">
        <v>119989.11000000002</v>
      </c>
      <c r="L70" s="9">
        <v>41412.48000000001</v>
      </c>
      <c r="M70" s="13">
        <v>3</v>
      </c>
      <c r="N70" s="12">
        <v>0.34513532103038352</v>
      </c>
    </row>
    <row r="71" spans="4:14">
      <c r="D71" s="11" t="s">
        <v>16115</v>
      </c>
      <c r="E71" s="9">
        <v>30549.530000000002</v>
      </c>
      <c r="F71" s="9">
        <v>7547.53</v>
      </c>
      <c r="G71" s="13">
        <v>14</v>
      </c>
      <c r="I71" s="11" t="s">
        <v>4665</v>
      </c>
      <c r="J71" s="13">
        <v>1</v>
      </c>
      <c r="K71" s="9">
        <v>119874.64500000002</v>
      </c>
      <c r="L71" s="9">
        <v>19335.595000000016</v>
      </c>
      <c r="M71" s="13">
        <v>5</v>
      </c>
      <c r="N71" s="12">
        <v>0.16129845473160745</v>
      </c>
    </row>
    <row r="72" spans="4:14">
      <c r="D72" s="11" t="s">
        <v>16201</v>
      </c>
      <c r="E72" s="9">
        <v>32054.880000000001</v>
      </c>
      <c r="F72" s="9">
        <v>3883.2199999999971</v>
      </c>
      <c r="G72" s="13">
        <v>11</v>
      </c>
      <c r="I72" s="11" t="s">
        <v>8684</v>
      </c>
      <c r="J72" s="13">
        <v>1</v>
      </c>
      <c r="K72" s="9">
        <v>117177.345</v>
      </c>
      <c r="L72" s="9">
        <v>14216.195000000007</v>
      </c>
      <c r="M72" s="13">
        <v>5</v>
      </c>
      <c r="N72" s="12">
        <v>0.12132204394970723</v>
      </c>
    </row>
    <row r="73" spans="4:14">
      <c r="D73" s="11" t="s">
        <v>16130</v>
      </c>
      <c r="E73" s="9">
        <v>33022.342000000004</v>
      </c>
      <c r="F73" s="9">
        <v>8953.3420000000006</v>
      </c>
      <c r="G73" s="13">
        <v>5</v>
      </c>
      <c r="I73" s="11" t="s">
        <v>5836</v>
      </c>
      <c r="J73" s="13">
        <v>1</v>
      </c>
      <c r="K73" s="9">
        <v>117052.52099999999</v>
      </c>
      <c r="L73" s="9">
        <v>44319.780999999988</v>
      </c>
      <c r="M73" s="13">
        <v>2</v>
      </c>
      <c r="N73" s="12">
        <v>0.37863158026301708</v>
      </c>
    </row>
    <row r="74" spans="4:14">
      <c r="D74" s="11" t="s">
        <v>16244</v>
      </c>
      <c r="E74" s="9">
        <v>33094</v>
      </c>
      <c r="F74" s="9">
        <v>5653.600000000004</v>
      </c>
      <c r="G74" s="13">
        <v>10</v>
      </c>
      <c r="I74" s="11" t="s">
        <v>13133</v>
      </c>
      <c r="J74" s="13">
        <v>1</v>
      </c>
      <c r="K74" s="9">
        <v>114135.59999999999</v>
      </c>
      <c r="L74" s="9">
        <v>22815.249999999985</v>
      </c>
      <c r="M74" s="13">
        <v>5</v>
      </c>
      <c r="N74" s="12">
        <v>0.19989600089717832</v>
      </c>
    </row>
    <row r="75" spans="4:14">
      <c r="D75" s="11" t="s">
        <v>16227</v>
      </c>
      <c r="E75" s="9">
        <v>33125.180000000008</v>
      </c>
      <c r="F75" s="9">
        <v>4195.0399999999991</v>
      </c>
      <c r="G75" s="13">
        <v>9</v>
      </c>
      <c r="I75" s="11" t="s">
        <v>8510</v>
      </c>
      <c r="J75" s="13">
        <v>1</v>
      </c>
      <c r="K75" s="9">
        <v>113989.65450000002</v>
      </c>
      <c r="L75" s="9">
        <v>35413.024500000014</v>
      </c>
      <c r="M75" s="13">
        <v>3</v>
      </c>
      <c r="N75" s="12">
        <v>0.31066875897935115</v>
      </c>
    </row>
    <row r="76" spans="4:14">
      <c r="D76" s="11" t="s">
        <v>16092</v>
      </c>
      <c r="E76" s="9">
        <v>35511.991000000002</v>
      </c>
      <c r="F76" s="9">
        <v>7037.8310000000019</v>
      </c>
      <c r="G76" s="13">
        <v>11</v>
      </c>
      <c r="I76" s="11" t="s">
        <v>4211</v>
      </c>
      <c r="J76" s="13">
        <v>1</v>
      </c>
      <c r="K76" s="9">
        <v>110644.56</v>
      </c>
      <c r="L76" s="9">
        <v>31080.58</v>
      </c>
      <c r="M76" s="13">
        <v>2</v>
      </c>
      <c r="N76" s="12">
        <v>0.28090472771548824</v>
      </c>
    </row>
    <row r="77" spans="4:14">
      <c r="D77" s="11" t="s">
        <v>16248</v>
      </c>
      <c r="E77" s="9">
        <v>36190.825499999999</v>
      </c>
      <c r="F77" s="9">
        <v>4152.6654999999982</v>
      </c>
      <c r="G77" s="13">
        <v>11</v>
      </c>
      <c r="I77" s="11" t="s">
        <v>5751</v>
      </c>
      <c r="J77" s="13">
        <v>1</v>
      </c>
      <c r="K77" s="9">
        <v>109444.41</v>
      </c>
      <c r="L77" s="9">
        <v>17445.930000000008</v>
      </c>
      <c r="M77" s="13">
        <v>3</v>
      </c>
      <c r="N77" s="12">
        <v>0.15940448671613294</v>
      </c>
    </row>
    <row r="78" spans="4:14">
      <c r="D78" s="11" t="s">
        <v>16246</v>
      </c>
      <c r="E78" s="9">
        <v>36353.206999999995</v>
      </c>
      <c r="F78" s="9">
        <v>9443.1169999999984</v>
      </c>
      <c r="G78" s="13">
        <v>9</v>
      </c>
      <c r="I78" s="11" t="s">
        <v>8412</v>
      </c>
      <c r="J78" s="13">
        <v>1</v>
      </c>
      <c r="K78" s="9">
        <v>106555.24</v>
      </c>
      <c r="L78" s="9">
        <v>26124</v>
      </c>
      <c r="M78" s="13">
        <v>4</v>
      </c>
      <c r="N78" s="12">
        <v>0.24516860925844658</v>
      </c>
    </row>
    <row r="79" spans="4:14">
      <c r="D79" s="11" t="s">
        <v>16209</v>
      </c>
      <c r="E79" s="9">
        <v>36497.78</v>
      </c>
      <c r="F79" s="9">
        <v>12830.62</v>
      </c>
      <c r="G79" s="13">
        <v>11</v>
      </c>
      <c r="I79" s="11" t="s">
        <v>10976</v>
      </c>
      <c r="J79" s="13">
        <v>1</v>
      </c>
      <c r="K79" s="9">
        <v>105192.76</v>
      </c>
      <c r="L79" s="9">
        <v>33135.199999999997</v>
      </c>
      <c r="M79" s="13">
        <v>2</v>
      </c>
      <c r="N79" s="12">
        <v>0.31499506239783043</v>
      </c>
    </row>
    <row r="80" spans="4:14">
      <c r="D80" s="11" t="s">
        <v>16214</v>
      </c>
      <c r="E80" s="9">
        <v>37739.012499999997</v>
      </c>
      <c r="F80" s="9">
        <v>13421.172500000001</v>
      </c>
      <c r="G80" s="13">
        <v>8</v>
      </c>
      <c r="I80" s="11" t="s">
        <v>7489</v>
      </c>
      <c r="J80" s="13">
        <v>1</v>
      </c>
      <c r="K80" s="9">
        <v>104265.04599999999</v>
      </c>
      <c r="L80" s="9">
        <v>21222.605999999985</v>
      </c>
      <c r="M80" s="13">
        <v>2</v>
      </c>
      <c r="N80" s="12">
        <v>0.20354478144094415</v>
      </c>
    </row>
    <row r="81" spans="4:14">
      <c r="D81" s="11" t="s">
        <v>16071</v>
      </c>
      <c r="E81" s="9">
        <v>41008.454999999994</v>
      </c>
      <c r="F81" s="9">
        <v>6740.4449999999943</v>
      </c>
      <c r="G81" s="13">
        <v>7</v>
      </c>
      <c r="I81" s="11" t="s">
        <v>4528</v>
      </c>
      <c r="J81" s="13">
        <v>1</v>
      </c>
      <c r="K81" s="9">
        <v>104009.44</v>
      </c>
      <c r="L81" s="9">
        <v>17559.699999999997</v>
      </c>
      <c r="M81" s="13">
        <v>2</v>
      </c>
      <c r="N81" s="12">
        <v>0.168827944848083</v>
      </c>
    </row>
    <row r="82" spans="4:14">
      <c r="D82" s="11" t="s">
        <v>16113</v>
      </c>
      <c r="E82" s="9">
        <v>42174.93</v>
      </c>
      <c r="F82" s="9">
        <v>3329.9999999999964</v>
      </c>
      <c r="G82" s="13">
        <v>23</v>
      </c>
      <c r="I82" s="11" t="s">
        <v>4645</v>
      </c>
      <c r="J82" s="13">
        <v>1</v>
      </c>
      <c r="K82" s="9">
        <v>104009.44</v>
      </c>
      <c r="L82" s="9">
        <v>17559.699999999997</v>
      </c>
      <c r="M82" s="13">
        <v>2</v>
      </c>
      <c r="N82" s="12">
        <v>0.168827944848083</v>
      </c>
    </row>
    <row r="83" spans="4:14">
      <c r="D83" s="11" t="s">
        <v>16124</v>
      </c>
      <c r="E83" s="9">
        <v>44544.071499999991</v>
      </c>
      <c r="F83" s="9">
        <v>7446.4314999999951</v>
      </c>
      <c r="G83" s="13">
        <v>9</v>
      </c>
      <c r="I83" s="11" t="s">
        <v>5405</v>
      </c>
      <c r="J83" s="13">
        <v>1</v>
      </c>
      <c r="K83" s="9">
        <v>99933.121999999988</v>
      </c>
      <c r="L83" s="9">
        <v>27875.561999999991</v>
      </c>
      <c r="M83" s="13">
        <v>2</v>
      </c>
      <c r="N83" s="12">
        <v>0.27894217094508461</v>
      </c>
    </row>
    <row r="84" spans="4:14">
      <c r="D84" s="11" t="s">
        <v>16056</v>
      </c>
      <c r="E84" s="9">
        <v>44809.353000000003</v>
      </c>
      <c r="F84" s="9">
        <v>12348.022999999997</v>
      </c>
      <c r="G84" s="13">
        <v>11</v>
      </c>
      <c r="I84" s="11" t="s">
        <v>811</v>
      </c>
      <c r="J84" s="13">
        <v>1</v>
      </c>
      <c r="K84" s="9">
        <v>99459.675000000003</v>
      </c>
      <c r="L84" s="9">
        <v>20905.125</v>
      </c>
      <c r="M84" s="13">
        <v>5</v>
      </c>
      <c r="N84" s="12">
        <v>0.21018694259759044</v>
      </c>
    </row>
    <row r="85" spans="4:14">
      <c r="D85" s="11" t="s">
        <v>16026</v>
      </c>
      <c r="E85" s="9">
        <v>45632.495999999999</v>
      </c>
      <c r="F85" s="9">
        <v>18236.955999999998</v>
      </c>
      <c r="G85" s="13">
        <v>2</v>
      </c>
      <c r="I85" s="11" t="s">
        <v>9195</v>
      </c>
      <c r="J85" s="13">
        <v>1</v>
      </c>
      <c r="K85" s="9">
        <v>98974.080000000002</v>
      </c>
      <c r="L85" s="9">
        <v>32493.320000000007</v>
      </c>
      <c r="M85" s="13">
        <v>4</v>
      </c>
      <c r="N85" s="12">
        <v>0.32830130878710878</v>
      </c>
    </row>
    <row r="86" spans="4:14">
      <c r="D86" s="11" t="s">
        <v>16128</v>
      </c>
      <c r="E86" s="9">
        <v>46337.084499999997</v>
      </c>
      <c r="F86" s="9">
        <v>6095.3444999999956</v>
      </c>
      <c r="G86" s="13">
        <v>11</v>
      </c>
      <c r="I86" s="11" t="s">
        <v>11103</v>
      </c>
      <c r="J86" s="13">
        <v>1</v>
      </c>
      <c r="K86" s="9">
        <v>98777.411999999997</v>
      </c>
      <c r="L86" s="9">
        <v>15734.971999999994</v>
      </c>
      <c r="M86" s="13">
        <v>2</v>
      </c>
      <c r="N86" s="12">
        <v>0.15929726929877444</v>
      </c>
    </row>
    <row r="87" spans="4:14">
      <c r="D87" s="11" t="s">
        <v>16079</v>
      </c>
      <c r="E87" s="9">
        <v>46546.299999999996</v>
      </c>
      <c r="F87" s="9">
        <v>17119.320000000003</v>
      </c>
      <c r="G87" s="13">
        <v>11</v>
      </c>
      <c r="I87" s="11" t="s">
        <v>12138</v>
      </c>
      <c r="J87" s="13">
        <v>2</v>
      </c>
      <c r="K87" s="9">
        <v>98204.556500000006</v>
      </c>
      <c r="L87" s="9">
        <v>37831.246500000008</v>
      </c>
      <c r="M87" s="13">
        <v>5</v>
      </c>
      <c r="N87" s="12">
        <v>0.38522903466296909</v>
      </c>
    </row>
    <row r="88" spans="4:14">
      <c r="D88" s="11" t="s">
        <v>16220</v>
      </c>
      <c r="E88" s="9">
        <v>49822.343999999997</v>
      </c>
      <c r="F88" s="9">
        <v>21112.194</v>
      </c>
      <c r="G88" s="13">
        <v>15</v>
      </c>
      <c r="I88" s="11" t="s">
        <v>6816</v>
      </c>
      <c r="J88" s="13">
        <v>1</v>
      </c>
      <c r="K88" s="9">
        <v>98130.079000000012</v>
      </c>
      <c r="L88" s="9">
        <v>11000.77900000001</v>
      </c>
      <c r="M88" s="13">
        <v>2</v>
      </c>
      <c r="N88" s="12">
        <v>0.11210404711892678</v>
      </c>
    </row>
    <row r="89" spans="4:14">
      <c r="D89" s="11" t="s">
        <v>16067</v>
      </c>
      <c r="E89" s="9">
        <v>51274.61299999999</v>
      </c>
      <c r="F89" s="9">
        <v>18688.762999999999</v>
      </c>
      <c r="G89" s="13">
        <v>15</v>
      </c>
      <c r="I89" s="11" t="s">
        <v>13370</v>
      </c>
      <c r="J89" s="13">
        <v>1</v>
      </c>
      <c r="K89" s="9">
        <v>98130.079000000012</v>
      </c>
      <c r="L89" s="9">
        <v>11000.77900000001</v>
      </c>
      <c r="M89" s="13">
        <v>2</v>
      </c>
      <c r="N89" s="12">
        <v>0.11210404711892678</v>
      </c>
    </row>
    <row r="90" spans="4:14">
      <c r="D90" s="11" t="s">
        <v>16098</v>
      </c>
      <c r="E90" s="9">
        <v>51519.08</v>
      </c>
      <c r="F90" s="9">
        <v>9546.0399999999972</v>
      </c>
      <c r="G90" s="13">
        <v>8</v>
      </c>
      <c r="I90" s="11" t="s">
        <v>3785</v>
      </c>
      <c r="J90" s="13">
        <v>1</v>
      </c>
      <c r="K90" s="9">
        <v>91055.1</v>
      </c>
      <c r="L90" s="9">
        <v>20875.960000000006</v>
      </c>
      <c r="M90" s="13">
        <v>2</v>
      </c>
      <c r="N90" s="12">
        <v>0.22926733373528782</v>
      </c>
    </row>
    <row r="91" spans="4:14">
      <c r="D91" s="11" t="s">
        <v>16014</v>
      </c>
      <c r="E91" s="9">
        <v>52789.473000000005</v>
      </c>
      <c r="F91" s="9">
        <v>10635.723000000004</v>
      </c>
      <c r="G91" s="13">
        <v>5</v>
      </c>
      <c r="I91" s="11" t="s">
        <v>3678</v>
      </c>
      <c r="J91" s="13">
        <v>1</v>
      </c>
      <c r="K91" s="9">
        <v>90197.978000000003</v>
      </c>
      <c r="L91" s="9">
        <v>34698.538</v>
      </c>
      <c r="M91" s="13">
        <v>4</v>
      </c>
      <c r="N91" s="12">
        <v>0.38469308037038258</v>
      </c>
    </row>
    <row r="92" spans="4:14">
      <c r="D92" s="11" t="s">
        <v>16212</v>
      </c>
      <c r="E92" s="9">
        <v>56172.990000000005</v>
      </c>
      <c r="F92" s="9">
        <v>8892.39</v>
      </c>
      <c r="G92" s="13">
        <v>12</v>
      </c>
      <c r="I92" s="11" t="s">
        <v>4772</v>
      </c>
      <c r="J92" s="13">
        <v>1</v>
      </c>
      <c r="K92" s="9">
        <v>89834.22</v>
      </c>
      <c r="L92" s="9">
        <v>22131.979999999996</v>
      </c>
      <c r="M92" s="13">
        <v>2</v>
      </c>
      <c r="N92" s="12">
        <v>0.24636469265275521</v>
      </c>
    </row>
    <row r="93" spans="4:14">
      <c r="D93" s="11" t="s">
        <v>15938</v>
      </c>
      <c r="E93" s="9">
        <v>59934.729000000007</v>
      </c>
      <c r="F93" s="9">
        <v>16745.739000000009</v>
      </c>
      <c r="G93" s="13">
        <v>13</v>
      </c>
      <c r="I93" s="11" t="s">
        <v>1816</v>
      </c>
      <c r="J93" s="13">
        <v>1</v>
      </c>
      <c r="K93" s="9">
        <v>89834.22</v>
      </c>
      <c r="L93" s="9">
        <v>22131.979999999996</v>
      </c>
      <c r="M93" s="13">
        <v>2</v>
      </c>
      <c r="N93" s="12">
        <v>0.24636469265275521</v>
      </c>
    </row>
    <row r="94" spans="4:14">
      <c r="D94" s="11" t="s">
        <v>16252</v>
      </c>
      <c r="E94" s="9">
        <v>61316.35</v>
      </c>
      <c r="F94" s="9">
        <v>23117.8</v>
      </c>
      <c r="G94" s="13">
        <v>15</v>
      </c>
      <c r="I94" s="11" t="s">
        <v>2196</v>
      </c>
      <c r="J94" s="13">
        <v>1</v>
      </c>
      <c r="K94" s="9">
        <v>89834.22</v>
      </c>
      <c r="L94" s="9">
        <v>22131.979999999996</v>
      </c>
      <c r="M94" s="13">
        <v>2</v>
      </c>
      <c r="N94" s="12">
        <v>0.24636469265275521</v>
      </c>
    </row>
    <row r="95" spans="4:14">
      <c r="D95" s="11" t="s">
        <v>15949</v>
      </c>
      <c r="E95" s="9">
        <v>64304.823999999993</v>
      </c>
      <c r="F95" s="9">
        <v>15707.223999999993</v>
      </c>
      <c r="G95" s="13">
        <v>15</v>
      </c>
      <c r="I95" s="11" t="s">
        <v>15880</v>
      </c>
      <c r="J95" s="13">
        <v>1</v>
      </c>
      <c r="K95" s="9">
        <v>89076.672000000006</v>
      </c>
      <c r="L95" s="9">
        <v>22595.912000000011</v>
      </c>
      <c r="M95" s="13">
        <v>4</v>
      </c>
      <c r="N95" s="12">
        <v>0.25366812087456536</v>
      </c>
    </row>
    <row r="96" spans="4:14">
      <c r="D96" s="11" t="s">
        <v>16120</v>
      </c>
      <c r="E96" s="9">
        <v>64552.434000000001</v>
      </c>
      <c r="F96" s="9">
        <v>18148.614000000001</v>
      </c>
      <c r="G96" s="13">
        <v>9</v>
      </c>
      <c r="I96" s="11" t="s">
        <v>585</v>
      </c>
      <c r="J96" s="13">
        <v>1</v>
      </c>
      <c r="K96" s="9">
        <v>89027.16</v>
      </c>
      <c r="L96" s="9">
        <v>35941.17</v>
      </c>
      <c r="M96" s="13">
        <v>3</v>
      </c>
      <c r="N96" s="12">
        <v>0.40371017114327806</v>
      </c>
    </row>
    <row r="97" spans="4:14">
      <c r="D97" s="11" t="s">
        <v>16105</v>
      </c>
      <c r="E97" s="9">
        <v>66525.662999999986</v>
      </c>
      <c r="F97" s="9">
        <v>22619.332999999999</v>
      </c>
      <c r="G97" s="13">
        <v>13</v>
      </c>
      <c r="I97" s="11" t="s">
        <v>7941</v>
      </c>
      <c r="J97" s="13">
        <v>1</v>
      </c>
      <c r="K97" s="9">
        <v>89027.16</v>
      </c>
      <c r="L97" s="9">
        <v>35941.17</v>
      </c>
      <c r="M97" s="13">
        <v>3</v>
      </c>
      <c r="N97" s="12">
        <v>0.40371017114327806</v>
      </c>
    </row>
    <row r="98" spans="4:14">
      <c r="D98" s="11" t="s">
        <v>16218</v>
      </c>
      <c r="E98" s="9">
        <v>72712.570000000007</v>
      </c>
      <c r="F98" s="9">
        <v>14540.050000000003</v>
      </c>
      <c r="G98" s="13">
        <v>21</v>
      </c>
      <c r="I98" s="11" t="s">
        <v>9849</v>
      </c>
      <c r="J98" s="13">
        <v>1</v>
      </c>
      <c r="K98" s="9">
        <v>88891.32</v>
      </c>
      <c r="L98" s="9">
        <v>18633.36</v>
      </c>
      <c r="M98" s="13">
        <v>4</v>
      </c>
      <c r="N98" s="12">
        <v>0.20961956690484515</v>
      </c>
    </row>
    <row r="99" spans="4:14">
      <c r="D99" s="11" t="s">
        <v>16077</v>
      </c>
      <c r="E99" s="9">
        <v>72848.58</v>
      </c>
      <c r="F99" s="9">
        <v>18148.5</v>
      </c>
      <c r="G99" s="13">
        <v>12</v>
      </c>
      <c r="I99" s="11" t="s">
        <v>14498</v>
      </c>
      <c r="J99" s="13">
        <v>1</v>
      </c>
      <c r="K99" s="9">
        <v>87798.888000000006</v>
      </c>
      <c r="L99" s="9">
        <v>28255.928000000007</v>
      </c>
      <c r="M99" s="13">
        <v>2</v>
      </c>
      <c r="N99" s="12">
        <v>0.32182557938547018</v>
      </c>
    </row>
    <row r="100" spans="4:14">
      <c r="D100" s="11" t="s">
        <v>16207</v>
      </c>
      <c r="E100" s="9">
        <v>74423.822999999989</v>
      </c>
      <c r="F100" s="9">
        <v>22513.51300000001</v>
      </c>
      <c r="G100" s="13">
        <v>23</v>
      </c>
      <c r="I100" s="11" t="s">
        <v>2282</v>
      </c>
      <c r="J100" s="13">
        <v>1</v>
      </c>
      <c r="K100" s="9">
        <v>87460.65</v>
      </c>
      <c r="L100" s="9">
        <v>21777.839999999997</v>
      </c>
      <c r="M100" s="13">
        <v>3</v>
      </c>
      <c r="N100" s="12">
        <v>0.24900157956749691</v>
      </c>
    </row>
    <row r="101" spans="4:14">
      <c r="D101" s="11" t="s">
        <v>15974</v>
      </c>
      <c r="E101" s="9">
        <v>74912.214000000007</v>
      </c>
      <c r="F101" s="9">
        <v>15718.694000000003</v>
      </c>
      <c r="G101" s="13">
        <v>8</v>
      </c>
      <c r="I101" s="11" t="s">
        <v>8676</v>
      </c>
      <c r="J101" s="13">
        <v>2</v>
      </c>
      <c r="K101" s="9">
        <v>86971.222000000009</v>
      </c>
      <c r="L101" s="9">
        <v>27468.812000000005</v>
      </c>
      <c r="M101" s="13">
        <v>3</v>
      </c>
      <c r="N101" s="12">
        <v>0.31583794464794346</v>
      </c>
    </row>
    <row r="102" spans="4:14">
      <c r="D102" s="11" t="s">
        <v>16087</v>
      </c>
      <c r="E102" s="9">
        <v>83409.964000000007</v>
      </c>
      <c r="F102" s="9">
        <v>15926.573999999997</v>
      </c>
      <c r="G102" s="13">
        <v>13</v>
      </c>
      <c r="I102" s="11" t="s">
        <v>10558</v>
      </c>
      <c r="J102" s="13">
        <v>2</v>
      </c>
      <c r="K102" s="9">
        <v>86500.68</v>
      </c>
      <c r="L102" s="9">
        <v>22875.69</v>
      </c>
      <c r="M102" s="13">
        <v>7</v>
      </c>
      <c r="N102" s="12">
        <v>0.26445676496415982</v>
      </c>
    </row>
    <row r="103" spans="4:14">
      <c r="D103" s="11" t="s">
        <v>16069</v>
      </c>
      <c r="E103" s="9">
        <v>90501.576000000001</v>
      </c>
      <c r="F103" s="9">
        <v>26506.776000000002</v>
      </c>
      <c r="G103" s="13">
        <v>12</v>
      </c>
      <c r="I103" s="11" t="s">
        <v>4752</v>
      </c>
      <c r="J103" s="13">
        <v>1</v>
      </c>
      <c r="K103" s="9">
        <v>86409.76</v>
      </c>
      <c r="L103" s="9">
        <v>33871.439999999995</v>
      </c>
      <c r="M103" s="13">
        <v>4</v>
      </c>
      <c r="N103" s="12">
        <v>0.39198627562442018</v>
      </c>
    </row>
    <row r="104" spans="4:14">
      <c r="D104" s="11" t="s">
        <v>16237</v>
      </c>
      <c r="E104" s="9">
        <v>92165.854999999996</v>
      </c>
      <c r="F104" s="9">
        <v>24990.904999999992</v>
      </c>
      <c r="G104" s="13">
        <v>23</v>
      </c>
      <c r="I104" s="11" t="s">
        <v>7311</v>
      </c>
      <c r="J104" s="13">
        <v>1</v>
      </c>
      <c r="K104" s="9">
        <v>86197.96</v>
      </c>
      <c r="L104" s="9">
        <v>27242.380000000005</v>
      </c>
      <c r="M104" s="13">
        <v>2</v>
      </c>
      <c r="N104" s="12">
        <v>0.31604437042361561</v>
      </c>
    </row>
    <row r="105" spans="4:14">
      <c r="D105" s="11" t="s">
        <v>16075</v>
      </c>
      <c r="E105" s="9">
        <v>94224.287500000006</v>
      </c>
      <c r="F105" s="9">
        <v>14168.927499999993</v>
      </c>
      <c r="G105" s="13">
        <v>18</v>
      </c>
      <c r="I105" s="11" t="s">
        <v>1100</v>
      </c>
      <c r="J105" s="13">
        <v>2</v>
      </c>
      <c r="K105" s="9">
        <v>82390.289999999994</v>
      </c>
      <c r="L105" s="9">
        <v>26409.099999999995</v>
      </c>
      <c r="M105" s="13">
        <v>6</v>
      </c>
      <c r="N105" s="12">
        <v>0.32053655837356559</v>
      </c>
    </row>
    <row r="106" spans="4:14">
      <c r="D106" s="11" t="s">
        <v>15934</v>
      </c>
      <c r="E106" s="9">
        <v>95591.75499999999</v>
      </c>
      <c r="F106" s="9">
        <v>16241.715000000011</v>
      </c>
      <c r="G106" s="13">
        <v>7</v>
      </c>
      <c r="I106" s="11" t="s">
        <v>3592</v>
      </c>
      <c r="J106" s="13">
        <v>1</v>
      </c>
      <c r="K106" s="9">
        <v>82089.271999999997</v>
      </c>
      <c r="L106" s="9">
        <v>29550.951999999997</v>
      </c>
      <c r="M106" s="13">
        <v>4</v>
      </c>
      <c r="N106" s="12">
        <v>0.35998555328886334</v>
      </c>
    </row>
    <row r="107" spans="4:14">
      <c r="D107" s="11" t="s">
        <v>16250</v>
      </c>
      <c r="E107" s="9">
        <v>97919.16</v>
      </c>
      <c r="F107" s="9">
        <v>21626.779999999992</v>
      </c>
      <c r="G107" s="13">
        <v>23</v>
      </c>
      <c r="I107" s="11" t="s">
        <v>1170</v>
      </c>
      <c r="J107" s="13">
        <v>1</v>
      </c>
      <c r="K107" s="9">
        <v>81949.590000000011</v>
      </c>
      <c r="L107" s="9">
        <v>11770.450000000012</v>
      </c>
      <c r="M107" s="13">
        <v>2</v>
      </c>
      <c r="N107" s="12">
        <v>0.14363037081698651</v>
      </c>
    </row>
    <row r="108" spans="4:14">
      <c r="D108" s="11" t="s">
        <v>16008</v>
      </c>
      <c r="E108" s="9">
        <v>105102.19899999999</v>
      </c>
      <c r="F108" s="9">
        <v>43514.198999999993</v>
      </c>
      <c r="G108" s="13">
        <v>5</v>
      </c>
      <c r="I108" s="11" t="s">
        <v>10152</v>
      </c>
      <c r="J108" s="13">
        <v>1</v>
      </c>
      <c r="K108" s="9">
        <v>79992.740000000005</v>
      </c>
      <c r="L108" s="9">
        <v>27608.320000000007</v>
      </c>
      <c r="M108" s="13">
        <v>2</v>
      </c>
      <c r="N108" s="12">
        <v>0.34513532103038358</v>
      </c>
    </row>
    <row r="109" spans="4:14">
      <c r="D109" s="11" t="s">
        <v>15968</v>
      </c>
      <c r="E109" s="9">
        <v>109208.40300000001</v>
      </c>
      <c r="F109" s="9">
        <v>30567.303000000007</v>
      </c>
      <c r="G109" s="13">
        <v>9</v>
      </c>
      <c r="I109" s="11" t="s">
        <v>615</v>
      </c>
      <c r="J109" s="13">
        <v>1</v>
      </c>
      <c r="K109" s="9">
        <v>78938.720000000001</v>
      </c>
      <c r="L109" s="9">
        <v>25137.090000000004</v>
      </c>
      <c r="M109" s="13">
        <v>1</v>
      </c>
      <c r="N109" s="12">
        <v>0.3184380238240499</v>
      </c>
    </row>
    <row r="110" spans="4:14">
      <c r="D110" s="11" t="s">
        <v>16094</v>
      </c>
      <c r="E110" s="9">
        <v>111210.84</v>
      </c>
      <c r="F110" s="9">
        <v>16393.640000000014</v>
      </c>
      <c r="G110" s="13">
        <v>20</v>
      </c>
      <c r="I110" s="11" t="s">
        <v>7826</v>
      </c>
      <c r="J110" s="13">
        <v>1</v>
      </c>
      <c r="K110" s="9">
        <v>78938.720000000001</v>
      </c>
      <c r="L110" s="9">
        <v>25137.090000000004</v>
      </c>
      <c r="M110" s="13">
        <v>1</v>
      </c>
      <c r="N110" s="12">
        <v>0.3184380238240499</v>
      </c>
    </row>
    <row r="111" spans="4:14">
      <c r="D111" s="11" t="s">
        <v>16122</v>
      </c>
      <c r="E111" s="9">
        <v>113706.702</v>
      </c>
      <c r="F111" s="9">
        <v>18109.151999999998</v>
      </c>
      <c r="G111" s="13">
        <v>19</v>
      </c>
      <c r="I111" s="11" t="s">
        <v>3493</v>
      </c>
      <c r="J111" s="13">
        <v>1</v>
      </c>
      <c r="K111" s="9">
        <v>78938.720000000001</v>
      </c>
      <c r="L111" s="9">
        <v>25137.090000000004</v>
      </c>
      <c r="M111" s="13">
        <v>1</v>
      </c>
      <c r="N111" s="12">
        <v>0.3184380238240499</v>
      </c>
    </row>
    <row r="112" spans="4:14">
      <c r="D112" s="11" t="s">
        <v>16090</v>
      </c>
      <c r="E112" s="9">
        <v>124623.84000000001</v>
      </c>
      <c r="F112" s="9">
        <v>12462.059999999998</v>
      </c>
      <c r="G112" s="13">
        <v>18</v>
      </c>
      <c r="I112" s="11" t="s">
        <v>7114</v>
      </c>
      <c r="J112" s="13">
        <v>1</v>
      </c>
      <c r="K112" s="9">
        <v>78118.23</v>
      </c>
      <c r="L112" s="9">
        <v>16341.539999999994</v>
      </c>
      <c r="M112" s="13">
        <v>3</v>
      </c>
      <c r="N112" s="12">
        <v>0.20918983955473638</v>
      </c>
    </row>
    <row r="113" spans="4:14">
      <c r="D113" s="11" t="s">
        <v>16117</v>
      </c>
      <c r="E113" s="9">
        <v>130870.69050000003</v>
      </c>
      <c r="F113" s="9">
        <v>33687.890500000001</v>
      </c>
      <c r="G113" s="13">
        <v>20</v>
      </c>
      <c r="I113" s="11" t="s">
        <v>13434</v>
      </c>
      <c r="J113" s="13">
        <v>1</v>
      </c>
      <c r="K113" s="9">
        <v>77394.210000000006</v>
      </c>
      <c r="L113" s="9">
        <v>28355.540000000008</v>
      </c>
      <c r="M113" s="13">
        <v>1</v>
      </c>
      <c r="N113" s="12">
        <v>0.3663780533453343</v>
      </c>
    </row>
    <row r="114" spans="4:14">
      <c r="D114" s="11" t="s">
        <v>16035</v>
      </c>
      <c r="E114" s="9">
        <v>135159.1545</v>
      </c>
      <c r="F114" s="9">
        <v>36866.354499999987</v>
      </c>
      <c r="G114" s="13">
        <v>10</v>
      </c>
      <c r="I114" s="11" t="s">
        <v>13770</v>
      </c>
      <c r="J114" s="13">
        <v>1</v>
      </c>
      <c r="K114" s="9">
        <v>77250.076499999996</v>
      </c>
      <c r="L114" s="9">
        <v>25972.2765</v>
      </c>
      <c r="M114" s="13">
        <v>3</v>
      </c>
      <c r="N114" s="12">
        <v>0.33621036608293847</v>
      </c>
    </row>
    <row r="115" spans="4:14">
      <c r="D115" s="11" t="s">
        <v>16018</v>
      </c>
      <c r="E115" s="9">
        <v>140503.24250000002</v>
      </c>
      <c r="F115" s="9">
        <v>19229.642499999998</v>
      </c>
      <c r="G115" s="13">
        <v>5</v>
      </c>
      <c r="I115" s="11" t="s">
        <v>13087</v>
      </c>
      <c r="J115" s="13">
        <v>1</v>
      </c>
      <c r="K115" s="9">
        <v>76808.601999999999</v>
      </c>
      <c r="L115" s="9">
        <v>9333.0819999999949</v>
      </c>
      <c r="M115" s="13">
        <v>4</v>
      </c>
      <c r="N115" s="12">
        <v>0.12151089535518424</v>
      </c>
    </row>
    <row r="116" spans="4:14">
      <c r="D116" s="11" t="s">
        <v>16010</v>
      </c>
      <c r="E116" s="9">
        <v>142172.96750000003</v>
      </c>
      <c r="F116" s="9">
        <v>35100.667500000025</v>
      </c>
      <c r="G116" s="13">
        <v>10</v>
      </c>
      <c r="I116" s="11" t="s">
        <v>4350</v>
      </c>
      <c r="J116" s="13">
        <v>1</v>
      </c>
      <c r="K116" s="9">
        <v>76661.149999999994</v>
      </c>
      <c r="L116" s="9">
        <v>32518.669999999991</v>
      </c>
      <c r="M116" s="13">
        <v>1</v>
      </c>
      <c r="N116" s="12">
        <v>0.42418708824482798</v>
      </c>
    </row>
    <row r="117" spans="4:14">
      <c r="D117" s="11" t="s">
        <v>16022</v>
      </c>
      <c r="E117" s="9">
        <v>154627.84349999999</v>
      </c>
      <c r="F117" s="9">
        <v>19676.803499999995</v>
      </c>
      <c r="G117" s="13">
        <v>8</v>
      </c>
      <c r="I117" s="11" t="s">
        <v>3159</v>
      </c>
      <c r="J117" s="13">
        <v>1</v>
      </c>
      <c r="K117" s="9">
        <v>76661.149999999994</v>
      </c>
      <c r="L117" s="9">
        <v>32518.669999999991</v>
      </c>
      <c r="M117" s="13">
        <v>1</v>
      </c>
      <c r="N117" s="12">
        <v>0.42418708824482798</v>
      </c>
    </row>
    <row r="118" spans="4:14">
      <c r="D118" s="11" t="s">
        <v>16044</v>
      </c>
      <c r="E118" s="9">
        <v>157697.6575</v>
      </c>
      <c r="F118" s="9">
        <v>33158.807499999988</v>
      </c>
      <c r="G118" s="13">
        <v>9</v>
      </c>
      <c r="I118" s="11" t="s">
        <v>3825</v>
      </c>
      <c r="J118" s="13">
        <v>1</v>
      </c>
      <c r="K118" s="9">
        <v>76019.78</v>
      </c>
      <c r="L118" s="9">
        <v>22714.629999999997</v>
      </c>
      <c r="M118" s="13">
        <v>1</v>
      </c>
      <c r="N118" s="12">
        <v>0.29879894416953057</v>
      </c>
    </row>
    <row r="119" spans="4:14">
      <c r="D119" s="11" t="s">
        <v>16016</v>
      </c>
      <c r="E119" s="9">
        <v>159433.72099999999</v>
      </c>
      <c r="F119" s="9">
        <v>32776.000999999989</v>
      </c>
      <c r="G119" s="13">
        <v>14</v>
      </c>
      <c r="I119" s="11" t="s">
        <v>545</v>
      </c>
      <c r="J119" s="13">
        <v>1</v>
      </c>
      <c r="K119" s="9">
        <v>76019.78</v>
      </c>
      <c r="L119" s="9">
        <v>22714.629999999997</v>
      </c>
      <c r="M119" s="13">
        <v>1</v>
      </c>
      <c r="N119" s="12">
        <v>0.29879894416953057</v>
      </c>
    </row>
    <row r="120" spans="4:14">
      <c r="D120" s="11" t="s">
        <v>16037</v>
      </c>
      <c r="E120" s="9">
        <v>161406.908</v>
      </c>
      <c r="F120" s="9">
        <v>64282.888000000006</v>
      </c>
      <c r="G120" s="13">
        <v>7</v>
      </c>
      <c r="I120" s="11" t="s">
        <v>11430</v>
      </c>
      <c r="J120" s="13">
        <v>1</v>
      </c>
      <c r="K120" s="9">
        <v>76019.78</v>
      </c>
      <c r="L120" s="9">
        <v>22714.629999999997</v>
      </c>
      <c r="M120" s="13">
        <v>1</v>
      </c>
      <c r="N120" s="12">
        <v>0.29879894416953057</v>
      </c>
    </row>
    <row r="121" spans="4:14">
      <c r="D121" s="11" t="s">
        <v>15955</v>
      </c>
      <c r="E121" s="9">
        <v>173662.70400000003</v>
      </c>
      <c r="F121" s="9">
        <v>46941.104000000021</v>
      </c>
      <c r="G121" s="13">
        <v>5</v>
      </c>
      <c r="I121" s="11" t="s">
        <v>3408</v>
      </c>
      <c r="J121" s="13">
        <v>1</v>
      </c>
      <c r="K121" s="9">
        <v>76019.78</v>
      </c>
      <c r="L121" s="9">
        <v>22714.629999999997</v>
      </c>
      <c r="M121" s="13">
        <v>1</v>
      </c>
      <c r="N121" s="12">
        <v>0.29879894416953057</v>
      </c>
    </row>
    <row r="122" spans="4:14">
      <c r="D122" s="11" t="s">
        <v>16046</v>
      </c>
      <c r="E122" s="9">
        <v>173752.39199999999</v>
      </c>
      <c r="F122" s="9">
        <v>53951.381999999998</v>
      </c>
      <c r="G122" s="13">
        <v>7</v>
      </c>
      <c r="I122" s="11" t="s">
        <v>5216</v>
      </c>
      <c r="J122" s="13">
        <v>1</v>
      </c>
      <c r="K122" s="9">
        <v>75177.759999999995</v>
      </c>
      <c r="L122" s="9">
        <v>23345.919999999998</v>
      </c>
      <c r="M122" s="13">
        <v>1</v>
      </c>
      <c r="N122" s="12">
        <v>0.31054290524218864</v>
      </c>
    </row>
    <row r="123" spans="4:14">
      <c r="D123" s="11" t="s">
        <v>16024</v>
      </c>
      <c r="E123" s="9">
        <v>191624.29799999998</v>
      </c>
      <c r="F123" s="9">
        <v>68539.237999999983</v>
      </c>
      <c r="G123" s="13">
        <v>14</v>
      </c>
      <c r="I123" s="11" t="s">
        <v>7807</v>
      </c>
      <c r="J123" s="13">
        <v>1</v>
      </c>
      <c r="K123" s="9">
        <v>75177.759999999995</v>
      </c>
      <c r="L123" s="9">
        <v>23345.919999999998</v>
      </c>
      <c r="M123" s="13">
        <v>1</v>
      </c>
      <c r="N123" s="12">
        <v>0.31054290524218864</v>
      </c>
    </row>
    <row r="124" spans="4:14">
      <c r="D124" s="11" t="s">
        <v>16029</v>
      </c>
      <c r="E124" s="9">
        <v>193591.18050000002</v>
      </c>
      <c r="F124" s="9">
        <v>51937.4905</v>
      </c>
      <c r="G124" s="13">
        <v>17</v>
      </c>
      <c r="I124" s="11" t="s">
        <v>7915</v>
      </c>
      <c r="J124" s="13">
        <v>1</v>
      </c>
      <c r="K124" s="9">
        <v>75177.759999999995</v>
      </c>
      <c r="L124" s="9">
        <v>23345.919999999998</v>
      </c>
      <c r="M124" s="13">
        <v>1</v>
      </c>
      <c r="N124" s="12">
        <v>0.31054290524218864</v>
      </c>
    </row>
    <row r="125" spans="4:14">
      <c r="D125" s="11" t="s">
        <v>16048</v>
      </c>
      <c r="E125" s="9">
        <v>195442.64</v>
      </c>
      <c r="F125" s="9">
        <v>75468.800000000017</v>
      </c>
      <c r="G125" s="13">
        <v>8</v>
      </c>
      <c r="I125" s="11" t="s">
        <v>14538</v>
      </c>
      <c r="J125" s="13">
        <v>1</v>
      </c>
      <c r="K125" s="9">
        <v>75177.759999999995</v>
      </c>
      <c r="L125" s="9">
        <v>23345.919999999998</v>
      </c>
      <c r="M125" s="13">
        <v>1</v>
      </c>
      <c r="N125" s="12">
        <v>0.31054290524218864</v>
      </c>
    </row>
    <row r="126" spans="4:14">
      <c r="D126" s="11" t="s">
        <v>16050</v>
      </c>
      <c r="E126" s="9">
        <v>198195.334</v>
      </c>
      <c r="F126" s="9">
        <v>69228.834000000003</v>
      </c>
      <c r="G126" s="13">
        <v>10</v>
      </c>
      <c r="I126" s="11" t="s">
        <v>12055</v>
      </c>
      <c r="J126" s="13">
        <v>2</v>
      </c>
      <c r="K126" s="9">
        <v>75117.315000000002</v>
      </c>
      <c r="L126" s="9">
        <v>28168.975000000002</v>
      </c>
      <c r="M126" s="13">
        <v>2</v>
      </c>
      <c r="N126" s="12">
        <v>0.37499975871075797</v>
      </c>
    </row>
    <row r="127" spans="4:14">
      <c r="D127" s="11" t="s">
        <v>16020</v>
      </c>
      <c r="E127" s="9">
        <v>202020.01199999999</v>
      </c>
      <c r="F127" s="9">
        <v>37643.381999999983</v>
      </c>
      <c r="G127" s="13">
        <v>9</v>
      </c>
      <c r="I127" s="11" t="s">
        <v>11687</v>
      </c>
      <c r="J127" s="13">
        <v>1</v>
      </c>
      <c r="K127" s="9">
        <v>74991.784</v>
      </c>
      <c r="L127" s="9">
        <v>21190.154000000002</v>
      </c>
      <c r="M127" s="13">
        <v>1</v>
      </c>
      <c r="N127" s="12">
        <v>0.28256634086742094</v>
      </c>
    </row>
    <row r="128" spans="4:14">
      <c r="D128" s="11" t="s">
        <v>15928</v>
      </c>
      <c r="E128" s="9">
        <v>204240.91950000002</v>
      </c>
      <c r="F128" s="9">
        <v>34797.769500000009</v>
      </c>
      <c r="G128" s="13">
        <v>3</v>
      </c>
      <c r="I128" s="11" t="s">
        <v>14516</v>
      </c>
      <c r="J128" s="13">
        <v>2</v>
      </c>
      <c r="K128" s="9">
        <v>74661.106499999994</v>
      </c>
      <c r="L128" s="9">
        <v>27720.386499999993</v>
      </c>
      <c r="M128" s="13">
        <v>2</v>
      </c>
      <c r="N128" s="12">
        <v>0.37128282447836469</v>
      </c>
    </row>
    <row r="129" spans="4:14">
      <c r="D129" s="11" t="s">
        <v>15983</v>
      </c>
      <c r="E129" s="9">
        <v>213339.951</v>
      </c>
      <c r="F129" s="9">
        <v>65951.001000000018</v>
      </c>
      <c r="G129" s="13">
        <v>5</v>
      </c>
      <c r="I129" s="11" t="s">
        <v>4009</v>
      </c>
      <c r="J129" s="13">
        <v>1</v>
      </c>
      <c r="K129" s="9">
        <v>74177.87</v>
      </c>
      <c r="L129" s="9">
        <v>27623.539999999994</v>
      </c>
      <c r="M129" s="13">
        <v>1</v>
      </c>
      <c r="N129" s="12">
        <v>0.37239597200620611</v>
      </c>
    </row>
    <row r="130" spans="4:14">
      <c r="D130" s="11" t="s">
        <v>15936</v>
      </c>
      <c r="E130" s="9">
        <v>218227.84799999994</v>
      </c>
      <c r="F130" s="9">
        <v>80786.628000000026</v>
      </c>
      <c r="G130" s="13">
        <v>21</v>
      </c>
      <c r="I130" s="11" t="s">
        <v>9870</v>
      </c>
      <c r="J130" s="13">
        <v>1</v>
      </c>
      <c r="K130" s="9">
        <v>74177.87</v>
      </c>
      <c r="L130" s="9">
        <v>27623.539999999994</v>
      </c>
      <c r="M130" s="13">
        <v>1</v>
      </c>
      <c r="N130" s="12">
        <v>0.37239597200620611</v>
      </c>
    </row>
    <row r="131" spans="4:14">
      <c r="D131" s="11" t="s">
        <v>15970</v>
      </c>
      <c r="E131" s="9">
        <v>231146.10800000001</v>
      </c>
      <c r="F131" s="9">
        <v>86665.728000000003</v>
      </c>
      <c r="G131" s="13">
        <v>11</v>
      </c>
      <c r="I131" s="11" t="s">
        <v>4235</v>
      </c>
      <c r="J131" s="13">
        <v>1</v>
      </c>
      <c r="K131" s="9">
        <v>74177.87</v>
      </c>
      <c r="L131" s="9">
        <v>27623.539999999994</v>
      </c>
      <c r="M131" s="13">
        <v>1</v>
      </c>
      <c r="N131" s="12">
        <v>0.37239597200620611</v>
      </c>
    </row>
    <row r="132" spans="4:14">
      <c r="D132" s="11" t="s">
        <v>15995</v>
      </c>
      <c r="E132" s="9">
        <v>231852.54399999999</v>
      </c>
      <c r="F132" s="9">
        <v>68947.723999999987</v>
      </c>
      <c r="G132" s="13">
        <v>13</v>
      </c>
      <c r="I132" s="11" t="s">
        <v>1549</v>
      </c>
      <c r="J132" s="13">
        <v>1</v>
      </c>
      <c r="K132" s="9">
        <v>74177.87</v>
      </c>
      <c r="L132" s="9">
        <v>27623.539999999994</v>
      </c>
      <c r="M132" s="13">
        <v>1</v>
      </c>
      <c r="N132" s="12">
        <v>0.37239597200620611</v>
      </c>
    </row>
    <row r="133" spans="4:14">
      <c r="D133" s="11" t="s">
        <v>15951</v>
      </c>
      <c r="E133" s="9">
        <v>234707.60249999998</v>
      </c>
      <c r="F133" s="9">
        <v>85822.322499999995</v>
      </c>
      <c r="G133" s="13">
        <v>16</v>
      </c>
      <c r="I133" s="11" t="s">
        <v>2750</v>
      </c>
      <c r="J133" s="13">
        <v>1</v>
      </c>
      <c r="K133" s="9">
        <v>74177.87</v>
      </c>
      <c r="L133" s="9">
        <v>27623.539999999994</v>
      </c>
      <c r="M133" s="13">
        <v>1</v>
      </c>
      <c r="N133" s="12">
        <v>0.37239597200620611</v>
      </c>
    </row>
    <row r="134" spans="4:14">
      <c r="D134" s="11" t="s">
        <v>15957</v>
      </c>
      <c r="E134" s="9">
        <v>235319.35299999997</v>
      </c>
      <c r="F134" s="9">
        <v>37374.332999999991</v>
      </c>
      <c r="G134" s="13">
        <v>26</v>
      </c>
      <c r="I134" s="11" t="s">
        <v>1754</v>
      </c>
      <c r="J134" s="13">
        <v>2</v>
      </c>
      <c r="K134" s="9">
        <v>74156.66</v>
      </c>
      <c r="L134" s="9">
        <v>24192.05</v>
      </c>
      <c r="M134" s="13">
        <v>5</v>
      </c>
      <c r="N134" s="12">
        <v>0.32622895907124183</v>
      </c>
    </row>
    <row r="135" spans="4:14">
      <c r="D135" s="11" t="s">
        <v>16041</v>
      </c>
      <c r="E135" s="9">
        <v>265363</v>
      </c>
      <c r="F135" s="9">
        <v>79015.839999999997</v>
      </c>
      <c r="G135" s="13">
        <v>12</v>
      </c>
      <c r="I135" s="11" t="s">
        <v>1662</v>
      </c>
      <c r="J135" s="13">
        <v>1</v>
      </c>
      <c r="K135" s="9">
        <v>73290.990000000005</v>
      </c>
      <c r="L135" s="9">
        <v>28300.800000000003</v>
      </c>
      <c r="M135" s="13">
        <v>3</v>
      </c>
      <c r="N135" s="12">
        <v>0.38614296245691321</v>
      </c>
    </row>
    <row r="136" spans="4:14">
      <c r="D136" s="11" t="s">
        <v>16061</v>
      </c>
      <c r="E136" s="9">
        <v>270809.864</v>
      </c>
      <c r="F136" s="9">
        <v>44295.334000000003</v>
      </c>
      <c r="G136" s="13">
        <v>11</v>
      </c>
      <c r="I136" s="11" t="s">
        <v>6850</v>
      </c>
      <c r="J136" s="13">
        <v>1</v>
      </c>
      <c r="K136" s="9">
        <v>72962.94</v>
      </c>
      <c r="L136" s="9">
        <v>11630.620000000003</v>
      </c>
      <c r="M136" s="13">
        <v>2</v>
      </c>
      <c r="N136" s="12">
        <v>0.15940448671613291</v>
      </c>
    </row>
    <row r="137" spans="4:14">
      <c r="D137" s="11" t="s">
        <v>16052</v>
      </c>
      <c r="E137" s="9">
        <v>287316.07400000002</v>
      </c>
      <c r="F137" s="9">
        <v>99297.474000000017</v>
      </c>
      <c r="G137" s="13">
        <v>11</v>
      </c>
      <c r="I137" s="11" t="s">
        <v>13212</v>
      </c>
      <c r="J137" s="13">
        <v>1</v>
      </c>
      <c r="K137" s="9">
        <v>72962.94</v>
      </c>
      <c r="L137" s="9">
        <v>11630.620000000003</v>
      </c>
      <c r="M137" s="13">
        <v>2</v>
      </c>
      <c r="N137" s="12">
        <v>0.15940448671613291</v>
      </c>
    </row>
    <row r="138" spans="4:14">
      <c r="D138" s="11" t="s">
        <v>15998</v>
      </c>
      <c r="E138" s="9">
        <v>301837.41900000005</v>
      </c>
      <c r="F138" s="9">
        <v>105682.73900000003</v>
      </c>
      <c r="G138" s="13">
        <v>4</v>
      </c>
      <c r="I138" s="11" t="s">
        <v>7741</v>
      </c>
      <c r="J138" s="13">
        <v>1</v>
      </c>
      <c r="K138" s="9">
        <v>72453.919999999998</v>
      </c>
      <c r="L138" s="9">
        <v>22329.360000000001</v>
      </c>
      <c r="M138" s="13">
        <v>4</v>
      </c>
      <c r="N138" s="12">
        <v>0.30818705185309508</v>
      </c>
    </row>
    <row r="139" spans="4:14">
      <c r="D139" s="11" t="s">
        <v>15980</v>
      </c>
      <c r="E139" s="9">
        <v>305034.58500000002</v>
      </c>
      <c r="F139" s="9">
        <v>59407.59500000003</v>
      </c>
      <c r="G139" s="13">
        <v>7</v>
      </c>
      <c r="I139" s="11" t="s">
        <v>1505</v>
      </c>
      <c r="J139" s="13">
        <v>1</v>
      </c>
      <c r="K139" s="9">
        <v>72453.919999999998</v>
      </c>
      <c r="L139" s="9">
        <v>22329.360000000001</v>
      </c>
      <c r="M139" s="13">
        <v>4</v>
      </c>
      <c r="N139" s="12">
        <v>0.30818705185309508</v>
      </c>
    </row>
    <row r="140" spans="4:14">
      <c r="D140" s="11" t="s">
        <v>16059</v>
      </c>
      <c r="E140" s="9">
        <v>308324.99250000005</v>
      </c>
      <c r="F140" s="9">
        <v>72661.342500000028</v>
      </c>
      <c r="G140" s="13">
        <v>15</v>
      </c>
      <c r="I140" s="11" t="s">
        <v>13430</v>
      </c>
      <c r="J140" s="13">
        <v>1</v>
      </c>
      <c r="K140" s="9">
        <v>72359.460000000006</v>
      </c>
      <c r="L140" s="9">
        <v>21670.820000000007</v>
      </c>
      <c r="M140" s="13">
        <v>2</v>
      </c>
      <c r="N140" s="12">
        <v>0.29948841519823399</v>
      </c>
    </row>
    <row r="141" spans="4:14">
      <c r="D141" s="11" t="s">
        <v>16063</v>
      </c>
      <c r="E141" s="9">
        <v>317786.46900000004</v>
      </c>
      <c r="F141" s="9">
        <v>54319.118999999999</v>
      </c>
      <c r="G141" s="13">
        <v>15</v>
      </c>
      <c r="I141" s="11" t="s">
        <v>6906</v>
      </c>
      <c r="J141" s="13">
        <v>2</v>
      </c>
      <c r="K141" s="9">
        <v>71112.650000000009</v>
      </c>
      <c r="L141" s="9">
        <v>29679.160000000007</v>
      </c>
      <c r="M141" s="13">
        <v>3</v>
      </c>
      <c r="N141" s="12">
        <v>0.41735415569522444</v>
      </c>
    </row>
    <row r="142" spans="4:14">
      <c r="D142" s="11" t="s">
        <v>15946</v>
      </c>
      <c r="E142" s="9">
        <v>318033.10150000005</v>
      </c>
      <c r="F142" s="9">
        <v>129830.47150000003</v>
      </c>
      <c r="G142" s="13">
        <v>7</v>
      </c>
      <c r="I142" s="11" t="s">
        <v>5876</v>
      </c>
      <c r="J142" s="13">
        <v>1</v>
      </c>
      <c r="K142" s="9">
        <v>71080.524000000005</v>
      </c>
      <c r="L142" s="9">
        <v>19737.234000000004</v>
      </c>
      <c r="M142" s="13">
        <v>3</v>
      </c>
      <c r="N142" s="12">
        <v>0.27767428951424167</v>
      </c>
    </row>
    <row r="143" spans="4:14">
      <c r="D143" s="11" t="s">
        <v>16002</v>
      </c>
      <c r="E143" s="9">
        <v>338181.18</v>
      </c>
      <c r="F143" s="9">
        <v>75449.939999999988</v>
      </c>
      <c r="G143" s="13">
        <v>12</v>
      </c>
      <c r="I143" s="11" t="s">
        <v>1347</v>
      </c>
      <c r="J143" s="13">
        <v>1</v>
      </c>
      <c r="K143" s="9">
        <v>71044.847999999998</v>
      </c>
      <c r="L143" s="9">
        <v>17243.218000000001</v>
      </c>
      <c r="M143" s="13">
        <v>1</v>
      </c>
      <c r="N143" s="12">
        <v>0.2427089153600554</v>
      </c>
    </row>
    <row r="144" spans="4:14">
      <c r="D144" s="11" t="s">
        <v>15944</v>
      </c>
      <c r="E144" s="9">
        <v>353446.26750000002</v>
      </c>
      <c r="F144" s="9">
        <v>143861.8175</v>
      </c>
      <c r="G144" s="13">
        <v>5</v>
      </c>
      <c r="I144" s="11" t="s">
        <v>3155</v>
      </c>
      <c r="J144" s="13">
        <v>1</v>
      </c>
      <c r="K144" s="9">
        <v>70426.350000000006</v>
      </c>
      <c r="L144" s="9">
        <v>29378.040000000008</v>
      </c>
      <c r="M144" s="13">
        <v>1</v>
      </c>
      <c r="N144" s="12">
        <v>0.41714557122440687</v>
      </c>
    </row>
    <row r="145" spans="4:14">
      <c r="D145" s="11" t="s">
        <v>16031</v>
      </c>
      <c r="E145" s="9">
        <v>434749.29800000007</v>
      </c>
      <c r="F145" s="9">
        <v>169319.348</v>
      </c>
      <c r="G145" s="13">
        <v>15</v>
      </c>
      <c r="I145" s="11" t="s">
        <v>431</v>
      </c>
      <c r="J145" s="13">
        <v>1</v>
      </c>
      <c r="K145" s="9">
        <v>70426.350000000006</v>
      </c>
      <c r="L145" s="9">
        <v>29378.040000000008</v>
      </c>
      <c r="M145" s="13">
        <v>1</v>
      </c>
      <c r="N145" s="12">
        <v>0.41714557122440687</v>
      </c>
    </row>
    <row r="146" spans="4:14">
      <c r="D146" s="11" t="s">
        <v>15953</v>
      </c>
      <c r="E146" s="9">
        <v>438724.47500000003</v>
      </c>
      <c r="F146" s="9">
        <v>98860.084999999992</v>
      </c>
      <c r="G146" s="13">
        <v>9</v>
      </c>
      <c r="I146" s="11" t="s">
        <v>14510</v>
      </c>
      <c r="J146" s="13">
        <v>1</v>
      </c>
      <c r="K146" s="9">
        <v>70426.350000000006</v>
      </c>
      <c r="L146" s="9">
        <v>29378.040000000008</v>
      </c>
      <c r="M146" s="13">
        <v>1</v>
      </c>
      <c r="N146" s="12">
        <v>0.41714557122440687</v>
      </c>
    </row>
    <row r="147" spans="4:14">
      <c r="D147" s="11" t="s">
        <v>16054</v>
      </c>
      <c r="E147" s="9">
        <v>445383.36000000004</v>
      </c>
      <c r="F147" s="9">
        <v>129599.75000000004</v>
      </c>
      <c r="G147" s="13">
        <v>19</v>
      </c>
      <c r="I147" s="11" t="s">
        <v>539</v>
      </c>
      <c r="J147" s="13">
        <v>2</v>
      </c>
      <c r="K147" s="9">
        <v>69888.848500000007</v>
      </c>
      <c r="L147" s="9">
        <v>22552.878500000003</v>
      </c>
      <c r="M147" s="13">
        <v>2</v>
      </c>
      <c r="N147" s="12">
        <v>0.32269638124027755</v>
      </c>
    </row>
    <row r="148" spans="4:14">
      <c r="D148" s="11" t="s">
        <v>15993</v>
      </c>
      <c r="E148" s="9">
        <v>462848.14399999997</v>
      </c>
      <c r="F148" s="9">
        <v>138589.12400000001</v>
      </c>
      <c r="G148" s="13">
        <v>9</v>
      </c>
      <c r="I148" s="11" t="s">
        <v>15350</v>
      </c>
      <c r="J148" s="13">
        <v>1</v>
      </c>
      <c r="K148" s="9">
        <v>69654.789000000004</v>
      </c>
      <c r="L148" s="9">
        <v>20616.119000000006</v>
      </c>
      <c r="M148" s="13">
        <v>1</v>
      </c>
      <c r="N148" s="12">
        <v>0.29597561482814921</v>
      </c>
    </row>
    <row r="149" spans="4:14">
      <c r="D149" s="11" t="s">
        <v>15961</v>
      </c>
      <c r="E149" s="9">
        <v>509321.28000000014</v>
      </c>
      <c r="F149" s="9">
        <v>88796.400000000023</v>
      </c>
      <c r="G149" s="13">
        <v>8</v>
      </c>
      <c r="I149" s="11" t="s">
        <v>3967</v>
      </c>
      <c r="J149" s="13">
        <v>1</v>
      </c>
      <c r="K149" s="9">
        <v>69234.210000000006</v>
      </c>
      <c r="L149" s="9">
        <v>12753.160000000003</v>
      </c>
      <c r="M149" s="13">
        <v>1</v>
      </c>
      <c r="N149" s="12">
        <v>0.18420315621424729</v>
      </c>
    </row>
    <row r="150" spans="4:14">
      <c r="D150" s="11" t="s">
        <v>15976</v>
      </c>
      <c r="E150" s="9">
        <v>510740.58000000007</v>
      </c>
      <c r="F150" s="9">
        <v>81414.340000000026</v>
      </c>
      <c r="G150" s="13">
        <v>14</v>
      </c>
      <c r="I150" s="11" t="s">
        <v>4869</v>
      </c>
      <c r="J150" s="13">
        <v>1</v>
      </c>
      <c r="K150" s="9">
        <v>69234.210000000006</v>
      </c>
      <c r="L150" s="9">
        <v>12753.160000000003</v>
      </c>
      <c r="M150" s="13">
        <v>1</v>
      </c>
      <c r="N150" s="12">
        <v>0.18420315621424729</v>
      </c>
    </row>
    <row r="151" spans="4:14">
      <c r="D151" s="11" t="s">
        <v>16004</v>
      </c>
      <c r="E151" s="9">
        <v>511827.30299999996</v>
      </c>
      <c r="F151" s="9">
        <v>185946.99299999996</v>
      </c>
      <c r="G151" s="13">
        <v>7</v>
      </c>
      <c r="I151" s="11" t="s">
        <v>1315</v>
      </c>
      <c r="J151" s="13">
        <v>1</v>
      </c>
      <c r="K151" s="9">
        <v>68995.034999999989</v>
      </c>
      <c r="L151" s="9">
        <v>24852.554999999986</v>
      </c>
      <c r="M151" s="13">
        <v>1</v>
      </c>
      <c r="N151" s="12">
        <v>0.36020787582758657</v>
      </c>
    </row>
    <row r="152" spans="4:14">
      <c r="D152" s="11" t="s">
        <v>15942</v>
      </c>
      <c r="E152" s="9">
        <v>514129.03300000005</v>
      </c>
      <c r="F152" s="9">
        <v>111972.83300000003</v>
      </c>
      <c r="G152" s="13">
        <v>20</v>
      </c>
      <c r="I152" s="11" t="s">
        <v>11518</v>
      </c>
      <c r="J152" s="13">
        <v>1</v>
      </c>
      <c r="K152" s="9">
        <v>68408.955000000002</v>
      </c>
      <c r="L152" s="9">
        <v>26492.065000000002</v>
      </c>
      <c r="M152" s="13">
        <v>1</v>
      </c>
      <c r="N152" s="12">
        <v>0.38726019130097811</v>
      </c>
    </row>
    <row r="153" spans="4:14">
      <c r="D153" s="11" t="s">
        <v>15978</v>
      </c>
      <c r="E153" s="9">
        <v>525530.18700000003</v>
      </c>
      <c r="F153" s="9">
        <v>119316.74699999997</v>
      </c>
      <c r="G153" s="13">
        <v>12</v>
      </c>
      <c r="I153" s="11" t="s">
        <v>205</v>
      </c>
      <c r="J153" s="13">
        <v>2</v>
      </c>
      <c r="K153" s="9">
        <v>68318.39</v>
      </c>
      <c r="L153" s="9">
        <v>20769.499999999996</v>
      </c>
      <c r="M153" s="13">
        <v>2</v>
      </c>
      <c r="N153" s="12">
        <v>0.30401038431965383</v>
      </c>
    </row>
    <row r="154" spans="4:14">
      <c r="D154" s="11" t="s">
        <v>15940</v>
      </c>
      <c r="E154" s="9">
        <v>553949.72450000001</v>
      </c>
      <c r="F154" s="9">
        <v>187258.78450000004</v>
      </c>
      <c r="G154" s="13">
        <v>14</v>
      </c>
      <c r="I154" s="11" t="s">
        <v>8710</v>
      </c>
      <c r="J154" s="13">
        <v>1</v>
      </c>
      <c r="K154" s="9">
        <v>66807.504000000001</v>
      </c>
      <c r="L154" s="9">
        <v>16946.934000000008</v>
      </c>
      <c r="M154" s="13">
        <v>3</v>
      </c>
      <c r="N154" s="12">
        <v>0.25366812087456536</v>
      </c>
    </row>
    <row r="155" spans="4:14">
      <c r="D155" s="11" t="s">
        <v>15987</v>
      </c>
      <c r="E155" s="9">
        <v>564251.21200000006</v>
      </c>
      <c r="F155" s="9">
        <v>88777.641999999993</v>
      </c>
      <c r="G155" s="13">
        <v>11</v>
      </c>
      <c r="I155" s="11" t="s">
        <v>7285</v>
      </c>
      <c r="J155" s="13">
        <v>1</v>
      </c>
      <c r="K155" s="9">
        <v>66760.082999999999</v>
      </c>
      <c r="L155" s="9">
        <v>20205.752999999997</v>
      </c>
      <c r="M155" s="13">
        <v>1</v>
      </c>
      <c r="N155" s="12">
        <v>0.3026621911180068</v>
      </c>
    </row>
    <row r="156" spans="4:14">
      <c r="D156" s="11" t="s">
        <v>15991</v>
      </c>
      <c r="E156" s="9">
        <v>608158.24</v>
      </c>
      <c r="F156" s="9">
        <v>181717.03999999998</v>
      </c>
      <c r="G156" s="13">
        <v>8</v>
      </c>
      <c r="I156" s="11" t="s">
        <v>13378</v>
      </c>
      <c r="J156" s="13">
        <v>1</v>
      </c>
      <c r="K156" s="9">
        <v>66633</v>
      </c>
      <c r="L156" s="9">
        <v>20046.21</v>
      </c>
      <c r="M156" s="13">
        <v>3</v>
      </c>
      <c r="N156" s="12">
        <v>0.30084507676376571</v>
      </c>
    </row>
    <row r="157" spans="4:14">
      <c r="D157" s="11" t="s">
        <v>15963</v>
      </c>
      <c r="E157" s="9">
        <v>700748.87999999989</v>
      </c>
      <c r="F157" s="9">
        <v>223364.99999999994</v>
      </c>
      <c r="G157" s="13">
        <v>12</v>
      </c>
      <c r="I157" s="11" t="s">
        <v>10370</v>
      </c>
      <c r="J157" s="13">
        <v>1</v>
      </c>
      <c r="K157" s="9">
        <v>65772.499500000005</v>
      </c>
      <c r="L157" s="9">
        <v>9291.4495000000024</v>
      </c>
      <c r="M157" s="13">
        <v>1</v>
      </c>
      <c r="N157" s="12">
        <v>0.14126648022552346</v>
      </c>
    </row>
    <row r="158" spans="4:14">
      <c r="D158" s="11" t="s">
        <v>16000</v>
      </c>
      <c r="E158" s="9">
        <v>757083.26249999995</v>
      </c>
      <c r="F158" s="9">
        <v>305551.85250000004</v>
      </c>
      <c r="G158" s="13">
        <v>11</v>
      </c>
      <c r="I158" s="11" t="s">
        <v>5168</v>
      </c>
      <c r="J158" s="13">
        <v>2</v>
      </c>
      <c r="K158" s="9">
        <v>64583.45</v>
      </c>
      <c r="L158" s="9">
        <v>20222.099999999999</v>
      </c>
      <c r="M158" s="13">
        <v>2</v>
      </c>
      <c r="N158" s="12">
        <v>0.31311582146819344</v>
      </c>
    </row>
    <row r="159" spans="4:14">
      <c r="D159" s="11" t="s">
        <v>15959</v>
      </c>
      <c r="E159" s="9">
        <v>819367.64699999988</v>
      </c>
      <c r="F159" s="9">
        <v>310238.46699999995</v>
      </c>
      <c r="G159" s="13">
        <v>14</v>
      </c>
      <c r="I159" s="11" t="s">
        <v>4478</v>
      </c>
      <c r="J159" s="13">
        <v>2</v>
      </c>
      <c r="K159" s="9">
        <v>64438.36</v>
      </c>
      <c r="L159" s="9">
        <v>11325.660000000003</v>
      </c>
      <c r="M159" s="13">
        <v>2</v>
      </c>
      <c r="N159" s="12">
        <v>0.17575959412995618</v>
      </c>
    </row>
    <row r="160" spans="4:14">
      <c r="D160" s="11" t="s">
        <v>15966</v>
      </c>
      <c r="E160" s="9">
        <v>842351.8189999999</v>
      </c>
      <c r="F160" s="9">
        <v>178012.29899999994</v>
      </c>
      <c r="G160" s="13">
        <v>16</v>
      </c>
      <c r="I160" s="11" t="s">
        <v>36</v>
      </c>
      <c r="J160" s="13">
        <v>1</v>
      </c>
      <c r="K160" s="9">
        <v>63665.16</v>
      </c>
      <c r="L160" s="9">
        <v>11099.550000000003</v>
      </c>
      <c r="M160" s="13">
        <v>1</v>
      </c>
      <c r="N160" s="12">
        <v>0.17434260747950689</v>
      </c>
    </row>
    <row r="161" spans="4:14">
      <c r="D161" s="11" t="s">
        <v>15932</v>
      </c>
      <c r="E161" s="9">
        <v>864544.24</v>
      </c>
      <c r="F161" s="9">
        <v>242562.15999999997</v>
      </c>
      <c r="G161" s="13">
        <v>12</v>
      </c>
      <c r="I161" s="11" t="s">
        <v>15528</v>
      </c>
      <c r="J161" s="13">
        <v>1</v>
      </c>
      <c r="K161" s="9">
        <v>63665.16</v>
      </c>
      <c r="L161" s="9">
        <v>11099.550000000003</v>
      </c>
      <c r="M161" s="13">
        <v>1</v>
      </c>
      <c r="N161" s="12">
        <v>0.17434260747950689</v>
      </c>
    </row>
    <row r="162" spans="4:14">
      <c r="D162" s="11" t="s">
        <v>15972</v>
      </c>
      <c r="E162" s="9">
        <v>931643.75600000005</v>
      </c>
      <c r="F162" s="9">
        <v>336214.15600000008</v>
      </c>
      <c r="G162" s="13">
        <v>20</v>
      </c>
      <c r="I162" s="11" t="s">
        <v>14675</v>
      </c>
      <c r="J162" s="13">
        <v>1</v>
      </c>
      <c r="K162" s="9">
        <v>63665.16</v>
      </c>
      <c r="L162" s="9">
        <v>11099.550000000003</v>
      </c>
      <c r="M162" s="13">
        <v>1</v>
      </c>
      <c r="N162" s="12">
        <v>0.17434260747950689</v>
      </c>
    </row>
    <row r="163" spans="4:14">
      <c r="D163" s="11" t="s">
        <v>15985</v>
      </c>
      <c r="E163" s="9">
        <v>962097.4325</v>
      </c>
      <c r="F163" s="9">
        <v>388245.19249999995</v>
      </c>
      <c r="G163" s="13">
        <v>13</v>
      </c>
      <c r="I163" s="11" t="s">
        <v>5814</v>
      </c>
      <c r="J163" s="13">
        <v>1</v>
      </c>
      <c r="K163" s="9">
        <v>63665.16</v>
      </c>
      <c r="L163" s="9">
        <v>11099.550000000003</v>
      </c>
      <c r="M163" s="13">
        <v>1</v>
      </c>
      <c r="N163" s="12">
        <v>0.17434260747950689</v>
      </c>
    </row>
    <row r="164" spans="4:14">
      <c r="D164" s="11" t="s">
        <v>15989</v>
      </c>
      <c r="E164" s="9">
        <v>1371238.7355</v>
      </c>
      <c r="F164" s="9">
        <v>151428.53550000006</v>
      </c>
      <c r="G164" s="13">
        <v>28</v>
      </c>
      <c r="I164" s="11" t="s">
        <v>5693</v>
      </c>
      <c r="J164" s="13">
        <v>1</v>
      </c>
      <c r="K164" s="9">
        <v>63665.16</v>
      </c>
      <c r="L164" s="9">
        <v>11099.550000000003</v>
      </c>
      <c r="M164" s="13">
        <v>1</v>
      </c>
      <c r="N164" s="12">
        <v>0.17434260747950689</v>
      </c>
    </row>
    <row r="165" spans="4:14">
      <c r="D165" s="11" t="s">
        <v>16006</v>
      </c>
      <c r="E165" s="9">
        <v>1464313.2559999998</v>
      </c>
      <c r="F165" s="9">
        <v>442082.28600000002</v>
      </c>
      <c r="G165" s="13">
        <v>19</v>
      </c>
      <c r="I165" s="11" t="s">
        <v>14406</v>
      </c>
      <c r="J165" s="13">
        <v>1</v>
      </c>
      <c r="K165" s="9">
        <v>63383.715000000004</v>
      </c>
      <c r="L165" s="9">
        <v>22335.405000000006</v>
      </c>
      <c r="M165" s="13">
        <v>1</v>
      </c>
      <c r="N165" s="12">
        <v>0.35238396802711869</v>
      </c>
    </row>
    <row r="166" spans="4:14">
      <c r="D166" s="11" t="s">
        <v>17367</v>
      </c>
      <c r="E166" s="9">
        <v>25276051.217000008</v>
      </c>
      <c r="F166" s="9">
        <v>6967820.8669999996</v>
      </c>
      <c r="G166" s="13">
        <v>1730</v>
      </c>
      <c r="I166" s="11" t="s">
        <v>13558</v>
      </c>
      <c r="J166" s="13">
        <v>1</v>
      </c>
      <c r="K166" s="9">
        <v>62991.12750000001</v>
      </c>
      <c r="L166" s="9">
        <v>15858.397500000014</v>
      </c>
      <c r="M166" s="13">
        <v>3</v>
      </c>
      <c r="N166" s="12">
        <v>0.25175605088192793</v>
      </c>
    </row>
    <row r="167" spans="4:14">
      <c r="I167" s="11" t="s">
        <v>2100</v>
      </c>
      <c r="J167" s="13">
        <v>1</v>
      </c>
      <c r="K167" s="9">
        <v>61469.2</v>
      </c>
      <c r="L167" s="9">
        <v>21687.21</v>
      </c>
      <c r="M167" s="13">
        <v>1</v>
      </c>
      <c r="N167" s="12">
        <v>0.35281425494393942</v>
      </c>
    </row>
    <row r="168" spans="4:14">
      <c r="I168" s="11" t="s">
        <v>9246</v>
      </c>
      <c r="J168" s="13">
        <v>1</v>
      </c>
      <c r="K168" s="9">
        <v>61469.2</v>
      </c>
      <c r="L168" s="9">
        <v>21687.21</v>
      </c>
      <c r="M168" s="13">
        <v>1</v>
      </c>
      <c r="N168" s="12">
        <v>0.35281425494393942</v>
      </c>
    </row>
    <row r="169" spans="4:14">
      <c r="I169" s="11" t="s">
        <v>5523</v>
      </c>
      <c r="J169" s="13">
        <v>1</v>
      </c>
      <c r="K169" s="9">
        <v>60091.138500000001</v>
      </c>
      <c r="L169" s="9">
        <v>21401.188500000004</v>
      </c>
      <c r="M169" s="13">
        <v>3</v>
      </c>
      <c r="N169" s="12">
        <v>0.35614549889082237</v>
      </c>
    </row>
    <row r="170" spans="4:14">
      <c r="I170" s="11" t="s">
        <v>13564</v>
      </c>
      <c r="J170" s="13">
        <v>1</v>
      </c>
      <c r="K170" s="9">
        <v>59608.28</v>
      </c>
      <c r="L170" s="9">
        <v>22386.959999999999</v>
      </c>
      <c r="M170" s="13">
        <v>4</v>
      </c>
      <c r="N170" s="12">
        <v>0.37556795800851828</v>
      </c>
    </row>
    <row r="171" spans="4:14">
      <c r="I171" s="11" t="s">
        <v>255</v>
      </c>
      <c r="J171" s="13">
        <v>1</v>
      </c>
      <c r="K171" s="9">
        <v>59608.28</v>
      </c>
      <c r="L171" s="9">
        <v>22386.959999999999</v>
      </c>
      <c r="M171" s="13">
        <v>4</v>
      </c>
      <c r="N171" s="12">
        <v>0.37556795800851828</v>
      </c>
    </row>
    <row r="172" spans="4:14">
      <c r="I172" s="11" t="s">
        <v>3410</v>
      </c>
      <c r="J172" s="13">
        <v>3</v>
      </c>
      <c r="K172" s="9">
        <v>58528.743500000004</v>
      </c>
      <c r="L172" s="9">
        <v>16250.533500000007</v>
      </c>
      <c r="M172" s="13">
        <v>5</v>
      </c>
      <c r="N172" s="12">
        <v>0.27765047612887855</v>
      </c>
    </row>
    <row r="173" spans="4:14">
      <c r="I173" s="11" t="s">
        <v>4705</v>
      </c>
      <c r="J173" s="13">
        <v>1</v>
      </c>
      <c r="K173" s="9">
        <v>58395.74</v>
      </c>
      <c r="L173" s="9">
        <v>18613.75</v>
      </c>
      <c r="M173" s="13">
        <v>1</v>
      </c>
      <c r="N173" s="12">
        <v>0.31875184730940992</v>
      </c>
    </row>
    <row r="174" spans="4:14">
      <c r="I174" s="11" t="s">
        <v>11634</v>
      </c>
      <c r="J174" s="13">
        <v>1</v>
      </c>
      <c r="K174" s="9">
        <v>58395.74</v>
      </c>
      <c r="L174" s="9">
        <v>18613.75</v>
      </c>
      <c r="M174" s="13">
        <v>1</v>
      </c>
      <c r="N174" s="12">
        <v>0.31875184730940992</v>
      </c>
    </row>
    <row r="175" spans="4:14">
      <c r="I175" s="11" t="s">
        <v>13638</v>
      </c>
      <c r="J175" s="13">
        <v>1</v>
      </c>
      <c r="K175" s="9">
        <v>56928.447</v>
      </c>
      <c r="L175" s="9">
        <v>18238.497000000003</v>
      </c>
      <c r="M175" s="13">
        <v>3</v>
      </c>
      <c r="N175" s="12">
        <v>0.32037580438475693</v>
      </c>
    </row>
    <row r="176" spans="4:14">
      <c r="I176" s="11" t="s">
        <v>2504</v>
      </c>
      <c r="J176" s="13">
        <v>1</v>
      </c>
      <c r="K176" s="9">
        <v>56383.868000000002</v>
      </c>
      <c r="L176" s="9">
        <v>20993.207999999999</v>
      </c>
      <c r="M176" s="13">
        <v>2</v>
      </c>
      <c r="N176" s="12">
        <v>0.37232649594029266</v>
      </c>
    </row>
    <row r="177" spans="9:14">
      <c r="I177" s="11" t="s">
        <v>157</v>
      </c>
      <c r="J177" s="13">
        <v>1</v>
      </c>
      <c r="K177" s="9">
        <v>56383.868000000002</v>
      </c>
      <c r="L177" s="9">
        <v>20993.207999999999</v>
      </c>
      <c r="M177" s="13">
        <v>2</v>
      </c>
      <c r="N177" s="12">
        <v>0.37232649594029266</v>
      </c>
    </row>
    <row r="178" spans="9:14">
      <c r="I178" s="11" t="s">
        <v>12190</v>
      </c>
      <c r="J178" s="13">
        <v>1</v>
      </c>
      <c r="K178" s="9">
        <v>55445.930999999997</v>
      </c>
      <c r="L178" s="9">
        <v>19079.560999999994</v>
      </c>
      <c r="M178" s="13">
        <v>1</v>
      </c>
      <c r="N178" s="12">
        <v>0.34411111249985132</v>
      </c>
    </row>
    <row r="179" spans="9:14">
      <c r="I179" s="11" t="s">
        <v>8169</v>
      </c>
      <c r="J179" s="13">
        <v>1</v>
      </c>
      <c r="K179" s="9">
        <v>54876.34</v>
      </c>
      <c r="L179" s="9">
        <v>13355.119999999995</v>
      </c>
      <c r="M179" s="13">
        <v>1</v>
      </c>
      <c r="N179" s="12">
        <v>0.24336754236889699</v>
      </c>
    </row>
    <row r="180" spans="9:14">
      <c r="I180" s="11" t="s">
        <v>1579</v>
      </c>
      <c r="J180" s="13">
        <v>1</v>
      </c>
      <c r="K180" s="9">
        <v>54876.34</v>
      </c>
      <c r="L180" s="9">
        <v>13355.119999999995</v>
      </c>
      <c r="M180" s="13">
        <v>1</v>
      </c>
      <c r="N180" s="12">
        <v>0.24336754236889699</v>
      </c>
    </row>
    <row r="181" spans="9:14">
      <c r="I181" s="11" t="s">
        <v>15190</v>
      </c>
      <c r="J181" s="13">
        <v>1</v>
      </c>
      <c r="K181" s="9">
        <v>54210.58</v>
      </c>
      <c r="L181" s="9">
        <v>20025.380000000005</v>
      </c>
      <c r="M181" s="13">
        <v>2</v>
      </c>
      <c r="N181" s="12">
        <v>0.36939984777879159</v>
      </c>
    </row>
    <row r="182" spans="9:14">
      <c r="I182" s="11" t="s">
        <v>4033</v>
      </c>
      <c r="J182" s="13">
        <v>1</v>
      </c>
      <c r="K182" s="9">
        <v>53277.62</v>
      </c>
      <c r="L182" s="9">
        <v>13062</v>
      </c>
      <c r="M182" s="13">
        <v>2</v>
      </c>
      <c r="N182" s="12">
        <v>0.24516860925844658</v>
      </c>
    </row>
    <row r="183" spans="9:14">
      <c r="I183" s="11" t="s">
        <v>8107</v>
      </c>
      <c r="J183" s="13">
        <v>1</v>
      </c>
      <c r="K183" s="9">
        <v>53277.62</v>
      </c>
      <c r="L183" s="9">
        <v>13062</v>
      </c>
      <c r="M183" s="13">
        <v>2</v>
      </c>
      <c r="N183" s="12">
        <v>0.24516860925844658</v>
      </c>
    </row>
    <row r="184" spans="9:14">
      <c r="I184" s="11" t="s">
        <v>8596</v>
      </c>
      <c r="J184" s="13">
        <v>1</v>
      </c>
      <c r="K184" s="9">
        <v>53243.334000000003</v>
      </c>
      <c r="L184" s="9">
        <v>4733.8940000000002</v>
      </c>
      <c r="M184" s="13">
        <v>2</v>
      </c>
      <c r="N184" s="12">
        <v>8.8910547938263973E-2</v>
      </c>
    </row>
    <row r="185" spans="9:14">
      <c r="I185" s="11" t="s">
        <v>14622</v>
      </c>
      <c r="J185" s="13">
        <v>1</v>
      </c>
      <c r="K185" s="9">
        <v>53096.800000000003</v>
      </c>
      <c r="L185" s="9">
        <v>20372.700000000004</v>
      </c>
      <c r="M185" s="13">
        <v>5</v>
      </c>
      <c r="N185" s="12">
        <v>0.38368978921516933</v>
      </c>
    </row>
    <row r="186" spans="9:14">
      <c r="I186" s="11" t="s">
        <v>9637</v>
      </c>
      <c r="J186" s="13">
        <v>1</v>
      </c>
      <c r="K186" s="9">
        <v>52596.38</v>
      </c>
      <c r="L186" s="9">
        <v>16567.599999999999</v>
      </c>
      <c r="M186" s="13">
        <v>1</v>
      </c>
      <c r="N186" s="12">
        <v>0.31499506239783043</v>
      </c>
    </row>
    <row r="187" spans="9:14">
      <c r="I187" s="11" t="s">
        <v>4643</v>
      </c>
      <c r="J187" s="13">
        <v>1</v>
      </c>
      <c r="K187" s="9">
        <v>52596.38</v>
      </c>
      <c r="L187" s="9">
        <v>16567.599999999999</v>
      </c>
      <c r="M187" s="13">
        <v>1</v>
      </c>
      <c r="N187" s="12">
        <v>0.31499506239783043</v>
      </c>
    </row>
    <row r="188" spans="9:14">
      <c r="I188" s="11" t="s">
        <v>8129</v>
      </c>
      <c r="J188" s="13">
        <v>1</v>
      </c>
      <c r="K188" s="9">
        <v>52596.38</v>
      </c>
      <c r="L188" s="9">
        <v>16567.599999999999</v>
      </c>
      <c r="M188" s="13">
        <v>1</v>
      </c>
      <c r="N188" s="12">
        <v>0.31499506239783043</v>
      </c>
    </row>
    <row r="189" spans="9:14">
      <c r="I189" s="11" t="s">
        <v>11644</v>
      </c>
      <c r="J189" s="13">
        <v>1</v>
      </c>
      <c r="K189" s="9">
        <v>52476.39</v>
      </c>
      <c r="L189" s="9">
        <v>8687.8499999999985</v>
      </c>
      <c r="M189" s="13">
        <v>2</v>
      </c>
      <c r="N189" s="12">
        <v>0.16555731063055212</v>
      </c>
    </row>
    <row r="190" spans="9:14">
      <c r="I190" s="11" t="s">
        <v>4994</v>
      </c>
      <c r="J190" s="13">
        <v>1</v>
      </c>
      <c r="K190" s="9">
        <v>52132.522999999994</v>
      </c>
      <c r="L190" s="9">
        <v>10611.302999999993</v>
      </c>
      <c r="M190" s="13">
        <v>1</v>
      </c>
      <c r="N190" s="12">
        <v>0.20354478144094415</v>
      </c>
    </row>
    <row r="191" spans="9:14">
      <c r="I191" s="11" t="s">
        <v>8768</v>
      </c>
      <c r="J191" s="13">
        <v>1</v>
      </c>
      <c r="K191" s="9">
        <v>52004.72</v>
      </c>
      <c r="L191" s="9">
        <v>8779.8499999999985</v>
      </c>
      <c r="M191" s="13">
        <v>1</v>
      </c>
      <c r="N191" s="12">
        <v>0.168827944848083</v>
      </c>
    </row>
    <row r="192" spans="9:14">
      <c r="I192" s="11" t="s">
        <v>9135</v>
      </c>
      <c r="J192" s="13">
        <v>1</v>
      </c>
      <c r="K192" s="9">
        <v>52004.72</v>
      </c>
      <c r="L192" s="9">
        <v>8779.8499999999985</v>
      </c>
      <c r="M192" s="13">
        <v>1</v>
      </c>
      <c r="N192" s="12">
        <v>0.168827944848083</v>
      </c>
    </row>
    <row r="193" spans="9:14">
      <c r="I193" s="11" t="s">
        <v>14269</v>
      </c>
      <c r="J193" s="13">
        <v>1</v>
      </c>
      <c r="K193" s="9">
        <v>52004.72</v>
      </c>
      <c r="L193" s="9">
        <v>8779.8499999999985</v>
      </c>
      <c r="M193" s="13">
        <v>1</v>
      </c>
      <c r="N193" s="12">
        <v>0.168827944848083</v>
      </c>
    </row>
    <row r="194" spans="9:14">
      <c r="I194" s="11" t="s">
        <v>10899</v>
      </c>
      <c r="J194" s="13">
        <v>1</v>
      </c>
      <c r="K194" s="9">
        <v>52004.72</v>
      </c>
      <c r="L194" s="9">
        <v>8779.8499999999985</v>
      </c>
      <c r="M194" s="13">
        <v>1</v>
      </c>
      <c r="N194" s="12">
        <v>0.168827944848083</v>
      </c>
    </row>
    <row r="195" spans="9:14">
      <c r="I195" s="11" t="s">
        <v>11558</v>
      </c>
      <c r="J195" s="13">
        <v>1</v>
      </c>
      <c r="K195" s="9">
        <v>51647.41</v>
      </c>
      <c r="L195" s="9">
        <v>8082.760000000002</v>
      </c>
      <c r="M195" s="13">
        <v>1</v>
      </c>
      <c r="N195" s="12">
        <v>0.1564988447629804</v>
      </c>
    </row>
    <row r="196" spans="9:14">
      <c r="I196" s="11" t="s">
        <v>3292</v>
      </c>
      <c r="J196" s="13">
        <v>1</v>
      </c>
      <c r="K196" s="9">
        <v>50139.94</v>
      </c>
      <c r="L196" s="9">
        <v>12377.230000000003</v>
      </c>
      <c r="M196" s="13">
        <v>1</v>
      </c>
      <c r="N196" s="12">
        <v>0.24685370584807248</v>
      </c>
    </row>
    <row r="197" spans="9:14">
      <c r="I197" s="11" t="s">
        <v>11987</v>
      </c>
      <c r="J197" s="13">
        <v>1</v>
      </c>
      <c r="K197" s="9">
        <v>50019.627999999997</v>
      </c>
      <c r="L197" s="9">
        <v>15790.767999999996</v>
      </c>
      <c r="M197" s="13">
        <v>2</v>
      </c>
      <c r="N197" s="12">
        <v>0.31569143217138673</v>
      </c>
    </row>
    <row r="198" spans="9:14">
      <c r="I198" s="11" t="s">
        <v>2627</v>
      </c>
      <c r="J198" s="13">
        <v>1</v>
      </c>
      <c r="K198" s="9">
        <v>49487.040000000001</v>
      </c>
      <c r="L198" s="9">
        <v>16246.660000000003</v>
      </c>
      <c r="M198" s="13">
        <v>2</v>
      </c>
      <c r="N198" s="12">
        <v>0.32830130878710878</v>
      </c>
    </row>
    <row r="199" spans="9:14">
      <c r="I199" s="11" t="s">
        <v>14440</v>
      </c>
      <c r="J199" s="13">
        <v>1</v>
      </c>
      <c r="K199" s="9">
        <v>49404.484000000004</v>
      </c>
      <c r="L199" s="9">
        <v>6179.6140000000014</v>
      </c>
      <c r="M199" s="13">
        <v>1</v>
      </c>
      <c r="N199" s="12">
        <v>0.12508204720850846</v>
      </c>
    </row>
    <row r="200" spans="9:14">
      <c r="I200" s="11" t="s">
        <v>14358</v>
      </c>
      <c r="J200" s="13">
        <v>1</v>
      </c>
      <c r="K200" s="9">
        <v>49404.484000000004</v>
      </c>
      <c r="L200" s="9">
        <v>6179.6140000000014</v>
      </c>
      <c r="M200" s="13">
        <v>1</v>
      </c>
      <c r="N200" s="12">
        <v>0.12508204720850846</v>
      </c>
    </row>
    <row r="201" spans="9:14">
      <c r="I201" s="11" t="s">
        <v>6126</v>
      </c>
      <c r="J201" s="13">
        <v>1</v>
      </c>
      <c r="K201" s="9">
        <v>49404.484000000004</v>
      </c>
      <c r="L201" s="9">
        <v>6179.6140000000014</v>
      </c>
      <c r="M201" s="13">
        <v>1</v>
      </c>
      <c r="N201" s="12">
        <v>0.12508204720850846</v>
      </c>
    </row>
    <row r="202" spans="9:14">
      <c r="I202" s="11" t="s">
        <v>4088</v>
      </c>
      <c r="J202" s="13">
        <v>1</v>
      </c>
      <c r="K202" s="9">
        <v>49388.705999999998</v>
      </c>
      <c r="L202" s="9">
        <v>7867.4859999999971</v>
      </c>
      <c r="M202" s="13">
        <v>1</v>
      </c>
      <c r="N202" s="12">
        <v>0.15929726929877444</v>
      </c>
    </row>
    <row r="203" spans="9:14">
      <c r="I203" s="11" t="s">
        <v>5900</v>
      </c>
      <c r="J203" s="13">
        <v>1</v>
      </c>
      <c r="K203" s="9">
        <v>49388.705999999998</v>
      </c>
      <c r="L203" s="9">
        <v>7867.4859999999971</v>
      </c>
      <c r="M203" s="13">
        <v>1</v>
      </c>
      <c r="N203" s="12">
        <v>0.15929726929877444</v>
      </c>
    </row>
    <row r="204" spans="9:14">
      <c r="I204" s="11" t="s">
        <v>15385</v>
      </c>
      <c r="J204" s="13">
        <v>1</v>
      </c>
      <c r="K204" s="9">
        <v>49388.705999999998</v>
      </c>
      <c r="L204" s="9">
        <v>7867.4859999999971</v>
      </c>
      <c r="M204" s="13">
        <v>1</v>
      </c>
      <c r="N204" s="12">
        <v>0.15929726929877444</v>
      </c>
    </row>
    <row r="205" spans="9:14">
      <c r="I205" s="11" t="s">
        <v>15638</v>
      </c>
      <c r="J205" s="13">
        <v>2</v>
      </c>
      <c r="K205" s="9">
        <v>49292.944999999992</v>
      </c>
      <c r="L205" s="9">
        <v>5547.7149999999965</v>
      </c>
      <c r="M205" s="13">
        <v>9</v>
      </c>
      <c r="N205" s="12">
        <v>0.11254582171951782</v>
      </c>
    </row>
    <row r="206" spans="9:14">
      <c r="I206" s="11" t="s">
        <v>525</v>
      </c>
      <c r="J206" s="13">
        <v>1</v>
      </c>
      <c r="K206" s="9">
        <v>48789.521999999997</v>
      </c>
      <c r="L206" s="9">
        <v>14604.322</v>
      </c>
      <c r="M206" s="13">
        <v>2</v>
      </c>
      <c r="N206" s="12">
        <v>0.29933316419865724</v>
      </c>
    </row>
    <row r="207" spans="9:14">
      <c r="I207" s="11" t="s">
        <v>12061</v>
      </c>
      <c r="J207" s="13">
        <v>1</v>
      </c>
      <c r="K207" s="9">
        <v>47949.858</v>
      </c>
      <c r="L207" s="9">
        <v>7734.2379999999976</v>
      </c>
      <c r="M207" s="13">
        <v>2</v>
      </c>
      <c r="N207" s="12">
        <v>0.16129845473160728</v>
      </c>
    </row>
    <row r="208" spans="9:14">
      <c r="I208" s="11" t="s">
        <v>13702</v>
      </c>
      <c r="J208" s="13">
        <v>1</v>
      </c>
      <c r="K208" s="9">
        <v>47472.62</v>
      </c>
      <c r="L208" s="9">
        <v>19722.900000000001</v>
      </c>
      <c r="M208" s="13">
        <v>2</v>
      </c>
      <c r="N208" s="12">
        <v>0.41545842635186347</v>
      </c>
    </row>
    <row r="209" spans="9:14">
      <c r="I209" s="11" t="s">
        <v>4937</v>
      </c>
      <c r="J209" s="13">
        <v>1</v>
      </c>
      <c r="K209" s="9">
        <v>47336.741999999998</v>
      </c>
      <c r="L209" s="9">
        <v>11307.962</v>
      </c>
      <c r="M209" s="13">
        <v>1</v>
      </c>
      <c r="N209" s="12">
        <v>0.23888340266425603</v>
      </c>
    </row>
    <row r="210" spans="9:14">
      <c r="I210" s="11" t="s">
        <v>9163</v>
      </c>
      <c r="J210" s="13">
        <v>1</v>
      </c>
      <c r="K210" s="9">
        <v>47012.688000000002</v>
      </c>
      <c r="L210" s="9">
        <v>13772.308000000005</v>
      </c>
      <c r="M210" s="13">
        <v>2</v>
      </c>
      <c r="N210" s="12">
        <v>0.29294874609169347</v>
      </c>
    </row>
    <row r="211" spans="9:14">
      <c r="I211" s="11" t="s">
        <v>8900</v>
      </c>
      <c r="J211" s="13">
        <v>1</v>
      </c>
      <c r="K211" s="9">
        <v>46482.669000000002</v>
      </c>
      <c r="L211" s="9">
        <v>2918.0190000000002</v>
      </c>
      <c r="M211" s="13">
        <v>1</v>
      </c>
      <c r="N211" s="12">
        <v>6.2776494181089298E-2</v>
      </c>
    </row>
    <row r="212" spans="9:14">
      <c r="I212" s="11" t="s">
        <v>7935</v>
      </c>
      <c r="J212" s="13">
        <v>1</v>
      </c>
      <c r="K212" s="9">
        <v>46428.19</v>
      </c>
      <c r="L212" s="9">
        <v>19542.100000000002</v>
      </c>
      <c r="M212" s="13">
        <v>1</v>
      </c>
      <c r="N212" s="12">
        <v>0.42091022717017401</v>
      </c>
    </row>
    <row r="213" spans="9:14">
      <c r="I213" s="11" t="s">
        <v>12468</v>
      </c>
      <c r="J213" s="13">
        <v>1</v>
      </c>
      <c r="K213" s="9">
        <v>46428.19</v>
      </c>
      <c r="L213" s="9">
        <v>19542.100000000002</v>
      </c>
      <c r="M213" s="13">
        <v>1</v>
      </c>
      <c r="N213" s="12">
        <v>0.42091022717017401</v>
      </c>
    </row>
    <row r="214" spans="9:14">
      <c r="I214" s="11" t="s">
        <v>11224</v>
      </c>
      <c r="J214" s="13">
        <v>1</v>
      </c>
      <c r="K214" s="9">
        <v>46428.19</v>
      </c>
      <c r="L214" s="9">
        <v>19542.100000000002</v>
      </c>
      <c r="M214" s="13">
        <v>1</v>
      </c>
      <c r="N214" s="12">
        <v>0.42091022717017401</v>
      </c>
    </row>
    <row r="215" spans="9:14">
      <c r="I215" s="11" t="s">
        <v>1587</v>
      </c>
      <c r="J215" s="13">
        <v>1</v>
      </c>
      <c r="K215" s="9">
        <v>46428.19</v>
      </c>
      <c r="L215" s="9">
        <v>19542.100000000002</v>
      </c>
      <c r="M215" s="13">
        <v>1</v>
      </c>
      <c r="N215" s="12">
        <v>0.42091022717017401</v>
      </c>
    </row>
    <row r="216" spans="9:14">
      <c r="I216" s="11" t="s">
        <v>10554</v>
      </c>
      <c r="J216" s="13">
        <v>1</v>
      </c>
      <c r="K216" s="9">
        <v>46231.7</v>
      </c>
      <c r="L216" s="9">
        <v>8165.3499999999913</v>
      </c>
      <c r="M216" s="13">
        <v>5</v>
      </c>
      <c r="N216" s="12">
        <v>0.17661799155125146</v>
      </c>
    </row>
    <row r="217" spans="9:14">
      <c r="I217" s="11" t="s">
        <v>5963</v>
      </c>
      <c r="J217" s="13">
        <v>1</v>
      </c>
      <c r="K217" s="9">
        <v>46045.84</v>
      </c>
      <c r="L217" s="9">
        <v>9857.9199999999983</v>
      </c>
      <c r="M217" s="13">
        <v>4</v>
      </c>
      <c r="N217" s="12">
        <v>0.21408926408987217</v>
      </c>
    </row>
    <row r="218" spans="9:14">
      <c r="I218" s="11" t="s">
        <v>15184</v>
      </c>
      <c r="J218" s="13">
        <v>1</v>
      </c>
      <c r="K218" s="9">
        <v>46045.84</v>
      </c>
      <c r="L218" s="9">
        <v>9857.9199999999983</v>
      </c>
      <c r="M218" s="13">
        <v>4</v>
      </c>
      <c r="N218" s="12">
        <v>0.21408926408987217</v>
      </c>
    </row>
    <row r="219" spans="9:14">
      <c r="I219" s="11" t="s">
        <v>4582</v>
      </c>
      <c r="J219" s="13">
        <v>1</v>
      </c>
      <c r="K219" s="9">
        <v>45527.55</v>
      </c>
      <c r="L219" s="9">
        <v>10437.980000000003</v>
      </c>
      <c r="M219" s="13">
        <v>1</v>
      </c>
      <c r="N219" s="12">
        <v>0.22926733373528782</v>
      </c>
    </row>
    <row r="220" spans="9:14">
      <c r="I220" s="11" t="s">
        <v>7299</v>
      </c>
      <c r="J220" s="13">
        <v>1</v>
      </c>
      <c r="K220" s="9">
        <v>45527.55</v>
      </c>
      <c r="L220" s="9">
        <v>10437.980000000003</v>
      </c>
      <c r="M220" s="13">
        <v>1</v>
      </c>
      <c r="N220" s="12">
        <v>0.22926733373528782</v>
      </c>
    </row>
    <row r="221" spans="9:14">
      <c r="I221" s="11" t="s">
        <v>8033</v>
      </c>
      <c r="J221" s="13">
        <v>2</v>
      </c>
      <c r="K221" s="9">
        <v>45358.472000000002</v>
      </c>
      <c r="L221" s="9">
        <v>13630.751999999999</v>
      </c>
      <c r="M221" s="13">
        <v>3</v>
      </c>
      <c r="N221" s="12">
        <v>0.30051171035920254</v>
      </c>
    </row>
    <row r="222" spans="9:14">
      <c r="I222" s="11" t="s">
        <v>3747</v>
      </c>
      <c r="J222" s="13">
        <v>1</v>
      </c>
      <c r="K222" s="9">
        <v>44917.11</v>
      </c>
      <c r="L222" s="9">
        <v>11065.989999999998</v>
      </c>
      <c r="M222" s="13">
        <v>1</v>
      </c>
      <c r="N222" s="12">
        <v>0.24636469265275521</v>
      </c>
    </row>
    <row r="223" spans="9:14">
      <c r="I223" s="11" t="s">
        <v>5374</v>
      </c>
      <c r="J223" s="13">
        <v>1</v>
      </c>
      <c r="K223" s="9">
        <v>44917.11</v>
      </c>
      <c r="L223" s="9">
        <v>11065.989999999998</v>
      </c>
      <c r="M223" s="13">
        <v>1</v>
      </c>
      <c r="N223" s="12">
        <v>0.24636469265275521</v>
      </c>
    </row>
    <row r="224" spans="9:14">
      <c r="I224" s="11" t="s">
        <v>12389</v>
      </c>
      <c r="J224" s="13">
        <v>1</v>
      </c>
      <c r="K224" s="9">
        <v>44706.21</v>
      </c>
      <c r="L224" s="9">
        <v>16790.22</v>
      </c>
      <c r="M224" s="13">
        <v>3</v>
      </c>
      <c r="N224" s="12">
        <v>0.37556795800851833</v>
      </c>
    </row>
    <row r="225" spans="9:14">
      <c r="I225" s="11" t="s">
        <v>10719</v>
      </c>
      <c r="J225" s="13">
        <v>1</v>
      </c>
      <c r="K225" s="9">
        <v>44445.66</v>
      </c>
      <c r="L225" s="9">
        <v>9316.68</v>
      </c>
      <c r="M225" s="13">
        <v>2</v>
      </c>
      <c r="N225" s="12">
        <v>0.20961956690484515</v>
      </c>
    </row>
    <row r="226" spans="9:14">
      <c r="I226" s="11" t="s">
        <v>10443</v>
      </c>
      <c r="J226" s="13">
        <v>1</v>
      </c>
      <c r="K226" s="9">
        <v>44198.850000000006</v>
      </c>
      <c r="L226" s="9">
        <v>12077.160000000007</v>
      </c>
      <c r="M226" s="13">
        <v>3</v>
      </c>
      <c r="N226" s="12">
        <v>0.27324602336938641</v>
      </c>
    </row>
    <row r="227" spans="9:14">
      <c r="I227" s="11" t="s">
        <v>10548</v>
      </c>
      <c r="J227" s="13">
        <v>1</v>
      </c>
      <c r="K227" s="9">
        <v>43061.64</v>
      </c>
      <c r="L227" s="9">
        <v>16686.269999999997</v>
      </c>
      <c r="M227" s="13">
        <v>3</v>
      </c>
      <c r="N227" s="12">
        <v>0.38749731779839314</v>
      </c>
    </row>
    <row r="228" spans="9:14">
      <c r="I228" s="11" t="s">
        <v>14644</v>
      </c>
      <c r="J228" s="13">
        <v>1</v>
      </c>
      <c r="K228" s="9">
        <v>42223.377</v>
      </c>
      <c r="L228" s="9">
        <v>7094.3969999999972</v>
      </c>
      <c r="M228" s="13">
        <v>2</v>
      </c>
      <c r="N228" s="12">
        <v>0.1680205967419422</v>
      </c>
    </row>
    <row r="229" spans="9:14">
      <c r="I229" s="11" t="s">
        <v>10962</v>
      </c>
      <c r="J229" s="13">
        <v>1</v>
      </c>
      <c r="K229" s="9">
        <v>41994.085000000006</v>
      </c>
      <c r="L229" s="9">
        <v>10572.265000000007</v>
      </c>
      <c r="M229" s="13">
        <v>2</v>
      </c>
      <c r="N229" s="12">
        <v>0.25175605088192787</v>
      </c>
    </row>
    <row r="230" spans="9:14">
      <c r="I230" s="11" t="s">
        <v>4998</v>
      </c>
      <c r="J230" s="13">
        <v>1</v>
      </c>
      <c r="K230" s="9">
        <v>41994.085000000006</v>
      </c>
      <c r="L230" s="9">
        <v>10572.265000000007</v>
      </c>
      <c r="M230" s="13">
        <v>2</v>
      </c>
      <c r="N230" s="12">
        <v>0.25175605088192787</v>
      </c>
    </row>
    <row r="231" spans="9:14">
      <c r="I231" s="11" t="s">
        <v>10296</v>
      </c>
      <c r="J231" s="13">
        <v>1</v>
      </c>
      <c r="K231" s="9">
        <v>41988.907500000008</v>
      </c>
      <c r="L231" s="9">
        <v>9867.2175000000097</v>
      </c>
      <c r="M231" s="13">
        <v>3</v>
      </c>
      <c r="N231" s="12">
        <v>0.23499581407303841</v>
      </c>
    </row>
    <row r="232" spans="9:14">
      <c r="I232" s="11" t="s">
        <v>10337</v>
      </c>
      <c r="J232" s="13">
        <v>1</v>
      </c>
      <c r="K232" s="9">
        <v>40974.795000000006</v>
      </c>
      <c r="L232" s="9">
        <v>5885.2250000000058</v>
      </c>
      <c r="M232" s="13">
        <v>1</v>
      </c>
      <c r="N232" s="12">
        <v>0.14363037081698651</v>
      </c>
    </row>
    <row r="233" spans="9:14">
      <c r="I233" s="11" t="s">
        <v>4794</v>
      </c>
      <c r="J233" s="13">
        <v>1</v>
      </c>
      <c r="K233" s="9">
        <v>40944.031000000003</v>
      </c>
      <c r="L233" s="9">
        <v>11466.241000000002</v>
      </c>
      <c r="M233" s="13">
        <v>1</v>
      </c>
      <c r="N233" s="12">
        <v>0.28004670570906909</v>
      </c>
    </row>
    <row r="234" spans="9:14">
      <c r="I234" s="11" t="s">
        <v>15470</v>
      </c>
      <c r="J234" s="13">
        <v>2</v>
      </c>
      <c r="K234" s="9">
        <v>40684.275499999996</v>
      </c>
      <c r="L234" s="9">
        <v>15662.685499999994</v>
      </c>
      <c r="M234" s="13">
        <v>3</v>
      </c>
      <c r="N234" s="12">
        <v>0.38498130561523691</v>
      </c>
    </row>
    <row r="235" spans="9:14">
      <c r="I235" s="11" t="s">
        <v>2838</v>
      </c>
      <c r="J235" s="13">
        <v>1</v>
      </c>
      <c r="K235" s="9">
        <v>40425.58</v>
      </c>
      <c r="L235" s="9">
        <v>6687.82</v>
      </c>
      <c r="M235" s="13">
        <v>2</v>
      </c>
      <c r="N235" s="12">
        <v>0.16543535058742509</v>
      </c>
    </row>
    <row r="236" spans="9:14">
      <c r="I236" s="11" t="s">
        <v>8433</v>
      </c>
      <c r="J236" s="13">
        <v>1</v>
      </c>
      <c r="K236" s="9">
        <v>40353.567999999999</v>
      </c>
      <c r="L236" s="9">
        <v>14174.288</v>
      </c>
      <c r="M236" s="13">
        <v>4</v>
      </c>
      <c r="N236" s="12">
        <v>0.35125240970017818</v>
      </c>
    </row>
    <row r="237" spans="9:14">
      <c r="I237" s="11" t="s">
        <v>10666</v>
      </c>
      <c r="J237" s="13">
        <v>1</v>
      </c>
      <c r="K237" s="9">
        <v>40060.758999999998</v>
      </c>
      <c r="L237" s="9">
        <v>14267.458999999999</v>
      </c>
      <c r="M237" s="13">
        <v>2</v>
      </c>
      <c r="N237" s="12">
        <v>0.35614549889082231</v>
      </c>
    </row>
    <row r="238" spans="9:14">
      <c r="I238" s="11" t="s">
        <v>10484</v>
      </c>
      <c r="J238" s="13">
        <v>1</v>
      </c>
      <c r="K238" s="9">
        <v>40001.094000000005</v>
      </c>
      <c r="L238" s="9">
        <v>4872.1140000000014</v>
      </c>
      <c r="M238" s="13">
        <v>2</v>
      </c>
      <c r="N238" s="12">
        <v>0.1217995187831613</v>
      </c>
    </row>
    <row r="239" spans="9:14">
      <c r="I239" s="11" t="s">
        <v>9441</v>
      </c>
      <c r="J239" s="13">
        <v>1</v>
      </c>
      <c r="K239" s="9">
        <v>40001.094000000005</v>
      </c>
      <c r="L239" s="9">
        <v>4872.1140000000014</v>
      </c>
      <c r="M239" s="13">
        <v>2</v>
      </c>
      <c r="N239" s="12">
        <v>0.1217995187831613</v>
      </c>
    </row>
    <row r="240" spans="9:14">
      <c r="I240" s="11" t="s">
        <v>8994</v>
      </c>
      <c r="J240" s="13">
        <v>1</v>
      </c>
      <c r="K240" s="9">
        <v>39996.370000000003</v>
      </c>
      <c r="L240" s="9">
        <v>13804.160000000003</v>
      </c>
      <c r="M240" s="13">
        <v>1</v>
      </c>
      <c r="N240" s="12">
        <v>0.34513532103038358</v>
      </c>
    </row>
    <row r="241" spans="9:14">
      <c r="I241" s="11" t="s">
        <v>11452</v>
      </c>
      <c r="J241" s="13">
        <v>1</v>
      </c>
      <c r="K241" s="9">
        <v>39996.370000000003</v>
      </c>
      <c r="L241" s="9">
        <v>13804.160000000003</v>
      </c>
      <c r="M241" s="13">
        <v>1</v>
      </c>
      <c r="N241" s="12">
        <v>0.34513532103038358</v>
      </c>
    </row>
    <row r="242" spans="9:14">
      <c r="I242" s="11" t="s">
        <v>15138</v>
      </c>
      <c r="J242" s="13">
        <v>1</v>
      </c>
      <c r="K242" s="9">
        <v>39917.470499999996</v>
      </c>
      <c r="L242" s="9">
        <v>10429.630499999992</v>
      </c>
      <c r="M242" s="13">
        <v>3</v>
      </c>
      <c r="N242" s="12">
        <v>0.26127984487393791</v>
      </c>
    </row>
    <row r="243" spans="9:14">
      <c r="I243" s="11" t="s">
        <v>11512</v>
      </c>
      <c r="J243" s="13">
        <v>1</v>
      </c>
      <c r="K243" s="9">
        <v>38811.69</v>
      </c>
      <c r="L243" s="9">
        <v>4804.5300000000061</v>
      </c>
      <c r="M243" s="13">
        <v>3</v>
      </c>
      <c r="N243" s="12">
        <v>0.12379079602047749</v>
      </c>
    </row>
    <row r="244" spans="9:14">
      <c r="I244" s="11" t="s">
        <v>6486</v>
      </c>
      <c r="J244" s="13">
        <v>1</v>
      </c>
      <c r="K244" s="9">
        <v>38755.476000000002</v>
      </c>
      <c r="L244" s="9">
        <v>12380.106</v>
      </c>
      <c r="M244" s="13">
        <v>3</v>
      </c>
      <c r="N244" s="12">
        <v>0.31944146422043684</v>
      </c>
    </row>
    <row r="245" spans="9:14">
      <c r="I245" s="11" t="s">
        <v>14752</v>
      </c>
      <c r="J245" s="13">
        <v>1</v>
      </c>
      <c r="K245" s="9">
        <v>37691.68</v>
      </c>
      <c r="L245" s="9">
        <v>8094.9200000000019</v>
      </c>
      <c r="M245" s="13">
        <v>4</v>
      </c>
      <c r="N245" s="12">
        <v>0.21476676019747598</v>
      </c>
    </row>
    <row r="246" spans="9:14">
      <c r="I246" s="11" t="s">
        <v>14719</v>
      </c>
      <c r="J246" s="13">
        <v>1</v>
      </c>
      <c r="K246" s="9">
        <v>37658.07</v>
      </c>
      <c r="L246" s="9">
        <v>11444.370000000003</v>
      </c>
      <c r="M246" s="13">
        <v>3</v>
      </c>
      <c r="N246" s="12">
        <v>0.30390219148246317</v>
      </c>
    </row>
    <row r="247" spans="9:14">
      <c r="I247" s="11" t="s">
        <v>7846</v>
      </c>
      <c r="J247" s="13">
        <v>2</v>
      </c>
      <c r="K247" s="9">
        <v>37603.315999999999</v>
      </c>
      <c r="L247" s="9">
        <v>7095.4559999999983</v>
      </c>
      <c r="M247" s="13">
        <v>6</v>
      </c>
      <c r="N247" s="12">
        <v>0.1886922951156754</v>
      </c>
    </row>
    <row r="248" spans="9:14">
      <c r="I248" s="11" t="s">
        <v>8272</v>
      </c>
      <c r="J248" s="13">
        <v>2</v>
      </c>
      <c r="K248" s="9">
        <v>37421.402499999997</v>
      </c>
      <c r="L248" s="9">
        <v>10251.3025</v>
      </c>
      <c r="M248" s="13">
        <v>4</v>
      </c>
      <c r="N248" s="12">
        <v>0.27394223132069945</v>
      </c>
    </row>
    <row r="249" spans="9:14">
      <c r="I249" s="11" t="s">
        <v>12272</v>
      </c>
      <c r="J249" s="13">
        <v>1</v>
      </c>
      <c r="K249" s="9">
        <v>36985.360000000001</v>
      </c>
      <c r="L249" s="9">
        <v>6532.2799999999988</v>
      </c>
      <c r="M249" s="13">
        <v>4</v>
      </c>
      <c r="N249" s="12">
        <v>0.1766179915512516</v>
      </c>
    </row>
    <row r="250" spans="9:14">
      <c r="I250" s="11" t="s">
        <v>7353</v>
      </c>
      <c r="J250" s="13">
        <v>1</v>
      </c>
      <c r="K250" s="9">
        <v>36481.47</v>
      </c>
      <c r="L250" s="9">
        <v>5815.3100000000013</v>
      </c>
      <c r="M250" s="13">
        <v>1</v>
      </c>
      <c r="N250" s="12">
        <v>0.15940448671613291</v>
      </c>
    </row>
    <row r="251" spans="9:14">
      <c r="I251" s="11" t="s">
        <v>9411</v>
      </c>
      <c r="J251" s="13">
        <v>1</v>
      </c>
      <c r="K251" s="9">
        <v>36481.47</v>
      </c>
      <c r="L251" s="9">
        <v>5815.3100000000013</v>
      </c>
      <c r="M251" s="13">
        <v>1</v>
      </c>
      <c r="N251" s="12">
        <v>0.15940448671613291</v>
      </c>
    </row>
    <row r="252" spans="9:14">
      <c r="I252" s="11" t="s">
        <v>10331</v>
      </c>
      <c r="J252" s="13">
        <v>1</v>
      </c>
      <c r="K252" s="9">
        <v>36481.47</v>
      </c>
      <c r="L252" s="9">
        <v>5815.3100000000013</v>
      </c>
      <c r="M252" s="13">
        <v>1</v>
      </c>
      <c r="N252" s="12">
        <v>0.15940448671613291</v>
      </c>
    </row>
    <row r="253" spans="9:14">
      <c r="I253" s="11" t="s">
        <v>12678</v>
      </c>
      <c r="J253" s="13">
        <v>1</v>
      </c>
      <c r="K253" s="9">
        <v>36226.959999999999</v>
      </c>
      <c r="L253" s="9">
        <v>11164.68</v>
      </c>
      <c r="M253" s="13">
        <v>2</v>
      </c>
      <c r="N253" s="12">
        <v>0.30818705185309508</v>
      </c>
    </row>
    <row r="254" spans="9:14">
      <c r="I254" s="11" t="s">
        <v>11360</v>
      </c>
      <c r="J254" s="13">
        <v>1</v>
      </c>
      <c r="K254" s="9">
        <v>36179.730000000003</v>
      </c>
      <c r="L254" s="9">
        <v>10835.410000000003</v>
      </c>
      <c r="M254" s="13">
        <v>1</v>
      </c>
      <c r="N254" s="12">
        <v>0.29948841519823399</v>
      </c>
    </row>
    <row r="255" spans="9:14">
      <c r="I255" s="11" t="s">
        <v>11726</v>
      </c>
      <c r="J255" s="13">
        <v>2</v>
      </c>
      <c r="K255" s="9">
        <v>36110.32</v>
      </c>
      <c r="L255" s="9">
        <v>8849.0800000000017</v>
      </c>
      <c r="M255" s="13">
        <v>8</v>
      </c>
      <c r="N255" s="12">
        <v>0.24505681478314237</v>
      </c>
    </row>
    <row r="256" spans="9:14">
      <c r="I256" s="11" t="s">
        <v>1760</v>
      </c>
      <c r="J256" s="13">
        <v>1</v>
      </c>
      <c r="K256" s="9">
        <v>35239.699999999997</v>
      </c>
      <c r="L256" s="9">
        <v>7564.3999999999978</v>
      </c>
      <c r="M256" s="13">
        <v>2</v>
      </c>
      <c r="N256" s="12">
        <v>0.21465562987199091</v>
      </c>
    </row>
    <row r="257" spans="9:14">
      <c r="I257" s="11" t="s">
        <v>723</v>
      </c>
      <c r="J257" s="13">
        <v>1</v>
      </c>
      <c r="K257" s="9">
        <v>35239.699999999997</v>
      </c>
      <c r="L257" s="9">
        <v>7564.3999999999978</v>
      </c>
      <c r="M257" s="13">
        <v>2</v>
      </c>
      <c r="N257" s="12">
        <v>0.21465562987199091</v>
      </c>
    </row>
    <row r="258" spans="9:14">
      <c r="I258" s="11" t="s">
        <v>3126</v>
      </c>
      <c r="J258" s="13">
        <v>1</v>
      </c>
      <c r="K258" s="9">
        <v>34163.1495</v>
      </c>
      <c r="L258" s="9">
        <v>9165.4395000000004</v>
      </c>
      <c r="M258" s="13">
        <v>3</v>
      </c>
      <c r="N258" s="12">
        <v>0.26828438344070121</v>
      </c>
    </row>
    <row r="259" spans="9:14">
      <c r="I259" s="11" t="s">
        <v>11367</v>
      </c>
      <c r="J259" s="13">
        <v>2</v>
      </c>
      <c r="K259" s="9">
        <v>32786.775000000001</v>
      </c>
      <c r="L259" s="9">
        <v>5995.385000000002</v>
      </c>
      <c r="M259" s="13">
        <v>5</v>
      </c>
      <c r="N259" s="12">
        <v>0.18285985736627045</v>
      </c>
    </row>
    <row r="260" spans="9:14">
      <c r="I260" s="11" t="s">
        <v>11744</v>
      </c>
      <c r="J260" s="13">
        <v>1</v>
      </c>
      <c r="K260" s="9">
        <v>32561.757000000001</v>
      </c>
      <c r="L260" s="9">
        <v>7217.4370000000017</v>
      </c>
      <c r="M260" s="13">
        <v>1</v>
      </c>
      <c r="N260" s="12">
        <v>0.22165379466470442</v>
      </c>
    </row>
    <row r="261" spans="9:14">
      <c r="I261" s="11" t="s">
        <v>10005</v>
      </c>
      <c r="J261" s="13">
        <v>1</v>
      </c>
      <c r="K261" s="9">
        <v>32561.757000000001</v>
      </c>
      <c r="L261" s="9">
        <v>7217.4370000000017</v>
      </c>
      <c r="M261" s="13">
        <v>1</v>
      </c>
      <c r="N261" s="12">
        <v>0.22165379466470442</v>
      </c>
    </row>
    <row r="262" spans="9:14">
      <c r="I262" s="11" t="s">
        <v>13518</v>
      </c>
      <c r="J262" s="13">
        <v>1</v>
      </c>
      <c r="K262" s="9">
        <v>32365.089</v>
      </c>
      <c r="L262" s="9">
        <v>7367.3790000000008</v>
      </c>
      <c r="M262" s="13">
        <v>3</v>
      </c>
      <c r="N262" s="12">
        <v>0.22763351585407354</v>
      </c>
    </row>
    <row r="263" spans="9:14">
      <c r="I263" s="11" t="s">
        <v>3947</v>
      </c>
      <c r="J263" s="13">
        <v>2</v>
      </c>
      <c r="K263" s="9">
        <v>32075.988499999999</v>
      </c>
      <c r="L263" s="9">
        <v>5577.8384999999989</v>
      </c>
      <c r="M263" s="13">
        <v>4</v>
      </c>
      <c r="N263" s="12">
        <v>0.17389451614250326</v>
      </c>
    </row>
    <row r="264" spans="9:14">
      <c r="I264" s="11" t="s">
        <v>181</v>
      </c>
      <c r="J264" s="13">
        <v>1</v>
      </c>
      <c r="K264" s="9">
        <v>31858.080000000002</v>
      </c>
      <c r="L264" s="9">
        <v>12223.620000000003</v>
      </c>
      <c r="M264" s="13">
        <v>3</v>
      </c>
      <c r="N264" s="12">
        <v>0.38368978921516933</v>
      </c>
    </row>
    <row r="265" spans="9:14">
      <c r="I265" s="11" t="s">
        <v>13594</v>
      </c>
      <c r="J265" s="13">
        <v>2</v>
      </c>
      <c r="K265" s="9">
        <v>31759.920000000002</v>
      </c>
      <c r="L265" s="9">
        <v>11992.140000000003</v>
      </c>
      <c r="M265" s="13">
        <v>2</v>
      </c>
      <c r="N265" s="12">
        <v>0.37758722314162008</v>
      </c>
    </row>
    <row r="266" spans="9:14">
      <c r="I266" s="11" t="s">
        <v>2124</v>
      </c>
      <c r="J266" s="13">
        <v>1</v>
      </c>
      <c r="K266" s="9">
        <v>29675.72</v>
      </c>
      <c r="L266" s="9">
        <v>11980.39</v>
      </c>
      <c r="M266" s="13">
        <v>1</v>
      </c>
      <c r="N266" s="12">
        <v>0.40371017114327806</v>
      </c>
    </row>
    <row r="267" spans="9:14">
      <c r="I267" s="11" t="s">
        <v>6086</v>
      </c>
      <c r="J267" s="13">
        <v>1</v>
      </c>
      <c r="K267" s="9">
        <v>29675.72</v>
      </c>
      <c r="L267" s="9">
        <v>11980.39</v>
      </c>
      <c r="M267" s="13">
        <v>1</v>
      </c>
      <c r="N267" s="12">
        <v>0.40371017114327806</v>
      </c>
    </row>
    <row r="268" spans="9:14">
      <c r="I268" s="11" t="s">
        <v>12869</v>
      </c>
      <c r="J268" s="13">
        <v>1</v>
      </c>
      <c r="K268" s="9">
        <v>29675.72</v>
      </c>
      <c r="L268" s="9">
        <v>11980.39</v>
      </c>
      <c r="M268" s="13">
        <v>1</v>
      </c>
      <c r="N268" s="12">
        <v>0.40371017114327806</v>
      </c>
    </row>
    <row r="269" spans="9:14">
      <c r="I269" s="11" t="s">
        <v>1001</v>
      </c>
      <c r="J269" s="13">
        <v>1</v>
      </c>
      <c r="K269" s="9">
        <v>29579.63</v>
      </c>
      <c r="L269" s="9">
        <v>5324.91</v>
      </c>
      <c r="M269" s="13">
        <v>1</v>
      </c>
      <c r="N269" s="12">
        <v>0.18001949314443758</v>
      </c>
    </row>
    <row r="270" spans="9:14">
      <c r="I270" s="11" t="s">
        <v>14426</v>
      </c>
      <c r="J270" s="13">
        <v>1</v>
      </c>
      <c r="K270" s="9">
        <v>29579.63</v>
      </c>
      <c r="L270" s="9">
        <v>5324.91</v>
      </c>
      <c r="M270" s="13">
        <v>1</v>
      </c>
      <c r="N270" s="12">
        <v>0.18001949314443758</v>
      </c>
    </row>
    <row r="271" spans="9:14">
      <c r="I271" s="11" t="s">
        <v>11806</v>
      </c>
      <c r="J271" s="13">
        <v>1</v>
      </c>
      <c r="K271" s="9">
        <v>29465.9</v>
      </c>
      <c r="L271" s="9">
        <v>8051.4400000000023</v>
      </c>
      <c r="M271" s="13">
        <v>2</v>
      </c>
      <c r="N271" s="12">
        <v>0.27324602336938636</v>
      </c>
    </row>
    <row r="272" spans="9:14">
      <c r="I272" s="11" t="s">
        <v>2380</v>
      </c>
      <c r="J272" s="13">
        <v>1</v>
      </c>
      <c r="K272" s="9">
        <v>29153.55</v>
      </c>
      <c r="L272" s="9">
        <v>7259.2799999999988</v>
      </c>
      <c r="M272" s="13">
        <v>1</v>
      </c>
      <c r="N272" s="12">
        <v>0.24900157956749688</v>
      </c>
    </row>
    <row r="273" spans="9:14">
      <c r="I273" s="11" t="s">
        <v>12039</v>
      </c>
      <c r="J273" s="13">
        <v>1</v>
      </c>
      <c r="K273" s="9">
        <v>29153.55</v>
      </c>
      <c r="L273" s="9">
        <v>7259.2799999999988</v>
      </c>
      <c r="M273" s="13">
        <v>1</v>
      </c>
      <c r="N273" s="12">
        <v>0.24900157956749688</v>
      </c>
    </row>
    <row r="274" spans="9:14">
      <c r="I274" s="11" t="s">
        <v>14540</v>
      </c>
      <c r="J274" s="13">
        <v>1</v>
      </c>
      <c r="K274" s="9">
        <v>29153.55</v>
      </c>
      <c r="L274" s="9">
        <v>7259.2799999999988</v>
      </c>
      <c r="M274" s="13">
        <v>1</v>
      </c>
      <c r="N274" s="12">
        <v>0.24900157956749688</v>
      </c>
    </row>
    <row r="275" spans="9:14">
      <c r="I275" s="11" t="s">
        <v>13227</v>
      </c>
      <c r="J275" s="13">
        <v>1</v>
      </c>
      <c r="K275" s="9">
        <v>29153.55</v>
      </c>
      <c r="L275" s="9">
        <v>7259.2799999999988</v>
      </c>
      <c r="M275" s="13">
        <v>1</v>
      </c>
      <c r="N275" s="12">
        <v>0.24900157956749688</v>
      </c>
    </row>
    <row r="276" spans="9:14">
      <c r="I276" s="11" t="s">
        <v>14667</v>
      </c>
      <c r="J276" s="13">
        <v>1</v>
      </c>
      <c r="K276" s="9">
        <v>28707.759999999998</v>
      </c>
      <c r="L276" s="9">
        <v>11124.179999999997</v>
      </c>
      <c r="M276" s="13">
        <v>2</v>
      </c>
      <c r="N276" s="12">
        <v>0.38749731779839308</v>
      </c>
    </row>
    <row r="277" spans="9:14">
      <c r="I277" s="11" t="s">
        <v>3991</v>
      </c>
      <c r="J277" s="13">
        <v>2</v>
      </c>
      <c r="K277" s="9">
        <v>28594.093500000003</v>
      </c>
      <c r="L277" s="9">
        <v>4653.8334999999997</v>
      </c>
      <c r="M277" s="13">
        <v>4</v>
      </c>
      <c r="N277" s="12">
        <v>0.16275506338398171</v>
      </c>
    </row>
    <row r="278" spans="9:14">
      <c r="I278" s="11" t="s">
        <v>3470</v>
      </c>
      <c r="J278" s="13">
        <v>1</v>
      </c>
      <c r="K278" s="9">
        <v>28191.934000000001</v>
      </c>
      <c r="L278" s="9">
        <v>10496.603999999999</v>
      </c>
      <c r="M278" s="13">
        <v>1</v>
      </c>
      <c r="N278" s="12">
        <v>0.37232649594029266</v>
      </c>
    </row>
    <row r="279" spans="9:14">
      <c r="I279" s="11" t="s">
        <v>997</v>
      </c>
      <c r="J279" s="13">
        <v>1</v>
      </c>
      <c r="K279" s="9">
        <v>28100.648499999999</v>
      </c>
      <c r="L279" s="9">
        <v>3845.9284999999982</v>
      </c>
      <c r="M279" s="13">
        <v>1</v>
      </c>
      <c r="N279" s="12">
        <v>0.1368626243625658</v>
      </c>
    </row>
    <row r="280" spans="9:14">
      <c r="I280" s="11" t="s">
        <v>2042</v>
      </c>
      <c r="J280" s="13">
        <v>1</v>
      </c>
      <c r="K280" s="9">
        <v>28012.26</v>
      </c>
      <c r="L280" s="9">
        <v>8353.6999999999971</v>
      </c>
      <c r="M280" s="13">
        <v>2</v>
      </c>
      <c r="N280" s="12">
        <v>0.29821585263024109</v>
      </c>
    </row>
    <row r="281" spans="9:14">
      <c r="I281" s="11" t="s">
        <v>13218</v>
      </c>
      <c r="J281" s="13">
        <v>1</v>
      </c>
      <c r="K281" s="9">
        <v>27695.872499999998</v>
      </c>
      <c r="L281" s="9">
        <v>5801.6024999999972</v>
      </c>
      <c r="M281" s="13">
        <v>1</v>
      </c>
      <c r="N281" s="12">
        <v>0.20947534691315459</v>
      </c>
    </row>
    <row r="282" spans="9:14">
      <c r="I282" s="11" t="s">
        <v>1892</v>
      </c>
      <c r="J282" s="13">
        <v>1</v>
      </c>
      <c r="K282" s="9">
        <v>27695.872499999998</v>
      </c>
      <c r="L282" s="9">
        <v>5801.6024999999972</v>
      </c>
      <c r="M282" s="13">
        <v>1</v>
      </c>
      <c r="N282" s="12">
        <v>0.20947534691315459</v>
      </c>
    </row>
    <row r="283" spans="9:14">
      <c r="I283" s="11" t="s">
        <v>9365</v>
      </c>
      <c r="J283" s="13">
        <v>1</v>
      </c>
      <c r="K283" s="9">
        <v>27105.29</v>
      </c>
      <c r="L283" s="9">
        <v>10012.690000000002</v>
      </c>
      <c r="M283" s="13">
        <v>1</v>
      </c>
      <c r="N283" s="12">
        <v>0.36939984777879159</v>
      </c>
    </row>
    <row r="284" spans="9:14">
      <c r="I284" s="11" t="s">
        <v>9960</v>
      </c>
      <c r="J284" s="13">
        <v>1</v>
      </c>
      <c r="K284" s="9">
        <v>27105.29</v>
      </c>
      <c r="L284" s="9">
        <v>10012.690000000002</v>
      </c>
      <c r="M284" s="13">
        <v>1</v>
      </c>
      <c r="N284" s="12">
        <v>0.36939984777879159</v>
      </c>
    </row>
    <row r="285" spans="9:14">
      <c r="I285" s="11" t="s">
        <v>5148</v>
      </c>
      <c r="J285" s="13">
        <v>1</v>
      </c>
      <c r="K285" s="9">
        <v>26823.725999999999</v>
      </c>
      <c r="L285" s="9">
        <v>8213.0659999999989</v>
      </c>
      <c r="M285" s="13">
        <v>2</v>
      </c>
      <c r="N285" s="12">
        <v>0.30618662000946473</v>
      </c>
    </row>
    <row r="286" spans="9:14">
      <c r="I286" s="11" t="s">
        <v>14217</v>
      </c>
      <c r="J286" s="13">
        <v>1</v>
      </c>
      <c r="K286" s="9">
        <v>26708.148000000001</v>
      </c>
      <c r="L286" s="9">
        <v>9012.8179999999993</v>
      </c>
      <c r="M286" s="13">
        <v>1</v>
      </c>
      <c r="N286" s="12">
        <v>0.3374557457147534</v>
      </c>
    </row>
    <row r="287" spans="9:14">
      <c r="I287" s="11" t="s">
        <v>2396</v>
      </c>
      <c r="J287" s="13">
        <v>1</v>
      </c>
      <c r="K287" s="9">
        <v>26693.172000000002</v>
      </c>
      <c r="L287" s="9">
        <v>7256.612000000001</v>
      </c>
      <c r="M287" s="13">
        <v>4</v>
      </c>
      <c r="N287" s="12">
        <v>0.27185274196712178</v>
      </c>
    </row>
    <row r="288" spans="9:14">
      <c r="I288" s="11" t="s">
        <v>3181</v>
      </c>
      <c r="J288" s="13">
        <v>1</v>
      </c>
      <c r="K288" s="9">
        <v>26519.31</v>
      </c>
      <c r="L288" s="9">
        <v>5104.8500000000022</v>
      </c>
      <c r="M288" s="13">
        <v>2</v>
      </c>
      <c r="N288" s="12">
        <v>0.19249558152154042</v>
      </c>
    </row>
    <row r="289" spans="9:14">
      <c r="I289" s="11" t="s">
        <v>8978</v>
      </c>
      <c r="J289" s="13">
        <v>1</v>
      </c>
      <c r="K289" s="9">
        <v>26482.565999999999</v>
      </c>
      <c r="L289" s="9">
        <v>1557.7259999999987</v>
      </c>
      <c r="M289" s="13">
        <v>4</v>
      </c>
      <c r="N289" s="12">
        <v>5.8820810641989858E-2</v>
      </c>
    </row>
    <row r="290" spans="9:14">
      <c r="I290" s="11" t="s">
        <v>477</v>
      </c>
      <c r="J290" s="13">
        <v>1</v>
      </c>
      <c r="K290" s="9">
        <v>26352.069</v>
      </c>
      <c r="L290" s="9">
        <v>3512.2589999999982</v>
      </c>
      <c r="M290" s="13">
        <v>3</v>
      </c>
      <c r="N290" s="12">
        <v>0.13328209636973848</v>
      </c>
    </row>
    <row r="291" spans="9:14">
      <c r="I291" s="11" t="s">
        <v>7421</v>
      </c>
      <c r="J291" s="13">
        <v>1</v>
      </c>
      <c r="K291" s="9">
        <v>26326.12</v>
      </c>
      <c r="L291" s="9">
        <v>9211.6899999999987</v>
      </c>
      <c r="M291" s="13">
        <v>1</v>
      </c>
      <c r="N291" s="12">
        <v>0.34990686056281745</v>
      </c>
    </row>
    <row r="292" spans="9:14">
      <c r="I292" s="11" t="s">
        <v>2549</v>
      </c>
      <c r="J292" s="13">
        <v>1</v>
      </c>
      <c r="K292" s="9">
        <v>26326.12</v>
      </c>
      <c r="L292" s="9">
        <v>9211.6899999999987</v>
      </c>
      <c r="M292" s="13">
        <v>1</v>
      </c>
      <c r="N292" s="12">
        <v>0.34990686056281745</v>
      </c>
    </row>
    <row r="293" spans="9:14">
      <c r="I293" s="11" t="s">
        <v>15307</v>
      </c>
      <c r="J293" s="13">
        <v>1</v>
      </c>
      <c r="K293" s="9">
        <v>26238.195</v>
      </c>
      <c r="L293" s="9">
        <v>4343.9249999999993</v>
      </c>
      <c r="M293" s="13">
        <v>1</v>
      </c>
      <c r="N293" s="12">
        <v>0.16555731063055212</v>
      </c>
    </row>
    <row r="294" spans="9:14">
      <c r="I294" s="11" t="s">
        <v>11738</v>
      </c>
      <c r="J294" s="13">
        <v>1</v>
      </c>
      <c r="K294" s="9">
        <v>26039.41</v>
      </c>
      <c r="L294" s="9">
        <v>5447.18</v>
      </c>
      <c r="M294" s="13">
        <v>1</v>
      </c>
      <c r="N294" s="12">
        <v>0.20918983955473647</v>
      </c>
    </row>
    <row r="295" spans="9:14">
      <c r="I295" s="11" t="s">
        <v>15238</v>
      </c>
      <c r="J295" s="13">
        <v>1</v>
      </c>
      <c r="K295" s="9">
        <v>26039.41</v>
      </c>
      <c r="L295" s="9">
        <v>5447.18</v>
      </c>
      <c r="M295" s="13">
        <v>1</v>
      </c>
      <c r="N295" s="12">
        <v>0.20918983955473647</v>
      </c>
    </row>
    <row r="296" spans="9:14">
      <c r="I296" s="11" t="s">
        <v>10727</v>
      </c>
      <c r="J296" s="13">
        <v>1</v>
      </c>
      <c r="K296" s="9">
        <v>25836.983999999997</v>
      </c>
      <c r="L296" s="9">
        <v>8253.403999999995</v>
      </c>
      <c r="M296" s="13">
        <v>2</v>
      </c>
      <c r="N296" s="12">
        <v>0.31944146422043673</v>
      </c>
    </row>
    <row r="297" spans="9:14">
      <c r="I297" s="11" t="s">
        <v>7439</v>
      </c>
      <c r="J297" s="13">
        <v>1</v>
      </c>
      <c r="K297" s="9">
        <v>25750.0255</v>
      </c>
      <c r="L297" s="9">
        <v>8657.4255000000012</v>
      </c>
      <c r="M297" s="13">
        <v>1</v>
      </c>
      <c r="N297" s="12">
        <v>0.33621036608293847</v>
      </c>
    </row>
    <row r="298" spans="9:14">
      <c r="I298" s="11" t="s">
        <v>4221</v>
      </c>
      <c r="J298" s="13">
        <v>1</v>
      </c>
      <c r="K298" s="9">
        <v>25210.218000000001</v>
      </c>
      <c r="L298" s="9">
        <v>5773.6579999999994</v>
      </c>
      <c r="M298" s="13">
        <v>4</v>
      </c>
      <c r="N298" s="12">
        <v>0.2290205503181289</v>
      </c>
    </row>
    <row r="299" spans="9:14">
      <c r="I299" s="11" t="s">
        <v>5675</v>
      </c>
      <c r="J299" s="13">
        <v>1</v>
      </c>
      <c r="K299" s="9">
        <v>25105.38</v>
      </c>
      <c r="L299" s="9">
        <v>7629.5800000000017</v>
      </c>
      <c r="M299" s="13">
        <v>2</v>
      </c>
      <c r="N299" s="12">
        <v>0.30390219148246317</v>
      </c>
    </row>
    <row r="300" spans="9:14">
      <c r="I300" s="11" t="s">
        <v>12230</v>
      </c>
      <c r="J300" s="13">
        <v>1</v>
      </c>
      <c r="K300" s="9">
        <v>24743.52</v>
      </c>
      <c r="L300" s="9">
        <v>8123.3300000000017</v>
      </c>
      <c r="M300" s="13">
        <v>1</v>
      </c>
      <c r="N300" s="12">
        <v>0.32830130878710878</v>
      </c>
    </row>
    <row r="301" spans="9:14">
      <c r="I301" s="11" t="s">
        <v>15684</v>
      </c>
      <c r="J301" s="13">
        <v>1</v>
      </c>
      <c r="K301" s="9">
        <v>24743.52</v>
      </c>
      <c r="L301" s="9">
        <v>8123.3300000000017</v>
      </c>
      <c r="M301" s="13">
        <v>1</v>
      </c>
      <c r="N301" s="12">
        <v>0.32830130878710878</v>
      </c>
    </row>
    <row r="302" spans="9:14">
      <c r="I302" s="11" t="s">
        <v>15534</v>
      </c>
      <c r="J302" s="13">
        <v>1</v>
      </c>
      <c r="K302" s="9">
        <v>24430.33</v>
      </c>
      <c r="L302" s="9">
        <v>9433.6000000000022</v>
      </c>
      <c r="M302" s="13">
        <v>1</v>
      </c>
      <c r="N302" s="12">
        <v>0.38614296245691326</v>
      </c>
    </row>
    <row r="303" spans="9:14">
      <c r="I303" s="11" t="s">
        <v>14211</v>
      </c>
      <c r="J303" s="13">
        <v>2</v>
      </c>
      <c r="K303" s="9">
        <v>24424.853499999997</v>
      </c>
      <c r="L303" s="9">
        <v>2502.4434999999994</v>
      </c>
      <c r="M303" s="13">
        <v>2</v>
      </c>
      <c r="N303" s="12">
        <v>0.10245480080361587</v>
      </c>
    </row>
    <row r="304" spans="9:14">
      <c r="I304" s="11" t="s">
        <v>543</v>
      </c>
      <c r="J304" s="13">
        <v>1</v>
      </c>
      <c r="K304" s="9">
        <v>24160.019999999997</v>
      </c>
      <c r="L304" s="9">
        <v>4578.2999999999956</v>
      </c>
      <c r="M304" s="13">
        <v>4</v>
      </c>
      <c r="N304" s="12">
        <v>0.18949901531538452</v>
      </c>
    </row>
    <row r="305" spans="9:14">
      <c r="I305" s="11" t="s">
        <v>9938</v>
      </c>
      <c r="J305" s="13">
        <v>1</v>
      </c>
      <c r="K305" s="9">
        <v>23974.14</v>
      </c>
      <c r="L305" s="9">
        <v>7309</v>
      </c>
      <c r="M305" s="13">
        <v>2</v>
      </c>
      <c r="N305" s="12">
        <v>0.30487016426866614</v>
      </c>
    </row>
    <row r="306" spans="9:14">
      <c r="I306" s="11" t="s">
        <v>7018</v>
      </c>
      <c r="J306" s="13">
        <v>1</v>
      </c>
      <c r="K306" s="9">
        <v>23736.31</v>
      </c>
      <c r="L306" s="9">
        <v>9861.4500000000007</v>
      </c>
      <c r="M306" s="13">
        <v>1</v>
      </c>
      <c r="N306" s="12">
        <v>0.41545842635186347</v>
      </c>
    </row>
    <row r="307" spans="9:14">
      <c r="I307" s="11" t="s">
        <v>2190</v>
      </c>
      <c r="J307" s="13">
        <v>1</v>
      </c>
      <c r="K307" s="9">
        <v>23435.469000000001</v>
      </c>
      <c r="L307" s="9">
        <v>2843.2390000000014</v>
      </c>
      <c r="M307" s="13">
        <v>1</v>
      </c>
      <c r="N307" s="12">
        <v>0.12132204394970723</v>
      </c>
    </row>
    <row r="308" spans="9:14">
      <c r="I308" s="11" t="s">
        <v>5874</v>
      </c>
      <c r="J308" s="13">
        <v>1</v>
      </c>
      <c r="K308" s="9">
        <v>23405.579999999998</v>
      </c>
      <c r="L308" s="9">
        <v>7406.8799999999992</v>
      </c>
      <c r="M308" s="13">
        <v>3</v>
      </c>
      <c r="N308" s="12">
        <v>0.31645787030272265</v>
      </c>
    </row>
    <row r="309" spans="9:14">
      <c r="I309" s="11" t="s">
        <v>14994</v>
      </c>
      <c r="J309" s="13">
        <v>1</v>
      </c>
      <c r="K309" s="9">
        <v>23022.92</v>
      </c>
      <c r="L309" s="9">
        <v>4928.9599999999991</v>
      </c>
      <c r="M309" s="13">
        <v>2</v>
      </c>
      <c r="N309" s="12">
        <v>0.21408926408987217</v>
      </c>
    </row>
    <row r="310" spans="9:14">
      <c r="I310" s="11" t="s">
        <v>8364</v>
      </c>
      <c r="J310" s="13">
        <v>1</v>
      </c>
      <c r="K310" s="9">
        <v>22827.119999999999</v>
      </c>
      <c r="L310" s="9">
        <v>4563.0499999999993</v>
      </c>
      <c r="M310" s="13">
        <v>1</v>
      </c>
      <c r="N310" s="12">
        <v>0.19989600089717843</v>
      </c>
    </row>
    <row r="311" spans="9:14">
      <c r="I311" s="11" t="s">
        <v>8135</v>
      </c>
      <c r="J311" s="13">
        <v>1</v>
      </c>
      <c r="K311" s="9">
        <v>22827.119999999999</v>
      </c>
      <c r="L311" s="9">
        <v>4563.0499999999993</v>
      </c>
      <c r="M311" s="13">
        <v>1</v>
      </c>
      <c r="N311" s="12">
        <v>0.19989600089717843</v>
      </c>
    </row>
    <row r="312" spans="9:14">
      <c r="I312" s="11" t="s">
        <v>9944</v>
      </c>
      <c r="J312" s="13">
        <v>2</v>
      </c>
      <c r="K312" s="9">
        <v>22818.565999999999</v>
      </c>
      <c r="L312" s="9">
        <v>8682.7060000000001</v>
      </c>
      <c r="M312" s="13">
        <v>2</v>
      </c>
      <c r="N312" s="12">
        <v>0.38051058949103117</v>
      </c>
    </row>
    <row r="313" spans="9:14">
      <c r="I313" s="11" t="s">
        <v>10701</v>
      </c>
      <c r="J313" s="13">
        <v>1</v>
      </c>
      <c r="K313" s="9">
        <v>22455.919999999998</v>
      </c>
      <c r="L313" s="9">
        <v>8946.2799999999988</v>
      </c>
      <c r="M313" s="13">
        <v>4</v>
      </c>
      <c r="N313" s="12">
        <v>0.39839294048072843</v>
      </c>
    </row>
    <row r="314" spans="9:14">
      <c r="I314" s="11" t="s">
        <v>13851</v>
      </c>
      <c r="J314" s="13">
        <v>1</v>
      </c>
      <c r="K314" s="9">
        <v>22362.17</v>
      </c>
      <c r="L314" s="9">
        <v>10044.569999999998</v>
      </c>
      <c r="M314" s="13">
        <v>1</v>
      </c>
      <c r="N314" s="12">
        <v>0.44917689115144005</v>
      </c>
    </row>
    <row r="315" spans="9:14">
      <c r="I315" s="11" t="s">
        <v>4782</v>
      </c>
      <c r="J315" s="13">
        <v>1</v>
      </c>
      <c r="K315" s="9">
        <v>22269.168000000001</v>
      </c>
      <c r="L315" s="9">
        <v>5648.9780000000028</v>
      </c>
      <c r="M315" s="13">
        <v>1</v>
      </c>
      <c r="N315" s="12">
        <v>0.25366812087456536</v>
      </c>
    </row>
    <row r="316" spans="9:14">
      <c r="I316" s="11" t="s">
        <v>12963</v>
      </c>
      <c r="J316" s="13">
        <v>1</v>
      </c>
      <c r="K316" s="9">
        <v>22269.168000000001</v>
      </c>
      <c r="L316" s="9">
        <v>5648.9780000000028</v>
      </c>
      <c r="M316" s="13">
        <v>1</v>
      </c>
      <c r="N316" s="12">
        <v>0.25366812087456536</v>
      </c>
    </row>
    <row r="317" spans="9:14">
      <c r="I317" s="11" t="s">
        <v>8514</v>
      </c>
      <c r="J317" s="13">
        <v>1</v>
      </c>
      <c r="K317" s="9">
        <v>22259.46</v>
      </c>
      <c r="L317" s="9">
        <v>6791.52</v>
      </c>
      <c r="M317" s="13">
        <v>3</v>
      </c>
      <c r="N317" s="12">
        <v>0.3051071319789429</v>
      </c>
    </row>
    <row r="318" spans="9:14">
      <c r="I318" s="11" t="s">
        <v>10915</v>
      </c>
      <c r="J318" s="13">
        <v>1</v>
      </c>
      <c r="K318" s="9">
        <v>22259.46</v>
      </c>
      <c r="L318" s="9">
        <v>6791.52</v>
      </c>
      <c r="M318" s="13">
        <v>3</v>
      </c>
      <c r="N318" s="12">
        <v>0.3051071319789429</v>
      </c>
    </row>
    <row r="319" spans="9:14">
      <c r="I319" s="11" t="s">
        <v>4039</v>
      </c>
      <c r="J319" s="13">
        <v>1</v>
      </c>
      <c r="K319" s="9">
        <v>22242.168000000001</v>
      </c>
      <c r="L319" s="9">
        <v>3278.7280000000028</v>
      </c>
      <c r="M319" s="13">
        <v>4</v>
      </c>
      <c r="N319" s="12">
        <v>0.14741045027625016</v>
      </c>
    </row>
    <row r="320" spans="9:14">
      <c r="I320" s="11" t="s">
        <v>3151</v>
      </c>
      <c r="J320" s="13">
        <v>1</v>
      </c>
      <c r="K320" s="9">
        <v>22235.300999999999</v>
      </c>
      <c r="L320" s="9">
        <v>6236.6010000000006</v>
      </c>
      <c r="M320" s="13">
        <v>3</v>
      </c>
      <c r="N320" s="12">
        <v>0.2804819687397081</v>
      </c>
    </row>
    <row r="321" spans="9:14">
      <c r="I321" s="11" t="s">
        <v>14179</v>
      </c>
      <c r="J321" s="13">
        <v>2</v>
      </c>
      <c r="K321" s="9">
        <v>22185.994500000004</v>
      </c>
      <c r="L321" s="9">
        <v>6897.9845000000014</v>
      </c>
      <c r="M321" s="13">
        <v>4</v>
      </c>
      <c r="N321" s="12">
        <v>0.3109161728134387</v>
      </c>
    </row>
    <row r="322" spans="9:14">
      <c r="I322" s="11" t="s">
        <v>9520</v>
      </c>
      <c r="J322" s="13">
        <v>1</v>
      </c>
      <c r="K322" s="9">
        <v>21685.763999999999</v>
      </c>
      <c r="L322" s="9">
        <v>3421.6939999999995</v>
      </c>
      <c r="M322" s="13">
        <v>1</v>
      </c>
      <c r="N322" s="12">
        <v>0.15778526410229307</v>
      </c>
    </row>
    <row r="323" spans="9:14">
      <c r="I323" s="11" t="s">
        <v>6118</v>
      </c>
      <c r="J323" s="13">
        <v>2</v>
      </c>
      <c r="K323" s="9">
        <v>21674.2595</v>
      </c>
      <c r="L323" s="9">
        <v>5365.2994999999974</v>
      </c>
      <c r="M323" s="13">
        <v>3</v>
      </c>
      <c r="N323" s="12">
        <v>0.24754245929370725</v>
      </c>
    </row>
    <row r="324" spans="9:14">
      <c r="I324" s="11" t="s">
        <v>5441</v>
      </c>
      <c r="J324" s="13">
        <v>1</v>
      </c>
      <c r="K324" s="9">
        <v>21602.44</v>
      </c>
      <c r="L324" s="9">
        <v>8467.8599999999988</v>
      </c>
      <c r="M324" s="13">
        <v>1</v>
      </c>
      <c r="N324" s="12">
        <v>0.39198627562442018</v>
      </c>
    </row>
    <row r="325" spans="9:14">
      <c r="I325" s="11" t="s">
        <v>13097</v>
      </c>
      <c r="J325" s="13">
        <v>1</v>
      </c>
      <c r="K325" s="9">
        <v>21602.44</v>
      </c>
      <c r="L325" s="9">
        <v>8467.8599999999988</v>
      </c>
      <c r="M325" s="13">
        <v>1</v>
      </c>
      <c r="N325" s="12">
        <v>0.39198627562442018</v>
      </c>
    </row>
    <row r="326" spans="9:14">
      <c r="I326" s="11" t="s">
        <v>10191</v>
      </c>
      <c r="J326" s="13">
        <v>1</v>
      </c>
      <c r="K326" s="9">
        <v>21602.44</v>
      </c>
      <c r="L326" s="9">
        <v>8467.8599999999988</v>
      </c>
      <c r="M326" s="13">
        <v>1</v>
      </c>
      <c r="N326" s="12">
        <v>0.39198627562442018</v>
      </c>
    </row>
    <row r="327" spans="9:14">
      <c r="I327" s="11" t="s">
        <v>10733</v>
      </c>
      <c r="J327" s="13">
        <v>1</v>
      </c>
      <c r="K327" s="9">
        <v>21473.5</v>
      </c>
      <c r="L327" s="9">
        <v>4888.2000000000007</v>
      </c>
      <c r="M327" s="13">
        <v>5</v>
      </c>
      <c r="N327" s="12">
        <v>0.22763871748899811</v>
      </c>
    </row>
    <row r="328" spans="9:14">
      <c r="I328" s="11" t="s">
        <v>10262</v>
      </c>
      <c r="J328" s="13">
        <v>1</v>
      </c>
      <c r="K328" s="9">
        <v>21329.08</v>
      </c>
      <c r="L328" s="9">
        <v>4467.5800000000017</v>
      </c>
      <c r="M328" s="13">
        <v>2</v>
      </c>
      <c r="N328" s="12">
        <v>0.20945957350246711</v>
      </c>
    </row>
    <row r="329" spans="9:14">
      <c r="I329" s="11" t="s">
        <v>15342</v>
      </c>
      <c r="J329" s="13">
        <v>1</v>
      </c>
      <c r="K329" s="9">
        <v>21244.0615</v>
      </c>
      <c r="L329" s="9">
        <v>8926.4614999999994</v>
      </c>
      <c r="M329" s="13">
        <v>1</v>
      </c>
      <c r="N329" s="12">
        <v>0.4201862012120422</v>
      </c>
    </row>
    <row r="330" spans="9:14">
      <c r="I330" s="11" t="s">
        <v>11277</v>
      </c>
      <c r="J330" s="13">
        <v>1</v>
      </c>
      <c r="K330" s="9">
        <v>21244.0615</v>
      </c>
      <c r="L330" s="9">
        <v>8926.4614999999994</v>
      </c>
      <c r="M330" s="13">
        <v>1</v>
      </c>
      <c r="N330" s="12">
        <v>0.4201862012120422</v>
      </c>
    </row>
    <row r="331" spans="9:14">
      <c r="I331" s="11" t="s">
        <v>815</v>
      </c>
      <c r="J331" s="13">
        <v>1</v>
      </c>
      <c r="K331" s="9">
        <v>21238.720000000001</v>
      </c>
      <c r="L331" s="9">
        <v>8149.0800000000017</v>
      </c>
      <c r="M331" s="13">
        <v>2</v>
      </c>
      <c r="N331" s="12">
        <v>0.38368978921516933</v>
      </c>
    </row>
    <row r="332" spans="9:14">
      <c r="I332" s="11" t="s">
        <v>259</v>
      </c>
      <c r="J332" s="13">
        <v>1</v>
      </c>
      <c r="K332" s="9">
        <v>21111.6885</v>
      </c>
      <c r="L332" s="9">
        <v>3547.1984999999986</v>
      </c>
      <c r="M332" s="13">
        <v>1</v>
      </c>
      <c r="N332" s="12">
        <v>0.1680205967419422</v>
      </c>
    </row>
    <row r="333" spans="9:14">
      <c r="I333" s="11" t="s">
        <v>8499</v>
      </c>
      <c r="J333" s="13">
        <v>1</v>
      </c>
      <c r="K333" s="9">
        <v>21084.61</v>
      </c>
      <c r="L333" s="9">
        <v>8187.9600000000009</v>
      </c>
      <c r="M333" s="13">
        <v>1</v>
      </c>
      <c r="N333" s="12">
        <v>0.38833822394628126</v>
      </c>
    </row>
    <row r="334" spans="9:14">
      <c r="I334" s="11" t="s">
        <v>14964</v>
      </c>
      <c r="J334" s="13">
        <v>1</v>
      </c>
      <c r="K334" s="9">
        <v>20997.042500000003</v>
      </c>
      <c r="L334" s="9">
        <v>5286.1325000000033</v>
      </c>
      <c r="M334" s="13">
        <v>1</v>
      </c>
      <c r="N334" s="12">
        <v>0.25175605088192787</v>
      </c>
    </row>
    <row r="335" spans="9:14">
      <c r="I335" s="11" t="s">
        <v>1034</v>
      </c>
      <c r="J335" s="13">
        <v>1</v>
      </c>
      <c r="K335" s="9">
        <v>20994.5</v>
      </c>
      <c r="L335" s="9">
        <v>6391.25</v>
      </c>
      <c r="M335" s="13">
        <v>5</v>
      </c>
      <c r="N335" s="12">
        <v>0.30442496844411632</v>
      </c>
    </row>
    <row r="336" spans="9:14">
      <c r="I336" s="11" t="s">
        <v>9809</v>
      </c>
      <c r="J336" s="13">
        <v>2</v>
      </c>
      <c r="K336" s="9">
        <v>20582.356</v>
      </c>
      <c r="L336" s="9">
        <v>6684.0360000000001</v>
      </c>
      <c r="M336" s="13">
        <v>2</v>
      </c>
      <c r="N336" s="12">
        <v>0.32474591344159048</v>
      </c>
    </row>
    <row r="337" spans="9:14">
      <c r="I337" s="11" t="s">
        <v>4007</v>
      </c>
      <c r="J337" s="13">
        <v>1</v>
      </c>
      <c r="K337" s="9">
        <v>20030.379499999999</v>
      </c>
      <c r="L337" s="9">
        <v>7133.7294999999995</v>
      </c>
      <c r="M337" s="13">
        <v>1</v>
      </c>
      <c r="N337" s="12">
        <v>0.35614549889082231</v>
      </c>
    </row>
    <row r="338" spans="9:14">
      <c r="I338" s="11" t="s">
        <v>3338</v>
      </c>
      <c r="J338" s="13">
        <v>1</v>
      </c>
      <c r="K338" s="9">
        <v>20000.547000000002</v>
      </c>
      <c r="L338" s="9">
        <v>2436.0570000000007</v>
      </c>
      <c r="M338" s="13">
        <v>1</v>
      </c>
      <c r="N338" s="12">
        <v>0.1217995187831613</v>
      </c>
    </row>
    <row r="339" spans="9:14">
      <c r="I339" s="11" t="s">
        <v>10083</v>
      </c>
      <c r="J339" s="13">
        <v>1</v>
      </c>
      <c r="K339" s="9">
        <v>19202.1505</v>
      </c>
      <c r="L339" s="9">
        <v>2333.2704999999987</v>
      </c>
      <c r="M339" s="13">
        <v>1</v>
      </c>
      <c r="N339" s="12">
        <v>0.12151089535518424</v>
      </c>
    </row>
    <row r="340" spans="9:14">
      <c r="I340" s="11" t="s">
        <v>7751</v>
      </c>
      <c r="J340" s="13">
        <v>1</v>
      </c>
      <c r="K340" s="9">
        <v>19118.825999999997</v>
      </c>
      <c r="L340" s="9">
        <v>4024.4759999999987</v>
      </c>
      <c r="M340" s="13">
        <v>3</v>
      </c>
      <c r="N340" s="12">
        <v>0.21049807137739521</v>
      </c>
    </row>
    <row r="341" spans="9:14">
      <c r="I341" s="11" t="s">
        <v>53</v>
      </c>
      <c r="J341" s="13">
        <v>1</v>
      </c>
      <c r="K341" s="9">
        <v>19023.2</v>
      </c>
      <c r="L341" s="9">
        <v>1233.119999999999</v>
      </c>
      <c r="M341" s="13">
        <v>4</v>
      </c>
      <c r="N341" s="12">
        <v>6.4821901677951071E-2</v>
      </c>
    </row>
    <row r="342" spans="9:14">
      <c r="I342" s="11" t="s">
        <v>909</v>
      </c>
      <c r="J342" s="13">
        <v>1</v>
      </c>
      <c r="K342" s="9">
        <v>18845.84</v>
      </c>
      <c r="L342" s="9">
        <v>4047.4600000000009</v>
      </c>
      <c r="M342" s="13">
        <v>2</v>
      </c>
      <c r="N342" s="12">
        <v>0.21476676019747598</v>
      </c>
    </row>
    <row r="343" spans="9:14">
      <c r="I343" s="11" t="s">
        <v>8631</v>
      </c>
      <c r="J343" s="13">
        <v>2</v>
      </c>
      <c r="K343" s="9">
        <v>18747.637499999997</v>
      </c>
      <c r="L343" s="9">
        <v>4905.4074999999984</v>
      </c>
      <c r="M343" s="13">
        <v>7</v>
      </c>
      <c r="N343" s="12">
        <v>0.26165470182576334</v>
      </c>
    </row>
    <row r="344" spans="9:14">
      <c r="I344" s="11" t="s">
        <v>14590</v>
      </c>
      <c r="J344" s="13">
        <v>1</v>
      </c>
      <c r="K344" s="9">
        <v>18739.64</v>
      </c>
      <c r="L344" s="9">
        <v>6718.5199999999986</v>
      </c>
      <c r="M344" s="13">
        <v>4</v>
      </c>
      <c r="N344" s="12">
        <v>0.35851916045345583</v>
      </c>
    </row>
    <row r="345" spans="9:14">
      <c r="I345" s="11" t="s">
        <v>14251</v>
      </c>
      <c r="J345" s="13">
        <v>1</v>
      </c>
      <c r="K345" s="9">
        <v>18535.14</v>
      </c>
      <c r="L345" s="9">
        <v>4312.5600000000013</v>
      </c>
      <c r="M345" s="13">
        <v>3</v>
      </c>
      <c r="N345" s="12">
        <v>0.23266940524862512</v>
      </c>
    </row>
    <row r="346" spans="9:14">
      <c r="I346" s="11" t="s">
        <v>12823</v>
      </c>
      <c r="J346" s="13">
        <v>1</v>
      </c>
      <c r="K346" s="9">
        <v>18492.68</v>
      </c>
      <c r="L346" s="9">
        <v>3266.1399999999994</v>
      </c>
      <c r="M346" s="13">
        <v>2</v>
      </c>
      <c r="N346" s="12">
        <v>0.1766179915512516</v>
      </c>
    </row>
    <row r="347" spans="9:14">
      <c r="I347" s="11" t="s">
        <v>14068</v>
      </c>
      <c r="J347" s="13">
        <v>1</v>
      </c>
      <c r="K347" s="9">
        <v>18301.86</v>
      </c>
      <c r="L347" s="9">
        <v>4626.84</v>
      </c>
      <c r="M347" s="13">
        <v>3</v>
      </c>
      <c r="N347" s="12">
        <v>0.25280709173821675</v>
      </c>
    </row>
    <row r="348" spans="9:14">
      <c r="I348" s="11" t="s">
        <v>13021</v>
      </c>
      <c r="J348" s="13">
        <v>1</v>
      </c>
      <c r="K348" s="9">
        <v>18191.511000000002</v>
      </c>
      <c r="L348" s="9">
        <v>1322.6310000000012</v>
      </c>
      <c r="M348" s="13">
        <v>1</v>
      </c>
      <c r="N348" s="12">
        <v>7.2705945097139055E-2</v>
      </c>
    </row>
    <row r="349" spans="9:14">
      <c r="I349" s="11" t="s">
        <v>7150</v>
      </c>
      <c r="J349" s="13">
        <v>1</v>
      </c>
      <c r="K349" s="9">
        <v>18113.48</v>
      </c>
      <c r="L349" s="9">
        <v>5582.34</v>
      </c>
      <c r="M349" s="13">
        <v>1</v>
      </c>
      <c r="N349" s="12">
        <v>0.30818705185309508</v>
      </c>
    </row>
    <row r="350" spans="9:14">
      <c r="I350" s="11" t="s">
        <v>1956</v>
      </c>
      <c r="J350" s="13">
        <v>1</v>
      </c>
      <c r="K350" s="9">
        <v>17834.25</v>
      </c>
      <c r="L350" s="9">
        <v>4491.6899999999987</v>
      </c>
      <c r="M350" s="13">
        <v>3</v>
      </c>
      <c r="N350" s="12">
        <v>0.25185752134236083</v>
      </c>
    </row>
    <row r="351" spans="9:14">
      <c r="I351" s="11" t="s">
        <v>7401</v>
      </c>
      <c r="J351" s="13">
        <v>1</v>
      </c>
      <c r="K351" s="9">
        <v>17619.849999999999</v>
      </c>
      <c r="L351" s="9">
        <v>3782.1999999999989</v>
      </c>
      <c r="M351" s="13">
        <v>1</v>
      </c>
      <c r="N351" s="12">
        <v>0.21465562987199091</v>
      </c>
    </row>
    <row r="352" spans="9:14">
      <c r="I352" s="11" t="s">
        <v>13855</v>
      </c>
      <c r="J352" s="13">
        <v>1</v>
      </c>
      <c r="K352" s="9">
        <v>17619.849999999999</v>
      </c>
      <c r="L352" s="9">
        <v>3782.1999999999989</v>
      </c>
      <c r="M352" s="13">
        <v>1</v>
      </c>
      <c r="N352" s="12">
        <v>0.21465562987199091</v>
      </c>
    </row>
    <row r="353" spans="9:14">
      <c r="I353" s="11" t="s">
        <v>6456</v>
      </c>
      <c r="J353" s="13">
        <v>1</v>
      </c>
      <c r="K353" s="9">
        <v>17619.849999999999</v>
      </c>
      <c r="L353" s="9">
        <v>3782.1999999999989</v>
      </c>
      <c r="M353" s="13">
        <v>1</v>
      </c>
      <c r="N353" s="12">
        <v>0.21465562987199091</v>
      </c>
    </row>
    <row r="354" spans="9:14">
      <c r="I354" s="11" t="s">
        <v>3698</v>
      </c>
      <c r="J354" s="13">
        <v>1</v>
      </c>
      <c r="K354" s="9">
        <v>17619.849999999999</v>
      </c>
      <c r="L354" s="9">
        <v>3782.1999999999989</v>
      </c>
      <c r="M354" s="13">
        <v>1</v>
      </c>
      <c r="N354" s="12">
        <v>0.21465562987199091</v>
      </c>
    </row>
    <row r="355" spans="9:14">
      <c r="I355" s="11" t="s">
        <v>15672</v>
      </c>
      <c r="J355" s="13">
        <v>1</v>
      </c>
      <c r="K355" s="9">
        <v>17568.046000000002</v>
      </c>
      <c r="L355" s="9">
        <v>2341.5060000000012</v>
      </c>
      <c r="M355" s="13">
        <v>2</v>
      </c>
      <c r="N355" s="12">
        <v>0.13328209636973862</v>
      </c>
    </row>
    <row r="356" spans="9:14">
      <c r="I356" s="11" t="s">
        <v>12945</v>
      </c>
      <c r="J356" s="13">
        <v>1</v>
      </c>
      <c r="K356" s="9">
        <v>17568.046000000002</v>
      </c>
      <c r="L356" s="9">
        <v>2341.5060000000012</v>
      </c>
      <c r="M356" s="13">
        <v>2</v>
      </c>
      <c r="N356" s="12">
        <v>0.13328209636973862</v>
      </c>
    </row>
    <row r="357" spans="9:14">
      <c r="I357" s="11" t="s">
        <v>4227</v>
      </c>
      <c r="J357" s="13">
        <v>1</v>
      </c>
      <c r="K357" s="9">
        <v>17178.8</v>
      </c>
      <c r="L357" s="9">
        <v>3910.5599999999995</v>
      </c>
      <c r="M357" s="13">
        <v>4</v>
      </c>
      <c r="N357" s="12">
        <v>0.22763871748899805</v>
      </c>
    </row>
    <row r="358" spans="9:14">
      <c r="I358" s="11" t="s">
        <v>2766</v>
      </c>
      <c r="J358" s="13">
        <v>2</v>
      </c>
      <c r="K358" s="9">
        <v>16770.690000000002</v>
      </c>
      <c r="L358" s="9">
        <v>3393.5999999999995</v>
      </c>
      <c r="M358" s="13">
        <v>6</v>
      </c>
      <c r="N358" s="12">
        <v>0.20235303377499667</v>
      </c>
    </row>
    <row r="359" spans="9:14">
      <c r="I359" s="11" t="s">
        <v>3959</v>
      </c>
      <c r="J359" s="13">
        <v>1</v>
      </c>
      <c r="K359" s="9">
        <v>16738.857499999998</v>
      </c>
      <c r="L359" s="9">
        <v>2901.2074999999986</v>
      </c>
      <c r="M359" s="13">
        <v>1</v>
      </c>
      <c r="N359" s="12">
        <v>0.17332171565472726</v>
      </c>
    </row>
    <row r="360" spans="9:14">
      <c r="I360" s="11" t="s">
        <v>11742</v>
      </c>
      <c r="J360" s="13">
        <v>1</v>
      </c>
      <c r="K360" s="9">
        <v>16681.626</v>
      </c>
      <c r="L360" s="9">
        <v>2459.0460000000021</v>
      </c>
      <c r="M360" s="13">
        <v>3</v>
      </c>
      <c r="N360" s="12">
        <v>0.14741045027625016</v>
      </c>
    </row>
    <row r="361" spans="9:14">
      <c r="I361" s="11" t="s">
        <v>11469</v>
      </c>
      <c r="J361" s="13">
        <v>1</v>
      </c>
      <c r="K361" s="9">
        <v>16429.100000000002</v>
      </c>
      <c r="L361" s="9">
        <v>5144.2500000000036</v>
      </c>
      <c r="M361" s="13">
        <v>5</v>
      </c>
      <c r="N361" s="12">
        <v>0.31311818663225638</v>
      </c>
    </row>
    <row r="362" spans="9:14">
      <c r="I362" s="11" t="s">
        <v>563</v>
      </c>
      <c r="J362" s="13">
        <v>1</v>
      </c>
      <c r="K362" s="9">
        <v>16319.859999999999</v>
      </c>
      <c r="L362" s="9">
        <v>3051.619999999999</v>
      </c>
      <c r="M362" s="13">
        <v>4</v>
      </c>
      <c r="N362" s="12">
        <v>0.18698812367262949</v>
      </c>
    </row>
    <row r="363" spans="9:14">
      <c r="I363" s="11" t="s">
        <v>10913</v>
      </c>
      <c r="J363" s="13">
        <v>1</v>
      </c>
      <c r="K363" s="9">
        <v>16302.132</v>
      </c>
      <c r="L363" s="9">
        <v>3770.9920000000002</v>
      </c>
      <c r="M363" s="13">
        <v>1</v>
      </c>
      <c r="N363" s="12">
        <v>0.23131894650343895</v>
      </c>
    </row>
    <row r="364" spans="9:14">
      <c r="I364" s="11" t="s">
        <v>5411</v>
      </c>
      <c r="J364" s="13">
        <v>1</v>
      </c>
      <c r="K364" s="9">
        <v>16302.132</v>
      </c>
      <c r="L364" s="9">
        <v>3770.9920000000002</v>
      </c>
      <c r="M364" s="13">
        <v>1</v>
      </c>
      <c r="N364" s="12">
        <v>0.23131894650343895</v>
      </c>
    </row>
    <row r="365" spans="9:14">
      <c r="I365" s="11" t="s">
        <v>14466</v>
      </c>
      <c r="J365" s="13">
        <v>2</v>
      </c>
      <c r="K365" s="9">
        <v>15620.796999999999</v>
      </c>
      <c r="L365" s="9">
        <v>3568.5369999999989</v>
      </c>
      <c r="M365" s="13">
        <v>2</v>
      </c>
      <c r="N365" s="12">
        <v>0.22844781863563038</v>
      </c>
    </row>
    <row r="366" spans="9:14">
      <c r="I366" s="11" t="s">
        <v>4766</v>
      </c>
      <c r="J366" s="13">
        <v>1</v>
      </c>
      <c r="K366" s="9">
        <v>15603.72</v>
      </c>
      <c r="L366" s="9">
        <v>4937.92</v>
      </c>
      <c r="M366" s="13">
        <v>2</v>
      </c>
      <c r="N366" s="12">
        <v>0.31645787030272271</v>
      </c>
    </row>
    <row r="367" spans="9:14">
      <c r="I367" s="11" t="s">
        <v>15726</v>
      </c>
      <c r="J367" s="13">
        <v>1</v>
      </c>
      <c r="K367" s="9">
        <v>15116.039999999999</v>
      </c>
      <c r="L367" s="9">
        <v>3433.4399999999987</v>
      </c>
      <c r="M367" s="13">
        <v>4</v>
      </c>
      <c r="N367" s="12">
        <v>0.22713885382679583</v>
      </c>
    </row>
    <row r="368" spans="9:14">
      <c r="I368" s="11" t="s">
        <v>13993</v>
      </c>
      <c r="J368" s="13">
        <v>1</v>
      </c>
      <c r="K368" s="9">
        <v>15116.039999999999</v>
      </c>
      <c r="L368" s="9">
        <v>3433.4399999999987</v>
      </c>
      <c r="M368" s="13">
        <v>4</v>
      </c>
      <c r="N368" s="12">
        <v>0.22713885382679583</v>
      </c>
    </row>
    <row r="369" spans="9:14">
      <c r="I369" s="11" t="s">
        <v>271</v>
      </c>
      <c r="J369" s="13">
        <v>1</v>
      </c>
      <c r="K369" s="9">
        <v>14902.07</v>
      </c>
      <c r="L369" s="9">
        <v>5596.74</v>
      </c>
      <c r="M369" s="13">
        <v>1</v>
      </c>
      <c r="N369" s="12">
        <v>0.37556795800851828</v>
      </c>
    </row>
    <row r="370" spans="9:14">
      <c r="I370" s="11" t="s">
        <v>14453</v>
      </c>
      <c r="J370" s="13">
        <v>1</v>
      </c>
      <c r="K370" s="9">
        <v>14902.07</v>
      </c>
      <c r="L370" s="9">
        <v>5596.74</v>
      </c>
      <c r="M370" s="13">
        <v>1</v>
      </c>
      <c r="N370" s="12">
        <v>0.37556795800851828</v>
      </c>
    </row>
    <row r="371" spans="9:14">
      <c r="I371" s="11" t="s">
        <v>5652</v>
      </c>
      <c r="J371" s="13">
        <v>1</v>
      </c>
      <c r="K371" s="9">
        <v>14829.54</v>
      </c>
      <c r="L371" s="9">
        <v>5111.26</v>
      </c>
      <c r="M371" s="13">
        <v>2</v>
      </c>
      <c r="N371" s="12">
        <v>0.34466746777040957</v>
      </c>
    </row>
    <row r="372" spans="9:14">
      <c r="I372" s="11" t="s">
        <v>7879</v>
      </c>
      <c r="J372" s="13">
        <v>1</v>
      </c>
      <c r="K372" s="9">
        <v>14823.534</v>
      </c>
      <c r="L372" s="9">
        <v>4157.7340000000004</v>
      </c>
      <c r="M372" s="13">
        <v>2</v>
      </c>
      <c r="N372" s="12">
        <v>0.2804819687397081</v>
      </c>
    </row>
    <row r="373" spans="9:14">
      <c r="I373" s="11" t="s">
        <v>6658</v>
      </c>
      <c r="J373" s="13">
        <v>1</v>
      </c>
      <c r="K373" s="9">
        <v>14374.7</v>
      </c>
      <c r="L373" s="9">
        <v>3038.9800000000014</v>
      </c>
      <c r="M373" s="13">
        <v>1</v>
      </c>
      <c r="N373" s="12">
        <v>0.21141171641842968</v>
      </c>
    </row>
    <row r="374" spans="9:14">
      <c r="I374" s="11" t="s">
        <v>9524</v>
      </c>
      <c r="J374" s="13">
        <v>1</v>
      </c>
      <c r="K374" s="9">
        <v>14374.7</v>
      </c>
      <c r="L374" s="9">
        <v>3038.9800000000014</v>
      </c>
      <c r="M374" s="13">
        <v>1</v>
      </c>
      <c r="N374" s="12">
        <v>0.21141171641842968</v>
      </c>
    </row>
    <row r="375" spans="9:14">
      <c r="I375" s="11" t="s">
        <v>2182</v>
      </c>
      <c r="J375" s="13">
        <v>1</v>
      </c>
      <c r="K375" s="9">
        <v>14374.7</v>
      </c>
      <c r="L375" s="9">
        <v>3038.9800000000014</v>
      </c>
      <c r="M375" s="13">
        <v>1</v>
      </c>
      <c r="N375" s="12">
        <v>0.21141171641842968</v>
      </c>
    </row>
    <row r="376" spans="9:14">
      <c r="I376" s="11" t="s">
        <v>8320</v>
      </c>
      <c r="J376" s="13">
        <v>2</v>
      </c>
      <c r="K376" s="9">
        <v>14361.444500000001</v>
      </c>
      <c r="L376" s="9">
        <v>4105.5445000000009</v>
      </c>
      <c r="M376" s="13">
        <v>3</v>
      </c>
      <c r="N376" s="12">
        <v>0.2858726710951674</v>
      </c>
    </row>
    <row r="377" spans="9:14">
      <c r="I377" s="11" t="s">
        <v>15048</v>
      </c>
      <c r="J377" s="13">
        <v>1</v>
      </c>
      <c r="K377" s="9">
        <v>14353.88</v>
      </c>
      <c r="L377" s="9">
        <v>5562.0899999999983</v>
      </c>
      <c r="M377" s="13">
        <v>1</v>
      </c>
      <c r="N377" s="12">
        <v>0.38749731779839308</v>
      </c>
    </row>
    <row r="378" spans="9:14">
      <c r="I378" s="11" t="s">
        <v>10968</v>
      </c>
      <c r="J378" s="13">
        <v>1</v>
      </c>
      <c r="K378" s="9">
        <v>14353.88</v>
      </c>
      <c r="L378" s="9">
        <v>5562.0899999999983</v>
      </c>
      <c r="M378" s="13">
        <v>1</v>
      </c>
      <c r="N378" s="12">
        <v>0.38749731779839308</v>
      </c>
    </row>
    <row r="379" spans="9:14">
      <c r="I379" s="11" t="s">
        <v>7777</v>
      </c>
      <c r="J379" s="13">
        <v>1</v>
      </c>
      <c r="K379" s="9">
        <v>14157.810000000001</v>
      </c>
      <c r="L379" s="9">
        <v>4191.1200000000008</v>
      </c>
      <c r="M379" s="13">
        <v>3</v>
      </c>
      <c r="N379" s="12">
        <v>0.2960288349681201</v>
      </c>
    </row>
    <row r="380" spans="9:14">
      <c r="I380" s="11" t="s">
        <v>6368</v>
      </c>
      <c r="J380" s="13">
        <v>1</v>
      </c>
      <c r="K380" s="9">
        <v>14156.9665</v>
      </c>
      <c r="L380" s="9">
        <v>4851.6365000000005</v>
      </c>
      <c r="M380" s="13">
        <v>1</v>
      </c>
      <c r="N380" s="12">
        <v>0.34270311369317719</v>
      </c>
    </row>
    <row r="381" spans="9:14">
      <c r="I381" s="11" t="s">
        <v>4667</v>
      </c>
      <c r="J381" s="13">
        <v>1</v>
      </c>
      <c r="K381" s="9">
        <v>14006.13</v>
      </c>
      <c r="L381" s="9">
        <v>4176.8499999999985</v>
      </c>
      <c r="M381" s="13">
        <v>1</v>
      </c>
      <c r="N381" s="12">
        <v>0.29821585263024109</v>
      </c>
    </row>
    <row r="382" spans="9:14">
      <c r="I382" s="11" t="s">
        <v>2890</v>
      </c>
      <c r="J382" s="13">
        <v>1</v>
      </c>
      <c r="K382" s="9">
        <v>14006.13</v>
      </c>
      <c r="L382" s="9">
        <v>4176.8499999999985</v>
      </c>
      <c r="M382" s="13">
        <v>1</v>
      </c>
      <c r="N382" s="12">
        <v>0.29821585263024109</v>
      </c>
    </row>
    <row r="383" spans="9:14">
      <c r="I383" s="11" t="s">
        <v>12911</v>
      </c>
      <c r="J383" s="13">
        <v>1</v>
      </c>
      <c r="K383" s="9">
        <v>13973</v>
      </c>
      <c r="L383" s="9">
        <v>3772.6800000000003</v>
      </c>
      <c r="M383" s="13">
        <v>4</v>
      </c>
      <c r="N383" s="12">
        <v>0.26999785300221857</v>
      </c>
    </row>
    <row r="384" spans="9:14">
      <c r="I384" s="11" t="s">
        <v>14530</v>
      </c>
      <c r="J384" s="13">
        <v>1</v>
      </c>
      <c r="K384" s="9">
        <v>13655.965</v>
      </c>
      <c r="L384" s="9">
        <v>2320.2450000000008</v>
      </c>
      <c r="M384" s="13">
        <v>1</v>
      </c>
      <c r="N384" s="12">
        <v>0.16990706991413648</v>
      </c>
    </row>
    <row r="385" spans="9:14">
      <c r="I385" s="11" t="s">
        <v>10835</v>
      </c>
      <c r="J385" s="13">
        <v>1</v>
      </c>
      <c r="K385" s="9">
        <v>13636.186</v>
      </c>
      <c r="L385" s="9">
        <v>4844.3959999999988</v>
      </c>
      <c r="M385" s="13">
        <v>1</v>
      </c>
      <c r="N385" s="12">
        <v>0.35526033452462435</v>
      </c>
    </row>
    <row r="386" spans="9:14">
      <c r="I386" s="11" t="s">
        <v>6746</v>
      </c>
      <c r="J386" s="13">
        <v>1</v>
      </c>
      <c r="K386" s="9">
        <v>13624.938</v>
      </c>
      <c r="L386" s="9">
        <v>1804.7879999999986</v>
      </c>
      <c r="M386" s="13">
        <v>3</v>
      </c>
      <c r="N386" s="12">
        <v>0.13246210735050673</v>
      </c>
    </row>
    <row r="387" spans="9:14">
      <c r="I387" s="11" t="s">
        <v>12321</v>
      </c>
      <c r="J387" s="13">
        <v>1</v>
      </c>
      <c r="K387" s="9">
        <v>13501.552</v>
      </c>
      <c r="L387" s="9">
        <v>3008.2919999999995</v>
      </c>
      <c r="M387" s="13">
        <v>2</v>
      </c>
      <c r="N387" s="12">
        <v>0.22281082945131045</v>
      </c>
    </row>
    <row r="388" spans="9:14">
      <c r="I388" s="11" t="s">
        <v>14504</v>
      </c>
      <c r="J388" s="13">
        <v>1</v>
      </c>
      <c r="K388" s="9">
        <v>13473.552</v>
      </c>
      <c r="L388" s="9">
        <v>3341.3220000000001</v>
      </c>
      <c r="M388" s="13">
        <v>3</v>
      </c>
      <c r="N388" s="12">
        <v>0.24799117560091061</v>
      </c>
    </row>
    <row r="389" spans="9:14">
      <c r="I389" s="11" t="s">
        <v>10492</v>
      </c>
      <c r="J389" s="13">
        <v>1</v>
      </c>
      <c r="K389" s="9">
        <v>13453.22</v>
      </c>
      <c r="L389" s="9">
        <v>3071.16</v>
      </c>
      <c r="M389" s="13">
        <v>2</v>
      </c>
      <c r="N389" s="12">
        <v>0.22828438098834331</v>
      </c>
    </row>
    <row r="390" spans="9:14">
      <c r="I390" s="11" t="s">
        <v>10406</v>
      </c>
      <c r="J390" s="13">
        <v>1</v>
      </c>
      <c r="K390" s="9">
        <v>13453.22</v>
      </c>
      <c r="L390" s="9">
        <v>3071.16</v>
      </c>
      <c r="M390" s="13">
        <v>2</v>
      </c>
      <c r="N390" s="12">
        <v>0.22828438098834331</v>
      </c>
    </row>
    <row r="391" spans="9:14">
      <c r="I391" s="11" t="s">
        <v>931</v>
      </c>
      <c r="J391" s="13">
        <v>1</v>
      </c>
      <c r="K391" s="9">
        <v>13420.16</v>
      </c>
      <c r="L391" s="9">
        <v>5764.12</v>
      </c>
      <c r="M391" s="13">
        <v>4</v>
      </c>
      <c r="N391" s="12">
        <v>0.42951201774047404</v>
      </c>
    </row>
    <row r="392" spans="9:14">
      <c r="I392" s="11" t="s">
        <v>5868</v>
      </c>
      <c r="J392" s="13">
        <v>2</v>
      </c>
      <c r="K392" s="9">
        <v>13382.412</v>
      </c>
      <c r="L392" s="9">
        <v>3854.1620000000003</v>
      </c>
      <c r="M392" s="13">
        <v>3</v>
      </c>
      <c r="N392" s="12">
        <v>0.28800204327889473</v>
      </c>
    </row>
    <row r="393" spans="9:14">
      <c r="I393" s="11" t="s">
        <v>4126</v>
      </c>
      <c r="J393" s="13">
        <v>1</v>
      </c>
      <c r="K393" s="9">
        <v>13346.586000000001</v>
      </c>
      <c r="L393" s="9">
        <v>3628.3060000000005</v>
      </c>
      <c r="M393" s="13">
        <v>2</v>
      </c>
      <c r="N393" s="12">
        <v>0.27185274196712178</v>
      </c>
    </row>
    <row r="394" spans="9:14">
      <c r="I394" s="11" t="s">
        <v>4434</v>
      </c>
      <c r="J394" s="13">
        <v>1</v>
      </c>
      <c r="K394" s="9">
        <v>13305.823499999999</v>
      </c>
      <c r="L394" s="9">
        <v>3476.5434999999979</v>
      </c>
      <c r="M394" s="13">
        <v>1</v>
      </c>
      <c r="N394" s="12">
        <v>0.26127984487393796</v>
      </c>
    </row>
    <row r="395" spans="9:14">
      <c r="I395" s="11" t="s">
        <v>2976</v>
      </c>
      <c r="J395" s="13">
        <v>1</v>
      </c>
      <c r="K395" s="9">
        <v>13271.92</v>
      </c>
      <c r="L395" s="9">
        <v>4665.68</v>
      </c>
      <c r="M395" s="13">
        <v>4</v>
      </c>
      <c r="N395" s="12">
        <v>0.35154521727074911</v>
      </c>
    </row>
    <row r="396" spans="9:14">
      <c r="I396" s="11" t="s">
        <v>13684</v>
      </c>
      <c r="J396" s="13">
        <v>1</v>
      </c>
      <c r="K396" s="9">
        <v>13213.32</v>
      </c>
      <c r="L396" s="9">
        <v>3493.7999999999993</v>
      </c>
      <c r="M396" s="13">
        <v>3</v>
      </c>
      <c r="N396" s="12">
        <v>0.26441499940968655</v>
      </c>
    </row>
    <row r="397" spans="9:14">
      <c r="I397" s="11" t="s">
        <v>8039</v>
      </c>
      <c r="J397" s="13">
        <v>1</v>
      </c>
      <c r="K397" s="9">
        <v>13143.28</v>
      </c>
      <c r="L397" s="9">
        <v>4115.4000000000015</v>
      </c>
      <c r="M397" s="13">
        <v>4</v>
      </c>
      <c r="N397" s="12">
        <v>0.31311818663225627</v>
      </c>
    </row>
    <row r="398" spans="9:14">
      <c r="I398" s="11" t="s">
        <v>11358</v>
      </c>
      <c r="J398" s="13">
        <v>1</v>
      </c>
      <c r="K398" s="9">
        <v>13010.905499999999</v>
      </c>
      <c r="L398" s="9">
        <v>2035.8854999999985</v>
      </c>
      <c r="M398" s="13">
        <v>3</v>
      </c>
      <c r="N398" s="12">
        <v>0.15647531219099228</v>
      </c>
    </row>
    <row r="399" spans="9:14">
      <c r="I399" s="11" t="s">
        <v>2768</v>
      </c>
      <c r="J399" s="13">
        <v>1</v>
      </c>
      <c r="K399" s="9">
        <v>12918.491999999998</v>
      </c>
      <c r="L399" s="9">
        <v>4126.7019999999975</v>
      </c>
      <c r="M399" s="13">
        <v>1</v>
      </c>
      <c r="N399" s="12">
        <v>0.31944146422043673</v>
      </c>
    </row>
    <row r="400" spans="9:14">
      <c r="I400" s="11" t="s">
        <v>7148</v>
      </c>
      <c r="J400" s="13">
        <v>1</v>
      </c>
      <c r="K400" s="9">
        <v>12884.099999999999</v>
      </c>
      <c r="L400" s="9">
        <v>2932.9199999999983</v>
      </c>
      <c r="M400" s="13">
        <v>3</v>
      </c>
      <c r="N400" s="12">
        <v>0.22763871748899797</v>
      </c>
    </row>
    <row r="401" spans="9:14">
      <c r="I401" s="11" t="s">
        <v>11205</v>
      </c>
      <c r="J401" s="13">
        <v>1</v>
      </c>
      <c r="K401" s="9">
        <v>12884.099999999999</v>
      </c>
      <c r="L401" s="9">
        <v>2932.9199999999983</v>
      </c>
      <c r="M401" s="13">
        <v>3</v>
      </c>
      <c r="N401" s="12">
        <v>0.22763871748899797</v>
      </c>
    </row>
    <row r="402" spans="9:14">
      <c r="I402" s="11" t="s">
        <v>11257</v>
      </c>
      <c r="J402" s="13">
        <v>1</v>
      </c>
      <c r="K402" s="9">
        <v>12605.517</v>
      </c>
      <c r="L402" s="9">
        <v>2776.2369999999992</v>
      </c>
      <c r="M402" s="13">
        <v>1</v>
      </c>
      <c r="N402" s="12">
        <v>0.22023983625582347</v>
      </c>
    </row>
    <row r="403" spans="9:14">
      <c r="I403" s="11" t="s">
        <v>5511</v>
      </c>
      <c r="J403" s="13">
        <v>1</v>
      </c>
      <c r="K403" s="9">
        <v>12599.25</v>
      </c>
      <c r="L403" s="9">
        <v>4959.5399999999991</v>
      </c>
      <c r="M403" s="13">
        <v>3</v>
      </c>
      <c r="N403" s="12">
        <v>0.39363771653074581</v>
      </c>
    </row>
    <row r="404" spans="9:14">
      <c r="I404" s="11" t="s">
        <v>1098</v>
      </c>
      <c r="J404" s="13">
        <v>1</v>
      </c>
      <c r="K404" s="9">
        <v>12596.699999999999</v>
      </c>
      <c r="L404" s="9">
        <v>3834.7499999999982</v>
      </c>
      <c r="M404" s="13">
        <v>3</v>
      </c>
      <c r="N404" s="12">
        <v>0.30442496844411621</v>
      </c>
    </row>
    <row r="405" spans="9:14">
      <c r="I405" s="11" t="s">
        <v>10120</v>
      </c>
      <c r="J405" s="13">
        <v>1</v>
      </c>
      <c r="K405" s="9">
        <v>12462.384</v>
      </c>
      <c r="L405" s="9">
        <v>-3.6000000000058208E-2</v>
      </c>
      <c r="M405" s="13">
        <v>2</v>
      </c>
      <c r="N405" s="12">
        <v>-2.8886928857318317E-6</v>
      </c>
    </row>
    <row r="406" spans="9:14">
      <c r="I406" s="11" t="s">
        <v>13865</v>
      </c>
      <c r="J406" s="13">
        <v>1</v>
      </c>
      <c r="K406" s="9">
        <v>12462.384</v>
      </c>
      <c r="L406" s="9">
        <v>-3.6000000000058208E-2</v>
      </c>
      <c r="M406" s="13">
        <v>2</v>
      </c>
      <c r="N406" s="12">
        <v>-2.8886928857318317E-6</v>
      </c>
    </row>
    <row r="407" spans="9:14">
      <c r="I407" s="11" t="s">
        <v>5934</v>
      </c>
      <c r="J407" s="13">
        <v>1</v>
      </c>
      <c r="K407" s="9">
        <v>12356.76</v>
      </c>
      <c r="L407" s="9">
        <v>2875.0400000000009</v>
      </c>
      <c r="M407" s="13">
        <v>2</v>
      </c>
      <c r="N407" s="12">
        <v>0.23266940524862512</v>
      </c>
    </row>
    <row r="408" spans="9:14">
      <c r="I408" s="11" t="s">
        <v>8237</v>
      </c>
      <c r="J408" s="13">
        <v>1</v>
      </c>
      <c r="K408" s="9">
        <v>12326.120999999999</v>
      </c>
      <c r="L408" s="9">
        <v>1351.1009999999987</v>
      </c>
      <c r="M408" s="13">
        <v>3</v>
      </c>
      <c r="N408" s="12">
        <v>0.10961282953493633</v>
      </c>
    </row>
    <row r="409" spans="9:14">
      <c r="I409" s="11" t="s">
        <v>12306</v>
      </c>
      <c r="J409" s="13">
        <v>1</v>
      </c>
      <c r="K409" s="9">
        <v>12253.89</v>
      </c>
      <c r="L409" s="9">
        <v>3283.8599999999988</v>
      </c>
      <c r="M409" s="13">
        <v>3</v>
      </c>
      <c r="N409" s="12">
        <v>0.2679851051380418</v>
      </c>
    </row>
    <row r="410" spans="9:14">
      <c r="I410" s="11" t="s">
        <v>3975</v>
      </c>
      <c r="J410" s="13">
        <v>1</v>
      </c>
      <c r="K410" s="9">
        <v>12203.909000000001</v>
      </c>
      <c r="L410" s="9">
        <v>2576.3090000000011</v>
      </c>
      <c r="M410" s="13">
        <v>2</v>
      </c>
      <c r="N410" s="12">
        <v>0.21110522866075129</v>
      </c>
    </row>
    <row r="411" spans="9:14">
      <c r="I411" s="11" t="s">
        <v>2330</v>
      </c>
      <c r="J411" s="13">
        <v>2</v>
      </c>
      <c r="K411" s="9">
        <v>12116.958000000001</v>
      </c>
      <c r="L411" s="9">
        <v>2239.6080000000006</v>
      </c>
      <c r="M411" s="13">
        <v>5</v>
      </c>
      <c r="N411" s="12">
        <v>0.18483252974880332</v>
      </c>
    </row>
    <row r="412" spans="9:14">
      <c r="I412" s="11" t="s">
        <v>8505</v>
      </c>
      <c r="J412" s="13">
        <v>1</v>
      </c>
      <c r="K412" s="9">
        <v>12075.047999999999</v>
      </c>
      <c r="L412" s="9">
        <v>2012.1479999999992</v>
      </c>
      <c r="M412" s="13">
        <v>2</v>
      </c>
      <c r="N412" s="12">
        <v>0.16663685312058382</v>
      </c>
    </row>
    <row r="413" spans="9:14">
      <c r="I413" s="11" t="s">
        <v>4219</v>
      </c>
      <c r="J413" s="13">
        <v>1</v>
      </c>
      <c r="K413" s="9">
        <v>12001.44</v>
      </c>
      <c r="L413" s="9">
        <v>3984.4800000000005</v>
      </c>
      <c r="M413" s="13">
        <v>4</v>
      </c>
      <c r="N413" s="12">
        <v>0.33200015998080235</v>
      </c>
    </row>
    <row r="414" spans="9:14">
      <c r="I414" s="11" t="s">
        <v>26</v>
      </c>
      <c r="J414" s="13">
        <v>1</v>
      </c>
      <c r="K414" s="9">
        <v>11987.07</v>
      </c>
      <c r="L414" s="9">
        <v>3654.5</v>
      </c>
      <c r="M414" s="13">
        <v>1</v>
      </c>
      <c r="N414" s="12">
        <v>0.30487016426866614</v>
      </c>
    </row>
    <row r="415" spans="9:14">
      <c r="I415" s="11" t="s">
        <v>3372</v>
      </c>
      <c r="J415" s="13">
        <v>1</v>
      </c>
      <c r="K415" s="9">
        <v>11969.2875</v>
      </c>
      <c r="L415" s="9">
        <v>4329.5774999999994</v>
      </c>
      <c r="M415" s="13">
        <v>3</v>
      </c>
      <c r="N415" s="12">
        <v>0.36172391213762717</v>
      </c>
    </row>
    <row r="416" spans="9:14">
      <c r="I416" s="11" t="s">
        <v>5685</v>
      </c>
      <c r="J416" s="13">
        <v>1</v>
      </c>
      <c r="K416" s="9">
        <v>11969.2875</v>
      </c>
      <c r="L416" s="9">
        <v>4329.5774999999994</v>
      </c>
      <c r="M416" s="13">
        <v>3</v>
      </c>
      <c r="N416" s="12">
        <v>0.36172391213762717</v>
      </c>
    </row>
    <row r="417" spans="9:14">
      <c r="I417" s="11" t="s">
        <v>9211</v>
      </c>
      <c r="J417" s="13">
        <v>1</v>
      </c>
      <c r="K417" s="9">
        <v>11966.864999999998</v>
      </c>
      <c r="L417" s="9">
        <v>3204.9149999999972</v>
      </c>
      <c r="M417" s="13">
        <v>3</v>
      </c>
      <c r="N417" s="12">
        <v>0.26781575625696435</v>
      </c>
    </row>
    <row r="418" spans="9:14">
      <c r="I418" s="11" t="s">
        <v>4941</v>
      </c>
      <c r="J418" s="13">
        <v>1</v>
      </c>
      <c r="K418" s="9">
        <v>11935.201499999999</v>
      </c>
      <c r="L418" s="9">
        <v>3082.1114999999991</v>
      </c>
      <c r="M418" s="13">
        <v>3</v>
      </c>
      <c r="N418" s="12">
        <v>0.25823707291410197</v>
      </c>
    </row>
    <row r="419" spans="9:14">
      <c r="I419" s="11" t="s">
        <v>6852</v>
      </c>
      <c r="J419" s="13">
        <v>1</v>
      </c>
      <c r="K419" s="9">
        <v>11925.0555</v>
      </c>
      <c r="L419" s="9">
        <v>3187.1555000000008</v>
      </c>
      <c r="M419" s="13">
        <v>1</v>
      </c>
      <c r="N419" s="12">
        <v>0.26726546471838231</v>
      </c>
    </row>
    <row r="420" spans="9:14">
      <c r="I420" s="11" t="s">
        <v>14614</v>
      </c>
      <c r="J420" s="13">
        <v>1</v>
      </c>
      <c r="K420" s="9">
        <v>11889.5</v>
      </c>
      <c r="L420" s="9">
        <v>2994.4599999999991</v>
      </c>
      <c r="M420" s="13">
        <v>2</v>
      </c>
      <c r="N420" s="12">
        <v>0.25185752134236083</v>
      </c>
    </row>
    <row r="421" spans="9:14">
      <c r="I421" s="11" t="s">
        <v>2112</v>
      </c>
      <c r="J421" s="13">
        <v>1</v>
      </c>
      <c r="K421" s="9">
        <v>11863.632000000001</v>
      </c>
      <c r="L421" s="9">
        <v>2145.3520000000008</v>
      </c>
      <c r="M421" s="13">
        <v>2</v>
      </c>
      <c r="N421" s="12">
        <v>0.18083433471301205</v>
      </c>
    </row>
    <row r="422" spans="9:14">
      <c r="I422" s="11" t="s">
        <v>5765</v>
      </c>
      <c r="J422" s="13">
        <v>1</v>
      </c>
      <c r="K422" s="9">
        <v>11715.296</v>
      </c>
      <c r="L422" s="9">
        <v>1361.0560000000005</v>
      </c>
      <c r="M422" s="13">
        <v>4</v>
      </c>
      <c r="N422" s="12">
        <v>0.11617768769990963</v>
      </c>
    </row>
    <row r="423" spans="9:14">
      <c r="I423" s="11" t="s">
        <v>4506</v>
      </c>
      <c r="J423" s="13">
        <v>1</v>
      </c>
      <c r="K423" s="9">
        <v>11511.46</v>
      </c>
      <c r="L423" s="9">
        <v>2464.4799999999996</v>
      </c>
      <c r="M423" s="13">
        <v>1</v>
      </c>
      <c r="N423" s="12">
        <v>0.21408926408987217</v>
      </c>
    </row>
    <row r="424" spans="9:14">
      <c r="I424" s="11" t="s">
        <v>6950</v>
      </c>
      <c r="J424" s="13">
        <v>1</v>
      </c>
      <c r="K424" s="9">
        <v>11511.46</v>
      </c>
      <c r="L424" s="9">
        <v>2464.4799999999996</v>
      </c>
      <c r="M424" s="13">
        <v>1</v>
      </c>
      <c r="N424" s="12">
        <v>0.21408926408987217</v>
      </c>
    </row>
    <row r="425" spans="9:14">
      <c r="I425" s="11" t="s">
        <v>4231</v>
      </c>
      <c r="J425" s="13">
        <v>1</v>
      </c>
      <c r="K425" s="9">
        <v>11487.152</v>
      </c>
      <c r="L425" s="9">
        <v>540.45199999999932</v>
      </c>
      <c r="M425" s="13">
        <v>2</v>
      </c>
      <c r="N425" s="12">
        <v>4.7048389365788777E-2</v>
      </c>
    </row>
    <row r="426" spans="9:14">
      <c r="I426" s="11" t="s">
        <v>6366</v>
      </c>
      <c r="J426" s="13">
        <v>1</v>
      </c>
      <c r="K426" s="9">
        <v>11483.52</v>
      </c>
      <c r="L426" s="9">
        <v>2366.84</v>
      </c>
      <c r="M426" s="13">
        <v>2</v>
      </c>
      <c r="N426" s="12">
        <v>0.20610753497185533</v>
      </c>
    </row>
    <row r="427" spans="9:14">
      <c r="I427" s="11" t="s">
        <v>6492</v>
      </c>
      <c r="J427" s="13">
        <v>1</v>
      </c>
      <c r="K427" s="9">
        <v>11387.7165</v>
      </c>
      <c r="L427" s="9">
        <v>3055.1465000000007</v>
      </c>
      <c r="M427" s="13">
        <v>1</v>
      </c>
      <c r="N427" s="12">
        <v>0.26828438344070127</v>
      </c>
    </row>
    <row r="428" spans="9:14">
      <c r="I428" s="11" t="s">
        <v>4588</v>
      </c>
      <c r="J428" s="13">
        <v>1</v>
      </c>
      <c r="K428" s="9">
        <v>11369.727999999999</v>
      </c>
      <c r="L428" s="9">
        <v>876.46799999999894</v>
      </c>
      <c r="M428" s="13">
        <v>2</v>
      </c>
      <c r="N428" s="12">
        <v>7.7087859973431108E-2</v>
      </c>
    </row>
    <row r="429" spans="9:14">
      <c r="I429" s="11" t="s">
        <v>6305</v>
      </c>
      <c r="J429" s="13">
        <v>1</v>
      </c>
      <c r="K429" s="9">
        <v>11297.421</v>
      </c>
      <c r="L429" s="9">
        <v>2559.5210000000006</v>
      </c>
      <c r="M429" s="13">
        <v>1</v>
      </c>
      <c r="N429" s="12">
        <v>0.22655799053607018</v>
      </c>
    </row>
    <row r="430" spans="9:14">
      <c r="I430" s="11" t="s">
        <v>8095</v>
      </c>
      <c r="J430" s="13">
        <v>1</v>
      </c>
      <c r="K430" s="9">
        <v>11297.421</v>
      </c>
      <c r="L430" s="9">
        <v>2559.5210000000006</v>
      </c>
      <c r="M430" s="13">
        <v>1</v>
      </c>
      <c r="N430" s="12">
        <v>0.22655799053607018</v>
      </c>
    </row>
    <row r="431" spans="9:14">
      <c r="I431" s="11" t="s">
        <v>10982</v>
      </c>
      <c r="J431" s="13">
        <v>1</v>
      </c>
      <c r="K431" s="9">
        <v>10788.362999999999</v>
      </c>
      <c r="L431" s="9">
        <v>2455.7929999999997</v>
      </c>
      <c r="M431" s="13">
        <v>1</v>
      </c>
      <c r="N431" s="12">
        <v>0.22763351585407349</v>
      </c>
    </row>
    <row r="432" spans="9:14">
      <c r="I432" s="11" t="s">
        <v>10408</v>
      </c>
      <c r="J432" s="13">
        <v>1</v>
      </c>
      <c r="K432" s="9">
        <v>10788.362999999999</v>
      </c>
      <c r="L432" s="9">
        <v>2455.7929999999997</v>
      </c>
      <c r="M432" s="13">
        <v>1</v>
      </c>
      <c r="N432" s="12">
        <v>0.22763351585407349</v>
      </c>
    </row>
    <row r="433" spans="9:14">
      <c r="I433" s="11" t="s">
        <v>10769</v>
      </c>
      <c r="J433" s="13">
        <v>1</v>
      </c>
      <c r="K433" s="9">
        <v>10745.7</v>
      </c>
      <c r="L433" s="9">
        <v>2435.34</v>
      </c>
      <c r="M433" s="13">
        <v>3</v>
      </c>
      <c r="N433" s="12">
        <v>0.22663390937770456</v>
      </c>
    </row>
    <row r="434" spans="9:14">
      <c r="I434" s="11" t="s">
        <v>6956</v>
      </c>
      <c r="J434" s="13">
        <v>1</v>
      </c>
      <c r="K434" s="9">
        <v>10733.376</v>
      </c>
      <c r="L434" s="9">
        <v>670.47600000000057</v>
      </c>
      <c r="M434" s="13">
        <v>2</v>
      </c>
      <c r="N434" s="12">
        <v>6.2466459760656901E-2</v>
      </c>
    </row>
    <row r="435" spans="9:14">
      <c r="I435" s="11" t="s">
        <v>7178</v>
      </c>
      <c r="J435" s="13">
        <v>1</v>
      </c>
      <c r="K435" s="9">
        <v>10733.376</v>
      </c>
      <c r="L435" s="9">
        <v>670.47600000000057</v>
      </c>
      <c r="M435" s="13">
        <v>2</v>
      </c>
      <c r="N435" s="12">
        <v>6.2466459760656901E-2</v>
      </c>
    </row>
    <row r="436" spans="9:14">
      <c r="I436" s="11" t="s">
        <v>12556</v>
      </c>
      <c r="J436" s="13">
        <v>2</v>
      </c>
      <c r="K436" s="9">
        <v>10697.584000000001</v>
      </c>
      <c r="L436" s="9">
        <v>3389.0240000000013</v>
      </c>
      <c r="M436" s="13">
        <v>2</v>
      </c>
      <c r="N436" s="12">
        <v>0.31680274723713325</v>
      </c>
    </row>
    <row r="437" spans="9:14">
      <c r="I437" s="11" t="s">
        <v>11764</v>
      </c>
      <c r="J437" s="13">
        <v>1</v>
      </c>
      <c r="K437" s="9">
        <v>10664.54</v>
      </c>
      <c r="L437" s="9">
        <v>2233.7900000000009</v>
      </c>
      <c r="M437" s="13">
        <v>1</v>
      </c>
      <c r="N437" s="12">
        <v>0.20945957350246711</v>
      </c>
    </row>
    <row r="438" spans="9:14">
      <c r="I438" s="11" t="s">
        <v>6330</v>
      </c>
      <c r="J438" s="13">
        <v>1</v>
      </c>
      <c r="K438" s="9">
        <v>10664.54</v>
      </c>
      <c r="L438" s="9">
        <v>2233.7900000000009</v>
      </c>
      <c r="M438" s="13">
        <v>1</v>
      </c>
      <c r="N438" s="12">
        <v>0.20945957350246711</v>
      </c>
    </row>
    <row r="439" spans="9:14">
      <c r="I439" s="11" t="s">
        <v>13831</v>
      </c>
      <c r="J439" s="13">
        <v>1</v>
      </c>
      <c r="K439" s="9">
        <v>10619.36</v>
      </c>
      <c r="L439" s="9">
        <v>4074.5400000000009</v>
      </c>
      <c r="M439" s="13">
        <v>1</v>
      </c>
      <c r="N439" s="12">
        <v>0.38368978921516933</v>
      </c>
    </row>
    <row r="440" spans="9:14">
      <c r="I440" s="11" t="s">
        <v>14398</v>
      </c>
      <c r="J440" s="13">
        <v>1</v>
      </c>
      <c r="K440" s="9">
        <v>10619.36</v>
      </c>
      <c r="L440" s="9">
        <v>4074.5400000000009</v>
      </c>
      <c r="M440" s="13">
        <v>1</v>
      </c>
      <c r="N440" s="12">
        <v>0.38368978921516933</v>
      </c>
    </row>
    <row r="441" spans="9:14">
      <c r="I441" s="11" t="s">
        <v>9651</v>
      </c>
      <c r="J441" s="13">
        <v>1</v>
      </c>
      <c r="K441" s="9">
        <v>10619.36</v>
      </c>
      <c r="L441" s="9">
        <v>4074.5400000000009</v>
      </c>
      <c r="M441" s="13">
        <v>1</v>
      </c>
      <c r="N441" s="12">
        <v>0.38368978921516933</v>
      </c>
    </row>
    <row r="442" spans="9:14">
      <c r="I442" s="11" t="s">
        <v>5824</v>
      </c>
      <c r="J442" s="13">
        <v>1</v>
      </c>
      <c r="K442" s="9">
        <v>10619.36</v>
      </c>
      <c r="L442" s="9">
        <v>4074.5400000000009</v>
      </c>
      <c r="M442" s="13">
        <v>1</v>
      </c>
      <c r="N442" s="12">
        <v>0.38368978921516933</v>
      </c>
    </row>
    <row r="443" spans="9:14">
      <c r="I443" s="11" t="s">
        <v>2260</v>
      </c>
      <c r="J443" s="13">
        <v>1</v>
      </c>
      <c r="K443" s="9">
        <v>10522.116</v>
      </c>
      <c r="L443" s="9">
        <v>878.73599999999897</v>
      </c>
      <c r="M443" s="13">
        <v>3</v>
      </c>
      <c r="N443" s="12">
        <v>8.3513240112540008E-2</v>
      </c>
    </row>
    <row r="444" spans="9:14">
      <c r="I444" s="11" t="s">
        <v>15287</v>
      </c>
      <c r="J444" s="13">
        <v>1</v>
      </c>
      <c r="K444" s="9">
        <v>10503.246000000001</v>
      </c>
      <c r="L444" s="9">
        <v>1021.5260000000017</v>
      </c>
      <c r="M444" s="13">
        <v>2</v>
      </c>
      <c r="N444" s="12">
        <v>9.7258123821911971E-2</v>
      </c>
    </row>
    <row r="445" spans="9:14">
      <c r="I445" s="11" t="s">
        <v>2126</v>
      </c>
      <c r="J445" s="13">
        <v>1</v>
      </c>
      <c r="K445" s="9">
        <v>10503.246000000001</v>
      </c>
      <c r="L445" s="9">
        <v>1021.5260000000017</v>
      </c>
      <c r="M445" s="13">
        <v>2</v>
      </c>
      <c r="N445" s="12">
        <v>9.7258123821911971E-2</v>
      </c>
    </row>
    <row r="446" spans="9:14">
      <c r="I446" s="11" t="s">
        <v>195</v>
      </c>
      <c r="J446" s="13">
        <v>1</v>
      </c>
      <c r="K446" s="9">
        <v>10503.246000000001</v>
      </c>
      <c r="L446" s="9">
        <v>1021.5260000000017</v>
      </c>
      <c r="M446" s="13">
        <v>2</v>
      </c>
      <c r="N446" s="12">
        <v>9.7258123821911971E-2</v>
      </c>
    </row>
    <row r="447" spans="9:14">
      <c r="I447" s="11" t="s">
        <v>15738</v>
      </c>
      <c r="J447" s="13">
        <v>1</v>
      </c>
      <c r="K447" s="9">
        <v>10399.84</v>
      </c>
      <c r="L447" s="9">
        <v>2184.84</v>
      </c>
      <c r="M447" s="13">
        <v>5</v>
      </c>
      <c r="N447" s="12">
        <v>0.2100840012923276</v>
      </c>
    </row>
    <row r="448" spans="9:14">
      <c r="I448" s="11" t="s">
        <v>12690</v>
      </c>
      <c r="J448" s="13">
        <v>1</v>
      </c>
      <c r="K448" s="9">
        <v>10360.313999999998</v>
      </c>
      <c r="L448" s="9">
        <v>1313.3339999999989</v>
      </c>
      <c r="M448" s="13">
        <v>1</v>
      </c>
      <c r="N448" s="12">
        <v>0.12676584898874679</v>
      </c>
    </row>
    <row r="449" spans="9:14">
      <c r="I449" s="11" t="s">
        <v>6508</v>
      </c>
      <c r="J449" s="13">
        <v>1</v>
      </c>
      <c r="K449" s="9">
        <v>10289.219999999999</v>
      </c>
      <c r="L449" s="9">
        <v>3772.0499999999993</v>
      </c>
      <c r="M449" s="13">
        <v>3</v>
      </c>
      <c r="N449" s="12">
        <v>0.36660213310629958</v>
      </c>
    </row>
    <row r="450" spans="9:14">
      <c r="I450" s="11" t="s">
        <v>7973</v>
      </c>
      <c r="J450" s="13">
        <v>1</v>
      </c>
      <c r="K450" s="9">
        <v>10289.219999999999</v>
      </c>
      <c r="L450" s="9">
        <v>3772.0499999999993</v>
      </c>
      <c r="M450" s="13">
        <v>3</v>
      </c>
      <c r="N450" s="12">
        <v>0.36660213310629958</v>
      </c>
    </row>
    <row r="451" spans="9:14">
      <c r="I451" s="11" t="s">
        <v>7453</v>
      </c>
      <c r="J451" s="13">
        <v>2</v>
      </c>
      <c r="K451" s="9">
        <v>10177.298499999999</v>
      </c>
      <c r="L451" s="9">
        <v>1216.8884999999996</v>
      </c>
      <c r="M451" s="13">
        <v>4</v>
      </c>
      <c r="N451" s="12">
        <v>0.11956891114081007</v>
      </c>
    </row>
    <row r="452" spans="9:14">
      <c r="I452" s="11" t="s">
        <v>8298</v>
      </c>
      <c r="J452" s="13">
        <v>1</v>
      </c>
      <c r="K452" s="9">
        <v>10131.313</v>
      </c>
      <c r="L452" s="9">
        <v>1700.5630000000001</v>
      </c>
      <c r="M452" s="13">
        <v>1</v>
      </c>
      <c r="N452" s="12">
        <v>0.16785218263417587</v>
      </c>
    </row>
    <row r="453" spans="9:14">
      <c r="I453" s="11" t="s">
        <v>9552</v>
      </c>
      <c r="J453" s="13">
        <v>1</v>
      </c>
      <c r="K453" s="9">
        <v>10105.163999999999</v>
      </c>
      <c r="L453" s="9">
        <v>3350.3439999999991</v>
      </c>
      <c r="M453" s="13">
        <v>2</v>
      </c>
      <c r="N453" s="12">
        <v>0.33154771164525382</v>
      </c>
    </row>
    <row r="454" spans="9:14">
      <c r="I454" s="11" t="s">
        <v>3941</v>
      </c>
      <c r="J454" s="13">
        <v>1</v>
      </c>
      <c r="K454" s="9">
        <v>10088.392</v>
      </c>
      <c r="L454" s="9">
        <v>3543.5720000000001</v>
      </c>
      <c r="M454" s="13">
        <v>1</v>
      </c>
      <c r="N454" s="12">
        <v>0.35125240970017818</v>
      </c>
    </row>
    <row r="455" spans="9:14">
      <c r="I455" s="11" t="s">
        <v>15565</v>
      </c>
      <c r="J455" s="13">
        <v>1</v>
      </c>
      <c r="K455" s="9">
        <v>10065.119999999999</v>
      </c>
      <c r="L455" s="9">
        <v>4323.0899999999992</v>
      </c>
      <c r="M455" s="13">
        <v>3</v>
      </c>
      <c r="N455" s="12">
        <v>0.42951201774047398</v>
      </c>
    </row>
    <row r="456" spans="9:14">
      <c r="I456" s="11" t="s">
        <v>3937</v>
      </c>
      <c r="J456" s="13">
        <v>1</v>
      </c>
      <c r="K456" s="9">
        <v>9953.94</v>
      </c>
      <c r="L456" s="9">
        <v>3499.26</v>
      </c>
      <c r="M456" s="13">
        <v>3</v>
      </c>
      <c r="N456" s="12">
        <v>0.35154521727074906</v>
      </c>
    </row>
    <row r="457" spans="9:14">
      <c r="I457" s="11" t="s">
        <v>7174</v>
      </c>
      <c r="J457" s="13">
        <v>1</v>
      </c>
      <c r="K457" s="9">
        <v>9928.2000000000007</v>
      </c>
      <c r="L457" s="9">
        <v>1696.0800000000017</v>
      </c>
      <c r="M457" s="13">
        <v>3</v>
      </c>
      <c r="N457" s="12">
        <v>0.17083459237324003</v>
      </c>
    </row>
    <row r="458" spans="9:14">
      <c r="I458" s="11" t="s">
        <v>7281</v>
      </c>
      <c r="J458" s="13">
        <v>1</v>
      </c>
      <c r="K458" s="9">
        <v>9885.4079999999994</v>
      </c>
      <c r="L458" s="9">
        <v>403.6880000000001</v>
      </c>
      <c r="M458" s="13">
        <v>2</v>
      </c>
      <c r="N458" s="12">
        <v>4.0836756560781319E-2</v>
      </c>
    </row>
    <row r="459" spans="9:14">
      <c r="I459" s="11" t="s">
        <v>2611</v>
      </c>
      <c r="J459" s="13">
        <v>1</v>
      </c>
      <c r="K459" s="9">
        <v>9739.1</v>
      </c>
      <c r="L459" s="9">
        <v>3659.6400000000003</v>
      </c>
      <c r="M459" s="13">
        <v>2</v>
      </c>
      <c r="N459" s="12">
        <v>0.3757677814171741</v>
      </c>
    </row>
    <row r="460" spans="9:14">
      <c r="I460" s="11" t="s">
        <v>8864</v>
      </c>
      <c r="J460" s="13">
        <v>1</v>
      </c>
      <c r="K460" s="9">
        <v>9566.5119999999988</v>
      </c>
      <c r="L460" s="9">
        <v>1322.5919999999987</v>
      </c>
      <c r="M460" s="13">
        <v>2</v>
      </c>
      <c r="N460" s="12">
        <v>0.13825227000185636</v>
      </c>
    </row>
    <row r="461" spans="9:14">
      <c r="I461" s="11" t="s">
        <v>14414</v>
      </c>
      <c r="J461" s="13">
        <v>1</v>
      </c>
      <c r="K461" s="9">
        <v>9566.5119999999988</v>
      </c>
      <c r="L461" s="9">
        <v>1322.5919999999987</v>
      </c>
      <c r="M461" s="13">
        <v>2</v>
      </c>
      <c r="N461" s="12">
        <v>0.13825227000185636</v>
      </c>
    </row>
    <row r="462" spans="9:14">
      <c r="I462" s="11" t="s">
        <v>9024</v>
      </c>
      <c r="J462" s="13">
        <v>1</v>
      </c>
      <c r="K462" s="9">
        <v>9566.5119999999988</v>
      </c>
      <c r="L462" s="9">
        <v>1322.5919999999987</v>
      </c>
      <c r="M462" s="13">
        <v>2</v>
      </c>
      <c r="N462" s="12">
        <v>0.13825227000185636</v>
      </c>
    </row>
    <row r="463" spans="9:14">
      <c r="I463" s="11" t="s">
        <v>2304</v>
      </c>
      <c r="J463" s="13">
        <v>1</v>
      </c>
      <c r="K463" s="9">
        <v>9561.36</v>
      </c>
      <c r="L463" s="9">
        <v>1681.2600000000002</v>
      </c>
      <c r="M463" s="13">
        <v>2</v>
      </c>
      <c r="N463" s="12">
        <v>0.17583900198298152</v>
      </c>
    </row>
    <row r="464" spans="9:14">
      <c r="I464" s="11" t="s">
        <v>12961</v>
      </c>
      <c r="J464" s="13">
        <v>1</v>
      </c>
      <c r="K464" s="9">
        <v>9561.36</v>
      </c>
      <c r="L464" s="9">
        <v>1681.2600000000002</v>
      </c>
      <c r="M464" s="13">
        <v>2</v>
      </c>
      <c r="N464" s="12">
        <v>0.17583900198298152</v>
      </c>
    </row>
    <row r="465" spans="9:14">
      <c r="I465" s="11" t="s">
        <v>10895</v>
      </c>
      <c r="J465" s="13">
        <v>1</v>
      </c>
      <c r="K465" s="9">
        <v>9557.4240000000009</v>
      </c>
      <c r="L465" s="9">
        <v>3012.6040000000012</v>
      </c>
      <c r="M465" s="13">
        <v>1</v>
      </c>
      <c r="N465" s="12">
        <v>0.31521087690574373</v>
      </c>
    </row>
    <row r="466" spans="9:14">
      <c r="I466" s="11" t="s">
        <v>3606</v>
      </c>
      <c r="J466" s="13">
        <v>1</v>
      </c>
      <c r="K466" s="9">
        <v>9438.5400000000009</v>
      </c>
      <c r="L466" s="9">
        <v>2794.0800000000008</v>
      </c>
      <c r="M466" s="13">
        <v>2</v>
      </c>
      <c r="N466" s="12">
        <v>0.29602883496812016</v>
      </c>
    </row>
    <row r="467" spans="9:14">
      <c r="I467" s="11" t="s">
        <v>11071</v>
      </c>
      <c r="J467" s="13">
        <v>1</v>
      </c>
      <c r="K467" s="9">
        <v>9438.5400000000009</v>
      </c>
      <c r="L467" s="9">
        <v>2794.0800000000008</v>
      </c>
      <c r="M467" s="13">
        <v>2</v>
      </c>
      <c r="N467" s="12">
        <v>0.29602883496812016</v>
      </c>
    </row>
    <row r="468" spans="9:14">
      <c r="I468" s="11" t="s">
        <v>3132</v>
      </c>
      <c r="J468" s="13">
        <v>1</v>
      </c>
      <c r="K468" s="9">
        <v>9422.92</v>
      </c>
      <c r="L468" s="9">
        <v>2023.7300000000005</v>
      </c>
      <c r="M468" s="13">
        <v>1</v>
      </c>
      <c r="N468" s="12">
        <v>0.21476676019747598</v>
      </c>
    </row>
    <row r="469" spans="9:14">
      <c r="I469" s="11" t="s">
        <v>12286</v>
      </c>
      <c r="J469" s="13">
        <v>1</v>
      </c>
      <c r="K469" s="9">
        <v>9309.26</v>
      </c>
      <c r="L469" s="9">
        <v>3958.9000000000005</v>
      </c>
      <c r="M469" s="13">
        <v>2</v>
      </c>
      <c r="N469" s="12">
        <v>0.42526473640224899</v>
      </c>
    </row>
    <row r="470" spans="9:14">
      <c r="I470" s="11" t="s">
        <v>573</v>
      </c>
      <c r="J470" s="13">
        <v>1</v>
      </c>
      <c r="K470" s="9">
        <v>9252.1450000000004</v>
      </c>
      <c r="L470" s="9">
        <v>3172.6850000000004</v>
      </c>
      <c r="M470" s="13">
        <v>2</v>
      </c>
      <c r="N470" s="12">
        <v>0.34291345412334118</v>
      </c>
    </row>
    <row r="471" spans="9:14">
      <c r="I471" s="11" t="s">
        <v>6003</v>
      </c>
      <c r="J471" s="13">
        <v>1</v>
      </c>
      <c r="K471" s="9">
        <v>9246.34</v>
      </c>
      <c r="L471" s="9">
        <v>1633.0699999999997</v>
      </c>
      <c r="M471" s="13">
        <v>1</v>
      </c>
      <c r="N471" s="12">
        <v>0.1766179915512516</v>
      </c>
    </row>
    <row r="472" spans="9:14">
      <c r="I472" s="11" t="s">
        <v>3288</v>
      </c>
      <c r="J472" s="13">
        <v>1</v>
      </c>
      <c r="K472" s="9">
        <v>9246.34</v>
      </c>
      <c r="L472" s="9">
        <v>1633.0699999999997</v>
      </c>
      <c r="M472" s="13">
        <v>1</v>
      </c>
      <c r="N472" s="12">
        <v>0.1766179915512516</v>
      </c>
    </row>
    <row r="473" spans="9:14">
      <c r="I473" s="11" t="s">
        <v>7423</v>
      </c>
      <c r="J473" s="13">
        <v>1</v>
      </c>
      <c r="K473" s="9">
        <v>9246.34</v>
      </c>
      <c r="L473" s="9">
        <v>1633.0699999999997</v>
      </c>
      <c r="M473" s="13">
        <v>1</v>
      </c>
      <c r="N473" s="12">
        <v>0.1766179915512516</v>
      </c>
    </row>
    <row r="474" spans="9:14">
      <c r="I474" s="11" t="s">
        <v>12760</v>
      </c>
      <c r="J474" s="13">
        <v>2</v>
      </c>
      <c r="K474" s="9">
        <v>9065.093499999999</v>
      </c>
      <c r="L474" s="9">
        <v>2023.3134999999997</v>
      </c>
      <c r="M474" s="13">
        <v>3</v>
      </c>
      <c r="N474" s="12">
        <v>0.22319830457347184</v>
      </c>
    </row>
    <row r="475" spans="9:14">
      <c r="I475" s="11" t="s">
        <v>90</v>
      </c>
      <c r="J475" s="13">
        <v>1</v>
      </c>
      <c r="K475" s="9">
        <v>9037.4850000000006</v>
      </c>
      <c r="L475" s="9">
        <v>592.93499999999949</v>
      </c>
      <c r="M475" s="13">
        <v>5</v>
      </c>
      <c r="N475" s="12">
        <v>6.5608407648809319E-2</v>
      </c>
    </row>
    <row r="476" spans="9:14">
      <c r="I476" s="11" t="s">
        <v>5112</v>
      </c>
      <c r="J476" s="13">
        <v>1</v>
      </c>
      <c r="K476" s="9">
        <v>8951.7739999999994</v>
      </c>
      <c r="L476" s="9">
        <v>1552.5839999999998</v>
      </c>
      <c r="M476" s="13">
        <v>1</v>
      </c>
      <c r="N476" s="12">
        <v>0.17343869494471151</v>
      </c>
    </row>
    <row r="477" spans="9:14">
      <c r="I477" s="11" t="s">
        <v>1802</v>
      </c>
      <c r="J477" s="13">
        <v>1</v>
      </c>
      <c r="K477" s="9">
        <v>8843.7970000000005</v>
      </c>
      <c r="L477" s="9">
        <v>3493.4370000000008</v>
      </c>
      <c r="M477" s="13">
        <v>2</v>
      </c>
      <c r="N477" s="12">
        <v>0.3950155120023674</v>
      </c>
    </row>
    <row r="478" spans="9:14">
      <c r="I478" s="11" t="s">
        <v>10170</v>
      </c>
      <c r="J478" s="13">
        <v>1</v>
      </c>
      <c r="K478" s="9">
        <v>8808.8799999999992</v>
      </c>
      <c r="L478" s="9">
        <v>2329.1999999999989</v>
      </c>
      <c r="M478" s="13">
        <v>2</v>
      </c>
      <c r="N478" s="12">
        <v>0.26441499940968649</v>
      </c>
    </row>
    <row r="479" spans="9:14">
      <c r="I479" s="11" t="s">
        <v>7951</v>
      </c>
      <c r="J479" s="13">
        <v>1</v>
      </c>
      <c r="K479" s="9">
        <v>8808.8799999999992</v>
      </c>
      <c r="L479" s="9">
        <v>2329.1999999999989</v>
      </c>
      <c r="M479" s="13">
        <v>2</v>
      </c>
      <c r="N479" s="12">
        <v>0.26441499940968649</v>
      </c>
    </row>
    <row r="480" spans="9:14">
      <c r="I480" s="11" t="s">
        <v>1908</v>
      </c>
      <c r="J480" s="13">
        <v>2</v>
      </c>
      <c r="K480" s="9">
        <v>8715.2049999999999</v>
      </c>
      <c r="L480" s="9">
        <v>1381.9250000000002</v>
      </c>
      <c r="M480" s="13">
        <v>2</v>
      </c>
      <c r="N480" s="12">
        <v>0.15856483008718672</v>
      </c>
    </row>
    <row r="481" spans="9:14">
      <c r="I481" s="11" t="s">
        <v>9479</v>
      </c>
      <c r="J481" s="13">
        <v>1</v>
      </c>
      <c r="K481" s="9">
        <v>8494.6860000000015</v>
      </c>
      <c r="L481" s="9">
        <v>1850.2260000000015</v>
      </c>
      <c r="M481" s="13">
        <v>2</v>
      </c>
      <c r="N481" s="12">
        <v>0.21780981663124466</v>
      </c>
    </row>
    <row r="482" spans="9:14">
      <c r="I482" s="11" t="s">
        <v>5344</v>
      </c>
      <c r="J482" s="13">
        <v>1</v>
      </c>
      <c r="K482" s="9">
        <v>8375.58</v>
      </c>
      <c r="L482" s="9">
        <v>2473.5199999999995</v>
      </c>
      <c r="M482" s="13">
        <v>2</v>
      </c>
      <c r="N482" s="12">
        <v>0.29532521926839689</v>
      </c>
    </row>
    <row r="483" spans="9:14">
      <c r="I483" s="11" t="s">
        <v>10624</v>
      </c>
      <c r="J483" s="13">
        <v>1</v>
      </c>
      <c r="K483" s="9">
        <v>8321.7060000000001</v>
      </c>
      <c r="L483" s="9">
        <v>708.43599999999969</v>
      </c>
      <c r="M483" s="13">
        <v>1</v>
      </c>
      <c r="N483" s="12">
        <v>8.5131101723612879E-2</v>
      </c>
    </row>
    <row r="484" spans="9:14">
      <c r="I484" s="11" t="s">
        <v>8950</v>
      </c>
      <c r="J484" s="13">
        <v>1</v>
      </c>
      <c r="K484" s="9">
        <v>8321.7060000000001</v>
      </c>
      <c r="L484" s="9">
        <v>708.43599999999969</v>
      </c>
      <c r="M484" s="13">
        <v>1</v>
      </c>
      <c r="N484" s="12">
        <v>8.5131101723612879E-2</v>
      </c>
    </row>
    <row r="485" spans="9:14">
      <c r="I485" s="11" t="s">
        <v>8300</v>
      </c>
      <c r="J485" s="13">
        <v>1</v>
      </c>
      <c r="K485" s="9">
        <v>7794.16</v>
      </c>
      <c r="L485" s="9">
        <v>1365.2399999999998</v>
      </c>
      <c r="M485" s="13">
        <v>2</v>
      </c>
      <c r="N485" s="12">
        <v>0.17516191610128606</v>
      </c>
    </row>
    <row r="486" spans="9:14">
      <c r="I486" s="11" t="s">
        <v>4197</v>
      </c>
      <c r="J486" s="13">
        <v>1</v>
      </c>
      <c r="K486" s="9">
        <v>7788.99</v>
      </c>
      <c r="L486" s="9">
        <v>1557.7799999999997</v>
      </c>
      <c r="M486" s="13">
        <v>1</v>
      </c>
      <c r="N486" s="12">
        <v>0.1999976890456914</v>
      </c>
    </row>
    <row r="487" spans="9:14">
      <c r="I487" s="11" t="s">
        <v>8644</v>
      </c>
      <c r="J487" s="13">
        <v>2</v>
      </c>
      <c r="K487" s="9">
        <v>7692.6939999999995</v>
      </c>
      <c r="L487" s="9">
        <v>1285.4039999999998</v>
      </c>
      <c r="M487" s="13">
        <v>2</v>
      </c>
      <c r="N487" s="12">
        <v>0.16709412853286507</v>
      </c>
    </row>
    <row r="488" spans="9:14">
      <c r="I488" s="11" t="s">
        <v>14117</v>
      </c>
      <c r="J488" s="13">
        <v>2</v>
      </c>
      <c r="K488" s="9">
        <v>7553.94</v>
      </c>
      <c r="L488" s="9">
        <v>768.6299999999992</v>
      </c>
      <c r="M488" s="13">
        <v>3</v>
      </c>
      <c r="N488" s="12">
        <v>0.10175219819061301</v>
      </c>
    </row>
    <row r="489" spans="9:14">
      <c r="I489" s="11" t="s">
        <v>1005</v>
      </c>
      <c r="J489" s="13">
        <v>1</v>
      </c>
      <c r="K489" s="9">
        <v>7419.82</v>
      </c>
      <c r="L489" s="9">
        <v>2263.84</v>
      </c>
      <c r="M489" s="13">
        <v>1</v>
      </c>
      <c r="N489" s="12">
        <v>0.3051071319789429</v>
      </c>
    </row>
    <row r="490" spans="9:14">
      <c r="I490" s="11" t="s">
        <v>1642</v>
      </c>
      <c r="J490" s="13">
        <v>1</v>
      </c>
      <c r="K490" s="9">
        <v>7411.7669999999998</v>
      </c>
      <c r="L490" s="9">
        <v>2078.8670000000002</v>
      </c>
      <c r="M490" s="13">
        <v>1</v>
      </c>
      <c r="N490" s="12">
        <v>0.2804819687397081</v>
      </c>
    </row>
    <row r="491" spans="9:14">
      <c r="I491" s="11" t="s">
        <v>1646</v>
      </c>
      <c r="J491" s="13">
        <v>1</v>
      </c>
      <c r="K491" s="9">
        <v>7399.5405000000001</v>
      </c>
      <c r="L491" s="9">
        <v>1168.3305</v>
      </c>
      <c r="M491" s="13">
        <v>1</v>
      </c>
      <c r="N491" s="12">
        <v>0.15789230425862255</v>
      </c>
    </row>
    <row r="492" spans="9:14">
      <c r="I492" s="11" t="s">
        <v>4410</v>
      </c>
      <c r="J492" s="13">
        <v>1</v>
      </c>
      <c r="K492" s="9">
        <v>7399.5405000000001</v>
      </c>
      <c r="L492" s="9">
        <v>1168.3305</v>
      </c>
      <c r="M492" s="13">
        <v>1</v>
      </c>
      <c r="N492" s="12">
        <v>0.15789230425862255</v>
      </c>
    </row>
    <row r="493" spans="9:14">
      <c r="I493" s="11" t="s">
        <v>11856</v>
      </c>
      <c r="J493" s="13">
        <v>1</v>
      </c>
      <c r="K493" s="9">
        <v>7399.5405000000001</v>
      </c>
      <c r="L493" s="9">
        <v>1168.3305</v>
      </c>
      <c r="M493" s="13">
        <v>1</v>
      </c>
      <c r="N493" s="12">
        <v>0.15789230425862255</v>
      </c>
    </row>
    <row r="494" spans="9:14">
      <c r="I494" s="11" t="s">
        <v>2254</v>
      </c>
      <c r="J494" s="13">
        <v>1</v>
      </c>
      <c r="K494" s="9">
        <v>7178.77</v>
      </c>
      <c r="L494" s="9">
        <v>2364.9700000000003</v>
      </c>
      <c r="M494" s="13">
        <v>1</v>
      </c>
      <c r="N494" s="12">
        <v>0.32943944436163858</v>
      </c>
    </row>
    <row r="495" spans="9:14">
      <c r="I495" s="11" t="s">
        <v>1842</v>
      </c>
      <c r="J495" s="13">
        <v>1</v>
      </c>
      <c r="K495" s="9">
        <v>7178.77</v>
      </c>
      <c r="L495" s="9">
        <v>2364.9700000000003</v>
      </c>
      <c r="M495" s="13">
        <v>1</v>
      </c>
      <c r="N495" s="12">
        <v>0.32943944436163858</v>
      </c>
    </row>
    <row r="496" spans="9:14">
      <c r="I496" s="11" t="s">
        <v>9942</v>
      </c>
      <c r="J496" s="13">
        <v>1</v>
      </c>
      <c r="K496" s="9">
        <v>7177.2</v>
      </c>
      <c r="L496" s="9">
        <v>2618.8599999999997</v>
      </c>
      <c r="M496" s="13">
        <v>1</v>
      </c>
      <c r="N496" s="12">
        <v>0.36488602797748421</v>
      </c>
    </row>
    <row r="497" spans="9:14">
      <c r="I497" s="11" t="s">
        <v>8892</v>
      </c>
      <c r="J497" s="13">
        <v>1</v>
      </c>
      <c r="K497" s="9">
        <v>7163.8</v>
      </c>
      <c r="L497" s="9">
        <v>1623.5600000000004</v>
      </c>
      <c r="M497" s="13">
        <v>2</v>
      </c>
      <c r="N497" s="12">
        <v>0.22663390937770461</v>
      </c>
    </row>
    <row r="498" spans="9:14">
      <c r="I498" s="11" t="s">
        <v>479</v>
      </c>
      <c r="J498" s="13">
        <v>1</v>
      </c>
      <c r="K498" s="9">
        <v>7163.8</v>
      </c>
      <c r="L498" s="9">
        <v>1623.5600000000004</v>
      </c>
      <c r="M498" s="13">
        <v>2</v>
      </c>
      <c r="N498" s="12">
        <v>0.22663390937770461</v>
      </c>
    </row>
    <row r="499" spans="9:14">
      <c r="I499" s="11" t="s">
        <v>1317</v>
      </c>
      <c r="J499" s="13">
        <v>1</v>
      </c>
      <c r="K499" s="9">
        <v>7163.8</v>
      </c>
      <c r="L499" s="9">
        <v>1623.5600000000004</v>
      </c>
      <c r="M499" s="13">
        <v>2</v>
      </c>
      <c r="N499" s="12">
        <v>0.22663390937770461</v>
      </c>
    </row>
    <row r="500" spans="9:14">
      <c r="I500" s="11" t="s">
        <v>2812</v>
      </c>
      <c r="J500" s="13">
        <v>1</v>
      </c>
      <c r="K500" s="9">
        <v>7106.08</v>
      </c>
      <c r="L500" s="9">
        <v>1859.4499999999998</v>
      </c>
      <c r="M500" s="13">
        <v>1</v>
      </c>
      <c r="N500" s="12">
        <v>0.26167028797874492</v>
      </c>
    </row>
    <row r="501" spans="9:14">
      <c r="I501" s="11" t="s">
        <v>14777</v>
      </c>
      <c r="J501" s="13">
        <v>1</v>
      </c>
      <c r="K501" s="9">
        <v>7021.674</v>
      </c>
      <c r="L501" s="9">
        <v>1688.7740000000003</v>
      </c>
      <c r="M501" s="13">
        <v>1</v>
      </c>
      <c r="N501" s="12">
        <v>0.24050874478080303</v>
      </c>
    </row>
    <row r="502" spans="9:14">
      <c r="I502" s="11" t="s">
        <v>13904</v>
      </c>
      <c r="J502" s="13">
        <v>1</v>
      </c>
      <c r="K502" s="9">
        <v>7010.0909999999994</v>
      </c>
      <c r="L502" s="9">
        <v>778.8809999999994</v>
      </c>
      <c r="M502" s="13">
        <v>1</v>
      </c>
      <c r="N502" s="12">
        <v>0.1111085433841015</v>
      </c>
    </row>
    <row r="503" spans="9:14">
      <c r="I503" s="11" t="s">
        <v>15220</v>
      </c>
      <c r="J503" s="13">
        <v>1</v>
      </c>
      <c r="K503" s="9">
        <v>6985.89</v>
      </c>
      <c r="L503" s="9">
        <v>1144.92</v>
      </c>
      <c r="M503" s="13">
        <v>3</v>
      </c>
      <c r="N503" s="12">
        <v>0.16389035613214636</v>
      </c>
    </row>
    <row r="504" spans="9:14">
      <c r="I504" s="11" t="s">
        <v>6553</v>
      </c>
      <c r="J504" s="13">
        <v>1</v>
      </c>
      <c r="K504" s="9">
        <v>6860.82</v>
      </c>
      <c r="L504" s="9">
        <v>1035.6999999999998</v>
      </c>
      <c r="M504" s="13">
        <v>2</v>
      </c>
      <c r="N504" s="12">
        <v>0.15095863176704824</v>
      </c>
    </row>
    <row r="505" spans="9:14">
      <c r="I505" s="11" t="s">
        <v>1810</v>
      </c>
      <c r="J505" s="13">
        <v>1</v>
      </c>
      <c r="K505" s="9">
        <v>6859.48</v>
      </c>
      <c r="L505" s="9">
        <v>2514.6999999999998</v>
      </c>
      <c r="M505" s="13">
        <v>2</v>
      </c>
      <c r="N505" s="12">
        <v>0.36660213310629958</v>
      </c>
    </row>
    <row r="506" spans="9:14">
      <c r="I506" s="11" t="s">
        <v>3684</v>
      </c>
      <c r="J506" s="13">
        <v>1</v>
      </c>
      <c r="K506" s="9">
        <v>6805.6100000000006</v>
      </c>
      <c r="L506" s="9">
        <v>1265.3700000000008</v>
      </c>
      <c r="M506" s="13">
        <v>2</v>
      </c>
      <c r="N506" s="12">
        <v>0.18593043092389966</v>
      </c>
    </row>
    <row r="507" spans="9:14">
      <c r="I507" s="11" t="s">
        <v>12240</v>
      </c>
      <c r="J507" s="13">
        <v>1</v>
      </c>
      <c r="K507" s="9">
        <v>6750.7759999999998</v>
      </c>
      <c r="L507" s="9">
        <v>1504.1459999999997</v>
      </c>
      <c r="M507" s="13">
        <v>1</v>
      </c>
      <c r="N507" s="12">
        <v>0.22281082945131045</v>
      </c>
    </row>
    <row r="508" spans="9:14">
      <c r="I508" s="11" t="s">
        <v>3352</v>
      </c>
      <c r="J508" s="13">
        <v>1</v>
      </c>
      <c r="K508" s="9">
        <v>6736.94</v>
      </c>
      <c r="L508" s="9">
        <v>2431.96</v>
      </c>
      <c r="M508" s="13">
        <v>2</v>
      </c>
      <c r="N508" s="12">
        <v>0.36098881688125473</v>
      </c>
    </row>
    <row r="509" spans="9:14">
      <c r="I509" s="11" t="s">
        <v>10889</v>
      </c>
      <c r="J509" s="13">
        <v>2</v>
      </c>
      <c r="K509" s="9">
        <v>6711.4</v>
      </c>
      <c r="L509" s="9">
        <v>2343.9700000000003</v>
      </c>
      <c r="M509" s="13">
        <v>2</v>
      </c>
      <c r="N509" s="12">
        <v>0.34925201895282659</v>
      </c>
    </row>
    <row r="510" spans="9:14">
      <c r="I510" s="11" t="s">
        <v>1848</v>
      </c>
      <c r="J510" s="13">
        <v>1</v>
      </c>
      <c r="K510" s="9">
        <v>6710.08</v>
      </c>
      <c r="L510" s="9">
        <v>2882.06</v>
      </c>
      <c r="M510" s="13">
        <v>2</v>
      </c>
      <c r="N510" s="12">
        <v>0.42951201774047404</v>
      </c>
    </row>
    <row r="511" spans="9:14">
      <c r="I511" s="11" t="s">
        <v>6788</v>
      </c>
      <c r="J511" s="13">
        <v>1</v>
      </c>
      <c r="K511" s="9">
        <v>6710.08</v>
      </c>
      <c r="L511" s="9">
        <v>2882.06</v>
      </c>
      <c r="M511" s="13">
        <v>2</v>
      </c>
      <c r="N511" s="12">
        <v>0.42951201774047404</v>
      </c>
    </row>
    <row r="512" spans="9:14">
      <c r="I512" s="11" t="s">
        <v>11348</v>
      </c>
      <c r="J512" s="13">
        <v>1</v>
      </c>
      <c r="K512" s="9">
        <v>6708.36</v>
      </c>
      <c r="L512" s="9">
        <v>1676.9099999999999</v>
      </c>
      <c r="M512" s="13">
        <v>1</v>
      </c>
      <c r="N512" s="12">
        <v>0.24997316780852546</v>
      </c>
    </row>
    <row r="513" spans="9:14">
      <c r="I513" s="11" t="s">
        <v>10799</v>
      </c>
      <c r="J513" s="13">
        <v>1</v>
      </c>
      <c r="K513" s="9">
        <v>6635.96</v>
      </c>
      <c r="L513" s="9">
        <v>2332.84</v>
      </c>
      <c r="M513" s="13">
        <v>2</v>
      </c>
      <c r="N513" s="12">
        <v>0.35154521727074911</v>
      </c>
    </row>
    <row r="514" spans="9:14">
      <c r="I514" s="11" t="s">
        <v>6344</v>
      </c>
      <c r="J514" s="13">
        <v>1</v>
      </c>
      <c r="K514" s="9">
        <v>6620.6414999999997</v>
      </c>
      <c r="L514" s="9">
        <v>389.43149999999969</v>
      </c>
      <c r="M514" s="13">
        <v>1</v>
      </c>
      <c r="N514" s="12">
        <v>5.8820810641989858E-2</v>
      </c>
    </row>
    <row r="515" spans="9:14">
      <c r="I515" s="11" t="s">
        <v>1090</v>
      </c>
      <c r="J515" s="13">
        <v>1</v>
      </c>
      <c r="K515" s="9">
        <v>6618.8</v>
      </c>
      <c r="L515" s="9">
        <v>1130.7200000000003</v>
      </c>
      <c r="M515" s="13">
        <v>2</v>
      </c>
      <c r="N515" s="12">
        <v>0.17083459237323989</v>
      </c>
    </row>
    <row r="516" spans="9:14">
      <c r="I516" s="11" t="s">
        <v>7385</v>
      </c>
      <c r="J516" s="13">
        <v>1</v>
      </c>
      <c r="K516" s="9">
        <v>6618.8</v>
      </c>
      <c r="L516" s="9">
        <v>1130.7200000000003</v>
      </c>
      <c r="M516" s="13">
        <v>2</v>
      </c>
      <c r="N516" s="12">
        <v>0.17083459237323989</v>
      </c>
    </row>
    <row r="517" spans="9:14">
      <c r="I517" s="11" t="s">
        <v>9026</v>
      </c>
      <c r="J517" s="13">
        <v>1</v>
      </c>
      <c r="K517" s="9">
        <v>6589.8540000000003</v>
      </c>
      <c r="L517" s="9">
        <v>1412.7340000000004</v>
      </c>
      <c r="M517" s="13">
        <v>2</v>
      </c>
      <c r="N517" s="12">
        <v>0.21438016684436412</v>
      </c>
    </row>
    <row r="518" spans="9:14">
      <c r="I518" s="11" t="s">
        <v>575</v>
      </c>
      <c r="J518" s="13">
        <v>1</v>
      </c>
      <c r="K518" s="9">
        <v>6461.5230000000001</v>
      </c>
      <c r="L518" s="9">
        <v>988.17299999999977</v>
      </c>
      <c r="M518" s="13">
        <v>1</v>
      </c>
      <c r="N518" s="12">
        <v>0.15293190165847892</v>
      </c>
    </row>
    <row r="519" spans="9:14">
      <c r="I519" s="11" t="s">
        <v>13660</v>
      </c>
      <c r="J519" s="13">
        <v>1</v>
      </c>
      <c r="K519" s="9">
        <v>6460.893</v>
      </c>
      <c r="L519" s="9">
        <v>1647.0929999999998</v>
      </c>
      <c r="M519" s="13">
        <v>1</v>
      </c>
      <c r="N519" s="12">
        <v>0.25493271595737615</v>
      </c>
    </row>
    <row r="520" spans="9:14">
      <c r="I520" s="11" t="s">
        <v>15391</v>
      </c>
      <c r="J520" s="13">
        <v>1</v>
      </c>
      <c r="K520" s="9">
        <v>6447.42</v>
      </c>
      <c r="L520" s="9">
        <v>907.18000000000029</v>
      </c>
      <c r="M520" s="13">
        <v>2</v>
      </c>
      <c r="N520" s="12">
        <v>0.14070434375300511</v>
      </c>
    </row>
    <row r="521" spans="9:14">
      <c r="I521" s="11" t="s">
        <v>4458</v>
      </c>
      <c r="J521" s="13">
        <v>1</v>
      </c>
      <c r="K521" s="9">
        <v>6411.44</v>
      </c>
      <c r="L521" s="9">
        <v>2075.5599999999995</v>
      </c>
      <c r="M521" s="13">
        <v>2</v>
      </c>
      <c r="N521" s="12">
        <v>0.32372758693834763</v>
      </c>
    </row>
    <row r="522" spans="9:14">
      <c r="I522" s="11" t="s">
        <v>12092</v>
      </c>
      <c r="J522" s="13">
        <v>1</v>
      </c>
      <c r="K522" s="9">
        <v>6395.4719999999998</v>
      </c>
      <c r="L522" s="9">
        <v>1148.8419999999996</v>
      </c>
      <c r="M522" s="13">
        <v>1</v>
      </c>
      <c r="N522" s="12">
        <v>0.17963365330971656</v>
      </c>
    </row>
    <row r="523" spans="9:14">
      <c r="I523" s="11" t="s">
        <v>4139</v>
      </c>
      <c r="J523" s="13">
        <v>2</v>
      </c>
      <c r="K523" s="9">
        <v>6391.22</v>
      </c>
      <c r="L523" s="9">
        <v>1380.0800000000004</v>
      </c>
      <c r="M523" s="13">
        <v>2</v>
      </c>
      <c r="N523" s="12">
        <v>0.21593373409145677</v>
      </c>
    </row>
    <row r="524" spans="9:14">
      <c r="I524" s="11" t="s">
        <v>10560</v>
      </c>
      <c r="J524" s="13">
        <v>1</v>
      </c>
      <c r="K524" s="9">
        <v>6390.2794999999996</v>
      </c>
      <c r="L524" s="9">
        <v>1199.2494999999999</v>
      </c>
      <c r="M524" s="13">
        <v>1</v>
      </c>
      <c r="N524" s="12">
        <v>0.187667769461414</v>
      </c>
    </row>
    <row r="525" spans="9:14">
      <c r="I525" s="11" t="s">
        <v>4051</v>
      </c>
      <c r="J525" s="13">
        <v>1</v>
      </c>
      <c r="K525" s="9">
        <v>6390.2794999999996</v>
      </c>
      <c r="L525" s="9">
        <v>1199.2494999999999</v>
      </c>
      <c r="M525" s="13">
        <v>1</v>
      </c>
      <c r="N525" s="12">
        <v>0.187667769461414</v>
      </c>
    </row>
    <row r="526" spans="9:14">
      <c r="I526" s="11" t="s">
        <v>15234</v>
      </c>
      <c r="J526" s="13">
        <v>1</v>
      </c>
      <c r="K526" s="9">
        <v>6372.942</v>
      </c>
      <c r="L526" s="9">
        <v>1341.4920000000002</v>
      </c>
      <c r="M526" s="13">
        <v>1</v>
      </c>
      <c r="N526" s="12">
        <v>0.21049807137739526</v>
      </c>
    </row>
    <row r="527" spans="9:14">
      <c r="I527" s="11" t="s">
        <v>8290</v>
      </c>
      <c r="J527" s="13">
        <v>1</v>
      </c>
      <c r="K527" s="9">
        <v>6357.9</v>
      </c>
      <c r="L527" s="9">
        <v>1462.4699999999993</v>
      </c>
      <c r="M527" s="13">
        <v>1</v>
      </c>
      <c r="N527" s="12">
        <v>0.23002406454961535</v>
      </c>
    </row>
    <row r="528" spans="9:14">
      <c r="I528" s="11" t="s">
        <v>13916</v>
      </c>
      <c r="J528" s="13">
        <v>1</v>
      </c>
      <c r="K528" s="9">
        <v>6334.3339999999998</v>
      </c>
      <c r="L528" s="9">
        <v>2400.174</v>
      </c>
      <c r="M528" s="13">
        <v>4</v>
      </c>
      <c r="N528" s="12">
        <v>0.37891497353944392</v>
      </c>
    </row>
    <row r="529" spans="9:14">
      <c r="I529" s="11" t="s">
        <v>10656</v>
      </c>
      <c r="J529" s="13">
        <v>1</v>
      </c>
      <c r="K529" s="9">
        <v>6321.6880000000001</v>
      </c>
      <c r="L529" s="9">
        <v>278.92799999999988</v>
      </c>
      <c r="M529" s="13">
        <v>2</v>
      </c>
      <c r="N529" s="12">
        <v>4.4122392626779409E-2</v>
      </c>
    </row>
    <row r="530" spans="9:14">
      <c r="I530" s="11" t="s">
        <v>8908</v>
      </c>
      <c r="J530" s="13">
        <v>1</v>
      </c>
      <c r="K530" s="9">
        <v>6306.8469999999998</v>
      </c>
      <c r="L530" s="9">
        <v>1150.8670000000002</v>
      </c>
      <c r="M530" s="13">
        <v>1</v>
      </c>
      <c r="N530" s="12">
        <v>0.18247897879875638</v>
      </c>
    </row>
    <row r="531" spans="9:14">
      <c r="I531" s="11" t="s">
        <v>10885</v>
      </c>
      <c r="J531" s="13">
        <v>1</v>
      </c>
      <c r="K531" s="9">
        <v>6306.8469999999998</v>
      </c>
      <c r="L531" s="9">
        <v>1150.8670000000002</v>
      </c>
      <c r="M531" s="13">
        <v>1</v>
      </c>
      <c r="N531" s="12">
        <v>0.18247897879875638</v>
      </c>
    </row>
    <row r="532" spans="9:14">
      <c r="I532" s="11" t="s">
        <v>9183</v>
      </c>
      <c r="J532" s="13">
        <v>1</v>
      </c>
      <c r="K532" s="9">
        <v>6243.058</v>
      </c>
      <c r="L532" s="9">
        <v>1729.1180000000004</v>
      </c>
      <c r="M532" s="13">
        <v>2</v>
      </c>
      <c r="N532" s="12">
        <v>0.27696651224448027</v>
      </c>
    </row>
    <row r="533" spans="9:14">
      <c r="I533" s="11" t="s">
        <v>4267</v>
      </c>
      <c r="J533" s="13">
        <v>1</v>
      </c>
      <c r="K533" s="9">
        <v>6174.7379999999994</v>
      </c>
      <c r="L533" s="9">
        <v>349.61799999999948</v>
      </c>
      <c r="M533" s="13">
        <v>2</v>
      </c>
      <c r="N533" s="12">
        <v>5.6620701963386873E-2</v>
      </c>
    </row>
    <row r="534" spans="9:14">
      <c r="I534" s="11" t="s">
        <v>4510</v>
      </c>
      <c r="J534" s="13">
        <v>1</v>
      </c>
      <c r="K534" s="9">
        <v>6164.4</v>
      </c>
      <c r="L534" s="9">
        <v>1042.2799999999997</v>
      </c>
      <c r="M534" s="13">
        <v>2</v>
      </c>
      <c r="N534" s="12">
        <v>0.16908052689637268</v>
      </c>
    </row>
    <row r="535" spans="9:14">
      <c r="I535" s="11" t="s">
        <v>14032</v>
      </c>
      <c r="J535" s="13">
        <v>2</v>
      </c>
      <c r="K535" s="9">
        <v>6134.32</v>
      </c>
      <c r="L535" s="9">
        <v>1998.2600000000002</v>
      </c>
      <c r="M535" s="13">
        <v>6</v>
      </c>
      <c r="N535" s="12">
        <v>0.32575085747075477</v>
      </c>
    </row>
    <row r="536" spans="9:14">
      <c r="I536" s="11" t="s">
        <v>12345</v>
      </c>
      <c r="J536" s="13">
        <v>1</v>
      </c>
      <c r="K536" s="9">
        <v>5979.07</v>
      </c>
      <c r="L536" s="9">
        <v>1857.1099999999997</v>
      </c>
      <c r="M536" s="13">
        <v>1</v>
      </c>
      <c r="N536" s="12">
        <v>0.31060181600148512</v>
      </c>
    </row>
    <row r="537" spans="9:14">
      <c r="I537" s="11" t="s">
        <v>11810</v>
      </c>
      <c r="J537" s="13">
        <v>1</v>
      </c>
      <c r="K537" s="9">
        <v>5977.2</v>
      </c>
      <c r="L537" s="9">
        <v>1850.5199999999995</v>
      </c>
      <c r="M537" s="13">
        <v>4</v>
      </c>
      <c r="N537" s="12">
        <v>0.30959646657297724</v>
      </c>
    </row>
    <row r="538" spans="9:14">
      <c r="I538" s="11" t="s">
        <v>1251</v>
      </c>
      <c r="J538" s="13">
        <v>1</v>
      </c>
      <c r="K538" s="9">
        <v>5958.6120000000001</v>
      </c>
      <c r="L538" s="9">
        <v>455.25200000000041</v>
      </c>
      <c r="M538" s="13">
        <v>4</v>
      </c>
      <c r="N538" s="12">
        <v>7.6402356790474094E-2</v>
      </c>
    </row>
    <row r="539" spans="9:14">
      <c r="I539" s="11" t="s">
        <v>7731</v>
      </c>
      <c r="J539" s="13">
        <v>1</v>
      </c>
      <c r="K539" s="9">
        <v>5944.75</v>
      </c>
      <c r="L539" s="9">
        <v>1497.2299999999996</v>
      </c>
      <c r="M539" s="13">
        <v>1</v>
      </c>
      <c r="N539" s="12">
        <v>0.25185752134236083</v>
      </c>
    </row>
    <row r="540" spans="9:14">
      <c r="I540" s="11" t="s">
        <v>12855</v>
      </c>
      <c r="J540" s="13">
        <v>1</v>
      </c>
      <c r="K540" s="9">
        <v>5931.8160000000007</v>
      </c>
      <c r="L540" s="9">
        <v>1072.6760000000004</v>
      </c>
      <c r="M540" s="13">
        <v>1</v>
      </c>
      <c r="N540" s="12">
        <v>0.18083433471301205</v>
      </c>
    </row>
    <row r="541" spans="9:14">
      <c r="I541" s="11" t="s">
        <v>4534</v>
      </c>
      <c r="J541" s="13">
        <v>1</v>
      </c>
      <c r="K541" s="9">
        <v>5931.8160000000007</v>
      </c>
      <c r="L541" s="9">
        <v>1072.6760000000004</v>
      </c>
      <c r="M541" s="13">
        <v>1</v>
      </c>
      <c r="N541" s="12">
        <v>0.18083433471301205</v>
      </c>
    </row>
    <row r="542" spans="9:14">
      <c r="I542" s="11" t="s">
        <v>519</v>
      </c>
      <c r="J542" s="13">
        <v>1</v>
      </c>
      <c r="K542" s="9">
        <v>5931.8160000000007</v>
      </c>
      <c r="L542" s="9">
        <v>1072.6760000000004</v>
      </c>
      <c r="M542" s="13">
        <v>1</v>
      </c>
      <c r="N542" s="12">
        <v>0.18083433471301205</v>
      </c>
    </row>
    <row r="543" spans="9:14">
      <c r="I543" s="11" t="s">
        <v>13825</v>
      </c>
      <c r="J543" s="13">
        <v>2</v>
      </c>
      <c r="K543" s="9">
        <v>5914.4245000000001</v>
      </c>
      <c r="L543" s="9">
        <v>752.97450000000003</v>
      </c>
      <c r="M543" s="13">
        <v>2</v>
      </c>
      <c r="N543" s="12">
        <v>0.12731154146950394</v>
      </c>
    </row>
    <row r="544" spans="9:14">
      <c r="I544" s="11" t="s">
        <v>5828</v>
      </c>
      <c r="J544" s="13">
        <v>1</v>
      </c>
      <c r="K544" s="9">
        <v>5856.1799999999994</v>
      </c>
      <c r="L544" s="9">
        <v>734.05999999999949</v>
      </c>
      <c r="M544" s="13">
        <v>2</v>
      </c>
      <c r="N544" s="12">
        <v>0.12534792304881331</v>
      </c>
    </row>
    <row r="545" spans="9:14">
      <c r="I545" s="11" t="s">
        <v>8457</v>
      </c>
      <c r="J545" s="13">
        <v>1</v>
      </c>
      <c r="K545" s="9">
        <v>5743.576</v>
      </c>
      <c r="L545" s="9">
        <v>270.22599999999966</v>
      </c>
      <c r="M545" s="13">
        <v>1</v>
      </c>
      <c r="N545" s="12">
        <v>4.7048389365788777E-2</v>
      </c>
    </row>
    <row r="546" spans="9:14">
      <c r="I546" s="11" t="s">
        <v>9266</v>
      </c>
      <c r="J546" s="13">
        <v>1</v>
      </c>
      <c r="K546" s="9">
        <v>5726.3989999999994</v>
      </c>
      <c r="L546" s="9">
        <v>1421.4189999999999</v>
      </c>
      <c r="M546" s="13">
        <v>2</v>
      </c>
      <c r="N546" s="12">
        <v>0.24822213750735847</v>
      </c>
    </row>
    <row r="547" spans="9:14">
      <c r="I547" s="11" t="s">
        <v>231</v>
      </c>
      <c r="J547" s="13">
        <v>1</v>
      </c>
      <c r="K547" s="9">
        <v>5702.1059999999998</v>
      </c>
      <c r="L547" s="9">
        <v>670.65599999999995</v>
      </c>
      <c r="M547" s="13">
        <v>1</v>
      </c>
      <c r="N547" s="12">
        <v>0.11761549153944174</v>
      </c>
    </row>
    <row r="548" spans="9:14">
      <c r="I548" s="11" t="s">
        <v>6094</v>
      </c>
      <c r="J548" s="13">
        <v>1</v>
      </c>
      <c r="K548" s="9">
        <v>5678.34</v>
      </c>
      <c r="L548" s="9">
        <v>1551.6599999999999</v>
      </c>
      <c r="M548" s="13">
        <v>4</v>
      </c>
      <c r="N548" s="12">
        <v>0.27325943849787082</v>
      </c>
    </row>
    <row r="549" spans="9:14">
      <c r="I549" s="11" t="s">
        <v>2958</v>
      </c>
      <c r="J549" s="13">
        <v>1</v>
      </c>
      <c r="K549" s="9">
        <v>5647.5124999999998</v>
      </c>
      <c r="L549" s="9">
        <v>1199.9924999999994</v>
      </c>
      <c r="M549" s="13">
        <v>1</v>
      </c>
      <c r="N549" s="12">
        <v>0.21248160141301137</v>
      </c>
    </row>
    <row r="550" spans="9:14">
      <c r="I550" s="11" t="s">
        <v>3953</v>
      </c>
      <c r="J550" s="13">
        <v>1</v>
      </c>
      <c r="K550" s="9">
        <v>5613.98</v>
      </c>
      <c r="L550" s="9">
        <v>2236.5699999999997</v>
      </c>
      <c r="M550" s="13">
        <v>1</v>
      </c>
      <c r="N550" s="12">
        <v>0.39839294048072843</v>
      </c>
    </row>
    <row r="551" spans="9:14">
      <c r="I551" s="11" t="s">
        <v>13668</v>
      </c>
      <c r="J551" s="13">
        <v>1</v>
      </c>
      <c r="K551" s="9">
        <v>5613.98</v>
      </c>
      <c r="L551" s="9">
        <v>2236.5699999999997</v>
      </c>
      <c r="M551" s="13">
        <v>1</v>
      </c>
      <c r="N551" s="12">
        <v>0.39839294048072843</v>
      </c>
    </row>
    <row r="552" spans="9:14">
      <c r="I552" s="11" t="s">
        <v>14610</v>
      </c>
      <c r="J552" s="13">
        <v>1</v>
      </c>
      <c r="K552" s="9">
        <v>5547.9599999999991</v>
      </c>
      <c r="L552" s="9">
        <v>425.83999999999924</v>
      </c>
      <c r="M552" s="13">
        <v>2</v>
      </c>
      <c r="N552" s="12">
        <v>7.6756140995969557E-2</v>
      </c>
    </row>
    <row r="553" spans="9:14">
      <c r="I553" s="11" t="s">
        <v>4627</v>
      </c>
      <c r="J553" s="13">
        <v>1</v>
      </c>
      <c r="K553" s="9">
        <v>5547.9599999999991</v>
      </c>
      <c r="L553" s="9">
        <v>425.83999999999924</v>
      </c>
      <c r="M553" s="13">
        <v>2</v>
      </c>
      <c r="N553" s="12">
        <v>7.6756140995969557E-2</v>
      </c>
    </row>
    <row r="554" spans="9:14">
      <c r="I554" s="11" t="s">
        <v>9232</v>
      </c>
      <c r="J554" s="13">
        <v>1</v>
      </c>
      <c r="K554" s="9">
        <v>5525.5499999999993</v>
      </c>
      <c r="L554" s="9">
        <v>1542.4499999999989</v>
      </c>
      <c r="M554" s="13">
        <v>3</v>
      </c>
      <c r="N554" s="12">
        <v>0.27914868203165277</v>
      </c>
    </row>
    <row r="555" spans="9:14">
      <c r="I555" s="11" t="s">
        <v>6378</v>
      </c>
      <c r="J555" s="13">
        <v>1</v>
      </c>
      <c r="K555" s="9">
        <v>5422.491</v>
      </c>
      <c r="L555" s="9">
        <v>355.76099999999951</v>
      </c>
      <c r="M555" s="13">
        <v>3</v>
      </c>
      <c r="N555" s="12">
        <v>6.5608407648809292E-2</v>
      </c>
    </row>
    <row r="556" spans="9:14">
      <c r="I556" s="11" t="s">
        <v>9127</v>
      </c>
      <c r="J556" s="13">
        <v>1</v>
      </c>
      <c r="K556" s="9">
        <v>5404.2150000000001</v>
      </c>
      <c r="L556" s="9">
        <v>508.78499999999985</v>
      </c>
      <c r="M556" s="13">
        <v>1</v>
      </c>
      <c r="N556" s="12">
        <v>9.4145958293665191E-2</v>
      </c>
    </row>
    <row r="557" spans="9:14">
      <c r="I557" s="11" t="s">
        <v>11504</v>
      </c>
      <c r="J557" s="13">
        <v>1</v>
      </c>
      <c r="K557" s="9">
        <v>5366.6880000000001</v>
      </c>
      <c r="L557" s="9">
        <v>335.23800000000028</v>
      </c>
      <c r="M557" s="13">
        <v>1</v>
      </c>
      <c r="N557" s="12">
        <v>6.2466459760656901E-2</v>
      </c>
    </row>
    <row r="558" spans="9:14">
      <c r="I558" s="11" t="s">
        <v>7295</v>
      </c>
      <c r="J558" s="13">
        <v>2</v>
      </c>
      <c r="K558" s="9">
        <v>5330.018</v>
      </c>
      <c r="L558" s="9">
        <v>1051.2079999999994</v>
      </c>
      <c r="M558" s="13">
        <v>2</v>
      </c>
      <c r="N558" s="12">
        <v>0.19722409943080857</v>
      </c>
    </row>
    <row r="559" spans="9:14">
      <c r="I559" s="11" t="s">
        <v>499</v>
      </c>
      <c r="J559" s="13">
        <v>2</v>
      </c>
      <c r="K559" s="9">
        <v>5321.33</v>
      </c>
      <c r="L559" s="9">
        <v>1305.3199999999995</v>
      </c>
      <c r="M559" s="13">
        <v>5</v>
      </c>
      <c r="N559" s="12">
        <v>0.24529957736129868</v>
      </c>
    </row>
    <row r="560" spans="9:14">
      <c r="I560" s="11" t="s">
        <v>5763</v>
      </c>
      <c r="J560" s="13">
        <v>1</v>
      </c>
      <c r="K560" s="9">
        <v>5249.2724999999991</v>
      </c>
      <c r="L560" s="9">
        <v>1266.1724999999988</v>
      </c>
      <c r="M560" s="13">
        <v>3</v>
      </c>
      <c r="N560" s="12">
        <v>0.24120913898068713</v>
      </c>
    </row>
    <row r="561" spans="9:14">
      <c r="I561" s="11" t="s">
        <v>7582</v>
      </c>
      <c r="J561" s="13">
        <v>1</v>
      </c>
      <c r="K561" s="9">
        <v>5129.24</v>
      </c>
      <c r="L561" s="9">
        <v>2093.2399999999998</v>
      </c>
      <c r="M561" s="13">
        <v>4</v>
      </c>
      <c r="N561" s="12">
        <v>0.40809944553189165</v>
      </c>
    </row>
    <row r="562" spans="9:14">
      <c r="I562" s="11" t="s">
        <v>11844</v>
      </c>
      <c r="J562" s="13">
        <v>1</v>
      </c>
      <c r="K562" s="9">
        <v>5122.3335000000006</v>
      </c>
      <c r="L562" s="9">
        <v>1350.0435000000007</v>
      </c>
      <c r="M562" s="13">
        <v>3</v>
      </c>
      <c r="N562" s="12">
        <v>0.26356025042102404</v>
      </c>
    </row>
    <row r="563" spans="9:14">
      <c r="I563" s="11" t="s">
        <v>9534</v>
      </c>
      <c r="J563" s="13">
        <v>1</v>
      </c>
      <c r="K563" s="9">
        <v>5121.2415000000001</v>
      </c>
      <c r="L563" s="9">
        <v>54.511499999999614</v>
      </c>
      <c r="M563" s="13">
        <v>3</v>
      </c>
      <c r="N563" s="12">
        <v>1.0644196334033381E-2</v>
      </c>
    </row>
    <row r="564" spans="9:14">
      <c r="I564" s="11" t="s">
        <v>10488</v>
      </c>
      <c r="J564" s="13">
        <v>1</v>
      </c>
      <c r="K564" s="9">
        <v>5082.2094999999999</v>
      </c>
      <c r="L564" s="9">
        <v>960.2494999999999</v>
      </c>
      <c r="M564" s="13">
        <v>1</v>
      </c>
      <c r="N564" s="12">
        <v>0.18894331294292371</v>
      </c>
    </row>
    <row r="565" spans="9:14">
      <c r="I565" s="11" t="s">
        <v>2240</v>
      </c>
      <c r="J565" s="13">
        <v>1</v>
      </c>
      <c r="K565" s="9">
        <v>5053.0375000000004</v>
      </c>
      <c r="L565" s="9">
        <v>605.51749999999993</v>
      </c>
      <c r="M565" s="13">
        <v>1</v>
      </c>
      <c r="N565" s="12">
        <v>0.11983237804983633</v>
      </c>
    </row>
    <row r="566" spans="9:14">
      <c r="I566" s="11" t="s">
        <v>13754</v>
      </c>
      <c r="J566" s="13">
        <v>1</v>
      </c>
      <c r="K566" s="9">
        <v>5053.0375000000004</v>
      </c>
      <c r="L566" s="9">
        <v>605.51749999999993</v>
      </c>
      <c r="M566" s="13">
        <v>1</v>
      </c>
      <c r="N566" s="12">
        <v>0.11983237804983633</v>
      </c>
    </row>
    <row r="567" spans="9:14">
      <c r="I567" s="11" t="s">
        <v>2974</v>
      </c>
      <c r="J567" s="13">
        <v>2</v>
      </c>
      <c r="K567" s="9">
        <v>5017.9930000000004</v>
      </c>
      <c r="L567" s="9">
        <v>1307.8229999999999</v>
      </c>
      <c r="M567" s="13">
        <v>2</v>
      </c>
      <c r="N567" s="12">
        <v>0.26062670872597865</v>
      </c>
    </row>
    <row r="568" spans="9:14">
      <c r="I568" s="11" t="s">
        <v>9526</v>
      </c>
      <c r="J568" s="13">
        <v>1</v>
      </c>
      <c r="K568" s="9">
        <v>4869.55</v>
      </c>
      <c r="L568" s="9">
        <v>1829.8200000000002</v>
      </c>
      <c r="M568" s="13">
        <v>1</v>
      </c>
      <c r="N568" s="12">
        <v>0.3757677814171741</v>
      </c>
    </row>
    <row r="569" spans="9:14">
      <c r="I569" s="11" t="s">
        <v>13017</v>
      </c>
      <c r="J569" s="13">
        <v>1</v>
      </c>
      <c r="K569" s="9">
        <v>4851.8400000000011</v>
      </c>
      <c r="L569" s="9">
        <v>997.17000000000098</v>
      </c>
      <c r="M569" s="13">
        <v>3</v>
      </c>
      <c r="N569" s="12">
        <v>0.20552408982983791</v>
      </c>
    </row>
    <row r="570" spans="9:14">
      <c r="I570" s="11" t="s">
        <v>9643</v>
      </c>
      <c r="J570" s="13">
        <v>1</v>
      </c>
      <c r="K570" s="9">
        <v>4815.8550000000005</v>
      </c>
      <c r="L570" s="9">
        <v>1429.0050000000001</v>
      </c>
      <c r="M570" s="13">
        <v>3</v>
      </c>
      <c r="N570" s="12">
        <v>0.29672924122507843</v>
      </c>
    </row>
    <row r="571" spans="9:14">
      <c r="I571" s="11" t="s">
        <v>11740</v>
      </c>
      <c r="J571" s="13">
        <v>1</v>
      </c>
      <c r="K571" s="9">
        <v>4783.2559999999994</v>
      </c>
      <c r="L571" s="9">
        <v>661.29599999999937</v>
      </c>
      <c r="M571" s="13">
        <v>1</v>
      </c>
      <c r="N571" s="12">
        <v>0.13825227000185636</v>
      </c>
    </row>
    <row r="572" spans="9:14">
      <c r="I572" s="11" t="s">
        <v>3078</v>
      </c>
      <c r="J572" s="13">
        <v>1</v>
      </c>
      <c r="K572" s="9">
        <v>4780.68</v>
      </c>
      <c r="L572" s="9">
        <v>840.63000000000011</v>
      </c>
      <c r="M572" s="13">
        <v>1</v>
      </c>
      <c r="N572" s="12">
        <v>0.17583900198298152</v>
      </c>
    </row>
    <row r="573" spans="9:14">
      <c r="I573" s="11" t="s">
        <v>11989</v>
      </c>
      <c r="J573" s="13">
        <v>1</v>
      </c>
      <c r="K573" s="9">
        <v>4780.68</v>
      </c>
      <c r="L573" s="9">
        <v>840.63000000000011</v>
      </c>
      <c r="M573" s="13">
        <v>1</v>
      </c>
      <c r="N573" s="12">
        <v>0.17583900198298152</v>
      </c>
    </row>
    <row r="574" spans="9:14">
      <c r="I574" s="11" t="s">
        <v>5431</v>
      </c>
      <c r="J574" s="13">
        <v>1</v>
      </c>
      <c r="K574" s="9">
        <v>4780.68</v>
      </c>
      <c r="L574" s="9">
        <v>840.63000000000011</v>
      </c>
      <c r="M574" s="13">
        <v>1</v>
      </c>
      <c r="N574" s="12">
        <v>0.17583900198298152</v>
      </c>
    </row>
    <row r="575" spans="9:14">
      <c r="I575" s="11" t="s">
        <v>189</v>
      </c>
      <c r="J575" s="13">
        <v>1</v>
      </c>
      <c r="K575" s="9">
        <v>4771.8829999999998</v>
      </c>
      <c r="L575" s="9">
        <v>1394.473</v>
      </c>
      <c r="M575" s="13">
        <v>1</v>
      </c>
      <c r="N575" s="12">
        <v>0.29222698880085701</v>
      </c>
    </row>
    <row r="576" spans="9:14">
      <c r="I576" s="11" t="s">
        <v>3392</v>
      </c>
      <c r="J576" s="13">
        <v>1</v>
      </c>
      <c r="K576" s="9">
        <v>4755.8</v>
      </c>
      <c r="L576" s="9">
        <v>308.27999999999975</v>
      </c>
      <c r="M576" s="13">
        <v>1</v>
      </c>
      <c r="N576" s="12">
        <v>6.4821901677951071E-2</v>
      </c>
    </row>
    <row r="577" spans="9:14">
      <c r="I577" s="11" t="s">
        <v>4370</v>
      </c>
      <c r="J577" s="13">
        <v>1</v>
      </c>
      <c r="K577" s="9">
        <v>4719.2700000000004</v>
      </c>
      <c r="L577" s="9">
        <v>1397.0400000000004</v>
      </c>
      <c r="M577" s="13">
        <v>1</v>
      </c>
      <c r="N577" s="12">
        <v>0.29602883496812016</v>
      </c>
    </row>
    <row r="578" spans="9:14">
      <c r="I578" s="11" t="s">
        <v>8101</v>
      </c>
      <c r="J578" s="13">
        <v>1</v>
      </c>
      <c r="K578" s="9">
        <v>4719.2700000000004</v>
      </c>
      <c r="L578" s="9">
        <v>1397.0400000000004</v>
      </c>
      <c r="M578" s="13">
        <v>1</v>
      </c>
      <c r="N578" s="12">
        <v>0.29602883496812016</v>
      </c>
    </row>
    <row r="579" spans="9:14">
      <c r="I579" s="11" t="s">
        <v>9618</v>
      </c>
      <c r="J579" s="13">
        <v>1</v>
      </c>
      <c r="K579" s="9">
        <v>4688.4780000000001</v>
      </c>
      <c r="L579" s="9">
        <v>908.71799999999985</v>
      </c>
      <c r="M579" s="13">
        <v>4</v>
      </c>
      <c r="N579" s="12">
        <v>0.19381940152006683</v>
      </c>
    </row>
    <row r="580" spans="9:14">
      <c r="I580" s="11" t="s">
        <v>6198</v>
      </c>
      <c r="J580" s="13">
        <v>1</v>
      </c>
      <c r="K580" s="9">
        <v>4684.91</v>
      </c>
      <c r="L580" s="9">
        <v>1679.6299999999997</v>
      </c>
      <c r="M580" s="13">
        <v>1</v>
      </c>
      <c r="N580" s="12">
        <v>0.35851916045345583</v>
      </c>
    </row>
    <row r="581" spans="9:14">
      <c r="I581" s="11" t="s">
        <v>13348</v>
      </c>
      <c r="J581" s="13">
        <v>1</v>
      </c>
      <c r="K581" s="9">
        <v>4626.0725000000002</v>
      </c>
      <c r="L581" s="9">
        <v>1586.3425000000002</v>
      </c>
      <c r="M581" s="13">
        <v>1</v>
      </c>
      <c r="N581" s="12">
        <v>0.34291345412334118</v>
      </c>
    </row>
    <row r="582" spans="9:14">
      <c r="I582" s="11" t="s">
        <v>14735</v>
      </c>
      <c r="J582" s="13">
        <v>1</v>
      </c>
      <c r="K582" s="9">
        <v>4565.2299999999996</v>
      </c>
      <c r="L582" s="9">
        <v>906.88999999999942</v>
      </c>
      <c r="M582" s="13">
        <v>1</v>
      </c>
      <c r="N582" s="12">
        <v>0.19865154658144266</v>
      </c>
    </row>
    <row r="583" spans="9:14">
      <c r="I583" s="11" t="s">
        <v>14832</v>
      </c>
      <c r="J583" s="13">
        <v>1</v>
      </c>
      <c r="K583" s="9">
        <v>4560.6400000000003</v>
      </c>
      <c r="L583" s="9">
        <v>1505.6800000000003</v>
      </c>
      <c r="M583" s="13">
        <v>4</v>
      </c>
      <c r="N583" s="12">
        <v>0.33014664608476008</v>
      </c>
    </row>
    <row r="584" spans="9:14">
      <c r="I584" s="11" t="s">
        <v>5908</v>
      </c>
      <c r="J584" s="13">
        <v>2</v>
      </c>
      <c r="K584" s="9">
        <v>4548.5655000000006</v>
      </c>
      <c r="L584" s="9">
        <v>1218.8655000000001</v>
      </c>
      <c r="M584" s="13">
        <v>4</v>
      </c>
      <c r="N584" s="12">
        <v>0.26796701069820805</v>
      </c>
    </row>
    <row r="585" spans="9:14">
      <c r="I585" s="11" t="s">
        <v>6528</v>
      </c>
      <c r="J585" s="13">
        <v>1</v>
      </c>
      <c r="K585" s="9">
        <v>4500.7110000000002</v>
      </c>
      <c r="L585" s="9">
        <v>1550.0910000000003</v>
      </c>
      <c r="M585" s="13">
        <v>3</v>
      </c>
      <c r="N585" s="12">
        <v>0.34441024984719087</v>
      </c>
    </row>
    <row r="586" spans="9:14">
      <c r="I586" s="11" t="s">
        <v>6886</v>
      </c>
      <c r="J586" s="13">
        <v>1</v>
      </c>
      <c r="K586" s="9">
        <v>4499.25</v>
      </c>
      <c r="L586" s="9">
        <v>916.82999999999993</v>
      </c>
      <c r="M586" s="13">
        <v>3</v>
      </c>
      <c r="N586" s="12">
        <v>0.2037739623270545</v>
      </c>
    </row>
    <row r="587" spans="9:14">
      <c r="I587" s="11" t="s">
        <v>12270</v>
      </c>
      <c r="J587" s="13">
        <v>1</v>
      </c>
      <c r="K587" s="9">
        <v>4491.1839999999993</v>
      </c>
      <c r="L587" s="9">
        <v>1113.7739999999994</v>
      </c>
      <c r="M587" s="13">
        <v>1</v>
      </c>
      <c r="N587" s="12">
        <v>0.2479911756009105</v>
      </c>
    </row>
    <row r="588" spans="9:14">
      <c r="I588" s="11" t="s">
        <v>7327</v>
      </c>
      <c r="J588" s="13">
        <v>1</v>
      </c>
      <c r="K588" s="9">
        <v>4483.3065000000006</v>
      </c>
      <c r="L588" s="9">
        <v>1161.0765000000006</v>
      </c>
      <c r="M588" s="13">
        <v>1</v>
      </c>
      <c r="N588" s="12">
        <v>0.25897772101907385</v>
      </c>
    </row>
    <row r="589" spans="9:14">
      <c r="I589" s="11" t="s">
        <v>9314</v>
      </c>
      <c r="J589" s="13">
        <v>1</v>
      </c>
      <c r="K589" s="9">
        <v>4482.8999999999996</v>
      </c>
      <c r="L589" s="9">
        <v>1387.8899999999994</v>
      </c>
      <c r="M589" s="13">
        <v>3</v>
      </c>
      <c r="N589" s="12">
        <v>0.30959646657297724</v>
      </c>
    </row>
    <row r="590" spans="9:14">
      <c r="I590" s="11" t="s">
        <v>5190</v>
      </c>
      <c r="J590" s="13">
        <v>1</v>
      </c>
      <c r="K590" s="9">
        <v>4419.9319999999998</v>
      </c>
      <c r="L590" s="9">
        <v>1133.9319999999998</v>
      </c>
      <c r="M590" s="13">
        <v>2</v>
      </c>
      <c r="N590" s="12">
        <v>0.25654964827513183</v>
      </c>
    </row>
    <row r="591" spans="9:14">
      <c r="I591" s="11" t="s">
        <v>6225</v>
      </c>
      <c r="J591" s="13">
        <v>1</v>
      </c>
      <c r="K591" s="9">
        <v>4382.5950000000003</v>
      </c>
      <c r="L591" s="9">
        <v>1342.8650000000002</v>
      </c>
      <c r="M591" s="13">
        <v>1</v>
      </c>
      <c r="N591" s="12">
        <v>0.30640864601908235</v>
      </c>
    </row>
    <row r="592" spans="9:14">
      <c r="I592" s="11" t="s">
        <v>1287</v>
      </c>
      <c r="J592" s="13">
        <v>1</v>
      </c>
      <c r="K592" s="9">
        <v>4336.9684999999999</v>
      </c>
      <c r="L592" s="9">
        <v>678.6284999999998</v>
      </c>
      <c r="M592" s="13">
        <v>1</v>
      </c>
      <c r="N592" s="12">
        <v>0.15647531219099234</v>
      </c>
    </row>
    <row r="593" spans="9:14">
      <c r="I593" s="11" t="s">
        <v>4827</v>
      </c>
      <c r="J593" s="13">
        <v>1</v>
      </c>
      <c r="K593" s="9">
        <v>4294.7</v>
      </c>
      <c r="L593" s="9">
        <v>977.63999999999987</v>
      </c>
      <c r="M593" s="13">
        <v>1</v>
      </c>
      <c r="N593" s="12">
        <v>0.22763871748899805</v>
      </c>
    </row>
    <row r="594" spans="9:14">
      <c r="I594" s="11" t="s">
        <v>11397</v>
      </c>
      <c r="J594" s="13">
        <v>1</v>
      </c>
      <c r="K594" s="9">
        <v>4294.7</v>
      </c>
      <c r="L594" s="9">
        <v>977.63999999999987</v>
      </c>
      <c r="M594" s="13">
        <v>1</v>
      </c>
      <c r="N594" s="12">
        <v>0.22763871748899805</v>
      </c>
    </row>
    <row r="595" spans="9:14">
      <c r="I595" s="11" t="s">
        <v>12933</v>
      </c>
      <c r="J595" s="13">
        <v>1</v>
      </c>
      <c r="K595" s="9">
        <v>4199.75</v>
      </c>
      <c r="L595" s="9">
        <v>1653.1799999999998</v>
      </c>
      <c r="M595" s="13">
        <v>1</v>
      </c>
      <c r="N595" s="12">
        <v>0.39363771653074586</v>
      </c>
    </row>
    <row r="596" spans="9:14">
      <c r="I596" s="11" t="s">
        <v>9861</v>
      </c>
      <c r="J596" s="13">
        <v>1</v>
      </c>
      <c r="K596" s="9">
        <v>4199.75</v>
      </c>
      <c r="L596" s="9">
        <v>1653.1799999999998</v>
      </c>
      <c r="M596" s="13">
        <v>1</v>
      </c>
      <c r="N596" s="12">
        <v>0.39363771653074586</v>
      </c>
    </row>
    <row r="597" spans="9:14">
      <c r="I597" s="11" t="s">
        <v>2136</v>
      </c>
      <c r="J597" s="13">
        <v>1</v>
      </c>
      <c r="K597" s="9">
        <v>4199.75</v>
      </c>
      <c r="L597" s="9">
        <v>1653.1799999999998</v>
      </c>
      <c r="M597" s="13">
        <v>1</v>
      </c>
      <c r="N597" s="12">
        <v>0.39363771653074586</v>
      </c>
    </row>
    <row r="598" spans="9:14">
      <c r="I598" s="11" t="s">
        <v>3436</v>
      </c>
      <c r="J598" s="13">
        <v>1</v>
      </c>
      <c r="K598" s="9">
        <v>4199.75</v>
      </c>
      <c r="L598" s="9">
        <v>1653.1799999999998</v>
      </c>
      <c r="M598" s="13">
        <v>1</v>
      </c>
      <c r="N598" s="12">
        <v>0.39363771653074586</v>
      </c>
    </row>
    <row r="599" spans="9:14">
      <c r="I599" s="11" t="s">
        <v>10946</v>
      </c>
      <c r="J599" s="13">
        <v>1</v>
      </c>
      <c r="K599" s="9">
        <v>4198.8999999999996</v>
      </c>
      <c r="L599" s="9">
        <v>1278.2499999999995</v>
      </c>
      <c r="M599" s="13">
        <v>1</v>
      </c>
      <c r="N599" s="12">
        <v>0.30442496844411626</v>
      </c>
    </row>
    <row r="600" spans="9:14">
      <c r="I600" s="11" t="s">
        <v>5534</v>
      </c>
      <c r="J600" s="13">
        <v>1</v>
      </c>
      <c r="K600" s="9">
        <v>4198.8999999999996</v>
      </c>
      <c r="L600" s="9">
        <v>1278.2499999999995</v>
      </c>
      <c r="M600" s="13">
        <v>1</v>
      </c>
      <c r="N600" s="12">
        <v>0.30442496844411626</v>
      </c>
    </row>
    <row r="601" spans="9:14">
      <c r="I601" s="11" t="s">
        <v>13815</v>
      </c>
      <c r="J601" s="13">
        <v>1</v>
      </c>
      <c r="K601" s="9">
        <v>4198.8999999999996</v>
      </c>
      <c r="L601" s="9">
        <v>1278.2499999999995</v>
      </c>
      <c r="M601" s="13">
        <v>1</v>
      </c>
      <c r="N601" s="12">
        <v>0.30442496844411626</v>
      </c>
    </row>
    <row r="602" spans="9:14">
      <c r="I602" s="11" t="s">
        <v>7953</v>
      </c>
      <c r="J602" s="13">
        <v>1</v>
      </c>
      <c r="K602" s="9">
        <v>4187.79</v>
      </c>
      <c r="L602" s="9">
        <v>1236.7599999999998</v>
      </c>
      <c r="M602" s="13">
        <v>1</v>
      </c>
      <c r="N602" s="12">
        <v>0.29532521926839689</v>
      </c>
    </row>
    <row r="603" spans="9:14">
      <c r="I603" s="11" t="s">
        <v>12841</v>
      </c>
      <c r="J603" s="13">
        <v>1</v>
      </c>
      <c r="K603" s="9">
        <v>4187.79</v>
      </c>
      <c r="L603" s="9">
        <v>1236.7599999999998</v>
      </c>
      <c r="M603" s="13">
        <v>1</v>
      </c>
      <c r="N603" s="12">
        <v>0.29532521926839689</v>
      </c>
    </row>
    <row r="604" spans="9:14">
      <c r="I604" s="11" t="s">
        <v>3533</v>
      </c>
      <c r="J604" s="13">
        <v>1</v>
      </c>
      <c r="K604" s="9">
        <v>4187.79</v>
      </c>
      <c r="L604" s="9">
        <v>1236.7599999999998</v>
      </c>
      <c r="M604" s="13">
        <v>1</v>
      </c>
      <c r="N604" s="12">
        <v>0.29532521926839689</v>
      </c>
    </row>
    <row r="605" spans="9:14">
      <c r="I605" s="11" t="s">
        <v>3356</v>
      </c>
      <c r="J605" s="13">
        <v>1</v>
      </c>
      <c r="K605" s="9">
        <v>4187.79</v>
      </c>
      <c r="L605" s="9">
        <v>1236.7599999999998</v>
      </c>
      <c r="M605" s="13">
        <v>1</v>
      </c>
      <c r="N605" s="12">
        <v>0.29532521926839689</v>
      </c>
    </row>
    <row r="606" spans="9:14">
      <c r="I606" s="11" t="s">
        <v>8113</v>
      </c>
      <c r="J606" s="13">
        <v>1</v>
      </c>
      <c r="K606" s="9">
        <v>4184.2179999999998</v>
      </c>
      <c r="L606" s="9">
        <v>944.3779999999997</v>
      </c>
      <c r="M606" s="13">
        <v>1</v>
      </c>
      <c r="N606" s="12">
        <v>0.2256999993786174</v>
      </c>
    </row>
    <row r="607" spans="9:14">
      <c r="I607" s="11" t="s">
        <v>2414</v>
      </c>
      <c r="J607" s="13">
        <v>1</v>
      </c>
      <c r="K607" s="9">
        <v>4159.9359999999997</v>
      </c>
      <c r="L607" s="9">
        <v>873.93599999999969</v>
      </c>
      <c r="M607" s="13">
        <v>2</v>
      </c>
      <c r="N607" s="12">
        <v>0.21008400129232752</v>
      </c>
    </row>
    <row r="608" spans="9:14">
      <c r="I608" s="11" t="s">
        <v>6878</v>
      </c>
      <c r="J608" s="13">
        <v>1</v>
      </c>
      <c r="K608" s="9">
        <v>4148.28</v>
      </c>
      <c r="L608" s="9">
        <v>1267.6399999999999</v>
      </c>
      <c r="M608" s="13">
        <v>4</v>
      </c>
      <c r="N608" s="12">
        <v>0.30558207256983616</v>
      </c>
    </row>
    <row r="609" spans="9:14">
      <c r="I609" s="11" t="s">
        <v>13656</v>
      </c>
      <c r="J609" s="13">
        <v>1</v>
      </c>
      <c r="K609" s="9">
        <v>4148.28</v>
      </c>
      <c r="L609" s="9">
        <v>1267.6399999999999</v>
      </c>
      <c r="M609" s="13">
        <v>4</v>
      </c>
      <c r="N609" s="12">
        <v>0.30558207256983616</v>
      </c>
    </row>
    <row r="610" spans="9:14">
      <c r="I610" s="11" t="s">
        <v>8489</v>
      </c>
      <c r="J610" s="13">
        <v>1</v>
      </c>
      <c r="K610" s="9">
        <v>4093.3980000000001</v>
      </c>
      <c r="L610" s="9">
        <v>800.89800000000014</v>
      </c>
      <c r="M610" s="13">
        <v>3</v>
      </c>
      <c r="N610" s="12">
        <v>0.19565602953829558</v>
      </c>
    </row>
    <row r="611" spans="9:14">
      <c r="I611" s="11" t="s">
        <v>9129</v>
      </c>
      <c r="J611" s="13">
        <v>1</v>
      </c>
      <c r="K611" s="9">
        <v>4084.63</v>
      </c>
      <c r="L611" s="9">
        <v>1094.6199999999999</v>
      </c>
      <c r="M611" s="13">
        <v>1</v>
      </c>
      <c r="N611" s="12">
        <v>0.26798510513804186</v>
      </c>
    </row>
    <row r="612" spans="9:14">
      <c r="I612" s="11" t="s">
        <v>6389</v>
      </c>
      <c r="J612" s="13">
        <v>1</v>
      </c>
      <c r="K612" s="9">
        <v>4084.63</v>
      </c>
      <c r="L612" s="9">
        <v>1094.6199999999999</v>
      </c>
      <c r="M612" s="13">
        <v>1</v>
      </c>
      <c r="N612" s="12">
        <v>0.26798510513804186</v>
      </c>
    </row>
    <row r="613" spans="9:14">
      <c r="I613" s="11" t="s">
        <v>10805</v>
      </c>
      <c r="J613" s="13">
        <v>1</v>
      </c>
      <c r="K613" s="9">
        <v>4084.63</v>
      </c>
      <c r="L613" s="9">
        <v>1094.6199999999999</v>
      </c>
      <c r="M613" s="13">
        <v>1</v>
      </c>
      <c r="N613" s="12">
        <v>0.26798510513804186</v>
      </c>
    </row>
    <row r="614" spans="9:14">
      <c r="I614" s="11" t="s">
        <v>9886</v>
      </c>
      <c r="J614" s="13">
        <v>1</v>
      </c>
      <c r="K614" s="9">
        <v>4084.63</v>
      </c>
      <c r="L614" s="9">
        <v>1094.6199999999999</v>
      </c>
      <c r="M614" s="13">
        <v>1</v>
      </c>
      <c r="N614" s="12">
        <v>0.26798510513804186</v>
      </c>
    </row>
    <row r="615" spans="9:14">
      <c r="I615" s="11" t="s">
        <v>12714</v>
      </c>
      <c r="J615" s="13">
        <v>1</v>
      </c>
      <c r="K615" s="9">
        <v>4058.64</v>
      </c>
      <c r="L615" s="9">
        <v>1165.71</v>
      </c>
      <c r="M615" s="13">
        <v>1</v>
      </c>
      <c r="N615" s="12">
        <v>0.28721690024244578</v>
      </c>
    </row>
    <row r="616" spans="9:14">
      <c r="I616" s="11" t="s">
        <v>7166</v>
      </c>
      <c r="J616" s="13">
        <v>1</v>
      </c>
      <c r="K616" s="9">
        <v>4058.64</v>
      </c>
      <c r="L616" s="9">
        <v>1165.71</v>
      </c>
      <c r="M616" s="13">
        <v>1</v>
      </c>
      <c r="N616" s="12">
        <v>0.28721690024244578</v>
      </c>
    </row>
    <row r="617" spans="9:14">
      <c r="I617" s="11" t="s">
        <v>4108</v>
      </c>
      <c r="J617" s="13">
        <v>1</v>
      </c>
      <c r="K617" s="9">
        <v>3989.7624999999998</v>
      </c>
      <c r="L617" s="9">
        <v>1443.1924999999997</v>
      </c>
      <c r="M617" s="13">
        <v>1</v>
      </c>
      <c r="N617" s="12">
        <v>0.36172391213762717</v>
      </c>
    </row>
    <row r="618" spans="9:14">
      <c r="I618" s="11" t="s">
        <v>12238</v>
      </c>
      <c r="J618" s="13">
        <v>1</v>
      </c>
      <c r="K618" s="9">
        <v>3989.7624999999998</v>
      </c>
      <c r="L618" s="9">
        <v>1443.1924999999997</v>
      </c>
      <c r="M618" s="13">
        <v>1</v>
      </c>
      <c r="N618" s="12">
        <v>0.36172391213762717</v>
      </c>
    </row>
    <row r="619" spans="9:14">
      <c r="I619" s="11" t="s">
        <v>14968</v>
      </c>
      <c r="J619" s="13">
        <v>1</v>
      </c>
      <c r="K619" s="9">
        <v>3978.4004999999997</v>
      </c>
      <c r="L619" s="9">
        <v>1027.3704999999995</v>
      </c>
      <c r="M619" s="13">
        <v>1</v>
      </c>
      <c r="N619" s="12">
        <v>0.25823707291410192</v>
      </c>
    </row>
    <row r="620" spans="9:14">
      <c r="I620" s="11" t="s">
        <v>787</v>
      </c>
      <c r="J620" s="13">
        <v>1</v>
      </c>
      <c r="K620" s="9">
        <v>3956.4355</v>
      </c>
      <c r="L620" s="9">
        <v>1281.2555000000002</v>
      </c>
      <c r="M620" s="13">
        <v>1</v>
      </c>
      <c r="N620" s="12">
        <v>0.32384086635558706</v>
      </c>
    </row>
    <row r="621" spans="9:14">
      <c r="I621" s="11" t="s">
        <v>5298</v>
      </c>
      <c r="J621" s="13">
        <v>1</v>
      </c>
      <c r="K621" s="9">
        <v>3956.4355</v>
      </c>
      <c r="L621" s="9">
        <v>1281.2555000000002</v>
      </c>
      <c r="M621" s="13">
        <v>1</v>
      </c>
      <c r="N621" s="12">
        <v>0.32384086635558706</v>
      </c>
    </row>
    <row r="622" spans="9:14">
      <c r="I622" s="11" t="s">
        <v>4877</v>
      </c>
      <c r="J622" s="13">
        <v>1</v>
      </c>
      <c r="K622" s="9">
        <v>3897.08</v>
      </c>
      <c r="L622" s="9">
        <v>682.61999999999989</v>
      </c>
      <c r="M622" s="13">
        <v>1</v>
      </c>
      <c r="N622" s="12">
        <v>0.17516191610128606</v>
      </c>
    </row>
    <row r="623" spans="9:14">
      <c r="I623" s="11" t="s">
        <v>7154</v>
      </c>
      <c r="J623" s="13">
        <v>1</v>
      </c>
      <c r="K623" s="9">
        <v>3882.5074999999997</v>
      </c>
      <c r="L623" s="9">
        <v>907.35750000000007</v>
      </c>
      <c r="M623" s="13">
        <v>5</v>
      </c>
      <c r="N623" s="12">
        <v>0.23370399155700283</v>
      </c>
    </row>
    <row r="624" spans="9:14">
      <c r="I624" s="11" t="s">
        <v>11125</v>
      </c>
      <c r="J624" s="13">
        <v>1</v>
      </c>
      <c r="K624" s="9">
        <v>3880.4454999999998</v>
      </c>
      <c r="L624" s="9">
        <v>222.10549999999967</v>
      </c>
      <c r="M624" s="13">
        <v>1</v>
      </c>
      <c r="N624" s="12">
        <v>5.723711362522671E-2</v>
      </c>
    </row>
    <row r="625" spans="9:14">
      <c r="I625" s="11" t="s">
        <v>9781</v>
      </c>
      <c r="J625" s="13">
        <v>1</v>
      </c>
      <c r="K625" s="9">
        <v>3877.9560000000001</v>
      </c>
      <c r="L625" s="9">
        <v>585.45600000000013</v>
      </c>
      <c r="M625" s="13">
        <v>3</v>
      </c>
      <c r="N625" s="12">
        <v>0.15097025340153425</v>
      </c>
    </row>
    <row r="626" spans="9:14">
      <c r="I626" s="11" t="s">
        <v>7234</v>
      </c>
      <c r="J626" s="13">
        <v>2</v>
      </c>
      <c r="K626" s="9">
        <v>3848.9929999999995</v>
      </c>
      <c r="L626" s="9">
        <v>1101.473</v>
      </c>
      <c r="M626" s="13">
        <v>2</v>
      </c>
      <c r="N626" s="12">
        <v>0.28617173374958077</v>
      </c>
    </row>
    <row r="627" spans="9:14">
      <c r="I627" s="11" t="s">
        <v>138</v>
      </c>
      <c r="J627" s="13">
        <v>1</v>
      </c>
      <c r="K627" s="9">
        <v>3815.8269999999998</v>
      </c>
      <c r="L627" s="9">
        <v>438.00699999999961</v>
      </c>
      <c r="M627" s="13">
        <v>2</v>
      </c>
      <c r="N627" s="12">
        <v>0.11478691250939826</v>
      </c>
    </row>
    <row r="628" spans="9:14">
      <c r="I628" s="11" t="s">
        <v>1231</v>
      </c>
      <c r="J628" s="13">
        <v>1</v>
      </c>
      <c r="K628" s="9">
        <v>3779.0099999999998</v>
      </c>
      <c r="L628" s="9">
        <v>858.35999999999967</v>
      </c>
      <c r="M628" s="13">
        <v>1</v>
      </c>
      <c r="N628" s="12">
        <v>0.22713885382679583</v>
      </c>
    </row>
    <row r="629" spans="9:14">
      <c r="I629" s="11" t="s">
        <v>10474</v>
      </c>
      <c r="J629" s="13">
        <v>1</v>
      </c>
      <c r="K629" s="9">
        <v>3769.011</v>
      </c>
      <c r="L629" s="9">
        <v>817.98099999999977</v>
      </c>
      <c r="M629" s="13">
        <v>1</v>
      </c>
      <c r="N629" s="12">
        <v>0.21702802140932986</v>
      </c>
    </row>
    <row r="630" spans="9:14">
      <c r="I630" s="11" t="s">
        <v>12142</v>
      </c>
      <c r="J630" s="13">
        <v>1</v>
      </c>
      <c r="K630" s="9">
        <v>3759.6350000000002</v>
      </c>
      <c r="L630" s="9">
        <v>118.85500000000002</v>
      </c>
      <c r="M630" s="13">
        <v>2</v>
      </c>
      <c r="N630" s="12">
        <v>3.1613441198414208E-2</v>
      </c>
    </row>
    <row r="631" spans="9:14">
      <c r="I631" s="11" t="s">
        <v>10166</v>
      </c>
      <c r="J631" s="13">
        <v>1</v>
      </c>
      <c r="K631" s="9">
        <v>3759.6350000000002</v>
      </c>
      <c r="L631" s="9">
        <v>118.85500000000002</v>
      </c>
      <c r="M631" s="13">
        <v>2</v>
      </c>
      <c r="N631" s="12">
        <v>3.1613441198414208E-2</v>
      </c>
    </row>
    <row r="632" spans="9:14">
      <c r="I632" s="11" t="s">
        <v>651</v>
      </c>
      <c r="J632" s="13">
        <v>1</v>
      </c>
      <c r="K632" s="9">
        <v>3718.64</v>
      </c>
      <c r="L632" s="9">
        <v>697.25999999999976</v>
      </c>
      <c r="M632" s="13">
        <v>1</v>
      </c>
      <c r="N632" s="12">
        <v>0.18750403373276245</v>
      </c>
    </row>
    <row r="633" spans="9:14">
      <c r="I633" s="11" t="s">
        <v>11610</v>
      </c>
      <c r="J633" s="13">
        <v>1</v>
      </c>
      <c r="K633" s="9">
        <v>3702.2260000000001</v>
      </c>
      <c r="L633" s="9">
        <v>487.76600000000008</v>
      </c>
      <c r="M633" s="13">
        <v>1</v>
      </c>
      <c r="N633" s="12">
        <v>0.13174938536977485</v>
      </c>
    </row>
    <row r="634" spans="9:14">
      <c r="I634" s="11" t="s">
        <v>3905</v>
      </c>
      <c r="J634" s="13">
        <v>1</v>
      </c>
      <c r="K634" s="9">
        <v>3683.7</v>
      </c>
      <c r="L634" s="9">
        <v>1028.2999999999997</v>
      </c>
      <c r="M634" s="13">
        <v>2</v>
      </c>
      <c r="N634" s="12">
        <v>0.27914868203165288</v>
      </c>
    </row>
    <row r="635" spans="9:14">
      <c r="I635" s="11" t="s">
        <v>11051</v>
      </c>
      <c r="J635" s="13">
        <v>1</v>
      </c>
      <c r="K635" s="9">
        <v>3683.7</v>
      </c>
      <c r="L635" s="9">
        <v>1028.2999999999997</v>
      </c>
      <c r="M635" s="13">
        <v>2</v>
      </c>
      <c r="N635" s="12">
        <v>0.27914868203165288</v>
      </c>
    </row>
    <row r="636" spans="9:14">
      <c r="I636" s="11" t="s">
        <v>7927</v>
      </c>
      <c r="J636" s="13">
        <v>1</v>
      </c>
      <c r="K636" s="9">
        <v>3676.1669999999999</v>
      </c>
      <c r="L636" s="9">
        <v>686.1569999999997</v>
      </c>
      <c r="M636" s="13">
        <v>1</v>
      </c>
      <c r="N636" s="12">
        <v>0.18665011682004645</v>
      </c>
    </row>
    <row r="637" spans="9:14">
      <c r="I637" s="11" t="s">
        <v>813</v>
      </c>
      <c r="J637" s="13">
        <v>1</v>
      </c>
      <c r="K637" s="9">
        <v>3661.03</v>
      </c>
      <c r="L637" s="9">
        <v>1072.4700000000003</v>
      </c>
      <c r="M637" s="13">
        <v>1</v>
      </c>
      <c r="N637" s="12">
        <v>0.29294215015992775</v>
      </c>
    </row>
    <row r="638" spans="9:14">
      <c r="I638" s="11" t="s">
        <v>863</v>
      </c>
      <c r="J638" s="13">
        <v>1</v>
      </c>
      <c r="K638" s="9">
        <v>3597.2370000000001</v>
      </c>
      <c r="L638" s="9">
        <v>723.62699999999995</v>
      </c>
      <c r="M638" s="13">
        <v>3</v>
      </c>
      <c r="N638" s="12">
        <v>0.20116189175191959</v>
      </c>
    </row>
    <row r="639" spans="9:14">
      <c r="I639" s="11" t="s">
        <v>6594</v>
      </c>
      <c r="J639" s="13">
        <v>1</v>
      </c>
      <c r="K639" s="9">
        <v>3594.62</v>
      </c>
      <c r="L639" s="9">
        <v>1079.7599999999998</v>
      </c>
      <c r="M639" s="13">
        <v>2</v>
      </c>
      <c r="N639" s="12">
        <v>0.3003822378999727</v>
      </c>
    </row>
    <row r="640" spans="9:14">
      <c r="I640" s="11" t="s">
        <v>14634</v>
      </c>
      <c r="J640" s="13">
        <v>1</v>
      </c>
      <c r="K640" s="9">
        <v>3581.9</v>
      </c>
      <c r="L640" s="9">
        <v>811.7800000000002</v>
      </c>
      <c r="M640" s="13">
        <v>1</v>
      </c>
      <c r="N640" s="12">
        <v>0.22663390937770461</v>
      </c>
    </row>
    <row r="641" spans="9:14">
      <c r="I641" s="11" t="s">
        <v>12196</v>
      </c>
      <c r="J641" s="13">
        <v>1</v>
      </c>
      <c r="K641" s="9">
        <v>3567.3</v>
      </c>
      <c r="L641" s="9">
        <v>1309.4000000000001</v>
      </c>
      <c r="M641" s="13">
        <v>2</v>
      </c>
      <c r="N641" s="12">
        <v>0.36705631710257058</v>
      </c>
    </row>
    <row r="642" spans="9:14">
      <c r="I642" s="11" t="s">
        <v>7050</v>
      </c>
      <c r="J642" s="13">
        <v>1</v>
      </c>
      <c r="K642" s="9">
        <v>3532.7079999999996</v>
      </c>
      <c r="L642" s="9">
        <v>511.32799999999952</v>
      </c>
      <c r="M642" s="13">
        <v>1</v>
      </c>
      <c r="N642" s="12">
        <v>0.1447410881397499</v>
      </c>
    </row>
    <row r="643" spans="9:14">
      <c r="I643" s="11" t="s">
        <v>13454</v>
      </c>
      <c r="J643" s="13">
        <v>1</v>
      </c>
      <c r="K643" s="9">
        <v>3507.3719999999998</v>
      </c>
      <c r="L643" s="9">
        <v>292.91199999999981</v>
      </c>
      <c r="M643" s="13">
        <v>1</v>
      </c>
      <c r="N643" s="12">
        <v>8.3513240112540049E-2</v>
      </c>
    </row>
    <row r="644" spans="9:14">
      <c r="I644" s="11" t="s">
        <v>9679</v>
      </c>
      <c r="J644" s="13">
        <v>1</v>
      </c>
      <c r="K644" s="9">
        <v>3493.25</v>
      </c>
      <c r="L644" s="9">
        <v>943.17000000000007</v>
      </c>
      <c r="M644" s="13">
        <v>1</v>
      </c>
      <c r="N644" s="12">
        <v>0.26999785300221857</v>
      </c>
    </row>
    <row r="645" spans="9:14">
      <c r="I645" s="11" t="s">
        <v>7000</v>
      </c>
      <c r="J645" s="13">
        <v>1</v>
      </c>
      <c r="K645" s="9">
        <v>3477.9785000000002</v>
      </c>
      <c r="L645" s="9">
        <v>889.41850000000022</v>
      </c>
      <c r="M645" s="13">
        <v>1</v>
      </c>
      <c r="N645" s="12">
        <v>0.25572857911571339</v>
      </c>
    </row>
    <row r="646" spans="9:14">
      <c r="I646" s="11" t="s">
        <v>901</v>
      </c>
      <c r="J646" s="13">
        <v>1</v>
      </c>
      <c r="K646" s="9">
        <v>3477.9785000000002</v>
      </c>
      <c r="L646" s="9">
        <v>889.41850000000022</v>
      </c>
      <c r="M646" s="13">
        <v>1</v>
      </c>
      <c r="N646" s="12">
        <v>0.25572857911571339</v>
      </c>
    </row>
    <row r="647" spans="9:14">
      <c r="I647" s="11" t="s">
        <v>15538</v>
      </c>
      <c r="J647" s="13">
        <v>1</v>
      </c>
      <c r="K647" s="9">
        <v>3430.41</v>
      </c>
      <c r="L647" s="9">
        <v>517.84999999999991</v>
      </c>
      <c r="M647" s="13">
        <v>1</v>
      </c>
      <c r="N647" s="12">
        <v>0.15095863176704824</v>
      </c>
    </row>
    <row r="648" spans="9:14">
      <c r="I648" s="11" t="s">
        <v>4651</v>
      </c>
      <c r="J648" s="13">
        <v>1</v>
      </c>
      <c r="K648" s="9">
        <v>3430.41</v>
      </c>
      <c r="L648" s="9">
        <v>517.84999999999991</v>
      </c>
      <c r="M648" s="13">
        <v>1</v>
      </c>
      <c r="N648" s="12">
        <v>0.15095863176704824</v>
      </c>
    </row>
    <row r="649" spans="9:14">
      <c r="I649" s="11" t="s">
        <v>10825</v>
      </c>
      <c r="J649" s="13">
        <v>1</v>
      </c>
      <c r="K649" s="9">
        <v>3430.41</v>
      </c>
      <c r="L649" s="9">
        <v>517.84999999999991</v>
      </c>
      <c r="M649" s="13">
        <v>1</v>
      </c>
      <c r="N649" s="12">
        <v>0.15095863176704824</v>
      </c>
    </row>
    <row r="650" spans="9:14">
      <c r="I650" s="11" t="s">
        <v>7981</v>
      </c>
      <c r="J650" s="13">
        <v>1</v>
      </c>
      <c r="K650" s="9">
        <v>3429.74</v>
      </c>
      <c r="L650" s="9">
        <v>1257.3499999999999</v>
      </c>
      <c r="M650" s="13">
        <v>1</v>
      </c>
      <c r="N650" s="12">
        <v>0.36660213310629958</v>
      </c>
    </row>
    <row r="651" spans="9:14">
      <c r="I651" s="11" t="s">
        <v>8041</v>
      </c>
      <c r="J651" s="13">
        <v>1</v>
      </c>
      <c r="K651" s="9">
        <v>3429.74</v>
      </c>
      <c r="L651" s="9">
        <v>1257.3499999999999</v>
      </c>
      <c r="M651" s="13">
        <v>1</v>
      </c>
      <c r="N651" s="12">
        <v>0.36660213310629958</v>
      </c>
    </row>
    <row r="652" spans="9:14">
      <c r="I652" s="11" t="s">
        <v>4187</v>
      </c>
      <c r="J652" s="13">
        <v>1</v>
      </c>
      <c r="K652" s="9">
        <v>3429.74</v>
      </c>
      <c r="L652" s="9">
        <v>1257.3499999999999</v>
      </c>
      <c r="M652" s="13">
        <v>1</v>
      </c>
      <c r="N652" s="12">
        <v>0.36660213310629958</v>
      </c>
    </row>
    <row r="653" spans="9:14">
      <c r="I653" s="11" t="s">
        <v>3450</v>
      </c>
      <c r="J653" s="13">
        <v>1</v>
      </c>
      <c r="K653" s="9">
        <v>3429.74</v>
      </c>
      <c r="L653" s="9">
        <v>1257.3499999999999</v>
      </c>
      <c r="M653" s="13">
        <v>1</v>
      </c>
      <c r="N653" s="12">
        <v>0.36660213310629958</v>
      </c>
    </row>
    <row r="654" spans="9:14">
      <c r="I654" s="11" t="s">
        <v>4412</v>
      </c>
      <c r="J654" s="13">
        <v>1</v>
      </c>
      <c r="K654" s="9">
        <v>3429.74</v>
      </c>
      <c r="L654" s="9">
        <v>1257.3499999999999</v>
      </c>
      <c r="M654" s="13">
        <v>1</v>
      </c>
      <c r="N654" s="12">
        <v>0.36660213310629958</v>
      </c>
    </row>
    <row r="655" spans="9:14">
      <c r="I655" s="11" t="s">
        <v>6930</v>
      </c>
      <c r="J655" s="13">
        <v>1</v>
      </c>
      <c r="K655" s="9">
        <v>3429.74</v>
      </c>
      <c r="L655" s="9">
        <v>1257.3499999999999</v>
      </c>
      <c r="M655" s="13">
        <v>1</v>
      </c>
      <c r="N655" s="12">
        <v>0.36660213310629958</v>
      </c>
    </row>
    <row r="656" spans="9:14">
      <c r="I656" s="11" t="s">
        <v>12827</v>
      </c>
      <c r="J656" s="13">
        <v>1</v>
      </c>
      <c r="K656" s="9">
        <v>3414.8890000000001</v>
      </c>
      <c r="L656" s="9">
        <v>900.029</v>
      </c>
      <c r="M656" s="13">
        <v>2</v>
      </c>
      <c r="N656" s="12">
        <v>0.26356025042102393</v>
      </c>
    </row>
    <row r="657" spans="9:14">
      <c r="I657" s="11" t="s">
        <v>8019</v>
      </c>
      <c r="J657" s="13">
        <v>1</v>
      </c>
      <c r="K657" s="9">
        <v>3404.8</v>
      </c>
      <c r="L657" s="9">
        <v>835.02</v>
      </c>
      <c r="M657" s="13">
        <v>2</v>
      </c>
      <c r="N657" s="12">
        <v>0.24524788533834585</v>
      </c>
    </row>
    <row r="658" spans="9:14">
      <c r="I658" s="11" t="s">
        <v>1844</v>
      </c>
      <c r="J658" s="13">
        <v>1</v>
      </c>
      <c r="K658" s="9">
        <v>3397.3905</v>
      </c>
      <c r="L658" s="9">
        <v>523.78049999999985</v>
      </c>
      <c r="M658" s="13">
        <v>3</v>
      </c>
      <c r="N658" s="12">
        <v>0.15417141479615012</v>
      </c>
    </row>
    <row r="659" spans="9:14">
      <c r="I659" s="11" t="s">
        <v>7660</v>
      </c>
      <c r="J659" s="13">
        <v>2</v>
      </c>
      <c r="K659" s="9">
        <v>3388.9350000000004</v>
      </c>
      <c r="L659" s="9">
        <v>1131.0350000000001</v>
      </c>
      <c r="M659" s="13">
        <v>2</v>
      </c>
      <c r="N659" s="12">
        <v>0.33374349168691636</v>
      </c>
    </row>
    <row r="660" spans="9:14">
      <c r="I660" s="11" t="s">
        <v>9274</v>
      </c>
      <c r="J660" s="13">
        <v>1</v>
      </c>
      <c r="K660" s="9">
        <v>3355.04</v>
      </c>
      <c r="L660" s="9">
        <v>1441.03</v>
      </c>
      <c r="M660" s="13">
        <v>1</v>
      </c>
      <c r="N660" s="12">
        <v>0.42951201774047404</v>
      </c>
    </row>
    <row r="661" spans="9:14">
      <c r="I661" s="11" t="s">
        <v>14296</v>
      </c>
      <c r="J661" s="13">
        <v>1</v>
      </c>
      <c r="K661" s="9">
        <v>3355.04</v>
      </c>
      <c r="L661" s="9">
        <v>1441.03</v>
      </c>
      <c r="M661" s="13">
        <v>1</v>
      </c>
      <c r="N661" s="12">
        <v>0.42951201774047404</v>
      </c>
    </row>
    <row r="662" spans="9:14">
      <c r="I662" s="11" t="s">
        <v>14783</v>
      </c>
      <c r="J662" s="13">
        <v>1</v>
      </c>
      <c r="K662" s="9">
        <v>3346.7759999999998</v>
      </c>
      <c r="L662" s="9">
        <v>325.39599999999973</v>
      </c>
      <c r="M662" s="13">
        <v>1</v>
      </c>
      <c r="N662" s="12">
        <v>9.7226704147513832E-2</v>
      </c>
    </row>
    <row r="663" spans="9:14">
      <c r="I663" s="11" t="s">
        <v>6372</v>
      </c>
      <c r="J663" s="13">
        <v>1</v>
      </c>
      <c r="K663" s="9">
        <v>3333.86</v>
      </c>
      <c r="L663" s="9">
        <v>1366.7800000000002</v>
      </c>
      <c r="M663" s="13">
        <v>2</v>
      </c>
      <c r="N663" s="12">
        <v>0.40996922486247178</v>
      </c>
    </row>
    <row r="664" spans="9:14">
      <c r="I664" s="11" t="s">
        <v>481</v>
      </c>
      <c r="J664" s="13">
        <v>1</v>
      </c>
      <c r="K664" s="9">
        <v>3333.86</v>
      </c>
      <c r="L664" s="9">
        <v>1366.7800000000002</v>
      </c>
      <c r="M664" s="13">
        <v>2</v>
      </c>
      <c r="N664" s="12">
        <v>0.40996922486247178</v>
      </c>
    </row>
    <row r="665" spans="9:14">
      <c r="I665" s="11" t="s">
        <v>2020</v>
      </c>
      <c r="J665" s="13">
        <v>1</v>
      </c>
      <c r="K665" s="9">
        <v>3333.86</v>
      </c>
      <c r="L665" s="9">
        <v>1366.7800000000002</v>
      </c>
      <c r="M665" s="13">
        <v>2</v>
      </c>
      <c r="N665" s="12">
        <v>0.40996922486247178</v>
      </c>
    </row>
    <row r="666" spans="9:14">
      <c r="I666" s="11" t="s">
        <v>5040</v>
      </c>
      <c r="J666" s="13">
        <v>1</v>
      </c>
      <c r="K666" s="9">
        <v>3317.98</v>
      </c>
      <c r="L666" s="9">
        <v>1166.42</v>
      </c>
      <c r="M666" s="13">
        <v>1</v>
      </c>
      <c r="N666" s="12">
        <v>0.35154521727074911</v>
      </c>
    </row>
    <row r="667" spans="9:14">
      <c r="I667" s="11" t="s">
        <v>10632</v>
      </c>
      <c r="J667" s="13">
        <v>1</v>
      </c>
      <c r="K667" s="9">
        <v>3317.98</v>
      </c>
      <c r="L667" s="9">
        <v>1166.42</v>
      </c>
      <c r="M667" s="13">
        <v>1</v>
      </c>
      <c r="N667" s="12">
        <v>0.35154521727074911</v>
      </c>
    </row>
    <row r="668" spans="9:14">
      <c r="I668" s="11" t="s">
        <v>3110</v>
      </c>
      <c r="J668" s="13">
        <v>1</v>
      </c>
      <c r="K668" s="9">
        <v>3315.33</v>
      </c>
      <c r="L668" s="9">
        <v>659.92999999999984</v>
      </c>
      <c r="M668" s="13">
        <v>2</v>
      </c>
      <c r="N668" s="12">
        <v>0.19905409114628103</v>
      </c>
    </row>
    <row r="669" spans="9:14">
      <c r="I669" s="11" t="s">
        <v>1824</v>
      </c>
      <c r="J669" s="13">
        <v>1</v>
      </c>
      <c r="K669" s="9">
        <v>3309.4</v>
      </c>
      <c r="L669" s="9">
        <v>565.36000000000013</v>
      </c>
      <c r="M669" s="13">
        <v>1</v>
      </c>
      <c r="N669" s="12">
        <v>0.17083459237323989</v>
      </c>
    </row>
    <row r="670" spans="9:14">
      <c r="I670" s="11" t="s">
        <v>10751</v>
      </c>
      <c r="J670" s="13">
        <v>1</v>
      </c>
      <c r="K670" s="9">
        <v>3309.4</v>
      </c>
      <c r="L670" s="9">
        <v>565.36000000000013</v>
      </c>
      <c r="M670" s="13">
        <v>1</v>
      </c>
      <c r="N670" s="12">
        <v>0.17083459237323989</v>
      </c>
    </row>
    <row r="671" spans="9:14">
      <c r="I671" s="11" t="s">
        <v>4671</v>
      </c>
      <c r="J671" s="13">
        <v>1</v>
      </c>
      <c r="K671" s="9">
        <v>3309.4</v>
      </c>
      <c r="L671" s="9">
        <v>565.36000000000013</v>
      </c>
      <c r="M671" s="13">
        <v>1</v>
      </c>
      <c r="N671" s="12">
        <v>0.17083459237323989</v>
      </c>
    </row>
    <row r="672" spans="9:14">
      <c r="I672" s="11" t="s">
        <v>12734</v>
      </c>
      <c r="J672" s="13">
        <v>1</v>
      </c>
      <c r="K672" s="9">
        <v>3294.9270000000001</v>
      </c>
      <c r="L672" s="9">
        <v>706.36700000000019</v>
      </c>
      <c r="M672" s="13">
        <v>1</v>
      </c>
      <c r="N672" s="12">
        <v>0.21438016684436412</v>
      </c>
    </row>
    <row r="673" spans="9:14">
      <c r="I673" s="11" t="s">
        <v>4352</v>
      </c>
      <c r="J673" s="13">
        <v>1</v>
      </c>
      <c r="K673" s="9">
        <v>3294.9270000000001</v>
      </c>
      <c r="L673" s="9">
        <v>706.36700000000019</v>
      </c>
      <c r="M673" s="13">
        <v>1</v>
      </c>
      <c r="N673" s="12">
        <v>0.21438016684436412</v>
      </c>
    </row>
    <row r="674" spans="9:14">
      <c r="I674" s="11" t="s">
        <v>9349</v>
      </c>
      <c r="J674" s="13">
        <v>1</v>
      </c>
      <c r="K674" s="9">
        <v>3285.82</v>
      </c>
      <c r="L674" s="9">
        <v>1028.8500000000004</v>
      </c>
      <c r="M674" s="13">
        <v>1</v>
      </c>
      <c r="N674" s="12">
        <v>0.31311818663225627</v>
      </c>
    </row>
    <row r="675" spans="9:14">
      <c r="I675" s="11" t="s">
        <v>8302</v>
      </c>
      <c r="J675" s="13">
        <v>1</v>
      </c>
      <c r="K675" s="9">
        <v>3285.82</v>
      </c>
      <c r="L675" s="9">
        <v>1028.8500000000004</v>
      </c>
      <c r="M675" s="13">
        <v>1</v>
      </c>
      <c r="N675" s="12">
        <v>0.31311818663225627</v>
      </c>
    </row>
    <row r="676" spans="9:14">
      <c r="I676" s="11" t="s">
        <v>15409</v>
      </c>
      <c r="J676" s="13">
        <v>1</v>
      </c>
      <c r="K676" s="9">
        <v>3285.82</v>
      </c>
      <c r="L676" s="9">
        <v>1028.8500000000004</v>
      </c>
      <c r="M676" s="13">
        <v>1</v>
      </c>
      <c r="N676" s="12">
        <v>0.31311818663225627</v>
      </c>
    </row>
    <row r="677" spans="9:14">
      <c r="I677" s="11" t="s">
        <v>14804</v>
      </c>
      <c r="J677" s="13">
        <v>1</v>
      </c>
      <c r="K677" s="9">
        <v>3285.82</v>
      </c>
      <c r="L677" s="9">
        <v>1028.8500000000004</v>
      </c>
      <c r="M677" s="13">
        <v>1</v>
      </c>
      <c r="N677" s="12">
        <v>0.31311818663225627</v>
      </c>
    </row>
    <row r="678" spans="9:14">
      <c r="I678" s="11" t="s">
        <v>13646</v>
      </c>
      <c r="J678" s="13">
        <v>1</v>
      </c>
      <c r="K678" s="9">
        <v>3274.9920000000002</v>
      </c>
      <c r="L678" s="9">
        <v>1087.672</v>
      </c>
      <c r="M678" s="13">
        <v>4</v>
      </c>
      <c r="N678" s="12">
        <v>0.33211439905807405</v>
      </c>
    </row>
    <row r="679" spans="9:14">
      <c r="I679" s="11" t="s">
        <v>9495</v>
      </c>
      <c r="J679" s="13">
        <v>1</v>
      </c>
      <c r="K679" s="9">
        <v>3205.72</v>
      </c>
      <c r="L679" s="9">
        <v>1037.7799999999997</v>
      </c>
      <c r="M679" s="13">
        <v>1</v>
      </c>
      <c r="N679" s="12">
        <v>0.32372758693834763</v>
      </c>
    </row>
    <row r="680" spans="9:14">
      <c r="I680" s="11" t="s">
        <v>197</v>
      </c>
      <c r="J680" s="13">
        <v>1</v>
      </c>
      <c r="K680" s="9">
        <v>3205.72</v>
      </c>
      <c r="L680" s="9">
        <v>1037.7799999999997</v>
      </c>
      <c r="M680" s="13">
        <v>1</v>
      </c>
      <c r="N680" s="12">
        <v>0.32372758693834763</v>
      </c>
    </row>
    <row r="681" spans="9:14">
      <c r="I681" s="11" t="s">
        <v>3803</v>
      </c>
      <c r="J681" s="13">
        <v>1</v>
      </c>
      <c r="K681" s="9">
        <v>3205.72</v>
      </c>
      <c r="L681" s="9">
        <v>1037.7799999999997</v>
      </c>
      <c r="M681" s="13">
        <v>1</v>
      </c>
      <c r="N681" s="12">
        <v>0.32372758693834763</v>
      </c>
    </row>
    <row r="682" spans="9:14">
      <c r="I682" s="11" t="s">
        <v>11132</v>
      </c>
      <c r="J682" s="13">
        <v>1</v>
      </c>
      <c r="K682" s="9">
        <v>3187.288</v>
      </c>
      <c r="L682" s="9">
        <v>1273.278</v>
      </c>
      <c r="M682" s="13">
        <v>1</v>
      </c>
      <c r="N682" s="12">
        <v>0.39948633446365689</v>
      </c>
    </row>
    <row r="683" spans="9:14">
      <c r="I683" s="11" t="s">
        <v>12134</v>
      </c>
      <c r="J683" s="13">
        <v>1</v>
      </c>
      <c r="K683" s="9">
        <v>3167.1669999999999</v>
      </c>
      <c r="L683" s="9">
        <v>1200.087</v>
      </c>
      <c r="M683" s="13">
        <v>2</v>
      </c>
      <c r="N683" s="12">
        <v>0.37891497353944392</v>
      </c>
    </row>
    <row r="684" spans="9:14">
      <c r="I684" s="11" t="s">
        <v>13682</v>
      </c>
      <c r="J684" s="13">
        <v>1</v>
      </c>
      <c r="K684" s="9">
        <v>3161.7000000000003</v>
      </c>
      <c r="L684" s="9">
        <v>1029.9300000000003</v>
      </c>
      <c r="M684" s="13">
        <v>3</v>
      </c>
      <c r="N684" s="12">
        <v>0.32575196887750268</v>
      </c>
    </row>
    <row r="685" spans="9:14">
      <c r="I685" s="11" t="s">
        <v>1435</v>
      </c>
      <c r="J685" s="13">
        <v>1</v>
      </c>
      <c r="K685" s="9">
        <v>3160.8440000000001</v>
      </c>
      <c r="L685" s="9">
        <v>139.46399999999994</v>
      </c>
      <c r="M685" s="13">
        <v>1</v>
      </c>
      <c r="N685" s="12">
        <v>4.4122392626779409E-2</v>
      </c>
    </row>
    <row r="686" spans="9:14">
      <c r="I686" s="11" t="s">
        <v>13970</v>
      </c>
      <c r="J686" s="13">
        <v>1</v>
      </c>
      <c r="K686" s="9">
        <v>3160.8440000000001</v>
      </c>
      <c r="L686" s="9">
        <v>139.46399999999994</v>
      </c>
      <c r="M686" s="13">
        <v>1</v>
      </c>
      <c r="N686" s="12">
        <v>4.4122392626779409E-2</v>
      </c>
    </row>
    <row r="687" spans="9:14">
      <c r="I687" s="11" t="s">
        <v>5938</v>
      </c>
      <c r="J687" s="13">
        <v>1</v>
      </c>
      <c r="K687" s="9">
        <v>3121.529</v>
      </c>
      <c r="L687" s="9">
        <v>864.5590000000002</v>
      </c>
      <c r="M687" s="13">
        <v>1</v>
      </c>
      <c r="N687" s="12">
        <v>0.27696651224448027</v>
      </c>
    </row>
    <row r="688" spans="9:14">
      <c r="I688" s="11" t="s">
        <v>6062</v>
      </c>
      <c r="J688" s="13">
        <v>1</v>
      </c>
      <c r="K688" s="9">
        <v>3121.529</v>
      </c>
      <c r="L688" s="9">
        <v>864.5590000000002</v>
      </c>
      <c r="M688" s="13">
        <v>1</v>
      </c>
      <c r="N688" s="12">
        <v>0.27696651224448027</v>
      </c>
    </row>
    <row r="689" spans="9:14">
      <c r="I689" s="11" t="s">
        <v>2960</v>
      </c>
      <c r="J689" s="13">
        <v>1</v>
      </c>
      <c r="K689" s="9">
        <v>3121.529</v>
      </c>
      <c r="L689" s="9">
        <v>864.5590000000002</v>
      </c>
      <c r="M689" s="13">
        <v>1</v>
      </c>
      <c r="N689" s="12">
        <v>0.27696651224448027</v>
      </c>
    </row>
    <row r="690" spans="9:14">
      <c r="I690" s="11" t="s">
        <v>6810</v>
      </c>
      <c r="J690" s="13">
        <v>1</v>
      </c>
      <c r="K690" s="9">
        <v>3111.21</v>
      </c>
      <c r="L690" s="9">
        <v>950.73</v>
      </c>
      <c r="M690" s="13">
        <v>3</v>
      </c>
      <c r="N690" s="12">
        <v>0.30558207256983616</v>
      </c>
    </row>
    <row r="691" spans="9:14">
      <c r="I691" s="11" t="s">
        <v>14800</v>
      </c>
      <c r="J691" s="13">
        <v>1</v>
      </c>
      <c r="K691" s="9">
        <v>3100.76</v>
      </c>
      <c r="L691" s="9">
        <v>709.40000000000009</v>
      </c>
      <c r="M691" s="13">
        <v>4</v>
      </c>
      <c r="N691" s="12">
        <v>0.22878262103484309</v>
      </c>
    </row>
    <row r="692" spans="9:14">
      <c r="I692" s="11" t="s">
        <v>11003</v>
      </c>
      <c r="J692" s="13">
        <v>1</v>
      </c>
      <c r="K692" s="9">
        <v>3087.3689999999997</v>
      </c>
      <c r="L692" s="9">
        <v>174.80899999999974</v>
      </c>
      <c r="M692" s="13">
        <v>1</v>
      </c>
      <c r="N692" s="12">
        <v>5.6620701963386873E-2</v>
      </c>
    </row>
    <row r="693" spans="9:14">
      <c r="I693" s="11" t="s">
        <v>8615</v>
      </c>
      <c r="J693" s="13">
        <v>1</v>
      </c>
      <c r="K693" s="9">
        <v>3082.2</v>
      </c>
      <c r="L693" s="9">
        <v>521.13999999999987</v>
      </c>
      <c r="M693" s="13">
        <v>1</v>
      </c>
      <c r="N693" s="12">
        <v>0.16908052689637268</v>
      </c>
    </row>
    <row r="694" spans="9:14">
      <c r="I694" s="11" t="s">
        <v>11434</v>
      </c>
      <c r="J694" s="13">
        <v>1</v>
      </c>
      <c r="K694" s="9">
        <v>3082.2</v>
      </c>
      <c r="L694" s="9">
        <v>521.13999999999987</v>
      </c>
      <c r="M694" s="13">
        <v>1</v>
      </c>
      <c r="N694" s="12">
        <v>0.16908052689637268</v>
      </c>
    </row>
    <row r="695" spans="9:14">
      <c r="I695" s="11" t="s">
        <v>8447</v>
      </c>
      <c r="J695" s="13">
        <v>1</v>
      </c>
      <c r="K695" s="9">
        <v>3064.32</v>
      </c>
      <c r="L695" s="9">
        <v>494.53999999999996</v>
      </c>
      <c r="M695" s="13">
        <v>2</v>
      </c>
      <c r="N695" s="12">
        <v>0.16138653926482871</v>
      </c>
    </row>
    <row r="696" spans="9:14">
      <c r="I696" s="11" t="s">
        <v>9514</v>
      </c>
      <c r="J696" s="13">
        <v>1</v>
      </c>
      <c r="K696" s="9">
        <v>3045.4339999999997</v>
      </c>
      <c r="L696" s="9">
        <v>877.49399999999969</v>
      </c>
      <c r="M696" s="13">
        <v>1</v>
      </c>
      <c r="N696" s="12">
        <v>0.28813430204036594</v>
      </c>
    </row>
    <row r="697" spans="9:14">
      <c r="I697" s="11" t="s">
        <v>8945</v>
      </c>
      <c r="J697" s="13">
        <v>1</v>
      </c>
      <c r="K697" s="9">
        <v>3045.4339999999997</v>
      </c>
      <c r="L697" s="9">
        <v>877.49399999999969</v>
      </c>
      <c r="M697" s="13">
        <v>1</v>
      </c>
      <c r="N697" s="12">
        <v>0.28813430204036594</v>
      </c>
    </row>
    <row r="698" spans="9:14">
      <c r="I698" s="11" t="s">
        <v>13554</v>
      </c>
      <c r="J698" s="13">
        <v>1</v>
      </c>
      <c r="K698" s="9">
        <v>3031.6229999999996</v>
      </c>
      <c r="L698" s="9">
        <v>879.13299999999981</v>
      </c>
      <c r="M698" s="13">
        <v>1</v>
      </c>
      <c r="N698" s="12">
        <v>0.28998757431250521</v>
      </c>
    </row>
    <row r="699" spans="9:14">
      <c r="I699" s="11" t="s">
        <v>14342</v>
      </c>
      <c r="J699" s="13">
        <v>1</v>
      </c>
      <c r="K699" s="9">
        <v>3031.6229999999996</v>
      </c>
      <c r="L699" s="9">
        <v>879.13299999999981</v>
      </c>
      <c r="M699" s="13">
        <v>1</v>
      </c>
      <c r="N699" s="12">
        <v>0.28998757431250521</v>
      </c>
    </row>
    <row r="700" spans="9:14">
      <c r="I700" s="11" t="s">
        <v>1024</v>
      </c>
      <c r="J700" s="13">
        <v>1</v>
      </c>
      <c r="K700" s="9">
        <v>3019.5360000000001</v>
      </c>
      <c r="L700" s="9">
        <v>1105.5260000000001</v>
      </c>
      <c r="M700" s="13">
        <v>1</v>
      </c>
      <c r="N700" s="12">
        <v>0.3661244641560823</v>
      </c>
    </row>
    <row r="701" spans="9:14">
      <c r="I701" s="11" t="s">
        <v>15230</v>
      </c>
      <c r="J701" s="13">
        <v>1</v>
      </c>
      <c r="K701" s="9">
        <v>3000.36</v>
      </c>
      <c r="L701" s="9">
        <v>996.12000000000012</v>
      </c>
      <c r="M701" s="13">
        <v>1</v>
      </c>
      <c r="N701" s="12">
        <v>0.33200015998080235</v>
      </c>
    </row>
    <row r="702" spans="9:14">
      <c r="I702" s="11" t="s">
        <v>5308</v>
      </c>
      <c r="J702" s="13">
        <v>1</v>
      </c>
      <c r="K702" s="9">
        <v>3000.36</v>
      </c>
      <c r="L702" s="9">
        <v>996.12000000000012</v>
      </c>
      <c r="M702" s="13">
        <v>1</v>
      </c>
      <c r="N702" s="12">
        <v>0.33200015998080235</v>
      </c>
    </row>
    <row r="703" spans="9:14">
      <c r="I703" s="11" t="s">
        <v>14984</v>
      </c>
      <c r="J703" s="13">
        <v>1</v>
      </c>
      <c r="K703" s="9">
        <v>2957.2799999999997</v>
      </c>
      <c r="L703" s="9">
        <v>947.69999999999982</v>
      </c>
      <c r="M703" s="13">
        <v>3</v>
      </c>
      <c r="N703" s="12">
        <v>0.32046339879889624</v>
      </c>
    </row>
    <row r="704" spans="9:14">
      <c r="I704" s="11" t="s">
        <v>10648</v>
      </c>
      <c r="J704" s="13">
        <v>1</v>
      </c>
      <c r="K704" s="9">
        <v>2957.2380000000003</v>
      </c>
      <c r="L704" s="9">
        <v>700.26800000000048</v>
      </c>
      <c r="M704" s="13">
        <v>1</v>
      </c>
      <c r="N704" s="12">
        <v>0.23679798514695144</v>
      </c>
    </row>
    <row r="705" spans="9:14">
      <c r="I705" s="11" t="s">
        <v>15581</v>
      </c>
      <c r="J705" s="13">
        <v>1</v>
      </c>
      <c r="K705" s="9">
        <v>2942.5320000000002</v>
      </c>
      <c r="L705" s="9">
        <v>562.41200000000026</v>
      </c>
      <c r="M705" s="13">
        <v>4</v>
      </c>
      <c r="N705" s="12">
        <v>0.19113199108794746</v>
      </c>
    </row>
    <row r="706" spans="9:14">
      <c r="I706" s="11" t="s">
        <v>11293</v>
      </c>
      <c r="J706" s="13">
        <v>1</v>
      </c>
      <c r="K706" s="9">
        <v>2850.3420000000001</v>
      </c>
      <c r="L706" s="9">
        <v>846.10200000000009</v>
      </c>
      <c r="M706" s="13">
        <v>1</v>
      </c>
      <c r="N706" s="12">
        <v>0.29684227366400245</v>
      </c>
    </row>
    <row r="707" spans="9:14">
      <c r="I707" s="11" t="s">
        <v>8702</v>
      </c>
      <c r="J707" s="13">
        <v>1</v>
      </c>
      <c r="K707" s="9">
        <v>2800.0889999999999</v>
      </c>
      <c r="L707" s="9">
        <v>639.60899999999992</v>
      </c>
      <c r="M707" s="13">
        <v>3</v>
      </c>
      <c r="N707" s="12">
        <v>0.22842452507759572</v>
      </c>
    </row>
    <row r="708" spans="9:14">
      <c r="I708" s="11" t="s">
        <v>3690</v>
      </c>
      <c r="J708" s="13">
        <v>1</v>
      </c>
      <c r="K708" s="9">
        <v>2773.9799999999996</v>
      </c>
      <c r="L708" s="9">
        <v>212.91999999999962</v>
      </c>
      <c r="M708" s="13">
        <v>1</v>
      </c>
      <c r="N708" s="12">
        <v>7.6756140995969557E-2</v>
      </c>
    </row>
    <row r="709" spans="9:14">
      <c r="I709" s="11" t="s">
        <v>2480</v>
      </c>
      <c r="J709" s="13">
        <v>1</v>
      </c>
      <c r="K709" s="9">
        <v>2769.82</v>
      </c>
      <c r="L709" s="9">
        <v>565.68000000000029</v>
      </c>
      <c r="M709" s="13">
        <v>2</v>
      </c>
      <c r="N709" s="12">
        <v>0.20422987775378915</v>
      </c>
    </row>
    <row r="710" spans="9:14">
      <c r="I710" s="11" t="s">
        <v>7104</v>
      </c>
      <c r="J710" s="13">
        <v>1</v>
      </c>
      <c r="K710" s="9">
        <v>2700.52</v>
      </c>
      <c r="L710" s="9">
        <v>658.72</v>
      </c>
      <c r="M710" s="13">
        <v>4</v>
      </c>
      <c r="N710" s="12">
        <v>0.2439233925318087</v>
      </c>
    </row>
    <row r="711" spans="9:14">
      <c r="I711" s="11" t="s">
        <v>2966</v>
      </c>
      <c r="J711" s="13">
        <v>1</v>
      </c>
      <c r="K711" s="9">
        <v>2699.55</v>
      </c>
      <c r="L711" s="9">
        <v>311.27</v>
      </c>
      <c r="M711" s="13">
        <v>2</v>
      </c>
      <c r="N711" s="12">
        <v>0.11530440258561611</v>
      </c>
    </row>
    <row r="712" spans="9:14">
      <c r="I712" s="11" t="s">
        <v>10007</v>
      </c>
      <c r="J712" s="13">
        <v>1</v>
      </c>
      <c r="K712" s="9">
        <v>2643.54</v>
      </c>
      <c r="L712" s="9">
        <v>763.5</v>
      </c>
      <c r="M712" s="13">
        <v>3</v>
      </c>
      <c r="N712" s="12">
        <v>0.28881726775460181</v>
      </c>
    </row>
    <row r="713" spans="9:14">
      <c r="I713" s="11" t="s">
        <v>15809</v>
      </c>
      <c r="J713" s="13">
        <v>1</v>
      </c>
      <c r="K713" s="9">
        <v>2643.54</v>
      </c>
      <c r="L713" s="9">
        <v>763.5</v>
      </c>
      <c r="M713" s="13">
        <v>3</v>
      </c>
      <c r="N713" s="12">
        <v>0.28881726775460181</v>
      </c>
    </row>
    <row r="714" spans="9:14">
      <c r="I714" s="11" t="s">
        <v>3560</v>
      </c>
      <c r="J714" s="13">
        <v>1</v>
      </c>
      <c r="K714" s="9">
        <v>2599.96</v>
      </c>
      <c r="L714" s="9">
        <v>956.96</v>
      </c>
      <c r="M714" s="13">
        <v>1</v>
      </c>
      <c r="N714" s="12">
        <v>0.36806720103386209</v>
      </c>
    </row>
    <row r="715" spans="9:14">
      <c r="I715" s="11" t="s">
        <v>3552</v>
      </c>
      <c r="J715" s="13">
        <v>2</v>
      </c>
      <c r="K715" s="9">
        <v>2599.5609999999997</v>
      </c>
      <c r="L715" s="9">
        <v>648.92099999999982</v>
      </c>
      <c r="M715" s="13">
        <v>2</v>
      </c>
      <c r="N715" s="12">
        <v>0.24962714858393395</v>
      </c>
    </row>
    <row r="716" spans="9:14">
      <c r="I716" s="11" t="s">
        <v>14346</v>
      </c>
      <c r="J716" s="13">
        <v>1</v>
      </c>
      <c r="K716" s="9">
        <v>2585.3040000000001</v>
      </c>
      <c r="L716" s="9">
        <v>390.30400000000009</v>
      </c>
      <c r="M716" s="13">
        <v>2</v>
      </c>
      <c r="N716" s="12">
        <v>0.15097025340153425</v>
      </c>
    </row>
    <row r="717" spans="9:14">
      <c r="I717" s="11" t="s">
        <v>14094</v>
      </c>
      <c r="J717" s="13">
        <v>1</v>
      </c>
      <c r="K717" s="9">
        <v>2564.62</v>
      </c>
      <c r="L717" s="9">
        <v>1046.6199999999999</v>
      </c>
      <c r="M717" s="13">
        <v>2</v>
      </c>
      <c r="N717" s="12">
        <v>0.40809944553189165</v>
      </c>
    </row>
    <row r="718" spans="9:14">
      <c r="I718" s="11" t="s">
        <v>10193</v>
      </c>
      <c r="J718" s="13">
        <v>1</v>
      </c>
      <c r="K718" s="9">
        <v>2492.8380000000002</v>
      </c>
      <c r="L718" s="9">
        <v>288.69800000000032</v>
      </c>
      <c r="M718" s="13">
        <v>2</v>
      </c>
      <c r="N718" s="12">
        <v>0.11581097528198796</v>
      </c>
    </row>
    <row r="719" spans="9:14">
      <c r="I719" s="11" t="s">
        <v>2398</v>
      </c>
      <c r="J719" s="13">
        <v>1</v>
      </c>
      <c r="K719" s="9">
        <v>2436.3890000000001</v>
      </c>
      <c r="L719" s="9">
        <v>918.38900000000012</v>
      </c>
      <c r="M719" s="13">
        <v>2</v>
      </c>
      <c r="N719" s="12">
        <v>0.37694678477041232</v>
      </c>
    </row>
    <row r="720" spans="9:14">
      <c r="I720" s="11" t="s">
        <v>6342</v>
      </c>
      <c r="J720" s="13">
        <v>1</v>
      </c>
      <c r="K720" s="9">
        <v>2339.9639999999999</v>
      </c>
      <c r="L720" s="9">
        <v>696.96399999999994</v>
      </c>
      <c r="M720" s="13">
        <v>1</v>
      </c>
      <c r="N720" s="12">
        <v>0.29785244559318003</v>
      </c>
    </row>
    <row r="721" spans="9:14">
      <c r="I721" s="11" t="s">
        <v>15829</v>
      </c>
      <c r="J721" s="13">
        <v>1</v>
      </c>
      <c r="K721" s="9">
        <v>2328.63</v>
      </c>
      <c r="L721" s="9">
        <v>381.6400000000001</v>
      </c>
      <c r="M721" s="13">
        <v>1</v>
      </c>
      <c r="N721" s="12">
        <v>0.16389035613214639</v>
      </c>
    </row>
    <row r="722" spans="9:14">
      <c r="I722" s="11" t="s">
        <v>10675</v>
      </c>
      <c r="J722" s="13">
        <v>1</v>
      </c>
      <c r="K722" s="9">
        <v>2328.63</v>
      </c>
      <c r="L722" s="9">
        <v>381.6400000000001</v>
      </c>
      <c r="M722" s="13">
        <v>1</v>
      </c>
      <c r="N722" s="12">
        <v>0.16389035613214639</v>
      </c>
    </row>
    <row r="723" spans="9:14">
      <c r="I723" s="11" t="s">
        <v>14040</v>
      </c>
      <c r="J723" s="13">
        <v>1</v>
      </c>
      <c r="K723" s="9">
        <v>2209.9659999999999</v>
      </c>
      <c r="L723" s="9">
        <v>566.96599999999989</v>
      </c>
      <c r="M723" s="13">
        <v>1</v>
      </c>
      <c r="N723" s="12">
        <v>0.25654964827513183</v>
      </c>
    </row>
    <row r="724" spans="9:14">
      <c r="I724" s="11" t="s">
        <v>6990</v>
      </c>
      <c r="J724" s="13">
        <v>1</v>
      </c>
      <c r="K724" s="9">
        <v>2209.9659999999999</v>
      </c>
      <c r="L724" s="9">
        <v>566.96599999999989</v>
      </c>
      <c r="M724" s="13">
        <v>1</v>
      </c>
      <c r="N724" s="12">
        <v>0.25654964827513183</v>
      </c>
    </row>
    <row r="725" spans="9:14">
      <c r="I725" s="11" t="s">
        <v>13578</v>
      </c>
      <c r="J725" s="13">
        <v>1</v>
      </c>
      <c r="K725" s="9">
        <v>2209.9659999999999</v>
      </c>
      <c r="L725" s="9">
        <v>566.96599999999989</v>
      </c>
      <c r="M725" s="13">
        <v>1</v>
      </c>
      <c r="N725" s="12">
        <v>0.25654964827513183</v>
      </c>
    </row>
    <row r="726" spans="9:14">
      <c r="I726" s="11" t="s">
        <v>11730</v>
      </c>
      <c r="J726" s="13">
        <v>1</v>
      </c>
      <c r="K726" s="9">
        <v>2206.8990000000003</v>
      </c>
      <c r="L726" s="9">
        <v>421.80900000000042</v>
      </c>
      <c r="M726" s="13">
        <v>3</v>
      </c>
      <c r="N726" s="12">
        <v>0.19113199108794754</v>
      </c>
    </row>
    <row r="727" spans="9:14">
      <c r="I727" s="11" t="s">
        <v>14731</v>
      </c>
      <c r="J727" s="13">
        <v>1</v>
      </c>
      <c r="K727" s="9">
        <v>2178.27</v>
      </c>
      <c r="L727" s="9">
        <v>783.41000000000008</v>
      </c>
      <c r="M727" s="13">
        <v>2</v>
      </c>
      <c r="N727" s="12">
        <v>0.35964779389148271</v>
      </c>
    </row>
    <row r="728" spans="9:14">
      <c r="I728" s="11" t="s">
        <v>2146</v>
      </c>
      <c r="J728" s="13">
        <v>1</v>
      </c>
      <c r="K728" s="9">
        <v>2172.92</v>
      </c>
      <c r="L728" s="9">
        <v>405.6400000000001</v>
      </c>
      <c r="M728" s="13">
        <v>4</v>
      </c>
      <c r="N728" s="12">
        <v>0.18667967527566595</v>
      </c>
    </row>
    <row r="729" spans="9:14">
      <c r="I729" s="11" t="s">
        <v>13388</v>
      </c>
      <c r="J729" s="13">
        <v>1</v>
      </c>
      <c r="K729" s="9">
        <v>2166.3040000000001</v>
      </c>
      <c r="L729" s="9">
        <v>638.82400000000007</v>
      </c>
      <c r="M729" s="13">
        <v>2</v>
      </c>
      <c r="N729" s="12">
        <v>0.2948912064050106</v>
      </c>
    </row>
    <row r="730" spans="9:14">
      <c r="I730" s="11" t="s">
        <v>8822</v>
      </c>
      <c r="J730" s="13">
        <v>1</v>
      </c>
      <c r="K730" s="9">
        <v>2161.8474999999999</v>
      </c>
      <c r="L730" s="9">
        <v>229.89750000000004</v>
      </c>
      <c r="M730" s="13">
        <v>5</v>
      </c>
      <c r="N730" s="12">
        <v>0.10634306998990449</v>
      </c>
    </row>
    <row r="731" spans="9:14">
      <c r="I731" s="11" t="s">
        <v>13912</v>
      </c>
      <c r="J731" s="13">
        <v>1</v>
      </c>
      <c r="K731" s="9">
        <v>2134.8019999999997</v>
      </c>
      <c r="L731" s="9">
        <v>803.30199999999968</v>
      </c>
      <c r="M731" s="13">
        <v>2</v>
      </c>
      <c r="N731" s="12">
        <v>0.37628876120595717</v>
      </c>
    </row>
    <row r="732" spans="9:14">
      <c r="I732" s="11" t="s">
        <v>6992</v>
      </c>
      <c r="J732" s="13">
        <v>1</v>
      </c>
      <c r="K732" s="9">
        <v>2134.8019999999997</v>
      </c>
      <c r="L732" s="9">
        <v>803.30199999999968</v>
      </c>
      <c r="M732" s="13">
        <v>2</v>
      </c>
      <c r="N732" s="12">
        <v>0.37628876120595717</v>
      </c>
    </row>
    <row r="733" spans="9:14">
      <c r="I733" s="11" t="s">
        <v>5505</v>
      </c>
      <c r="J733" s="13">
        <v>1</v>
      </c>
      <c r="K733" s="9">
        <v>2107.8000000000002</v>
      </c>
      <c r="L733" s="9">
        <v>686.62000000000012</v>
      </c>
      <c r="M733" s="13">
        <v>2</v>
      </c>
      <c r="N733" s="12">
        <v>0.32575196887750263</v>
      </c>
    </row>
    <row r="734" spans="9:14">
      <c r="I734" s="11" t="s">
        <v>9948</v>
      </c>
      <c r="J734" s="13">
        <v>1</v>
      </c>
      <c r="K734" s="9">
        <v>2086.0529999999999</v>
      </c>
      <c r="L734" s="9">
        <v>195.83299999999986</v>
      </c>
      <c r="M734" s="13">
        <v>2</v>
      </c>
      <c r="N734" s="12">
        <v>9.3877288832067002E-2</v>
      </c>
    </row>
    <row r="735" spans="9:14">
      <c r="I735" s="11" t="s">
        <v>1926</v>
      </c>
      <c r="J735" s="13">
        <v>1</v>
      </c>
      <c r="K735" s="9">
        <v>2074.14</v>
      </c>
      <c r="L735" s="9">
        <v>633.81999999999994</v>
      </c>
      <c r="M735" s="13">
        <v>2</v>
      </c>
      <c r="N735" s="12">
        <v>0.30558207256983616</v>
      </c>
    </row>
    <row r="736" spans="9:14">
      <c r="I736" s="11" t="s">
        <v>9449</v>
      </c>
      <c r="J736" s="13">
        <v>1</v>
      </c>
      <c r="K736" s="9">
        <v>2038.9</v>
      </c>
      <c r="L736" s="9">
        <v>672.54000000000019</v>
      </c>
      <c r="M736" s="13">
        <v>2</v>
      </c>
      <c r="N736" s="12">
        <v>0.32985433321889263</v>
      </c>
    </row>
    <row r="737" spans="9:14">
      <c r="I737" s="11" t="s">
        <v>10847</v>
      </c>
      <c r="J737" s="13">
        <v>1</v>
      </c>
      <c r="K737" s="9">
        <v>2034.68</v>
      </c>
      <c r="L737" s="9">
        <v>489.12000000000012</v>
      </c>
      <c r="M737" s="13">
        <v>4</v>
      </c>
      <c r="N737" s="12">
        <v>0.24039160949141886</v>
      </c>
    </row>
    <row r="738" spans="9:14">
      <c r="I738" s="11" t="s">
        <v>103</v>
      </c>
      <c r="J738" s="13">
        <v>1</v>
      </c>
      <c r="K738" s="9">
        <v>1990.3950000000002</v>
      </c>
      <c r="L738" s="9">
        <v>170.00500000000011</v>
      </c>
      <c r="M738" s="13">
        <v>1</v>
      </c>
      <c r="N738" s="12">
        <v>8.5412694465169026E-2</v>
      </c>
    </row>
    <row r="739" spans="9:14">
      <c r="I739" s="11" t="s">
        <v>6518</v>
      </c>
      <c r="J739" s="13">
        <v>1</v>
      </c>
      <c r="K739" s="9">
        <v>1990.3950000000002</v>
      </c>
      <c r="L739" s="9">
        <v>170.00500000000011</v>
      </c>
      <c r="M739" s="13">
        <v>1</v>
      </c>
      <c r="N739" s="12">
        <v>8.5412694465169026E-2</v>
      </c>
    </row>
    <row r="740" spans="9:14">
      <c r="I740" s="11" t="s">
        <v>12861</v>
      </c>
      <c r="J740" s="13">
        <v>1</v>
      </c>
      <c r="K740" s="9">
        <v>1971.52</v>
      </c>
      <c r="L740" s="9">
        <v>631.79999999999995</v>
      </c>
      <c r="M740" s="13">
        <v>2</v>
      </c>
      <c r="N740" s="12">
        <v>0.32046339879889624</v>
      </c>
    </row>
    <row r="741" spans="9:14">
      <c r="I741" s="11" t="s">
        <v>4346</v>
      </c>
      <c r="J741" s="13">
        <v>1</v>
      </c>
      <c r="K741" s="9">
        <v>1971.52</v>
      </c>
      <c r="L741" s="9">
        <v>631.79999999999995</v>
      </c>
      <c r="M741" s="13">
        <v>2</v>
      </c>
      <c r="N741" s="12">
        <v>0.32046339879889624</v>
      </c>
    </row>
    <row r="742" spans="9:14">
      <c r="I742" s="11" t="s">
        <v>4283</v>
      </c>
      <c r="J742" s="13">
        <v>1</v>
      </c>
      <c r="K742" s="9">
        <v>1971.52</v>
      </c>
      <c r="L742" s="9">
        <v>631.79999999999995</v>
      </c>
      <c r="M742" s="13">
        <v>2</v>
      </c>
      <c r="N742" s="12">
        <v>0.32046339879889624</v>
      </c>
    </row>
    <row r="743" spans="9:14">
      <c r="I743" s="11" t="s">
        <v>6510</v>
      </c>
      <c r="J743" s="13">
        <v>1</v>
      </c>
      <c r="K743" s="9">
        <v>1932.9460000000001</v>
      </c>
      <c r="L743" s="9">
        <v>387.38600000000019</v>
      </c>
      <c r="M743" s="13">
        <v>4</v>
      </c>
      <c r="N743" s="12">
        <v>0.20041222051728302</v>
      </c>
    </row>
    <row r="744" spans="9:14">
      <c r="I744" s="11" t="s">
        <v>14330</v>
      </c>
      <c r="J744" s="13">
        <v>1</v>
      </c>
      <c r="K744" s="9">
        <v>1930.08</v>
      </c>
      <c r="L744" s="9">
        <v>548.57999999999993</v>
      </c>
      <c r="M744" s="13">
        <v>3</v>
      </c>
      <c r="N744" s="12">
        <v>0.28422656055707535</v>
      </c>
    </row>
    <row r="745" spans="9:14">
      <c r="I745" s="11" t="s">
        <v>12580</v>
      </c>
      <c r="J745" s="13">
        <v>1</v>
      </c>
      <c r="K745" s="9">
        <v>1907.9134999999999</v>
      </c>
      <c r="L745" s="9">
        <v>219.0034999999998</v>
      </c>
      <c r="M745" s="13">
        <v>1</v>
      </c>
      <c r="N745" s="12">
        <v>0.11478691250939826</v>
      </c>
    </row>
    <row r="746" spans="9:14">
      <c r="I746" s="11" t="s">
        <v>13048</v>
      </c>
      <c r="J746" s="13">
        <v>1</v>
      </c>
      <c r="K746" s="9">
        <v>1879.8175000000001</v>
      </c>
      <c r="L746" s="9">
        <v>59.427500000000009</v>
      </c>
      <c r="M746" s="13">
        <v>1</v>
      </c>
      <c r="N746" s="12">
        <v>3.1613441198414208E-2</v>
      </c>
    </row>
    <row r="747" spans="9:14">
      <c r="I747" s="11" t="s">
        <v>12385</v>
      </c>
      <c r="J747" s="13">
        <v>1</v>
      </c>
      <c r="K747" s="9">
        <v>1866.7259999999999</v>
      </c>
      <c r="L747" s="9">
        <v>426.40599999999995</v>
      </c>
      <c r="M747" s="13">
        <v>2</v>
      </c>
      <c r="N747" s="12">
        <v>0.22842452507759572</v>
      </c>
    </row>
    <row r="748" spans="9:14">
      <c r="I748" s="11" t="s">
        <v>9878</v>
      </c>
      <c r="J748" s="13">
        <v>2</v>
      </c>
      <c r="K748" s="9">
        <v>1861.3339999999998</v>
      </c>
      <c r="L748" s="9">
        <v>641.83399999999995</v>
      </c>
      <c r="M748" s="13">
        <v>2</v>
      </c>
      <c r="N748" s="12">
        <v>0.34482473322896373</v>
      </c>
    </row>
    <row r="749" spans="9:14">
      <c r="I749" s="11" t="s">
        <v>10453</v>
      </c>
      <c r="J749" s="13">
        <v>1</v>
      </c>
      <c r="K749" s="9">
        <v>1841.85</v>
      </c>
      <c r="L749" s="9">
        <v>514.14999999999986</v>
      </c>
      <c r="M749" s="13">
        <v>1</v>
      </c>
      <c r="N749" s="12">
        <v>0.27914868203165288</v>
      </c>
    </row>
    <row r="750" spans="9:14">
      <c r="I750" s="11" t="s">
        <v>11119</v>
      </c>
      <c r="J750" s="13">
        <v>1</v>
      </c>
      <c r="K750" s="9">
        <v>1841.85</v>
      </c>
      <c r="L750" s="9">
        <v>514.14999999999986</v>
      </c>
      <c r="M750" s="13">
        <v>1</v>
      </c>
      <c r="N750" s="12">
        <v>0.27914868203165288</v>
      </c>
    </row>
    <row r="751" spans="9:14">
      <c r="I751" s="11" t="s">
        <v>4504</v>
      </c>
      <c r="J751" s="13">
        <v>1</v>
      </c>
      <c r="K751" s="9">
        <v>1841.85</v>
      </c>
      <c r="L751" s="9">
        <v>514.14999999999986</v>
      </c>
      <c r="M751" s="13">
        <v>1</v>
      </c>
      <c r="N751" s="12">
        <v>0.27914868203165288</v>
      </c>
    </row>
    <row r="752" spans="9:14">
      <c r="I752" s="11" t="s">
        <v>9950</v>
      </c>
      <c r="J752" s="13">
        <v>1</v>
      </c>
      <c r="K752" s="9">
        <v>1831.212</v>
      </c>
      <c r="L752" s="9">
        <v>285.65200000000004</v>
      </c>
      <c r="M752" s="13">
        <v>4</v>
      </c>
      <c r="N752" s="12">
        <v>0.15599067721268758</v>
      </c>
    </row>
    <row r="753" spans="9:14">
      <c r="I753" s="11" t="s">
        <v>11776</v>
      </c>
      <c r="J753" s="13">
        <v>1</v>
      </c>
      <c r="K753" s="9">
        <v>1825.24</v>
      </c>
      <c r="L753" s="9">
        <v>527.74</v>
      </c>
      <c r="M753" s="13">
        <v>2</v>
      </c>
      <c r="N753" s="12">
        <v>0.28913457956213978</v>
      </c>
    </row>
    <row r="754" spans="9:14">
      <c r="I754" s="11" t="s">
        <v>4110</v>
      </c>
      <c r="J754" s="13">
        <v>1</v>
      </c>
      <c r="K754" s="9">
        <v>1825.24</v>
      </c>
      <c r="L754" s="9">
        <v>527.74</v>
      </c>
      <c r="M754" s="13">
        <v>2</v>
      </c>
      <c r="N754" s="12">
        <v>0.28913457956213978</v>
      </c>
    </row>
    <row r="755" spans="9:14">
      <c r="I755" s="11" t="s">
        <v>4923</v>
      </c>
      <c r="J755" s="13">
        <v>1</v>
      </c>
      <c r="K755" s="9">
        <v>1825.24</v>
      </c>
      <c r="L755" s="9">
        <v>527.74</v>
      </c>
      <c r="M755" s="13">
        <v>2</v>
      </c>
      <c r="N755" s="12">
        <v>0.28913457956213978</v>
      </c>
    </row>
    <row r="756" spans="9:14">
      <c r="I756" s="11" t="s">
        <v>7098</v>
      </c>
      <c r="J756" s="13">
        <v>1</v>
      </c>
      <c r="K756" s="9">
        <v>1825.24</v>
      </c>
      <c r="L756" s="9">
        <v>527.74</v>
      </c>
      <c r="M756" s="13">
        <v>2</v>
      </c>
      <c r="N756" s="12">
        <v>0.28913457956213978</v>
      </c>
    </row>
    <row r="757" spans="9:14">
      <c r="I757" s="11" t="s">
        <v>4122</v>
      </c>
      <c r="J757" s="13">
        <v>1</v>
      </c>
      <c r="K757" s="9">
        <v>1797.31</v>
      </c>
      <c r="L757" s="9">
        <v>539.87999999999988</v>
      </c>
      <c r="M757" s="13">
        <v>1</v>
      </c>
      <c r="N757" s="12">
        <v>0.3003822378999727</v>
      </c>
    </row>
    <row r="758" spans="9:14">
      <c r="I758" s="11" t="s">
        <v>751</v>
      </c>
      <c r="J758" s="13">
        <v>1</v>
      </c>
      <c r="K758" s="9">
        <v>1797.31</v>
      </c>
      <c r="L758" s="9">
        <v>539.87999999999988</v>
      </c>
      <c r="M758" s="13">
        <v>1</v>
      </c>
      <c r="N758" s="12">
        <v>0.3003822378999727</v>
      </c>
    </row>
    <row r="759" spans="9:14">
      <c r="I759" s="11" t="s">
        <v>10414</v>
      </c>
      <c r="J759" s="13">
        <v>1</v>
      </c>
      <c r="K759" s="9">
        <v>1797.31</v>
      </c>
      <c r="L759" s="9">
        <v>539.87999999999988</v>
      </c>
      <c r="M759" s="13">
        <v>1</v>
      </c>
      <c r="N759" s="12">
        <v>0.3003822378999727</v>
      </c>
    </row>
    <row r="760" spans="9:14">
      <c r="I760" s="11" t="s">
        <v>2794</v>
      </c>
      <c r="J760" s="13">
        <v>1</v>
      </c>
      <c r="K760" s="9">
        <v>1783.65</v>
      </c>
      <c r="L760" s="9">
        <v>654.70000000000005</v>
      </c>
      <c r="M760" s="13">
        <v>1</v>
      </c>
      <c r="N760" s="12">
        <v>0.36705631710257058</v>
      </c>
    </row>
    <row r="761" spans="9:14">
      <c r="I761" s="11" t="s">
        <v>4953</v>
      </c>
      <c r="J761" s="13">
        <v>1</v>
      </c>
      <c r="K761" s="9">
        <v>1783.65</v>
      </c>
      <c r="L761" s="9">
        <v>654.70000000000005</v>
      </c>
      <c r="M761" s="13">
        <v>1</v>
      </c>
      <c r="N761" s="12">
        <v>0.36705631710257058</v>
      </c>
    </row>
    <row r="762" spans="9:14">
      <c r="I762" s="11" t="s">
        <v>9516</v>
      </c>
      <c r="J762" s="13">
        <v>1</v>
      </c>
      <c r="K762" s="9">
        <v>1707.4445000000001</v>
      </c>
      <c r="L762" s="9">
        <v>450.0145</v>
      </c>
      <c r="M762" s="13">
        <v>1</v>
      </c>
      <c r="N762" s="12">
        <v>0.26356025042102393</v>
      </c>
    </row>
    <row r="763" spans="9:14">
      <c r="I763" s="11" t="s">
        <v>13404</v>
      </c>
      <c r="J763" s="13">
        <v>1</v>
      </c>
      <c r="K763" s="9">
        <v>1707.0805</v>
      </c>
      <c r="L763" s="9">
        <v>18.170499999999947</v>
      </c>
      <c r="M763" s="13">
        <v>1</v>
      </c>
      <c r="N763" s="12">
        <v>1.0644196334033426E-2</v>
      </c>
    </row>
    <row r="764" spans="9:14">
      <c r="I764" s="11" t="s">
        <v>8834</v>
      </c>
      <c r="J764" s="13">
        <v>1</v>
      </c>
      <c r="K764" s="9">
        <v>1702.4</v>
      </c>
      <c r="L764" s="9">
        <v>417.51</v>
      </c>
      <c r="M764" s="13">
        <v>1</v>
      </c>
      <c r="N764" s="12">
        <v>0.24524788533834585</v>
      </c>
    </row>
    <row r="765" spans="9:14">
      <c r="I765" s="11" t="s">
        <v>10439</v>
      </c>
      <c r="J765" s="13">
        <v>1</v>
      </c>
      <c r="K765" s="9">
        <v>1702.4</v>
      </c>
      <c r="L765" s="9">
        <v>417.51</v>
      </c>
      <c r="M765" s="13">
        <v>1</v>
      </c>
      <c r="N765" s="12">
        <v>0.24524788533834585</v>
      </c>
    </row>
    <row r="766" spans="9:14">
      <c r="I766" s="11" t="s">
        <v>13062</v>
      </c>
      <c r="J766" s="13">
        <v>1</v>
      </c>
      <c r="K766" s="9">
        <v>1702.4</v>
      </c>
      <c r="L766" s="9">
        <v>417.51</v>
      </c>
      <c r="M766" s="13">
        <v>1</v>
      </c>
      <c r="N766" s="12">
        <v>0.24524788533834585</v>
      </c>
    </row>
    <row r="767" spans="9:14">
      <c r="I767" s="11" t="s">
        <v>7435</v>
      </c>
      <c r="J767" s="13">
        <v>1</v>
      </c>
      <c r="K767" s="9">
        <v>1702.4</v>
      </c>
      <c r="L767" s="9">
        <v>417.51</v>
      </c>
      <c r="M767" s="13">
        <v>1</v>
      </c>
      <c r="N767" s="12">
        <v>0.24524788533834585</v>
      </c>
    </row>
    <row r="768" spans="9:14">
      <c r="I768" s="11" t="s">
        <v>10464</v>
      </c>
      <c r="J768" s="13">
        <v>1</v>
      </c>
      <c r="K768" s="9">
        <v>1694.4675000000002</v>
      </c>
      <c r="L768" s="9">
        <v>565.51750000000015</v>
      </c>
      <c r="M768" s="13">
        <v>1</v>
      </c>
      <c r="N768" s="12">
        <v>0.33374349168691642</v>
      </c>
    </row>
    <row r="769" spans="9:14">
      <c r="I769" s="11" t="s">
        <v>5850</v>
      </c>
      <c r="J769" s="13">
        <v>1</v>
      </c>
      <c r="K769" s="9">
        <v>1694.4675000000002</v>
      </c>
      <c r="L769" s="9">
        <v>565.51750000000015</v>
      </c>
      <c r="M769" s="13">
        <v>1</v>
      </c>
      <c r="N769" s="12">
        <v>0.33374349168691642</v>
      </c>
    </row>
    <row r="770" spans="9:14">
      <c r="I770" s="11" t="s">
        <v>8455</v>
      </c>
      <c r="J770" s="13">
        <v>1</v>
      </c>
      <c r="K770" s="9">
        <v>1694.4675000000002</v>
      </c>
      <c r="L770" s="9">
        <v>565.51750000000015</v>
      </c>
      <c r="M770" s="13">
        <v>1</v>
      </c>
      <c r="N770" s="12">
        <v>0.33374349168691642</v>
      </c>
    </row>
    <row r="771" spans="9:14">
      <c r="I771" s="11" t="s">
        <v>15878</v>
      </c>
      <c r="J771" s="13">
        <v>1</v>
      </c>
      <c r="K771" s="9">
        <v>1666.93</v>
      </c>
      <c r="L771" s="9">
        <v>683.3900000000001</v>
      </c>
      <c r="M771" s="13">
        <v>1</v>
      </c>
      <c r="N771" s="12">
        <v>0.40996922486247178</v>
      </c>
    </row>
    <row r="772" spans="9:14">
      <c r="I772" s="11" t="s">
        <v>4147</v>
      </c>
      <c r="J772" s="13">
        <v>1</v>
      </c>
      <c r="K772" s="9">
        <v>1666.93</v>
      </c>
      <c r="L772" s="9">
        <v>683.3900000000001</v>
      </c>
      <c r="M772" s="13">
        <v>1</v>
      </c>
      <c r="N772" s="12">
        <v>0.40996922486247178</v>
      </c>
    </row>
    <row r="773" spans="9:14">
      <c r="I773" s="11" t="s">
        <v>14626</v>
      </c>
      <c r="J773" s="13">
        <v>1</v>
      </c>
      <c r="K773" s="9">
        <v>1657.665</v>
      </c>
      <c r="L773" s="9">
        <v>329.96499999999992</v>
      </c>
      <c r="M773" s="13">
        <v>1</v>
      </c>
      <c r="N773" s="12">
        <v>0.19905409114628103</v>
      </c>
    </row>
    <row r="774" spans="9:14">
      <c r="I774" s="11" t="s">
        <v>14271</v>
      </c>
      <c r="J774" s="13">
        <v>1</v>
      </c>
      <c r="K774" s="9">
        <v>1655.17</v>
      </c>
      <c r="L774" s="9">
        <v>279.33000000000015</v>
      </c>
      <c r="M774" s="13">
        <v>1</v>
      </c>
      <c r="N774" s="12">
        <v>0.16876212111142672</v>
      </c>
    </row>
    <row r="775" spans="9:14">
      <c r="I775" s="11" t="s">
        <v>4191</v>
      </c>
      <c r="J775" s="13">
        <v>1</v>
      </c>
      <c r="K775" s="9">
        <v>1655.17</v>
      </c>
      <c r="L775" s="9">
        <v>279.33000000000015</v>
      </c>
      <c r="M775" s="13">
        <v>1</v>
      </c>
      <c r="N775" s="12">
        <v>0.16876212111142672</v>
      </c>
    </row>
    <row r="776" spans="9:14">
      <c r="I776" s="11" t="s">
        <v>5052</v>
      </c>
      <c r="J776" s="13">
        <v>1</v>
      </c>
      <c r="K776" s="9">
        <v>1655.17</v>
      </c>
      <c r="L776" s="9">
        <v>279.33000000000015</v>
      </c>
      <c r="M776" s="13">
        <v>1</v>
      </c>
      <c r="N776" s="12">
        <v>0.16876212111142672</v>
      </c>
    </row>
    <row r="777" spans="9:14">
      <c r="I777" s="11" t="s">
        <v>4394</v>
      </c>
      <c r="J777" s="13">
        <v>1</v>
      </c>
      <c r="K777" s="9">
        <v>1634.74</v>
      </c>
      <c r="L777" s="9">
        <v>444.68000000000006</v>
      </c>
      <c r="M777" s="13">
        <v>2</v>
      </c>
      <c r="N777" s="12">
        <v>0.27201879197915269</v>
      </c>
    </row>
    <row r="778" spans="9:14">
      <c r="I778" s="11" t="s">
        <v>6211</v>
      </c>
      <c r="J778" s="13">
        <v>1</v>
      </c>
      <c r="K778" s="9">
        <v>1634.74</v>
      </c>
      <c r="L778" s="9">
        <v>444.68000000000006</v>
      </c>
      <c r="M778" s="13">
        <v>2</v>
      </c>
      <c r="N778" s="12">
        <v>0.27201879197915269</v>
      </c>
    </row>
    <row r="779" spans="9:14">
      <c r="I779" s="11" t="s">
        <v>825</v>
      </c>
      <c r="J779" s="13">
        <v>1</v>
      </c>
      <c r="K779" s="9">
        <v>1617.579</v>
      </c>
      <c r="L779" s="9">
        <v>360.14899999999989</v>
      </c>
      <c r="M779" s="13">
        <v>1</v>
      </c>
      <c r="N779" s="12">
        <v>0.22264693099996966</v>
      </c>
    </row>
    <row r="780" spans="9:14">
      <c r="I780" s="11" t="s">
        <v>397</v>
      </c>
      <c r="J780" s="13">
        <v>1</v>
      </c>
      <c r="K780" s="9">
        <v>1617.2800000000002</v>
      </c>
      <c r="L780" s="9">
        <v>332.3900000000001</v>
      </c>
      <c r="M780" s="13">
        <v>1</v>
      </c>
      <c r="N780" s="12">
        <v>0.20552408982983777</v>
      </c>
    </row>
    <row r="781" spans="9:14">
      <c r="I781" s="11" t="s">
        <v>611</v>
      </c>
      <c r="J781" s="13">
        <v>1</v>
      </c>
      <c r="K781" s="9">
        <v>1617.2800000000002</v>
      </c>
      <c r="L781" s="9">
        <v>332.3900000000001</v>
      </c>
      <c r="M781" s="13">
        <v>1</v>
      </c>
      <c r="N781" s="12">
        <v>0.20552408982983777</v>
      </c>
    </row>
    <row r="782" spans="9:14">
      <c r="I782" s="11" t="s">
        <v>4326</v>
      </c>
      <c r="J782" s="13">
        <v>1</v>
      </c>
      <c r="K782" s="9">
        <v>1606.664</v>
      </c>
      <c r="L782" s="9">
        <v>-82.246000000000095</v>
      </c>
      <c r="M782" s="13">
        <v>1</v>
      </c>
      <c r="N782" s="12">
        <v>-5.1190541395089509E-2</v>
      </c>
    </row>
    <row r="783" spans="9:14">
      <c r="I783" s="11" t="s">
        <v>7699</v>
      </c>
      <c r="J783" s="13">
        <v>1</v>
      </c>
      <c r="K783" s="9">
        <v>1606.664</v>
      </c>
      <c r="L783" s="9">
        <v>-82.246000000000095</v>
      </c>
      <c r="M783" s="13">
        <v>1</v>
      </c>
      <c r="N783" s="12">
        <v>-5.1190541395089509E-2</v>
      </c>
    </row>
    <row r="784" spans="9:14">
      <c r="I784" s="11" t="s">
        <v>8374</v>
      </c>
      <c r="J784" s="13">
        <v>1</v>
      </c>
      <c r="K784" s="9">
        <v>1602.52</v>
      </c>
      <c r="L784" s="9">
        <v>711.6</v>
      </c>
      <c r="M784" s="13">
        <v>4</v>
      </c>
      <c r="N784" s="12">
        <v>0.44405062027306991</v>
      </c>
    </row>
    <row r="785" spans="9:14">
      <c r="I785" s="11" t="s">
        <v>5192</v>
      </c>
      <c r="J785" s="13">
        <v>1</v>
      </c>
      <c r="K785" s="9">
        <v>1602.52</v>
      </c>
      <c r="L785" s="9">
        <v>711.6</v>
      </c>
      <c r="M785" s="13">
        <v>4</v>
      </c>
      <c r="N785" s="12">
        <v>0.44405062027306991</v>
      </c>
    </row>
    <row r="786" spans="9:14">
      <c r="I786" s="11" t="s">
        <v>1928</v>
      </c>
      <c r="J786" s="13">
        <v>1</v>
      </c>
      <c r="K786" s="9">
        <v>1583.5835</v>
      </c>
      <c r="L786" s="9">
        <v>600.04349999999999</v>
      </c>
      <c r="M786" s="13">
        <v>1</v>
      </c>
      <c r="N786" s="12">
        <v>0.37891497353944392</v>
      </c>
    </row>
    <row r="787" spans="9:14">
      <c r="I787" s="11" t="s">
        <v>1425</v>
      </c>
      <c r="J787" s="13">
        <v>1</v>
      </c>
      <c r="K787" s="9">
        <v>1572.4115000000002</v>
      </c>
      <c r="L787" s="9">
        <v>196.57150000000024</v>
      </c>
      <c r="M787" s="13">
        <v>1</v>
      </c>
      <c r="N787" s="12">
        <v>0.12501275906465975</v>
      </c>
    </row>
    <row r="788" spans="9:14">
      <c r="I788" s="11" t="s">
        <v>7695</v>
      </c>
      <c r="J788" s="13">
        <v>1</v>
      </c>
      <c r="K788" s="9">
        <v>1555.12</v>
      </c>
      <c r="L788" s="9">
        <v>548.93999999999994</v>
      </c>
      <c r="M788" s="13">
        <v>2</v>
      </c>
      <c r="N788" s="12">
        <v>0.35298883687432481</v>
      </c>
    </row>
    <row r="789" spans="9:14">
      <c r="I789" s="11" t="s">
        <v>14257</v>
      </c>
      <c r="J789" s="13">
        <v>1</v>
      </c>
      <c r="K789" s="9">
        <v>1555.12</v>
      </c>
      <c r="L789" s="9">
        <v>548.93999999999994</v>
      </c>
      <c r="M789" s="13">
        <v>2</v>
      </c>
      <c r="N789" s="12">
        <v>0.35298883687432481</v>
      </c>
    </row>
    <row r="790" spans="9:14">
      <c r="I790" s="11" t="s">
        <v>13604</v>
      </c>
      <c r="J790" s="13">
        <v>1</v>
      </c>
      <c r="K790" s="9">
        <v>1550.38</v>
      </c>
      <c r="L790" s="9">
        <v>354.70000000000005</v>
      </c>
      <c r="M790" s="13">
        <v>2</v>
      </c>
      <c r="N790" s="12">
        <v>0.22878262103484309</v>
      </c>
    </row>
    <row r="791" spans="9:14">
      <c r="I791" s="11" t="s">
        <v>1872</v>
      </c>
      <c r="J791" s="13">
        <v>1</v>
      </c>
      <c r="K791" s="9">
        <v>1548.2055</v>
      </c>
      <c r="L791" s="9">
        <v>222.74549999999999</v>
      </c>
      <c r="M791" s="13">
        <v>3</v>
      </c>
      <c r="N791" s="12">
        <v>0.14387334239543781</v>
      </c>
    </row>
    <row r="792" spans="9:14">
      <c r="I792" s="11" t="s">
        <v>14606</v>
      </c>
      <c r="J792" s="13">
        <v>1</v>
      </c>
      <c r="K792" s="9">
        <v>1546.4</v>
      </c>
      <c r="L792" s="9">
        <v>452.22</v>
      </c>
      <c r="M792" s="13">
        <v>2</v>
      </c>
      <c r="N792" s="12">
        <v>0.29243404035178477</v>
      </c>
    </row>
    <row r="793" spans="9:14">
      <c r="I793" s="11" t="s">
        <v>10472</v>
      </c>
      <c r="J793" s="13">
        <v>1</v>
      </c>
      <c r="K793" s="9">
        <v>1499.75</v>
      </c>
      <c r="L793" s="9">
        <v>305.6099999999999</v>
      </c>
      <c r="M793" s="13">
        <v>1</v>
      </c>
      <c r="N793" s="12">
        <v>0.20377396232705444</v>
      </c>
    </row>
    <row r="794" spans="9:14">
      <c r="I794" s="11" t="s">
        <v>14127</v>
      </c>
      <c r="J794" s="13">
        <v>1</v>
      </c>
      <c r="K794" s="9">
        <v>1499.75</v>
      </c>
      <c r="L794" s="9">
        <v>305.6099999999999</v>
      </c>
      <c r="M794" s="13">
        <v>1</v>
      </c>
      <c r="N794" s="12">
        <v>0.20377396232705444</v>
      </c>
    </row>
    <row r="795" spans="9:14">
      <c r="I795" s="11" t="s">
        <v>3971</v>
      </c>
      <c r="J795" s="13">
        <v>1</v>
      </c>
      <c r="K795" s="9">
        <v>1494.3</v>
      </c>
      <c r="L795" s="9">
        <v>462.62999999999988</v>
      </c>
      <c r="M795" s="13">
        <v>1</v>
      </c>
      <c r="N795" s="12">
        <v>0.30959646657297724</v>
      </c>
    </row>
    <row r="796" spans="9:14">
      <c r="I796" s="11" t="s">
        <v>13107</v>
      </c>
      <c r="J796" s="13">
        <v>1</v>
      </c>
      <c r="K796" s="9">
        <v>1494.3</v>
      </c>
      <c r="L796" s="9">
        <v>462.62999999999988</v>
      </c>
      <c r="M796" s="13">
        <v>1</v>
      </c>
      <c r="N796" s="12">
        <v>0.30959646657297724</v>
      </c>
    </row>
    <row r="797" spans="9:14">
      <c r="I797" s="11" t="s">
        <v>11945</v>
      </c>
      <c r="J797" s="13">
        <v>1</v>
      </c>
      <c r="K797" s="9">
        <v>1494.3</v>
      </c>
      <c r="L797" s="9">
        <v>462.62999999999988</v>
      </c>
      <c r="M797" s="13">
        <v>1</v>
      </c>
      <c r="N797" s="12">
        <v>0.30959646657297724</v>
      </c>
    </row>
    <row r="798" spans="9:14">
      <c r="I798" s="11" t="s">
        <v>551</v>
      </c>
      <c r="J798" s="13">
        <v>1</v>
      </c>
      <c r="K798" s="9">
        <v>1494.3</v>
      </c>
      <c r="L798" s="9">
        <v>462.62999999999988</v>
      </c>
      <c r="M798" s="13">
        <v>1</v>
      </c>
      <c r="N798" s="12">
        <v>0.30959646657297724</v>
      </c>
    </row>
    <row r="799" spans="9:14">
      <c r="I799" s="11" t="s">
        <v>12278</v>
      </c>
      <c r="J799" s="13">
        <v>1</v>
      </c>
      <c r="K799" s="9">
        <v>1489.653</v>
      </c>
      <c r="L799" s="9">
        <v>113.8130000000001</v>
      </c>
      <c r="M799" s="13">
        <v>1</v>
      </c>
      <c r="N799" s="12">
        <v>7.6402356790474094E-2</v>
      </c>
    </row>
    <row r="800" spans="9:14">
      <c r="I800" s="11" t="s">
        <v>12879</v>
      </c>
      <c r="J800" s="13">
        <v>1</v>
      </c>
      <c r="K800" s="9">
        <v>1472.8610000000001</v>
      </c>
      <c r="L800" s="9">
        <v>277.18100000000004</v>
      </c>
      <c r="M800" s="13">
        <v>2</v>
      </c>
      <c r="N800" s="12">
        <v>0.18819223266825588</v>
      </c>
    </row>
    <row r="801" spans="9:14">
      <c r="I801" s="11" t="s">
        <v>8294</v>
      </c>
      <c r="J801" s="13">
        <v>1</v>
      </c>
      <c r="K801" s="9">
        <v>1471.2660000000001</v>
      </c>
      <c r="L801" s="9">
        <v>281.20600000000013</v>
      </c>
      <c r="M801" s="13">
        <v>2</v>
      </c>
      <c r="N801" s="12">
        <v>0.19113199108794746</v>
      </c>
    </row>
    <row r="802" spans="9:14">
      <c r="I802" s="11" t="s">
        <v>10660</v>
      </c>
      <c r="J802" s="13">
        <v>1</v>
      </c>
      <c r="K802" s="9">
        <v>1469.0800000000002</v>
      </c>
      <c r="L802" s="9">
        <v>374.90000000000009</v>
      </c>
      <c r="M802" s="13">
        <v>2</v>
      </c>
      <c r="N802" s="12">
        <v>0.25519372668608931</v>
      </c>
    </row>
    <row r="803" spans="9:14">
      <c r="I803" s="11" t="s">
        <v>4076</v>
      </c>
      <c r="J803" s="13">
        <v>1</v>
      </c>
      <c r="K803" s="9">
        <v>1458.3620000000001</v>
      </c>
      <c r="L803" s="9">
        <v>408.04200000000014</v>
      </c>
      <c r="M803" s="13">
        <v>1</v>
      </c>
      <c r="N803" s="12">
        <v>0.27979472860647775</v>
      </c>
    </row>
    <row r="804" spans="9:14">
      <c r="I804" s="11" t="s">
        <v>12154</v>
      </c>
      <c r="J804" s="13">
        <v>1</v>
      </c>
      <c r="K804" s="9">
        <v>1458.3620000000001</v>
      </c>
      <c r="L804" s="9">
        <v>408.04200000000014</v>
      </c>
      <c r="M804" s="13">
        <v>1</v>
      </c>
      <c r="N804" s="12">
        <v>0.27979472860647775</v>
      </c>
    </row>
    <row r="805" spans="9:14">
      <c r="I805" s="11" t="s">
        <v>8183</v>
      </c>
      <c r="J805" s="13">
        <v>1</v>
      </c>
      <c r="K805" s="9">
        <v>1424.7625</v>
      </c>
      <c r="L805" s="9">
        <v>230.62249999999995</v>
      </c>
      <c r="M805" s="13">
        <v>1</v>
      </c>
      <c r="N805" s="12">
        <v>0.16186732876532051</v>
      </c>
    </row>
    <row r="806" spans="9:14">
      <c r="I806" s="11" t="s">
        <v>8356</v>
      </c>
      <c r="J806" s="13">
        <v>1</v>
      </c>
      <c r="K806" s="9">
        <v>1419.585</v>
      </c>
      <c r="L806" s="9">
        <v>387.91499999999996</v>
      </c>
      <c r="M806" s="13">
        <v>1</v>
      </c>
      <c r="N806" s="12">
        <v>0.27325943849787082</v>
      </c>
    </row>
    <row r="807" spans="9:14">
      <c r="I807" s="11" t="s">
        <v>5473</v>
      </c>
      <c r="J807" s="13">
        <v>1</v>
      </c>
      <c r="K807" s="9">
        <v>1384.91</v>
      </c>
      <c r="L807" s="9">
        <v>282.84000000000015</v>
      </c>
      <c r="M807" s="13">
        <v>1</v>
      </c>
      <c r="N807" s="12">
        <v>0.20422987775378915</v>
      </c>
    </row>
    <row r="808" spans="9:14">
      <c r="I808" s="11" t="s">
        <v>11246</v>
      </c>
      <c r="J808" s="13">
        <v>1</v>
      </c>
      <c r="K808" s="9">
        <v>1364.4659999999999</v>
      </c>
      <c r="L808" s="9">
        <v>266.96599999999989</v>
      </c>
      <c r="M808" s="13">
        <v>1</v>
      </c>
      <c r="N808" s="12">
        <v>0.1956560295382955</v>
      </c>
    </row>
    <row r="809" spans="9:14">
      <c r="I809" s="11" t="s">
        <v>7525</v>
      </c>
      <c r="J809" s="13">
        <v>1</v>
      </c>
      <c r="K809" s="9">
        <v>1364.4659999999999</v>
      </c>
      <c r="L809" s="9">
        <v>266.96599999999989</v>
      </c>
      <c r="M809" s="13">
        <v>1</v>
      </c>
      <c r="N809" s="12">
        <v>0.1956560295382955</v>
      </c>
    </row>
    <row r="810" spans="9:14">
      <c r="I810" s="11" t="s">
        <v>9435</v>
      </c>
      <c r="J810" s="13">
        <v>1</v>
      </c>
      <c r="K810" s="9">
        <v>1344.87</v>
      </c>
      <c r="L810" s="9">
        <v>313.19999999999982</v>
      </c>
      <c r="M810" s="13">
        <v>1</v>
      </c>
      <c r="N810" s="12">
        <v>0.23288496285886356</v>
      </c>
    </row>
    <row r="811" spans="9:14">
      <c r="I811" s="11" t="s">
        <v>9030</v>
      </c>
      <c r="J811" s="13">
        <v>1</v>
      </c>
      <c r="K811" s="9">
        <v>1332.31</v>
      </c>
      <c r="L811" s="9">
        <v>374.43999999999994</v>
      </c>
      <c r="M811" s="13">
        <v>1</v>
      </c>
      <c r="N811" s="12">
        <v>0.28104570257672762</v>
      </c>
    </row>
    <row r="812" spans="9:14">
      <c r="I812" s="11" t="s">
        <v>4297</v>
      </c>
      <c r="J812" s="13">
        <v>1</v>
      </c>
      <c r="K812" s="9">
        <v>1332.31</v>
      </c>
      <c r="L812" s="9">
        <v>374.43999999999994</v>
      </c>
      <c r="M812" s="13">
        <v>1</v>
      </c>
      <c r="N812" s="12">
        <v>0.28104570257672762</v>
      </c>
    </row>
    <row r="813" spans="9:14">
      <c r="I813" s="11" t="s">
        <v>6602</v>
      </c>
      <c r="J813" s="13">
        <v>1</v>
      </c>
      <c r="K813" s="9">
        <v>1316.97</v>
      </c>
      <c r="L813" s="9">
        <v>134.30999999999995</v>
      </c>
      <c r="M813" s="13">
        <v>2</v>
      </c>
      <c r="N813" s="12">
        <v>0.10198409986560054</v>
      </c>
    </row>
    <row r="814" spans="9:14">
      <c r="I814" s="11" t="s">
        <v>7345</v>
      </c>
      <c r="J814" s="13">
        <v>1</v>
      </c>
      <c r="K814" s="9">
        <v>1292.652</v>
      </c>
      <c r="L814" s="9">
        <v>195.15200000000004</v>
      </c>
      <c r="M814" s="13">
        <v>1</v>
      </c>
      <c r="N814" s="12">
        <v>0.15097025340153425</v>
      </c>
    </row>
    <row r="815" spans="9:14">
      <c r="I815" s="11" t="s">
        <v>6401</v>
      </c>
      <c r="J815" s="13">
        <v>1</v>
      </c>
      <c r="K815" s="9">
        <v>1292.652</v>
      </c>
      <c r="L815" s="9">
        <v>195.15200000000004</v>
      </c>
      <c r="M815" s="13">
        <v>1</v>
      </c>
      <c r="N815" s="12">
        <v>0.15097025340153425</v>
      </c>
    </row>
    <row r="816" spans="9:14">
      <c r="I816" s="11" t="s">
        <v>4468</v>
      </c>
      <c r="J816" s="13">
        <v>1</v>
      </c>
      <c r="K816" s="9">
        <v>1282.7470000000001</v>
      </c>
      <c r="L816" s="9">
        <v>261.84700000000009</v>
      </c>
      <c r="M816" s="13">
        <v>2</v>
      </c>
      <c r="N816" s="12">
        <v>0.20412988687558817</v>
      </c>
    </row>
    <row r="817" spans="9:14">
      <c r="I817" s="11" t="s">
        <v>9345</v>
      </c>
      <c r="J817" s="13">
        <v>1</v>
      </c>
      <c r="K817" s="9">
        <v>1282.31</v>
      </c>
      <c r="L817" s="9">
        <v>523.30999999999995</v>
      </c>
      <c r="M817" s="13">
        <v>1</v>
      </c>
      <c r="N817" s="12">
        <v>0.40809944553189165</v>
      </c>
    </row>
    <row r="818" spans="9:14">
      <c r="I818" s="11" t="s">
        <v>8880</v>
      </c>
      <c r="J818" s="13">
        <v>1</v>
      </c>
      <c r="K818" s="9">
        <v>1282.31</v>
      </c>
      <c r="L818" s="9">
        <v>523.30999999999995</v>
      </c>
      <c r="M818" s="13">
        <v>1</v>
      </c>
      <c r="N818" s="12">
        <v>0.40809944553189165</v>
      </c>
    </row>
    <row r="819" spans="9:14">
      <c r="I819" s="11" t="s">
        <v>6419</v>
      </c>
      <c r="J819" s="13">
        <v>1</v>
      </c>
      <c r="K819" s="9">
        <v>1282.31</v>
      </c>
      <c r="L819" s="9">
        <v>523.30999999999995</v>
      </c>
      <c r="M819" s="13">
        <v>1</v>
      </c>
      <c r="N819" s="12">
        <v>0.40809944553189165</v>
      </c>
    </row>
    <row r="820" spans="9:14">
      <c r="I820" s="11" t="s">
        <v>13155</v>
      </c>
      <c r="J820" s="13">
        <v>1</v>
      </c>
      <c r="K820" s="9">
        <v>1265.6945000000001</v>
      </c>
      <c r="L820" s="9">
        <v>307.82450000000006</v>
      </c>
      <c r="M820" s="13">
        <v>1</v>
      </c>
      <c r="N820" s="12">
        <v>0.24320600271234491</v>
      </c>
    </row>
    <row r="821" spans="9:14">
      <c r="I821" s="11" t="s">
        <v>7793</v>
      </c>
      <c r="J821" s="13">
        <v>2</v>
      </c>
      <c r="K821" s="9">
        <v>1264.212</v>
      </c>
      <c r="L821" s="9">
        <v>265.85199999999998</v>
      </c>
      <c r="M821" s="13">
        <v>3</v>
      </c>
      <c r="N821" s="12">
        <v>0.21029067909496191</v>
      </c>
    </row>
    <row r="822" spans="9:14">
      <c r="I822" s="11" t="s">
        <v>15116</v>
      </c>
      <c r="J822" s="13">
        <v>1</v>
      </c>
      <c r="K822" s="9">
        <v>1262.52</v>
      </c>
      <c r="L822" s="9">
        <v>472.79999999999995</v>
      </c>
      <c r="M822" s="13">
        <v>2</v>
      </c>
      <c r="N822" s="12">
        <v>0.37448911700408705</v>
      </c>
    </row>
    <row r="823" spans="9:14">
      <c r="I823" s="11" t="s">
        <v>5624</v>
      </c>
      <c r="J823" s="13">
        <v>1</v>
      </c>
      <c r="K823" s="9">
        <v>1262.52</v>
      </c>
      <c r="L823" s="9">
        <v>472.79999999999995</v>
      </c>
      <c r="M823" s="13">
        <v>2</v>
      </c>
      <c r="N823" s="12">
        <v>0.37448911700408705</v>
      </c>
    </row>
    <row r="824" spans="9:14">
      <c r="I824" s="11" t="s">
        <v>11336</v>
      </c>
      <c r="J824" s="13">
        <v>1</v>
      </c>
      <c r="K824" s="9">
        <v>1262.52</v>
      </c>
      <c r="L824" s="9">
        <v>472.79999999999995</v>
      </c>
      <c r="M824" s="13">
        <v>2</v>
      </c>
      <c r="N824" s="12">
        <v>0.37448911700408705</v>
      </c>
    </row>
    <row r="825" spans="9:14">
      <c r="I825" s="11" t="s">
        <v>4554</v>
      </c>
      <c r="J825" s="13">
        <v>1</v>
      </c>
      <c r="K825" s="9">
        <v>1235.3399999999999</v>
      </c>
      <c r="L825" s="9">
        <v>464.9799999999999</v>
      </c>
      <c r="M825" s="13">
        <v>4</v>
      </c>
      <c r="N825" s="12">
        <v>0.37639840044036454</v>
      </c>
    </row>
    <row r="826" spans="9:14">
      <c r="I826" s="11" t="s">
        <v>10304</v>
      </c>
      <c r="J826" s="13">
        <v>1</v>
      </c>
      <c r="K826" s="9">
        <v>1233.81</v>
      </c>
      <c r="L826" s="9">
        <v>288.86999999999989</v>
      </c>
      <c r="M826" s="13">
        <v>1</v>
      </c>
      <c r="N826" s="12">
        <v>0.23412843144406342</v>
      </c>
    </row>
    <row r="827" spans="9:14">
      <c r="I827" s="11" t="s">
        <v>2334</v>
      </c>
      <c r="J827" s="13">
        <v>1</v>
      </c>
      <c r="K827" s="9">
        <v>1233.81</v>
      </c>
      <c r="L827" s="9">
        <v>288.86999999999989</v>
      </c>
      <c r="M827" s="13">
        <v>1</v>
      </c>
      <c r="N827" s="12">
        <v>0.23412843144406342</v>
      </c>
    </row>
    <row r="828" spans="9:14">
      <c r="I828" s="11" t="s">
        <v>13504</v>
      </c>
      <c r="J828" s="13">
        <v>1</v>
      </c>
      <c r="K828" s="9">
        <v>1222.384</v>
      </c>
      <c r="L828" s="9">
        <v>301.38400000000001</v>
      </c>
      <c r="M828" s="13">
        <v>2</v>
      </c>
      <c r="N828" s="12">
        <v>0.24655427427060564</v>
      </c>
    </row>
    <row r="829" spans="9:14">
      <c r="I829" s="11" t="s">
        <v>939</v>
      </c>
      <c r="J829" s="13">
        <v>1</v>
      </c>
      <c r="K829" s="9">
        <v>1218.1945000000001</v>
      </c>
      <c r="L829" s="9">
        <v>459.19450000000006</v>
      </c>
      <c r="M829" s="13">
        <v>1</v>
      </c>
      <c r="N829" s="12">
        <v>0.37694678477041232</v>
      </c>
    </row>
    <row r="830" spans="9:14">
      <c r="I830" s="11" t="s">
        <v>3106</v>
      </c>
      <c r="J830" s="13">
        <v>1</v>
      </c>
      <c r="K830" s="9">
        <v>1210.1500000000001</v>
      </c>
      <c r="L830" s="9">
        <v>512.72000000000014</v>
      </c>
      <c r="M830" s="13">
        <v>1</v>
      </c>
      <c r="N830" s="12">
        <v>0.42368301450233453</v>
      </c>
    </row>
    <row r="831" spans="9:14">
      <c r="I831" s="11" t="s">
        <v>14767</v>
      </c>
      <c r="J831" s="13">
        <v>1</v>
      </c>
      <c r="K831" s="9">
        <v>1210.1500000000001</v>
      </c>
      <c r="L831" s="9">
        <v>512.72000000000014</v>
      </c>
      <c r="M831" s="13">
        <v>1</v>
      </c>
      <c r="N831" s="12">
        <v>0.42368301450233453</v>
      </c>
    </row>
    <row r="832" spans="9:14">
      <c r="I832" s="11" t="s">
        <v>13882</v>
      </c>
      <c r="J832" s="13">
        <v>1</v>
      </c>
      <c r="K832" s="9">
        <v>1199.079</v>
      </c>
      <c r="L832" s="9">
        <v>241.20899999999995</v>
      </c>
      <c r="M832" s="13">
        <v>1</v>
      </c>
      <c r="N832" s="12">
        <v>0.20116189175191956</v>
      </c>
    </row>
    <row r="833" spans="9:14">
      <c r="I833" s="11" t="s">
        <v>3466</v>
      </c>
      <c r="J833" s="13">
        <v>1</v>
      </c>
      <c r="K833" s="9">
        <v>1154.079</v>
      </c>
      <c r="L833" s="9">
        <v>395.07899999999995</v>
      </c>
      <c r="M833" s="13">
        <v>1</v>
      </c>
      <c r="N833" s="12">
        <v>0.3423327172576574</v>
      </c>
    </row>
    <row r="834" spans="9:14">
      <c r="I834" s="11" t="s">
        <v>10777</v>
      </c>
      <c r="J834" s="13">
        <v>1</v>
      </c>
      <c r="K834" s="9">
        <v>1154.079</v>
      </c>
      <c r="L834" s="9">
        <v>395.07899999999995</v>
      </c>
      <c r="M834" s="13">
        <v>1</v>
      </c>
      <c r="N834" s="12">
        <v>0.3423327172576574</v>
      </c>
    </row>
    <row r="835" spans="9:14">
      <c r="I835" s="11" t="s">
        <v>11214</v>
      </c>
      <c r="J835" s="13">
        <v>1</v>
      </c>
      <c r="K835" s="9">
        <v>1149.6425000000002</v>
      </c>
      <c r="L835" s="9">
        <v>452.2125000000002</v>
      </c>
      <c r="M835" s="13">
        <v>1</v>
      </c>
      <c r="N835" s="12">
        <v>0.39335054158140476</v>
      </c>
    </row>
    <row r="836" spans="9:14">
      <c r="I836" s="11" t="s">
        <v>2639</v>
      </c>
      <c r="J836" s="13">
        <v>1</v>
      </c>
      <c r="K836" s="9">
        <v>1149.6425000000002</v>
      </c>
      <c r="L836" s="9">
        <v>452.2125000000002</v>
      </c>
      <c r="M836" s="13">
        <v>1</v>
      </c>
      <c r="N836" s="12">
        <v>0.39335054158140476</v>
      </c>
    </row>
    <row r="837" spans="9:14">
      <c r="I837" s="11" t="s">
        <v>6470</v>
      </c>
      <c r="J837" s="13">
        <v>1</v>
      </c>
      <c r="K837" s="9">
        <v>1140.1600000000001</v>
      </c>
      <c r="L837" s="9">
        <v>376.42000000000007</v>
      </c>
      <c r="M837" s="13">
        <v>1</v>
      </c>
      <c r="N837" s="12">
        <v>0.33014664608476008</v>
      </c>
    </row>
    <row r="838" spans="9:14">
      <c r="I838" s="11" t="s">
        <v>4027</v>
      </c>
      <c r="J838" s="13">
        <v>1</v>
      </c>
      <c r="K838" s="9">
        <v>1140.1600000000001</v>
      </c>
      <c r="L838" s="9">
        <v>376.42000000000007</v>
      </c>
      <c r="M838" s="13">
        <v>1</v>
      </c>
      <c r="N838" s="12">
        <v>0.33014664608476008</v>
      </c>
    </row>
    <row r="839" spans="9:14">
      <c r="I839" s="11" t="s">
        <v>10130</v>
      </c>
      <c r="J839" s="13">
        <v>1</v>
      </c>
      <c r="K839" s="9">
        <v>1136.268</v>
      </c>
      <c r="L839" s="9">
        <v>346.548</v>
      </c>
      <c r="M839" s="13">
        <v>2</v>
      </c>
      <c r="N839" s="12">
        <v>0.30498790778231893</v>
      </c>
    </row>
    <row r="840" spans="9:14">
      <c r="I840" s="11" t="s">
        <v>5951</v>
      </c>
      <c r="J840" s="13">
        <v>1</v>
      </c>
      <c r="K840" s="9">
        <v>1123.58</v>
      </c>
      <c r="L840" s="9">
        <v>457.82999999999993</v>
      </c>
      <c r="M840" s="13">
        <v>1</v>
      </c>
      <c r="N840" s="12">
        <v>0.40747432314565935</v>
      </c>
    </row>
    <row r="841" spans="9:14">
      <c r="I841" s="11" t="s">
        <v>11352</v>
      </c>
      <c r="J841" s="13">
        <v>1</v>
      </c>
      <c r="K841" s="9">
        <v>1104.3809999999999</v>
      </c>
      <c r="L841" s="9">
        <v>159.27099999999984</v>
      </c>
      <c r="M841" s="13">
        <v>1</v>
      </c>
      <c r="N841" s="12">
        <v>0.14421743945250767</v>
      </c>
    </row>
    <row r="842" spans="9:14">
      <c r="I842" s="11" t="s">
        <v>6209</v>
      </c>
      <c r="J842" s="13">
        <v>1</v>
      </c>
      <c r="K842" s="9">
        <v>1104.3809999999999</v>
      </c>
      <c r="L842" s="9">
        <v>159.27099999999984</v>
      </c>
      <c r="M842" s="13">
        <v>1</v>
      </c>
      <c r="N842" s="12">
        <v>0.14421743945250767</v>
      </c>
    </row>
    <row r="843" spans="9:14">
      <c r="I843" s="11" t="s">
        <v>10989</v>
      </c>
      <c r="J843" s="13">
        <v>1</v>
      </c>
      <c r="K843" s="9">
        <v>1089.135</v>
      </c>
      <c r="L843" s="9">
        <v>391.70500000000004</v>
      </c>
      <c r="M843" s="13">
        <v>1</v>
      </c>
      <c r="N843" s="12">
        <v>0.35964779389148271</v>
      </c>
    </row>
    <row r="844" spans="9:14">
      <c r="I844" s="11" t="s">
        <v>6056</v>
      </c>
      <c r="J844" s="13">
        <v>1</v>
      </c>
      <c r="K844" s="9">
        <v>1086.46</v>
      </c>
      <c r="L844" s="9">
        <v>202.82000000000005</v>
      </c>
      <c r="M844" s="13">
        <v>2</v>
      </c>
      <c r="N844" s="12">
        <v>0.18667967527566595</v>
      </c>
    </row>
    <row r="845" spans="9:14">
      <c r="I845" s="11" t="s">
        <v>11111</v>
      </c>
      <c r="J845" s="13">
        <v>1</v>
      </c>
      <c r="K845" s="9">
        <v>1067.4009999999998</v>
      </c>
      <c r="L845" s="9">
        <v>401.65099999999984</v>
      </c>
      <c r="M845" s="13">
        <v>1</v>
      </c>
      <c r="N845" s="12">
        <v>0.37628876120595717</v>
      </c>
    </row>
    <row r="846" spans="9:14">
      <c r="I846" s="11" t="s">
        <v>3628</v>
      </c>
      <c r="J846" s="13">
        <v>1</v>
      </c>
      <c r="K846" s="9">
        <v>1067.4009999999998</v>
      </c>
      <c r="L846" s="9">
        <v>401.65099999999984</v>
      </c>
      <c r="M846" s="13">
        <v>1</v>
      </c>
      <c r="N846" s="12">
        <v>0.37628876120595717</v>
      </c>
    </row>
    <row r="847" spans="9:14">
      <c r="I847" s="11" t="s">
        <v>6938</v>
      </c>
      <c r="J847" s="13">
        <v>1</v>
      </c>
      <c r="K847" s="9">
        <v>1067.4009999999998</v>
      </c>
      <c r="L847" s="9">
        <v>401.65099999999984</v>
      </c>
      <c r="M847" s="13">
        <v>1</v>
      </c>
      <c r="N847" s="12">
        <v>0.37628876120595717</v>
      </c>
    </row>
    <row r="848" spans="9:14">
      <c r="I848" s="11" t="s">
        <v>2956</v>
      </c>
      <c r="J848" s="13">
        <v>1</v>
      </c>
      <c r="K848" s="9">
        <v>1065.848</v>
      </c>
      <c r="L848" s="9">
        <v>107.97799999999995</v>
      </c>
      <c r="M848" s="13">
        <v>1</v>
      </c>
      <c r="N848" s="12">
        <v>0.10130712822090951</v>
      </c>
    </row>
    <row r="849" spans="9:14">
      <c r="I849" s="11" t="s">
        <v>13476</v>
      </c>
      <c r="J849" s="13">
        <v>1</v>
      </c>
      <c r="K849" s="9">
        <v>1065.848</v>
      </c>
      <c r="L849" s="9">
        <v>107.97799999999995</v>
      </c>
      <c r="M849" s="13">
        <v>1</v>
      </c>
      <c r="N849" s="12">
        <v>0.10130712822090951</v>
      </c>
    </row>
    <row r="850" spans="9:14">
      <c r="I850" s="11" t="s">
        <v>7959</v>
      </c>
      <c r="J850" s="13">
        <v>1</v>
      </c>
      <c r="K850" s="9">
        <v>1053.9000000000001</v>
      </c>
      <c r="L850" s="9">
        <v>343.31000000000006</v>
      </c>
      <c r="M850" s="13">
        <v>1</v>
      </c>
      <c r="N850" s="12">
        <v>0.32575196887750263</v>
      </c>
    </row>
    <row r="851" spans="9:14">
      <c r="I851" s="11" t="s">
        <v>8352</v>
      </c>
      <c r="J851" s="13">
        <v>1</v>
      </c>
      <c r="K851" s="9">
        <v>1053.9000000000001</v>
      </c>
      <c r="L851" s="9">
        <v>343.31000000000006</v>
      </c>
      <c r="M851" s="13">
        <v>1</v>
      </c>
      <c r="N851" s="12">
        <v>0.32575196887750263</v>
      </c>
    </row>
    <row r="852" spans="9:14">
      <c r="I852" s="11" t="s">
        <v>771</v>
      </c>
      <c r="J852" s="13">
        <v>1</v>
      </c>
      <c r="K852" s="9">
        <v>1053.9000000000001</v>
      </c>
      <c r="L852" s="9">
        <v>343.31000000000006</v>
      </c>
      <c r="M852" s="13">
        <v>1</v>
      </c>
      <c r="N852" s="12">
        <v>0.32575196887750263</v>
      </c>
    </row>
    <row r="853" spans="9:14">
      <c r="I853" s="11" t="s">
        <v>12656</v>
      </c>
      <c r="J853" s="13">
        <v>1</v>
      </c>
      <c r="K853" s="9">
        <v>1053.9000000000001</v>
      </c>
      <c r="L853" s="9">
        <v>343.31000000000006</v>
      </c>
      <c r="M853" s="13">
        <v>1</v>
      </c>
      <c r="N853" s="12">
        <v>0.32575196887750263</v>
      </c>
    </row>
    <row r="854" spans="9:14">
      <c r="I854" s="11" t="s">
        <v>8682</v>
      </c>
      <c r="J854" s="13">
        <v>1</v>
      </c>
      <c r="K854" s="9">
        <v>1053.9000000000001</v>
      </c>
      <c r="L854" s="9">
        <v>343.31000000000006</v>
      </c>
      <c r="M854" s="13">
        <v>1</v>
      </c>
      <c r="N854" s="12">
        <v>0.32575196887750263</v>
      </c>
    </row>
    <row r="855" spans="9:14">
      <c r="I855" s="11" t="s">
        <v>6674</v>
      </c>
      <c r="J855" s="13">
        <v>1</v>
      </c>
      <c r="K855" s="9">
        <v>1053.9000000000001</v>
      </c>
      <c r="L855" s="9">
        <v>343.31000000000006</v>
      </c>
      <c r="M855" s="13">
        <v>1</v>
      </c>
      <c r="N855" s="12">
        <v>0.32575196887750263</v>
      </c>
    </row>
    <row r="856" spans="9:14">
      <c r="I856" s="11" t="s">
        <v>7449</v>
      </c>
      <c r="J856" s="13">
        <v>1</v>
      </c>
      <c r="K856" s="9">
        <v>1026.144</v>
      </c>
      <c r="L856" s="9">
        <v>262.404</v>
      </c>
      <c r="M856" s="13">
        <v>1</v>
      </c>
      <c r="N856" s="12">
        <v>0.25571849564973337</v>
      </c>
    </row>
    <row r="857" spans="9:14">
      <c r="I857" s="11" t="s">
        <v>3048</v>
      </c>
      <c r="J857" s="13">
        <v>1</v>
      </c>
      <c r="K857" s="9">
        <v>1026.144</v>
      </c>
      <c r="L857" s="9">
        <v>262.404</v>
      </c>
      <c r="M857" s="13">
        <v>1</v>
      </c>
      <c r="N857" s="12">
        <v>0.25571849564973337</v>
      </c>
    </row>
    <row r="858" spans="9:14">
      <c r="I858" s="11" t="s">
        <v>3072</v>
      </c>
      <c r="J858" s="13">
        <v>1</v>
      </c>
      <c r="K858" s="9">
        <v>1019.45</v>
      </c>
      <c r="L858" s="9">
        <v>336.2700000000001</v>
      </c>
      <c r="M858" s="13">
        <v>1</v>
      </c>
      <c r="N858" s="12">
        <v>0.32985433321889263</v>
      </c>
    </row>
    <row r="859" spans="9:14">
      <c r="I859" s="11" t="s">
        <v>40</v>
      </c>
      <c r="J859" s="13">
        <v>1</v>
      </c>
      <c r="K859" s="9">
        <v>1019.45</v>
      </c>
      <c r="L859" s="9">
        <v>336.2700000000001</v>
      </c>
      <c r="M859" s="13">
        <v>1</v>
      </c>
      <c r="N859" s="12">
        <v>0.32985433321889263</v>
      </c>
    </row>
    <row r="860" spans="9:14">
      <c r="I860" s="11" t="s">
        <v>3236</v>
      </c>
      <c r="J860" s="13">
        <v>1</v>
      </c>
      <c r="K860" s="9">
        <v>1001.46</v>
      </c>
      <c r="L860" s="9">
        <v>186.14</v>
      </c>
      <c r="M860" s="13">
        <v>2</v>
      </c>
      <c r="N860" s="12">
        <v>0.18586863179757551</v>
      </c>
    </row>
    <row r="861" spans="9:14">
      <c r="I861" s="11" t="s">
        <v>5616</v>
      </c>
      <c r="J861" s="13">
        <v>1</v>
      </c>
      <c r="K861" s="9">
        <v>985.76</v>
      </c>
      <c r="L861" s="9">
        <v>315.89999999999998</v>
      </c>
      <c r="M861" s="13">
        <v>1</v>
      </c>
      <c r="N861" s="12">
        <v>0.32046339879889624</v>
      </c>
    </row>
    <row r="862" spans="9:14">
      <c r="I862" s="11" t="s">
        <v>9570</v>
      </c>
      <c r="J862" s="13">
        <v>1</v>
      </c>
      <c r="K862" s="9">
        <v>985.76</v>
      </c>
      <c r="L862" s="9">
        <v>315.89999999999998</v>
      </c>
      <c r="M862" s="13">
        <v>1</v>
      </c>
      <c r="N862" s="12">
        <v>0.32046339879889624</v>
      </c>
    </row>
    <row r="863" spans="9:14">
      <c r="I863" s="11" t="s">
        <v>14191</v>
      </c>
      <c r="J863" s="13">
        <v>1</v>
      </c>
      <c r="K863" s="9">
        <v>985.76</v>
      </c>
      <c r="L863" s="9">
        <v>315.89999999999998</v>
      </c>
      <c r="M863" s="13">
        <v>1</v>
      </c>
      <c r="N863" s="12">
        <v>0.32046339879889624</v>
      </c>
    </row>
    <row r="864" spans="9:14">
      <c r="I864" s="11" t="s">
        <v>9244</v>
      </c>
      <c r="J864" s="13">
        <v>1</v>
      </c>
      <c r="K864" s="9">
        <v>968.47750000000008</v>
      </c>
      <c r="L864" s="9">
        <v>285.29750000000013</v>
      </c>
      <c r="M864" s="13">
        <v>1</v>
      </c>
      <c r="N864" s="12">
        <v>0.29458350865146593</v>
      </c>
    </row>
    <row r="865" spans="9:14">
      <c r="I865" s="11" t="s">
        <v>12310</v>
      </c>
      <c r="J865" s="13">
        <v>1</v>
      </c>
      <c r="K865" s="9">
        <v>948.5100000000001</v>
      </c>
      <c r="L865" s="9">
        <v>237.92000000000007</v>
      </c>
      <c r="M865" s="13">
        <v>1</v>
      </c>
      <c r="N865" s="12">
        <v>0.25083552097500295</v>
      </c>
    </row>
    <row r="866" spans="9:14">
      <c r="I866" s="11" t="s">
        <v>14938</v>
      </c>
      <c r="J866" s="13">
        <v>1</v>
      </c>
      <c r="K866" s="9">
        <v>948.5100000000001</v>
      </c>
      <c r="L866" s="9">
        <v>237.92000000000007</v>
      </c>
      <c r="M866" s="13">
        <v>1</v>
      </c>
      <c r="N866" s="12">
        <v>0.25083552097500295</v>
      </c>
    </row>
    <row r="867" spans="9:14">
      <c r="I867" s="11" t="s">
        <v>2573</v>
      </c>
      <c r="J867" s="13">
        <v>1</v>
      </c>
      <c r="K867" s="9">
        <v>933.36299999999994</v>
      </c>
      <c r="L867" s="9">
        <v>213.20299999999997</v>
      </c>
      <c r="M867" s="13">
        <v>1</v>
      </c>
      <c r="N867" s="12">
        <v>0.22842452507759572</v>
      </c>
    </row>
    <row r="868" spans="9:14">
      <c r="I868" s="11" t="s">
        <v>12809</v>
      </c>
      <c r="J868" s="13">
        <v>1</v>
      </c>
      <c r="K868" s="9">
        <v>917.505</v>
      </c>
      <c r="L868" s="9">
        <v>234.32500000000005</v>
      </c>
      <c r="M868" s="13">
        <v>1</v>
      </c>
      <c r="N868" s="12">
        <v>0.25539370357654734</v>
      </c>
    </row>
    <row r="869" spans="9:14">
      <c r="I869" s="11" t="s">
        <v>15546</v>
      </c>
      <c r="J869" s="13">
        <v>1</v>
      </c>
      <c r="K869" s="9">
        <v>912.62</v>
      </c>
      <c r="L869" s="9">
        <v>263.87</v>
      </c>
      <c r="M869" s="13">
        <v>1</v>
      </c>
      <c r="N869" s="12">
        <v>0.28913457956213978</v>
      </c>
    </row>
    <row r="870" spans="9:14">
      <c r="I870" s="11" t="s">
        <v>2370</v>
      </c>
      <c r="J870" s="13">
        <v>1</v>
      </c>
      <c r="K870" s="9">
        <v>887.18399999999997</v>
      </c>
      <c r="L870" s="9">
        <v>217.32399999999996</v>
      </c>
      <c r="M870" s="13">
        <v>1</v>
      </c>
      <c r="N870" s="12">
        <v>0.24495933199877359</v>
      </c>
    </row>
    <row r="871" spans="9:14">
      <c r="I871" s="11" t="s">
        <v>595</v>
      </c>
      <c r="J871" s="13">
        <v>1</v>
      </c>
      <c r="K871" s="9">
        <v>881.18</v>
      </c>
      <c r="L871" s="9">
        <v>254.5</v>
      </c>
      <c r="M871" s="13">
        <v>1</v>
      </c>
      <c r="N871" s="12">
        <v>0.28881726775460181</v>
      </c>
    </row>
    <row r="872" spans="9:14">
      <c r="I872" s="11" t="s">
        <v>9647</v>
      </c>
      <c r="J872" s="13">
        <v>1</v>
      </c>
      <c r="K872" s="9">
        <v>881.18</v>
      </c>
      <c r="L872" s="9">
        <v>254.5</v>
      </c>
      <c r="M872" s="13">
        <v>1</v>
      </c>
      <c r="N872" s="12">
        <v>0.28881726775460181</v>
      </c>
    </row>
    <row r="873" spans="9:14">
      <c r="I873" s="11" t="s">
        <v>6415</v>
      </c>
      <c r="J873" s="13">
        <v>1</v>
      </c>
      <c r="K873" s="9">
        <v>881.18</v>
      </c>
      <c r="L873" s="9">
        <v>254.5</v>
      </c>
      <c r="M873" s="13">
        <v>1</v>
      </c>
      <c r="N873" s="12">
        <v>0.28881726775460181</v>
      </c>
    </row>
    <row r="874" spans="9:14">
      <c r="I874" s="11" t="s">
        <v>1212</v>
      </c>
      <c r="J874" s="13">
        <v>1</v>
      </c>
      <c r="K874" s="9">
        <v>866.98900000000003</v>
      </c>
      <c r="L874" s="9">
        <v>218.23900000000003</v>
      </c>
      <c r="M874" s="13">
        <v>1</v>
      </c>
      <c r="N874" s="12">
        <v>0.2517206100654103</v>
      </c>
    </row>
    <row r="875" spans="9:14">
      <c r="I875" s="11" t="s">
        <v>297</v>
      </c>
      <c r="J875" s="13">
        <v>1</v>
      </c>
      <c r="K875" s="9">
        <v>866.98900000000003</v>
      </c>
      <c r="L875" s="9">
        <v>218.23900000000003</v>
      </c>
      <c r="M875" s="13">
        <v>1</v>
      </c>
      <c r="N875" s="12">
        <v>0.2517206100654103</v>
      </c>
    </row>
    <row r="876" spans="9:14">
      <c r="I876" s="11" t="s">
        <v>2603</v>
      </c>
      <c r="J876" s="13">
        <v>1</v>
      </c>
      <c r="K876" s="9">
        <v>821.35799999999995</v>
      </c>
      <c r="L876" s="9">
        <v>172.60799999999995</v>
      </c>
      <c r="M876" s="13">
        <v>1</v>
      </c>
      <c r="N876" s="12">
        <v>0.21014953284682192</v>
      </c>
    </row>
    <row r="877" spans="9:14">
      <c r="I877" s="11" t="s">
        <v>6432</v>
      </c>
      <c r="J877" s="13">
        <v>1</v>
      </c>
      <c r="K877" s="9">
        <v>817.37</v>
      </c>
      <c r="L877" s="9">
        <v>222.34000000000003</v>
      </c>
      <c r="M877" s="13">
        <v>1</v>
      </c>
      <c r="N877" s="12">
        <v>0.27201879197915269</v>
      </c>
    </row>
    <row r="878" spans="9:14">
      <c r="I878" s="11" t="s">
        <v>3833</v>
      </c>
      <c r="J878" s="13">
        <v>1</v>
      </c>
      <c r="K878" s="9">
        <v>817.37</v>
      </c>
      <c r="L878" s="9">
        <v>222.34000000000003</v>
      </c>
      <c r="M878" s="13">
        <v>1</v>
      </c>
      <c r="N878" s="12">
        <v>0.27201879197915269</v>
      </c>
    </row>
    <row r="879" spans="9:14">
      <c r="I879" s="11" t="s">
        <v>11306</v>
      </c>
      <c r="J879" s="13">
        <v>1</v>
      </c>
      <c r="K879" s="9">
        <v>817.37</v>
      </c>
      <c r="L879" s="9">
        <v>222.34000000000003</v>
      </c>
      <c r="M879" s="13">
        <v>1</v>
      </c>
      <c r="N879" s="12">
        <v>0.27201879197915269</v>
      </c>
    </row>
    <row r="880" spans="9:14">
      <c r="I880" s="11" t="s">
        <v>6080</v>
      </c>
      <c r="J880" s="13">
        <v>1</v>
      </c>
      <c r="K880" s="9">
        <v>817.37</v>
      </c>
      <c r="L880" s="9">
        <v>222.34000000000003</v>
      </c>
      <c r="M880" s="13">
        <v>1</v>
      </c>
      <c r="N880" s="12">
        <v>0.27201879197915269</v>
      </c>
    </row>
    <row r="881" spans="9:14">
      <c r="I881" s="11" t="s">
        <v>7586</v>
      </c>
      <c r="J881" s="13">
        <v>1</v>
      </c>
      <c r="K881" s="9">
        <v>813.87200000000007</v>
      </c>
      <c r="L881" s="9">
        <v>41.092000000000098</v>
      </c>
      <c r="M881" s="13">
        <v>2</v>
      </c>
      <c r="N881" s="12">
        <v>5.0489511864273612E-2</v>
      </c>
    </row>
    <row r="882" spans="9:14">
      <c r="I882" s="11" t="s">
        <v>10268</v>
      </c>
      <c r="J882" s="13">
        <v>1</v>
      </c>
      <c r="K882" s="9">
        <v>793.0619999999999</v>
      </c>
      <c r="L882" s="9">
        <v>166.38199999999995</v>
      </c>
      <c r="M882" s="13">
        <v>1</v>
      </c>
      <c r="N882" s="12">
        <v>0.20979696417177973</v>
      </c>
    </row>
    <row r="883" spans="9:14">
      <c r="I883" s="11" t="s">
        <v>13009</v>
      </c>
      <c r="J883" s="13">
        <v>1</v>
      </c>
      <c r="K883" s="9">
        <v>776.50149999999996</v>
      </c>
      <c r="L883" s="9">
        <v>181.47149999999999</v>
      </c>
      <c r="M883" s="13">
        <v>1</v>
      </c>
      <c r="N883" s="12">
        <v>0.23370399155700278</v>
      </c>
    </row>
    <row r="884" spans="9:14">
      <c r="I884" s="11" t="s">
        <v>5499</v>
      </c>
      <c r="J884" s="13">
        <v>1</v>
      </c>
      <c r="K884" s="9">
        <v>775.19</v>
      </c>
      <c r="L884" s="9">
        <v>177.35000000000002</v>
      </c>
      <c r="M884" s="13">
        <v>1</v>
      </c>
      <c r="N884" s="12">
        <v>0.22878262103484309</v>
      </c>
    </row>
    <row r="885" spans="9:14">
      <c r="I885" s="11" t="s">
        <v>14247</v>
      </c>
      <c r="J885" s="13">
        <v>1</v>
      </c>
      <c r="K885" s="9">
        <v>775.19</v>
      </c>
      <c r="L885" s="9">
        <v>177.35000000000002</v>
      </c>
      <c r="M885" s="13">
        <v>1</v>
      </c>
      <c r="N885" s="12">
        <v>0.22878262103484309</v>
      </c>
    </row>
    <row r="886" spans="9:14">
      <c r="I886" s="11" t="s">
        <v>12011</v>
      </c>
      <c r="J886" s="13">
        <v>1</v>
      </c>
      <c r="K886" s="9">
        <v>773.26200000000006</v>
      </c>
      <c r="L886" s="9">
        <v>226.43200000000002</v>
      </c>
      <c r="M886" s="13">
        <v>1</v>
      </c>
      <c r="N886" s="12">
        <v>0.2928270107673725</v>
      </c>
    </row>
    <row r="887" spans="9:14">
      <c r="I887" s="11" t="s">
        <v>1375</v>
      </c>
      <c r="J887" s="13">
        <v>1</v>
      </c>
      <c r="K887" s="9">
        <v>773.26200000000006</v>
      </c>
      <c r="L887" s="9">
        <v>226.43200000000002</v>
      </c>
      <c r="M887" s="13">
        <v>1</v>
      </c>
      <c r="N887" s="12">
        <v>0.2928270107673725</v>
      </c>
    </row>
    <row r="888" spans="9:14">
      <c r="I888" s="11" t="s">
        <v>6589</v>
      </c>
      <c r="J888" s="13">
        <v>1</v>
      </c>
      <c r="K888" s="9">
        <v>773.2</v>
      </c>
      <c r="L888" s="9">
        <v>226.11</v>
      </c>
      <c r="M888" s="13">
        <v>1</v>
      </c>
      <c r="N888" s="12">
        <v>0.29243404035178477</v>
      </c>
    </row>
    <row r="889" spans="9:14">
      <c r="I889" s="11" t="s">
        <v>4323</v>
      </c>
      <c r="J889" s="13">
        <v>1</v>
      </c>
      <c r="K889" s="9">
        <v>773.2</v>
      </c>
      <c r="L889" s="9">
        <v>226.11</v>
      </c>
      <c r="M889" s="13">
        <v>1</v>
      </c>
      <c r="N889" s="12">
        <v>0.29243404035178477</v>
      </c>
    </row>
    <row r="890" spans="9:14">
      <c r="I890" s="11" t="s">
        <v>14854</v>
      </c>
      <c r="J890" s="13">
        <v>1</v>
      </c>
      <c r="K890" s="9">
        <v>773.2</v>
      </c>
      <c r="L890" s="9">
        <v>226.11</v>
      </c>
      <c r="M890" s="13">
        <v>1</v>
      </c>
      <c r="N890" s="12">
        <v>0.29243404035178477</v>
      </c>
    </row>
    <row r="891" spans="9:14">
      <c r="I891" s="11" t="s">
        <v>10335</v>
      </c>
      <c r="J891" s="13">
        <v>1</v>
      </c>
      <c r="K891" s="9">
        <v>773.2</v>
      </c>
      <c r="L891" s="9">
        <v>226.11</v>
      </c>
      <c r="M891" s="13">
        <v>1</v>
      </c>
      <c r="N891" s="12">
        <v>0.29243404035178477</v>
      </c>
    </row>
    <row r="892" spans="9:14">
      <c r="I892" s="11" t="s">
        <v>603</v>
      </c>
      <c r="J892" s="13">
        <v>1</v>
      </c>
      <c r="K892" s="9">
        <v>734.54000000000008</v>
      </c>
      <c r="L892" s="9">
        <v>187.45000000000005</v>
      </c>
      <c r="M892" s="13">
        <v>1</v>
      </c>
      <c r="N892" s="12">
        <v>0.25519372668608931</v>
      </c>
    </row>
    <row r="893" spans="9:14">
      <c r="I893" s="11" t="s">
        <v>3130</v>
      </c>
      <c r="J893" s="13">
        <v>1</v>
      </c>
      <c r="K893" s="9">
        <v>731.65</v>
      </c>
      <c r="L893" s="9">
        <v>140.31999999999994</v>
      </c>
      <c r="M893" s="13">
        <v>1</v>
      </c>
      <c r="N893" s="12">
        <v>0.19178568987904043</v>
      </c>
    </row>
    <row r="894" spans="9:14">
      <c r="I894" s="11" t="s">
        <v>7014</v>
      </c>
      <c r="J894" s="13">
        <v>1</v>
      </c>
      <c r="K894" s="9">
        <v>699.80399999999997</v>
      </c>
      <c r="L894" s="9">
        <v>196.714</v>
      </c>
      <c r="M894" s="13">
        <v>1</v>
      </c>
      <c r="N894" s="12">
        <v>0.28109870763813871</v>
      </c>
    </row>
    <row r="895" spans="9:14">
      <c r="I895" s="11" t="s">
        <v>7907</v>
      </c>
      <c r="J895" s="13">
        <v>1</v>
      </c>
      <c r="K895" s="9">
        <v>697.67100000000005</v>
      </c>
      <c r="L895" s="9">
        <v>99.831000000000017</v>
      </c>
      <c r="M895" s="13">
        <v>1</v>
      </c>
      <c r="N895" s="12">
        <v>0.14309180114982564</v>
      </c>
    </row>
    <row r="896" spans="9:14">
      <c r="I896" s="11" t="s">
        <v>6328</v>
      </c>
      <c r="J896" s="13">
        <v>1</v>
      </c>
      <c r="K896" s="9">
        <v>697.67100000000005</v>
      </c>
      <c r="L896" s="9">
        <v>99.831000000000017</v>
      </c>
      <c r="M896" s="13">
        <v>1</v>
      </c>
      <c r="N896" s="12">
        <v>0.14309180114982564</v>
      </c>
    </row>
    <row r="897" spans="9:14">
      <c r="I897" s="11" t="s">
        <v>6017</v>
      </c>
      <c r="J897" s="13">
        <v>1</v>
      </c>
      <c r="K897" s="9">
        <v>695.88</v>
      </c>
      <c r="L897" s="9">
        <v>148.78999999999996</v>
      </c>
      <c r="M897" s="13">
        <v>1</v>
      </c>
      <c r="N897" s="12">
        <v>0.21381560039087194</v>
      </c>
    </row>
    <row r="898" spans="9:14">
      <c r="I898" s="11" t="s">
        <v>4072</v>
      </c>
      <c r="J898" s="13">
        <v>1</v>
      </c>
      <c r="K898" s="9">
        <v>686.3</v>
      </c>
      <c r="L898" s="9">
        <v>301.11999999999995</v>
      </c>
      <c r="M898" s="13">
        <v>2</v>
      </c>
      <c r="N898" s="12">
        <v>0.4387585603963281</v>
      </c>
    </row>
    <row r="899" spans="9:14">
      <c r="I899" s="11" t="s">
        <v>9355</v>
      </c>
      <c r="J899" s="13">
        <v>1</v>
      </c>
      <c r="K899" s="9">
        <v>675.13</v>
      </c>
      <c r="L899" s="9">
        <v>164.68</v>
      </c>
      <c r="M899" s="13">
        <v>1</v>
      </c>
      <c r="N899" s="12">
        <v>0.2439233925318087</v>
      </c>
    </row>
    <row r="900" spans="9:14">
      <c r="I900" s="11" t="s">
        <v>4730</v>
      </c>
      <c r="J900" s="13">
        <v>1</v>
      </c>
      <c r="K900" s="9">
        <v>675.13</v>
      </c>
      <c r="L900" s="9">
        <v>164.68</v>
      </c>
      <c r="M900" s="13">
        <v>1</v>
      </c>
      <c r="N900" s="12">
        <v>0.2439233925318087</v>
      </c>
    </row>
    <row r="901" spans="9:14">
      <c r="I901" s="11" t="s">
        <v>4607</v>
      </c>
      <c r="J901" s="13">
        <v>1</v>
      </c>
      <c r="K901" s="9">
        <v>675.13</v>
      </c>
      <c r="L901" s="9">
        <v>164.68</v>
      </c>
      <c r="M901" s="13">
        <v>1</v>
      </c>
      <c r="N901" s="12">
        <v>0.2439233925318087</v>
      </c>
    </row>
    <row r="902" spans="9:14">
      <c r="I902" s="11" t="s">
        <v>14154</v>
      </c>
      <c r="J902" s="13">
        <v>1</v>
      </c>
      <c r="K902" s="9">
        <v>675.13</v>
      </c>
      <c r="L902" s="9">
        <v>164.68</v>
      </c>
      <c r="M902" s="13">
        <v>1</v>
      </c>
      <c r="N902" s="12">
        <v>0.2439233925318087</v>
      </c>
    </row>
    <row r="903" spans="9:14">
      <c r="I903" s="11" t="s">
        <v>8139</v>
      </c>
      <c r="J903" s="13">
        <v>1</v>
      </c>
      <c r="K903" s="9">
        <v>643.36</v>
      </c>
      <c r="L903" s="9">
        <v>182.86</v>
      </c>
      <c r="M903" s="13">
        <v>1</v>
      </c>
      <c r="N903" s="12">
        <v>0.28422656055707535</v>
      </c>
    </row>
    <row r="904" spans="9:14">
      <c r="I904" s="11" t="s">
        <v>6430</v>
      </c>
      <c r="J904" s="13">
        <v>1</v>
      </c>
      <c r="K904" s="9">
        <v>643.36</v>
      </c>
      <c r="L904" s="9">
        <v>182.86</v>
      </c>
      <c r="M904" s="13">
        <v>1</v>
      </c>
      <c r="N904" s="12">
        <v>0.28422656055707535</v>
      </c>
    </row>
    <row r="905" spans="9:14">
      <c r="I905" s="11" t="s">
        <v>6822</v>
      </c>
      <c r="J905" s="13">
        <v>1</v>
      </c>
      <c r="K905" s="9">
        <v>643.36</v>
      </c>
      <c r="L905" s="9">
        <v>182.86</v>
      </c>
      <c r="M905" s="13">
        <v>1</v>
      </c>
      <c r="N905" s="12">
        <v>0.28422656055707535</v>
      </c>
    </row>
    <row r="906" spans="9:14">
      <c r="I906" s="11" t="s">
        <v>11706</v>
      </c>
      <c r="J906" s="13">
        <v>1</v>
      </c>
      <c r="K906" s="9">
        <v>643.36</v>
      </c>
      <c r="L906" s="9">
        <v>182.86</v>
      </c>
      <c r="M906" s="13">
        <v>1</v>
      </c>
      <c r="N906" s="12">
        <v>0.28422656055707535</v>
      </c>
    </row>
    <row r="907" spans="9:14">
      <c r="I907" s="11" t="s">
        <v>11955</v>
      </c>
      <c r="J907" s="13">
        <v>1</v>
      </c>
      <c r="K907" s="9">
        <v>643.36</v>
      </c>
      <c r="L907" s="9">
        <v>182.86</v>
      </c>
      <c r="M907" s="13">
        <v>1</v>
      </c>
      <c r="N907" s="12">
        <v>0.28422656055707535</v>
      </c>
    </row>
    <row r="908" spans="9:14">
      <c r="I908" s="11" t="s">
        <v>7387</v>
      </c>
      <c r="J908" s="13">
        <v>1</v>
      </c>
      <c r="K908" s="9">
        <v>641.37350000000004</v>
      </c>
      <c r="L908" s="9">
        <v>130.92350000000005</v>
      </c>
      <c r="M908" s="13">
        <v>1</v>
      </c>
      <c r="N908" s="12">
        <v>0.20412988687558817</v>
      </c>
    </row>
    <row r="909" spans="9:14">
      <c r="I909" s="11" t="s">
        <v>13908</v>
      </c>
      <c r="J909" s="13">
        <v>1</v>
      </c>
      <c r="K909" s="9">
        <v>641.37350000000004</v>
      </c>
      <c r="L909" s="9">
        <v>130.92350000000005</v>
      </c>
      <c r="M909" s="13">
        <v>1</v>
      </c>
      <c r="N909" s="12">
        <v>0.20412988687558817</v>
      </c>
    </row>
    <row r="910" spans="9:14">
      <c r="I910" s="11" t="s">
        <v>1303</v>
      </c>
      <c r="J910" s="13">
        <v>1</v>
      </c>
      <c r="K910" s="9">
        <v>631.26</v>
      </c>
      <c r="L910" s="9">
        <v>236.39999999999998</v>
      </c>
      <c r="M910" s="13">
        <v>1</v>
      </c>
      <c r="N910" s="12">
        <v>0.37448911700408705</v>
      </c>
    </row>
    <row r="911" spans="9:14">
      <c r="I911" s="11" t="s">
        <v>5082</v>
      </c>
      <c r="J911" s="13">
        <v>1</v>
      </c>
      <c r="K911" s="9">
        <v>631.26</v>
      </c>
      <c r="L911" s="9">
        <v>236.39999999999998</v>
      </c>
      <c r="M911" s="13">
        <v>1</v>
      </c>
      <c r="N911" s="12">
        <v>0.37448911700408705</v>
      </c>
    </row>
    <row r="912" spans="9:14">
      <c r="I912" s="11" t="s">
        <v>12947</v>
      </c>
      <c r="J912" s="13">
        <v>1</v>
      </c>
      <c r="K912" s="9">
        <v>631.26</v>
      </c>
      <c r="L912" s="9">
        <v>236.39999999999998</v>
      </c>
      <c r="M912" s="13">
        <v>1</v>
      </c>
      <c r="N912" s="12">
        <v>0.37448911700408705</v>
      </c>
    </row>
    <row r="913" spans="9:14">
      <c r="I913" s="11" t="s">
        <v>5382</v>
      </c>
      <c r="J913" s="13">
        <v>1</v>
      </c>
      <c r="K913" s="9">
        <v>617.66999999999996</v>
      </c>
      <c r="L913" s="9">
        <v>232.48999999999995</v>
      </c>
      <c r="M913" s="13">
        <v>2</v>
      </c>
      <c r="N913" s="12">
        <v>0.37639840044036454</v>
      </c>
    </row>
    <row r="914" spans="9:14">
      <c r="I914" s="11" t="s">
        <v>13542</v>
      </c>
      <c r="J914" s="13">
        <v>1</v>
      </c>
      <c r="K914" s="9">
        <v>607.61699999999996</v>
      </c>
      <c r="L914" s="9">
        <v>97.166999999999973</v>
      </c>
      <c r="M914" s="13">
        <v>1</v>
      </c>
      <c r="N914" s="12">
        <v>0.15991488059089851</v>
      </c>
    </row>
    <row r="915" spans="9:14">
      <c r="I915" s="11" t="s">
        <v>14290</v>
      </c>
      <c r="J915" s="13">
        <v>1</v>
      </c>
      <c r="K915" s="9">
        <v>587.35</v>
      </c>
      <c r="L915" s="9">
        <v>149.26000000000005</v>
      </c>
      <c r="M915" s="13">
        <v>1</v>
      </c>
      <c r="N915" s="12">
        <v>0.25412445730824901</v>
      </c>
    </row>
    <row r="916" spans="9:14">
      <c r="I916" s="11" t="s">
        <v>709</v>
      </c>
      <c r="J916" s="13">
        <v>1</v>
      </c>
      <c r="K916" s="9">
        <v>587.35</v>
      </c>
      <c r="L916" s="9">
        <v>149.26000000000005</v>
      </c>
      <c r="M916" s="13">
        <v>1</v>
      </c>
      <c r="N916" s="12">
        <v>0.25412445730824901</v>
      </c>
    </row>
    <row r="917" spans="9:14">
      <c r="I917" s="11" t="s">
        <v>9491</v>
      </c>
      <c r="J917" s="13">
        <v>1</v>
      </c>
      <c r="K917" s="9">
        <v>579.024</v>
      </c>
      <c r="L917" s="9">
        <v>118.524</v>
      </c>
      <c r="M917" s="13">
        <v>1</v>
      </c>
      <c r="N917" s="12">
        <v>0.20469617839675039</v>
      </c>
    </row>
    <row r="918" spans="9:14">
      <c r="I918" s="11" t="s">
        <v>4778</v>
      </c>
      <c r="J918" s="13">
        <v>1</v>
      </c>
      <c r="K918" s="9">
        <v>568.13400000000001</v>
      </c>
      <c r="L918" s="9">
        <v>173.274</v>
      </c>
      <c r="M918" s="13">
        <v>1</v>
      </c>
      <c r="N918" s="12">
        <v>0.30498790778231893</v>
      </c>
    </row>
    <row r="919" spans="9:14">
      <c r="I919" s="11" t="s">
        <v>11401</v>
      </c>
      <c r="J919" s="13">
        <v>1</v>
      </c>
      <c r="K919" s="9">
        <v>557.98250000000007</v>
      </c>
      <c r="L919" s="9">
        <v>119.8925000000001</v>
      </c>
      <c r="M919" s="13">
        <v>1</v>
      </c>
      <c r="N919" s="12">
        <v>0.2148678497981569</v>
      </c>
    </row>
    <row r="920" spans="9:14">
      <c r="I920" s="11" t="s">
        <v>2814</v>
      </c>
      <c r="J920" s="13">
        <v>1</v>
      </c>
      <c r="K920" s="9">
        <v>543.23</v>
      </c>
      <c r="L920" s="9">
        <v>101.41000000000003</v>
      </c>
      <c r="M920" s="13">
        <v>1</v>
      </c>
      <c r="N920" s="12">
        <v>0.18667967527566595</v>
      </c>
    </row>
    <row r="921" spans="9:14">
      <c r="I921" s="11" t="s">
        <v>11903</v>
      </c>
      <c r="J921" s="13">
        <v>1</v>
      </c>
      <c r="K921" s="9">
        <v>528.61500000000001</v>
      </c>
      <c r="L921" s="9">
        <v>90.525000000000034</v>
      </c>
      <c r="M921" s="13">
        <v>1</v>
      </c>
      <c r="N921" s="12">
        <v>0.17124939700916553</v>
      </c>
    </row>
    <row r="922" spans="9:14">
      <c r="I922" s="11" t="s">
        <v>203</v>
      </c>
      <c r="J922" s="13">
        <v>1</v>
      </c>
      <c r="K922" s="9">
        <v>516.06849999999997</v>
      </c>
      <c r="L922" s="9">
        <v>74.248499999999979</v>
      </c>
      <c r="M922" s="13">
        <v>1</v>
      </c>
      <c r="N922" s="12">
        <v>0.14387334239543778</v>
      </c>
    </row>
    <row r="923" spans="9:14">
      <c r="I923" s="11" t="s">
        <v>10323</v>
      </c>
      <c r="J923" s="13">
        <v>1</v>
      </c>
      <c r="K923" s="9">
        <v>516.06849999999997</v>
      </c>
      <c r="L923" s="9">
        <v>74.248499999999979</v>
      </c>
      <c r="M923" s="13">
        <v>1</v>
      </c>
      <c r="N923" s="12">
        <v>0.14387334239543778</v>
      </c>
    </row>
    <row r="924" spans="9:14">
      <c r="I924" s="11" t="s">
        <v>5715</v>
      </c>
      <c r="J924" s="13">
        <v>1</v>
      </c>
      <c r="K924" s="9">
        <v>500.73</v>
      </c>
      <c r="L924" s="9">
        <v>93.07</v>
      </c>
      <c r="M924" s="13">
        <v>1</v>
      </c>
      <c r="N924" s="12">
        <v>0.18586863179757551</v>
      </c>
    </row>
    <row r="925" spans="9:14">
      <c r="I925" s="11" t="s">
        <v>11121</v>
      </c>
      <c r="J925" s="13">
        <v>1</v>
      </c>
      <c r="K925" s="9">
        <v>488.90700000000004</v>
      </c>
      <c r="L925" s="9">
        <v>47.087000000000046</v>
      </c>
      <c r="M925" s="13">
        <v>1</v>
      </c>
      <c r="N925" s="12">
        <v>9.6310750306295559E-2</v>
      </c>
    </row>
    <row r="926" spans="9:14">
      <c r="I926" s="11" t="s">
        <v>3080</v>
      </c>
      <c r="J926" s="13">
        <v>1</v>
      </c>
      <c r="K926" s="9">
        <v>483.23650000000004</v>
      </c>
      <c r="L926" s="9">
        <v>96.846500000000049</v>
      </c>
      <c r="M926" s="13">
        <v>1</v>
      </c>
      <c r="N926" s="12">
        <v>0.20041222051728302</v>
      </c>
    </row>
    <row r="927" spans="9:14">
      <c r="I927" s="11" t="s">
        <v>5721</v>
      </c>
      <c r="J927" s="13">
        <v>1</v>
      </c>
      <c r="K927" s="9">
        <v>434.28300000000002</v>
      </c>
      <c r="L927" s="9">
        <v>132.96300000000002</v>
      </c>
      <c r="M927" s="13">
        <v>3</v>
      </c>
      <c r="N927" s="12">
        <v>0.30616671617355506</v>
      </c>
    </row>
    <row r="928" spans="9:14">
      <c r="I928" s="11" t="s">
        <v>14842</v>
      </c>
      <c r="J928" s="13">
        <v>1</v>
      </c>
      <c r="K928" s="9">
        <v>432.36950000000002</v>
      </c>
      <c r="L928" s="9">
        <v>45.97950000000003</v>
      </c>
      <c r="M928" s="13">
        <v>1</v>
      </c>
      <c r="N928" s="12">
        <v>0.10634306998990453</v>
      </c>
    </row>
    <row r="929" spans="9:14">
      <c r="I929" s="11" t="s">
        <v>14636</v>
      </c>
      <c r="J929" s="13">
        <v>1</v>
      </c>
      <c r="K929" s="9">
        <v>411.42599999999999</v>
      </c>
      <c r="L929" s="9">
        <v>110.10599999999999</v>
      </c>
      <c r="M929" s="13">
        <v>3</v>
      </c>
      <c r="N929" s="12">
        <v>0.26762042262764141</v>
      </c>
    </row>
    <row r="930" spans="9:14">
      <c r="I930" s="11" t="s">
        <v>9867</v>
      </c>
      <c r="J930" s="13">
        <v>1</v>
      </c>
      <c r="K930" s="9">
        <v>406.93600000000004</v>
      </c>
      <c r="L930" s="9">
        <v>20.546000000000049</v>
      </c>
      <c r="M930" s="13">
        <v>1</v>
      </c>
      <c r="N930" s="12">
        <v>5.0489511864273612E-2</v>
      </c>
    </row>
    <row r="931" spans="9:14">
      <c r="I931" s="11" t="s">
        <v>13253</v>
      </c>
      <c r="J931" s="13">
        <v>1</v>
      </c>
      <c r="K931" s="9">
        <v>380.5985</v>
      </c>
      <c r="L931" s="9">
        <v>157.86850000000001</v>
      </c>
      <c r="M931" s="13">
        <v>1</v>
      </c>
      <c r="N931" s="12">
        <v>0.4147901266032315</v>
      </c>
    </row>
    <row r="932" spans="9:14">
      <c r="I932" s="11" t="s">
        <v>11105</v>
      </c>
      <c r="J932" s="13">
        <v>1</v>
      </c>
      <c r="K932" s="9">
        <v>380.5985</v>
      </c>
      <c r="L932" s="9">
        <v>157.86850000000001</v>
      </c>
      <c r="M932" s="13">
        <v>1</v>
      </c>
      <c r="N932" s="12">
        <v>0.4147901266032315</v>
      </c>
    </row>
    <row r="933" spans="9:14">
      <c r="I933" s="11" t="s">
        <v>11234</v>
      </c>
      <c r="J933" s="13">
        <v>1</v>
      </c>
      <c r="K933" s="9">
        <v>360.56700000000001</v>
      </c>
      <c r="L933" s="9">
        <v>137.83700000000002</v>
      </c>
      <c r="M933" s="13">
        <v>1</v>
      </c>
      <c r="N933" s="12">
        <v>0.38227846697007772</v>
      </c>
    </row>
    <row r="934" spans="9:14">
      <c r="I934" s="11" t="s">
        <v>13803</v>
      </c>
      <c r="J934" s="13">
        <v>1</v>
      </c>
      <c r="K934" s="9">
        <v>325.99249999999995</v>
      </c>
      <c r="L934" s="9">
        <v>133.40249999999995</v>
      </c>
      <c r="M934" s="13">
        <v>1</v>
      </c>
      <c r="N934" s="12">
        <v>0.40921953725929266</v>
      </c>
    </row>
    <row r="935" spans="9:14">
      <c r="I935" s="11" t="s">
        <v>8668</v>
      </c>
      <c r="J935" s="13">
        <v>1</v>
      </c>
      <c r="K935" s="9">
        <v>325.99249999999995</v>
      </c>
      <c r="L935" s="9">
        <v>133.40249999999995</v>
      </c>
      <c r="M935" s="13">
        <v>1</v>
      </c>
      <c r="N935" s="12">
        <v>0.40921953725929266</v>
      </c>
    </row>
    <row r="936" spans="9:14">
      <c r="I936" s="11" t="s">
        <v>14723</v>
      </c>
      <c r="J936" s="13">
        <v>1</v>
      </c>
      <c r="K936" s="9">
        <v>325.99249999999995</v>
      </c>
      <c r="L936" s="9">
        <v>133.40249999999995</v>
      </c>
      <c r="M936" s="13">
        <v>1</v>
      </c>
      <c r="N936" s="12">
        <v>0.40921953725929266</v>
      </c>
    </row>
    <row r="937" spans="9:14">
      <c r="I937" s="11" t="s">
        <v>10366</v>
      </c>
      <c r="J937" s="13">
        <v>1</v>
      </c>
      <c r="K937" s="9">
        <v>325.99249999999995</v>
      </c>
      <c r="L937" s="9">
        <v>133.40249999999995</v>
      </c>
      <c r="M937" s="13">
        <v>1</v>
      </c>
      <c r="N937" s="12">
        <v>0.40921953725929266</v>
      </c>
    </row>
    <row r="938" spans="9:14">
      <c r="I938" s="11" t="s">
        <v>2130</v>
      </c>
      <c r="J938" s="13">
        <v>1</v>
      </c>
      <c r="K938" s="9">
        <v>252.55</v>
      </c>
      <c r="L938" s="9">
        <v>82.210000000000008</v>
      </c>
      <c r="M938" s="13">
        <v>1</v>
      </c>
      <c r="N938" s="12">
        <v>0.32551969906949119</v>
      </c>
    </row>
    <row r="939" spans="9:14">
      <c r="I939" s="11" t="s">
        <v>3308</v>
      </c>
      <c r="J939" s="13">
        <v>1</v>
      </c>
      <c r="K939" s="9">
        <v>252.55</v>
      </c>
      <c r="L939" s="9">
        <v>82.210000000000008</v>
      </c>
      <c r="M939" s="13">
        <v>1</v>
      </c>
      <c r="N939" s="12">
        <v>0.32551969906949119</v>
      </c>
    </row>
    <row r="940" spans="9:14">
      <c r="I940" s="11" t="s">
        <v>14101</v>
      </c>
      <c r="J940" s="13">
        <v>1</v>
      </c>
      <c r="K940" s="9">
        <v>252.55</v>
      </c>
      <c r="L940" s="9">
        <v>82.210000000000008</v>
      </c>
      <c r="M940" s="13">
        <v>1</v>
      </c>
      <c r="N940" s="12">
        <v>0.32551969906949119</v>
      </c>
    </row>
    <row r="941" spans="9:14">
      <c r="I941" s="11" t="s">
        <v>6760</v>
      </c>
      <c r="J941" s="13">
        <v>1</v>
      </c>
      <c r="K941" s="9">
        <v>252.55</v>
      </c>
      <c r="L941" s="9">
        <v>82.210000000000008</v>
      </c>
      <c r="M941" s="13">
        <v>1</v>
      </c>
      <c r="N941" s="12">
        <v>0.32551969906949119</v>
      </c>
    </row>
    <row r="942" spans="9:14">
      <c r="I942" s="11" t="s">
        <v>5212</v>
      </c>
      <c r="J942" s="13">
        <v>1</v>
      </c>
      <c r="K942" s="9">
        <v>252.55</v>
      </c>
      <c r="L942" s="9">
        <v>82.210000000000008</v>
      </c>
      <c r="M942" s="13">
        <v>1</v>
      </c>
      <c r="N942" s="12">
        <v>0.32551969906949119</v>
      </c>
    </row>
    <row r="943" spans="9:14">
      <c r="I943" s="11" t="s">
        <v>13178</v>
      </c>
      <c r="J943" s="13">
        <v>1</v>
      </c>
      <c r="K943" s="9">
        <v>207.32</v>
      </c>
      <c r="L943" s="9">
        <v>86.33</v>
      </c>
      <c r="M943" s="13">
        <v>1</v>
      </c>
      <c r="N943" s="12">
        <v>0.41640941539648851</v>
      </c>
    </row>
    <row r="944" spans="9:14">
      <c r="I944" s="11" t="s">
        <v>2028</v>
      </c>
      <c r="J944" s="13">
        <v>1</v>
      </c>
      <c r="K944" s="9">
        <v>207.32</v>
      </c>
      <c r="L944" s="9">
        <v>86.33</v>
      </c>
      <c r="M944" s="13">
        <v>1</v>
      </c>
      <c r="N944" s="12">
        <v>0.41640941539648851</v>
      </c>
    </row>
    <row r="945" spans="9:14">
      <c r="I945" s="11" t="s">
        <v>5066</v>
      </c>
      <c r="J945" s="13">
        <v>1</v>
      </c>
      <c r="K945" s="9">
        <v>196.95400000000001</v>
      </c>
      <c r="L945" s="9">
        <v>75.964000000000013</v>
      </c>
      <c r="M945" s="13">
        <v>1</v>
      </c>
      <c r="N945" s="12">
        <v>0.38569412146998794</v>
      </c>
    </row>
    <row r="946" spans="9:14">
      <c r="I946" s="11" t="s">
        <v>1906</v>
      </c>
      <c r="J946" s="13">
        <v>1</v>
      </c>
      <c r="K946" s="9">
        <v>186.58799999999999</v>
      </c>
      <c r="L946" s="9">
        <v>65.597999999999999</v>
      </c>
      <c r="M946" s="13">
        <v>1</v>
      </c>
      <c r="N946" s="12">
        <v>0.35156601710720947</v>
      </c>
    </row>
    <row r="947" spans="9:14">
      <c r="I947" s="11" t="s">
        <v>1838</v>
      </c>
      <c r="J947" s="13">
        <v>1</v>
      </c>
      <c r="K947" s="9">
        <v>180.57599999999999</v>
      </c>
      <c r="L947" s="9">
        <v>47.355999999999995</v>
      </c>
      <c r="M947" s="13">
        <v>2</v>
      </c>
      <c r="N947" s="12">
        <v>0.26224968988126879</v>
      </c>
    </row>
    <row r="948" spans="9:14">
      <c r="I948" s="11" t="s">
        <v>5636</v>
      </c>
      <c r="J948" s="13">
        <v>1</v>
      </c>
      <c r="K948" s="9">
        <v>152.38</v>
      </c>
      <c r="L948" s="9">
        <v>51.94</v>
      </c>
      <c r="M948" s="13">
        <v>1</v>
      </c>
      <c r="N948" s="12">
        <v>0.34085838036487726</v>
      </c>
    </row>
    <row r="949" spans="9:14">
      <c r="I949" s="11" t="s">
        <v>6539</v>
      </c>
      <c r="J949" s="13">
        <v>1</v>
      </c>
      <c r="K949" s="9">
        <v>152.38</v>
      </c>
      <c r="L949" s="9">
        <v>51.94</v>
      </c>
      <c r="M949" s="13">
        <v>1</v>
      </c>
      <c r="N949" s="12">
        <v>0.34085838036487726</v>
      </c>
    </row>
    <row r="950" spans="9:14">
      <c r="I950" s="11" t="s">
        <v>15112</v>
      </c>
      <c r="J950" s="13">
        <v>1</v>
      </c>
      <c r="K950" s="9">
        <v>152.38</v>
      </c>
      <c r="L950" s="9">
        <v>51.94</v>
      </c>
      <c r="M950" s="13">
        <v>1</v>
      </c>
      <c r="N950" s="12">
        <v>0.34085838036487726</v>
      </c>
    </row>
    <row r="951" spans="9:14">
      <c r="I951" s="11" t="s">
        <v>5210</v>
      </c>
      <c r="J951" s="13">
        <v>1</v>
      </c>
      <c r="K951" s="9">
        <v>152.38</v>
      </c>
      <c r="L951" s="9">
        <v>51.94</v>
      </c>
      <c r="M951" s="13">
        <v>1</v>
      </c>
      <c r="N951" s="12">
        <v>0.34085838036487726</v>
      </c>
    </row>
    <row r="952" spans="9:14">
      <c r="I952" s="11" t="s">
        <v>13338</v>
      </c>
      <c r="J952" s="13">
        <v>1</v>
      </c>
      <c r="K952" s="9">
        <v>144.761</v>
      </c>
      <c r="L952" s="9">
        <v>44.320999999999998</v>
      </c>
      <c r="M952" s="13">
        <v>1</v>
      </c>
      <c r="N952" s="12">
        <v>0.30616671617355501</v>
      </c>
    </row>
    <row r="953" spans="9:14">
      <c r="I953" s="11" t="s">
        <v>2617</v>
      </c>
      <c r="J953" s="13">
        <v>1</v>
      </c>
      <c r="K953" s="9">
        <v>137.142</v>
      </c>
      <c r="L953" s="9">
        <v>36.701999999999998</v>
      </c>
      <c r="M953" s="13">
        <v>1</v>
      </c>
      <c r="N953" s="12">
        <v>0.26762042262764141</v>
      </c>
    </row>
    <row r="954" spans="9:14">
      <c r="I954" s="11" t="s">
        <v>7487</v>
      </c>
      <c r="J954" s="13">
        <v>1</v>
      </c>
      <c r="K954" s="9">
        <v>130.63</v>
      </c>
      <c r="L954" s="9">
        <v>55.3</v>
      </c>
      <c r="M954" s="13">
        <v>1</v>
      </c>
      <c r="N954" s="12">
        <v>0.42333307815968768</v>
      </c>
    </row>
    <row r="955" spans="9:14">
      <c r="I955" s="11" t="s">
        <v>9145</v>
      </c>
      <c r="J955" s="13">
        <v>1</v>
      </c>
      <c r="K955" s="9">
        <v>117.96</v>
      </c>
      <c r="L955" s="9">
        <v>40.599999999999994</v>
      </c>
      <c r="M955" s="13">
        <v>1</v>
      </c>
      <c r="N955" s="12">
        <v>0.34418446931163105</v>
      </c>
    </row>
    <row r="956" spans="9:14">
      <c r="I956" s="11" t="s">
        <v>3554</v>
      </c>
      <c r="J956" s="13">
        <v>1</v>
      </c>
      <c r="K956" s="9">
        <v>117.56699999999999</v>
      </c>
      <c r="L956" s="9">
        <v>42.236999999999995</v>
      </c>
      <c r="M956" s="13">
        <v>1</v>
      </c>
      <c r="N956" s="12">
        <v>0.35925897573298626</v>
      </c>
    </row>
    <row r="957" spans="9:14">
      <c r="I957" s="11" t="s">
        <v>6310</v>
      </c>
      <c r="J957" s="13">
        <v>1</v>
      </c>
      <c r="K957" s="9">
        <v>100.32</v>
      </c>
      <c r="L957" s="9">
        <v>33.709999999999994</v>
      </c>
      <c r="M957" s="13">
        <v>1</v>
      </c>
      <c r="N957" s="12">
        <v>0.33602472089314189</v>
      </c>
    </row>
    <row r="958" spans="9:14">
      <c r="I958" s="11" t="s">
        <v>8924</v>
      </c>
      <c r="J958" s="13">
        <v>1</v>
      </c>
      <c r="K958" s="9">
        <v>100.32</v>
      </c>
      <c r="L958" s="9">
        <v>33.709999999999994</v>
      </c>
      <c r="M958" s="13">
        <v>1</v>
      </c>
      <c r="N958" s="12">
        <v>0.33602472089314189</v>
      </c>
    </row>
    <row r="959" spans="9:14">
      <c r="I959" s="11" t="s">
        <v>1726</v>
      </c>
      <c r="J959" s="13">
        <v>1</v>
      </c>
      <c r="K959" s="9">
        <v>100.32</v>
      </c>
      <c r="L959" s="9">
        <v>33.709999999999994</v>
      </c>
      <c r="M959" s="13">
        <v>1</v>
      </c>
      <c r="N959" s="12">
        <v>0.33602472089314189</v>
      </c>
    </row>
    <row r="960" spans="9:14">
      <c r="I960" s="11" t="s">
        <v>9207</v>
      </c>
      <c r="J960" s="13">
        <v>1</v>
      </c>
      <c r="K960" s="9">
        <v>90.287999999999997</v>
      </c>
      <c r="L960" s="9">
        <v>23.677999999999997</v>
      </c>
      <c r="M960" s="13">
        <v>1</v>
      </c>
      <c r="N960" s="12">
        <v>0.26224968988126879</v>
      </c>
    </row>
    <row r="961" spans="9:14">
      <c r="I961" s="11" t="s">
        <v>5268</v>
      </c>
      <c r="J961" s="13">
        <v>1</v>
      </c>
      <c r="K961" s="9">
        <v>90.287999999999997</v>
      </c>
      <c r="L961" s="9">
        <v>23.677999999999997</v>
      </c>
      <c r="M961" s="13">
        <v>1</v>
      </c>
      <c r="N961" s="12">
        <v>0.26224968988126879</v>
      </c>
    </row>
    <row r="962" spans="9:14">
      <c r="I962" s="11" t="s">
        <v>12570</v>
      </c>
      <c r="J962" s="13">
        <v>1</v>
      </c>
      <c r="K962" s="9">
        <v>-261.26</v>
      </c>
      <c r="L962" s="9">
        <v>-110.6</v>
      </c>
      <c r="M962" s="13">
        <v>-2</v>
      </c>
      <c r="N962" s="12">
        <v>0.42333307815968768</v>
      </c>
    </row>
    <row r="963" spans="9:14">
      <c r="I963" s="11" t="s">
        <v>12381</v>
      </c>
      <c r="J963" s="13">
        <v>1</v>
      </c>
      <c r="K963" s="9">
        <v>-2974.9119999999998</v>
      </c>
      <c r="L963" s="9">
        <v>46.468000000000302</v>
      </c>
      <c r="M963" s="13">
        <v>-1</v>
      </c>
      <c r="N963" s="12">
        <v>-1.5619957834046959E-2</v>
      </c>
    </row>
    <row r="964" spans="9:14">
      <c r="I964" s="11" t="s">
        <v>6832</v>
      </c>
      <c r="J964" s="13">
        <v>1</v>
      </c>
      <c r="K964" s="9">
        <v>-21602.44</v>
      </c>
      <c r="L964" s="9">
        <v>-8467.8599999999988</v>
      </c>
      <c r="M964" s="13">
        <v>-1</v>
      </c>
      <c r="N964" s="12">
        <v>0.39198627562442018</v>
      </c>
    </row>
    <row r="965" spans="9:14">
      <c r="I965" s="11" t="s">
        <v>6656</v>
      </c>
      <c r="J965" s="13">
        <v>1</v>
      </c>
      <c r="K965" s="9">
        <v>-22827.119999999999</v>
      </c>
      <c r="L965" s="9">
        <v>-4563.0499999999993</v>
      </c>
      <c r="M965" s="13">
        <v>-1</v>
      </c>
      <c r="N965" s="12">
        <v>0.19989600089717843</v>
      </c>
    </row>
    <row r="966" spans="9:14">
      <c r="I966" s="11" t="s">
        <v>12784</v>
      </c>
      <c r="J966" s="13">
        <v>1</v>
      </c>
      <c r="K966" s="9">
        <v>-36179.730000000003</v>
      </c>
      <c r="L966" s="9">
        <v>-10835.410000000003</v>
      </c>
      <c r="M966" s="13">
        <v>-1</v>
      </c>
      <c r="N966" s="12">
        <v>0.29948841519823399</v>
      </c>
    </row>
    <row r="967" spans="9:14">
      <c r="I967" s="11" t="s">
        <v>17367</v>
      </c>
      <c r="J967" s="13">
        <v>1000</v>
      </c>
      <c r="K967" s="9">
        <v>25276051.216999982</v>
      </c>
      <c r="L967" s="9">
        <v>6967820.866999995</v>
      </c>
      <c r="M967" s="13">
        <v>1730</v>
      </c>
      <c r="N967" s="12">
        <v>0.27566888542754769</v>
      </c>
    </row>
  </sheetData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4EBBEA-0806-4C6C-B6E3-C2074353BB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Products</vt:lpstr>
      <vt:lpstr>Stores</vt:lpstr>
      <vt:lpstr>Transactions</vt:lpstr>
      <vt:lpstr>Data Quality</vt:lpstr>
      <vt:lpstr>Exploration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Vrinda Nair</dc:creator>
  <cp:lastModifiedBy>Vrinda Nair</cp:lastModifiedBy>
  <dcterms:created xsi:type="dcterms:W3CDTF">2015-06-05T18:17:20Z</dcterms:created>
  <dcterms:modified xsi:type="dcterms:W3CDTF">2026-09-11T07:18:50Z</dcterms:modified>
</cp:coreProperties>
</file>